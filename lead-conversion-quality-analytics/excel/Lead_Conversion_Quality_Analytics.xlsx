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ay\OneDrive\Desktop\Final Projects\Lead_Quality_Analytics\excel\"/>
    </mc:Choice>
  </mc:AlternateContent>
  <xr:revisionPtr revIDLastSave="0" documentId="13_ncr:1_{196E3162-625C-4578-A94A-0B83C720D068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Exec Summary" sheetId="1" r:id="rId1"/>
    <sheet name="Data Cleaning" sheetId="2" r:id="rId2"/>
    <sheet name="Trends" sheetId="3" r:id="rId3"/>
    <sheet name="Segments" sheetId="4" r:id="rId4"/>
    <sheet name="Opportunity" sheetId="5" r:id="rId5"/>
    <sheet name="Model" sheetId="6" r:id="rId6"/>
    <sheet name="QA" sheetId="7" r:id="rId7"/>
    <sheet name="Clean Leads" sheetId="13" r:id="rId8"/>
    <sheet name="PQ Staging" sheetId="9" r:id="rId9"/>
    <sheet name="ReadMe" sheetId="10" r:id="rId10"/>
  </sheets>
  <definedNames>
    <definedName name="ExternalData_1" localSheetId="7" hidden="1">'Clean Leads'!$A$3:$AF$3024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D10" i="2" s="1"/>
  <c r="C9" i="2"/>
  <c r="D9" i="2" s="1"/>
  <c r="C8" i="2"/>
  <c r="D8" i="2" s="1"/>
  <c r="C6" i="2"/>
  <c r="D6" i="2" s="1"/>
  <c r="C5" i="2"/>
  <c r="D5" i="2" s="1"/>
  <c r="C4" i="2"/>
  <c r="D4" i="2" s="1"/>
  <c r="B12" i="5"/>
  <c r="B11" i="5"/>
  <c r="B8" i="5"/>
  <c r="B6" i="5"/>
  <c r="B5" i="5"/>
  <c r="D7" i="2"/>
  <c r="B8" i="1"/>
  <c r="E16" i="5" l="1"/>
  <c r="E18" i="5"/>
  <c r="B7" i="5"/>
  <c r="B7" i="1" s="1"/>
  <c r="E17" i="5"/>
  <c r="B6" i="1"/>
  <c r="B9" i="5"/>
  <c r="B11" i="1"/>
  <c r="B5" i="1"/>
  <c r="F16" i="5" l="1"/>
  <c r="G16" i="5"/>
  <c r="F18" i="5"/>
  <c r="G18" i="5"/>
  <c r="G17" i="5"/>
  <c r="F17" i="5"/>
  <c r="B9" i="1"/>
  <c r="B10" i="5"/>
  <c r="B10" i="1" s="1"/>
  <c r="G5" i="1"/>
  <c r="G6" i="1"/>
  <c r="G7" i="1"/>
  <c r="G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BD8CB2-0F8A-4E7E-84F7-9E678B4DA2B7}" name="Query - LeadQualityCleaning" description="Connection to the 'LeadQualityCleaning' query in the workbook." type="5" refreshedVersion="8" saveData="1">
    <dbPr connection="Provider=Microsoft.Mashup.OleDb.1;Data Source=$Workbook$;Location=LeadQualityCleaning" command="SELECT * FROM [LeadQualityCleaning]"/>
  </connection>
</connections>
</file>

<file path=xl/sharedStrings.xml><?xml version="1.0" encoding="utf-8"?>
<sst xmlns="http://schemas.openxmlformats.org/spreadsheetml/2006/main" count="89156" uniqueCount="4227">
  <si>
    <t>Metric</t>
  </si>
  <si>
    <t>Result</t>
  </si>
  <si>
    <t>Context</t>
  </si>
  <si>
    <t>Outcome bucket</t>
  </si>
  <si>
    <t>Leads</t>
  </si>
  <si>
    <t>Share</t>
  </si>
  <si>
    <t>Definition</t>
  </si>
  <si>
    <t>Total leads</t>
  </si>
  <si>
    <t>2009-04-02 to 2009-09-30</t>
  </si>
  <si>
    <t>Closed</t>
  </si>
  <si>
    <t>Customer</t>
  </si>
  <si>
    <t>Closed leads</t>
  </si>
  <si>
    <t>Primary success outcome</t>
  </si>
  <si>
    <t>Good progression</t>
  </si>
  <si>
    <t>EP Sent/Received/Confirmed</t>
  </si>
  <si>
    <t>Baseline close rate</t>
  </si>
  <si>
    <t>Unknown stays in denominator</t>
  </si>
  <si>
    <t>Bad quality</t>
  </si>
  <si>
    <t>Unable to contact/invalid/does not qualify</t>
  </si>
  <si>
    <t>Target close rate</t>
  </si>
  <si>
    <t>Assignment threshold</t>
  </si>
  <si>
    <t>Unknown</t>
  </si>
  <si>
    <t>Blank or neutral status</t>
  </si>
  <si>
    <t>Closes needed</t>
  </si>
  <si>
    <t>Minimum whole-number target</t>
  </si>
  <si>
    <t>Additional closes</t>
  </si>
  <si>
    <t>Gap to threshold</t>
  </si>
  <si>
    <t>Revenue uplift at $33 CPL</t>
  </si>
  <si>
    <t>$30 to $33 is a 10% uplift</t>
  </si>
  <si>
    <t>Key findings</t>
  </si>
  <si>
    <t>Trend</t>
  </si>
  <si>
    <t>Close odds fell about 10.1% per 30 days (OR 0.899, 95% CI 0.829-0.974; p=0.009). Monthly heterogeneity p=0.0007.</t>
  </si>
  <si>
    <t>Segment</t>
  </si>
  <si>
    <t>Holding Tank - Debt closed at 14.50% (49/338) versus Student Debt at 1.11% (4/360). These are unadjusted associations.</t>
  </si>
  <si>
    <t>Opportunity</t>
  </si>
  <si>
    <t>The threshold requires 291 closes, 46 more than observed. The conservative ad-group mix test affects about 513 leads.</t>
  </si>
  <si>
    <t>Model</t>
  </si>
  <si>
    <t>The explanatory model has modest discrimination (temporal holdout AUC 0.609). Use it for hypothesis generation, not causal targeting.</t>
  </si>
  <si>
    <t>Recommended next steps</t>
  </si>
  <si>
    <t>1</t>
  </si>
  <si>
    <t>Run a staged traffic test that caps Student Debt and Credit Card Debt - high volume while expanding Holding Tank - Debt.</t>
  </si>
  <si>
    <t>2</t>
  </si>
  <si>
    <t>Monitor weekly close rate, lead mix, and score missingness; stop the test if the confidence interval or qualification mix deteriorates.</t>
  </si>
  <si>
    <t>Power Query cleaning and validation</t>
  </si>
  <si>
    <t>Check</t>
  </si>
  <si>
    <t>Source / expected</t>
  </si>
  <si>
    <t>Clean output</t>
  </si>
  <si>
    <t>What was done</t>
  </si>
  <si>
    <t>Lead rows</t>
  </si>
  <si>
    <t>Kept every source record.</t>
  </si>
  <si>
    <t>Direct identifier columns</t>
  </si>
  <si>
    <t>Removed names, email, IP, search query, and detailed URL fields.</t>
  </si>
  <si>
    <t>IP referral values</t>
  </si>
  <si>
    <t>Replaced both IP literals with the text IP literal redacted.</t>
  </si>
  <si>
    <t>Duplicate source ID rows</t>
  </si>
  <si>
    <t>Removed VendorLeadID and created a unique LeadKey.</t>
  </si>
  <si>
    <t>Missing LeadCreated values</t>
  </si>
  <si>
    <t>Converted LeadCreated to a valid Excel date.</t>
  </si>
  <si>
    <t>Rows with an outcome group</t>
  </si>
  <si>
    <t>Mapped every status to Closed, Good progression, Bad quality, or Unknown.</t>
  </si>
  <si>
    <t>Created the IsClosed flag from CallStatus.</t>
  </si>
  <si>
    <t>Sanitized columns</t>
  </si>
  <si>
    <t>Prepared</t>
  </si>
  <si>
    <t>Removed 8 sensitive fields and added analysis fields for dates, outcomes, scores, and widgets.</t>
  </si>
  <si>
    <t>Step</t>
  </si>
  <si>
    <t>Fields</t>
  </si>
  <si>
    <t>Cleaning performed</t>
  </si>
  <si>
    <t>Output fields</t>
  </si>
  <si>
    <t>Direct identifiers</t>
  </si>
  <si>
    <t>Dropped eight sensitive columns before creating analytical outputs.</t>
  </si>
  <si>
    <t>Sensitive fields excluded</t>
  </si>
  <si>
    <t>VendorLeadID</t>
  </si>
  <si>
    <t>Replaced the source identifier with a deterministic anonymous key.</t>
  </si>
  <si>
    <t>LeadKey</t>
  </si>
  <si>
    <t>Text fields</t>
  </si>
  <si>
    <t>Trimmed spaces and replaced blank text with Unknown.</t>
  </si>
  <si>
    <t>Standardized categories</t>
  </si>
  <si>
    <t>ReferralDomain</t>
  </si>
  <si>
    <t>Detected complete IP-address values and redacted two records.</t>
  </si>
  <si>
    <t>LeadCreated</t>
  </si>
  <si>
    <t>Converted to date and created daily, weekly, and monthly fields.</t>
  </si>
  <si>
    <t>LeadDate, WeekStart, MonthStart, DaysSinceStart</t>
  </si>
  <si>
    <t>CallStatus</t>
  </si>
  <si>
    <t>Grouped statuses and created simple 0/1 outcome flags.</t>
  </si>
  <si>
    <t>OutcomeBucket and outcome flags</t>
  </si>
  <si>
    <t>AddressScore and PhoneScore</t>
  </si>
  <si>
    <t>Converted scores to numbers and kept missingness visible.</t>
  </si>
  <si>
    <t>Score bands and missing flags</t>
  </si>
  <si>
    <t>WidgetName</t>
  </si>
  <si>
    <t>Corrected 300250 to 302252 and separated page and design details.</t>
  </si>
  <si>
    <t>WidgetNameNormalized, WidgetFormPages, WidgetDesign</t>
  </si>
  <si>
    <t>Partner</t>
  </si>
  <si>
    <t>Standardized capitalization for the known partner values.</t>
  </si>
  <si>
    <t>Lead quality trends</t>
  </si>
  <si>
    <t>Month</t>
  </si>
  <si>
    <t>Close rate</t>
  </si>
  <si>
    <t>Wilson low</t>
  </si>
  <si>
    <t>Wilson high</t>
  </si>
  <si>
    <t>Positive signal rate</t>
  </si>
  <si>
    <t>Target</t>
  </si>
  <si>
    <t>Test</t>
  </si>
  <si>
    <t>Estimate</t>
  </si>
  <si>
    <t>95% low</t>
  </si>
  <si>
    <t>95% high</t>
  </si>
  <si>
    <t>p-value</t>
  </si>
  <si>
    <t>Month label</t>
  </si>
  <si>
    <t>Logistic linear time trend</t>
  </si>
  <si>
    <t>Apr 2009</t>
  </si>
  <si>
    <t>Monthly rate heterogeneity</t>
  </si>
  <si>
    <t>May 2009</t>
  </si>
  <si>
    <t>First vs last month</t>
  </si>
  <si>
    <t>Jun 2009</t>
  </si>
  <si>
    <t>Jul 2009</t>
  </si>
  <si>
    <t>Aug 2009</t>
  </si>
  <si>
    <t>Sep 2009</t>
  </si>
  <si>
    <t>Week start</t>
  </si>
  <si>
    <t>Segment performance</t>
  </si>
  <si>
    <t>Ad group</t>
  </si>
  <si>
    <t>q-value</t>
  </si>
  <si>
    <t>Reliable n</t>
  </si>
  <si>
    <t>Holding Tank - Debt</t>
  </si>
  <si>
    <t>Yes</t>
  </si>
  <si>
    <t>Consolidate</t>
  </si>
  <si>
    <t>Debt</t>
  </si>
  <si>
    <t>General Debt</t>
  </si>
  <si>
    <t>Debt Consolidation</t>
  </si>
  <si>
    <t>How</t>
  </si>
  <si>
    <t>Lower Payments</t>
  </si>
  <si>
    <t>Credit Card Consolidation</t>
  </si>
  <si>
    <t>Credit Card Debt - high volume</t>
  </si>
  <si>
    <t>Student Debt</t>
  </si>
  <si>
    <t>Dimension</t>
  </si>
  <si>
    <t>Lift vs overall</t>
  </si>
  <si>
    <t>Address score band</t>
  </si>
  <si>
    <t>Missing</t>
  </si>
  <si>
    <t>High (5)</t>
  </si>
  <si>
    <t>Low (1-2)</t>
  </si>
  <si>
    <t>Medium (3-4)</t>
  </si>
  <si>
    <t>Advertiser campaign</t>
  </si>
  <si>
    <t>Debt Settlement1 Master</t>
  </si>
  <si>
    <t>creditsolutions-branded-shortform</t>
  </si>
  <si>
    <t>Debt level</t>
  </si>
  <si>
    <t>30001-50000</t>
  </si>
  <si>
    <t>20001-30000</t>
  </si>
  <si>
    <t>7500-10000</t>
  </si>
  <si>
    <t>15001-20000</t>
  </si>
  <si>
    <t>10001-15000</t>
  </si>
  <si>
    <t>7500-15000</t>
  </si>
  <si>
    <t>50001-70000</t>
  </si>
  <si>
    <t>More_than_100000</t>
  </si>
  <si>
    <t>70001-90000</t>
  </si>
  <si>
    <t>90000-100000</t>
  </si>
  <si>
    <t>Keyword</t>
  </si>
  <si>
    <t>Credit card payments</t>
  </si>
  <si>
    <t>Marketing campaign</t>
  </si>
  <si>
    <t>DebtReductionInc</t>
  </si>
  <si>
    <t>Debt Holding Tank</t>
  </si>
  <si>
    <t>Debt General</t>
  </si>
  <si>
    <t>Financial Services</t>
  </si>
  <si>
    <t>Debt Volume</t>
  </si>
  <si>
    <t>Credit</t>
  </si>
  <si>
    <t>state</t>
  </si>
  <si>
    <t>Google</t>
  </si>
  <si>
    <t>Yahoo</t>
  </si>
  <si>
    <t>Call center</t>
  </si>
  <si>
    <t>AdKnowledge</t>
  </si>
  <si>
    <t>Phone score band</t>
  </si>
  <si>
    <t>Publisher channel</t>
  </si>
  <si>
    <t>DebtReductionCallCenter</t>
  </si>
  <si>
    <t>Publisher zone</t>
  </si>
  <si>
    <t>TopLeft-302252</t>
  </si>
  <si>
    <t>Top Right-300x250</t>
  </si>
  <si>
    <t>Referral domain</t>
  </si>
  <si>
    <t>search.yahoo.com</t>
  </si>
  <si>
    <t>www.google.com</t>
  </si>
  <si>
    <t>googleads.g.doubleclick.net</t>
  </si>
  <si>
    <t>ezinearticles.com</t>
  </si>
  <si>
    <t>State</t>
  </si>
  <si>
    <t>CA</t>
  </si>
  <si>
    <t>TX</t>
  </si>
  <si>
    <t>NY</t>
  </si>
  <si>
    <t>FL</t>
  </si>
  <si>
    <t>IL</t>
  </si>
  <si>
    <t>VA</t>
  </si>
  <si>
    <t>MI</t>
  </si>
  <si>
    <t>CO</t>
  </si>
  <si>
    <t>MD</t>
  </si>
  <si>
    <t>AL</t>
  </si>
  <si>
    <t>AZ</t>
  </si>
  <si>
    <t>MO</t>
  </si>
  <si>
    <t>LA</t>
  </si>
  <si>
    <t>PA</t>
  </si>
  <si>
    <t>Widget</t>
  </si>
  <si>
    <t>w-302252-DebtReduction1-1DC-CreditSolutions</t>
  </si>
  <si>
    <t>w-302252-DebtReduction1-1DC</t>
  </si>
  <si>
    <t>w-302252-DebtReduction1-1DC-white</t>
  </si>
  <si>
    <t>w-302252-DebtReduction1-1DC-yellowarrow-blue</t>
  </si>
  <si>
    <t>w-302252-DebtReduction1-1DC-yellowarrow-dark</t>
  </si>
  <si>
    <t>w-302252-DebtReduction1-1DC-BlueMeter</t>
  </si>
  <si>
    <t>w-302252-DebtReduction1-1DC-Head2</t>
  </si>
  <si>
    <t>w-302252-DebtReduction1-2DC-BlueMeter</t>
  </si>
  <si>
    <t>w-302252-DebtReduction1-2DC-CreditSolutions</t>
  </si>
  <si>
    <t>w-302252-DebtReduction1-1DC-Head3</t>
  </si>
  <si>
    <t>Widget design</t>
  </si>
  <si>
    <t>CreditSolutions</t>
  </si>
  <si>
    <t>Base / unspecified</t>
  </si>
  <si>
    <t>white</t>
  </si>
  <si>
    <t>yellowarrow-blue</t>
  </si>
  <si>
    <t>BlueMeter</t>
  </si>
  <si>
    <t>yellowarrow-dark</t>
  </si>
  <si>
    <t>Head2</t>
  </si>
  <si>
    <t>Head3</t>
  </si>
  <si>
    <t>Widget pages</t>
  </si>
  <si>
    <t>1DC</t>
  </si>
  <si>
    <t>2DC</t>
  </si>
  <si>
    <t>Opportunity calculations</t>
  </si>
  <si>
    <t>Assumption</t>
  </si>
  <si>
    <t>Value</t>
  </si>
  <si>
    <t>All leads; Unknown remains in denominator.</t>
  </si>
  <si>
    <t>Current closes</t>
  </si>
  <si>
    <t>Closed outcomes.</t>
  </si>
  <si>
    <t>Current close rate</t>
  </si>
  <si>
    <t>Closed / all leads.</t>
  </si>
  <si>
    <t>Assignment threshold.</t>
  </si>
  <si>
    <t>Minimum target closes</t>
  </si>
  <si>
    <t>Ceiling(total leads x target rate).</t>
  </si>
  <si>
    <t>Incremental closes needed</t>
  </si>
  <si>
    <t>Minimum additional closes.</t>
  </si>
  <si>
    <t>Baseline CPL</t>
  </si>
  <si>
    <t>Assignment baseline.</t>
  </si>
  <si>
    <t>Stated offered CPL</t>
  </si>
  <si>
    <t>Explicit offer; equals a 10% uplift.</t>
  </si>
  <si>
    <t>Scenario</t>
  </si>
  <si>
    <t>Leads affected</t>
  </si>
  <si>
    <t>Destination rate</t>
  </si>
  <si>
    <t>Incremental closes</t>
  </si>
  <si>
    <t>Total closes</t>
  </si>
  <si>
    <t>Meets target</t>
  </si>
  <si>
    <t>Portfolio conversion target</t>
  </si>
  <si>
    <t>Improve conversion across the portfolio; operational mechanism must be tested.</t>
  </si>
  <si>
    <t>Observed ad-group mix test</t>
  </si>
  <si>
    <t>Shift 344 Student Debt leads to Holding Tank - Debt at observed rates. Association may not persist after reallocation.</t>
  </si>
  <si>
    <t>Conservative ad-group mix test</t>
  </si>
  <si>
    <t>Shift Student Debt (360 leads), then Credit Card Debt - high volume (153 leads) to Holding Tank - Debt using its 95% Wilson lower bound. Validate with a randomized or staged test.</t>
  </si>
  <si>
    <t>Benchmark segment</t>
  </si>
  <si>
    <t>Observed rate</t>
  </si>
  <si>
    <t>Planning rate</t>
  </si>
  <si>
    <t>Potential closes</t>
  </si>
  <si>
    <t>Interpretation</t>
  </si>
  <si>
    <t>Dimension totals overlap and must not be added together.</t>
  </si>
  <si>
    <t>Planning rates use the benchmark segment's 95% Wilson lower bound.</t>
  </si>
  <si>
    <t>Validate any reallocation through a staged or randomized traffic test.</t>
  </si>
  <si>
    <t>The stated $30 to $33 offer is a 10% increase; $36 is the literal 20% sensitivity.</t>
  </si>
  <si>
    <t>Explanatory model and stability checks</t>
  </si>
  <si>
    <t>Notes</t>
  </si>
  <si>
    <t>Model scope</t>
  </si>
  <si>
    <t>Observations</t>
  </si>
  <si>
    <t>All sanitized leads.</t>
  </si>
  <si>
    <t>Outcome</t>
  </si>
  <si>
    <t>Closed vs all other outcomes</t>
  </si>
  <si>
    <t>Events</t>
  </si>
  <si>
    <t>Closed leads.</t>
  </si>
  <si>
    <t>Controls</t>
  </si>
  <si>
    <t>Time, address/phone scores and missingness, widget pages/design, publisher channel, debt level</t>
  </si>
  <si>
    <t>Parameters</t>
  </si>
  <si>
    <t>Includes intercept and encoded categories.</t>
  </si>
  <si>
    <t>Excluded redundancy</t>
  </si>
  <si>
    <t>Publisher zone, advertiser campaign, and Partner proxies were excluded from the same equation to avoid exact collinearity.</t>
  </si>
  <si>
    <t>Design matrix rank</t>
  </si>
  <si>
    <t>Should equal parameter count.</t>
  </si>
  <si>
    <t>Causal limit</t>
  </si>
  <si>
    <t>Adjusted odds ratios describe association among observed fields. They do not identify intervention effects.</t>
  </si>
  <si>
    <t>Events per parameter</t>
  </si>
  <si>
    <t>Model complexity check.</t>
  </si>
  <si>
    <t>Reference levels</t>
  </si>
  <si>
    <t>Terms are relative to the model's omitted categorical level; review the full exported coefficient table for exact coding.</t>
  </si>
  <si>
    <t>In-sample AUC</t>
  </si>
  <si>
    <t>Discrimination, not causal evidence.</t>
  </si>
  <si>
    <t>Missingness</t>
  </si>
  <si>
    <t>Score missingness is time-dependent and is modeled explicitly.</t>
  </si>
  <si>
    <t>In-sample Brier score</t>
  </si>
  <si>
    <t>Lower is better.</t>
  </si>
  <si>
    <t>Validation</t>
  </si>
  <si>
    <t>Temporal holdout performance is modest, so use the model to prioritize tests rather than score individual leads.</t>
  </si>
  <si>
    <t>Temporal holdout observations</t>
  </si>
  <si>
    <t>After 2009-08-13.</t>
  </si>
  <si>
    <t>Temporal holdout events</t>
  </si>
  <si>
    <t>Closed leads in holdout.</t>
  </si>
  <si>
    <t>Temporal holdout AUC</t>
  </si>
  <si>
    <t>Fit on first 80% by time.</t>
  </si>
  <si>
    <t>Temporal holdout Brier score</t>
  </si>
  <si>
    <t>Successful bootstrap fits</t>
  </si>
  <si>
    <t>Out of 100 resamples.</t>
  </si>
  <si>
    <t>Converged</t>
  </si>
  <si>
    <t>Statsmodels GLM convergence flag.</t>
  </si>
  <si>
    <t>Term</t>
  </si>
  <si>
    <t>Odds ratio</t>
  </si>
  <si>
    <t>Bootstrap sign consistency</t>
  </si>
  <si>
    <t>C(DebtLevel)[T.7500-10000]</t>
  </si>
  <si>
    <t>Stable adjusted association</t>
  </si>
  <si>
    <t>C(DebtLevel)[T.More_than_100000]</t>
  </si>
  <si>
    <t>C(DebtLevel)[T.7500-15000]</t>
  </si>
  <si>
    <t>C(DebtLevel)[T.30001-50000]</t>
  </si>
  <si>
    <t>Exploratory / unstable</t>
  </si>
  <si>
    <t>PhoneScoreFilled</t>
  </si>
  <si>
    <t>C(DebtLevel)[T.15001-20000]</t>
  </si>
  <si>
    <t>C(DebtLevel)[T.20001-30000]</t>
  </si>
  <si>
    <t>C(DebtLevel)[T.50001-70000]</t>
  </si>
  <si>
    <t>Time30Days</t>
  </si>
  <si>
    <t>C(WidgetFormPages)[T.2DC]</t>
  </si>
  <si>
    <t>C(WidgetDesign)[T.Head3]</t>
  </si>
  <si>
    <t>C(PublisherCampaignName)[T.DebtReductionInc]</t>
  </si>
  <si>
    <t>AddressScoreFilled</t>
  </si>
  <si>
    <t>C(WidgetDesign)[T.BlueMeter]</t>
  </si>
  <si>
    <t>C(DebtLevel)[T.90000-100000]</t>
  </si>
  <si>
    <t>C(WidgetDesign)[T.Head2]</t>
  </si>
  <si>
    <t>C(WidgetDesign)[T.CreditSolutions]</t>
  </si>
  <si>
    <t>C(WidgetDesign)[T.Other / rare]</t>
  </si>
  <si>
    <t>C(WidgetDesign)[T.white]</t>
  </si>
  <si>
    <t>C(WidgetDesign)[T.yellowarrow-blue]</t>
  </si>
  <si>
    <t>C(WidgetDesign)[T.yellowarrow-dark]</t>
  </si>
  <si>
    <t>AddressScoreMissing</t>
  </si>
  <si>
    <t>PhoneScoreMissing</t>
  </si>
  <si>
    <t>C(DebtLevel)[T.70001-90000]</t>
  </si>
  <si>
    <t>Reconciliation and privacy checks</t>
  </si>
  <si>
    <t>Actual</t>
  </si>
  <si>
    <t>Expected</t>
  </si>
  <si>
    <t>Passed</t>
  </si>
  <si>
    <t>Total lead count</t>
  </si>
  <si>
    <t>Closed lead count</t>
  </si>
  <si>
    <t>Status buckets reconcile</t>
  </si>
  <si>
    <t>Outcome buckets sum to total</t>
  </si>
  <si>
    <t>LeadKey uniqueness</t>
  </si>
  <si>
    <t>Source vendor IDs: 8 missing; 1 duplicated nonblank value.</t>
  </si>
  <si>
    <t>PII columns absent downstream</t>
  </si>
  <si>
    <t>Names, emails, IP, search query, and detailed URL fields removed.</t>
  </si>
  <si>
    <t>Sensitive values absent downstream</t>
  </si>
  <si>
    <t>Value-level scan passed after redacting 2 IP-literal referral domains.</t>
  </si>
  <si>
    <t>VendorLeadID absent downstream</t>
  </si>
  <si>
    <t>Target closes arithmetic</t>
  </si>
  <si>
    <t>Incremental closes arithmetic</t>
  </si>
  <si>
    <t>Minimum achieved rate meets target</t>
  </si>
  <si>
    <t>All target scenarios meet threshold</t>
  </si>
  <si>
    <t>Widget sizes normalized</t>
  </si>
  <si>
    <t>Source schema includes expected PII</t>
  </si>
  <si>
    <t>Required controls</t>
  </si>
  <si>
    <t>Status denominator</t>
  </si>
  <si>
    <t>Unknown and blank CallStatus rows remain in all-lead denominators.</t>
  </si>
  <si>
    <t>Privacy</t>
  </si>
  <si>
    <t>Names, emails, IP, VendorLeadID, search query, and detailed URL fields are absent downstream.</t>
  </si>
  <si>
    <t>Source integrity</t>
  </si>
  <si>
    <t>The original .xls is preserved unchanged under data/source/.</t>
  </si>
  <si>
    <t>LeadDate</t>
  </si>
  <si>
    <t>WeekStart</t>
  </si>
  <si>
    <t>MonthStart</t>
  </si>
  <si>
    <t>DaysSinceStart</t>
  </si>
  <si>
    <t>OutcomeBucket</t>
  </si>
  <si>
    <t>IsClosed</t>
  </si>
  <si>
    <t>IsGoodProgression</t>
  </si>
  <si>
    <t>IsBadQuality</t>
  </si>
  <si>
    <t>IsUnknown</t>
  </si>
  <si>
    <t>IsPositiveSignal</t>
  </si>
  <si>
    <t>WidgetNameNormalized</t>
  </si>
  <si>
    <t>WidgetFormPages</t>
  </si>
  <si>
    <t>WidgetDesign</t>
  </si>
  <si>
    <t>PublisherZoneName</t>
  </si>
  <si>
    <t>PublisherCampaignName</t>
  </si>
  <si>
    <t>AddressScore</t>
  </si>
  <si>
    <t>AddressScoreBand</t>
  </si>
  <si>
    <t>PhoneScore</t>
  </si>
  <si>
    <t>PhoneScoreBand</t>
  </si>
  <si>
    <t>AdvertiserCampaignName</t>
  </si>
  <si>
    <t>DebtLevel</t>
  </si>
  <si>
    <t>MarketingCampaign</t>
  </si>
  <si>
    <t>AdGroup</t>
  </si>
  <si>
    <t>LQ-D0054C82A74FA8B8</t>
  </si>
  <si>
    <t>HI</t>
  </si>
  <si>
    <t>Debt specialists</t>
  </si>
  <si>
    <t>LQ-27965EA801BA046F</t>
  </si>
  <si>
    <t>LQ-38BE97E34DFD8509</t>
  </si>
  <si>
    <t>Unable to contact - Bad Contact Information</t>
  </si>
  <si>
    <t>us.mc582.mail.yahoo.com</t>
  </si>
  <si>
    <t>LQ-FF0557178162A589</t>
  </si>
  <si>
    <t>Contacted - Doesn't Qualify</t>
  </si>
  <si>
    <t>WA</t>
  </si>
  <si>
    <t>norwich.kijiji.com</t>
  </si>
  <si>
    <t>LQ-0F1EB50543FFF1B9</t>
  </si>
  <si>
    <t>Debt Reduction</t>
  </si>
  <si>
    <t>LQ-7264D0BE150739B2</t>
  </si>
  <si>
    <t>LQ-DDC8A88AB95B9603</t>
  </si>
  <si>
    <t>LQ-9A6852DEC3381AFC</t>
  </si>
  <si>
    <t>IA</t>
  </si>
  <si>
    <t>Debt Credit Services</t>
  </si>
  <si>
    <t>Credit services</t>
  </si>
  <si>
    <t>LQ-742F04170337A31C</t>
  </si>
  <si>
    <t>dir.yahoo.com</t>
  </si>
  <si>
    <t>LQ-1C6E4B5F99D1DD71</t>
  </si>
  <si>
    <t>www.docstoc.com</t>
  </si>
  <si>
    <t>Debt Volume_MI</t>
  </si>
  <si>
    <t>Settlement</t>
  </si>
  <si>
    <t>Debt settlement</t>
  </si>
  <si>
    <t>LQ-A341D8692CD03D91</t>
  </si>
  <si>
    <t>LQ-D322F0EE3EE5476A</t>
  </si>
  <si>
    <t>LQ-E477F03E3D0A0344</t>
  </si>
  <si>
    <t>Debt Settlement Companies</t>
  </si>
  <si>
    <t>LQ-3429F31F72D06F42</t>
  </si>
  <si>
    <t>Get Out Of Debt</t>
  </si>
  <si>
    <t>LQ-1AE81972345C497C</t>
  </si>
  <si>
    <t>LQ-254A87EF05F80505</t>
  </si>
  <si>
    <t>NV</t>
  </si>
  <si>
    <t>LQ-39F9A3A43DA564A4</t>
  </si>
  <si>
    <t>LQ-908B338CCAE7AF07</t>
  </si>
  <si>
    <t>LQ-363836230D3B7F05</t>
  </si>
  <si>
    <t>MT</t>
  </si>
  <si>
    <t>LQ-950B64DAAE4D6A70</t>
  </si>
  <si>
    <t>www.findstuff.com</t>
  </si>
  <si>
    <t>Consolidation Debt Loan</t>
  </si>
  <si>
    <t>LQ-DF5088B1D90CE898</t>
  </si>
  <si>
    <t>us.mc631.mail.yahoo.com</t>
  </si>
  <si>
    <t>LQ-0087EB6E27F1B279</t>
  </si>
  <si>
    <t>Bankruptcy And Chapter 7</t>
  </si>
  <si>
    <t>LQ-D893CF50558388F2</t>
  </si>
  <si>
    <t>LQ-04C528C5A59D2414</t>
  </si>
  <si>
    <t>Defaulted student loans</t>
  </si>
  <si>
    <t>LQ-6D4816146BE1C143</t>
  </si>
  <si>
    <t>American debt</t>
  </si>
  <si>
    <t>LQ-857242788DF98B0B</t>
  </si>
  <si>
    <t>Debt stoppers</t>
  </si>
  <si>
    <t>LQ-26EBF0D848A9D139</t>
  </si>
  <si>
    <t>pagead2.googlesyndication.com</t>
  </si>
  <si>
    <t>LQ-E478C6B346995DD3</t>
  </si>
  <si>
    <t>businessmajors.about.com</t>
  </si>
  <si>
    <t>LQ-737AB5FF9653E346</t>
  </si>
  <si>
    <t>MA</t>
  </si>
  <si>
    <t>Loan Default</t>
  </si>
  <si>
    <t>Loan default help</t>
  </si>
  <si>
    <t>LQ-29D1799F1878B804</t>
  </si>
  <si>
    <t>Student loan default</t>
  </si>
  <si>
    <t>LQ-BE8BCD9469755BA4</t>
  </si>
  <si>
    <t>Stop Collections</t>
  </si>
  <si>
    <t>LQ-4A9F78894EECDCCC</t>
  </si>
  <si>
    <t>www.bediddle.com</t>
  </si>
  <si>
    <t>LQ-39B371B8EEA27E1B</t>
  </si>
  <si>
    <t>LQ-BD07C4CF8B0E3BF4</t>
  </si>
  <si>
    <t>intellimatch.org</t>
  </si>
  <si>
    <t>LQ-990E78AF9279307A</t>
  </si>
  <si>
    <t>LQ-CA5027A88C4555CB</t>
  </si>
  <si>
    <t>IN</t>
  </si>
  <si>
    <t>www.usatoday.com</t>
  </si>
  <si>
    <t>Loans in default</t>
  </si>
  <si>
    <t>LQ-1B340E326AB0F098</t>
  </si>
  <si>
    <t>LQ-843FB6FDF8B0A1EA</t>
  </si>
  <si>
    <t>us.mc558.mail.yahoo.com</t>
  </si>
  <si>
    <t>LQ-26B2989334546D80</t>
  </si>
  <si>
    <t>Credit Card Debt</t>
  </si>
  <si>
    <t>Credit card debt help</t>
  </si>
  <si>
    <t>LQ-7AED7544F6ADA5A8</t>
  </si>
  <si>
    <t>Debt Advice</t>
  </si>
  <si>
    <t>LQ-41A954DDC9382B58</t>
  </si>
  <si>
    <t>www.ehow.com</t>
  </si>
  <si>
    <t>LQ-A8AA13EA4CA23762</t>
  </si>
  <si>
    <t>www.thecenter4debtmanagement.com</t>
  </si>
  <si>
    <t>Debt busters</t>
  </si>
  <si>
    <t>LQ-8AD743C53DDB06D4</t>
  </si>
  <si>
    <t>www.lawyer.com</t>
  </si>
  <si>
    <t>Filing Bankrupcy</t>
  </si>
  <si>
    <t>LQ-9F34298EF556C947</t>
  </si>
  <si>
    <t>Debt Consolidation - high volume</t>
  </si>
  <si>
    <t>LQ-5F39C3871C8583E6</t>
  </si>
  <si>
    <t>LQ-C3C4226C4484C96E</t>
  </si>
  <si>
    <t>Debts</t>
  </si>
  <si>
    <t>LQ-CA1FC40D840B8CA1</t>
  </si>
  <si>
    <t>Debt law</t>
  </si>
  <si>
    <t>LQ-064DD91B658D7393</t>
  </si>
  <si>
    <t>LQ-13473A8736DB0007</t>
  </si>
  <si>
    <t>LQ-B0EA3D3D80097B0E</t>
  </si>
  <si>
    <t>LQ-EF19B6542EF052AD</t>
  </si>
  <si>
    <t>www.allexperts.com</t>
  </si>
  <si>
    <t>LQ-07A47F011D71C9A3</t>
  </si>
  <si>
    <t>NM</t>
  </si>
  <si>
    <t>LQ-BE764CCFFC0442B1</t>
  </si>
  <si>
    <t>LQ-6D315680B34D20FA</t>
  </si>
  <si>
    <t>guide-1.net</t>
  </si>
  <si>
    <t>LQ-694BF597A05BDC26</t>
  </si>
  <si>
    <t>Credit Card Reduction</t>
  </si>
  <si>
    <t>LQ-E143F5075DEB5493</t>
  </si>
  <si>
    <t>EP Received</t>
  </si>
  <si>
    <t>LQ-13250C4216BFC97D</t>
  </si>
  <si>
    <t>Firstamericandebtrelief</t>
  </si>
  <si>
    <t>LQ-AC2E20D3CF75D8D2</t>
  </si>
  <si>
    <t>LQ-577F179119BB0E71</t>
  </si>
  <si>
    <t>LQ-9EDC30527E026DEF</t>
  </si>
  <si>
    <t>Rescue debt</t>
  </si>
  <si>
    <t>LQ-07109033A327051C</t>
  </si>
  <si>
    <t>LQ-9F3FDC94A7475E4C</t>
  </si>
  <si>
    <t>LQ-AEFABD1CBAB13266</t>
  </si>
  <si>
    <t>EP Confirmed</t>
  </si>
  <si>
    <t>LQ-F838C11DAE73006A</t>
  </si>
  <si>
    <t>search.mywebsearch.com</t>
  </si>
  <si>
    <t>LQ-8CF80FF886DB4397</t>
  </si>
  <si>
    <t>wwwwz.websearch.verizon.net</t>
  </si>
  <si>
    <t>Debt Program</t>
  </si>
  <si>
    <t>LQ-4BB054ADD10D696F</t>
  </si>
  <si>
    <t>us.mc632.mail.yahoo.com</t>
  </si>
  <si>
    <t>LQ-B6BFE4B69833731B</t>
  </si>
  <si>
    <t>LQ-E0392CB0EFFF2F66</t>
  </si>
  <si>
    <t>search.earthlink.net</t>
  </si>
  <si>
    <t>LQ-D64166B85ABF19DA</t>
  </si>
  <si>
    <t>LQ-A835262BE0BA4C5D</t>
  </si>
  <si>
    <t>AR</t>
  </si>
  <si>
    <t>Student Debt - high volume</t>
  </si>
  <si>
    <t>LQ-9380FFE4F9A58ABF</t>
  </si>
  <si>
    <t>LQ-426303A19F833ABC</t>
  </si>
  <si>
    <t>LQ-099471DAECEB8C54</t>
  </si>
  <si>
    <t>LQ-2A228856BA838215</t>
  </si>
  <si>
    <t>LQ-B1866F8699948ECE</t>
  </si>
  <si>
    <t>LQ-43EB69FD998358C7</t>
  </si>
  <si>
    <t>Debt Volume_TX</t>
  </si>
  <si>
    <t>Online Settle</t>
  </si>
  <si>
    <t>Internet debt settlement</t>
  </si>
  <si>
    <t>LQ-A3E2A7F0F71D806F</t>
  </si>
  <si>
    <t>LQ-3775BF27695B8576</t>
  </si>
  <si>
    <t>www.wisegeek.com</t>
  </si>
  <si>
    <t>LQ-76BC73DEAB8A3614</t>
  </si>
  <si>
    <t>LQ-A8D5F9E215D3671A</t>
  </si>
  <si>
    <t>Contacted - Invalid Profile</t>
  </si>
  <si>
    <t>Credit Card Debt Consolidation Loan</t>
  </si>
  <si>
    <t>LQ-BBEA4704955A0B18</t>
  </si>
  <si>
    <t>OR</t>
  </si>
  <si>
    <t>LQ-D55C315C301AF839</t>
  </si>
  <si>
    <t>LQ-866CE7AA5D06BE4B</t>
  </si>
  <si>
    <t>www.doityourself.com</t>
  </si>
  <si>
    <t>LQ-766F6AF49C20348B</t>
  </si>
  <si>
    <t>LQ-14762412DAF83DF7</t>
  </si>
  <si>
    <t>WV</t>
  </si>
  <si>
    <t>LQ-73BAF01E655DA2BD</t>
  </si>
  <si>
    <t>LQ-9CE4136654D37116</t>
  </si>
  <si>
    <t>DC</t>
  </si>
  <si>
    <t>LQ-BD4F54B9D2F29F70</t>
  </si>
  <si>
    <t>LQ-C2C95EB00B636ABA</t>
  </si>
  <si>
    <t>Debt Volume_CA</t>
  </si>
  <si>
    <t>LQ-37312CA52A289395</t>
  </si>
  <si>
    <t>LQ-AC2D67518762ACEA</t>
  </si>
  <si>
    <t>LQ-0902E39D061B0649</t>
  </si>
  <si>
    <t>w-302252-DebtReduction1-1DC-yellowarrow</t>
  </si>
  <si>
    <t>yellowarrow</t>
  </si>
  <si>
    <t>www.debtsolution.com</t>
  </si>
  <si>
    <t>LQ-FFC13EDC2771D0E0</t>
  </si>
  <si>
    <t>us.mc518.mail.yahoo.com</t>
  </si>
  <si>
    <t>LQ-F21EFF04A04EF82C</t>
  </si>
  <si>
    <t>www.ask.com</t>
  </si>
  <si>
    <t>How to fix credit</t>
  </si>
  <si>
    <t>LQ-B902242A4CD1FBCB</t>
  </si>
  <si>
    <t>LQ-2F4535051414975C</t>
  </si>
  <si>
    <t>wwwwp.find-assist.com</t>
  </si>
  <si>
    <t>LQ-68CFAE5B62E17646</t>
  </si>
  <si>
    <t>LQ-BB7D6C89E11160B3</t>
  </si>
  <si>
    <t>Abc debt relief</t>
  </si>
  <si>
    <t>LQ-FB515EEA1BB16880</t>
  </si>
  <si>
    <t>LQ-E7441A1551ACA77C</t>
  </si>
  <si>
    <t>LQ-349FB8BCBBA40C8D</t>
  </si>
  <si>
    <t>Credit collectors</t>
  </si>
  <si>
    <t>LQ-0F6D4DA93588BF5B</t>
  </si>
  <si>
    <t>LQ-C7530EB5DCA46DB1</t>
  </si>
  <si>
    <t>LQ-78A2499D203493E5</t>
  </si>
  <si>
    <t>Debt negotiation reviews</t>
  </si>
  <si>
    <t>LQ-CEE3834DDD8BE2A5</t>
  </si>
  <si>
    <t>www.soyouwanna.com</t>
  </si>
  <si>
    <t>LQ-E6655E76BB6AFBAB</t>
  </si>
  <si>
    <t>LQ-9BFBDB1247C700AC</t>
  </si>
  <si>
    <t>EP Sent</t>
  </si>
  <si>
    <t>Debt Negotiation</t>
  </si>
  <si>
    <t>LQ-AFD6D90BABB5670C</t>
  </si>
  <si>
    <t>pubads.g.doubleclick.net</t>
  </si>
  <si>
    <t>LQ-EFA9EBC4B7F0B227</t>
  </si>
  <si>
    <t>LQ-7CCE5C31CD19C3F9</t>
  </si>
  <si>
    <t>CT</t>
  </si>
  <si>
    <t>LQ-D6DFBDA40981AF7A</t>
  </si>
  <si>
    <t>searchportal.information.com</t>
  </si>
  <si>
    <t>LQ-DBEA2ECC7C1C390F</t>
  </si>
  <si>
    <t>LQ-C7E963AC6B731942</t>
  </si>
  <si>
    <t>www.sedoparking.com</t>
  </si>
  <si>
    <t>LQ-FDD9B31DD0E0FA32</t>
  </si>
  <si>
    <t>us.mc635.mail.yahoo.com</t>
  </si>
  <si>
    <t>LQ-FFCFEB65A84CC0CE</t>
  </si>
  <si>
    <t>bankruptcy.com</t>
  </si>
  <si>
    <t>Chapter 13</t>
  </si>
  <si>
    <t>LQ-88B81895367A6093</t>
  </si>
  <si>
    <t>LQ-641431689B1C0F20</t>
  </si>
  <si>
    <t>www.bing.com</t>
  </si>
  <si>
    <t>LQ-1304066EA65CB22C</t>
  </si>
  <si>
    <t>SD</t>
  </si>
  <si>
    <t>LQ-A26853A2606D8B2F</t>
  </si>
  <si>
    <t>LQ-3E869BDFFF9B73AC</t>
  </si>
  <si>
    <t>LQ-F760A037826E1D2A</t>
  </si>
  <si>
    <t>LQ-D4E18B323CC50EFC</t>
  </si>
  <si>
    <t>LQ-F37BA24EF14C240C</t>
  </si>
  <si>
    <t>www.debtreductioninc.com</t>
  </si>
  <si>
    <t>LQ-DF5EBCCCC108F8B4</t>
  </si>
  <si>
    <t>LQ-C2BFCA7D6A80BC65</t>
  </si>
  <si>
    <t>LQ-78B47AAEA9AA94ED</t>
  </si>
  <si>
    <t>debt</t>
  </si>
  <si>
    <t>LQ-E12E383086CCA810</t>
  </si>
  <si>
    <t>OK</t>
  </si>
  <si>
    <t>LQ-5AECC9428DD69408</t>
  </si>
  <si>
    <t>LQ-6E11B8D514466D61</t>
  </si>
  <si>
    <t>LQ-C02B58DAA6A57327</t>
  </si>
  <si>
    <t>LQ-7BA7C93F1088A6F0</t>
  </si>
  <si>
    <t>LQ-8D901BB35ACE02D0</t>
  </si>
  <si>
    <t>Debt loan</t>
  </si>
  <si>
    <t>LQ-FB5EA5D36CCA6E98</t>
  </si>
  <si>
    <t>Best debt reduction</t>
  </si>
  <si>
    <t>LQ-BD23B8BE5622B1A8</t>
  </si>
  <si>
    <t>LQ-42D312DEB5CEC3B4</t>
  </si>
  <si>
    <t>us.mc01g.mail.yahoo.com</t>
  </si>
  <si>
    <t>LQ-56258368B35AA600</t>
  </si>
  <si>
    <t>About Bill Consolidation</t>
  </si>
  <si>
    <t>LQ-0CA0A7203B777F6A</t>
  </si>
  <si>
    <t>LQ-50C6D1881C4C284E</t>
  </si>
  <si>
    <t>search.aol.com</t>
  </si>
  <si>
    <t>Debtrescueusa</t>
  </si>
  <si>
    <t>LQ-298A4966B33B406A</t>
  </si>
  <si>
    <t>collegesavings.about.com</t>
  </si>
  <si>
    <t>LQ-A92A0B323B9BBC65</t>
  </si>
  <si>
    <t>LQ-EBF5395577FECCD1</t>
  </si>
  <si>
    <t>LQ-DE3CCD5941E916C1</t>
  </si>
  <si>
    <t>Debts cure</t>
  </si>
  <si>
    <t>LQ-E050FBBDCBF72813</t>
  </si>
  <si>
    <t>Consolidation</t>
  </si>
  <si>
    <t>Consolidation loans</t>
  </si>
  <si>
    <t>LQ-CE5B5F68AB863A8D</t>
  </si>
  <si>
    <t>Legally erase your debt as seen on msnbc</t>
  </si>
  <si>
    <t>LQ-D1BB9E35FB1910E5</t>
  </si>
  <si>
    <t>LQ-8FDAC8CEB6AAA21B</t>
  </si>
  <si>
    <t>LQ-5646F49342C31BE3</t>
  </si>
  <si>
    <t>LQ-896E3DE7320C2C6F</t>
  </si>
  <si>
    <t>Debt negotiation lawyer</t>
  </si>
  <si>
    <t>LQ-6EDE3148A6BE8E6C</t>
  </si>
  <si>
    <t>Bankruptcy And Chapter 13</t>
  </si>
  <si>
    <t>LQ-C7A84A698F72154E</t>
  </si>
  <si>
    <t>LQ-DBB3FFB9106E8A11</t>
  </si>
  <si>
    <t>Credit debt negotiation</t>
  </si>
  <si>
    <t>LQ-9898D61EF01CCD74</t>
  </si>
  <si>
    <t>search6.info.com</t>
  </si>
  <si>
    <t>LQ-8D03C1EC65630B73</t>
  </si>
  <si>
    <t>LQ-01C9E6FDECA83F6B</t>
  </si>
  <si>
    <t>Debt Loan</t>
  </si>
  <si>
    <t>Debt reduction loan</t>
  </si>
  <si>
    <t>LQ-C5D69E33CAD66DB5</t>
  </si>
  <si>
    <t>National debt initiative</t>
  </si>
  <si>
    <t>LQ-925CD633FD41493A</t>
  </si>
  <si>
    <t>LQ-6D0DE7CD4DEA0DA8</t>
  </si>
  <si>
    <t>LQ-AAF517A053506A20</t>
  </si>
  <si>
    <t>LQ-4C16CDE717D1FB23</t>
  </si>
  <si>
    <t>aim.search.aol.com</t>
  </si>
  <si>
    <t>LQ-FF04CF274C6BA032</t>
  </si>
  <si>
    <t>LQ-DF88452AA3EFC2F0</t>
  </si>
  <si>
    <t>LQ-C96140112E5AECCD</t>
  </si>
  <si>
    <t>LQ-7FD5FDF55EADF204</t>
  </si>
  <si>
    <t>search.hp.my.aol.com</t>
  </si>
  <si>
    <t>Fair debt</t>
  </si>
  <si>
    <t>LQ-A787B381CBE257B4</t>
  </si>
  <si>
    <t>Personal grants to pay off debts</t>
  </si>
  <si>
    <t>LQ-C9B494778F1CD8F4</t>
  </si>
  <si>
    <t>LQ-1821DDEF5EC9D0EC</t>
  </si>
  <si>
    <t>How to fix your credit</t>
  </si>
  <si>
    <t>LQ-53A855ECB6ACB0F2</t>
  </si>
  <si>
    <t>Credit card reducing</t>
  </si>
  <si>
    <t>LQ-2134981552AB6E90</t>
  </si>
  <si>
    <t>LQ-54A027DD6170D1E7</t>
  </si>
  <si>
    <t>Debt Consolidation Loan</t>
  </si>
  <si>
    <t>Debt consolidation loan rate</t>
  </si>
  <si>
    <t>LQ-F0F116DBD9685457</t>
  </si>
  <si>
    <t>LQ-D3C54154CBE308BC</t>
  </si>
  <si>
    <t>us.mc464.mail.yahoo.com</t>
  </si>
  <si>
    <t>LQ-697A6A8DDE50D07B</t>
  </si>
  <si>
    <t>American ex debt</t>
  </si>
  <si>
    <t>LQ-5BE4821B2C97553C</t>
  </si>
  <si>
    <t>LQ-CD99CA0FE5CBBAC3</t>
  </si>
  <si>
    <t>LQ-9A29EA6D8D9062D9</t>
  </si>
  <si>
    <t>LQ-B9293549BCA8C87C</t>
  </si>
  <si>
    <t>LQ-9C4896B349126521</t>
  </si>
  <si>
    <t>LQ-9D2840E36BEB6733</t>
  </si>
  <si>
    <t>LQ-D389835E5FC204DD</t>
  </si>
  <si>
    <t>www.mediacomtoday.com</t>
  </si>
  <si>
    <t>How do i lower credit cards</t>
  </si>
  <si>
    <t>LQ-B74BB1BED37DA6FB</t>
  </si>
  <si>
    <t>mm.chitika.net</t>
  </si>
  <si>
    <t>LQ-2862E4EB447F48F0</t>
  </si>
  <si>
    <t>payoffstudentloansdebt.com</t>
  </si>
  <si>
    <t>LQ-AD84DF08AEC77897</t>
  </si>
  <si>
    <t>LQ-2776DB130B626122</t>
  </si>
  <si>
    <t>Chapter 7 Bankruptcy</t>
  </si>
  <si>
    <t>LQ-F55F16A22F5BDD82</t>
  </si>
  <si>
    <t>Superior debt relief reviews</t>
  </si>
  <si>
    <t>LQ-A494F53BCF3FC9D8</t>
  </si>
  <si>
    <t>LQ-E59C94347971FC7A</t>
  </si>
  <si>
    <t>Credit Consolidation</t>
  </si>
  <si>
    <t>Credit consolidation iowa</t>
  </si>
  <si>
    <t>LQ-848C6C5988A77ABD</t>
  </si>
  <si>
    <t>search.pch.com</t>
  </si>
  <si>
    <t>LQ-BD37742FFA2E95DF</t>
  </si>
  <si>
    <t>LQ-58AFC0C2113F0A43</t>
  </si>
  <si>
    <t>LQ-55421668AB0E152A</t>
  </si>
  <si>
    <t>General Debt - high volume</t>
  </si>
  <si>
    <t>Debt advice</t>
  </si>
  <si>
    <t>LQ-43E7E87F6B978BE5</t>
  </si>
  <si>
    <t>LQ-163E9AD2C7714B83</t>
  </si>
  <si>
    <t>LQ-8CF029D978EDDB09</t>
  </si>
  <si>
    <t>How do i rid of credit cards</t>
  </si>
  <si>
    <t>LQ-AE1901DB2A6CABBD</t>
  </si>
  <si>
    <t>LQ-38E288E35CE28742</t>
  </si>
  <si>
    <t>LQ-BAD77E1B2CFD15EF</t>
  </si>
  <si>
    <t>domains.googlesyndication.com</t>
  </si>
  <si>
    <t>LQ-9927357679EFDF26</t>
  </si>
  <si>
    <t>Consumer debt initiative</t>
  </si>
  <si>
    <t>LQ-0BAE50DA06EE2DB5</t>
  </si>
  <si>
    <t>Kevin trudeau's debt cures</t>
  </si>
  <si>
    <t>LQ-4E33BEE37CC8F471</t>
  </si>
  <si>
    <t>LQ-DA1411BCF9170EE9</t>
  </si>
  <si>
    <t>LQ-2560152C5FB78786</t>
  </si>
  <si>
    <t>LQ-9C1979D7CF63F013</t>
  </si>
  <si>
    <t>LQ-65C6358CA1BA4F82</t>
  </si>
  <si>
    <t>Reduce credit card balances</t>
  </si>
  <si>
    <t>LQ-ECF7ED41B8E28C0A</t>
  </si>
  <si>
    <t>LQ-D4CC2DD11D92F9CF</t>
  </si>
  <si>
    <t>Credit Services</t>
  </si>
  <si>
    <t>Credit services co</t>
  </si>
  <si>
    <t>LQ-9B62B8BD3522F66E</t>
  </si>
  <si>
    <t>LQ-F998589C4B0FDC40</t>
  </si>
  <si>
    <t>LQ-865AB30F25D74634</t>
  </si>
  <si>
    <t>LQ-61A0F6D9B208CCAC</t>
  </si>
  <si>
    <t>encyclopedia.thefreedictionary.com</t>
  </si>
  <si>
    <t>LQ-6EDA2AE692BC7A33</t>
  </si>
  <si>
    <t>Chapter 13 Bankruptcy</t>
  </si>
  <si>
    <t>LQ-C707024AD9CB50A9</t>
  </si>
  <si>
    <t>LQ-A00A451834DE2467</t>
  </si>
  <si>
    <t>LQ-310266D8686A9A93</t>
  </si>
  <si>
    <t>LQ-82B544B896B0F410</t>
  </si>
  <si>
    <t>LQ-427CAA8BB1920907</t>
  </si>
  <si>
    <t>LQ-55B1A992B65DBBF6</t>
  </si>
  <si>
    <t>Credit counselor</t>
  </si>
  <si>
    <t>LQ-B27723CBDF63B645</t>
  </si>
  <si>
    <t>LQ-6F9E3F753CDD992E</t>
  </si>
  <si>
    <t>LQ-51CB43A1D5F990E0</t>
  </si>
  <si>
    <t>www.bankruptcy.com</t>
  </si>
  <si>
    <t>Debt Company</t>
  </si>
  <si>
    <t>LQ-D00FCA4DC3FE909A</t>
  </si>
  <si>
    <t>Www debt com</t>
  </si>
  <si>
    <t>LQ-D775D473FC650BA7</t>
  </si>
  <si>
    <t>LQ-C49CB82CBA81C476</t>
  </si>
  <si>
    <t>Consolidation Program</t>
  </si>
  <si>
    <t>LQ-764D9C633F1E6726</t>
  </si>
  <si>
    <t>LQ-D6837668F3CF075F</t>
  </si>
  <si>
    <t>LQ-894F71BCA641DF71</t>
  </si>
  <si>
    <t>LQ-834D3FE3D1F63D63</t>
  </si>
  <si>
    <t>Debt consolidate help</t>
  </si>
  <si>
    <t>LQ-28E5E12EEE82773F</t>
  </si>
  <si>
    <t>us.mg3.mail.yahoo.com</t>
  </si>
  <si>
    <t>LQ-43F7B69AB261FFC4</t>
  </si>
  <si>
    <t>www.tiphero.com</t>
  </si>
  <si>
    <t>Eliminate your credit card debt</t>
  </si>
  <si>
    <t>LQ-9AFC12E01A62BC83</t>
  </si>
  <si>
    <t>Debt Consolidate</t>
  </si>
  <si>
    <t>LQ-EC9438F1D67C6238</t>
  </si>
  <si>
    <t>LQ-7115E054E549BE37</t>
  </si>
  <si>
    <t>search.shareazaweb.com</t>
  </si>
  <si>
    <t>LQ-B9FFF7D3DE5CC6C0</t>
  </si>
  <si>
    <t>home.suddenlink.net</t>
  </si>
  <si>
    <t>Master debt</t>
  </si>
  <si>
    <t>LQ-DCE40DACB3884C8D</t>
  </si>
  <si>
    <t>Credit Card Settlement</t>
  </si>
  <si>
    <t>Credit card settlement</t>
  </si>
  <si>
    <t>LQ-09DA27E57A43A332</t>
  </si>
  <si>
    <t>results.mindspark.com</t>
  </si>
  <si>
    <t>LQ-815BBF19EAADC10D</t>
  </si>
  <si>
    <t>Credit services mt</t>
  </si>
  <si>
    <t>LQ-645CE8AB4A33CAF3</t>
  </si>
  <si>
    <t>LQ-A83F365C5B419D47</t>
  </si>
  <si>
    <t>www.finweb.com</t>
  </si>
  <si>
    <t>How to consolidate credit card debt</t>
  </si>
  <si>
    <t>LQ-BCDAE0281EC1E067</t>
  </si>
  <si>
    <t>LQ-706740A3EC109B79</t>
  </si>
  <si>
    <t>LQ-E6B929C1F5825DF6</t>
  </si>
  <si>
    <t>LQ-26AB2A421E915207</t>
  </si>
  <si>
    <t>LQ-D721B6C468C941B9</t>
  </si>
  <si>
    <t>LQ-C592BC1D64F3D84C</t>
  </si>
  <si>
    <t>www.bankrupcyinfo.com</t>
  </si>
  <si>
    <t>DebtReductionInc - YSM Restructure (05/29/09)</t>
  </si>
  <si>
    <t>Bankruptcy (LV)</t>
  </si>
  <si>
    <t>LQ-8FABDCB6FADF02A5</t>
  </si>
  <si>
    <t>LQ-5C9F90D2AFDF9BD0</t>
  </si>
  <si>
    <t>Bankruptcy</t>
  </si>
  <si>
    <t>LQ-87A7A9F72812BC5E</t>
  </si>
  <si>
    <t>Debt cures</t>
  </si>
  <si>
    <t>LQ-5F81D61CB079C3F2</t>
  </si>
  <si>
    <t>LQ-2258CF5069F5E199</t>
  </si>
  <si>
    <t>webhelp.qwest.net</t>
  </si>
  <si>
    <t>Personal Debt Consolidation Loan</t>
  </si>
  <si>
    <t>LQ-A8D57EA1EA7D29EF</t>
  </si>
  <si>
    <t>www.topdebtconsolidationcenter.com</t>
  </si>
  <si>
    <t>LQ-5376071070AAF375</t>
  </si>
  <si>
    <t>www.wikihow.com</t>
  </si>
  <si>
    <t>LQ-B8C8A7825CB8356C</t>
  </si>
  <si>
    <t>LQ-59923B12B2DDB2F2</t>
  </si>
  <si>
    <t>LQ-3A097B1A2A635B9D</t>
  </si>
  <si>
    <t>Credit services in michigan</t>
  </si>
  <si>
    <t>LQ-4A543EAA9C624F4E</t>
  </si>
  <si>
    <t>Lower mortgage payments</t>
  </si>
  <si>
    <t>LQ-26875EE8ABB58FAB</t>
  </si>
  <si>
    <t>NE</t>
  </si>
  <si>
    <t>LQ-811901FDAFDF81D6</t>
  </si>
  <si>
    <t>LQ-ABD8D4FEAC3815D2</t>
  </si>
  <si>
    <t>LQ-9392629950BA61ED</t>
  </si>
  <si>
    <t>LQ-AADE2EDD75E92F8B</t>
  </si>
  <si>
    <t>LQ-AE4A2B33257FC703</t>
  </si>
  <si>
    <t>Debt settlement settlement</t>
  </si>
  <si>
    <t>LQ-26DE23F7DCE8AFC0</t>
  </si>
  <si>
    <t>LQ-DECF786E06FAC0F2</t>
  </si>
  <si>
    <t>us.mc815.mail.yahoo.com</t>
  </si>
  <si>
    <t>LQ-D3822085BF75CECC</t>
  </si>
  <si>
    <t>LQ-D4AD3559E1C361CD</t>
  </si>
  <si>
    <t>Lower monthly car payments</t>
  </si>
  <si>
    <t>LQ-4B031E25E038C03F</t>
  </si>
  <si>
    <t>search28.info.com</t>
  </si>
  <si>
    <t>LQ-ECC60B20AEBF27E7</t>
  </si>
  <si>
    <t>LQ-9951108D0BFE2A90</t>
  </si>
  <si>
    <t>Debt calculator</t>
  </si>
  <si>
    <t>LQ-7BF46881210E38D0</t>
  </si>
  <si>
    <t>LQ-CCFD317DB2B7DDE0</t>
  </si>
  <si>
    <t>Debt Services</t>
  </si>
  <si>
    <t>LQ-AE34DD0E254D0F42</t>
  </si>
  <si>
    <t>Debt cures they don t want you to know about</t>
  </si>
  <si>
    <t>LQ-E02159962B6057F2</t>
  </si>
  <si>
    <t>LQ-03ABD120B76037C5</t>
  </si>
  <si>
    <t>central.search-help.sprint.net</t>
  </si>
  <si>
    <t>LQ-BFDFFA2EC6B379D9</t>
  </si>
  <si>
    <t>sz0029.wc.mail.comcast.net</t>
  </si>
  <si>
    <t>LQ-0E2906A4039217B9</t>
  </si>
  <si>
    <t>LQ-E84838709B74EB71</t>
  </si>
  <si>
    <t>LQ-08A15955AD50A945</t>
  </si>
  <si>
    <t>LQ-7EE46F494FE3928D</t>
  </si>
  <si>
    <t>LQ-6B1A55D297E71032</t>
  </si>
  <si>
    <t>LQ-8E7482C6B6CA0FAA</t>
  </si>
  <si>
    <t>LQ-FD1EA7B584CC70E4</t>
  </si>
  <si>
    <t>Government debt relief grants</t>
  </si>
  <si>
    <t>LQ-8F65DAA80A2808A2</t>
  </si>
  <si>
    <t>webmaila.juno.com</t>
  </si>
  <si>
    <t>LQ-9ED01ECF57231989</t>
  </si>
  <si>
    <t>LQ-09113C609CC60894</t>
  </si>
  <si>
    <t>LQ-89D427B95AB3CCF0</t>
  </si>
  <si>
    <t>Debt clear scam</t>
  </si>
  <si>
    <t>LQ-3D67343338F3E999</t>
  </si>
  <si>
    <t>LQ-32BD094798641509</t>
  </si>
  <si>
    <t>LQ-7BF8C29308493892</t>
  </si>
  <si>
    <t>LQ-85C546363EF52F7A</t>
  </si>
  <si>
    <t>LQ-2B2BC0B95255522F</t>
  </si>
  <si>
    <t>Consumer debt advocate</t>
  </si>
  <si>
    <t>LQ-A55EBBDC11FE2D94</t>
  </si>
  <si>
    <t>LQ-511EE56087AA9008</t>
  </si>
  <si>
    <t>LQ-E674E3A9077FF60A</t>
  </si>
  <si>
    <t>LQ-D76E4FEADBFF739A</t>
  </si>
  <si>
    <t>LQ-03B2B2513A750126</t>
  </si>
  <si>
    <t>credit.about.com</t>
  </si>
  <si>
    <t>LQ-436E89533F445687</t>
  </si>
  <si>
    <t>LQ-7C0D2B52BF6CA4A1</t>
  </si>
  <si>
    <t>LQ-7A20A6D1CABE7513</t>
  </si>
  <si>
    <t>www.webcrawler.com</t>
  </si>
  <si>
    <t>Work typing</t>
  </si>
  <si>
    <t>LQ-AFF63E0F7BDED337</t>
  </si>
  <si>
    <t>guide.opendns.com</t>
  </si>
  <si>
    <t>LQ-EBC16B8D608EF68A</t>
  </si>
  <si>
    <t>LQ-FCF57285461FCA67</t>
  </si>
  <si>
    <t>LQ-0DB97D06BFAD7EA9</t>
  </si>
  <si>
    <t>Debt assistance</t>
  </si>
  <si>
    <t>LQ-8EE48E3DF5953F57</t>
  </si>
  <si>
    <t>LQ-C57E71D894EBEAFD</t>
  </si>
  <si>
    <t>LQ-D534B717DBDDD13F</t>
  </si>
  <si>
    <t>LQ-0C2596E31E3481D2</t>
  </si>
  <si>
    <t>LQ-EE5B61935C55C875</t>
  </si>
  <si>
    <t>aolsearcht7.search.aol.com</t>
  </si>
  <si>
    <t>Government debt program</t>
  </si>
  <si>
    <t>LQ-B6DC3288E1E64837</t>
  </si>
  <si>
    <t>LQ-A21DD1624D617735</t>
  </si>
  <si>
    <t>LQ-102017D470B5C975</t>
  </si>
  <si>
    <t>American debt solutions</t>
  </si>
  <si>
    <t>LQ-DE49F447D18726F7</t>
  </si>
  <si>
    <t>LQ-37FC5A4A1770A31A</t>
  </si>
  <si>
    <t>LQ-C499041BE6AB4E57</t>
  </si>
  <si>
    <t>LQ-DFEC5FEB4C0F61ED</t>
  </si>
  <si>
    <t>www.43things.com</t>
  </si>
  <si>
    <t>Get rid of debt</t>
  </si>
  <si>
    <t>LQ-715138AC200997E7</t>
  </si>
  <si>
    <t>LQ-73615D4488FDE7E6</t>
  </si>
  <si>
    <t>LQ-763421CD712F3E44</t>
  </si>
  <si>
    <t>Det</t>
  </si>
  <si>
    <t>LQ-602B8513A5FF828F</t>
  </si>
  <si>
    <t>LQ-441DA65580AEAD52</t>
  </si>
  <si>
    <t>Bill collector harassment</t>
  </si>
  <si>
    <t>LQ-939FAAA8A5C2ABDC</t>
  </si>
  <si>
    <t>How to lower credit card</t>
  </si>
  <si>
    <t>LQ-18A7F716149AF112</t>
  </si>
  <si>
    <t>www.justclicklocal.com</t>
  </si>
  <si>
    <t>Debt Consolidation (LV)</t>
  </si>
  <si>
    <t>LQ-B10A502E39078A3B</t>
  </si>
  <si>
    <t>LQ-640693BA6D12A893</t>
  </si>
  <si>
    <t>www.searchtronic.net</t>
  </si>
  <si>
    <t>Debt consolidation loans</t>
  </si>
  <si>
    <t>LQ-2C4B564798877E95</t>
  </si>
  <si>
    <t>LQ-D00CE6D145D58130</t>
  </si>
  <si>
    <t>aolsearcht3.search.aol.com</t>
  </si>
  <si>
    <t>LQ-16D587EDE2EF0BE5</t>
  </si>
  <si>
    <t>Credit services new york</t>
  </si>
  <si>
    <t>LQ-E4B8439A6C85AF3B</t>
  </si>
  <si>
    <t>LQ-C9E6782E2CE9E30C</t>
  </si>
  <si>
    <t>LQ-BE5376BE37F13685</t>
  </si>
  <si>
    <t>Consumer debt service</t>
  </si>
  <si>
    <t>LQ-9ECC9F12705A55EF</t>
  </si>
  <si>
    <t>LQ-6CF5B50A3E95C8FF</t>
  </si>
  <si>
    <t>Superior debt services inc</t>
  </si>
  <si>
    <t>LQ-1F6972AC712880F2</t>
  </si>
  <si>
    <t>websearch.cs.com</t>
  </si>
  <si>
    <t>Get out of debt</t>
  </si>
  <si>
    <t>LQ-B58E8523EF552734</t>
  </si>
  <si>
    <t>Credit card interest reduction</t>
  </si>
  <si>
    <t>LQ-03F64AA34A4B9421</t>
  </si>
  <si>
    <t>aolsearcht11.search.aol.com</t>
  </si>
  <si>
    <t>LQ-6DD8A12B8BBA6124</t>
  </si>
  <si>
    <t>LQ-CAD109AE839B8459</t>
  </si>
  <si>
    <t>Debt mediation</t>
  </si>
  <si>
    <t>LQ-8D6FAE3225FF72FB</t>
  </si>
  <si>
    <t>us.mc1105.mail.yahoo.com</t>
  </si>
  <si>
    <t>LQ-A05D7D7AA6F976F2</t>
  </si>
  <si>
    <t>en.allexperts.com</t>
  </si>
  <si>
    <t>LQ-6BFBDCE3ECC84E47</t>
  </si>
  <si>
    <t>partner.googleadservices.com</t>
  </si>
  <si>
    <t>LQ-A6DE4E03CC11C21F</t>
  </si>
  <si>
    <t>AK</t>
  </si>
  <si>
    <t>LQ-155C36E495F9F365</t>
  </si>
  <si>
    <t>File Bankruptcy</t>
  </si>
  <si>
    <t>LQ-3BA14FE94863E4E1</t>
  </si>
  <si>
    <t>LQ-82DD4E12606C933C</t>
  </si>
  <si>
    <t>Student loan debt</t>
  </si>
  <si>
    <t>LQ-B025B64EAD2FE70B</t>
  </si>
  <si>
    <t>LQ-DC8365BB0E94B7D0</t>
  </si>
  <si>
    <t>ww3.instafinder.com</t>
  </si>
  <si>
    <t>LQ-56389F1227751664</t>
  </si>
  <si>
    <t>LQ-613A817301B46D1C</t>
  </si>
  <si>
    <t>us.mg201.mail.yahoo.com</t>
  </si>
  <si>
    <t>LQ-10643481FB855C1A</t>
  </si>
  <si>
    <t>LQ-6F3CCD5D023E6C34</t>
  </si>
  <si>
    <t>LQ-30403BA4B46476AB</t>
  </si>
  <si>
    <t>www.thriftyfun.com</t>
  </si>
  <si>
    <t>LQ-6E33254621DA3DD2</t>
  </si>
  <si>
    <t>LQ-5B3E9A9AAEE786CF</t>
  </si>
  <si>
    <t>LQ-77F08144DF09BBA9</t>
  </si>
  <si>
    <t>Credit Debt Consolidation</t>
  </si>
  <si>
    <t>LQ-AD20DFF25F648ED5</t>
  </si>
  <si>
    <t>Debt forgiveness</t>
  </si>
  <si>
    <t>LQ-9F1F00B1C7AA7B4B</t>
  </si>
  <si>
    <t>LQ-268601EBD17AECC2</t>
  </si>
  <si>
    <t>LQ-6A5D8AC034B071A9</t>
  </si>
  <si>
    <t>Bill Consolidation</t>
  </si>
  <si>
    <t>LQ-29AB20C39B82453F</t>
  </si>
  <si>
    <t>LQ-449A1D8E1BB9B8F6</t>
  </si>
  <si>
    <t>www.shellcreditcard.accountline.com</t>
  </si>
  <si>
    <t>LQ-93E333900546F725</t>
  </si>
  <si>
    <t>Debt forgiveness for student loans</t>
  </si>
  <si>
    <t>LQ-71114AB4A7B8403B</t>
  </si>
  <si>
    <t>Student loan debt forgiveness</t>
  </si>
  <si>
    <t>LQ-9A521C93EFFB3450</t>
  </si>
  <si>
    <t>LQ-66F6CBF420BA81DA</t>
  </si>
  <si>
    <t>LQ-377D13ACA3515ECC</t>
  </si>
  <si>
    <t>LQ-C7A62533D432844D</t>
  </si>
  <si>
    <t>www.toseeka.com</t>
  </si>
  <si>
    <t>LQ-79537B0DDCCC487F</t>
  </si>
  <si>
    <t>How to repair your credit</t>
  </si>
  <si>
    <t>LQ-BF976F7E3E58FC57</t>
  </si>
  <si>
    <t>news.google.com</t>
  </si>
  <si>
    <t>Buried in debt</t>
  </si>
  <si>
    <t>LQ-BD292B66EF06CDD9</t>
  </si>
  <si>
    <t>LQ-75D0CAC252C9EE77</t>
  </si>
  <si>
    <t>LQ-52D04AE0BD72B9E5</t>
  </si>
  <si>
    <t>LQ-A683C6507BBE6BD8</t>
  </si>
  <si>
    <t>LQ-94CC5AF64D0E2168</t>
  </si>
  <si>
    <t>search.money.cnn.com</t>
  </si>
  <si>
    <t>Default on loan</t>
  </si>
  <si>
    <t>LQ-A3F0D7C76B668CD8</t>
  </si>
  <si>
    <t>Erase your debt</t>
  </si>
  <si>
    <t>LQ-66A20735EBA8555E</t>
  </si>
  <si>
    <t>LQ-EC554FD1B2A5AA6E</t>
  </si>
  <si>
    <t>Debt group</t>
  </si>
  <si>
    <t>LQ-970712BDC8217B5C</t>
  </si>
  <si>
    <t>LQ-012781A02955899D</t>
  </si>
  <si>
    <t>LQ-172359B20192282A</t>
  </si>
  <si>
    <t>Consumer debt advocates</t>
  </si>
  <si>
    <t>LQ-C4A1E73853C8EEAD</t>
  </si>
  <si>
    <t>LQ-D895AE449FD86DD3</t>
  </si>
  <si>
    <t>Www debtfree com</t>
  </si>
  <si>
    <t>LQ-4CA9EBA422864038</t>
  </si>
  <si>
    <t>LQ-4EE7011158ABCF0D</t>
  </si>
  <si>
    <t>Debt rescue usa</t>
  </si>
  <si>
    <t>LQ-8A31A1C1C12F6CAF</t>
  </si>
  <si>
    <t>www.gklife.com</t>
  </si>
  <si>
    <t>LQ-C33F0F97CDA48594</t>
  </si>
  <si>
    <t>Lower monthly bills</t>
  </si>
  <si>
    <t>LQ-FBAE393800BB7641</t>
  </si>
  <si>
    <t>www.myacountaccess.com</t>
  </si>
  <si>
    <t>LQ-8EFE4B2255378420</t>
  </si>
  <si>
    <t>LQ-B931C70A72B453EB</t>
  </si>
  <si>
    <t>search.cbsnews.com</t>
  </si>
  <si>
    <t>Stop debt</t>
  </si>
  <si>
    <t>LQ-071D9DF3910C0586</t>
  </si>
  <si>
    <t>LQ-F5DF627495BD2E52</t>
  </si>
  <si>
    <t>LQ-8D5A7FF4EE65A714</t>
  </si>
  <si>
    <t>LQ-B2B725E43F271EDD</t>
  </si>
  <si>
    <t>LQ-8EF62DE7E201CAA2</t>
  </si>
  <si>
    <t>us.mc313.mail.yahoo.com</t>
  </si>
  <si>
    <t>LQ-A24F3C8FB14A08BB</t>
  </si>
  <si>
    <t>revenuestock.com</t>
  </si>
  <si>
    <t>LQ-0465FC99D66AF106</t>
  </si>
  <si>
    <t>Debt Arbitration (HV)</t>
  </si>
  <si>
    <t>LQ-9BE29B849EBEEAC8</t>
  </si>
  <si>
    <t>webmaila.netzero.net</t>
  </si>
  <si>
    <t>LQ-88C2EABB6D791341</t>
  </si>
  <si>
    <t>LQ-D2392319AC2CEC13</t>
  </si>
  <si>
    <t>search.peoplepc.com</t>
  </si>
  <si>
    <t>No more debt</t>
  </si>
  <si>
    <t>LQ-7B0905BA9E83B05D</t>
  </si>
  <si>
    <t>Debt relief act</t>
  </si>
  <si>
    <t>LQ-D618439155631BC3</t>
  </si>
  <si>
    <t>LQ-CBAA5D7D1BB198F9</t>
  </si>
  <si>
    <t>www.kidica.com</t>
  </si>
  <si>
    <t>LQ-9800C8BB4BD87C6F</t>
  </si>
  <si>
    <t>ND</t>
  </si>
  <si>
    <t>LQ-0C8FAB173C6B3CFB</t>
  </si>
  <si>
    <t>LQ-E12BCA79AE65B932</t>
  </si>
  <si>
    <t>LQ-549F0FD19A34AEFA</t>
  </si>
  <si>
    <t>LQ-C4C96040DD80B6FC</t>
  </si>
  <si>
    <t>LQ-7D8DDEC472437685</t>
  </si>
  <si>
    <t>LQ-CE25C53A5E1838C0</t>
  </si>
  <si>
    <t>LQ-9F46BB02FB53ABA1</t>
  </si>
  <si>
    <t>us.yhs.search.yahoo.com</t>
  </si>
  <si>
    <t>LQ-1B8A1E4A9886A8EC</t>
  </si>
  <si>
    <t>us.mc533.mail.yahoo.com</t>
  </si>
  <si>
    <t>LQ-6F1B26ACC3E9A806</t>
  </si>
  <si>
    <t>LQ-9D8A70F04EE40E6F</t>
  </si>
  <si>
    <t>Unsecured Debt</t>
  </si>
  <si>
    <t>Unsecured debt texas</t>
  </si>
  <si>
    <t>LQ-16C47DB28535D482</t>
  </si>
  <si>
    <t>LQ-6B6B95A8C543C274</t>
  </si>
  <si>
    <t>LQ-99ADA3885EB75B59</t>
  </si>
  <si>
    <t>LQ-B0BC522E0776D945</t>
  </si>
  <si>
    <t>LQ-BE65F272F8ABEB6E</t>
  </si>
  <si>
    <t>LQ-E4F05B441BCA8AAD</t>
  </si>
  <si>
    <t>Debt_Holding_Tank_-_SN</t>
  </si>
  <si>
    <t>Holding_Tank_-_Debt</t>
  </si>
  <si>
    <t>Netdebt</t>
  </si>
  <si>
    <t>LQ-92FBC1078851D010</t>
  </si>
  <si>
    <t>Bill consolodation</t>
  </si>
  <si>
    <t>LQ-17FADE386337596C</t>
  </si>
  <si>
    <t>LQ-3F7966AF715B97B5</t>
  </si>
  <si>
    <t>LQ-C1D62DD8EFBBE082</t>
  </si>
  <si>
    <t>LQ-873BB4288CD6E65E</t>
  </si>
  <si>
    <t>LQ-301D11BE447B975C</t>
  </si>
  <si>
    <t>LQ-5E5268E8CEB332FA</t>
  </si>
  <si>
    <t>LQ-7D7358308ADE16DA</t>
  </si>
  <si>
    <t>adkdomains.com</t>
  </si>
  <si>
    <t>LQ-BDB5F16B6A55AC36</t>
  </si>
  <si>
    <t>LQ-E469318E4B7EEF3B</t>
  </si>
  <si>
    <t>LQ-A16D488A7AA2F74D</t>
  </si>
  <si>
    <t>How to stop interest on credit cards</t>
  </si>
  <si>
    <t>LQ-D8DA59222D7E6FCB</t>
  </si>
  <si>
    <t>videos.howstuffworks.com</t>
  </si>
  <si>
    <t>LQ-F67451045ADA469E</t>
  </si>
  <si>
    <t>Debt Restructuring</t>
  </si>
  <si>
    <t>Personal debt restructuring</t>
  </si>
  <si>
    <t>LQ-AA39B0385708BB28</t>
  </si>
  <si>
    <t>www.virginia-discovered.com</t>
  </si>
  <si>
    <t>Consolidation debt loan va</t>
  </si>
  <si>
    <t>LQ-3E327A2D9824699F</t>
  </si>
  <si>
    <t>LQ-92E246AA36DBFBFE</t>
  </si>
  <si>
    <t>LQ-8FF0A65F8480D7A6</t>
  </si>
  <si>
    <t>us.mc526.mail.yahoo.com</t>
  </si>
  <si>
    <t>LQ-D6DDE5F6DA945EA5</t>
  </si>
  <si>
    <t>us.mc1107.mail.yahoo.com</t>
  </si>
  <si>
    <t>LQ-6A690EA875FA94A9</t>
  </si>
  <si>
    <t>Debt bailout</t>
  </si>
  <si>
    <t>LQ-3DA0A50B1A744200</t>
  </si>
  <si>
    <t>us.mg4.mail.yahoo.com</t>
  </si>
  <si>
    <t>LQ-67C6B8F7B4118BDB</t>
  </si>
  <si>
    <t>LQ-116331CC5F17C0FF</t>
  </si>
  <si>
    <t>LQ-FDA653131119DB40</t>
  </si>
  <si>
    <t>LQ-624856451F1F4D9A</t>
  </si>
  <si>
    <t>LQ-1309E37956FAE378</t>
  </si>
  <si>
    <t>LQ-77EDB7C27385872E</t>
  </si>
  <si>
    <t>LQ-451D10D949BFD09A</t>
  </si>
  <si>
    <t>LQ-360237D7660CAECE</t>
  </si>
  <si>
    <t>LQ-B74CE14D7225A517</t>
  </si>
  <si>
    <t>LQ-D0F33E728A6FFE7F</t>
  </si>
  <si>
    <t>LQ-7EE61389D3FBB533</t>
  </si>
  <si>
    <t>LQ-7F68921DD41C0C88</t>
  </si>
  <si>
    <t>LQ-38F17934275AED26</t>
  </si>
  <si>
    <t>LQ-AB6F3B1BE94E2F55</t>
  </si>
  <si>
    <t>LQ-CFF5A0E50DF96D84</t>
  </si>
  <si>
    <t>www.reuters.com</t>
  </si>
  <si>
    <t>LQ-6771348660D06949</t>
  </si>
  <si>
    <t>LQ-2E3ADF55172F9D54</t>
  </si>
  <si>
    <t>LQ-20321330D711FB2E</t>
  </si>
  <si>
    <t>LQ-3034030EC0545CAC</t>
  </si>
  <si>
    <t>LQ-243668979D6D2C94</t>
  </si>
  <si>
    <t>LQ-B9FA85627E6F7012</t>
  </si>
  <si>
    <t>www.kellysearch.com</t>
  </si>
  <si>
    <t>Debt Arbitration</t>
  </si>
  <si>
    <t>Credit arbitration</t>
  </si>
  <si>
    <t>LQ-879806361D3D8902</t>
  </si>
  <si>
    <t>LQ-B2650DB7EE972756</t>
  </si>
  <si>
    <t>LQ-7DF8EB959B21E4FC</t>
  </si>
  <si>
    <t>LQ-C387868A639C23D5</t>
  </si>
  <si>
    <t>LQ-BB863E9F2A8434E7</t>
  </si>
  <si>
    <t>LQ-64C0C095B152A9A7</t>
  </si>
  <si>
    <t>Unpaid debts</t>
  </si>
  <si>
    <t>LQ-28D242304589920D</t>
  </si>
  <si>
    <t>mws.ask.com</t>
  </si>
  <si>
    <t>LQ-0028320FA71ACBB3</t>
  </si>
  <si>
    <t>LQ-633D5F57A1FCD73D</t>
  </si>
  <si>
    <t>LQ-3219C5F9E987F39E</t>
  </si>
  <si>
    <t>LQ-7348473D4AA36844</t>
  </si>
  <si>
    <t>LQ-7DB8F1D0E23C753B</t>
  </si>
  <si>
    <t>LQ-4E10E574A485F242</t>
  </si>
  <si>
    <t>webmailb.netzero.net</t>
  </si>
  <si>
    <t>LQ-49C213AC4A4A58FB</t>
  </si>
  <si>
    <t>LQ-47A8F0335F9005FA</t>
  </si>
  <si>
    <t>Bankruptcy - high volume</t>
  </si>
  <si>
    <t>LQ-B9AB06BF3371711E</t>
  </si>
  <si>
    <t>LQ-43D209C8B825599A</t>
  </si>
  <si>
    <t>LQ-B4681E271DFB2CC8</t>
  </si>
  <si>
    <t>LQ-168CE9628C7D93D1</t>
  </si>
  <si>
    <t>Getting out of debt on your own</t>
  </si>
  <si>
    <t>LQ-452B268EA578C30B</t>
  </si>
  <si>
    <t>LQ-1BCB509F4F4F7CB6</t>
  </si>
  <si>
    <t>Debt guru</t>
  </si>
  <si>
    <t>LQ-D99B13549C9908A7</t>
  </si>
  <si>
    <t>LQ-6BAA3C00F038079F</t>
  </si>
  <si>
    <t>LQ-6DCF10183A38F35A</t>
  </si>
  <si>
    <t>LQ-45912F3AE6470B78</t>
  </si>
  <si>
    <t>LQ-8BC9FB8FEC6B336A</t>
  </si>
  <si>
    <t>Credit services alabama</t>
  </si>
  <si>
    <t>LQ-DAC6C60D1C5D5253</t>
  </si>
  <si>
    <t>chartlog.com</t>
  </si>
  <si>
    <t>LQ-B8160F67BCE5285B</t>
  </si>
  <si>
    <t>LQ-345958F17485DB89</t>
  </si>
  <si>
    <t>LQ-FB83B8CFF95DD402</t>
  </si>
  <si>
    <t>LQ-71B443DD09C1B7EB</t>
  </si>
  <si>
    <t>bestsyndication.com</t>
  </si>
  <si>
    <t>LQ-184848244C1B7BBA</t>
  </si>
  <si>
    <t>LQ-9BF15B521417CC0D</t>
  </si>
  <si>
    <t>LQ-1307230CFB86161A</t>
  </si>
  <si>
    <t>LQ-9D88A1CD31ECF717</t>
  </si>
  <si>
    <t>www.searchnut.com</t>
  </si>
  <si>
    <t>LQ-404C49A59D6C02BC</t>
  </si>
  <si>
    <t>LQ-7D329F2AF9652241</t>
  </si>
  <si>
    <t>LQ-7EE7D31D3BD4DB42</t>
  </si>
  <si>
    <t>LQ-226D7BBAE38788D9</t>
  </si>
  <si>
    <t>LQ-9945CCB5005EFF46</t>
  </si>
  <si>
    <t>LQ-A3D6C043030EB443</t>
  </si>
  <si>
    <t>LQ-A4C7353DDFBE0CA4</t>
  </si>
  <si>
    <t>LQ-28BD302DEFF990D2</t>
  </si>
  <si>
    <t>park.parkingpanel.com</t>
  </si>
  <si>
    <t>LQ-34380CA21FABE3F0</t>
  </si>
  <si>
    <t>LQ-3A2DEB1152387FD0</t>
  </si>
  <si>
    <t>LQ-B12A216A00B6379C</t>
  </si>
  <si>
    <t>LQ-C0011E06451CB85D</t>
  </si>
  <si>
    <t>homes.hud.com</t>
  </si>
  <si>
    <t>LQ-DAC9783807A1E0E5</t>
  </si>
  <si>
    <t>LQ-EF4FAEA55A69184B</t>
  </si>
  <si>
    <t>LQ-8A68D0A1F15B1E92</t>
  </si>
  <si>
    <t>LQ-ABFD74B83D0ABE80</t>
  </si>
  <si>
    <t>LQ-2F89504884483FC8</t>
  </si>
  <si>
    <t>LQ-9567C0FE58BCDDA0</t>
  </si>
  <si>
    <t>LQ-42CF550AE75D6302</t>
  </si>
  <si>
    <t>LQ-FC2EB591449F135D</t>
  </si>
  <si>
    <t>fultonweb.info</t>
  </si>
  <si>
    <t>LQ-A04C2E8F2F5B5839</t>
  </si>
  <si>
    <t>www.dogpile.com</t>
  </si>
  <si>
    <t>LQ-79CA79A2B8DBA4AF</t>
  </si>
  <si>
    <t>Credit Debt Consolidation Loan</t>
  </si>
  <si>
    <t>LQ-65D5D570B903AEF3</t>
  </si>
  <si>
    <t>LQ-61EE5821976C55F7</t>
  </si>
  <si>
    <t>LQ-744031F73E823B43</t>
  </si>
  <si>
    <t>LQ-EE775C32E2FAE92A</t>
  </si>
  <si>
    <t>www.feasiblefinance.com</t>
  </si>
  <si>
    <t>LQ-335E227B11E9D252</t>
  </si>
  <si>
    <t>LQ-B693AF68D895D7A3</t>
  </si>
  <si>
    <t>LQ-DF1FE14634128AA2</t>
  </si>
  <si>
    <t>LQ-1FC4088612355380</t>
  </si>
  <si>
    <t>www.aboutus.org</t>
  </si>
  <si>
    <t>LQ-269B91F9D7DE5F1C</t>
  </si>
  <si>
    <t>LQ-DC27A7B65285C575</t>
  </si>
  <si>
    <t>Consolidate loans</t>
  </si>
  <si>
    <t>LQ-E387EEBE990EA6C5</t>
  </si>
  <si>
    <t>LQ-DDA3AA2039714FA6</t>
  </si>
  <si>
    <t>LQ-FECD93A8325856CF</t>
  </si>
  <si>
    <t>How to stop creditors calling</t>
  </si>
  <si>
    <t>LQ-C184DE0CF2F78919</t>
  </si>
  <si>
    <t>LQ-FE69B6D5E9798095</t>
  </si>
  <si>
    <t>directory.consumeronly.com</t>
  </si>
  <si>
    <t>LQ-A3A7BA2F71B497F8</t>
  </si>
  <si>
    <t>LQ-A3B4C916DFC0ABE6</t>
  </si>
  <si>
    <t>Debt consolidation</t>
  </si>
  <si>
    <t>LQ-7B929F25FA747AE6</t>
  </si>
  <si>
    <t>LQ-0C51DDF5D8ED43BA</t>
  </si>
  <si>
    <t>LQ-BB419702AB65B634</t>
  </si>
  <si>
    <t>LQ-D869420CD740B10D</t>
  </si>
  <si>
    <t>LQ-31EADAEED82665ED</t>
  </si>
  <si>
    <t>LQ-3A2B01B4BBB49E91</t>
  </si>
  <si>
    <t>Free Debt Consolidation</t>
  </si>
  <si>
    <t>LQ-D779EC24245C14E2</t>
  </si>
  <si>
    <t>www.banks.com</t>
  </si>
  <si>
    <t>LQ-FC9455AF5D9B65D4</t>
  </si>
  <si>
    <t>us.mc811.mail.yahoo.com</t>
  </si>
  <si>
    <t>LQ-7DAFA2F471C9D047</t>
  </si>
  <si>
    <t>Debt negotiation services</t>
  </si>
  <si>
    <t>LQ-A8E9100A71F45873</t>
  </si>
  <si>
    <t>careertheories.com</t>
  </si>
  <si>
    <t>Debt Reduction (HV)</t>
  </si>
  <si>
    <t>LQ-2EFA3412D2D97807</t>
  </si>
  <si>
    <t>LQ-206933E3C4C9CE15</t>
  </si>
  <si>
    <t>ww23.rr.com</t>
  </si>
  <si>
    <t>LQ-A0196A2BE66AE048</t>
  </si>
  <si>
    <t>LQ-76A86DDA9B4A93B3</t>
  </si>
  <si>
    <t>www.life123.com</t>
  </si>
  <si>
    <t>LQ-980C2EA00BC757E1</t>
  </si>
  <si>
    <t>LQ-BA382ABEB4C1C2A9</t>
  </si>
  <si>
    <t>LQ-458415A4049D4836</t>
  </si>
  <si>
    <t>LQ-7CCD86DF6A1D6B9B</t>
  </si>
  <si>
    <t>LQ-445AE57B91A22DC7</t>
  </si>
  <si>
    <t>LQ-C472E3DEEFB08095</t>
  </si>
  <si>
    <t>us.mc656.mail.yahoo.com</t>
  </si>
  <si>
    <t>LQ-805FED7258093C34</t>
  </si>
  <si>
    <t>LQ-8470F2F5E400B65D</t>
  </si>
  <si>
    <t>www.fastbrowsersearch.com</t>
  </si>
  <si>
    <t>LQ-B26F8FC4EA9D7145</t>
  </si>
  <si>
    <t>LQ-17D4B53887F7D77F</t>
  </si>
  <si>
    <t>LQ-3ECAA24E1FE3C583</t>
  </si>
  <si>
    <t>LQ-E129A2059DF1B8FC</t>
  </si>
  <si>
    <t>LQ-00A7C812D11E0BE5</t>
  </si>
  <si>
    <t>LQ-313228D20A6D5B57</t>
  </si>
  <si>
    <t>LQ-A3065FFAB74A7E5E</t>
  </si>
  <si>
    <t>LQ-7D7BE58FCC2E0853</t>
  </si>
  <si>
    <t>LQ-218606497D49E24A</t>
  </si>
  <si>
    <t>LQ-843CC57F993B4D73</t>
  </si>
  <si>
    <t>LQ-FAE9FA227B163184</t>
  </si>
  <si>
    <t>Debt Solution</t>
  </si>
  <si>
    <t>LQ-5BF5F0D7A4B48C05</t>
  </si>
  <si>
    <t>LQ-C01F6273613DBF67</t>
  </si>
  <si>
    <t>nightforum.com</t>
  </si>
  <si>
    <t>LQ-2990BA8C5DE5886D</t>
  </si>
  <si>
    <t>LQ-EFE7B9F14B0B051F</t>
  </si>
  <si>
    <t>LQ-1283BDC3862ACCCF</t>
  </si>
  <si>
    <t>LQ-0676F3970481C7E9</t>
  </si>
  <si>
    <t>LQ-624E0F465562EFB6</t>
  </si>
  <si>
    <t>Personal Debt</t>
  </si>
  <si>
    <t>LQ-58FDA01C3B4C545B</t>
  </si>
  <si>
    <t>LQ-1CE94A7F35465C89</t>
  </si>
  <si>
    <t>LQ-C83AF3EB3A59CF0F</t>
  </si>
  <si>
    <t>LQ-C2E4ED6C5C88F513</t>
  </si>
  <si>
    <t>Credit card debt laws</t>
  </si>
  <si>
    <t>LQ-851A13BA49DB02AB</t>
  </si>
  <si>
    <t>LQ-8C79910A2D32CC6D</t>
  </si>
  <si>
    <t>LQ-47AC8025FE37E1BA</t>
  </si>
  <si>
    <t>LQ-1C91F570BBD8CB28</t>
  </si>
  <si>
    <t>search.domainnotfound.optimum.net</t>
  </si>
  <si>
    <t>Debt remedy</t>
  </si>
  <si>
    <t>LQ-BC90A375B02C09CC</t>
  </si>
  <si>
    <t>www.usnews.com</t>
  </si>
  <si>
    <t>LQ-F761067CEDB01B31</t>
  </si>
  <si>
    <t>LQ-1B7EC5E976FA480F</t>
  </si>
  <si>
    <t>LQ-2E71FA68C6129497</t>
  </si>
  <si>
    <t>LQ-3CB100905C2BE711</t>
  </si>
  <si>
    <t>LQ-4242719F00ADE773</t>
  </si>
  <si>
    <t>LQ-246323EFDEB038FB</t>
  </si>
  <si>
    <t>LQ-F70E696B582376E1</t>
  </si>
  <si>
    <t>LQ-CFDCFC831CB6409A</t>
  </si>
  <si>
    <t>LQ-4564ABF2A81616A9</t>
  </si>
  <si>
    <t>LQ-40FEE3C1CBA4C6AD</t>
  </si>
  <si>
    <t>LQ-B8228241AA0B5BEE</t>
  </si>
  <si>
    <t>LQ-0338B8BA76F1A5B1</t>
  </si>
  <si>
    <t>LQ-2929DF6B76AC52E6</t>
  </si>
  <si>
    <t>www.ficacardservices.com</t>
  </si>
  <si>
    <t>LQ-4CA36345EC69D4D6</t>
  </si>
  <si>
    <t>Home loan default</t>
  </si>
  <si>
    <t>LQ-7D979585E04E1C8D</t>
  </si>
  <si>
    <t>LQ-F80DAE117EB45854</t>
  </si>
  <si>
    <t>LQ-20DBEACD3BED127E</t>
  </si>
  <si>
    <t>www.iprowl.com</t>
  </si>
  <si>
    <t>LQ-937615D6F4606EEC</t>
  </si>
  <si>
    <t>LQ-0A39F90D4F54C075</t>
  </si>
  <si>
    <t>LQ-663FF5EC87895219</t>
  </si>
  <si>
    <t>LQ-BE14A26FD551DA81</t>
  </si>
  <si>
    <t>LQ-B29727C028672539</t>
  </si>
  <si>
    <t>LQ-0B05AB283A4DB393</t>
  </si>
  <si>
    <t>Debt Payment</t>
  </si>
  <si>
    <t>LQ-DE3D2476A58018F3</t>
  </si>
  <si>
    <t>LQ-C464C85EEE2E9A25</t>
  </si>
  <si>
    <t>LQ-7BE38F9A7AD9227D</t>
  </si>
  <si>
    <t>LQ-583018157FE21528</t>
  </si>
  <si>
    <t>LQ-246C9BFD7070C3CE</t>
  </si>
  <si>
    <t>studentdebtconsolidate.org</t>
  </si>
  <si>
    <t>LQ-3759F2311CA028D0</t>
  </si>
  <si>
    <t>LQ-398FB00655FED5E2</t>
  </si>
  <si>
    <t>LQ-B73C2D31B7F26F39</t>
  </si>
  <si>
    <t>LQ-4EAB22983D476AE1</t>
  </si>
  <si>
    <t>LQ-B27D01AC056A47EE</t>
  </si>
  <si>
    <t>moneycentral.msn.com</t>
  </si>
  <si>
    <t>LQ-5F08EA9941BCD69C</t>
  </si>
  <si>
    <t>LQ-0D44C911CD59B8A8</t>
  </si>
  <si>
    <t>LQ-DF2C7292C833DC2E</t>
  </si>
  <si>
    <t>LQ-2D0B4B7519462508</t>
  </si>
  <si>
    <t>LQ-D4D45E6CB9164BBA</t>
  </si>
  <si>
    <t>LQ-FEC24D40ED6DBEF7</t>
  </si>
  <si>
    <t>LQ-DDD5458EAA485910</t>
  </si>
  <si>
    <t>defaultsloan.com</t>
  </si>
  <si>
    <t>Be Debt Free</t>
  </si>
  <si>
    <t>LQ-4C42C05FE239CB94</t>
  </si>
  <si>
    <t>LQ-30C6FA4A47C2909B</t>
  </si>
  <si>
    <t>LQ-EC2F5F1D737596DA</t>
  </si>
  <si>
    <t>LQ-C4E22D58D9F5619F</t>
  </si>
  <si>
    <t>Debt free books</t>
  </si>
  <si>
    <t>LQ-0ADAFD4AE8B06B69</t>
  </si>
  <si>
    <t>LQ-7A77921345FDAF6A</t>
  </si>
  <si>
    <t>yourloanman.net</t>
  </si>
  <si>
    <t>LQ-11A3DB9F1EDF748B</t>
  </si>
  <si>
    <t>LQ-73E6DA1F46E301CB</t>
  </si>
  <si>
    <t>LQ-CBACD2759A3A2BD6</t>
  </si>
  <si>
    <t>LQ-46F194623CD90A45</t>
  </si>
  <si>
    <t>LQ-538B3D449C61C46F</t>
  </si>
  <si>
    <t>LQ-7B084C0C02D43EF5</t>
  </si>
  <si>
    <t>LQ-94DCC01C03F93C7B</t>
  </si>
  <si>
    <t>LQ-FAD235739AD9A46A</t>
  </si>
  <si>
    <t>LQ-38291B0F218B2D82</t>
  </si>
  <si>
    <t>LQ-157BDE3E5426532E</t>
  </si>
  <si>
    <t>LQ-CC68CA3E0EF6DF98</t>
  </si>
  <si>
    <t>LQ-31825B2E47F75783</t>
  </si>
  <si>
    <t>LQ-E85E85DE8A56D99C</t>
  </si>
  <si>
    <t>LQ-A4299F11841220D8</t>
  </si>
  <si>
    <t>LQ-84C9DA372517A5E9</t>
  </si>
  <si>
    <t>LQ-494AED152EBA8D18</t>
  </si>
  <si>
    <t>LQ-0AE92F165FA67AE4</t>
  </si>
  <si>
    <t>LQ-4B215AC274FC3CAA</t>
  </si>
  <si>
    <t>LQ-902970D4E2E0D672</t>
  </si>
  <si>
    <t>LQ-C493DADD1C323F74</t>
  </si>
  <si>
    <t>LQ-0E180481ED05C61D</t>
  </si>
  <si>
    <t>LQ-D89A69F7DC2D504C</t>
  </si>
  <si>
    <t>Debt school</t>
  </si>
  <si>
    <t>LQ-EB8032592AFD473A</t>
  </si>
  <si>
    <t>LQ-05A5937B2237E824</t>
  </si>
  <si>
    <t>Debt Consolidation Loan - high volume</t>
  </si>
  <si>
    <t>Government debt consolidation loan</t>
  </si>
  <si>
    <t>LQ-D4021C2F918C1C5D</t>
  </si>
  <si>
    <t>LQ-244EF49C998CB88D</t>
  </si>
  <si>
    <t>LQ-6F13E6D9080C20B5</t>
  </si>
  <si>
    <t>College loan default</t>
  </si>
  <si>
    <t>LQ-2B6E6CF71431CACB</t>
  </si>
  <si>
    <t>About Debt Consolidation</t>
  </si>
  <si>
    <t>LQ-A477F786B58C9EFA</t>
  </si>
  <si>
    <t>LQ-CB295D512BED11DE</t>
  </si>
  <si>
    <t>LQ-A3244D33C7A26605</t>
  </si>
  <si>
    <t>LQ-DC67F76C45D73379</t>
  </si>
  <si>
    <t>LQ-E6C3884ED403ACFE</t>
  </si>
  <si>
    <t>LQ-8F7B36D0411FB03A</t>
  </si>
  <si>
    <t>fromguide.com</t>
  </si>
  <si>
    <t>LQ-18A87389A75DDD92</t>
  </si>
  <si>
    <t>www.creditrelief.com</t>
  </si>
  <si>
    <t>LQ-9A7F39F3A4FCCDA1</t>
  </si>
  <si>
    <t>LQ-0DF3E24B1477421F</t>
  </si>
  <si>
    <t>LQ-4E3BC4B1347E78E0</t>
  </si>
  <si>
    <t>LQ-5A0FBF0099A34AFA</t>
  </si>
  <si>
    <t>LQ-7C5752DA1EDAA1CA</t>
  </si>
  <si>
    <t>LQ-D8DFA3614D875EA1</t>
  </si>
  <si>
    <t>search2.comcast.com</t>
  </si>
  <si>
    <t>LQ-99BE74637B07A332</t>
  </si>
  <si>
    <t>LQ-5FD5F933B5A8F814</t>
  </si>
  <si>
    <t>LQ-A13C315515F23842</t>
  </si>
  <si>
    <t>Free Credit Card Debt Consolidation</t>
  </si>
  <si>
    <t>LQ-0D6B15D859731ABC</t>
  </si>
  <si>
    <t>LQ-BD057AC680AFF28A</t>
  </si>
  <si>
    <t>LQ-4FFE44E13F5E713A</t>
  </si>
  <si>
    <t>www.surveysforfun.com</t>
  </si>
  <si>
    <t>LQ-EBEB0CC84BD2251C</t>
  </si>
  <si>
    <t>LQ-42BE82FB79F6B670</t>
  </si>
  <si>
    <t>LQ-8032EB922AF1BF1E</t>
  </si>
  <si>
    <t>Debt relief lawyers</t>
  </si>
  <si>
    <t>LQ-687CB93FF110C73E</t>
  </si>
  <si>
    <t>LQ-8AD04D28E12C12C4</t>
  </si>
  <si>
    <t>us.mc324.mail.yahoo.com</t>
  </si>
  <si>
    <t>LQ-210A1E9215A0F821</t>
  </si>
  <si>
    <t>Debt_Volume_-_SN</t>
  </si>
  <si>
    <t>LQ-237EF2FCBC91A69D</t>
  </si>
  <si>
    <t>National debt relief initiative</t>
  </si>
  <si>
    <t>LQ-CDFF70E8B3595282</t>
  </si>
  <si>
    <t>LQ-B35F467EF30BFDD8</t>
  </si>
  <si>
    <t>LQ-6078AF7B78D4B77D</t>
  </si>
  <si>
    <t>LQ-9885A72DFF509CBB</t>
  </si>
  <si>
    <t>Government debt relief</t>
  </si>
  <si>
    <t>LQ-2FF932145C86A1FF</t>
  </si>
  <si>
    <t>www.manufacturersdirectory.com</t>
  </si>
  <si>
    <t>Credit Card Debt (LV)</t>
  </si>
  <si>
    <t>LQ-F29174E5C0B32FAD</t>
  </si>
  <si>
    <t>LQ-9066321744D8EB61</t>
  </si>
  <si>
    <t>LQ-E2898038E43380ED</t>
  </si>
  <si>
    <t>www.debtguidenow.com</t>
  </si>
  <si>
    <t>LQ-3B72CE1FB7C8EF43</t>
  </si>
  <si>
    <t>IP literal redacted</t>
  </si>
  <si>
    <t>LQ-BE37A94F55962C72</t>
  </si>
  <si>
    <t>Debt Consolidate (HV)</t>
  </si>
  <si>
    <t>LQ-33CC373BE6810811</t>
  </si>
  <si>
    <t>LQ-0953B6982F2545E9</t>
  </si>
  <si>
    <t>LQ-63E2A71B7E286B5C</t>
  </si>
  <si>
    <t>LQ-CAC8E68B76B1BA3C</t>
  </si>
  <si>
    <t>LQ-0738BB9EA666ABF1</t>
  </si>
  <si>
    <t>LQ-6C6B13C2F49B32DF</t>
  </si>
  <si>
    <t>bankrupcy.com</t>
  </si>
  <si>
    <t>LQ-4ADD61127A6654DD</t>
  </si>
  <si>
    <t>LQ-685B79FAB66C260E</t>
  </si>
  <si>
    <t>www.scribd.com</t>
  </si>
  <si>
    <t>LQ-D5F3DECF86D6CB27</t>
  </si>
  <si>
    <t>American debt specialists</t>
  </si>
  <si>
    <t>LQ-D1CF5F5DC90A5792</t>
  </si>
  <si>
    <t>creditcardhelp.org</t>
  </si>
  <si>
    <t>LQ-A87425D03849850D</t>
  </si>
  <si>
    <t>LQ-99AC116A8868954E</t>
  </si>
  <si>
    <t>LQ-EB4F62AAB87E1E52</t>
  </si>
  <si>
    <t>LQ-6698470E4C9A61EE</t>
  </si>
  <si>
    <t>Debt choice</t>
  </si>
  <si>
    <t>LQ-3D223B62B41ACEDC</t>
  </si>
  <si>
    <t>LQ-615FB05D450A82B3</t>
  </si>
  <si>
    <t>LQ-2801ACDCD12C74EB</t>
  </si>
  <si>
    <t>LQ-58E4B30A9FF69E77</t>
  </si>
  <si>
    <t>LQ-976334AD8D7BF5A3</t>
  </si>
  <si>
    <t>LQ-29F25A06213DD87C</t>
  </si>
  <si>
    <t>Credit Card Debt Reduction</t>
  </si>
  <si>
    <t>LQ-BC2EA0CB703E9B59</t>
  </si>
  <si>
    <t>search.netzero.net</t>
  </si>
  <si>
    <t>LQ-83B323DF952D66EE</t>
  </si>
  <si>
    <t>LQ-31D1757D85B6469F</t>
  </si>
  <si>
    <t>LQ-122A2AC2CFD84A2A</t>
  </si>
  <si>
    <t>Credit services colorado</t>
  </si>
  <si>
    <t>LQ-184287E3E0F94230</t>
  </si>
  <si>
    <t>Msnbc debt</t>
  </si>
  <si>
    <t>LQ-A2BF0D35D229363F</t>
  </si>
  <si>
    <t>LQ-E5B8D0305652BC84</t>
  </si>
  <si>
    <t>LQ-64B084057CDD36D8</t>
  </si>
  <si>
    <t>LQ-0C51CA8BE3B3CD05</t>
  </si>
  <si>
    <t>LQ-CCFA70E1510890FE</t>
  </si>
  <si>
    <t>LQ-3E054407A133AABB</t>
  </si>
  <si>
    <t>LQ-EADF12E958CB6CAB</t>
  </si>
  <si>
    <t>dtelm01.dteco.com</t>
  </si>
  <si>
    <t>LQ-3E6CF6E8483C5228</t>
  </si>
  <si>
    <t>LQ-39A82A129D03AF8E</t>
  </si>
  <si>
    <t>LQ-F4348A78EA85768C</t>
  </si>
  <si>
    <t>LQ-92994C70B08ADB0D</t>
  </si>
  <si>
    <t>LQ-AE1644C2F9220F57</t>
  </si>
  <si>
    <t>LQ-94AFBC7EAFA0F0E8</t>
  </si>
  <si>
    <t>Debt grants</t>
  </si>
  <si>
    <t>LQ-EA03BA21306F5267</t>
  </si>
  <si>
    <t>LQ-AD2395B4AE8AF483</t>
  </si>
  <si>
    <t>LQ-E56D58AE4A000E33</t>
  </si>
  <si>
    <t>www.optingateway.info</t>
  </si>
  <si>
    <t>LQ-59F8D775438144DE</t>
  </si>
  <si>
    <t>LQ-9FC75128FB33E566</t>
  </si>
  <si>
    <t>LQ-E9543985DEBCFF4E</t>
  </si>
  <si>
    <t>www.lsa.myareaguide.com</t>
  </si>
  <si>
    <t>Debt Collection</t>
  </si>
  <si>
    <t>LQ-8B058CB71E069006</t>
  </si>
  <si>
    <t>LQ-72B97FDC83391237</t>
  </si>
  <si>
    <t>LQ-4A0BB7870B3BE097</t>
  </si>
  <si>
    <t>LQ-1CC091FB625C4FF4</t>
  </si>
  <si>
    <t>LQ-859C8D05AA6E2E37</t>
  </si>
  <si>
    <t>National debt initiative program</t>
  </si>
  <si>
    <t>LQ-501E1486E046F6F7</t>
  </si>
  <si>
    <t>Legally erase your debt</t>
  </si>
  <si>
    <t>LQ-05BB8B6C8E8CB510</t>
  </si>
  <si>
    <t>Clear debt</t>
  </si>
  <si>
    <t>LQ-C2E03B5C74870347</t>
  </si>
  <si>
    <t>LQ-EA5ED88003E6843D</t>
  </si>
  <si>
    <t>LQ-5C7B443B2821321A</t>
  </si>
  <si>
    <t>LQ-24E5DC1B81CCC704</t>
  </si>
  <si>
    <t>LQ-391DF267E042C24F</t>
  </si>
  <si>
    <t>LQ-6F232D05B0EE5761</t>
  </si>
  <si>
    <t>search25.info.com</t>
  </si>
  <si>
    <t>LQ-EB633C9270A8E8D4</t>
  </si>
  <si>
    <t>LQ-D839AF7DEAD64AC3</t>
  </si>
  <si>
    <t>How can i lower credit</t>
  </si>
  <si>
    <t>LQ-F1F937BC869D36A0</t>
  </si>
  <si>
    <t>LQ-C7370ECECB1DC2EC</t>
  </si>
  <si>
    <t>LQ-9F7B204C3AA7EA65</t>
  </si>
  <si>
    <t>College debt consolidation</t>
  </si>
  <si>
    <t>LQ-C56B547C283A90E2</t>
  </si>
  <si>
    <t>Debt eliminator</t>
  </si>
  <si>
    <t>LQ-E5A9771938E75313</t>
  </si>
  <si>
    <t>LQ-65DD581EF5CA03F1</t>
  </si>
  <si>
    <t>LQ-8079AA0F215C37DE</t>
  </si>
  <si>
    <t>LQ-568D4EECC6F1F006</t>
  </si>
  <si>
    <t>LQ-C08BBE80DDC327AB</t>
  </si>
  <si>
    <t>LQ-29E3EC6033EA4803</t>
  </si>
  <si>
    <t>LQ-357C5684AF7A1EC6</t>
  </si>
  <si>
    <t>LQ-F1B7D9E06C3037DA</t>
  </si>
  <si>
    <t>Superior debt</t>
  </si>
  <si>
    <t>LQ-20671942305CCB6F</t>
  </si>
  <si>
    <t>New leaf debt</t>
  </si>
  <si>
    <t>LQ-052AA6A218C3050B</t>
  </si>
  <si>
    <t>Lower Payments (LV)</t>
  </si>
  <si>
    <t>LQ-52D1515BE553200A</t>
  </si>
  <si>
    <t>LQ-6EF2EC9F621C5F28</t>
  </si>
  <si>
    <t>LQ-77DF1271598EBE44</t>
  </si>
  <si>
    <t>LQ-17AD2BEE60D63C19</t>
  </si>
  <si>
    <t>LQ-ADCE40CA7E164C84</t>
  </si>
  <si>
    <t>LQ-A680DA7ADFE05003</t>
  </si>
  <si>
    <t>LQ-FDE691B416072392</t>
  </si>
  <si>
    <t>us.mc821.mail.yahoo.com</t>
  </si>
  <si>
    <t>LQ-6F4DBFBAF8F5B2F7</t>
  </si>
  <si>
    <t>LQ-C00AACDF46DD03BA</t>
  </si>
  <si>
    <t>LQ-6FF24998FFC5AF60</t>
  </si>
  <si>
    <t>LQ-FD354F5BBE8AB76E</t>
  </si>
  <si>
    <t>LQ-310FE14AED9DD141</t>
  </si>
  <si>
    <t>LQ-49BD65F82190EF23</t>
  </si>
  <si>
    <t>American debt consolidation</t>
  </si>
  <si>
    <t>LQ-AE1AC292155BC6B3</t>
  </si>
  <si>
    <t>LQ-D089EA209E7E348C</t>
  </si>
  <si>
    <t>LQ-2DF62A3EA590BB31</t>
  </si>
  <si>
    <t>LQ-D64306528C133A3B</t>
  </si>
  <si>
    <t>LQ-A860D1BACF6A7B9B</t>
  </si>
  <si>
    <t>LQ-D0A6FB84638BC679</t>
  </si>
  <si>
    <t>National debt initiative division</t>
  </si>
  <si>
    <t>LQ-6AA6FD92E8B72021</t>
  </si>
  <si>
    <t>LQ-480BE37AA3390DB0</t>
  </si>
  <si>
    <t>LQ-71CBA09819AFA477</t>
  </si>
  <si>
    <t>LQ-7BCB2A7310ADCBA1</t>
  </si>
  <si>
    <t>LQ-0C5B3CE4FC5F1A92</t>
  </si>
  <si>
    <t>LQ-A3350FD1470AB332</t>
  </si>
  <si>
    <t>LQ-FF2438C00CBDDAD6</t>
  </si>
  <si>
    <t>LQ-DCDB5EE6850C8F6E</t>
  </si>
  <si>
    <t>us.mc587.mail.yahoo.com</t>
  </si>
  <si>
    <t>LQ-4A09CCFD5FF12154</t>
  </si>
  <si>
    <t>LQ-558FF2F14CC8C9DC</t>
  </si>
  <si>
    <t>search26.info.com</t>
  </si>
  <si>
    <t>LQ-5A1BB36A5147458D</t>
  </si>
  <si>
    <t>www.couponmountain.com</t>
  </si>
  <si>
    <t>LQ-D452A21CF7C775EF</t>
  </si>
  <si>
    <t>financialplan.about.com</t>
  </si>
  <si>
    <t>Debt negotiation tips</t>
  </si>
  <si>
    <t>LQ-BEDC8994435EE5D8</t>
  </si>
  <si>
    <t>www.answerbag.com</t>
  </si>
  <si>
    <t>LQ-B1F1368BB67F6736</t>
  </si>
  <si>
    <t>LQ-0D81A32AE3C0CB4C</t>
  </si>
  <si>
    <t>LQ-81056FF99ABC9B74</t>
  </si>
  <si>
    <t>www.lifescript.com</t>
  </si>
  <si>
    <t>LQ-4E3E56EA278F3E7D</t>
  </si>
  <si>
    <t>LQ-A1215F173D88744D</t>
  </si>
  <si>
    <t>LQ-E70ACE9F8C92D6CA</t>
  </si>
  <si>
    <t>LQ-6E856FEB207CD833</t>
  </si>
  <si>
    <t>LQ-4A2EF3267C24367A</t>
  </si>
  <si>
    <t>LQ-383EFA2F43D35701</t>
  </si>
  <si>
    <t>LQ-BD5EF38370E984BE</t>
  </si>
  <si>
    <t>www.edfincial.com</t>
  </si>
  <si>
    <t>LQ-5C697000143B28D3</t>
  </si>
  <si>
    <t>LQ-3E92944A962E62EE</t>
  </si>
  <si>
    <t>Reliance debt relief</t>
  </si>
  <si>
    <t>LQ-0D4CCD5C6A99616A</t>
  </si>
  <si>
    <t>LQ-88EE278541BE21D2</t>
  </si>
  <si>
    <t>LQ-654238A9EB20386B</t>
  </si>
  <si>
    <t>search.alot.com</t>
  </si>
  <si>
    <t>LQ-75E25AFB74F8D936</t>
  </si>
  <si>
    <t>my.att.net</t>
  </si>
  <si>
    <t>LQ-6FF1E4D384843495</t>
  </si>
  <si>
    <t>LQ-CAC741AD86EA4817</t>
  </si>
  <si>
    <t>LQ-3DD66EA71F2C8C7B</t>
  </si>
  <si>
    <t>LQ-5110BAA3615B6368</t>
  </si>
  <si>
    <t>LQ-1ECFCC1F738164EF</t>
  </si>
  <si>
    <t>LQ-267872A0EABA03B7</t>
  </si>
  <si>
    <t>LQ-7FD63232BEA10F21</t>
  </si>
  <si>
    <t>us.mc639.mail.yahoo.com</t>
  </si>
  <si>
    <t>LQ-CF6317828EFAE3F5</t>
  </si>
  <si>
    <t>LQ-79C46E28539EB232</t>
  </si>
  <si>
    <t>LQ-A9A3049BC0A5B324</t>
  </si>
  <si>
    <t>LQ-7ED1E460E0C4EF71</t>
  </si>
  <si>
    <t>LQ-7E2DA79C4D2B9540</t>
  </si>
  <si>
    <t>LQ-A2675FC117074C35</t>
  </si>
  <si>
    <t>LQ-EB5A403E347DE17A</t>
  </si>
  <si>
    <t>state - YSM Restructure (05/29/09)</t>
  </si>
  <si>
    <t>Debt Solution (LV)</t>
  </si>
  <si>
    <t>LQ-21CCDD201FFFB8BA</t>
  </si>
  <si>
    <t>LQ-C83634F27991F831</t>
  </si>
  <si>
    <t>LQ-4D343C8CDA704A0C</t>
  </si>
  <si>
    <t>LQ-617FC178DB583DEF</t>
  </si>
  <si>
    <t>LQ-AEEC0B6CA02D5B1E</t>
  </si>
  <si>
    <t>LQ-FD8AC2B2893BD19C</t>
  </si>
  <si>
    <t>LQ-F2F5128DDB181D26</t>
  </si>
  <si>
    <t>LQ-9E8AEB9A1F4847A5</t>
  </si>
  <si>
    <t>LQ-E0F073D8F8D6AFC7</t>
  </si>
  <si>
    <t>LQ-C2F8FE1C45716D3C</t>
  </si>
  <si>
    <t>LQ-838D9FA802AEE9D3</t>
  </si>
  <si>
    <t>LQ-6C29A7FC3D081F83</t>
  </si>
  <si>
    <t>LQ-567569BE73427C51</t>
  </si>
  <si>
    <t>Consumer debt advocate reviews</t>
  </si>
  <si>
    <t>LQ-BEEB990C56623EB9</t>
  </si>
  <si>
    <t>www.ndparking.com</t>
  </si>
  <si>
    <t>LQ-A1F05A4C78725943</t>
  </si>
  <si>
    <t>search.rr.com</t>
  </si>
  <si>
    <t>Superior debt service</t>
  </si>
  <si>
    <t>LQ-1A54D5887C25793F</t>
  </si>
  <si>
    <t>LQ-DF994048E14FDE35</t>
  </si>
  <si>
    <t>Safe harbor debt management</t>
  </si>
  <si>
    <t>LQ-6806F21C08659821</t>
  </si>
  <si>
    <t>educationexcels.com</t>
  </si>
  <si>
    <t>LQ-C5ED1CAF2F986816</t>
  </si>
  <si>
    <t>LQ-930D67C17D3E72D2</t>
  </si>
  <si>
    <t>webmail.aol.com</t>
  </si>
  <si>
    <t>LQ-EAE52DFD44E23FC2</t>
  </si>
  <si>
    <t>LQ-CEB44ACFD4F15B37</t>
  </si>
  <si>
    <t>LQ-7F09DEC9F1F71F5E</t>
  </si>
  <si>
    <t>Unsecured Debt Consolidation Loan</t>
  </si>
  <si>
    <t>LQ-3FB036E1E8C82436</t>
  </si>
  <si>
    <t>wiki.answers.com</t>
  </si>
  <si>
    <t>LQ-508692F2845E5CDD</t>
  </si>
  <si>
    <t>LQ-E6B3CC2A00B185ED</t>
  </si>
  <si>
    <t>cnn.search.aol.com</t>
  </si>
  <si>
    <t>LQ-DC54102372142CD6</t>
  </si>
  <si>
    <t>LQ-3065273CAE691508</t>
  </si>
  <si>
    <t>LQ-2757463DD005D8E9</t>
  </si>
  <si>
    <t>LQ-BD18731BC46E538D</t>
  </si>
  <si>
    <t>LQ-83BFDAF60F52CE52</t>
  </si>
  <si>
    <t>LQ-64BDCC0B61A11FCF</t>
  </si>
  <si>
    <t>www.att.net</t>
  </si>
  <si>
    <t>LQ-E025F07ABDA2987F</t>
  </si>
  <si>
    <t>LQ-13A6B15F0964F468</t>
  </si>
  <si>
    <t>LQ-0DCDD55897A8C982</t>
  </si>
  <si>
    <t>LQ-F83B5CF72AF1BBD3</t>
  </si>
  <si>
    <t>LQ-0B06FB2B2E90433F</t>
  </si>
  <si>
    <t>LQ-5F13057B3924E879</t>
  </si>
  <si>
    <t>LQ-FAC0329D81E7F1DF</t>
  </si>
  <si>
    <t>LQ-4233883F9EB0F84F</t>
  </si>
  <si>
    <t>LQ-0EEEDB5973A62C95</t>
  </si>
  <si>
    <t>LQ-7E8FA465C5187794</t>
  </si>
  <si>
    <t>LQ-3332BCD0EDFCA9C7</t>
  </si>
  <si>
    <t>Dedt cures</t>
  </si>
  <si>
    <t>LQ-B7D0C94F9241DED5</t>
  </si>
  <si>
    <t>LQ-49E084CBBF005213</t>
  </si>
  <si>
    <t>LQ-FE15F36B11B1D33D</t>
  </si>
  <si>
    <t>www.federaldebtrelief.com</t>
  </si>
  <si>
    <t>LQ-83B63BA8DFD73B44</t>
  </si>
  <si>
    <t>LQ-EFD374EAFC2D0EDE</t>
  </si>
  <si>
    <t>LQ-F807BBAD5314D6E5</t>
  </si>
  <si>
    <t>LQ-C977CDDC491C6D2C</t>
  </si>
  <si>
    <t>LQ-72635333E705C5B6</t>
  </si>
  <si>
    <t>LQ-346DD2E272B6B29B</t>
  </si>
  <si>
    <t>LQ-C5A69871CC7C7D20</t>
  </si>
  <si>
    <t>LQ-0ADEA30C0060E647</t>
  </si>
  <si>
    <t>LQ-615A36DF652C8050</t>
  </si>
  <si>
    <t>LQ-9B1FF3F415C01266</t>
  </si>
  <si>
    <t>LQ-F1AD2D4481F57DAF</t>
  </si>
  <si>
    <t>freefromdebt.com</t>
  </si>
  <si>
    <t>LQ-5F886AD3639ACCEC</t>
  </si>
  <si>
    <t>LQ-AFF29259F5F680AD</t>
  </si>
  <si>
    <t>LQ-F906AC79D19B2134</t>
  </si>
  <si>
    <t>LQ-A7CBDF5791EDFAE7</t>
  </si>
  <si>
    <t>us.mc391.mail.yahoo.com</t>
  </si>
  <si>
    <t>LQ-563B2659E29CE229</t>
  </si>
  <si>
    <t>LQ-8DD7945EF44391B1</t>
  </si>
  <si>
    <t>LQ-1BFD0BD275165DD4</t>
  </si>
  <si>
    <t>LQ-F65524898F36532B</t>
  </si>
  <si>
    <t>LQ-23B1024DC5DA3B27</t>
  </si>
  <si>
    <t>LQ-E115637B4E49D181</t>
  </si>
  <si>
    <t>LQ-CF87C8F46DE10F2D</t>
  </si>
  <si>
    <t>us.mc448.mail.yahoo.com</t>
  </si>
  <si>
    <t>LQ-486304DF718BF180</t>
  </si>
  <si>
    <t>LQ-470F8AD1B1B6B646</t>
  </si>
  <si>
    <t>LQ-C07E85DE35AA8099</t>
  </si>
  <si>
    <t>wwww11.charter.net</t>
  </si>
  <si>
    <t>LQ-C5D21A001D94F371</t>
  </si>
  <si>
    <t>LQ-96192C1C2AD19B23</t>
  </si>
  <si>
    <t>LQ-97612CEE19CD430F</t>
  </si>
  <si>
    <t>www.megasearch.biz</t>
  </si>
  <si>
    <t>LQ-D4BCD0E0C1A5221F</t>
  </si>
  <si>
    <t>us.mc370.mail.yahoo.com</t>
  </si>
  <si>
    <t>LQ-500754F57F1A5206</t>
  </si>
  <si>
    <t>LQ-79C20A4F5A7AB8F5</t>
  </si>
  <si>
    <t>LQ-AF18A09174363998</t>
  </si>
  <si>
    <t>LQ-6AA297188B45C19B</t>
  </si>
  <si>
    <t>LQ-F0AD8FBBE1D5A7D1</t>
  </si>
  <si>
    <t>LQ-808A4D6F5A4D39BE</t>
  </si>
  <si>
    <t>LQ-392704DE631EBF42</t>
  </si>
  <si>
    <t>us.mc462.mail.yahoo.com</t>
  </si>
  <si>
    <t>LQ-51C16245007D0777</t>
  </si>
  <si>
    <t>by120w.bay120.mail.live.com</t>
  </si>
  <si>
    <t>LQ-B91A1506C13A62F4</t>
  </si>
  <si>
    <t>www.consolidationcompanies.com</t>
  </si>
  <si>
    <t>Debt Company - high volume</t>
  </si>
  <si>
    <t>LQ-726E3C9782DCB571</t>
  </si>
  <si>
    <t>LQ-CF5B19E57419DD5B</t>
  </si>
  <si>
    <t>LQ-16A1B5D507C4DC0A</t>
  </si>
  <si>
    <t>LQ-AF03EE65BC0D130F</t>
  </si>
  <si>
    <t>www.thefreedictionary.com</t>
  </si>
  <si>
    <t>LQ-B64D3049D684D26D</t>
  </si>
  <si>
    <t>LQ-84775CFC77CECBF1</t>
  </si>
  <si>
    <t>LQ-C93AD7EF3324D71E</t>
  </si>
  <si>
    <t>LQ-A885CEEF0D61FDD9</t>
  </si>
  <si>
    <t>LQ-01D8CC9863A57FBA</t>
  </si>
  <si>
    <t>www.altavista.com</t>
  </si>
  <si>
    <t>LQ-5804078CC6877FDB</t>
  </si>
  <si>
    <t>wwk.searchresults.gci.net</t>
  </si>
  <si>
    <t>LQ-47289067105C5AF1</t>
  </si>
  <si>
    <t>www.ezcreditrepair.com</t>
  </si>
  <si>
    <t>LQ-653E7951A6074A7C</t>
  </si>
  <si>
    <t>LQ-5B029550F49558B2</t>
  </si>
  <si>
    <t>How to reduce credit card interest rates</t>
  </si>
  <si>
    <t>LQ-C24BDE9F038BB8B3</t>
  </si>
  <si>
    <t>LQ-9ABF8366CFFB148E</t>
  </si>
  <si>
    <t>LQ-D1121F8D8DF2D3BA</t>
  </si>
  <si>
    <t>LQ-4B1BFE6402D49A09</t>
  </si>
  <si>
    <t>LQ-955EC5014FD71AC3</t>
  </si>
  <si>
    <t>www.lowpriceshopper.com</t>
  </si>
  <si>
    <t>LQ-CC24EE9BCD2EBD10</t>
  </si>
  <si>
    <t>Debt collection in texas</t>
  </si>
  <si>
    <t>LQ-D8E6ED577ED2602D</t>
  </si>
  <si>
    <t>LQ-79B8FD7E96A92ACD</t>
  </si>
  <si>
    <t>LQ-9BC70823C108BFBC</t>
  </si>
  <si>
    <t>finance.kosmix.com</t>
  </si>
  <si>
    <t>LQ-7076D0C964431695</t>
  </si>
  <si>
    <t>LQ-2BB1BF2C129D5F06</t>
  </si>
  <si>
    <t>LQ-496382512183682E</t>
  </si>
  <si>
    <t>LQ-7C7DFE05BE53F55D</t>
  </si>
  <si>
    <t>LQ-DDF5DABE6DADC377</t>
  </si>
  <si>
    <t>LQ-6C954EBF15F6B502</t>
  </si>
  <si>
    <t>LQ-175998657B4ABA9D</t>
  </si>
  <si>
    <t>LQ-1704A66173F2BD15</t>
  </si>
  <si>
    <t>Debt Misspell</t>
  </si>
  <si>
    <t>Debf</t>
  </si>
  <si>
    <t>LQ-D32CFFD4CD42B620</t>
  </si>
  <si>
    <t>LQ-05F3FBD6748DD70D</t>
  </si>
  <si>
    <t>LQ-C2015EABF1F15516</t>
  </si>
  <si>
    <t>LQ-4F643BB84B7A2657</t>
  </si>
  <si>
    <t>www.profileonline.com</t>
  </si>
  <si>
    <t>LQ-903F6CF9462F6B52</t>
  </si>
  <si>
    <t>LQ-7DA7E3261889B092</t>
  </si>
  <si>
    <t>www.dontpayitback.com</t>
  </si>
  <si>
    <t>LQ-D2D690AA3FFBB83B</t>
  </si>
  <si>
    <t>LQ-35CA4F25FFF2B127</t>
  </si>
  <si>
    <t>Debt elimination calculator</t>
  </si>
  <si>
    <t>LQ-8E1C563ED1B4F79D</t>
  </si>
  <si>
    <t>LQ-566590F07475DDE4</t>
  </si>
  <si>
    <t>www.debtspaidoff.com</t>
  </si>
  <si>
    <t>LQ-BDD6687FC7AC3CA6</t>
  </si>
  <si>
    <t>LQ-D96E40B1476DA44D</t>
  </si>
  <si>
    <t>How to reduce credit card interest</t>
  </si>
  <si>
    <t>LQ-C87F206EF4602855</t>
  </si>
  <si>
    <t>LQ-2477A65F256E3005</t>
  </si>
  <si>
    <t>LQ-DCAE6A47AA7E83C0</t>
  </si>
  <si>
    <t>LQ-E08F61E2E4DBB135</t>
  </si>
  <si>
    <t>LQ-3DF02242053CD637</t>
  </si>
  <si>
    <t>home.myhughesnet.com</t>
  </si>
  <si>
    <t>LQ-3BBAEB67A6386A8A</t>
  </si>
  <si>
    <t>LQ-E696B97B332B6AC6</t>
  </si>
  <si>
    <t>LQ-5AF9793E0F92E7AB</t>
  </si>
  <si>
    <t>Get out of credit debt</t>
  </si>
  <si>
    <t>LQ-5AB87E196936FE25</t>
  </si>
  <si>
    <t>LQ-B39C9191085AFBF2</t>
  </si>
  <si>
    <t>purelocal.com</t>
  </si>
  <si>
    <t>LQ-400585AAE843DB03</t>
  </si>
  <si>
    <t>How to lower credit card interest rates</t>
  </si>
  <si>
    <t>LQ-75BC06AD1BCD1C78</t>
  </si>
  <si>
    <t>LQ-49182110AC4F8157</t>
  </si>
  <si>
    <t>LQ-214E871C251C295B</t>
  </si>
  <si>
    <t>LQ-4B911DB3108EC7CE</t>
  </si>
  <si>
    <t>LQ-052D5CB941FCF08E</t>
  </si>
  <si>
    <t>LQ-99189BE99574DD3A</t>
  </si>
  <si>
    <t>LQ-B98487E43A0B122F</t>
  </si>
  <si>
    <t>LQ-4CEB088DF7546BE1</t>
  </si>
  <si>
    <t>LQ-98B010CD21F6ED86</t>
  </si>
  <si>
    <t>www.msnbc.msn.com</t>
  </si>
  <si>
    <t>LQ-1FB45FE01D1D7431</t>
  </si>
  <si>
    <t>LQ-F6628F823616041F</t>
  </si>
  <si>
    <t>us.mc574.mail.yahoo.com</t>
  </si>
  <si>
    <t>LQ-2054D3DD1170ED01</t>
  </si>
  <si>
    <t>Debt recovery</t>
  </si>
  <si>
    <t>LQ-027CDC9D3A11BBA7</t>
  </si>
  <si>
    <t>LQ-F0EC2DBB2C216037</t>
  </si>
  <si>
    <t>Debt collectors</t>
  </si>
  <si>
    <t>LQ-EC82D655513230AE</t>
  </si>
  <si>
    <t>www.local.com</t>
  </si>
  <si>
    <t>LQ-164F9D82DF37BA6E</t>
  </si>
  <si>
    <t>LQ-4F4FF5F52767821D</t>
  </si>
  <si>
    <t>LQ-1ECED22A16A34717</t>
  </si>
  <si>
    <t>LQ-16458685E408FCE5</t>
  </si>
  <si>
    <t>Msnbc debt relief</t>
  </si>
  <si>
    <t>LQ-A32FA8F31ED3567F</t>
  </si>
  <si>
    <t>search.comcast.net</t>
  </si>
  <si>
    <t>How to lower monthly payments</t>
  </si>
  <si>
    <t>LQ-AD67A8BBA7027CE3</t>
  </si>
  <si>
    <t>LQ-C05B09729CCA071B</t>
  </si>
  <si>
    <t>LQ-623CF6DD369CBABB</t>
  </si>
  <si>
    <t>LQ-6DFCF539AAFE4572</t>
  </si>
  <si>
    <t>LQ-D722AA0741161FCC</t>
  </si>
  <si>
    <t>LQ-0DFC39691BE2C02B</t>
  </si>
  <si>
    <t>LQ-C23DD303D85FDBAB</t>
  </si>
  <si>
    <t>LQ-1F7466F4CF08DDB0</t>
  </si>
  <si>
    <t>LQ-63D5699E843E0461</t>
  </si>
  <si>
    <t>LQ-4BF26A2F5FBB50CD</t>
  </si>
  <si>
    <t>LQ-24F7285640CAA43E</t>
  </si>
  <si>
    <t>LQ-DC14B218F4AF78AF</t>
  </si>
  <si>
    <t>articles.directorym.com</t>
  </si>
  <si>
    <t>LQ-1CAF7A5272885A8A</t>
  </si>
  <si>
    <t>LQ-28CB257B48E71661</t>
  </si>
  <si>
    <t>LQ-B1B91A1AF377369F</t>
  </si>
  <si>
    <t>LQ-377C6815D5083EA4</t>
  </si>
  <si>
    <t>LQ-25B3B69B7BCBAFA3</t>
  </si>
  <si>
    <t>LQ-5F96DC42F3429297</t>
  </si>
  <si>
    <t>creditunion.com</t>
  </si>
  <si>
    <t>LQ-38D558486529C76E</t>
  </si>
  <si>
    <t>LQ-FE5A4EB1564B87C8</t>
  </si>
  <si>
    <t>LQ-11A4C59988CED2DD</t>
  </si>
  <si>
    <t>LQ-70DE4BAE238FA579</t>
  </si>
  <si>
    <t>www.crawler.com</t>
  </si>
  <si>
    <t>LQ-02C65F1DDE86C9F4</t>
  </si>
  <si>
    <t>LQ-A448504E89155478</t>
  </si>
  <si>
    <t>LQ-4F39F7998E58A4E2</t>
  </si>
  <si>
    <t>search.embarq.com</t>
  </si>
  <si>
    <t>LQ-25C0CAD8C5434DD6</t>
  </si>
  <si>
    <t>Government grants for debt</t>
  </si>
  <si>
    <t>LQ-A96A189DD13B2C45</t>
  </si>
  <si>
    <t>LQ-2660455D49C91199</t>
  </si>
  <si>
    <t>federalstudentloanconsolidation.org</t>
  </si>
  <si>
    <t>LQ-F1026D429CF2E822</t>
  </si>
  <si>
    <t>www.shopica.com</t>
  </si>
  <si>
    <t>LQ-620FE464213BB1DF</t>
  </si>
  <si>
    <t>LQ-53FB8A386BFE658A</t>
  </si>
  <si>
    <t>LQ-DC0BF6C20299B647</t>
  </si>
  <si>
    <t>Ross dept stores</t>
  </si>
  <si>
    <t>LQ-CB7198FCDA56BEB6</t>
  </si>
  <si>
    <t>Student Debt Consolidation</t>
  </si>
  <si>
    <t>LQ-639DC2A22E707693</t>
  </si>
  <si>
    <t>LQ-93A62AA149CB1BB3</t>
  </si>
  <si>
    <t>LQ-7E72D166C685B5BF</t>
  </si>
  <si>
    <t>LQ-31C7E644E534E7A2</t>
  </si>
  <si>
    <t>Debt negotiation letter</t>
  </si>
  <si>
    <t>LQ-9C6B138A75F638A9</t>
  </si>
  <si>
    <t>LQ-43DEE6D1BC6C3D8B</t>
  </si>
  <si>
    <t>LQ-C72EB6CE620EAD86</t>
  </si>
  <si>
    <t>LQ-FBBF17EF8D8369B5</t>
  </si>
  <si>
    <t>LQ-97FF5F1CEB2B5C91</t>
  </si>
  <si>
    <t>results.freeze.com</t>
  </si>
  <si>
    <t>LQ-2B208D7CB6778F9E</t>
  </si>
  <si>
    <t>LQ-ADC76FAD6DA59A00</t>
  </si>
  <si>
    <t>LQ-D497EE8DAAB6F6D2</t>
  </si>
  <si>
    <t>LQ-75538B99602E9544</t>
  </si>
  <si>
    <t>LQ-A90A7FC30BEECAB7</t>
  </si>
  <si>
    <t>LQ-918D0D480313B506</t>
  </si>
  <si>
    <t>LQ-C1EC8D53FC5D25BE</t>
  </si>
  <si>
    <t>LQ-4EBE40D2D08213FA</t>
  </si>
  <si>
    <t>LQ-8915C3A24762E76F</t>
  </si>
  <si>
    <t>LQ-4DD2F181A75EB921</t>
  </si>
  <si>
    <t>LQ-19C0E3CB674AA1E0</t>
  </si>
  <si>
    <t>LQ-9D11B58E37F3BB74</t>
  </si>
  <si>
    <t>LQ-F62AF6396DEE13CE</t>
  </si>
  <si>
    <t>LQ-C3AD9DEF4B310714</t>
  </si>
  <si>
    <t>LQ-FBD6D6FF436DD93D</t>
  </si>
  <si>
    <t>LQ-6E732EB4663FF282</t>
  </si>
  <si>
    <t>Visa debt</t>
  </si>
  <si>
    <t>LQ-2950CAF729B4CF71</t>
  </si>
  <si>
    <t>LQ-A80B9824A21E68C7</t>
  </si>
  <si>
    <t>LQ-9FCB28E8113914FA</t>
  </si>
  <si>
    <t>LQ-E817D3B635364877</t>
  </si>
  <si>
    <t>Debtors court</t>
  </si>
  <si>
    <t>LQ-783ACF9ED2594C0F</t>
  </si>
  <si>
    <t>us.mc456.mail.yahoo.com</t>
  </si>
  <si>
    <t>LQ-161ABEE17CDBE956</t>
  </si>
  <si>
    <t>LQ-CD69306BBE6846F0</t>
  </si>
  <si>
    <t>LQ-DDDC791A1D6E0022</t>
  </si>
  <si>
    <t>LQ-7DC88E55A15C78D8</t>
  </si>
  <si>
    <t>Lower monthly mortgage payments</t>
  </si>
  <si>
    <t>LQ-935383CBC6318492</t>
  </si>
  <si>
    <t>LQ-C2C37FF9BBEAA7D9</t>
  </si>
  <si>
    <t>LQ-915781B7F3F57777</t>
  </si>
  <si>
    <t>Student and credit card debt</t>
  </si>
  <si>
    <t>LQ-A18B71ABDC57E265</t>
  </si>
  <si>
    <t>LQ-CE94206EC0F6CF29</t>
  </si>
  <si>
    <t>LQ-667902D37C5CFDDE</t>
  </si>
  <si>
    <t>LQ-C0DE2EA0BD61EA3D</t>
  </si>
  <si>
    <t>LQ-1334998BA53A78D8</t>
  </si>
  <si>
    <t>www.blogcatalog.com</t>
  </si>
  <si>
    <t>Do it yourself debt negotiation</t>
  </si>
  <si>
    <t>LQ-AC58D597A92A9B5A</t>
  </si>
  <si>
    <t>www.who.is</t>
  </si>
  <si>
    <t>LQ-7CC43E0D415ADA2A</t>
  </si>
  <si>
    <t>LQ-DEBAACB7BF140E9F</t>
  </si>
  <si>
    <t>LQ-9BC6ECB76BAE8EE5</t>
  </si>
  <si>
    <t>LQ-66394AA4B9239E6A</t>
  </si>
  <si>
    <t>LQ-E2F21D6AB195843B</t>
  </si>
  <si>
    <t>moneyfor20s.about.com</t>
  </si>
  <si>
    <t>LQ-E25861C886BDD133</t>
  </si>
  <si>
    <t>LQ-84BF6F0247012970</t>
  </si>
  <si>
    <t>LQ-D9B5F1F81C83CDD9</t>
  </si>
  <si>
    <t>us.mc366.mail.yahoo.com</t>
  </si>
  <si>
    <t>LQ-4EA5A294AE99A683</t>
  </si>
  <si>
    <t>LQ-CF51B85A9284DA13</t>
  </si>
  <si>
    <t>LQ-047AA3AF4724B753</t>
  </si>
  <si>
    <t>lds.families.com</t>
  </si>
  <si>
    <t>LQ-9F9350FA79A173B1</t>
  </si>
  <si>
    <t>LQ-999A7B0C6F119489</t>
  </si>
  <si>
    <t>LQ-F8F38BE4458F9D49</t>
  </si>
  <si>
    <t>LQ-B91B68781EFB0D35</t>
  </si>
  <si>
    <t>LQ-401FDD3684F2A6BB</t>
  </si>
  <si>
    <t>LQ-AF703733DF56FD4F</t>
  </si>
  <si>
    <t>LQ-D3401A263970C14D</t>
  </si>
  <si>
    <t>LQ-748253E50C49A12B</t>
  </si>
  <si>
    <t>LQ-4C3F06F26DF38AA5</t>
  </si>
  <si>
    <t>LQ-D283CFF0447A1A5E</t>
  </si>
  <si>
    <t>LQ-963450B1646A4E60</t>
  </si>
  <si>
    <t>LQ-C28C15FA9F4F3A1E</t>
  </si>
  <si>
    <t>viewbmx.com</t>
  </si>
  <si>
    <t>LQ-D63958DF4F383587</t>
  </si>
  <si>
    <t>LQ-1823E7C3FD073557</t>
  </si>
  <si>
    <t>How to pay debt</t>
  </si>
  <si>
    <t>LQ-A30AD544C09F5AE8</t>
  </si>
  <si>
    <t>LQ-A258248D2EFCDF85</t>
  </si>
  <si>
    <t>LQ-2157425090D4C963</t>
  </si>
  <si>
    <t>LQ-C7E497BD496C2D2E</t>
  </si>
  <si>
    <t>www.charter.net</t>
  </si>
  <si>
    <t>LQ-F3DFEE98825E2161</t>
  </si>
  <si>
    <t>LQ-CB05A0FBE7D9FE53</t>
  </si>
  <si>
    <t>LQ-5CDC18B68D5F7CA2</t>
  </si>
  <si>
    <t>Debt relief</t>
  </si>
  <si>
    <t>LQ-F0F48D7E46F6927A</t>
  </si>
  <si>
    <t>ndparking.com</t>
  </si>
  <si>
    <t>LQ-EA6269B3C0361C1B</t>
  </si>
  <si>
    <t>LQ-ED26C82FE667B3A6</t>
  </si>
  <si>
    <t>LQ-F8D10BEB66F58B2F</t>
  </si>
  <si>
    <t>LQ-06D246441188A8B3</t>
  </si>
  <si>
    <t>LQ-450944CAE0DF9D99</t>
  </si>
  <si>
    <t>LQ-2D19515EBE2736D3</t>
  </si>
  <si>
    <t>LQ-5B887FE5D947EF81</t>
  </si>
  <si>
    <t>LQ-8A5E26B276D30839</t>
  </si>
  <si>
    <t>Unsecured debt consolidation</t>
  </si>
  <si>
    <t>LQ-4F84EEF037B01969</t>
  </si>
  <si>
    <t>LQ-A9A6FF09B99176DC</t>
  </si>
  <si>
    <t>LQ-2746DC7FB5FECA8C</t>
  </si>
  <si>
    <t>LQ-98D7B7980015F173</t>
  </si>
  <si>
    <t>Loan for personal debt</t>
  </si>
  <si>
    <t>LQ-0D9851851FBAACF4</t>
  </si>
  <si>
    <t>LQ-DD2C2F30BB1F50B3</t>
  </si>
  <si>
    <t>LQ-D929FEF56C3FD747</t>
  </si>
  <si>
    <t>LQ-BE7D336421F14523</t>
  </si>
  <si>
    <t>LQ-C8CCD7C16BA1FDE0</t>
  </si>
  <si>
    <t>LQ-2EDC491371B6176F</t>
  </si>
  <si>
    <t>LQ-C35EF1EF6B3E7FD7</t>
  </si>
  <si>
    <t>LQ-77359FF204D727E4</t>
  </si>
  <si>
    <t>ads.cnn.com</t>
  </si>
  <si>
    <t>LQ-0F07B9C5EED8EA1E</t>
  </si>
  <si>
    <t>How do i lower my credit card interest rate</t>
  </si>
  <si>
    <t>LQ-D69CA9F9E19F793F</t>
  </si>
  <si>
    <t>LQ-DDBDA7647E6DA34C</t>
  </si>
  <si>
    <t>LQ-61FC39C812C63BE4</t>
  </si>
  <si>
    <t>Debt america</t>
  </si>
  <si>
    <t>LQ-2E473FB9AA29CB48</t>
  </si>
  <si>
    <t>LQ-0F2E978076F7B699</t>
  </si>
  <si>
    <t>How to reduce credit card</t>
  </si>
  <si>
    <t>LQ-AB78CBCD8154FA2F</t>
  </si>
  <si>
    <t>LQ-D21DC32833B87F82</t>
  </si>
  <si>
    <t>LQ-C4C0692FF99FFC66</t>
  </si>
  <si>
    <t>Debt advice line</t>
  </si>
  <si>
    <t>LQ-3DE51A0BA6FC6B2B</t>
  </si>
  <si>
    <t>LQ-3A3A30F40FCF3704</t>
  </si>
  <si>
    <t>rollerhockeystick.com</t>
  </si>
  <si>
    <t>LQ-896E71025303E1FB</t>
  </si>
  <si>
    <t>LQ-BF6BCDC096D64E25</t>
  </si>
  <si>
    <t>LQ-3789A0B92F564F52</t>
  </si>
  <si>
    <t>LQ-30EDA3495922996C</t>
  </si>
  <si>
    <t>geonlineserice.com</t>
  </si>
  <si>
    <t>LQ-FF34A20AEC5433CB</t>
  </si>
  <si>
    <t>LQ-187B779EBB479996</t>
  </si>
  <si>
    <t>LQ-A0380E1722105F2D</t>
  </si>
  <si>
    <t>Federal debt relief system</t>
  </si>
  <si>
    <t>LQ-5CC49E8D293855EC</t>
  </si>
  <si>
    <t>toolbar.inbox.com</t>
  </si>
  <si>
    <t>Debit</t>
  </si>
  <si>
    <t>LQ-08C4CD601683582B</t>
  </si>
  <si>
    <t>cosovowar.com</t>
  </si>
  <si>
    <t>LQ-FD4B2FD2F45B5AD5</t>
  </si>
  <si>
    <t>LQ-9C8DEF6A1DC71A2E</t>
  </si>
  <si>
    <t>LQ-95DB2DFA985A6BEB</t>
  </si>
  <si>
    <t>LQ-634986105D4FF46C</t>
  </si>
  <si>
    <t>Chapter 7 Bankruptcy (LV)</t>
  </si>
  <si>
    <t>LQ-2434E174660B6858</t>
  </si>
  <si>
    <t>LQ-6F9CFD30B796E7EB</t>
  </si>
  <si>
    <t>us.mc308.mail.yahoo.com</t>
  </si>
  <si>
    <t>LQ-A9CDA92F9CC0DEE8</t>
  </si>
  <si>
    <t>LQ-0FA20B9BCE89E5AD</t>
  </si>
  <si>
    <t>LQ-E3C626DF77A28F73</t>
  </si>
  <si>
    <t>LQ-F6EBB9FC9C2C467F</t>
  </si>
  <si>
    <t>LQ-39569AA908A89340</t>
  </si>
  <si>
    <t>LQ-B6A7421864971072</t>
  </si>
  <si>
    <t>chirotalk.proboards.com</t>
  </si>
  <si>
    <t>LQ-0E1FAC4F9B45B269</t>
  </si>
  <si>
    <t>LQ-5C50210A4E20420B</t>
  </si>
  <si>
    <t>LQ-4031630F6C1FD03B</t>
  </si>
  <si>
    <t>LQ-6B924148C003C487</t>
  </si>
  <si>
    <t>LQ-460A2A94E1FD32DF</t>
  </si>
  <si>
    <t>www.consolidatebills.com</t>
  </si>
  <si>
    <t>LQ-E80DE0842373C07F</t>
  </si>
  <si>
    <t>LQ-72D91286818E0EF1</t>
  </si>
  <si>
    <t>LQ-D6189933066ABD7A</t>
  </si>
  <si>
    <t>news.search.yahoo.com</t>
  </si>
  <si>
    <t>LQ-A8CAF3C845BCF8CE</t>
  </si>
  <si>
    <t>LQ-56071D9087B94691</t>
  </si>
  <si>
    <t>LQ-BD3CCB826DE7B346</t>
  </si>
  <si>
    <t>webmailb.juno.com</t>
  </si>
  <si>
    <t>LQ-A5DC5965B3089AFC</t>
  </si>
  <si>
    <t>Debt shield scam</t>
  </si>
  <si>
    <t>LQ-3EF05D54C4FC3FA2</t>
  </si>
  <si>
    <t>LQ-276E0528ED71A362</t>
  </si>
  <si>
    <t>LQ-15B8C4B6E0718B81</t>
  </si>
  <si>
    <t>LQ-49203C596E8AB759</t>
  </si>
  <si>
    <t>us.mg1.mail.yahoo.com</t>
  </si>
  <si>
    <t>LQ-6A8978D7BE180911</t>
  </si>
  <si>
    <t>LQ-6036FC72D4EC06DD</t>
  </si>
  <si>
    <t>LQ-F72D01860EF89548</t>
  </si>
  <si>
    <t>Debt Settlement</t>
  </si>
  <si>
    <t>LQ-9E99D4554E1FA044</t>
  </si>
  <si>
    <t>LQ-82151125F7909314</t>
  </si>
  <si>
    <t>LQ-988676304F51ECD2</t>
  </si>
  <si>
    <t>search7.info.com</t>
  </si>
  <si>
    <t>LQ-7BA8F2DB501B6F1E</t>
  </si>
  <si>
    <t>Debt rite</t>
  </si>
  <si>
    <t>LQ-E50CEE6E1722D0E0</t>
  </si>
  <si>
    <t>LQ-21626BB6F3BFFA42</t>
  </si>
  <si>
    <t>LQ-B3E61E9388402A4D</t>
  </si>
  <si>
    <t>LQ-D4CB83E294CE5499</t>
  </si>
  <si>
    <t>LQ-61C2E8EF75627903</t>
  </si>
  <si>
    <t>LQ-6663237F6F5F25A5</t>
  </si>
  <si>
    <t>LQ-B1974B628A9EE810</t>
  </si>
  <si>
    <t>search.conduit.com</t>
  </si>
  <si>
    <t>LQ-37F6D3FC107DFE75</t>
  </si>
  <si>
    <t>LQ-551D01110912D1EA</t>
  </si>
  <si>
    <t>Best way to get out of debt</t>
  </si>
  <si>
    <t>LQ-7134E62641E3CA8C</t>
  </si>
  <si>
    <t>LQ-7E8E8D7E581DE6E9</t>
  </si>
  <si>
    <t>Debt collector harassment</t>
  </si>
  <si>
    <t>LQ-BB0D1C16C53241BC</t>
  </si>
  <si>
    <t>LQ-576BBB58C41C9B66</t>
  </si>
  <si>
    <t>Debt payoff</t>
  </si>
  <si>
    <t>LQ-86B5F8207A52D87C</t>
  </si>
  <si>
    <t>LQ-52797D518E535CEC</t>
  </si>
  <si>
    <t>LQ-2F3BC9A9AF49D707</t>
  </si>
  <si>
    <t>LQ-8247EE49AB2AF915</t>
  </si>
  <si>
    <t>LQ-8B8FBC0E8A4C9516</t>
  </si>
  <si>
    <t>LQ-E634EC5F536FCB0C</t>
  </si>
  <si>
    <t>LQ-704BABF774D9C120</t>
  </si>
  <si>
    <t>LQ-710B1C1EB7D69F70</t>
  </si>
  <si>
    <t>Debt negotiation</t>
  </si>
  <si>
    <t>LQ-2997A2F159D949BD</t>
  </si>
  <si>
    <t>Repo debt</t>
  </si>
  <si>
    <t>LQ-430436CDDBEF7745</t>
  </si>
  <si>
    <t>LQ-4BD1072530F2ED58</t>
  </si>
  <si>
    <t>LQ-007D3946EA2103DB</t>
  </si>
  <si>
    <t>LQ-C8C0C29CF4A39204</t>
  </si>
  <si>
    <t>jinguihotel.com</t>
  </si>
  <si>
    <t>LQ-4DFE45EA9BB8A3DE</t>
  </si>
  <si>
    <t>www.incomathome.com</t>
  </si>
  <si>
    <t>LQ-33553FAD3F4F3DA3</t>
  </si>
  <si>
    <t>Private loan default</t>
  </si>
  <si>
    <t>LQ-929B568D5B643725</t>
  </si>
  <si>
    <t>LQ-1FDC2D780F65D71A</t>
  </si>
  <si>
    <t>LQ-9398A771C95167ED</t>
  </si>
  <si>
    <t>LQ-CE8F9FB80E820231</t>
  </si>
  <si>
    <t>LQ-7C8C54713C4B880A</t>
  </si>
  <si>
    <t>LQ-3C238B1A1A376BAE</t>
  </si>
  <si>
    <t>LQ-354611CE1F253FE1</t>
  </si>
  <si>
    <t>LQ-22B2F99C4719254D</t>
  </si>
  <si>
    <t>sz0120.wc.mail.comcast.net</t>
  </si>
  <si>
    <t>LQ-5BC52D55F19A3BA6</t>
  </si>
  <si>
    <t>beginnersinvest.about.com</t>
  </si>
  <si>
    <t>LQ-03E6D7CE8EA85CC2</t>
  </si>
  <si>
    <t>LQ-DA47F6BF249BB449</t>
  </si>
  <si>
    <t>LQ-5C5C9968E47A1646</t>
  </si>
  <si>
    <t>LQ-F997378007635100</t>
  </si>
  <si>
    <t>LQ-751C9E0EE507BD30</t>
  </si>
  <si>
    <t>LQ-28F7A04075C7E623</t>
  </si>
  <si>
    <t>LQ-880E6A3CCD3237B0</t>
  </si>
  <si>
    <t>LQ-C00B1624854A8259</t>
  </si>
  <si>
    <t>www.thefreelibrary.com</t>
  </si>
  <si>
    <t>LQ-8F6F66BDBD0F4BA3</t>
  </si>
  <si>
    <t>LQ-633676EDB7C67E47</t>
  </si>
  <si>
    <t>LQ-F726AFDF778DF7B1</t>
  </si>
  <si>
    <t>LQ-34382A577F347CB3</t>
  </si>
  <si>
    <t>LQ-A8F3DF64990397FB</t>
  </si>
  <si>
    <t>LQ-6338947619EE354B</t>
  </si>
  <si>
    <t>wwww.citibankstudentloan.com</t>
  </si>
  <si>
    <t>LQ-CA212984D908D067</t>
  </si>
  <si>
    <t>LQ-1293D9A1A61907FF</t>
  </si>
  <si>
    <t>LQ-EB1E15F8CD3E5611</t>
  </si>
  <si>
    <t>LQ-FBC4A2FCA6A85AA9</t>
  </si>
  <si>
    <t>LQ-8B859B86F5EDDF9B</t>
  </si>
  <si>
    <t>LQ-CF01606E5BE17170</t>
  </si>
  <si>
    <t>LQ-5D7F99C6A92CE7A1</t>
  </si>
  <si>
    <t>LQ-15CF08876D09C2B7</t>
  </si>
  <si>
    <t>LQ-7002C24B2A9C54B0</t>
  </si>
  <si>
    <t>LQ-479F4F8B64FA9BBE</t>
  </si>
  <si>
    <t>LQ-E2C7CF47931E592B</t>
  </si>
  <si>
    <t>LQ-50FA91ED8E9A7BDD</t>
  </si>
  <si>
    <t>LQ-2BEB8653EB28B8CE</t>
  </si>
  <si>
    <t>LQ-DBAED21885859CE9</t>
  </si>
  <si>
    <t>LQ-3E3419CBF8D90EDF</t>
  </si>
  <si>
    <t>LQ-9E8C9D900F6AA7B0</t>
  </si>
  <si>
    <t>Rbt com</t>
  </si>
  <si>
    <t>LQ-D04B1CC28D274BB5</t>
  </si>
  <si>
    <t>www.allbusiness.com</t>
  </si>
  <si>
    <t>LQ-C70A298B924D5800</t>
  </si>
  <si>
    <t>LQ-7527A50872D97FF1</t>
  </si>
  <si>
    <t>www.manta.com</t>
  </si>
  <si>
    <t>LQ-1FF6F15138D45EF8</t>
  </si>
  <si>
    <t>LQ-A60B1FB46CD77D1F</t>
  </si>
  <si>
    <t>LQ-896E4801AEBE1AE0</t>
  </si>
  <si>
    <t>pages.us.com</t>
  </si>
  <si>
    <t>LQ-8D562B460B6EEBA2</t>
  </si>
  <si>
    <t>LQ-871535F444C77C49</t>
  </si>
  <si>
    <t>LQ-30E30A751A2EF26D</t>
  </si>
  <si>
    <t>LQ-5088C93BEF125A82</t>
  </si>
  <si>
    <t>LQ-F50D1449242DBAA1</t>
  </si>
  <si>
    <t>Non profit debt</t>
  </si>
  <si>
    <t>LQ-6AB0546783EF6017</t>
  </si>
  <si>
    <t>LQ-3E5A2D31B5E581E5</t>
  </si>
  <si>
    <t>LQ-448485DBBFD1DB2B</t>
  </si>
  <si>
    <t>us.mc588.mail.yahoo.com</t>
  </si>
  <si>
    <t>LQ-206B592455E2E53B</t>
  </si>
  <si>
    <t>Debt counselors</t>
  </si>
  <si>
    <t>LQ-96F959D57ECA5288</t>
  </si>
  <si>
    <t>LQ-3F8746234D44CEA8</t>
  </si>
  <si>
    <t>LQ-EF310C5B9CD19228</t>
  </si>
  <si>
    <t>usaspace.net</t>
  </si>
  <si>
    <t>LQ-529E37A976BC02F5</t>
  </si>
  <si>
    <t>LQ-37DEA596A31C1EED</t>
  </si>
  <si>
    <t>LQ-5D09723F589769E5</t>
  </si>
  <si>
    <t>LQ-F836ECD721F0FC5B</t>
  </si>
  <si>
    <t>LQ-A120F374F29C5ADA</t>
  </si>
  <si>
    <t>www.businessweek.com</t>
  </si>
  <si>
    <t>LQ-666C4D81B0A2B0B2</t>
  </si>
  <si>
    <t>LQ-D4D4723106AE88CE</t>
  </si>
  <si>
    <t>LQ-A52F5CDBD893FA7A</t>
  </si>
  <si>
    <t>LQ-129DE13079121D4D</t>
  </si>
  <si>
    <t>LQ-A664621FE8A256D7</t>
  </si>
  <si>
    <t>LQ-64ABCCBCB96DD1C1</t>
  </si>
  <si>
    <t>LQ-D007BE074B45FD6C</t>
  </si>
  <si>
    <t>LQ-C827A06CBA0B13F5</t>
  </si>
  <si>
    <t>us.mc388.mail.yahoo.com</t>
  </si>
  <si>
    <t>LQ-B284C2064709D981</t>
  </si>
  <si>
    <t>LQ-0F021BD3A249BE61</t>
  </si>
  <si>
    <t>LQ-9621E631EE50BC39</t>
  </si>
  <si>
    <t>Debt consolidation non profit</t>
  </si>
  <si>
    <t>LQ-141B78BA7CB6D591</t>
  </si>
  <si>
    <t>LQ-10A28B8759CEC941</t>
  </si>
  <si>
    <t>jointsuccession.com</t>
  </si>
  <si>
    <t>LQ-E521F5031C81C46F</t>
  </si>
  <si>
    <t>Debt snowball</t>
  </si>
  <si>
    <t>LQ-379F2A4F8D5E7CCB</t>
  </si>
  <si>
    <t>LQ-FDCBF7B4A71068AF</t>
  </si>
  <si>
    <t>LQ-1ECDACA2EAD9ABD8</t>
  </si>
  <si>
    <t>LQ-B78F1DB29E5BECFB</t>
  </si>
  <si>
    <t>LQ-3250F7205D626CD7</t>
  </si>
  <si>
    <t>us.mg2.mail.yahoo.com</t>
  </si>
  <si>
    <t>LQ-608CD038AEB7C969</t>
  </si>
  <si>
    <t>www.lawguru.com</t>
  </si>
  <si>
    <t>How Settle</t>
  </si>
  <si>
    <t>How do i settle debt</t>
  </si>
  <si>
    <t>LQ-B9494ED901608DD9</t>
  </si>
  <si>
    <t>LQ-2B2C69A9B37B96A4</t>
  </si>
  <si>
    <t>womeninbusiness.about.com</t>
  </si>
  <si>
    <t>LQ-5DA91DB2AC0F5AB0</t>
  </si>
  <si>
    <t>LQ-36AB5856F154D9BD</t>
  </si>
  <si>
    <t>LQ-FF4F2F135AA203EE</t>
  </si>
  <si>
    <t>LQ-EAF2A6039E4807DA</t>
  </si>
  <si>
    <t>LQ-F3521BD6DC5C89DC</t>
  </si>
  <si>
    <t>search.viewpoint.com</t>
  </si>
  <si>
    <t>LQ-D17C5FAD68671CBF</t>
  </si>
  <si>
    <t>LQ-919B9167BD886B2B</t>
  </si>
  <si>
    <t>LQ-B3C05C21F89F724D</t>
  </si>
  <si>
    <t>LQ-957EF6297302376A</t>
  </si>
  <si>
    <t>us.mc344.mail.yahoo.com</t>
  </si>
  <si>
    <t>LQ-BCDEBFFB8BB23B3C</t>
  </si>
  <si>
    <t>LQ-8C3B69281BA89F6C</t>
  </si>
  <si>
    <t>LQ-0D6EE318A0F39834</t>
  </si>
  <si>
    <t>LQ-517323EE19115877</t>
  </si>
  <si>
    <t>LQ-FE1577DBBB635400</t>
  </si>
  <si>
    <t>LQ-E75C5036B94527E2</t>
  </si>
  <si>
    <t>search.myway.com</t>
  </si>
  <si>
    <t>LQ-CA13E53460FF6DAB</t>
  </si>
  <si>
    <t>LQ-5445D48DBB353C37</t>
  </si>
  <si>
    <t>LQ-DC9B6A6DF8FC6B56</t>
  </si>
  <si>
    <t>LQ-8E411831EB2E578A</t>
  </si>
  <si>
    <t>LQ-1D4AA4172B9CC10C</t>
  </si>
  <si>
    <t>LQ-B0B43DDBFED0CB4A</t>
  </si>
  <si>
    <t>search23.info.com</t>
  </si>
  <si>
    <t>LQ-29BC1A72EAA94C7E</t>
  </si>
  <si>
    <t>LQ-8C38AF2260A8F9D9</t>
  </si>
  <si>
    <t>LQ-31F412D86F6FCC86</t>
  </si>
  <si>
    <t>LQ-C83A72039CD9B05E</t>
  </si>
  <si>
    <t>LQ-3BB4C2E44A2B52A6</t>
  </si>
  <si>
    <t>LQ-19DEEC2904793D3E</t>
  </si>
  <si>
    <t>LQ-FBF2AA5DF4145360</t>
  </si>
  <si>
    <t>LQ-BBFC2B09D14B86C5</t>
  </si>
  <si>
    <t>LQ-1BA5606D54007D26</t>
  </si>
  <si>
    <t>LQ-30D992261C78B0FF</t>
  </si>
  <si>
    <t>LQ-0CF061410966BC71</t>
  </si>
  <si>
    <t>LQ-1EA3828086DDA3CD</t>
  </si>
  <si>
    <t>LQ-6FB50D7BFC364BF9</t>
  </si>
  <si>
    <t>LQ-92ACEEA3CD05B565</t>
  </si>
  <si>
    <t>LQ-1656093445A62829</t>
  </si>
  <si>
    <t>LQ-AE78DB753AF3B2B0</t>
  </si>
  <si>
    <t>LQ-C726DF70358E4B66</t>
  </si>
  <si>
    <t>LQ-ED54CB1A82D199D3</t>
  </si>
  <si>
    <t>LQ-DD1381F6479F0444</t>
  </si>
  <si>
    <t>LQ-F4E17AEE599C3587</t>
  </si>
  <si>
    <t>LQ-EDE2990B2C5DDAC4</t>
  </si>
  <si>
    <t>Credit Card Debt Company</t>
  </si>
  <si>
    <t>LQ-927907FF677B5759</t>
  </si>
  <si>
    <t>LQ-CECF8DE570C87E7E</t>
  </si>
  <si>
    <t>LQ-D30C09778C369DD6</t>
  </si>
  <si>
    <t>LQ-8957320D1EF9C7EA</t>
  </si>
  <si>
    <t>Unsecured debt</t>
  </si>
  <si>
    <t>LQ-DF453F2986AFFED4</t>
  </si>
  <si>
    <t>LQ-1186D57CB2AAFAA9</t>
  </si>
  <si>
    <t>micorreo.univision.com</t>
  </si>
  <si>
    <t>LQ-BA4C89B5D5844A09</t>
  </si>
  <si>
    <t>LQ-1242B8A00037D4F7</t>
  </si>
  <si>
    <t>answers.yahoo.com</t>
  </si>
  <si>
    <t>LQ-09CBC882EB3835B8</t>
  </si>
  <si>
    <t>LQ-50186837C3C1D67B</t>
  </si>
  <si>
    <t>LQ-82AF9C65B5BD6CB9</t>
  </si>
  <si>
    <t>LQ-F6B00535073F3131</t>
  </si>
  <si>
    <t>LQ-2F79604BF8222A2B</t>
  </si>
  <si>
    <t>LQ-88FF6AD85EB7955D</t>
  </si>
  <si>
    <t>LQ-4C929ABA057BFFAF</t>
  </si>
  <si>
    <t>LQ-961D020BA875D6B8</t>
  </si>
  <si>
    <t>LQ-F584CD2AF344DA0D</t>
  </si>
  <si>
    <t>LQ-DA9F7D12C21A4087</t>
  </si>
  <si>
    <t>How do i find out how much debt i owe</t>
  </si>
  <si>
    <t>LQ-E9098BF5D8B7E47E</t>
  </si>
  <si>
    <t>LQ-FD06957D6778A341</t>
  </si>
  <si>
    <t>LQ-C3411C367C3EBCAD</t>
  </si>
  <si>
    <t>LQ-297398A5B60E35A3</t>
  </si>
  <si>
    <t>LQ-450E4056C0941F80</t>
  </si>
  <si>
    <t>LQ-AE304D29F54B82FE</t>
  </si>
  <si>
    <t>LQ-DAD426E20CDA2711</t>
  </si>
  <si>
    <t>How can i lower my interest rate</t>
  </si>
  <si>
    <t>LQ-AC1B2529AD55D221</t>
  </si>
  <si>
    <t>LQ-6C3BC7B9989DC0AD</t>
  </si>
  <si>
    <t>LQ-4BB012056584BF74</t>
  </si>
  <si>
    <t>LQ-A580A11945EB8FDC</t>
  </si>
  <si>
    <t>LQ-F1C1786ADC658019</t>
  </si>
  <si>
    <t>LQ-71BD4515F1235819</t>
  </si>
  <si>
    <t>Credit card debt law</t>
  </si>
  <si>
    <t>LQ-C521DFF7730A2A6D</t>
  </si>
  <si>
    <t>LQ-1BE489035D7E6AB7</t>
  </si>
  <si>
    <t>LQ-62EFE1EF97B8F0F3</t>
  </si>
  <si>
    <t>Debt_General_-_SN</t>
  </si>
  <si>
    <t>Lower_Payments</t>
  </si>
  <si>
    <t>LQ-37421C010DED28D9</t>
  </si>
  <si>
    <t>www.zimbio.com</t>
  </si>
  <si>
    <t>LQ-932735E9A70BF104</t>
  </si>
  <si>
    <t>www.business.com</t>
  </si>
  <si>
    <t>LQ-BFCB5E31F51A2590</t>
  </si>
  <si>
    <t>LQ-41EA24DE08F3E05F</t>
  </si>
  <si>
    <t>LQ-A241FA8353C69899</t>
  </si>
  <si>
    <t>LQ-FEBDC947C241DAB5</t>
  </si>
  <si>
    <t>LQ-B8723DA8DB73BB57</t>
  </si>
  <si>
    <t>LQ-66040EE922EF3F32</t>
  </si>
  <si>
    <t>LQ-24D3D3BFA343E073</t>
  </si>
  <si>
    <t>LQ-058E5D19D2240027</t>
  </si>
  <si>
    <t>LQ-6F2983EC5F1D2299</t>
  </si>
  <si>
    <t>LQ-6212A5E381529DDC</t>
  </si>
  <si>
    <t>LQ-71B815CA113678DF</t>
  </si>
  <si>
    <t>LQ-B39E612FE7E7A7BC</t>
  </si>
  <si>
    <t>LQ-97EF2C98D1A01215</t>
  </si>
  <si>
    <t>LQ-C580CA718A08B240</t>
  </si>
  <si>
    <t>wwww23.entry-not-found.com</t>
  </si>
  <si>
    <t>LQ-B0E27BE8ACB5851E</t>
  </si>
  <si>
    <t>LQ-6CCD3D47CF49C9E5</t>
  </si>
  <si>
    <t>LQ-39B3A78153B5F148</t>
  </si>
  <si>
    <t>LQ-EDAC58B2DD53E294</t>
  </si>
  <si>
    <t>LQ-CA616824C26CBD0A</t>
  </si>
  <si>
    <t>LQ-BA014698921C8554</t>
  </si>
  <si>
    <t>LQ-54C97328ED7EA344</t>
  </si>
  <si>
    <t>LQ-274E2E9A60A72B45</t>
  </si>
  <si>
    <t>LQ-B83DE249D1A58F90</t>
  </si>
  <si>
    <t>LQ-1C326AB0C9CA9F0E</t>
  </si>
  <si>
    <t>LQ-F554FD7E3D49A735</t>
  </si>
  <si>
    <t>LQ-9DEC5AB282142E21</t>
  </si>
  <si>
    <t>ww15.sitefindservice.net</t>
  </si>
  <si>
    <t>LQ-6DC3F0C3451CC366</t>
  </si>
  <si>
    <t>LQ-AAA4D0C6BE8172B9</t>
  </si>
  <si>
    <t>LQ-9E3D3DCA46AC2179</t>
  </si>
  <si>
    <t>LQ-E5EE4A667D2F6000</t>
  </si>
  <si>
    <t>LQ-5F2671B863E94829</t>
  </si>
  <si>
    <t>LQ-DDE15DD58E73EBA0</t>
  </si>
  <si>
    <t>helpersdebt.com</t>
  </si>
  <si>
    <t>LQ-E1099C4375EAABB5</t>
  </si>
  <si>
    <t>LQ-10ED2CD7526C87B2</t>
  </si>
  <si>
    <t>LQ-74EBA58A51E5E84C</t>
  </si>
  <si>
    <t>LQ-3E77573DA6143F6A</t>
  </si>
  <si>
    <t>LQ-745CA97E061051AF</t>
  </si>
  <si>
    <t>LQ-5CAE8D20F86E7F94</t>
  </si>
  <si>
    <t>LQ-BCCA2B6BC0A81822</t>
  </si>
  <si>
    <t>www.getoutofdebttoday.com</t>
  </si>
  <si>
    <t>LQ-944C953F15565E5D</t>
  </si>
  <si>
    <t>LQ-1F24BF946CF19A1D</t>
  </si>
  <si>
    <t>How to reduce credit card payments</t>
  </si>
  <si>
    <t>LQ-CD608982B9CACDC8</t>
  </si>
  <si>
    <t>LQ-E8190C556CBB5BFB</t>
  </si>
  <si>
    <t>LQ-C3E5F4D096EB5CB6</t>
  </si>
  <si>
    <t>LQ-0B6DA5E8ACB5C0D2</t>
  </si>
  <si>
    <t>LQ-D3CA794837BEB46C</t>
  </si>
  <si>
    <t>LQ-EE83C05A2B855BE5</t>
  </si>
  <si>
    <t>LQ-4CD14CC81DE908F6</t>
  </si>
  <si>
    <t>LQ-B4E1945682DFEBB7</t>
  </si>
  <si>
    <t>LQ-46FE6CC04A664E7C</t>
  </si>
  <si>
    <t>LQ-EC289D6E0CD50A80</t>
  </si>
  <si>
    <t>LQ-6F29083FB28F32C0</t>
  </si>
  <si>
    <t>LQ-F800551F2E13718F</t>
  </si>
  <si>
    <t>LQ-BD2561787A301F94</t>
  </si>
  <si>
    <t>Education debt reduction program</t>
  </si>
  <si>
    <t>LQ-0792F15F6005DD1B</t>
  </si>
  <si>
    <t>True debt advisor</t>
  </si>
  <si>
    <t>LQ-77EFC823A89EDA69</t>
  </si>
  <si>
    <t>LQ-3178EE6AB02488AA</t>
  </si>
  <si>
    <t>LQ-0577AF95E566F36D</t>
  </si>
  <si>
    <t>LQ-07448C59B4BDB41C</t>
  </si>
  <si>
    <t>LQ-0B621BAA4457EAB2</t>
  </si>
  <si>
    <t>LQ-7D0C635C603ACF35</t>
  </si>
  <si>
    <t>LQ-504ABC7A36267228</t>
  </si>
  <si>
    <t>LQ-FF59C589B66C2B03</t>
  </si>
  <si>
    <t>LQ-543B19070B44044F</t>
  </si>
  <si>
    <t>LQ-DD0A05EA5FF63DDE</t>
  </si>
  <si>
    <t>www.getoutofdebt.com</t>
  </si>
  <si>
    <t>LQ-B88B4F6467B7D9F1</t>
  </si>
  <si>
    <t>LQ-5EA4605E60C77915</t>
  </si>
  <si>
    <t>LQ-02ACD381C7C16735</t>
  </si>
  <si>
    <t>LQ-6D4F2F740156368E</t>
  </si>
  <si>
    <t>LQ-29CDAF920F2B8C73</t>
  </si>
  <si>
    <t>LQ-5BAE8BF55D68163C</t>
  </si>
  <si>
    <t>LQ-0755DE9343216832</t>
  </si>
  <si>
    <t>LQ-D6A9A317484A2041</t>
  </si>
  <si>
    <t>LQ-659ACA93C9D38AF7</t>
  </si>
  <si>
    <t>LQ-D801FD0F75386A2B</t>
  </si>
  <si>
    <t>LQ-3FE672E8B2B6F014</t>
  </si>
  <si>
    <t>LQ-70846124EA54F46C</t>
  </si>
  <si>
    <t>search1.info.com</t>
  </si>
  <si>
    <t>LQ-C270B24BBFE5E381</t>
  </si>
  <si>
    <t>Debt reduction calculator</t>
  </si>
  <si>
    <t>LQ-D29986875206B3F3</t>
  </si>
  <si>
    <t>LQ-9419572250A110BF</t>
  </si>
  <si>
    <t>LQ-6FDFDC7D4194F59A</t>
  </si>
  <si>
    <t>directory.ConsumerOnly.com</t>
  </si>
  <si>
    <t>LQ-CA6F700793046291</t>
  </si>
  <si>
    <t>LQ-5E25338CAD5B63F7</t>
  </si>
  <si>
    <t>LQ-788D585409D6FDCD</t>
  </si>
  <si>
    <t>LQ-5FEE8E1C0A677BBE</t>
  </si>
  <si>
    <t>LQ-234A97DCDF1537C2</t>
  </si>
  <si>
    <t>LQ-BF2DB87F4EF26819</t>
  </si>
  <si>
    <t>LQ-BCC88F6B1CB6BB7B</t>
  </si>
  <si>
    <t>LQ-97F0A876C3B6A11F</t>
  </si>
  <si>
    <t>LQ-287C9DEC1B30ACE3</t>
  </si>
  <si>
    <t>www.buzzle.com</t>
  </si>
  <si>
    <t>LQ-F946BABB450C9D7D</t>
  </si>
  <si>
    <t>LQ-870B85ADE86A83BD</t>
  </si>
  <si>
    <t>American debt resources</t>
  </si>
  <si>
    <t>LQ-5FCF70B328015742</t>
  </si>
  <si>
    <t>www.mcall.com</t>
  </si>
  <si>
    <t>LQ-60FB5EC161C7F1A8</t>
  </si>
  <si>
    <t>LQ-6A57D2BE3FEAE3BA</t>
  </si>
  <si>
    <t>LQ-828601066F8BCBE7</t>
  </si>
  <si>
    <t>LQ-146BCAB4B854ADCF</t>
  </si>
  <si>
    <t>LQ-B34B6B8DEEA3638E</t>
  </si>
  <si>
    <t>LQ-297A915B14400A43</t>
  </si>
  <si>
    <t>LQ-DB1C4B902E99BF4F</t>
  </si>
  <si>
    <t>LQ-EE095CB050B23775</t>
  </si>
  <si>
    <t>LQ-FFB9FD33650F0785</t>
  </si>
  <si>
    <t>LQ-5A965C69DF230395</t>
  </si>
  <si>
    <t>LQ-D8A160E1067F96DF</t>
  </si>
  <si>
    <t>LQ-1C46A71D561A7B3A</t>
  </si>
  <si>
    <t>LQ-3CEE95C891E7BB02</t>
  </si>
  <si>
    <t>LQ-D1BFA0AF562CF4F2</t>
  </si>
  <si>
    <t>LQ-578B2FD412E167EC</t>
  </si>
  <si>
    <t>LQ-57E781659638CF46</t>
  </si>
  <si>
    <t>finder.cox.net</t>
  </si>
  <si>
    <t>LQ-134B27E57ECE86E4</t>
  </si>
  <si>
    <t>LQ-4FF0D672CB54683C</t>
  </si>
  <si>
    <t>LQ-0888839775BB69DF</t>
  </si>
  <si>
    <t>LQ-B31ABF259BA142A1</t>
  </si>
  <si>
    <t>LQ-7AF376BCD1E65628</t>
  </si>
  <si>
    <t>ad.doubleclick.net</t>
  </si>
  <si>
    <t>LQ-F1EB735EB3BA5968</t>
  </si>
  <si>
    <t>LQ-ABF67E722FC5189A</t>
  </si>
  <si>
    <t>us.mc827.mail.yahoo.com</t>
  </si>
  <si>
    <t>LQ-DC67439EA767A5DF</t>
  </si>
  <si>
    <t>LQ-9AE54F6295CA1B2E</t>
  </si>
  <si>
    <t>LQ-4D83AA99062F45E3</t>
  </si>
  <si>
    <t>LQ-A8D27DEC086657EC</t>
  </si>
  <si>
    <t>LQ-CB05FA0549ABBA56</t>
  </si>
  <si>
    <t>LQ-A33D54D0C2D4B063</t>
  </si>
  <si>
    <t>LQ-2BFC5D58EB1B54B0</t>
  </si>
  <si>
    <t>Debt cures they dont want you to know about</t>
  </si>
  <si>
    <t>LQ-5352B35174C5964C</t>
  </si>
  <si>
    <t>LQ-4032D45EC1430743</t>
  </si>
  <si>
    <t>LQ-D925FF6A79383DDC</t>
  </si>
  <si>
    <t>LQ-A515971E71FEA473</t>
  </si>
  <si>
    <t>LQ-AD82855BFCE1307A</t>
  </si>
  <si>
    <t>LQ-E324A44E2BCDE8E2</t>
  </si>
  <si>
    <t>LQ-37C790ADC19E8F0C</t>
  </si>
  <si>
    <t>LQ-5E9F96F94B9D65E9</t>
  </si>
  <si>
    <t>LQ-ABDABD75712D6A17</t>
  </si>
  <si>
    <t>LQ-A8FFEAE1BA4378E7</t>
  </si>
  <si>
    <t>LQ-D13758D106DB186D</t>
  </si>
  <si>
    <t>LQ-9E19DA7EBBE32D02</t>
  </si>
  <si>
    <t>General Debt (LV)</t>
  </si>
  <si>
    <t>LQ-287FCF931D498ECC</t>
  </si>
  <si>
    <t>LQ-C03A7BD6D39FB7D0</t>
  </si>
  <si>
    <t>LQ-115825C17E897C50</t>
  </si>
  <si>
    <t>LQ-45F808ADA970D541</t>
  </si>
  <si>
    <t>LQ-98A3AD7C2EF8E6A7</t>
  </si>
  <si>
    <t>www.studentloanhelper.com</t>
  </si>
  <si>
    <t>LQ-02D15165808F0024</t>
  </si>
  <si>
    <t>LQ-3537B7918CB746A7</t>
  </si>
  <si>
    <t>www.orchandbank.com</t>
  </si>
  <si>
    <t>LQ-2DFF9C28FBAC788A</t>
  </si>
  <si>
    <t>LQ-5D7D3D31DAF8EB25</t>
  </si>
  <si>
    <t>LQ-36072A2B7837C53C</t>
  </si>
  <si>
    <t>LQ-B8821FA7CD5A9DA3</t>
  </si>
  <si>
    <t>LQ-4E7FF7AEE97EC683</t>
  </si>
  <si>
    <t>search.cnn.com</t>
  </si>
  <si>
    <t>Get me out of debt</t>
  </si>
  <si>
    <t>LQ-BD2A951CB65200B9</t>
  </si>
  <si>
    <t>LQ-1799BB577610D934</t>
  </si>
  <si>
    <t>us.mc823.mail.yahoo.com</t>
  </si>
  <si>
    <t>LQ-00E0F5B6B85A67BE</t>
  </si>
  <si>
    <t>LQ-6823382F41D82509</t>
  </si>
  <si>
    <t>LQ-A7266B9FA890C9EC</t>
  </si>
  <si>
    <t>LQ-67C84C5272FEF0F2</t>
  </si>
  <si>
    <t>www.kevintradeau.com</t>
  </si>
  <si>
    <t>LQ-C0ED6C07567383A4</t>
  </si>
  <si>
    <t>LQ-35063A835362FC67</t>
  </si>
  <si>
    <t>LQ-DC4A9810030E074C</t>
  </si>
  <si>
    <t>LQ-0275B6AB400DDF76</t>
  </si>
  <si>
    <t>LQ-B70A9000F8E09C1C</t>
  </si>
  <si>
    <t>LQ-AF0FEE1AA904784D</t>
  </si>
  <si>
    <t>LQ-D81CE610395F01D1</t>
  </si>
  <si>
    <t>Advertise.com</t>
  </si>
  <si>
    <t>www.abcjmp.com</t>
  </si>
  <si>
    <t>LQ-1F052D9EF3CB8969</t>
  </si>
  <si>
    <t>LQ-1352B718E43722BD</t>
  </si>
  <si>
    <t>Loan debt</t>
  </si>
  <si>
    <t>LQ-FA6BCE400BBC79C2</t>
  </si>
  <si>
    <t>LQ-B922CC285244F462</t>
  </si>
  <si>
    <t>LQ-E4367CE402B7F87E</t>
  </si>
  <si>
    <t>LQ-0460EC0C68A6208C</t>
  </si>
  <si>
    <t>LQ-A38F822703E43387</t>
  </si>
  <si>
    <t>Paying off debt</t>
  </si>
  <si>
    <t>LQ-EBAA36CF2D8B4CDB</t>
  </si>
  <si>
    <t>LQ-E223FBC31F719351</t>
  </si>
  <si>
    <t>LQ-27552D4ADBA88708</t>
  </si>
  <si>
    <t>LQ-EB49D8C9CD55FF53</t>
  </si>
  <si>
    <t>LQ-948D38A4CAFAE744</t>
  </si>
  <si>
    <t>LQ-75F3F58C5FDC4569</t>
  </si>
  <si>
    <t>LQ-F2E56C3E1853CAC1</t>
  </si>
  <si>
    <t>LQ-6571702BBA9FB8C3</t>
  </si>
  <si>
    <t>LQ-849812B8473A4406</t>
  </si>
  <si>
    <t>LQ-D4C7338F5DE1ABDB</t>
  </si>
  <si>
    <t>www.fairdebtcollectionpractices.com</t>
  </si>
  <si>
    <t>LQ-FDF698186801EF0E</t>
  </si>
  <si>
    <t>LQ-51675D40C8DEAB79</t>
  </si>
  <si>
    <t>LQ-082AC068EBCD06B5</t>
  </si>
  <si>
    <t>LQ-4A2238E09D831D74</t>
  </si>
  <si>
    <t>Student debt consolidation</t>
  </si>
  <si>
    <t>LQ-74248A4F0BFD1E1D</t>
  </si>
  <si>
    <t>LQ-881D22B712F24CF3</t>
  </si>
  <si>
    <t>LQ-049310BAFED4E2D9</t>
  </si>
  <si>
    <t>LQ-97411D801B450F8F</t>
  </si>
  <si>
    <t>Credit Bill Consolidation</t>
  </si>
  <si>
    <t>LQ-2C911731D07260B0</t>
  </si>
  <si>
    <t>LQ-861746D6827A600C</t>
  </si>
  <si>
    <t>LQ-909D6ABD9847C773</t>
  </si>
  <si>
    <t>LQ-428566B1DD6C3184</t>
  </si>
  <si>
    <t>LQ-A0503FC416C01779</t>
  </si>
  <si>
    <t>LQ-F69B12562E37E813</t>
  </si>
  <si>
    <t>LQ-213FC935DEB4EE7F</t>
  </si>
  <si>
    <t>LQ-F3B85550F410949C</t>
  </si>
  <si>
    <t>LQ-991930A45977D414</t>
  </si>
  <si>
    <t>LQ-6F2C9224F848A657</t>
  </si>
  <si>
    <t>LQ-2870EF7F89C80BC2</t>
  </si>
  <si>
    <t>www.attourney.com</t>
  </si>
  <si>
    <t>LQ-FC60FFEECEE90289</t>
  </si>
  <si>
    <t>LQ-CB0935967B45EAA6</t>
  </si>
  <si>
    <t>LQ-3618924B3A20C7B0</t>
  </si>
  <si>
    <t>LQ-714D6E638EE86E9D</t>
  </si>
  <si>
    <t>LQ-2EF4E5AC50590A8D</t>
  </si>
  <si>
    <t>LQ-92F01BA72C47C165</t>
  </si>
  <si>
    <t>LQ-626EC1EDEAAAEA25</t>
  </si>
  <si>
    <t>LQ-DECF18805C647D00</t>
  </si>
  <si>
    <t>LQ-FB2C50CC45FF4AA0</t>
  </si>
  <si>
    <t>LQ-8335C4CC84157560</t>
  </si>
  <si>
    <t>LQ-C96AEE7240DBB472</t>
  </si>
  <si>
    <t>LQ-A7CCE3155F377752</t>
  </si>
  <si>
    <t>Credit counseling services reviews</t>
  </si>
  <si>
    <t>LQ-37A5F006031DEB1D</t>
  </si>
  <si>
    <t>LQ-6E4099A48CB643BD</t>
  </si>
  <si>
    <t>LQ-7433EAE443B50D12</t>
  </si>
  <si>
    <t>LQ-890B2ACF832A1BFD</t>
  </si>
  <si>
    <t>LQ-5C9CE4FEFF49861C</t>
  </si>
  <si>
    <t>LQ-89E89A6179FC6BA9</t>
  </si>
  <si>
    <t>LQ-8AF9425231151A69</t>
  </si>
  <si>
    <t>LQ-B1F65942C4464372</t>
  </si>
  <si>
    <t>LQ-AABFC907DA41A865</t>
  </si>
  <si>
    <t>LQ-834AB95EFA6FDAD7</t>
  </si>
  <si>
    <t>LQ-4239853C97FA5288</t>
  </si>
  <si>
    <t>LQ-C8668C1A50E656E2</t>
  </si>
  <si>
    <t>LQ-0C868790D9778EBA</t>
  </si>
  <si>
    <t>LQ-E1191AFC2F3532FC</t>
  </si>
  <si>
    <t>LQ-0EA839214EF582FC</t>
  </si>
  <si>
    <t>LQ-FE9454029E375EA9</t>
  </si>
  <si>
    <t>LQ-8BB41766878AB551</t>
  </si>
  <si>
    <t>LQ-7370908009927C99</t>
  </si>
  <si>
    <t>LQ-CA42C72A53F9167F</t>
  </si>
  <si>
    <t>LQ-D57E48D918FF33F9</t>
  </si>
  <si>
    <t>National credit card debt</t>
  </si>
  <si>
    <t>LQ-4EADCEFA8777CAC0</t>
  </si>
  <si>
    <t>LQ-1264B40A475610D2</t>
  </si>
  <si>
    <t>LQ-E05544D2E7E9F45F</t>
  </si>
  <si>
    <t>LQ-8A6F5A6589381F92</t>
  </si>
  <si>
    <t>cbs2.com</t>
  </si>
  <si>
    <t>LQ-90F0B79418EF7F5A</t>
  </si>
  <si>
    <t>LQ-54D83C9B48A8D8D7</t>
  </si>
  <si>
    <t>LQ-137886AB987C379F</t>
  </si>
  <si>
    <t>LQ-D3D67AC57D4AAFC5</t>
  </si>
  <si>
    <t>LQ-6F83DAFA3285D557</t>
  </si>
  <si>
    <t>Credit services ma</t>
  </si>
  <si>
    <t>LQ-838F1C26AB01E444</t>
  </si>
  <si>
    <t>LQ-765C8F41F1F0FD86</t>
  </si>
  <si>
    <t>LQ-6F6690DACC4729BC</t>
  </si>
  <si>
    <t>LQ-7441EECED8F22F48</t>
  </si>
  <si>
    <t>LQ-3FE5C2CD7BE82863</t>
  </si>
  <si>
    <t>LQ-8C71C0078ECE33A1</t>
  </si>
  <si>
    <t>LQ-55AB6F3116D77ACB</t>
  </si>
  <si>
    <t>LQ-6AC6D74F026F8FDE</t>
  </si>
  <si>
    <t>LQ-DFF3A28275985FC7</t>
  </si>
  <si>
    <t>LQ-A94CD91C964CE7E3</t>
  </si>
  <si>
    <t>LQ-2E21E78C2E2F4F59</t>
  </si>
  <si>
    <t>LQ-540F7B69A8B69BB2</t>
  </si>
  <si>
    <t>LQ-38F275A48B7896E4</t>
  </si>
  <si>
    <t>www.usa-debt-solutions.com</t>
  </si>
  <si>
    <t>LQ-9A971B91EB091B48</t>
  </si>
  <si>
    <t>LQ-63B0C072B6FA9F7E</t>
  </si>
  <si>
    <t>LQ-F15A4304FA475F82</t>
  </si>
  <si>
    <t>LQ-AB4E19041F3F55E2</t>
  </si>
  <si>
    <t>LQ-AB368F0847DC5D8B</t>
  </si>
  <si>
    <t>LQ-B0EC22999C12D0BF</t>
  </si>
  <si>
    <t>netmail.verizon.net</t>
  </si>
  <si>
    <t>LQ-5ECBB69DECDB7866</t>
  </si>
  <si>
    <t>LQ-AD14310844FE06EE</t>
  </si>
  <si>
    <t>Debtchoice</t>
  </si>
  <si>
    <t>LQ-5040AC5839B2600B</t>
  </si>
  <si>
    <t>int.ask.com</t>
  </si>
  <si>
    <t>LQ-71909D604210DE3A</t>
  </si>
  <si>
    <t>LQ-55575F5F91D5F744</t>
  </si>
  <si>
    <t>LQ-8DCB7DA0D85E10B9</t>
  </si>
  <si>
    <t>LQ-8AEEB1CC8F6FD905</t>
  </si>
  <si>
    <t>www.tvlegalhelp.com</t>
  </si>
  <si>
    <t>LQ-878E08B59A8C7534</t>
  </si>
  <si>
    <t>LQ-02C5EBAC2C5913C8</t>
  </si>
  <si>
    <t>LQ-51B9A0C31302B80C</t>
  </si>
  <si>
    <t>LQ-6D2595E35B6AB8AF</t>
  </si>
  <si>
    <t>LQ-8BDD636CDA837DEF</t>
  </si>
  <si>
    <t>LQ-BD850DC0E268AC50</t>
  </si>
  <si>
    <t>us.mc322.mail.yahoo.com</t>
  </si>
  <si>
    <t>LQ-CA1247E9AF587FA6</t>
  </si>
  <si>
    <t>LQ-6C0CD0BC63EC15EB</t>
  </si>
  <si>
    <t>LQ-DDDF36887D245E04</t>
  </si>
  <si>
    <t>LQ-F14ACF5EB9E266DF</t>
  </si>
  <si>
    <t>LQ-09505BB5093A97DF</t>
  </si>
  <si>
    <t>LQ-E6098264F81A7DE3</t>
  </si>
  <si>
    <t>LQ-11DFBDFA5C9D2150</t>
  </si>
  <si>
    <t>LQ-0CD7FA300FF90E09</t>
  </si>
  <si>
    <t>Transforming debt into wealth</t>
  </si>
  <si>
    <t>LQ-927140DAEC2DF482</t>
  </si>
  <si>
    <t>LQ-9AF1B815638283E0</t>
  </si>
  <si>
    <t>LQ-DA4BD3F83AF7EAB5</t>
  </si>
  <si>
    <t>LQ-28DBB7F29BFB83A2</t>
  </si>
  <si>
    <t>LQ-4884E3A92B4C8DAF</t>
  </si>
  <si>
    <t>LQ-668EE1319DEF55EC</t>
  </si>
  <si>
    <t>www.fairhavengroup.com</t>
  </si>
  <si>
    <t>LQ-76A80605097DF4C9</t>
  </si>
  <si>
    <t>LQ-B94A13EC62C2822E</t>
  </si>
  <si>
    <t>LQ-0AF9E44FDB568537</t>
  </si>
  <si>
    <t>LQ-A22D624CC583D3BA</t>
  </si>
  <si>
    <t>LQ-7C982649E70C34F0</t>
  </si>
  <si>
    <t>spectrumhomeloan.com</t>
  </si>
  <si>
    <t>LQ-48D4D1081E38D0C2</t>
  </si>
  <si>
    <t>LQ-FAC79293B7D92DEB</t>
  </si>
  <si>
    <t>LQ-37AB12B617E60DD6</t>
  </si>
  <si>
    <t>www.orhardbank.com</t>
  </si>
  <si>
    <t>LQ-C77DE739050D57E8</t>
  </si>
  <si>
    <t>LQ-D30692E1134E1BDE</t>
  </si>
  <si>
    <t>LQ-F98A70045813B0A9</t>
  </si>
  <si>
    <t>LQ-0D67C218A0E0677B</t>
  </si>
  <si>
    <t>LQ-64C713049FA369F7</t>
  </si>
  <si>
    <t>LQ-34784FB2DA2CF380</t>
  </si>
  <si>
    <t>Debt free book</t>
  </si>
  <si>
    <t>LQ-E8A5638191F2CFA5</t>
  </si>
  <si>
    <t>LQ-1EDBB7B668265868</t>
  </si>
  <si>
    <t>LQ-2EAA7647E4CBBF6C</t>
  </si>
  <si>
    <t>LQ-680CD21AD2F56D02</t>
  </si>
  <si>
    <t>LQ-B036392D619E4696</t>
  </si>
  <si>
    <t>LQ-5297BDBACCDF6B1E</t>
  </si>
  <si>
    <t>LQ-D1A4FB5B894E3D7D</t>
  </si>
  <si>
    <t>LQ-F7CAEC257FEBB932</t>
  </si>
  <si>
    <t>LQ-7FCA658784544258</t>
  </si>
  <si>
    <t>us.mc431.mail.yahoo.com</t>
  </si>
  <si>
    <t>LQ-F211927541E394AB</t>
  </si>
  <si>
    <t>LQ-D565866361163E5B</t>
  </si>
  <si>
    <t>LQ-3A40D9B5F8FCD1F1</t>
  </si>
  <si>
    <t>LQ-0139283F3E5A0D7D</t>
  </si>
  <si>
    <t>www.linkroll.com</t>
  </si>
  <si>
    <t>LQ-32A62A2EDD171B75</t>
  </si>
  <si>
    <t>LQ-22FBDF8692BEFB34</t>
  </si>
  <si>
    <t>Loan payment default</t>
  </si>
  <si>
    <t>LQ-A4419A138AA67DB6</t>
  </si>
  <si>
    <t>LQ-3B1FF8AF491F7D2D</t>
  </si>
  <si>
    <t>LQ-BA1CDADC1C09EC73</t>
  </si>
  <si>
    <t>LQ-33D07360F8D516AE</t>
  </si>
  <si>
    <t>LQ-2081FB69F62A2A03</t>
  </si>
  <si>
    <t>LQ-B45FAEAF22DCA526</t>
  </si>
  <si>
    <t>LQ-28CA6B73908AA546</t>
  </si>
  <si>
    <t>LQ-3818F47A512D6DAE</t>
  </si>
  <si>
    <t>LQ-BA3AA8DB45461226</t>
  </si>
  <si>
    <t>LQ-8EC6A4EBFBC66979</t>
  </si>
  <si>
    <t>LQ-371B27907D86F470</t>
  </si>
  <si>
    <t>LQ-77CCF4AF3E45A0D4</t>
  </si>
  <si>
    <t>LQ-7A3C99A6C4DF244B</t>
  </si>
  <si>
    <t>LQ-556A2C70A4BBA46C</t>
  </si>
  <si>
    <t>LQ-19C6266C908FFF69</t>
  </si>
  <si>
    <t>LQ-46378256603FE2A2</t>
  </si>
  <si>
    <t>LQ-4A6B1E55DBAA6352</t>
  </si>
  <si>
    <t>LQ-FD19AFAA867223A9</t>
  </si>
  <si>
    <t>LQ-F7158C4ED6844E05</t>
  </si>
  <si>
    <t>LQ-8B4705AA2337B07D</t>
  </si>
  <si>
    <t>LQ-B67780FC4DED2C31</t>
  </si>
  <si>
    <t>LQ-6EC647216F1ED50F</t>
  </si>
  <si>
    <t>LQ-4E951BA36F9203FE</t>
  </si>
  <si>
    <t>LQ-37AC8F01F5E9E94F</t>
  </si>
  <si>
    <t>LQ-C546969948EA47AA</t>
  </si>
  <si>
    <t>LQ-E02ACE35DFFBF475</t>
  </si>
  <si>
    <t>LQ-00E2357B5923161B</t>
  </si>
  <si>
    <t>LQ-621F39D156B9624E</t>
  </si>
  <si>
    <t>LQ-44D099D01E974224</t>
  </si>
  <si>
    <t>LQ-F056591D246F7CE5</t>
  </si>
  <si>
    <t>firsnationalcc.com</t>
  </si>
  <si>
    <t>LQ-33DFD283D87381E1</t>
  </si>
  <si>
    <t>LQ-BC11F21883FFAB67</t>
  </si>
  <si>
    <t>LQ-F8ECA8DE0100AA15</t>
  </si>
  <si>
    <t>LQ-D8A2558D123DA4E0</t>
  </si>
  <si>
    <t>LQ-7CB0B67E288C289A</t>
  </si>
  <si>
    <t>LQ-89527FF93D1D3B3E</t>
  </si>
  <si>
    <t>LQ-882430623E163C2D</t>
  </si>
  <si>
    <t>LQ-20E8EDFD112A42BD</t>
  </si>
  <si>
    <t>LQ-50EDD092EC005EAE</t>
  </si>
  <si>
    <t>LQ-2FA253DDA2D1C12E</t>
  </si>
  <si>
    <t>Settling credit card debt</t>
  </si>
  <si>
    <t>LQ-37FC028B644D1671</t>
  </si>
  <si>
    <t>Debt letters</t>
  </si>
  <si>
    <t>LQ-4F91207A0C219033</t>
  </si>
  <si>
    <t>LQ-36D3F085BCD178ED</t>
  </si>
  <si>
    <t>LQ-F1B7A05DF4F02F7F</t>
  </si>
  <si>
    <t>LQ-5694386CFD124FF6</t>
  </si>
  <si>
    <t>LQ-E446D30797E351E7</t>
  </si>
  <si>
    <t>LQ-A24E67D8C41382C6</t>
  </si>
  <si>
    <t>www.verizon.net</t>
  </si>
  <si>
    <t>LQ-E18D5825D9733912</t>
  </si>
  <si>
    <t>LQ-DA9720A5016F210D</t>
  </si>
  <si>
    <t>LQ-4F5942ACB3F5B600</t>
  </si>
  <si>
    <t>LQ-DED57B9FD6E83BE4</t>
  </si>
  <si>
    <t>LQ-AB507BD339ADB587</t>
  </si>
  <si>
    <t>LQ-773CDDA10D8D619D</t>
  </si>
  <si>
    <t>LQ-55E254894DC7AB3F</t>
  </si>
  <si>
    <t>LQ-5BE08243AF854C07</t>
  </si>
  <si>
    <t>LQ-A494FC784446FFFD</t>
  </si>
  <si>
    <t>LQ-EA7058C6055C75F5</t>
  </si>
  <si>
    <t>LQ-52D2F57F99774EDB</t>
  </si>
  <si>
    <t>LQ-8EFD7DEB020C1EC8</t>
  </si>
  <si>
    <t>LQ-901E052F6D2C9225</t>
  </si>
  <si>
    <t>LQ-8B1481BB62B2D0F6</t>
  </si>
  <si>
    <t>Pacific debt</t>
  </si>
  <si>
    <t>LQ-9C9E6408B8E55B82</t>
  </si>
  <si>
    <t>LQ-5753629E8DEC65BA</t>
  </si>
  <si>
    <t>LQ-D3ED93F2B09E6A4B</t>
  </si>
  <si>
    <t>LQ-7201FF40A01A96AA</t>
  </si>
  <si>
    <t>LQ-794A6842920E81ED</t>
  </si>
  <si>
    <t>LQ-3C7BB2224B9A8B60</t>
  </si>
  <si>
    <t>LQ-D56E7687574FCEC8</t>
  </si>
  <si>
    <t>LQ-D2EB06EC8D0E0C5A</t>
  </si>
  <si>
    <t>LQ-0A92833403777FB8</t>
  </si>
  <si>
    <t>LQ-ED7D4D0468B00D53</t>
  </si>
  <si>
    <t>LQ-1A6B1EA61135E353</t>
  </si>
  <si>
    <t>LQ-87EB52EFE74CCF58</t>
  </si>
  <si>
    <t>LQ-E1E1F1CE0C57193E</t>
  </si>
  <si>
    <t>LQ-1AE5EC0510D46F8E</t>
  </si>
  <si>
    <t>LQ-EFECB5250C723DD3</t>
  </si>
  <si>
    <t>LQ-CF5FAC88C6A073B3</t>
  </si>
  <si>
    <t>Debt Consolidation - high volume (LV)</t>
  </si>
  <si>
    <t>LQ-5A83A4F943046660</t>
  </si>
  <si>
    <t>LQ-D6E2769DE12B1E25</t>
  </si>
  <si>
    <t>LQ-E76F9C313F71594C</t>
  </si>
  <si>
    <t>Bill Consolidation Loan (HV)</t>
  </si>
  <si>
    <t>LQ-63434E33F1CBB68D</t>
  </si>
  <si>
    <t>LQ-329F54852C4EE59C</t>
  </si>
  <si>
    <t>LQ-73B9DDA639518E24</t>
  </si>
  <si>
    <t>onecredit.com</t>
  </si>
  <si>
    <t>LQ-00CB0DEE9D842999</t>
  </si>
  <si>
    <t>LQ-2BD7CB29448E95E6</t>
  </si>
  <si>
    <t>LQ-591BCD2B459868A7</t>
  </si>
  <si>
    <t>LQ-AADA2CCB3C2AF0F9</t>
  </si>
  <si>
    <t>LQ-C92C1564CD563ED6</t>
  </si>
  <si>
    <t>LQ-47F1A31FD9410C47</t>
  </si>
  <si>
    <t>LQ-AC3ED4ED54CD4367</t>
  </si>
  <si>
    <t>LQ-2A286612353398B1</t>
  </si>
  <si>
    <t>LQ-A73DFFC654DE1E20</t>
  </si>
  <si>
    <t>LQ-34FA9F70575BC6DC</t>
  </si>
  <si>
    <t>LQ-13F68BCA120582E8</t>
  </si>
  <si>
    <t>LQ-FD35FD485D44C6D3</t>
  </si>
  <si>
    <t>LQ-F35C98C7DACACE83</t>
  </si>
  <si>
    <t>LQ-4F5EBBF22CF784D3</t>
  </si>
  <si>
    <t>LQ-3A5A9C84329FD278</t>
  </si>
  <si>
    <t>LQ-7C3B2A14114C8188</t>
  </si>
  <si>
    <t>LQ-CCBA9D2188A6DAFB</t>
  </si>
  <si>
    <t>LQ-3815338951122572</t>
  </si>
  <si>
    <t>Chapter 13 Bankruptcy - high volume</t>
  </si>
  <si>
    <t>LQ-4CF4F0B39E3805EF</t>
  </si>
  <si>
    <t>Credit negotiators</t>
  </si>
  <si>
    <t>LQ-62592BB205C5AF04</t>
  </si>
  <si>
    <t>LQ-558DD7A6208BAEBC</t>
  </si>
  <si>
    <t>LQ-BBEADECF47C8B247</t>
  </si>
  <si>
    <t>maps.google.com</t>
  </si>
  <si>
    <t>LQ-30DF24DA38D85795</t>
  </si>
  <si>
    <t>LQ-57844085ADFD9A35</t>
  </si>
  <si>
    <t>LQ-DC020F163A681719</t>
  </si>
  <si>
    <t>www.alphadealt.com</t>
  </si>
  <si>
    <t>LQ-CE020C3D7DC28E63</t>
  </si>
  <si>
    <t>LQ-07184448C4DB9221</t>
  </si>
  <si>
    <t>LQ-69A7551A32138619</t>
  </si>
  <si>
    <t>LQ-DB9AFA0AEFD804FE</t>
  </si>
  <si>
    <t>LQ-62345B8A5591912F</t>
  </si>
  <si>
    <t>LQ-3108D631B8EB7FCA</t>
  </si>
  <si>
    <t>LQ-B7353A0C3681E6D3</t>
  </si>
  <si>
    <t>LQ-19C9661A161A63D2</t>
  </si>
  <si>
    <t>LQ-86EF62F6FD080C41</t>
  </si>
  <si>
    <t>Debt relief program</t>
  </si>
  <si>
    <t>LQ-A99BD78C493479FE</t>
  </si>
  <si>
    <t>LQ-217CB9F28CB0D84F</t>
  </si>
  <si>
    <t>LQ-313941F477999945</t>
  </si>
  <si>
    <t>LQ-33BCEC8C22F13C8D</t>
  </si>
  <si>
    <t>my.bresnan.net</t>
  </si>
  <si>
    <t>Debt services</t>
  </si>
  <si>
    <t>LQ-A4BB656C6FEF1E13</t>
  </si>
  <si>
    <t>LQ-7EEFDC8C4E1C088D</t>
  </si>
  <si>
    <t>LQ-A16207294CA9FAD0</t>
  </si>
  <si>
    <t>Chapter 7</t>
  </si>
  <si>
    <t>LQ-ECDE88F4920059DA</t>
  </si>
  <si>
    <t>LQ-BB3DE0F63B2E1B8B</t>
  </si>
  <si>
    <t>espanol.search.yahoo.com</t>
  </si>
  <si>
    <t>LQ-321BBF4C0BA2B7AF</t>
  </si>
  <si>
    <t>LQ-02D886B35D7D00D2</t>
  </si>
  <si>
    <t>LQ-580D1A4B65F5A042</t>
  </si>
  <si>
    <t>LQ-943818AE9C264982</t>
  </si>
  <si>
    <t>LQ-44BEFA176E9A151E</t>
  </si>
  <si>
    <t>LQ-BC9E455605A783BE</t>
  </si>
  <si>
    <t>LQ-71E6584CE6F36C15</t>
  </si>
  <si>
    <t>by116w.bay116.mail.live.com</t>
  </si>
  <si>
    <t>LQ-0C65FAC4DAA3A3E4</t>
  </si>
  <si>
    <t>LQ-F02EC039F8F52436</t>
  </si>
  <si>
    <t>LQ-73110B7998003A01</t>
  </si>
  <si>
    <t>LQ-F95584B1DB3733D6</t>
  </si>
  <si>
    <t>LQ-BF226CE95221F05E</t>
  </si>
  <si>
    <t>LQ-9E8D9BA9F9BDF979</t>
  </si>
  <si>
    <t>Reduce debt payments</t>
  </si>
  <si>
    <t>LQ-ED98151B12ED994F</t>
  </si>
  <si>
    <t>LQ-BB5985731D89DFED</t>
  </si>
  <si>
    <t>Creditor harassment</t>
  </si>
  <si>
    <t>LQ-CF5266B8B7096C49</t>
  </si>
  <si>
    <t>LQ-4BD8AC496175F157</t>
  </si>
  <si>
    <t>LQ-ADDD7B20D5C18E0D</t>
  </si>
  <si>
    <t>LQ-A6B5C92035308B70</t>
  </si>
  <si>
    <t>LQ-D1CEF0ED81776CAF</t>
  </si>
  <si>
    <t>LQ-F7F7B8735E868AC3</t>
  </si>
  <si>
    <t>LQ-190FC4CA485A7989</t>
  </si>
  <si>
    <t>LQ-BA49D3F80228848F</t>
  </si>
  <si>
    <t>LQ-DA66647CDF355F7C</t>
  </si>
  <si>
    <t>LQ-6E02068B9C2762EC</t>
  </si>
  <si>
    <t>Credit services ca</t>
  </si>
  <si>
    <t>LQ-7C430E84E9D334B2</t>
  </si>
  <si>
    <t>LQ-46CF58DDADE91DB7</t>
  </si>
  <si>
    <t>LQ-41F5D351A8457BB3</t>
  </si>
  <si>
    <t>LQ-45B4F2A76A3F637C</t>
  </si>
  <si>
    <t>LQ-CFA224AF86B61B0C</t>
  </si>
  <si>
    <t>LQ-B5F969F2FE304C5C</t>
  </si>
  <si>
    <t>LQ-2D4491F0D1174FE4</t>
  </si>
  <si>
    <t>LQ-76A45E967BC10812</t>
  </si>
  <si>
    <t>LQ-4383B0F202EF308B</t>
  </si>
  <si>
    <t>LQ-EDB4013FCEC5A2E5</t>
  </si>
  <si>
    <t>LQ-4FA7C32444BB404A</t>
  </si>
  <si>
    <t>How to eliminate debt</t>
  </si>
  <si>
    <t>LQ-0464C50CBCC18F67</t>
  </si>
  <si>
    <t>LQ-FB83A89D86C9FF47</t>
  </si>
  <si>
    <t>LQ-AB42550C9578B00F</t>
  </si>
  <si>
    <t>www.debtconsolidated.com</t>
  </si>
  <si>
    <t>LQ-E5A45939310C0178</t>
  </si>
  <si>
    <t>LQ-DEF9747062289268</t>
  </si>
  <si>
    <t>LQ-ECDB0EC86DD63A02</t>
  </si>
  <si>
    <t>LQ-634931425E067F2C</t>
  </si>
  <si>
    <t>LQ-5DA46AAD6CCBE882</t>
  </si>
  <si>
    <t>LQ-45C2EA2F26A5CA21</t>
  </si>
  <si>
    <t>LQ-93EF49F8452CC593</t>
  </si>
  <si>
    <t>LQ-DD7D059FD7A601BC</t>
  </si>
  <si>
    <t>LQ-811F0869612E735B</t>
  </si>
  <si>
    <t>LQ-44F2B543F39036F8</t>
  </si>
  <si>
    <t>LQ-B2209FC86B7EBD7C</t>
  </si>
  <si>
    <t>www.bankrupty.com</t>
  </si>
  <si>
    <t>LQ-554256E710FED0EB</t>
  </si>
  <si>
    <t>LQ-00BA59AE51F6A707</t>
  </si>
  <si>
    <t>LQ-70FDB7829F408251</t>
  </si>
  <si>
    <t>www.youtube.com</t>
  </si>
  <si>
    <t>Free debt program</t>
  </si>
  <si>
    <t>LQ-F24501E172961227</t>
  </si>
  <si>
    <t>LQ-7435CE515DC69BCC</t>
  </si>
  <si>
    <t>LQ-9881C7618B84B30E</t>
  </si>
  <si>
    <t>LQ-D2F1101A8B97B8C9</t>
  </si>
  <si>
    <t>LQ-4343223FD9970D07</t>
  </si>
  <si>
    <t>LQ-2FFE1FEF546CCECD</t>
  </si>
  <si>
    <t>LQ-9AC72C244E7EE9CB</t>
  </si>
  <si>
    <t>Debt wizard</t>
  </si>
  <si>
    <t>LQ-505A496DD65F35BB</t>
  </si>
  <si>
    <t>LQ-2B31BED86D6FE3F4</t>
  </si>
  <si>
    <t>LQ-086423929637DE2C</t>
  </si>
  <si>
    <t>LQ-81FD4033618FF21A</t>
  </si>
  <si>
    <t>LQ-657759668B1CFFF7</t>
  </si>
  <si>
    <t>LQ-1AF280275A1C0C9F</t>
  </si>
  <si>
    <t>LQ-F735EEF1D848C9F1</t>
  </si>
  <si>
    <t>LQ-B2ECEECDF13A6D0E</t>
  </si>
  <si>
    <t>webmailab.netzero.net</t>
  </si>
  <si>
    <t>LQ-FD4DD8FA25C8B686</t>
  </si>
  <si>
    <t>LQ-9BA73C496028A777</t>
  </si>
  <si>
    <t>LQ-8593C3270A0032EE</t>
  </si>
  <si>
    <t>LQ-C1B7F0FE5736AA15</t>
  </si>
  <si>
    <t>LQ-8FB1C13656A28497</t>
  </si>
  <si>
    <t>LQ-4492BD593C40A4DF</t>
  </si>
  <si>
    <t>LQ-E7E8D9A4B871E52A</t>
  </si>
  <si>
    <t>LQ-9EAE38F29FC92357</t>
  </si>
  <si>
    <t>LQ-E2CFC3646AAAF73C</t>
  </si>
  <si>
    <t>LQ-8E52A2472E06C514</t>
  </si>
  <si>
    <t>LQ-2CD72248992D0759</t>
  </si>
  <si>
    <t>LQ-F2365D29A4426486</t>
  </si>
  <si>
    <t>LQ-48C386C9F745A71F</t>
  </si>
  <si>
    <t>LQ-DF57FD1CDA9F5E9E</t>
  </si>
  <si>
    <t>LQ-9507C042E2ADB084</t>
  </si>
  <si>
    <t>LQ-CE30B38A70FDE6A7</t>
  </si>
  <si>
    <t>LQ-148ED828B0909072</t>
  </si>
  <si>
    <t>LQ-0150A7E805DA75C0</t>
  </si>
  <si>
    <t>searchservice.myspace.com</t>
  </si>
  <si>
    <t>Debet</t>
  </si>
  <si>
    <t>LQ-696790487D4AEE5D</t>
  </si>
  <si>
    <t>LQ-7CA4287CBE5A398A</t>
  </si>
  <si>
    <t>LQ-7D6D4E981AAE4396</t>
  </si>
  <si>
    <t>LQ-25CD2F92D3F1F5A9</t>
  </si>
  <si>
    <t>LQ-379CBBBC27F84424</t>
  </si>
  <si>
    <t>LQ-C3867E64AFE8E169</t>
  </si>
  <si>
    <t>LQ-02D74FAA06C1493B</t>
  </si>
  <si>
    <t>LQ-6B497ECCC8052880</t>
  </si>
  <si>
    <t>LQ-9529CFE98B5F31FE</t>
  </si>
  <si>
    <t>Debt payment schedule</t>
  </si>
  <si>
    <t>LQ-709EE7BA3A7B3108</t>
  </si>
  <si>
    <t>LQ-6BA40B6F994EEC38</t>
  </si>
  <si>
    <t>LQ-C49FD55EED7966C7</t>
  </si>
  <si>
    <t>LQ-E67649AD6E29C531</t>
  </si>
  <si>
    <t>LQ-146BA4120D109E94</t>
  </si>
  <si>
    <t>LQ-B8D9BB4751D1B303</t>
  </si>
  <si>
    <t>LQ-F356F2B7EA0B549E</t>
  </si>
  <si>
    <t>LQ-09E9DB1412CF0339</t>
  </si>
  <si>
    <t>LQ-FBA27A0E479A9726</t>
  </si>
  <si>
    <t>LQ-DE7F5E27036BD0FE</t>
  </si>
  <si>
    <t>LQ-36F1A6DEE6EF9074</t>
  </si>
  <si>
    <t>LQ-37E68D417C2F3604</t>
  </si>
  <si>
    <t>LQ-A0251005EBD9E120</t>
  </si>
  <si>
    <t>How to reduce credit card rate</t>
  </si>
  <si>
    <t>LQ-0DD1B07B5F960BE7</t>
  </si>
  <si>
    <t>www.info.com</t>
  </si>
  <si>
    <t>LQ-229B4D75DCB68F8B</t>
  </si>
  <si>
    <t>LQ-6A2EC28BEBE0BC88</t>
  </si>
  <si>
    <t>www.swagbucks.com</t>
  </si>
  <si>
    <t>LQ-9D135D22DD295898</t>
  </si>
  <si>
    <t>LQ-9C8F86D10FA5EA3D</t>
  </si>
  <si>
    <t>LQ-D59412CF5DAC527B</t>
  </si>
  <si>
    <t>LQ-AB5B17848A3F9ACF</t>
  </si>
  <si>
    <t>LQ-742BDF747DE751A5</t>
  </si>
  <si>
    <t>LQ-0F086A11B69CADF1</t>
  </si>
  <si>
    <t>LQ-4DA0DAA7F33D8341</t>
  </si>
  <si>
    <t>LQ-5D3A47C9334C2577</t>
  </si>
  <si>
    <t>LQ-9E50EAA14CAB1775</t>
  </si>
  <si>
    <t>LQ-7ACECA8C04DC90EA</t>
  </si>
  <si>
    <t>LQ-706DA421AEB26D6B</t>
  </si>
  <si>
    <t>LQ-5297B89122245CD2</t>
  </si>
  <si>
    <t>www.hellolocal.com</t>
  </si>
  <si>
    <t>LQ-BDC8D3693635720B</t>
  </si>
  <si>
    <t>LQ-73BB3031F277376C</t>
  </si>
  <si>
    <t>LQ-6F8770CABFA93E19</t>
  </si>
  <si>
    <t>LQ-8F3D0193E82EECE2</t>
  </si>
  <si>
    <t>LQ-7D93455BABDAD537</t>
  </si>
  <si>
    <t>Reducing student loan debt</t>
  </si>
  <si>
    <t>LQ-960E2260FB8C522C</t>
  </si>
  <si>
    <t>search.cnbc.com</t>
  </si>
  <si>
    <t>LQ-57360102151209E1</t>
  </si>
  <si>
    <t>LQ-221B864A2D1D42B3</t>
  </si>
  <si>
    <t>LQ-D5F74DDEDF1BC6FB</t>
  </si>
  <si>
    <t>LQ-BCB9EA12B036F06C</t>
  </si>
  <si>
    <t>LQ-3BB08D5AF3D5CCE4</t>
  </si>
  <si>
    <t>LQ-270BF63F2CD4EF99</t>
  </si>
  <si>
    <t>LQ-CE8EC2F7FB04E9C8</t>
  </si>
  <si>
    <t>LQ-B60685B342BC845A</t>
  </si>
  <si>
    <t>LQ-046D523CB00E837D</t>
  </si>
  <si>
    <t>LQ-71B0ECDD6CDCA6D0</t>
  </si>
  <si>
    <t>LQ-171585DD98E7B7DE</t>
  </si>
  <si>
    <t>LQ-554CF46606C0ADB5</t>
  </si>
  <si>
    <t>LQ-0B497B8803B75BDB</t>
  </si>
  <si>
    <t>LQ-DA83995D095CDE5B</t>
  </si>
  <si>
    <t>LQ-5AA13289BB3B69F6</t>
  </si>
  <si>
    <t>LQ-C1639931A7507B91</t>
  </si>
  <si>
    <t>LQ-4B1ECF58489BE785</t>
  </si>
  <si>
    <t>LQ-229152DDB58104BC</t>
  </si>
  <si>
    <t>LQ-3841B7FB69631758</t>
  </si>
  <si>
    <t>LQ-D3144DA10D90D2A6</t>
  </si>
  <si>
    <t>LQ-5C35B6D633FB9697</t>
  </si>
  <si>
    <t>LQ-1D6406A7D7C87ABC</t>
  </si>
  <si>
    <t>LQ-66DA80918FB8DEE8</t>
  </si>
  <si>
    <t>LQ-A51B01C5D9DB14ED</t>
  </si>
  <si>
    <t>LQ-BEDA7BAE6E1B1B1F</t>
  </si>
  <si>
    <t>www.whatsyoursay.com</t>
  </si>
  <si>
    <t>LQ-C4652118C3984325</t>
  </si>
  <si>
    <t>LQ-3B6D18C39482EC45</t>
  </si>
  <si>
    <t>LQ-04DDD15AEB42C30C</t>
  </si>
  <si>
    <t>LQ-7FB07C0BDDD5E245</t>
  </si>
  <si>
    <t>search.netscape.com</t>
  </si>
  <si>
    <t>LQ-34E7C6DB46B30875</t>
  </si>
  <si>
    <t>LQ-9E60A8D5D107D621</t>
  </si>
  <si>
    <t>LQ-6CFAA6B8033C9423</t>
  </si>
  <si>
    <t>LQ-E06A073E98304774</t>
  </si>
  <si>
    <t>LQ-A27C9A22713289FB</t>
  </si>
  <si>
    <t>Eliminate debt</t>
  </si>
  <si>
    <t>LQ-7F59D93A949B8619</t>
  </si>
  <si>
    <t>LQ-7A90E3B1E3D5DA74</t>
  </si>
  <si>
    <t>LQ-9E2801F7985F314F</t>
  </si>
  <si>
    <t>Legally eliminate debt</t>
  </si>
  <si>
    <t>LQ-6590FB008E3C15A7</t>
  </si>
  <si>
    <t>LQ-BD36B79B7D88224F</t>
  </si>
  <si>
    <t>LQ-02C0CC84FF7F39F6</t>
  </si>
  <si>
    <t>whois.domaintools.com</t>
  </si>
  <si>
    <t>LQ-F23D631BD500BC28</t>
  </si>
  <si>
    <t>searchguide.frontiernet.net</t>
  </si>
  <si>
    <t>LQ-FEAAEA0A66E135D9</t>
  </si>
  <si>
    <t>LQ-5BA83DA2F57D455B</t>
  </si>
  <si>
    <t>LQ-30F199A9F766F75E</t>
  </si>
  <si>
    <t>LQ-4E72B1DCF2B598AF</t>
  </si>
  <si>
    <t>LQ-91E5C1FA92F5E98A</t>
  </si>
  <si>
    <t>LQ-BAD045610334CF22</t>
  </si>
  <si>
    <t>LQ-72DCA65AB3EF9160</t>
  </si>
  <si>
    <t>fastbrowsersearch.com</t>
  </si>
  <si>
    <t>Debtclear</t>
  </si>
  <si>
    <t>LQ-7E8514A6D9E9A00E</t>
  </si>
  <si>
    <t>LQ-C8CBD788BA1CF784</t>
  </si>
  <si>
    <t>Mortgage default</t>
  </si>
  <si>
    <t>LQ-76746DD91301F37D</t>
  </si>
  <si>
    <t>LQ-4E65C90B6F8DFE24</t>
  </si>
  <si>
    <t>LQ-4E03838E6B9EC302</t>
  </si>
  <si>
    <t>LQ-8A36ADBCAF126CDB</t>
  </si>
  <si>
    <t>LQ-CF82C67CF4B6FB2C</t>
  </si>
  <si>
    <t>LQ-5E09F20B098C50F2</t>
  </si>
  <si>
    <t>LQ-65ABE43DEDC4F331</t>
  </si>
  <si>
    <t>us.mc317.mail.yahoo.com</t>
  </si>
  <si>
    <t>LQ-4158B5D35A023C85</t>
  </si>
  <si>
    <t>LQ-98A0DD17D6002A88</t>
  </si>
  <si>
    <t>LQ-D58F855A9CE385B7</t>
  </si>
  <si>
    <t>LQ-C38CBFC519F69A5C</t>
  </si>
  <si>
    <t>LQ-4A4E7F4395837467</t>
  </si>
  <si>
    <t>LQ-DABB56E866D8F2A4</t>
  </si>
  <si>
    <t>LQ-4ED81412FEE89CAE</t>
  </si>
  <si>
    <t>LQ-A3A500695EA0704D</t>
  </si>
  <si>
    <t>LQ-72B5818BFE1BF1A9</t>
  </si>
  <si>
    <t>LQ-9FA6C93181D1264C</t>
  </si>
  <si>
    <t>LQ-0AE5443BC972B01C</t>
  </si>
  <si>
    <t>www.seekeen.com</t>
  </si>
  <si>
    <t>LQ-93A770B244026862</t>
  </si>
  <si>
    <t>LQ-28A9F2680BE2246A</t>
  </si>
  <si>
    <t>www.dotellall.com</t>
  </si>
  <si>
    <t>LQ-5A5D95863B0836FB</t>
  </si>
  <si>
    <t>as.starware.com</t>
  </si>
  <si>
    <t>LQ-8156E2DE14C3C7A8</t>
  </si>
  <si>
    <t>LQ-E33D6B104EAF65CF</t>
  </si>
  <si>
    <t>LQ-B2D1B71ED2A25446</t>
  </si>
  <si>
    <t>LQ-9F6328E0BC9FABAD</t>
  </si>
  <si>
    <t>LQ-42880412AEEE1A85</t>
  </si>
  <si>
    <t>LQ-AC9CEFD3C48A181C</t>
  </si>
  <si>
    <t>LQ-2EAC9C2A7B6A3917</t>
  </si>
  <si>
    <t>co115w.col115.mail.live.com</t>
  </si>
  <si>
    <t>LQ-B21585AAD9D7A394</t>
  </si>
  <si>
    <t>LQ-4D3CC3D146587C87</t>
  </si>
  <si>
    <t>LQ-486635D7D01EFDE4</t>
  </si>
  <si>
    <t>LQ-156949D44F138518</t>
  </si>
  <si>
    <t>LQ-FB4D70E5ECE9A691</t>
  </si>
  <si>
    <t>LQ-1FB2DD7FF44921AD</t>
  </si>
  <si>
    <t>LQ-3765435E12174175</t>
  </si>
  <si>
    <t>LQ-AD2FAC1D2EEA3B42</t>
  </si>
  <si>
    <t>LQ-3323105D4EBD5065</t>
  </si>
  <si>
    <t>LQ-5C0A3E8BFAA46407</t>
  </si>
  <si>
    <t>LQ-E18E42E447198B8E</t>
  </si>
  <si>
    <t>LQ-AB8B15CE268982D3</t>
  </si>
  <si>
    <t>LQ-35C03A5B9DCA3138</t>
  </si>
  <si>
    <t>LQ-80A7EDBFA506758F</t>
  </si>
  <si>
    <t>LQ-7BF71B47FF5A2B8A</t>
  </si>
  <si>
    <t>LQ-F0B84B4346B26A25</t>
  </si>
  <si>
    <t>LQ-FF12C6DF1DC88234</t>
  </si>
  <si>
    <t>LQ-52CBB537EC770B2B</t>
  </si>
  <si>
    <t>LQ-B4EDC0AFFDD9BAC3</t>
  </si>
  <si>
    <t>LQ-3E0C05B3774F0E3A</t>
  </si>
  <si>
    <t>LQ-6DCB6182D1AD2293</t>
  </si>
  <si>
    <t>LQ-1A90F78B5B222C19</t>
  </si>
  <si>
    <t>How to reduce credit card apr</t>
  </si>
  <si>
    <t>LQ-77134F7E27E86558</t>
  </si>
  <si>
    <t>LQ-134BE66C66AC80C8</t>
  </si>
  <si>
    <t>LQ-9FAE656A8DD9177F</t>
  </si>
  <si>
    <t>LQ-C9A01788E107F23B</t>
  </si>
  <si>
    <t>LQ-1B46E3508CA86424</t>
  </si>
  <si>
    <t>LQ-2E2B3EBF94963319</t>
  </si>
  <si>
    <t>LQ-19D2447141C5A507</t>
  </si>
  <si>
    <t>LQ-89E9904B35861565</t>
  </si>
  <si>
    <t>LQ-933217AB44D4ABF1</t>
  </si>
  <si>
    <t>LQ-A6336E65B5313E32</t>
  </si>
  <si>
    <t>docs1.myway.com</t>
  </si>
  <si>
    <t>LQ-4B86FAF3FBA77E53</t>
  </si>
  <si>
    <t>LQ-E9B5B62A91714202</t>
  </si>
  <si>
    <t>LQ-811F11C4B7B383B6</t>
  </si>
  <si>
    <t>yp.yahoo.com</t>
  </si>
  <si>
    <t>LQ-3C731DF0700E1E32</t>
  </si>
  <si>
    <t>LQ-F3BE51704047531C</t>
  </si>
  <si>
    <t>LQ-71AA7647AECEDE9A</t>
  </si>
  <si>
    <t>LQ-8F4273F9052C294E</t>
  </si>
  <si>
    <t>LQ-050A40BF5E176DD1</t>
  </si>
  <si>
    <t>us.mc362.mail.yahoo.com</t>
  </si>
  <si>
    <t>LQ-D5E32FE99B4AE48D</t>
  </si>
  <si>
    <t>LQ-83A8CE554A64E8CC</t>
  </si>
  <si>
    <t>LQ-AD130CC8A946277E</t>
  </si>
  <si>
    <t>LQ-386DBA4F8DCFCB3D</t>
  </si>
  <si>
    <t>www.zwangi.com</t>
  </si>
  <si>
    <t>LQ-02E0AF7138253345</t>
  </si>
  <si>
    <t>LQ-683F409412E4ECB3</t>
  </si>
  <si>
    <t>us.mc1106.mail.yahoo.com</t>
  </si>
  <si>
    <t>LQ-5C5E425CB5D34275</t>
  </si>
  <si>
    <t>LQ-169AF9B0BF51994A</t>
  </si>
  <si>
    <t>LQ-F1D0B8E260ECCC68</t>
  </si>
  <si>
    <t>turing.oversee.net</t>
  </si>
  <si>
    <t>LQ-E75D3841EF75D1E4</t>
  </si>
  <si>
    <t>LQ-CD4482D01CA12247</t>
  </si>
  <si>
    <t>LQ-34B4552872C619BF</t>
  </si>
  <si>
    <t>shop.simpli.com</t>
  </si>
  <si>
    <t>LQ-D47C0CE0864991B7</t>
  </si>
  <si>
    <t>LQ-99C8C57B61BE2B1D</t>
  </si>
  <si>
    <t>LQ-541005A98B649EDF</t>
  </si>
  <si>
    <t>LQ-879B7E7858360370</t>
  </si>
  <si>
    <t>LQ-9C3FA92C4BC9FD0D</t>
  </si>
  <si>
    <t>LQ-076D700281484ECB</t>
  </si>
  <si>
    <t>LQ-0ACD745844568FB1</t>
  </si>
  <si>
    <t>LQ-90976F2D249AB57E</t>
  </si>
  <si>
    <t>LQ-B2FC4DB16002F510</t>
  </si>
  <si>
    <t>LQ-EA0E2FBBC99D6039</t>
  </si>
  <si>
    <t>LQ-4F18AC2EE3F562BB</t>
  </si>
  <si>
    <t>LQ-7EEC9FAE62AF88D9</t>
  </si>
  <si>
    <t>LQ-0BFFA74560EA386D</t>
  </si>
  <si>
    <t>LQ-0E9E98809B27B4FE</t>
  </si>
  <si>
    <t>LQ-A8CD3F013C2B7723</t>
  </si>
  <si>
    <t>LQ-BD570DF984F5CE78</t>
  </si>
  <si>
    <t>LQ-1BBAE59213F2086D</t>
  </si>
  <si>
    <t>LQ-5EE618C8DA6CFDFF</t>
  </si>
  <si>
    <t>LQ-E8FDF7016159C9A9</t>
  </si>
  <si>
    <t>LQ-242B3EC0838429BF</t>
  </si>
  <si>
    <t>LQ-E102D7F153FA6BAC</t>
  </si>
  <si>
    <t>LQ-241199E64679F2E1</t>
  </si>
  <si>
    <t>LQ-6A77879E0D72C47C</t>
  </si>
  <si>
    <t>LQ-45263AFCF399AA64</t>
  </si>
  <si>
    <t>LQ-CD5D47F49722E0E6</t>
  </si>
  <si>
    <t>LQ-DC4301752AE293F2</t>
  </si>
  <si>
    <t>LQ-DD0A9113DAE22E81</t>
  </si>
  <si>
    <t>LQ-23C9532A599E7735</t>
  </si>
  <si>
    <t>LQ-71E4F20F2CB3D37D</t>
  </si>
  <si>
    <t>LQ-E388B4C70A644FD6</t>
  </si>
  <si>
    <t>LQ-DC13F7F2AB4016CE</t>
  </si>
  <si>
    <t>LQ-86E305D06BB6D06C</t>
  </si>
  <si>
    <t>LQ-9A4E64C2094E9ED1</t>
  </si>
  <si>
    <t>LQ-5E67147D21F42FD2</t>
  </si>
  <si>
    <t>LQ-7DF4450856EA584A</t>
  </si>
  <si>
    <t>LQ-350640C3FE55A78A</t>
  </si>
  <si>
    <t>LQ-667E34C092848578</t>
  </si>
  <si>
    <t>LQ-DA26C1FEA52F206E</t>
  </si>
  <si>
    <t>LQ-8F29FA87A60A0CA5</t>
  </si>
  <si>
    <t>LQ-C1BBA749B716AAAB</t>
  </si>
  <si>
    <t>LQ-93D4FCD059FE0AC8</t>
  </si>
  <si>
    <t>LQ-DEA991FB254D6155</t>
  </si>
  <si>
    <t>LQ-05563CAA86A32134</t>
  </si>
  <si>
    <t>LQ-DCED2C620609F84E</t>
  </si>
  <si>
    <t>LQ-F3333C6615A7B5BC</t>
  </si>
  <si>
    <t>LQ-8405476E25D4E976</t>
  </si>
  <si>
    <t>LQ-B225D1E2BEFD6DC6</t>
  </si>
  <si>
    <t>LQ-AF9209696C97CEAF</t>
  </si>
  <si>
    <t>LQ-6742167720E150F0</t>
  </si>
  <si>
    <t>LQ-CC9AF091719B4B7C</t>
  </si>
  <si>
    <t>LQ-F187A79ECDC2116B</t>
  </si>
  <si>
    <t>LQ-32449DA206DA97D5</t>
  </si>
  <si>
    <t>LQ-16773149EE5B38A0</t>
  </si>
  <si>
    <t>LQ-D9485054E50B7C10</t>
  </si>
  <si>
    <t>LQ-04346D5EFC697A6D</t>
  </si>
  <si>
    <t>LQ-1F946A27578DD67B</t>
  </si>
  <si>
    <t>LQ-182B82EAC9ABB573</t>
  </si>
  <si>
    <t>LQ-BEB64F63277F5F9D</t>
  </si>
  <si>
    <t>LQ-101955AC9F56A7E7</t>
  </si>
  <si>
    <t>LQ-9AB4F0697943BF0A</t>
  </si>
  <si>
    <t>LQ-D6E0F2273231675B</t>
  </si>
  <si>
    <t>LQ-5CC1364EAEB14841</t>
  </si>
  <si>
    <t>LQ-D69D2314FA910ACB</t>
  </si>
  <si>
    <t>LQ-EE0AD2DED1AF3E04</t>
  </si>
  <si>
    <t>LQ-7DA3CB806A56BE1A</t>
  </si>
  <si>
    <t>LQ-344CD3B17F0FBD91</t>
  </si>
  <si>
    <t>LQ-AFCEC95166E9DCBA</t>
  </si>
  <si>
    <t>LQ-8129324F6B204BA6</t>
  </si>
  <si>
    <t>LQ-C8DD5E42C2003AA4</t>
  </si>
  <si>
    <t>LQ-F236820B2A7BCE31</t>
  </si>
  <si>
    <t>LQ-7841AF3523DCBA7B</t>
  </si>
  <si>
    <t>LQ-08F97B6740888047</t>
  </si>
  <si>
    <t>LQ-5D2AB1ECFE4472E6</t>
  </si>
  <si>
    <t>LQ-CC42698350069271</t>
  </si>
  <si>
    <t>LQ-9147F86F4D675E7F</t>
  </si>
  <si>
    <t>LQ-D6970F3CC6F49F65</t>
  </si>
  <si>
    <t>LQ-D77AA37A8B94896C</t>
  </si>
  <si>
    <t>LQ-0919FAF12C61D100</t>
  </si>
  <si>
    <t>LQ-70FEA64ACA2DD0CA</t>
  </si>
  <si>
    <t>LQ-A7B7E0B1CC6C13D6</t>
  </si>
  <si>
    <t>LQ-1E07A25C20DD31AB</t>
  </si>
  <si>
    <t>LQ-8CD28CE72E874BBE</t>
  </si>
  <si>
    <t>LQ-0424909737549F0D</t>
  </si>
  <si>
    <t>LQ-B9C4265F8C02C0DD</t>
  </si>
  <si>
    <t>LQ-72FDE962A95616BC</t>
  </si>
  <si>
    <t>LQ-A9C4758755A10840</t>
  </si>
  <si>
    <t>LQ-4AC498C2F0B94BAE</t>
  </si>
  <si>
    <t>LQ-EEF18A4688B0FE4D</t>
  </si>
  <si>
    <t>LQ-6B6D9A1FF20F344C</t>
  </si>
  <si>
    <t>LQ-E95BFE46F69C4ACC</t>
  </si>
  <si>
    <t>LQ-DF2F512D619058CF</t>
  </si>
  <si>
    <t>LQ-0D28EB40F83180E6</t>
  </si>
  <si>
    <t>LQ-83B9C512112A01E1</t>
  </si>
  <si>
    <t>LQ-3B7E1DDA70E0FB66</t>
  </si>
  <si>
    <t>LQ-88A09B5E57200DA7</t>
  </si>
  <si>
    <t>LQ-981D59ECFAB8F1A2</t>
  </si>
  <si>
    <t>LQ-015A7C2E5BF536BE</t>
  </si>
  <si>
    <t>LQ-6480F99E1F94A549</t>
  </si>
  <si>
    <t>LQ-2EBA8DFFE4B4DA0C</t>
  </si>
  <si>
    <t>LQ-D0AADF0E68C70D82</t>
  </si>
  <si>
    <t>LQ-265B579C6C70A708</t>
  </si>
  <si>
    <t>LQ-B9CDC564FD80E213</t>
  </si>
  <si>
    <t>LQ-2E3D44DE7BC5DB38</t>
  </si>
  <si>
    <t>LQ-91A7CFA4F6192A1A</t>
  </si>
  <si>
    <t>LQ-3FCB3B2A10B0200A</t>
  </si>
  <si>
    <t>LQ-27F1DC44D3BEAAEC</t>
  </si>
  <si>
    <t>LQ-1ACC47F879D9C1FA</t>
  </si>
  <si>
    <t>LQ-40B00F3B7952077F</t>
  </si>
  <si>
    <t>LQ-E5C40702ACC4E666</t>
  </si>
  <si>
    <t>LQ-0B9913831C6B3D5A</t>
  </si>
  <si>
    <t>LQ-9D2D7BD25EF411DD</t>
  </si>
  <si>
    <t>LQ-5F7A36731FED824B</t>
  </si>
  <si>
    <t>LQ-9B6D1DECA1DF693E</t>
  </si>
  <si>
    <t>LQ-AE7A4328C94EA622</t>
  </si>
  <si>
    <t>LQ-90BB64FE21756607</t>
  </si>
  <si>
    <t>LQ-3DBA79B869DF80AA</t>
  </si>
  <si>
    <t>LQ-50758968E520F1D8</t>
  </si>
  <si>
    <t>LQ-A05D7253AC78087C</t>
  </si>
  <si>
    <t>LQ-90B302E33150DE2F</t>
  </si>
  <si>
    <t>LQ-1B9D757D5CA4F617</t>
  </si>
  <si>
    <t>LQ-ACA2BB7EA2A0A136</t>
  </si>
  <si>
    <t>LQ-483D6695715CF831</t>
  </si>
  <si>
    <t>LQ-43D2199DA358B513</t>
  </si>
  <si>
    <t>LQ-0421D2823CF07A2F</t>
  </si>
  <si>
    <t>LQ-7308191A5C86FE77</t>
  </si>
  <si>
    <t>LQ-A1C2ABCFC4F44A57</t>
  </si>
  <si>
    <t>LQ-36A4BED02FDE5C6F</t>
  </si>
  <si>
    <t>LQ-22E54BEEFE99D7A1</t>
  </si>
  <si>
    <t>LQ-8184C4D24ADC9988</t>
  </si>
  <si>
    <t>LQ-5F066AD46A9A48E5</t>
  </si>
  <si>
    <t>LQ-0CE1F52A3503A436</t>
  </si>
  <si>
    <t>LQ-E5A0E59A3A498144</t>
  </si>
  <si>
    <t>LQ-0328237D2EFC8CEC</t>
  </si>
  <si>
    <t>LQ-ECB25669699847B4</t>
  </si>
  <si>
    <t>LQ-2901EB31F7058F2A</t>
  </si>
  <si>
    <t>LQ-1DB3CE65BB28FB8F</t>
  </si>
  <si>
    <t>LQ-D8D6FDBB1C29709D</t>
  </si>
  <si>
    <t>LQ-50AC4EC7112C402E</t>
  </si>
  <si>
    <t>LQ-AD06D07AA3F0782E</t>
  </si>
  <si>
    <t>LQ-1E9729E5F3165493</t>
  </si>
  <si>
    <t>LQ-F16D279E1D0291B0</t>
  </si>
  <si>
    <t>LQ-0698B417478D9237</t>
  </si>
  <si>
    <t>LQ-D53785540DFD63CB</t>
  </si>
  <si>
    <t>LQ-2BB75F4AB077DF57</t>
  </si>
  <si>
    <t>LQ-EE6FE82071CE0D65</t>
  </si>
  <si>
    <t>LQ-F558B4A4BBA89F04</t>
  </si>
  <si>
    <t>LQ-439EAC14898DB86A</t>
  </si>
  <si>
    <t>LQ-DA2C48EF52BC29A9</t>
  </si>
  <si>
    <t>LQ-8357A6F4EB7BF567</t>
  </si>
  <si>
    <t>LQ-9ADE6CBD870B18C8</t>
  </si>
  <si>
    <t>LQ-D008A1C8B56F94CD</t>
  </si>
  <si>
    <t>LQ-EDB3DC7A92EB1525</t>
  </si>
  <si>
    <t>LQ-BA80AB68BF5C1ADD</t>
  </si>
  <si>
    <t>LQ-3DA0BCEC828F8190</t>
  </si>
  <si>
    <t>LQ-502E6B66796409CD</t>
  </si>
  <si>
    <t>LQ-8997FBDB655BB70C</t>
  </si>
  <si>
    <t>LQ-BB372DFC6F3BEE6C</t>
  </si>
  <si>
    <t>LQ-2D3DE7EE5E81A847</t>
  </si>
  <si>
    <t>LQ-3DEE6170C00F5B63</t>
  </si>
  <si>
    <t>LQ-C2A62F4AACC70624</t>
  </si>
  <si>
    <t>LQ-8CD9FA8CD8ED1AA6</t>
  </si>
  <si>
    <t>LQ-B447F6A5184147E2</t>
  </si>
  <si>
    <t>LQ-26547FDFBA332D7F</t>
  </si>
  <si>
    <t>LQ-43D63EB3E7866BF1</t>
  </si>
  <si>
    <t>LQ-D771211124363AB2</t>
  </si>
  <si>
    <t>LQ-5C48C596FA800F13</t>
  </si>
  <si>
    <t>LQ-7DF0272EAE37AEBB</t>
  </si>
  <si>
    <t>LQ-281105E8E78FF510</t>
  </si>
  <si>
    <t>LQ-083DF645B8BCBC8B</t>
  </si>
  <si>
    <t>LQ-ECD6874596A2B14F</t>
  </si>
  <si>
    <t>LQ-0102E9257F9901C1</t>
  </si>
  <si>
    <t>LQ-1672D362AED49407</t>
  </si>
  <si>
    <t>LQ-3444377148726172</t>
  </si>
  <si>
    <t>LQ-65136E463419C070</t>
  </si>
  <si>
    <t>LQ-B1683E2223D6069A</t>
  </si>
  <si>
    <t>LQ-A871D5D1CA7363AE</t>
  </si>
  <si>
    <t>LQ-37F3DA3ACF13BB36</t>
  </si>
  <si>
    <t>LQ-672B99F48E8E1B0C</t>
  </si>
  <si>
    <t>LQ-E829275650E54835</t>
  </si>
  <si>
    <t>LQ-0A55BFBB91D71354</t>
  </si>
  <si>
    <t>LQ-737CA5DDF5267BE8</t>
  </si>
  <si>
    <t>LQ-6766408C14CAF811</t>
  </si>
  <si>
    <t>LQ-4DB194DA726E626A</t>
  </si>
  <si>
    <t>LQ-21FEAB56481D8C9E</t>
  </si>
  <si>
    <t>LQ-5B30B18453CA30A3</t>
  </si>
  <si>
    <t>LQ-3A35E42B276E3142</t>
  </si>
  <si>
    <t>LQ-CEF13D8176BB2913</t>
  </si>
  <si>
    <t>LQ-F00AA709C11133B9</t>
  </si>
  <si>
    <t>LQ-2C5C72D9AE32E2C9</t>
  </si>
  <si>
    <t>LQ-FBFEA1D4D6F11510</t>
  </si>
  <si>
    <t>LQ-6A6E80F74752073D</t>
  </si>
  <si>
    <t>LQ-B31636B226723833</t>
  </si>
  <si>
    <t>LQ-E9C6DF67286879EA</t>
  </si>
  <si>
    <t>LQ-A32D331C0CE78F97</t>
  </si>
  <si>
    <t>LQ-849E1B4DF7F94D79</t>
  </si>
  <si>
    <t>LQ-54CFD94D58E94F5B</t>
  </si>
  <si>
    <t>LQ-F6E3B2CA0900BD63</t>
  </si>
  <si>
    <t>LQ-0D8C7E66C25ADB87</t>
  </si>
  <si>
    <t>LQ-0455BA20AD612E9A</t>
  </si>
  <si>
    <t>LQ-4C0FD4201EFA9979</t>
  </si>
  <si>
    <t>LQ-D7790893E440C43A</t>
  </si>
  <si>
    <t>LQ-9C73E8BBFA98551F</t>
  </si>
  <si>
    <t>LQ-1A4EC45EB14E3587</t>
  </si>
  <si>
    <t>LQ-1CD260418A3FC3FD</t>
  </si>
  <si>
    <t>LQ-055590D84E93FEAF</t>
  </si>
  <si>
    <t>LQ-8CB63A15420F8C1E</t>
  </si>
  <si>
    <t>LQ-59FD43C837C2F91E</t>
  </si>
  <si>
    <t>LQ-61740540E2E1FFF3</t>
  </si>
  <si>
    <t>LQ-840BBE8CFFBC55F3</t>
  </si>
  <si>
    <t>LQ-AA9C03DC57234B19</t>
  </si>
  <si>
    <t>LQ-496F62B74DFEA505</t>
  </si>
  <si>
    <t>LQ-F534436BDE3E465F</t>
  </si>
  <si>
    <t>LQ-77E452698AB0EF29</t>
  </si>
  <si>
    <t>LQ-9FC2ED8B4DEECF0E</t>
  </si>
  <si>
    <t>LQ-57A59599278752ED</t>
  </si>
  <si>
    <t>LQ-A85BC2546D97D758</t>
  </si>
  <si>
    <t>LQ-269BBED4FFBFA563</t>
  </si>
  <si>
    <t>LQ-CCE14D64FD47C09D</t>
  </si>
  <si>
    <t>LQ-670C28815A9E3B04</t>
  </si>
  <si>
    <t>LQ-2E5B72B79073DF05</t>
  </si>
  <si>
    <t>LQ-83AAE1114F4F8137</t>
  </si>
  <si>
    <t>LQ-09E869097CD44677</t>
  </si>
  <si>
    <t>LQ-3CE4B714C03C2F63</t>
  </si>
  <si>
    <t>LQ-B544D6D4DA6736DE</t>
  </si>
  <si>
    <t>LQ-93362536FF2F9BCF</t>
  </si>
  <si>
    <t>LQ-A506F4A67D9F4A9C</t>
  </si>
  <si>
    <t>LQ-1DE8DE964C0E83F5</t>
  </si>
  <si>
    <t>LQ-A7F9EE89104DCA3C</t>
  </si>
  <si>
    <t>LQ-802CFDB016E65245</t>
  </si>
  <si>
    <t>LQ-7596A277FBA69CA1</t>
  </si>
  <si>
    <t>LQ-3A224C075A56C936</t>
  </si>
  <si>
    <t>LQ-A6D168C49110F6C7</t>
  </si>
  <si>
    <t>LQ-481F49C689040B59</t>
  </si>
  <si>
    <t>LQ-24FD8AF35D79BB47</t>
  </si>
  <si>
    <t>LQ-D4E8B40DB08FB834</t>
  </si>
  <si>
    <t>LQ-85844E706EFFC8CB</t>
  </si>
  <si>
    <t>LQ-0B589A895DE04445</t>
  </si>
  <si>
    <t>LQ-5EBC3FB93E8160DB</t>
  </si>
  <si>
    <t>LQ-4803467ABA826B9B</t>
  </si>
  <si>
    <t>LQ-AF9DF277FF953804</t>
  </si>
  <si>
    <t>LQ-A8E1CE80F9EC880E</t>
  </si>
  <si>
    <t>LQ-D2DA72CAC0059550</t>
  </si>
  <si>
    <t>LQ-7034EFE416D8A99C</t>
  </si>
  <si>
    <t>LQ-6D9B53918885EE0B</t>
  </si>
  <si>
    <t>LQ-ADF4067E3A8C2352</t>
  </si>
  <si>
    <t>LQ-CFCFB5719E432547</t>
  </si>
  <si>
    <t>LQ-E4F27EA8B8B17CB8</t>
  </si>
  <si>
    <t>LQ-C7B551CA6096F485</t>
  </si>
  <si>
    <t>LQ-08F57C63D7E4DF82</t>
  </si>
  <si>
    <t>LQ-1FC85CADB4919A47</t>
  </si>
  <si>
    <t>LQ-6B69307DDE7A6531</t>
  </si>
  <si>
    <t>LQ-BFCCC571681E2181</t>
  </si>
  <si>
    <t>LQ-73F30D52591811E9</t>
  </si>
  <si>
    <t>LQ-DD16CD0E6F515F8C</t>
  </si>
  <si>
    <t>LQ-D2374C9C20404EF7</t>
  </si>
  <si>
    <t>LQ-B254E3B0F9CB936B</t>
  </si>
  <si>
    <t>LQ-6AA3910D81B6B4C4</t>
  </si>
  <si>
    <t>LQ-67C70DC00817D43E</t>
  </si>
  <si>
    <t>LQ-F3E04192C65C715F</t>
  </si>
  <si>
    <t>LQ-797D321FE77D67FD</t>
  </si>
  <si>
    <t>LQ-28AD81EA3E5706C1</t>
  </si>
  <si>
    <t>LQ-CE9967F986D709C3</t>
  </si>
  <si>
    <t>LQ-A262F0897EFF2FAE</t>
  </si>
  <si>
    <t>LQ-2C97727EE6FAFF5E</t>
  </si>
  <si>
    <t>LQ-7DC29AA4F2A79656</t>
  </si>
  <si>
    <t>LQ-5644CC0AFE1CB27D</t>
  </si>
  <si>
    <t>LQ-DC6C0628CA103D49</t>
  </si>
  <si>
    <t>LQ-850CEC5FE6240A58</t>
  </si>
  <si>
    <t>LQ-4EABB62BBC540721</t>
  </si>
  <si>
    <t>LQ-A0B961CD4523FB5C</t>
  </si>
  <si>
    <t>LQ-D8F31EF784710AFD</t>
  </si>
  <si>
    <t>LQ-9E79DE71C1A835A7</t>
  </si>
  <si>
    <t>LQ-422DCFE0F1A9BF2F</t>
  </si>
  <si>
    <t>LQ-32DF5109F924D5B5</t>
  </si>
  <si>
    <t>LQ-B2C5E313E419D3A2</t>
  </si>
  <si>
    <t>www.titanautoinsurance.com</t>
  </si>
  <si>
    <t>LQ-F335A56433C7F6B0</t>
  </si>
  <si>
    <t>LQ-F50EDF6FBC7CAB09</t>
  </si>
  <si>
    <t>LQ-ACA6D583D0FDF2FD</t>
  </si>
  <si>
    <t>LQ-D0D50727818A3949</t>
  </si>
  <si>
    <t>Stop bill collectors from</t>
  </si>
  <si>
    <t>LQ-542FCEE70BE79070</t>
  </si>
  <si>
    <t>Credit card reduction</t>
  </si>
  <si>
    <t>LQ-F2737CD201D0014F</t>
  </si>
  <si>
    <t>LQ-6CEAD5236EBE854D</t>
  </si>
  <si>
    <t>LQ-3E2BFC973A897FC1</t>
  </si>
  <si>
    <t>LQ-FD2F3B6500C7BBE0</t>
  </si>
  <si>
    <t>LQ-2FD6D8439B348B97</t>
  </si>
  <si>
    <t>LQ-7B44B1A6AD5A7978</t>
  </si>
  <si>
    <t>LQ-3303D88B2A9C5D19</t>
  </si>
  <si>
    <t>LQ-B8552A62B4547FCF</t>
  </si>
  <si>
    <t>LQ-5CD719312A66E4F4</t>
  </si>
  <si>
    <t>LQ-2977BBF05E87D66B</t>
  </si>
  <si>
    <t>LQ-DF25ECD648DF3B90</t>
  </si>
  <si>
    <t>LQ-04D0C61B4830E617</t>
  </si>
  <si>
    <t>www.tattoodle.com</t>
  </si>
  <si>
    <t>LQ-8D4CC2BCF7ABFC9D</t>
  </si>
  <si>
    <t>800 credit card debt</t>
  </si>
  <si>
    <t>LQ-F7303E8403CFC894</t>
  </si>
  <si>
    <t>LQ-6E25F30F2827AC97</t>
  </si>
  <si>
    <t>LQ-11CABBB999F3A00D</t>
  </si>
  <si>
    <t>LQ-CDD7822034094D55</t>
  </si>
  <si>
    <t>LQ-520D850D3AB72B17</t>
  </si>
  <si>
    <t>LQ-38E65953C6A3D93A</t>
  </si>
  <si>
    <t>LQ-5843342EBC8EAE47</t>
  </si>
  <si>
    <t>LQ-7080A67DB9F43FED</t>
  </si>
  <si>
    <t>LQ-B80EEF9BCDD89D8C</t>
  </si>
  <si>
    <t>Credit card debt consolidation program</t>
  </si>
  <si>
    <t>LQ-2201D862D39308C5</t>
  </si>
  <si>
    <t>LQ-AA7532A5964D7751</t>
  </si>
  <si>
    <t>LQ-025E7A2897B63F19</t>
  </si>
  <si>
    <t>Credit card debt loan</t>
  </si>
  <si>
    <t>LQ-17A48F7457D384D4</t>
  </si>
  <si>
    <t>LQ-2AE20F82EE2A1B27</t>
  </si>
  <si>
    <t>LQ-36815EABEA463A91</t>
  </si>
  <si>
    <t>LQ-E0BF4F5FCF153312</t>
  </si>
  <si>
    <t>LQ-1D59E4F9B8903449</t>
  </si>
  <si>
    <t>LQ-5BA4FC9AAFD46815</t>
  </si>
  <si>
    <t>LQ-C0627A74083E1C97</t>
  </si>
  <si>
    <t>Consolidated credit card debt</t>
  </si>
  <si>
    <t>LQ-00D64889822F8095</t>
  </si>
  <si>
    <t>Debters</t>
  </si>
  <si>
    <t>LQ-52A39272C8F790BD</t>
  </si>
  <si>
    <t>Loans for personal debt</t>
  </si>
  <si>
    <t>LQ-DF287AE1F3B15F23</t>
  </si>
  <si>
    <t>Restructuring bankruptcy</t>
  </si>
  <si>
    <t>LQ-D0948A63F7A52777</t>
  </si>
  <si>
    <t>LQ-191CD319E631C0C5</t>
  </si>
  <si>
    <t>LQ-751CC01A0543D6D9</t>
  </si>
  <si>
    <t>LQ-C00B55F3A56B54FF</t>
  </si>
  <si>
    <t>shop2.forless.com</t>
  </si>
  <si>
    <t>LQ-FEBF57E4F7CCA3B9</t>
  </si>
  <si>
    <t>www.mahalo.com</t>
  </si>
  <si>
    <t>LQ-D67943BFFA53B5DB</t>
  </si>
  <si>
    <t>LQ-75DFE92A67BCAB95</t>
  </si>
  <si>
    <t>LQ-042D309412C0115A</t>
  </si>
  <si>
    <t>LQ-DF21FE41E593E335</t>
  </si>
  <si>
    <t>Credit consolidators</t>
  </si>
  <si>
    <t>LQ-EC44491A4F479BF9</t>
  </si>
  <si>
    <t>How to repair credit</t>
  </si>
  <si>
    <t>LQ-04C278899E43846C</t>
  </si>
  <si>
    <t>usmilitary.about.com</t>
  </si>
  <si>
    <t>LQ-FDA684C278A4873D</t>
  </si>
  <si>
    <t>Credit card debt bankruptcy</t>
  </si>
  <si>
    <t>LQ-279529EF275586E3</t>
  </si>
  <si>
    <t>Reduce medical debt</t>
  </si>
  <si>
    <t>LQ-58B58F435CDA6CA3</t>
  </si>
  <si>
    <t>Federal Debt</t>
  </si>
  <si>
    <t>LQ-BA804AA6451049F8</t>
  </si>
  <si>
    <t>search.incredimail.com</t>
  </si>
  <si>
    <t>LQ-1DF28B3EC71203D6</t>
  </si>
  <si>
    <t>LQ-F0606BBF62C0C9C6</t>
  </si>
  <si>
    <t>LQ-0DB4C2641110C71C</t>
  </si>
  <si>
    <t>homebuying.about.com</t>
  </si>
  <si>
    <t>Negotiating letter</t>
  </si>
  <si>
    <t>LQ-66ABD0D360638608</t>
  </si>
  <si>
    <t>LQ-024413431E7444F3</t>
  </si>
  <si>
    <t>LQ-D0A514D8850B9B72</t>
  </si>
  <si>
    <t>LQ-9C35533E8A1B3D33</t>
  </si>
  <si>
    <t>LQ-392742AAA39F8F42</t>
  </si>
  <si>
    <t>LQ-FC32D67EBEB23B02</t>
  </si>
  <si>
    <t>LQ-1238D2D5C536065E</t>
  </si>
  <si>
    <t>LQ-759B041FB6384E1B</t>
  </si>
  <si>
    <t>LQ-4C86CBA6DEBA61D0</t>
  </si>
  <si>
    <t>LQ-2D72228CA89892B3</t>
  </si>
  <si>
    <t>LQ-523E84ACA5EB61E8</t>
  </si>
  <si>
    <t>LQ-8BFD994892925BB4</t>
  </si>
  <si>
    <t>LQ-405C5F84B0B8DB88</t>
  </si>
  <si>
    <t>Debtfree com</t>
  </si>
  <si>
    <t>LQ-6935237DF95F97F8</t>
  </si>
  <si>
    <t>LQ-447C906AFE60FA21</t>
  </si>
  <si>
    <t>How to lower credit interest</t>
  </si>
  <si>
    <t>LQ-E895119A021B4504</t>
  </si>
  <si>
    <t>LQ-7892B3F012813856</t>
  </si>
  <si>
    <t>LQ-D8841418AA7B7AAE</t>
  </si>
  <si>
    <t>www.kwinzy.com</t>
  </si>
  <si>
    <t>LQ-0415EDB1491C81E2</t>
  </si>
  <si>
    <t>LQ-502869415015C339</t>
  </si>
  <si>
    <t>LQ-907657E6E40B6C5C</t>
  </si>
  <si>
    <t>us.mc830.mail.yahoo.com</t>
  </si>
  <si>
    <t>LQ-24D67117642AD98C</t>
  </si>
  <si>
    <t>LQ-74206326881559E0</t>
  </si>
  <si>
    <t>infostraightaway.com</t>
  </si>
  <si>
    <t>LQ-9337692B96157F30</t>
  </si>
  <si>
    <t>LQ-842964093623A083</t>
  </si>
  <si>
    <t>LQ-54483A8632269394</t>
  </si>
  <si>
    <t>LQ-0FA3AF0989A37DC9</t>
  </si>
  <si>
    <t>LQ-23FAF60B427A0A2F</t>
  </si>
  <si>
    <t>LQ-B7D0686EFFAEA526</t>
  </si>
  <si>
    <t>LQ-2788C6ADEE7BA32F</t>
  </si>
  <si>
    <t>LQ-01A936C9E5381013</t>
  </si>
  <si>
    <t>How do i out of credit cards</t>
  </si>
  <si>
    <t>LQ-DCB6ACFF5DA613CA</t>
  </si>
  <si>
    <t>LQ-D49914A65F8218BD</t>
  </si>
  <si>
    <t>LQ-D05392B9FA8519C9</t>
  </si>
  <si>
    <t>LQ-DF2777B9EFB68206</t>
  </si>
  <si>
    <t>LQ-70C2FCDE2243C135</t>
  </si>
  <si>
    <t>LQ-E038F96EA207F497</t>
  </si>
  <si>
    <t>LQ-8937A0AA052EA637</t>
  </si>
  <si>
    <t>LQ-C6D9DBFD1654FE65</t>
  </si>
  <si>
    <t>LQ-FBD14F0A39FDF1F0</t>
  </si>
  <si>
    <t>LQ-250EE4EBEA62B461</t>
  </si>
  <si>
    <t>LQ-282BA9482B6656AF</t>
  </si>
  <si>
    <t>www.foundry42.com</t>
  </si>
  <si>
    <t>LQ-02B57164D442449D</t>
  </si>
  <si>
    <t>LQ-BBFF4AE7EC1B687D</t>
  </si>
  <si>
    <t>LQ-B9952B53272C7B70</t>
  </si>
  <si>
    <t>consalodate.com</t>
  </si>
  <si>
    <t>LQ-6244887E0AD25ECB</t>
  </si>
  <si>
    <t>LQ-407E78F243F7817F</t>
  </si>
  <si>
    <t>LQ-8C92A16FF012D055</t>
  </si>
  <si>
    <t>LQ-06A45E362ED65A09</t>
  </si>
  <si>
    <t>LQ-9B70F671148ED2AB</t>
  </si>
  <si>
    <t>LQ-05E30F628433EFDB</t>
  </si>
  <si>
    <t>LQ-94C284716239FCC4</t>
  </si>
  <si>
    <t>LQ-E2528B71676130C5</t>
  </si>
  <si>
    <t>LQ-F11B25DF436A23FE</t>
  </si>
  <si>
    <t>LQ-44C33FC9F03A324B</t>
  </si>
  <si>
    <t>LQ-386C231A086AED07</t>
  </si>
  <si>
    <t>LQ-8F82AB647602D4F9</t>
  </si>
  <si>
    <t>LQ-DF9F7793AF85A29C</t>
  </si>
  <si>
    <t>how can i reduce debt</t>
  </si>
  <si>
    <t>LQ-8A479BD7146EC293</t>
  </si>
  <si>
    <t>LQ-8AB0813821B4955B</t>
  </si>
  <si>
    <t>LQ-F627CF36F66174DB</t>
  </si>
  <si>
    <t>LQ-F186EFB7BE782ECD</t>
  </si>
  <si>
    <t>LQ-FD2A38091234E926</t>
  </si>
  <si>
    <t>LQ-3D5B866FB91AFF1F</t>
  </si>
  <si>
    <t>LQ-22C20B93DC8B12A9</t>
  </si>
  <si>
    <t>LQ-968A8181B2D6CECB</t>
  </si>
  <si>
    <t>LQ-F5F72A921E798D78</t>
  </si>
  <si>
    <t>LQ-27695C05B8D87C6D</t>
  </si>
  <si>
    <t>LQ-59D6CB3A1012E574</t>
  </si>
  <si>
    <t>LQ-100A979DB114AD9E</t>
  </si>
  <si>
    <t>www.emergencydebtrelief.com</t>
  </si>
  <si>
    <t>LQ-AD3C6AE24AB5E820</t>
  </si>
  <si>
    <t>LQ-84593D02F80F21EC</t>
  </si>
  <si>
    <t>LQ-BB549058064E2CFC</t>
  </si>
  <si>
    <t>LQ-4EBA72DE87140CF0</t>
  </si>
  <si>
    <t>LQ-DEF86872C88E53A8</t>
  </si>
  <si>
    <t>LQ-34FBD7DABF857614</t>
  </si>
  <si>
    <t>Fair debt act</t>
  </si>
  <si>
    <t>LQ-82DEE0E6693B7CF8</t>
  </si>
  <si>
    <t>www.moneypowercenter.com</t>
  </si>
  <si>
    <t>LQ-BE6774516E469B28</t>
  </si>
  <si>
    <t>LQ-4A967AE6B3970241</t>
  </si>
  <si>
    <t>LQ-2C047D7D47118A31</t>
  </si>
  <si>
    <t>LQ-FE8821A3C911A6EF</t>
  </si>
  <si>
    <t>LQ-6A65A886866495B3</t>
  </si>
  <si>
    <t>LQ-6AB0DDD61C2C21AF</t>
  </si>
  <si>
    <t>LQ-6D1D2ADB7576B7C7</t>
  </si>
  <si>
    <t>LQ-085B61BF4A34E39F</t>
  </si>
  <si>
    <t>www.myfoxdc.com</t>
  </si>
  <si>
    <t>LQ-E3F0372D681DFED2</t>
  </si>
  <si>
    <t>LQ-243B78E74E0D5278</t>
  </si>
  <si>
    <t>LQ-1ABE9189316C926C</t>
  </si>
  <si>
    <t>LQ-3A8C6FABD979AD8C</t>
  </si>
  <si>
    <t>LQ-5442BBFAB85AA126</t>
  </si>
  <si>
    <t>LQ-CC9F1325EC831FBA</t>
  </si>
  <si>
    <t>LQ-424995AA7FC51F5E</t>
  </si>
  <si>
    <t>LQ-56B57334904746C0</t>
  </si>
  <si>
    <t>LQ-3072AC0436A7FCC4</t>
  </si>
  <si>
    <t>LQ-8029FBD915DD7B92</t>
  </si>
  <si>
    <t>LQ-63633D3DB4322DC3</t>
  </si>
  <si>
    <t>LQ-727663CFA3849681</t>
  </si>
  <si>
    <t>LQ-74ABEFA1A5931C40</t>
  </si>
  <si>
    <t>LQ-DA57BA671D414B86</t>
  </si>
  <si>
    <t>LQ-843C74C9A8562A15</t>
  </si>
  <si>
    <t>LQ-5CACE04732B91BFB</t>
  </si>
  <si>
    <t>LQ-343D381742FE5FEE</t>
  </si>
  <si>
    <t>LQ-DCC12FFA6DB202C5</t>
  </si>
  <si>
    <t>search.magentic.com</t>
  </si>
  <si>
    <t>LQ-516A37813BE75D3E</t>
  </si>
  <si>
    <t>LQ-3DB20242CAF58B3C</t>
  </si>
  <si>
    <t>wwww.householdbankplatinum.com</t>
  </si>
  <si>
    <t>LQ-C0F73CA36B5388B5</t>
  </si>
  <si>
    <t>LQ-855E581016449687</t>
  </si>
  <si>
    <t>LQ-4D90EBF9DA22008B</t>
  </si>
  <si>
    <t>LQ-D801FC89ECF3459C</t>
  </si>
  <si>
    <t>www.debt-information.info</t>
  </si>
  <si>
    <t>LQ-560770B6A08C8602</t>
  </si>
  <si>
    <t>Debt Credit Services (HV)</t>
  </si>
  <si>
    <t>LQ-0C89C664DF20213F</t>
  </si>
  <si>
    <t>LQ-E51DF9BA7066DB38</t>
  </si>
  <si>
    <t>LQ-BEA880641D4CF3EE</t>
  </si>
  <si>
    <t>Consumer debt attorneys</t>
  </si>
  <si>
    <t>LQ-DF6A19BC342B5005</t>
  </si>
  <si>
    <t>bl102w.blu102.mail.live.com</t>
  </si>
  <si>
    <t>LQ-C94D9A1E4D6A758E</t>
  </si>
  <si>
    <t>LQ-225B32CBE6192A43</t>
  </si>
  <si>
    <t>sz0150.wc.mail.comcast.net</t>
  </si>
  <si>
    <t>LQ-24F6710F4C8B4CE4</t>
  </si>
  <si>
    <t>LQ-6E414B4A33586EE8</t>
  </si>
  <si>
    <t>LQ-17C5E428E8EEDCDA</t>
  </si>
  <si>
    <t>LQ-F4C04E1CA71EF1CE</t>
  </si>
  <si>
    <t>LQ-6624B45BD675A282</t>
  </si>
  <si>
    <t>LQ-8DCD59FE2F5B38A1</t>
  </si>
  <si>
    <t>Christian debt</t>
  </si>
  <si>
    <t>LQ-6C3EB483E2EF1A40</t>
  </si>
  <si>
    <t>LQ-64AD92AE90B2011B</t>
  </si>
  <si>
    <t>LQ-7A85DE9C8CAA7124</t>
  </si>
  <si>
    <t>LQ-E58AC413CED5FC80</t>
  </si>
  <si>
    <t>LQ-7179AB6080297CC9</t>
  </si>
  <si>
    <t>LQ-3A77674A823B4827</t>
  </si>
  <si>
    <t>LQ-9146BFEC3C98F891</t>
  </si>
  <si>
    <t>LQ-BDC536B35FF8AC8C</t>
  </si>
  <si>
    <t>LQ-5F7EB94413FA73AC</t>
  </si>
  <si>
    <t>LQ-8AD7D4ADC7B4A648</t>
  </si>
  <si>
    <t>LQ-9EC94CC8DF5E046D</t>
  </si>
  <si>
    <t>LQ-555871C000A98841</t>
  </si>
  <si>
    <t>LQ-DF710EDF82C0B21B</t>
  </si>
  <si>
    <t>Online debt settlement</t>
  </si>
  <si>
    <t>LQ-FCC3A7D918054142</t>
  </si>
  <si>
    <t>LQ-66BFEAEE9D04AEC2</t>
  </si>
  <si>
    <t>LQ-EA327984089AC6A6</t>
  </si>
  <si>
    <t>LQ-C445393925E6E07F</t>
  </si>
  <si>
    <t>LQ-2DEE447B9E285C85</t>
  </si>
  <si>
    <t>LQ-78460F8857B527F8</t>
  </si>
  <si>
    <t>LQ-33875F6B89C9E514</t>
  </si>
  <si>
    <t>LQ-BF829F3A4A512664</t>
  </si>
  <si>
    <t>LQ-2F5CD008651F179C</t>
  </si>
  <si>
    <t>LQ-8F7239FB9B7DBC4F</t>
  </si>
  <si>
    <t>by124w.bay124.mail.live.com</t>
  </si>
  <si>
    <t>LQ-3EEEC35CB605235C</t>
  </si>
  <si>
    <t>LQ-693A847109D99568</t>
  </si>
  <si>
    <t>LQ-38E0C3BA4616A8B8</t>
  </si>
  <si>
    <t>LQ-ED919FF89C49E879</t>
  </si>
  <si>
    <t>LQ-2CB05CE4A874FA63</t>
  </si>
  <si>
    <t>Debt settle</t>
  </si>
  <si>
    <t>LQ-0F5C42338F5AFDFF</t>
  </si>
  <si>
    <t>LQ-0ED1533FAE4613E5</t>
  </si>
  <si>
    <t>Business debt restructuring</t>
  </si>
  <si>
    <t>LQ-D185656D372D5B75</t>
  </si>
  <si>
    <t>LQ-1490C44EEF36F13C</t>
  </si>
  <si>
    <t>LQ-96A2BB2030B50CA4</t>
  </si>
  <si>
    <t>www.helpwithcredit.org</t>
  </si>
  <si>
    <t>LQ-883FEADC08CDC9D6</t>
  </si>
  <si>
    <t>LQ-9D50B62EA4995214</t>
  </si>
  <si>
    <t>LQ-C1401BEF8194865B</t>
  </si>
  <si>
    <t>LQ-2992EA2ACB9B01C7</t>
  </si>
  <si>
    <t>LQ-0199932D6D824F67</t>
  </si>
  <si>
    <t>LQ-22116A2CBCCEA2FC</t>
  </si>
  <si>
    <t>LQ-B82C59BF3E9BFFB9</t>
  </si>
  <si>
    <t>LQ-EA62308F5A907D07</t>
  </si>
  <si>
    <t>LQ-D8341433AB7E1C3A</t>
  </si>
  <si>
    <t>LQ-640FC9BCCFF72806</t>
  </si>
  <si>
    <t>LQ-2381228726610FFF</t>
  </si>
  <si>
    <t>Legally erase your debt as seen on cnbc</t>
  </si>
  <si>
    <t>LQ-E04E8948B6FF8652</t>
  </si>
  <si>
    <t>LQ-7497824579C9D39E</t>
  </si>
  <si>
    <t>LQ-5AD0A4A0A8F24149</t>
  </si>
  <si>
    <t>Debt com</t>
  </si>
  <si>
    <t>LQ-4848BC8266594200</t>
  </si>
  <si>
    <t>LQ-ED9393E7D143C6AD</t>
  </si>
  <si>
    <t>LQ-71B98233E2A53F4C</t>
  </si>
  <si>
    <t>File Bankruptcy (HV)</t>
  </si>
  <si>
    <t>LQ-D24C72991140D38B</t>
  </si>
  <si>
    <t>LQ-1C18EF8809C2FA0B</t>
  </si>
  <si>
    <t>LQ-2A1A090EDBB49E78</t>
  </si>
  <si>
    <t>LQ-54E4220CB90B3010</t>
  </si>
  <si>
    <t>LQ-478F5C6A78E9CE80</t>
  </si>
  <si>
    <t>LQ-4EF800E1252DA6D4</t>
  </si>
  <si>
    <t>LQ-1A02018D28EBA247</t>
  </si>
  <si>
    <t>LQ-EA1D3C7EE486A211</t>
  </si>
  <si>
    <t>LQ-506247DFBBDAEC28</t>
  </si>
  <si>
    <t>LQ-A36B50250F6D8F46</t>
  </si>
  <si>
    <t>LQ-FF756798E5BBCB46</t>
  </si>
  <si>
    <t>LQ-F9ADE3FAC7C5C245</t>
  </si>
  <si>
    <t>LQ-1F91B79E136F1091</t>
  </si>
  <si>
    <t>LQ-B60295F9286224D7</t>
  </si>
  <si>
    <t>www2.searchresultsdirect.com</t>
  </si>
  <si>
    <t>LQ-B6CC3B88020B876A</t>
  </si>
  <si>
    <t>Debt Services (LV)</t>
  </si>
  <si>
    <t>LQ-81F7A73D15ACBF16</t>
  </si>
  <si>
    <t>LQ-655DDD29FA74A14D</t>
  </si>
  <si>
    <t>LQ-CEA33A87F930DBE0</t>
  </si>
  <si>
    <t>www.searchacross.com</t>
  </si>
  <si>
    <t>LQ-41869F37164CD93E</t>
  </si>
  <si>
    <t>www.applyforaloan.com</t>
  </si>
  <si>
    <t>Bill Consolidation Loan</t>
  </si>
  <si>
    <t>LQ-48248BC10B2AE78F</t>
  </si>
  <si>
    <t>LQ-1F36F54AF14CDA6B</t>
  </si>
  <si>
    <t>LQ-ABEA8B82A234FFAF</t>
  </si>
  <si>
    <t>LQ-FE5C76FF4415A398</t>
  </si>
  <si>
    <t>LQ-3322449FAC5A4758</t>
  </si>
  <si>
    <t>LQ-69C63C6654E5E045</t>
  </si>
  <si>
    <t>LQ-459C3A0432C4FB50</t>
  </si>
  <si>
    <t>LQ-342F2120D7C95E6A</t>
  </si>
  <si>
    <t>LQ-7BE97F438569D7F9</t>
  </si>
  <si>
    <t>LQ-C152CB99BE36C9E6</t>
  </si>
  <si>
    <t>LQ-366C152672EE053E</t>
  </si>
  <si>
    <t>LQ-9A11FF2ECC4CCBAE</t>
  </si>
  <si>
    <t>LQ-D622D612BEED58D5</t>
  </si>
  <si>
    <t>LQ-E28AEE9B686E0EC7</t>
  </si>
  <si>
    <t>Debt software</t>
  </si>
  <si>
    <t>LQ-5A4BA6730FC41B25</t>
  </si>
  <si>
    <t>LQ-10120526B2B12352</t>
  </si>
  <si>
    <t>search.live.com</t>
  </si>
  <si>
    <t>LQ-3BD6EB1E12A328BB</t>
  </si>
  <si>
    <t>Filing Bankrupcy (LV)</t>
  </si>
  <si>
    <t>LQ-4D7AF2DC6EFE34BC</t>
  </si>
  <si>
    <t>LQ-10DE8E1AFDF5A190</t>
  </si>
  <si>
    <t>LQ-CA4E6EC7DE83D938</t>
  </si>
  <si>
    <t>LQ-500666AE63EDF83F</t>
  </si>
  <si>
    <t>us.mc508.mail.yahoo.com</t>
  </si>
  <si>
    <t>LQ-79A8A39F2F757C12</t>
  </si>
  <si>
    <t>LQ-02592AC59F008D3E</t>
  </si>
  <si>
    <t>LQ-DB0863295DB23238</t>
  </si>
  <si>
    <t>LQ-28B5A80AFAFF9C39</t>
  </si>
  <si>
    <t>LQ-F09E12DD70C948A8</t>
  </si>
  <si>
    <t>LQ-E4BFDC05F2A2C851</t>
  </si>
  <si>
    <t>LQ-4A17847617275057</t>
  </si>
  <si>
    <t>LQ-2EF366959DBC0D44</t>
  </si>
  <si>
    <t>LQ-65964C56A5A0FE90</t>
  </si>
  <si>
    <t>LQ-C59098F487230EA8</t>
  </si>
  <si>
    <t>LQ-6F1BCBACA0EE5E4D</t>
  </si>
  <si>
    <t>LQ-59DAAC486FC54D1F</t>
  </si>
  <si>
    <t>LQ-8B2F58957A097D84</t>
  </si>
  <si>
    <t>LQ-6268564E4969B0EF</t>
  </si>
  <si>
    <t>LQ-7ED0DF13FE1A934F</t>
  </si>
  <si>
    <t>LQ-AF131698FC4AA956</t>
  </si>
  <si>
    <t>LQ-7923AF076DECE6BF</t>
  </si>
  <si>
    <t>www.defaultloans.com</t>
  </si>
  <si>
    <t>LQ-4C129DCEAB7D9A27</t>
  </si>
  <si>
    <t>Debt solutions they don t want you to know about</t>
  </si>
  <si>
    <t>LQ-51159610490CDD4E</t>
  </si>
  <si>
    <t>LQ-7460ED35F37F4015</t>
  </si>
  <si>
    <t>www.apply4onlineloans.com</t>
  </si>
  <si>
    <t>LQ-BC30EF73726DB745</t>
  </si>
  <si>
    <t>LQ-0A2E0A218E2233CC</t>
  </si>
  <si>
    <t>LQ-7A193734D3E3734D</t>
  </si>
  <si>
    <t>LQ-749B0E03675563E0</t>
  </si>
  <si>
    <t>LQ-0C9B3D2053F8122A</t>
  </si>
  <si>
    <t>LQ-7275088966070ECA</t>
  </si>
  <si>
    <t>LQ-1ED0F2D8E6AF7856</t>
  </si>
  <si>
    <t>LQ-9EA5AB0BBBE63A35</t>
  </si>
  <si>
    <t>LQ-8E54D8945AB94A8A</t>
  </si>
  <si>
    <t>LQ-FE3A75D279BB1E60</t>
  </si>
  <si>
    <t>LQ-855020A91B3E555A</t>
  </si>
  <si>
    <t>LQ-3AD8AB423FF816A7</t>
  </si>
  <si>
    <t>LQ-0B8CE5B4A0E6B425</t>
  </si>
  <si>
    <t>LQ-827850152AFD0F31</t>
  </si>
  <si>
    <t>LQ-F700EA54C4825074</t>
  </si>
  <si>
    <t>LQ-7209886B9A872D60</t>
  </si>
  <si>
    <t>LQ-D95F9E82987DFF7D</t>
  </si>
  <si>
    <t>LQ-21915ED15BBF5FDA</t>
  </si>
  <si>
    <t>us.mc1124.mail.yahoo.com</t>
  </si>
  <si>
    <t>LQ-FCFA33D1E6B8EF30</t>
  </si>
  <si>
    <t>LQ-53397DC985FBEB36</t>
  </si>
  <si>
    <t>LQ-8D8352A873B1383C</t>
  </si>
  <si>
    <t>LQ-948158422FEBED9A</t>
  </si>
  <si>
    <t>LQ-161E5DBF380DD23C</t>
  </si>
  <si>
    <t>Resq debt</t>
  </si>
  <si>
    <t>LQ-A89116D411E3B339</t>
  </si>
  <si>
    <t>LQ-E398834FA69EEEE0</t>
  </si>
  <si>
    <t>LQ-8F48ADDE0742634F</t>
  </si>
  <si>
    <t>LQ-C850DEDF8ABF0F35</t>
  </si>
  <si>
    <t>LQ-90849B8EE83EFF42</t>
  </si>
  <si>
    <t>searscreditcardservices.com</t>
  </si>
  <si>
    <t>LQ-DBDC93A26D3DD133</t>
  </si>
  <si>
    <t>LQ-A961F7C5B359FC62</t>
  </si>
  <si>
    <t>LQ-E17B2783E5A8AC05</t>
  </si>
  <si>
    <t>LQ-42A0F9A7609621B8</t>
  </si>
  <si>
    <t>LQ-3320B84B74E76C6D</t>
  </si>
  <si>
    <t>LQ-3229776445104772</t>
  </si>
  <si>
    <t>LQ-00D5770B11C5DFC5</t>
  </si>
  <si>
    <t>LQ-AEE6CA696661589A</t>
  </si>
  <si>
    <t>LQ-830EF37F4A74C149</t>
  </si>
  <si>
    <t>us.mc1116.mail.yahoo.com</t>
  </si>
  <si>
    <t>LQ-3669CDD161621176</t>
  </si>
  <si>
    <t>LQ-F7B5CCA824718EEF</t>
  </si>
  <si>
    <t>Debt_Consolidation_-_SN</t>
  </si>
  <si>
    <t>Debt_Consolidation</t>
  </si>
  <si>
    <t>LQ-CF76F6DEFF24EF35</t>
  </si>
  <si>
    <t>LQ-85C7534E28630C85</t>
  </si>
  <si>
    <t>LQ-51B5C95CEF3FB87C</t>
  </si>
  <si>
    <t>LQ-C87F5CD218BE3EBA</t>
  </si>
  <si>
    <t>LQ-5E4C0FEB68BA312F</t>
  </si>
  <si>
    <t>LQ-0ECDD270C3A73B2C</t>
  </si>
  <si>
    <t>LQ-1DDB95CFAECF8CF1</t>
  </si>
  <si>
    <t>Debt arbitrators</t>
  </si>
  <si>
    <t>LQ-207DAA63F5D9AF02</t>
  </si>
  <si>
    <t>LQ-7C8D54D2007743E7</t>
  </si>
  <si>
    <t>Advantage debt services</t>
  </si>
  <si>
    <t>LQ-2550C2480A8C087E</t>
  </si>
  <si>
    <t>LQ-3203B6A86FED75EA</t>
  </si>
  <si>
    <t>LQ-5D9B5B4D5A91D017</t>
  </si>
  <si>
    <t>LQ-C711B485470DA25B</t>
  </si>
  <si>
    <t>wwwz.websearch.verizon.net</t>
  </si>
  <si>
    <t>LQ-36B997EC64943C04</t>
  </si>
  <si>
    <t>LQ-95AB7DB30D98C6A5</t>
  </si>
  <si>
    <t>LQ-084C3A88F7128A24</t>
  </si>
  <si>
    <t>Debt_Consolidate</t>
  </si>
  <si>
    <t>Consolidate bill</t>
  </si>
  <si>
    <t>LQ-8FA4A9D0F206933F</t>
  </si>
  <si>
    <t>LQ-9229E9D9C383B586</t>
  </si>
  <si>
    <t>LQ-4443B3ADCCBB14A0</t>
  </si>
  <si>
    <t>LQ-B14813A1389528F1</t>
  </si>
  <si>
    <t>LQ-B9228CD30E383F01</t>
  </si>
  <si>
    <t>LQ-48E1295F5243F775</t>
  </si>
  <si>
    <t>LQ-4C2F965E1D779BEE</t>
  </si>
  <si>
    <t>LQ-77BC80D252A72671</t>
  </si>
  <si>
    <t>LQ-3FDE36E9020A28F8</t>
  </si>
  <si>
    <t>LQ-9A73068E313E00DA</t>
  </si>
  <si>
    <t>Debtfree</t>
  </si>
  <si>
    <t>LQ-16DBE1F85FE1D3B5</t>
  </si>
  <si>
    <t>LQ-61227BD008405AF1</t>
  </si>
  <si>
    <t>LQ-73B6CC8643832A65</t>
  </si>
  <si>
    <t>Free</t>
  </si>
  <si>
    <t>Free debt consolidation</t>
  </si>
  <si>
    <t>LQ-E1C0B03CA1976A1D</t>
  </si>
  <si>
    <t>LQ-DB9A05D810D84A85</t>
  </si>
  <si>
    <t>us.mc361.mail.yahoo.com</t>
  </si>
  <si>
    <t>LQ-2B03DF173CB12742</t>
  </si>
  <si>
    <t>LQ-750E326B4F52305C</t>
  </si>
  <si>
    <t>LQ-4FD3DA9C8F775A6B</t>
  </si>
  <si>
    <t>LQ-B275514439924A46</t>
  </si>
  <si>
    <t>LQ-8B0D08813D9118EF</t>
  </si>
  <si>
    <t>LQ-8CDD4ACE5F82B871</t>
  </si>
  <si>
    <t>LQ-BA5CC40B6ED3A896</t>
  </si>
  <si>
    <t>LQ-34D34161831B4520</t>
  </si>
  <si>
    <t>LQ-1EAE82C89668CB6A</t>
  </si>
  <si>
    <t>hostghostplus.com</t>
  </si>
  <si>
    <t>LQ-C4F7427FB241AC42</t>
  </si>
  <si>
    <t>LQ-E819E90C8FC19BA8</t>
  </si>
  <si>
    <t>LQ-2054B06A85458CB3</t>
  </si>
  <si>
    <t>LQ-2FD0E91DDEDEE6C6</t>
  </si>
  <si>
    <t>LQ-3A970D82C8A97731</t>
  </si>
  <si>
    <t>LQ-920EE5081A15911E</t>
  </si>
  <si>
    <t>LQ-18E5264290D1C8B8</t>
  </si>
  <si>
    <t>LQ-C4C642599CB9E1CE</t>
  </si>
  <si>
    <t>LQ-E0A9A2E516080AB3</t>
  </si>
  <si>
    <t>LQ-056DB20AF161DA6D</t>
  </si>
  <si>
    <t>LQ-3BE9159BE7A73B70</t>
  </si>
  <si>
    <t>LQ-5DDB94DC7D8AFDA5</t>
  </si>
  <si>
    <t>LQ-4BCA8E2B6B6EFE22</t>
  </si>
  <si>
    <t>Us debt resolve</t>
  </si>
  <si>
    <t>LQ-A45914E642AD6EE6</t>
  </si>
  <si>
    <t>LQ-1FAFDF50DB96F9C5</t>
  </si>
  <si>
    <t>LQ-5AE0760B2D3B6241</t>
  </si>
  <si>
    <t>LQ-CD43DC8287228D18</t>
  </si>
  <si>
    <t>LQ-CAF7F03CEF4F3E28</t>
  </si>
  <si>
    <t>LQ-BAA7AF5EEC26AA58</t>
  </si>
  <si>
    <t>LQ-BB49B2EA819FD7CE</t>
  </si>
  <si>
    <t>LQ-2CFDE8B90962F2B7</t>
  </si>
  <si>
    <t>LQ-31B2CBB15C40EAB7</t>
  </si>
  <si>
    <t>LQ-D18FD2115DB2DB99</t>
  </si>
  <si>
    <t>LQ-B3836553B6F411DF</t>
  </si>
  <si>
    <t>landings.trafficz.com</t>
  </si>
  <si>
    <t>LQ-565EC659D3B7B333</t>
  </si>
  <si>
    <t>LQ-A9C3D646054B17B2</t>
  </si>
  <si>
    <t>LQ-925926C3349481B1</t>
  </si>
  <si>
    <t>LQ-9601AE39AA30011F</t>
  </si>
  <si>
    <t>LQ-B22C769BAF581271</t>
  </si>
  <si>
    <t>LQ-F25DC1AF9B84B605</t>
  </si>
  <si>
    <t>LQ-800AA3527C6A024B</t>
  </si>
  <si>
    <t>LQ-87A8015C5FC40387</t>
  </si>
  <si>
    <t>Debt reduction program</t>
  </si>
  <si>
    <t>LQ-C450D291D2AD89F5</t>
  </si>
  <si>
    <t>LQ-E80F88D0688E839D</t>
  </si>
  <si>
    <t>LQ-239490930183E5B2</t>
  </si>
  <si>
    <t>LQ-BF7C5E2ED44456BF</t>
  </si>
  <si>
    <t>LQ-073060C68AA7FC06</t>
  </si>
  <si>
    <t>LQ-2CCD93AA91E76371</t>
  </si>
  <si>
    <t>LQ-EC3032B23F4886F8</t>
  </si>
  <si>
    <t>Debt consolidation online</t>
  </si>
  <si>
    <t>LQ-86F9A18041CB2188</t>
  </si>
  <si>
    <t>LQ-339E97DA9BB516DB</t>
  </si>
  <si>
    <t>LQ-40ECD73EAF75A12E</t>
  </si>
  <si>
    <t>LQ-55167AF0855450BE</t>
  </si>
  <si>
    <t>us.mc310.mail.yahoo.com</t>
  </si>
  <si>
    <t>LQ-A63C7C60FEFC4B4E</t>
  </si>
  <si>
    <t>LQ-2511D18914F94E54</t>
  </si>
  <si>
    <t>LQ-CF02DEECDBC42195</t>
  </si>
  <si>
    <t>LQ-FD460980B85E488F</t>
  </si>
  <si>
    <t>Military debt consolidation</t>
  </si>
  <si>
    <t>LQ-E0380342B2F7ED74</t>
  </si>
  <si>
    <t>affordablestudentloan.net</t>
  </si>
  <si>
    <t>LQ-AA48F3608B9D1709</t>
  </si>
  <si>
    <t>LQ-6AF367BDB93502BE</t>
  </si>
  <si>
    <t>LQ-72989C4F53D150C8</t>
  </si>
  <si>
    <t>LQ-3C448DA831144074</t>
  </si>
  <si>
    <t>LQ-A1601A977AC2F85B</t>
  </si>
  <si>
    <t>LQ-E9D731B77BDF48A6</t>
  </si>
  <si>
    <t>LQ-45CA13E23549766E</t>
  </si>
  <si>
    <t>LQ-B6E1C7ED37B31985</t>
  </si>
  <si>
    <t>LQ-2A26F8CACE678CE4</t>
  </si>
  <si>
    <t>LQ-238ABC0340309F8E</t>
  </si>
  <si>
    <t>LQ-593A4F04E42E7ABA</t>
  </si>
  <si>
    <t>LQ-B9FBD13F3D19CDC6</t>
  </si>
  <si>
    <t>LQ-08967BD18AE184C5</t>
  </si>
  <si>
    <t>LQ-F35BE8DFC1C11C05</t>
  </si>
  <si>
    <t>LQ-9720487DB34AA8BF</t>
  </si>
  <si>
    <t>LQ-377C017D8525C1F5</t>
  </si>
  <si>
    <t>LQ-78AB6269A67FB19C</t>
  </si>
  <si>
    <t>National debt program</t>
  </si>
  <si>
    <t>LQ-0770BAC98809D5AC</t>
  </si>
  <si>
    <t>LQ-2D859CEC37A507BA</t>
  </si>
  <si>
    <t>LQ-0850DB612ACF2837</t>
  </si>
  <si>
    <t>LQ-373056C91E0F402B</t>
  </si>
  <si>
    <t>LQ-8A5FCEC3CABE690B</t>
  </si>
  <si>
    <t>LQ-75E3CE43C490CB9C</t>
  </si>
  <si>
    <t>LQ-60980C514EAF3E3E</t>
  </si>
  <si>
    <t>search.dnsassist.verizon.net</t>
  </si>
  <si>
    <t>LQ-3217609D7137169F</t>
  </si>
  <si>
    <t>LQ-182B94E277F62F62</t>
  </si>
  <si>
    <t>How to reduce interest on credit cards</t>
  </si>
  <si>
    <t>LQ-B7A1E0565FE9543F</t>
  </si>
  <si>
    <t>LQ-50BED30BB2FF8132</t>
  </si>
  <si>
    <t>LQ-3374F8BE428189D8</t>
  </si>
  <si>
    <t>LQ-15C8F6BD67C25D1A</t>
  </si>
  <si>
    <t>LQ-6CFBAD9CDE6B1CAA</t>
  </si>
  <si>
    <t>LQ-68DBD04B37C8AD94</t>
  </si>
  <si>
    <t>LQ-FDEE58E92D07A87C</t>
  </si>
  <si>
    <t>LQ-017914B71D505AF2</t>
  </si>
  <si>
    <t>LQ-964CAF267CFEE6DB</t>
  </si>
  <si>
    <t>LQ-5267C893020619D3</t>
  </si>
  <si>
    <t>LQ-0CC1530A9469AB4E</t>
  </si>
  <si>
    <t>flamingdesire.com</t>
  </si>
  <si>
    <t>LQ-2E67C6DA1E429606</t>
  </si>
  <si>
    <t>LQ-5B9BEC06C4C49606</t>
  </si>
  <si>
    <t>LQ-C3CBDFBB1DD1691A</t>
  </si>
  <si>
    <t>LQ-BF4DFA30A950333F</t>
  </si>
  <si>
    <t>LQ-85453D311A2F0021</t>
  </si>
  <si>
    <t>LQ-6BBD088393980C91</t>
  </si>
  <si>
    <t>LQ-1AF3F01CE1FF189B</t>
  </si>
  <si>
    <t>LQ-22F10DFF84E7E8C8</t>
  </si>
  <si>
    <t>LQ-78E2CD75C1B74298</t>
  </si>
  <si>
    <t>LQ-A3769659F5461D29</t>
  </si>
  <si>
    <t>LQ-F933CE44170D9017</t>
  </si>
  <si>
    <t>losangeles.citysearch.com</t>
  </si>
  <si>
    <t>LQ-DDD95D004505D60D</t>
  </si>
  <si>
    <t>LQ-580AC550D3B1E061</t>
  </si>
  <si>
    <t>LQ-5DB12D2CD7C18787</t>
  </si>
  <si>
    <t>LQ-D6FECD55DD577ADA</t>
  </si>
  <si>
    <t>Debt Strategies</t>
  </si>
  <si>
    <t>Debt strategies</t>
  </si>
  <si>
    <t>LQ-54E4C3F9F5D0AD1E</t>
  </si>
  <si>
    <t>LQ-491AA7B4064C5A1F</t>
  </si>
  <si>
    <t>LQ-1D01F015425CDE0D</t>
  </si>
  <si>
    <t>LQ-6B1A01F5B68BA312</t>
  </si>
  <si>
    <t>LQ-D67ED494AB689A0C</t>
  </si>
  <si>
    <t>LQ-9D5EB60371E0102E</t>
  </si>
  <si>
    <t>LQ-395F776D083513AD</t>
  </si>
  <si>
    <t>Consolidate credit card debt loan</t>
  </si>
  <si>
    <t>LQ-99963466E56EEF69</t>
  </si>
  <si>
    <t>LQ-145EED0CE908FEE3</t>
  </si>
  <si>
    <t>LQ-F607078E552581E7</t>
  </si>
  <si>
    <t>Eliminate your debt</t>
  </si>
  <si>
    <t>LQ-5BBDFA660BCC9B8E</t>
  </si>
  <si>
    <t>LQ-ACFB55F4047D3210</t>
  </si>
  <si>
    <t>LQ-15465635582A866A</t>
  </si>
  <si>
    <t>LQ-51ED7A1A6BA5D6FF</t>
  </si>
  <si>
    <t>LQ-707B207F27989368</t>
  </si>
  <si>
    <t>LQ-C0E08C3CE4B30070</t>
  </si>
  <si>
    <t>ww2.cox.com</t>
  </si>
  <si>
    <t>LQ-94B7AB8E2BCB9042</t>
  </si>
  <si>
    <t>Dbet</t>
  </si>
  <si>
    <t>LQ-A90061127C02633A</t>
  </si>
  <si>
    <t>LQ-6C80D0342F9D6BAD</t>
  </si>
  <si>
    <t>LQ-1176EA61BADB88B8</t>
  </si>
  <si>
    <t>LQ-BD65AE888F0D97E9</t>
  </si>
  <si>
    <t>LQ-0754B89DB40DB854</t>
  </si>
  <si>
    <t>LQ-BB349C7F1F1420E7</t>
  </si>
  <si>
    <t>LQ-C7CA2FD88A58CA2D</t>
  </si>
  <si>
    <t>LQ-50B0E197F101C8C9</t>
  </si>
  <si>
    <t>Debt cures book</t>
  </si>
  <si>
    <t>LQ-67C4C2B0ACE4DF97</t>
  </si>
  <si>
    <t>LQ-6909771081FF4297</t>
  </si>
  <si>
    <t>LQ-72DB4DC8696C254A</t>
  </si>
  <si>
    <t>LQ-68DAA33D0D94F6AE</t>
  </si>
  <si>
    <t>LQ-CB8284DE8EF976BE</t>
  </si>
  <si>
    <t>LQ-E23B6EA8BBEBF6AB</t>
  </si>
  <si>
    <t>LQ-E4B875834A41BFC9</t>
  </si>
  <si>
    <t>LQ-6960DD2BCB74137C</t>
  </si>
  <si>
    <t>www.ave99.com</t>
  </si>
  <si>
    <t>LQ-5BB9B5D7F10D52AA</t>
  </si>
  <si>
    <t>LQ-CEF30CD4E5DF6A01</t>
  </si>
  <si>
    <t>LQ-F2E9F09E468B9802</t>
  </si>
  <si>
    <t>LQ-6689D6FC3ECC958D</t>
  </si>
  <si>
    <t>Debt_Services</t>
  </si>
  <si>
    <t>LQ-65983DB7C99B7572</t>
  </si>
  <si>
    <t>LQ-4E084E4074ECFA36</t>
  </si>
  <si>
    <t>LQ-BC3B5AF5F645479C</t>
  </si>
  <si>
    <t>LQ-58382A2B92EC37CF</t>
  </si>
  <si>
    <t>LQ-AF63DA96582B7D16</t>
  </si>
  <si>
    <t>LQ-1DA183890B74B37D</t>
  </si>
  <si>
    <t>What is debt</t>
  </si>
  <si>
    <t>LQ-36D934E82ABE0442</t>
  </si>
  <si>
    <t>newstudentloan.info</t>
  </si>
  <si>
    <t>LQ-674BAF2474EB287F</t>
  </si>
  <si>
    <t>LQ-3B83C7880CE790DF</t>
  </si>
  <si>
    <t>LQ-9C8816D3AF2D96E6</t>
  </si>
  <si>
    <t>www.aralifestyle.com</t>
  </si>
  <si>
    <t>LQ-63B79500534B3DAB</t>
  </si>
  <si>
    <t>LQ-620E87F1585E7CE2</t>
  </si>
  <si>
    <t>LQ-7882F7469393F644</t>
  </si>
  <si>
    <t>LQ-A6B890A53D809CBE</t>
  </si>
  <si>
    <t>LQ-425C7E4E7E8B257E</t>
  </si>
  <si>
    <t>www.usanews.com</t>
  </si>
  <si>
    <t>LQ-287B1A9DE29C0618</t>
  </si>
  <si>
    <t>LQ-CD8022234477E5D2</t>
  </si>
  <si>
    <t>LQ-42604042A0433161</t>
  </si>
  <si>
    <t>LQ-522FD0ACBE3614DC</t>
  </si>
  <si>
    <t>LQ-22F20C910B954BBD</t>
  </si>
  <si>
    <t>LQ-39299709D9ED5D21</t>
  </si>
  <si>
    <t>LQ-3B3807AB0CC554DC</t>
  </si>
  <si>
    <t>LQ-AF36ADA9CD7F0F09</t>
  </si>
  <si>
    <t>How do i fix credit</t>
  </si>
  <si>
    <t>LQ-3EC851075F70FE1A</t>
  </si>
  <si>
    <t>LQ-DFD901A8A03B075E</t>
  </si>
  <si>
    <t>LQ-08F4F37F70125611</t>
  </si>
  <si>
    <t>LQ-4F4674EEFCFCCCE1</t>
  </si>
  <si>
    <t>Debt paydown calculator</t>
  </si>
  <si>
    <t>LQ-A200D17E839D44B0</t>
  </si>
  <si>
    <t>LQ-59A2B3D06408B9AD</t>
  </si>
  <si>
    <t>Credit card consolidation loan</t>
  </si>
  <si>
    <t>LQ-D2530D8F89E51AEB</t>
  </si>
  <si>
    <t>LQ-C7BB3F297D9E037B</t>
  </si>
  <si>
    <t>LQ-65CFE7ED0B6A92C3</t>
  </si>
  <si>
    <t>governmentloansconsolidation.com</t>
  </si>
  <si>
    <t>LQ-A7EFDD70DFA04C22</t>
  </si>
  <si>
    <t>LQ-B23F828330DCB1BB</t>
  </si>
  <si>
    <t>LQ-3C209D0A40B20B32</t>
  </si>
  <si>
    <t>LQ-E06D532B2DC378F6</t>
  </si>
  <si>
    <t>LQ-B455BBAA8B7B2CE5</t>
  </si>
  <si>
    <t>LQ-77DBAC04F25C6A2B</t>
  </si>
  <si>
    <t>LQ-16C3311476EAC7BF</t>
  </si>
  <si>
    <t>LQ-A8F3AE3C783B7654</t>
  </si>
  <si>
    <t>LQ-60802BBA81DA1A4F</t>
  </si>
  <si>
    <t>LQ-CC1693900628362C</t>
  </si>
  <si>
    <t>LQ-6442BCBF3012D8ED</t>
  </si>
  <si>
    <t>LQ-0B0B9C038FB9D051</t>
  </si>
  <si>
    <t>Consumer debt</t>
  </si>
  <si>
    <t>LQ-D9D8C2B1B815574E</t>
  </si>
  <si>
    <t>LQ-C27BB369F12B33C0</t>
  </si>
  <si>
    <t>LQ-23BF975FD923E845</t>
  </si>
  <si>
    <t>www.debtsolutionresource101.com</t>
  </si>
  <si>
    <t>LQ-D8EFAEDD578E7EB8</t>
  </si>
  <si>
    <t>Msnbc erase debt</t>
  </si>
  <si>
    <t>LQ-EC683FD24E362884</t>
  </si>
  <si>
    <t>Nationaldebt</t>
  </si>
  <si>
    <t>LQ-9D8369A7D5774968</t>
  </si>
  <si>
    <t>Consumer debt consolidation</t>
  </si>
  <si>
    <t>LQ-2507D78BA8D70F6D</t>
  </si>
  <si>
    <t>LQ-66A2F7CEDDD87C1D</t>
  </si>
  <si>
    <t>LQ-EA7A5A22D656E911</t>
  </si>
  <si>
    <t>LQ-6CEF45B7956B7075</t>
  </si>
  <si>
    <t>LQ-4F4EBC73D261B716</t>
  </si>
  <si>
    <t>LQ-F299B08E3525E1F6</t>
  </si>
  <si>
    <t>LQ-133E25CBC7D1D512</t>
  </si>
  <si>
    <t>LQ-92AB57DB5D6D1EF2</t>
  </si>
  <si>
    <t>LQ-2A9578C2A8970C79</t>
  </si>
  <si>
    <t>LQ-644E06E5632E8477</t>
  </si>
  <si>
    <t>LQ-A937208DAB128D50</t>
  </si>
  <si>
    <t>LQ-EEF043F7D39B3764</t>
  </si>
  <si>
    <t>LQ-9B0EA51C20CE8BA5</t>
  </si>
  <si>
    <t>LQ-21E2CBB300A1C2B6</t>
  </si>
  <si>
    <t>LQ-1B68C8ECD3E652E4</t>
  </si>
  <si>
    <t>LQ-6F10FCE9CC02A300</t>
  </si>
  <si>
    <t>us.mg.mail.yahoo.com</t>
  </si>
  <si>
    <t>LQ-B09B4713C61DB20C</t>
  </si>
  <si>
    <t>LQ-AB0A419E36EDCD86</t>
  </si>
  <si>
    <t>www.articlesbase.com</t>
  </si>
  <si>
    <t>LQ-378C6030FCB448F5</t>
  </si>
  <si>
    <t>LQ-7D8AA16BC2F67BCE</t>
  </si>
  <si>
    <t>LQ-B27457A896E68D57</t>
  </si>
  <si>
    <t>LQ-FD0C7D80646A2477</t>
  </si>
  <si>
    <t>LQ-C7BA6B03C38520A3</t>
  </si>
  <si>
    <t>LQ-EF89B206270FCFEF</t>
  </si>
  <si>
    <t>LQ-0461D24EEDB099B6</t>
  </si>
  <si>
    <t>LQ-235B24E0C2242A1F</t>
  </si>
  <si>
    <t>LQ-1B38E25C5677F5B2</t>
  </si>
  <si>
    <t>LQ-23F97C82B0969B71</t>
  </si>
  <si>
    <t>LQ-E83D187E47CA3AD4</t>
  </si>
  <si>
    <t>LQ-77B7CFEC198062EE</t>
  </si>
  <si>
    <t>LQ-9247AD594F51B945</t>
  </si>
  <si>
    <t>LQ-D10368909AD544A7</t>
  </si>
  <si>
    <t>LQ-53E6B5D37F48DA14</t>
  </si>
  <si>
    <t>LQ-B51CAE56F58EF63D</t>
  </si>
  <si>
    <t>Credit_-_SN</t>
  </si>
  <si>
    <t>Credit_Debt_Consolidation</t>
  </si>
  <si>
    <t>Consolidate credit</t>
  </si>
  <si>
    <t>LQ-6CE8C3D15ED98784</t>
  </si>
  <si>
    <t>LQ-31FDEAEC61DC9C95</t>
  </si>
  <si>
    <t>LQ-1C5645F5916405B2</t>
  </si>
  <si>
    <t>LQ-C96274C50679D94E</t>
  </si>
  <si>
    <t>LQ-852342A7B305543D</t>
  </si>
  <si>
    <t>LQ-DE1D12266389C141</t>
  </si>
  <si>
    <t>LQ-637546F48E3103DA</t>
  </si>
  <si>
    <t>LQ-2403FA80B5D5C145</t>
  </si>
  <si>
    <t>LQ-DBEDC218804D8DEC</t>
  </si>
  <si>
    <t>LQ-75310F3431EEA2E5</t>
  </si>
  <si>
    <t>LQ-C5C571F5A6DA83E0</t>
  </si>
  <si>
    <t>LQ-56F78841F490F624</t>
  </si>
  <si>
    <t>LQ-ADCAC6D5B2B7690C</t>
  </si>
  <si>
    <t>LQ-7AB23D503C835230</t>
  </si>
  <si>
    <t>LQ-70A3CCA73B562811</t>
  </si>
  <si>
    <t>LQ-1148D25BF33742E4</t>
  </si>
  <si>
    <t>LQ-D3DC0F68AEF8D7A5</t>
  </si>
  <si>
    <t>us.mc832.mail.yahoo.com</t>
  </si>
  <si>
    <t>LQ-ADC8A14D9AF06434</t>
  </si>
  <si>
    <t>LQ-7225C300DF915B53</t>
  </si>
  <si>
    <t>www.matchpoint.com</t>
  </si>
  <si>
    <t>Debt Counseling</t>
  </si>
  <si>
    <t>LQ-3B0551C292B0944A</t>
  </si>
  <si>
    <t>LQ-E3DBE89A29D50D57</t>
  </si>
  <si>
    <t>LQ-BAD16DF4A784AD1B</t>
  </si>
  <si>
    <t>www.consolidate-my-debt-now.com</t>
  </si>
  <si>
    <t>LQ-25FCF8ECF0717F7B</t>
  </si>
  <si>
    <t>www.debtconsolidationsite101.com</t>
  </si>
  <si>
    <t>LQ-1E7F03335904D360</t>
  </si>
  <si>
    <t>LQ-EC4A320DA82844EC</t>
  </si>
  <si>
    <t>LQ-6932E0E4E134E62C</t>
  </si>
  <si>
    <t>LQ-515BE7AED9225C81</t>
  </si>
  <si>
    <t>LQ-93DBB59FF068C712</t>
  </si>
  <si>
    <t>LQ-B3B7758C218B7AF0</t>
  </si>
  <si>
    <t>LQ-67B50F2058F58B94</t>
  </si>
  <si>
    <t>Debt professionals of america</t>
  </si>
  <si>
    <t>LQ-EDE9B1C79C3B7897</t>
  </si>
  <si>
    <t>LQ-C740F8D943FE5811</t>
  </si>
  <si>
    <t>LQ-291060710D67AB2F</t>
  </si>
  <si>
    <t>LQ-9D0A8FC8B8208456</t>
  </si>
  <si>
    <t>LQ-9E12827B706D4EAB</t>
  </si>
  <si>
    <t>LQ-3BD4D4DDC853ABCD</t>
  </si>
  <si>
    <t>LQ-E0D2BEB1614A491F</t>
  </si>
  <si>
    <t>LQ-EC516C0B3FC52AF8</t>
  </si>
  <si>
    <t>LQ-DE79F2006B32E8C7</t>
  </si>
  <si>
    <t>LQ-726335B9020BD5E5</t>
  </si>
  <si>
    <t>LQ-0E26B7CC4B198B13</t>
  </si>
  <si>
    <t>LQ-62FDD65B61FFF340</t>
  </si>
  <si>
    <t>LQ-43242618B555D660</t>
  </si>
  <si>
    <t>LQ-11B079377916F2C9</t>
  </si>
  <si>
    <t>us.mc536.mail.yahoo.com</t>
  </si>
  <si>
    <t>LQ-C3E2DDB7FF904E31</t>
  </si>
  <si>
    <t>LQ-E6701457175B32AB</t>
  </si>
  <si>
    <t>LQ-7CDA06B9103A3796</t>
  </si>
  <si>
    <t>LQ-27013DA7D9F0EBC8</t>
  </si>
  <si>
    <t>LQ-72720ED3BA740A5E</t>
  </si>
  <si>
    <t>LQ-CA71637521CDFBA9</t>
  </si>
  <si>
    <t>LQ-3DB6BA4940101F8C</t>
  </si>
  <si>
    <t>LQ-AF765790FFA7DA38</t>
  </si>
  <si>
    <t>LQ-5FC74B790616DF62</t>
  </si>
  <si>
    <t>us.mc825.mail.yahoo.com</t>
  </si>
  <si>
    <t>LQ-B9342695EF23A934</t>
  </si>
  <si>
    <t>LQ-90EC62E778ED8A28</t>
  </si>
  <si>
    <t>LQ-3771D6B2BE8D3B20</t>
  </si>
  <si>
    <t>www.consolidateloans.com</t>
  </si>
  <si>
    <t>LQ-18E263F69E0A5CB2</t>
  </si>
  <si>
    <t>LQ-D502B975A4AB6FAD</t>
  </si>
  <si>
    <t>search.bearshare.com</t>
  </si>
  <si>
    <t>LQ-9C92C3E5509A0DA7</t>
  </si>
  <si>
    <t>LQ-DB4027C848E18172</t>
  </si>
  <si>
    <t>LQ-4D027757AA6B2F6E</t>
  </si>
  <si>
    <t>LQ-2C28DFE2B32403B7</t>
  </si>
  <si>
    <t>LQ-0502C30FFD2E6FA8</t>
  </si>
  <si>
    <t>LQ-3D9AA7E87FBB7707</t>
  </si>
  <si>
    <t>LQ-AA614B11675BF84C</t>
  </si>
  <si>
    <t>LQ-57219F116EE713EF</t>
  </si>
  <si>
    <t>LQ-3B83FDEA90A13405</t>
  </si>
  <si>
    <t>LQ-154B29A20A4B9920</t>
  </si>
  <si>
    <t>LQ-16404496DB186424</t>
  </si>
  <si>
    <t>LQ-5AF6200A40C624C2</t>
  </si>
  <si>
    <t>LQ-8A06C60BECA9EAF1</t>
  </si>
  <si>
    <t>LQ-29C299A64A77B7CA</t>
  </si>
  <si>
    <t>LQ-7E157E0DB93BFC72</t>
  </si>
  <si>
    <t>LQ-512C5A9ABC277E84</t>
  </si>
  <si>
    <t>LQ-A2F14A6A8D0E5E19</t>
  </si>
  <si>
    <t>LQ-CBADF173DA2B0A3D</t>
  </si>
  <si>
    <t>LQ-782C529B8DF36D72</t>
  </si>
  <si>
    <t>LQ-E7DDA53CF0E62ED5</t>
  </si>
  <si>
    <t>LQ-A80A243D06AEECC3</t>
  </si>
  <si>
    <t>www.reducethedebt.org</t>
  </si>
  <si>
    <t>LQ-C134931F6D239E43</t>
  </si>
  <si>
    <t>LQ-9213421C66FA3DFE</t>
  </si>
  <si>
    <t>LQ-C12FA3074EACE4CB</t>
  </si>
  <si>
    <t>LQ-966126173D1E9027</t>
  </si>
  <si>
    <t>LQ-EDDF690FD01E9545</t>
  </si>
  <si>
    <t>LQ-8494E751A6BE545B</t>
  </si>
  <si>
    <t>LQ-AEC727007889D73C</t>
  </si>
  <si>
    <t>LQ-8EF7FC734216E71B</t>
  </si>
  <si>
    <t>LQ-262E898219D5EC3D</t>
  </si>
  <si>
    <t>LQ-1115054279F9DACD</t>
  </si>
  <si>
    <t>LQ-E2E127638C46F948</t>
  </si>
  <si>
    <t>Superior debt services</t>
  </si>
  <si>
    <t>LQ-34F5E4474CF8CC3E</t>
  </si>
  <si>
    <t>LQ-FBF947A04DC456F6</t>
  </si>
  <si>
    <t>LQ-13E33E8A3798F880</t>
  </si>
  <si>
    <t>LQ-FCE03B4986116151</t>
  </si>
  <si>
    <t>LQ-713B90587319C33D</t>
  </si>
  <si>
    <t>LQ-289AB63896C8B8AF</t>
  </si>
  <si>
    <t>LQ-952AB1F02ECB58C2</t>
  </si>
  <si>
    <t>LQ-1F4AB627C3F5EFD6</t>
  </si>
  <si>
    <t>LQ-B20E7B349622B576</t>
  </si>
  <si>
    <t>LQ-A6764FBF3F49CC9A</t>
  </si>
  <si>
    <t>LQ-F82F12BE1FFA4EEB</t>
  </si>
  <si>
    <t>LQ-D96EFBE323A7AD94</t>
  </si>
  <si>
    <t>LQ-6D9AC3814FA8CA27</t>
  </si>
  <si>
    <t>Privacy-safe staging table. Excel Power Query performs the remaining transformations.</t>
  </si>
  <si>
    <t>google</t>
  </si>
  <si>
    <t>w-300250-DebtReduction1-1DC-Head2</t>
  </si>
  <si>
    <t>w-300250-DebtReduction1-1DC-BlueMeter</t>
  </si>
  <si>
    <t>w-300250-DebtReduction1-2DC-BlueMeter</t>
  </si>
  <si>
    <t>w-300250-DebtReduction1-1DC-Head3</t>
  </si>
  <si>
    <t>yahoo</t>
  </si>
  <si>
    <t>w-300250-DebtReduction1-1DC</t>
  </si>
  <si>
    <t>w-300250-DebtReduction1-2DC-CreditSolutions</t>
  </si>
  <si>
    <t>w-300250-DebtReduction1-1DC-CreditSolutions</t>
  </si>
  <si>
    <t>w-300250-DebtReduction1-1DC-white</t>
  </si>
  <si>
    <t>Call_Center</t>
  </si>
  <si>
    <t>Workbook guide</t>
  </si>
  <si>
    <t>Section</t>
  </si>
  <si>
    <t>Purpose</t>
  </si>
  <si>
    <t>Exec Summary</t>
  </si>
  <si>
    <t>Headline answer, key findings, and next steps.</t>
  </si>
  <si>
    <t>Data Cleaning</t>
  </si>
  <si>
    <t>Power Query transformations and formula-driven validation of the sanitized lead table.</t>
  </si>
  <si>
    <t>Trends</t>
  </si>
  <si>
    <t>Monthly and weekly close rates, Wilson intervals, target line, and significance tests.</t>
  </si>
  <si>
    <t>Segments</t>
  </si>
  <si>
    <t>Reliable ad-group view plus all reliable segment comparisons (n &gt;= 75).</t>
  </si>
  <si>
    <t>Formula-driven target arithmetic and three non-additive scenarios that reach 9.6%.</t>
  </si>
  <si>
    <t>Adjusted association estimates, fit diagnostics, holdout performance, and bootstrap stability.</t>
  </si>
  <si>
    <t>QA</t>
  </si>
  <si>
    <t>Terminal reconciliation and privacy checks. No other sheet depends on QA.</t>
  </si>
  <si>
    <t>Clean Leads</t>
  </si>
  <si>
    <t>Sanitized analytical source. Direct identifiers and detailed URLs are absent.</t>
  </si>
  <si>
    <t>PQ Staging</t>
  </si>
  <si>
    <t>Privacy-safe input table used by the workbook's LeadQualityCleaning Power Query.</t>
  </si>
  <si>
    <t>Source</t>
  </si>
  <si>
    <t>Analyst case-study workbook supplied by the recruiter; assignment definitions are retained in project documentation.</t>
  </si>
  <si>
    <t>Method note</t>
  </si>
  <si>
    <t>Detail</t>
  </si>
  <si>
    <t>Primary metric</t>
  </si>
  <si>
    <t>Closed / all leads. Unknown remains in the denominator.</t>
  </si>
  <si>
    <t>Intervals</t>
  </si>
  <si>
    <t>Wilson 95% confidence intervals for close rates.</t>
  </si>
  <si>
    <t>Multiple testing</t>
  </si>
  <si>
    <t>Benjamini-Hochberg q-values within each segment dimension.</t>
  </si>
  <si>
    <t>Planning threshold</t>
  </si>
  <si>
    <t>n &gt;= 75 for benchmark opportunity inputs.</t>
  </si>
  <si>
    <t>Regression</t>
  </si>
  <si>
    <t>Explanatory logistic model with temporal holdout and 100 bootstrap resamples.</t>
  </si>
  <si>
    <t>Causation</t>
  </si>
  <si>
    <t>Observed associations can reflect intent, targeting, timing, or other confounding. Validate interventions experimentally.</t>
  </si>
  <si>
    <t>Commercial note</t>
  </si>
  <si>
    <t>The assignment states both a 20% CPL increase and $30 to $33. The workbook uses explicit $33 and notes $36 as sensitivity.</t>
  </si>
  <si>
    <t>Clean leads from Power Query</t>
  </si>
  <si>
    <t>Refresh LeadQualityCleaning to reproduce the 3,021-row analytical table from the privacy-safe staging data.</t>
  </si>
  <si>
    <t>Lead Conversion &amp; Quality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</si>
</sst>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mm\ yyyy"/>
    <numFmt numFmtId="165" formatCode="0.000"/>
    <numFmt numFmtId="166" formatCode="dd\-mmm\-yy"/>
    <numFmt numFmtId="167" formatCode="&quot;$&quot;#,##0"/>
    <numFmt numFmtId="168" formatCode="#,##0.0"/>
    <numFmt numFmtId="169" formatCode="0.0%"/>
    <numFmt numFmtId="170" formatCode="0.00&quot;x&quot;"/>
    <numFmt numFmtId="171" formatCode="0.0"/>
    <numFmt numFmtId="172" formatCode="yyyy\-mm\-dd\ hh:mm:ss"/>
    <numFmt numFmtId="173" formatCode="yyyy/mm/dd\ hh:mm:ss"/>
    <numFmt numFmtId="174" formatCode="yyyy/mm/dd"/>
  </numFmts>
  <fonts count="9">
    <font>
      <sz val="11"/>
      <name val="Carlito"/>
    </font>
    <font>
      <b/>
      <sz val="14"/>
      <color rgb="FF222222"/>
      <name val="Calibri"/>
    </font>
    <font>
      <b/>
      <sz val="10"/>
      <color rgb="FF222222"/>
      <name val="Calibri"/>
    </font>
    <font>
      <b/>
      <sz val="11"/>
      <color rgb="FF222222"/>
      <name val="Calibri"/>
    </font>
    <font>
      <b/>
      <sz val="10"/>
      <color rgb="FF1F4E78"/>
      <name val="Calibri"/>
    </font>
    <font>
      <sz val="11"/>
      <color rgb="FF222222"/>
      <name val="Calibri"/>
    </font>
    <font>
      <sz val="8"/>
      <name val="Carlito"/>
    </font>
    <font>
      <b/>
      <sz val="16"/>
      <color rgb="FF1F2937"/>
      <name val="Carlito"/>
    </font>
    <font>
      <i/>
      <sz val="10"/>
      <color rgb="FF66666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 style="thin">
        <color rgb="FFD9D9D9"/>
      </right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/>
      <bottom style="thin">
        <color rgb="FF4472C4"/>
      </bottom>
      <diagonal/>
    </border>
    <border>
      <left style="thin">
        <color rgb="FFD9D9D9"/>
      </left>
      <right/>
      <top/>
      <bottom style="thin">
        <color rgb="FF4472C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9" fontId="5" fillId="0" borderId="5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8" xfId="0" applyFont="1" applyBorder="1" applyAlignment="1">
      <alignment vertical="center"/>
    </xf>
    <xf numFmtId="169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5" fillId="0" borderId="9" xfId="0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169" fontId="5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67" fontId="5" fillId="0" borderId="10" xfId="0" applyNumberFormat="1" applyFont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172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173" fontId="0" fillId="0" borderId="0" xfId="0" applyNumberFormat="1"/>
    <xf numFmtId="174" fontId="0" fillId="0" borderId="0" xfId="0" applyNumberFormat="1"/>
    <xf numFmtId="3" fontId="0" fillId="0" borderId="0" xfId="0" applyNumberFormat="1"/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/>
    </xf>
  </cellXfs>
  <cellStyles count="1">
    <cellStyle name="Normal" xfId="0" builtinId="0"/>
  </cellStyles>
  <dxfs count="9">
    <dxf>
      <font>
        <b/>
        <color rgb="FFB84A4A"/>
      </font>
      <fill>
        <patternFill patternType="solid">
          <bgColor rgb="FFFCE8E8"/>
        </patternFill>
      </fill>
    </dxf>
    <dxf>
      <font>
        <b/>
        <color rgb="FFB84A4A"/>
      </font>
      <fill>
        <patternFill patternType="solid">
          <bgColor rgb="FFFCE8E8"/>
        </patternFill>
      </fill>
    </dxf>
    <dxf>
      <font>
        <b/>
        <color rgb="FF1F4E78"/>
      </font>
      <fill>
        <patternFill patternType="solid">
          <bgColor rgb="FFF2F2F2"/>
        </patternFill>
      </fill>
    </dxf>
    <dxf>
      <font>
        <b/>
        <color rgb="FFB84A4A"/>
      </font>
      <fill>
        <patternFill patternType="solid">
          <bgColor rgb="FFFCE8E8"/>
        </patternFill>
      </fill>
    </dxf>
    <dxf>
      <numFmt numFmtId="3" formatCode="#,##0"/>
    </dxf>
    <dxf>
      <numFmt numFmtId="174" formatCode="yyyy/mm/dd"/>
    </dxf>
    <dxf>
      <numFmt numFmtId="174" formatCode="yyyy/mm/dd"/>
    </dxf>
    <dxf>
      <numFmt numFmtId="174" formatCode="yyyy/mm/dd"/>
    </dxf>
    <dxf>
      <numFmt numFmtId="173" formatCode="yyyy/mm/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Calibri"/>
                <a:ea typeface="Calibri"/>
                <a:cs typeface="Calibri"/>
              </a:rPr>
              <a:t>Monthly close rate and 9.6% target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rate</c:v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Trends!$T$5:$T$10</c:f>
              <c:strCache>
                <c:ptCount val="6"/>
                <c:pt idx="0">
                  <c:v>Apr 2009</c:v>
                </c:pt>
                <c:pt idx="1">
                  <c:v>May 2009</c:v>
                </c:pt>
                <c:pt idx="2">
                  <c:v>Jun 2009</c:v>
                </c:pt>
                <c:pt idx="3">
                  <c:v>Jul 2009</c:v>
                </c:pt>
                <c:pt idx="4">
                  <c:v>Aug 2009</c:v>
                </c:pt>
                <c:pt idx="5">
                  <c:v>Sep 2009</c:v>
                </c:pt>
              </c:strCache>
            </c:strRef>
          </c:cat>
          <c:val>
            <c:numRef>
              <c:f>Trends!$U$5:$U$10</c:f>
              <c:numCache>
                <c:formatCode>General</c:formatCode>
                <c:ptCount val="6"/>
                <c:pt idx="0">
                  <c:v>0.10810810810810811</c:v>
                </c:pt>
                <c:pt idx="1">
                  <c:v>6.3793103448275865E-2</c:v>
                </c:pt>
                <c:pt idx="2">
                  <c:v>0.10344827586206896</c:v>
                </c:pt>
                <c:pt idx="3">
                  <c:v>6.2030075187969921E-2</c:v>
                </c:pt>
                <c:pt idx="4">
                  <c:v>9.3607305936073054E-2</c:v>
                </c:pt>
                <c:pt idx="5">
                  <c:v>4.3604651162790699E-2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5-42BB-9189-284DA7680286}"/>
            </c:ext>
          </c:extLst>
        </c:ser>
        <c:ser>
          <c:idx val="1"/>
          <c:order val="1"/>
          <c:tx>
            <c:v>Target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Trends!$T$5:$T$10</c:f>
              <c:strCache>
                <c:ptCount val="6"/>
                <c:pt idx="0">
                  <c:v>Apr 2009</c:v>
                </c:pt>
                <c:pt idx="1">
                  <c:v>May 2009</c:v>
                </c:pt>
                <c:pt idx="2">
                  <c:v>Jun 2009</c:v>
                </c:pt>
                <c:pt idx="3">
                  <c:v>Jul 2009</c:v>
                </c:pt>
                <c:pt idx="4">
                  <c:v>Aug 2009</c:v>
                </c:pt>
                <c:pt idx="5">
                  <c:v>Sep 2009</c:v>
                </c:pt>
              </c:strCache>
            </c:strRef>
          </c:cat>
          <c:val>
            <c:numRef>
              <c:f>Trends!$V$5:$V$10</c:f>
              <c:numCache>
                <c:formatCode>General</c:formatCode>
                <c:ptCount val="6"/>
                <c:pt idx="0">
                  <c:v>9.6000000000000002E-2</c:v>
                </c:pt>
                <c:pt idx="1">
                  <c:v>9.6000000000000002E-2</c:v>
                </c:pt>
                <c:pt idx="2">
                  <c:v>9.6000000000000002E-2</c:v>
                </c:pt>
                <c:pt idx="3">
                  <c:v>9.6000000000000002E-2</c:v>
                </c:pt>
                <c:pt idx="4">
                  <c:v>9.6000000000000002E-2</c:v>
                </c:pt>
                <c:pt idx="5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5-42BB-9189-284DA7680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>
                <a:latin typeface="Calibri"/>
                <a:ea typeface="Calibri"/>
                <a:cs typeface="Calibri"/>
              </a:rPr>
              <a:t>Reliable ad-group close rates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Close rate</c:v>
          </c:tx>
          <c:spPr>
            <a:solidFill>
              <a:srgbClr val="4472C4"/>
            </a:solidFill>
          </c:spPr>
          <c:invertIfNegative val="1"/>
          <c:cat>
            <c:strRef>
              <c:f>Segments!$A$5:$A$15</c:f>
              <c:strCache>
                <c:ptCount val="11"/>
                <c:pt idx="0">
                  <c:v>Holding Tank - Debt</c:v>
                </c:pt>
                <c:pt idx="1">
                  <c:v>Consolidate</c:v>
                </c:pt>
                <c:pt idx="2">
                  <c:v>Debt</c:v>
                </c:pt>
                <c:pt idx="3">
                  <c:v>General Debt</c:v>
                </c:pt>
                <c:pt idx="4">
                  <c:v>Unknown</c:v>
                </c:pt>
                <c:pt idx="5">
                  <c:v>Debt Consolidation</c:v>
                </c:pt>
                <c:pt idx="6">
                  <c:v>How</c:v>
                </c:pt>
                <c:pt idx="7">
                  <c:v>Lower Payments</c:v>
                </c:pt>
                <c:pt idx="8">
                  <c:v>Credit Card Consolidation</c:v>
                </c:pt>
                <c:pt idx="9">
                  <c:v>Credit Card Debt - high volume</c:v>
                </c:pt>
                <c:pt idx="10">
                  <c:v>Student Debt</c:v>
                </c:pt>
              </c:strCache>
            </c:strRef>
          </c:cat>
          <c:val>
            <c:numRef>
              <c:f>Segments!$D$5:$D$15</c:f>
              <c:numCache>
                <c:formatCode>0.00%</c:formatCode>
                <c:ptCount val="11"/>
                <c:pt idx="0">
                  <c:v>0.14497041420118342</c:v>
                </c:pt>
                <c:pt idx="1">
                  <c:v>0.1242603550295858</c:v>
                </c:pt>
                <c:pt idx="2">
                  <c:v>0.11827956989247312</c:v>
                </c:pt>
                <c:pt idx="3">
                  <c:v>0.1</c:v>
                </c:pt>
                <c:pt idx="4">
                  <c:v>9.5588235294117641E-2</c:v>
                </c:pt>
                <c:pt idx="5">
                  <c:v>8.7179487179487175E-2</c:v>
                </c:pt>
                <c:pt idx="6">
                  <c:v>8.6956521739130432E-2</c:v>
                </c:pt>
                <c:pt idx="7">
                  <c:v>5.0761421319796954E-2</c:v>
                </c:pt>
                <c:pt idx="8">
                  <c:v>4.7619047619047616E-2</c:v>
                </c:pt>
                <c:pt idx="9">
                  <c:v>4.6511627906976744E-2</c:v>
                </c:pt>
                <c:pt idx="10">
                  <c:v>1.1111111111111112E-2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85-422A-A39F-DED5BC276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C0C6F3B-AB0D-469D-BA81-EA5CCA0A8720}" autoFormatId="16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LeadKey" tableColumnId="65"/>
      <queryTableField id="2" name="LeadCreated" tableColumnId="66"/>
      <queryTableField id="3" name="LeadDate" tableColumnId="67"/>
      <queryTableField id="4" name="WeekStart" tableColumnId="68"/>
      <queryTableField id="5" name="MonthStart" tableColumnId="69"/>
      <queryTableField id="6" name="DaysSinceStart" tableColumnId="70"/>
      <queryTableField id="7" name="CallStatus" tableColumnId="71"/>
      <queryTableField id="8" name="OutcomeBucket" tableColumnId="72"/>
      <queryTableField id="9" name="IsClosed" tableColumnId="73"/>
      <queryTableField id="10" name="IsGoodProgression" tableColumnId="74"/>
      <queryTableField id="11" name="IsBadQuality" tableColumnId="75"/>
      <queryTableField id="12" name="IsUnknown" tableColumnId="76"/>
      <queryTableField id="13" name="IsPositiveSignal" tableColumnId="77"/>
      <queryTableField id="14" name="WidgetNameNormalized" tableColumnId="78"/>
      <queryTableField id="15" name="WidgetFormPages" tableColumnId="79"/>
      <queryTableField id="16" name="WidgetDesign" tableColumnId="80"/>
      <queryTableField id="17" name="PublisherZoneName" tableColumnId="81"/>
      <queryTableField id="18" name="PublisherCampaignName" tableColumnId="82"/>
      <queryTableField id="19" name="AddressScore" tableColumnId="83"/>
      <queryTableField id="20" name="AddressScoreBand" tableColumnId="84"/>
      <queryTableField id="21" name="AddressScoreMissing" tableColumnId="85"/>
      <queryTableField id="22" name="PhoneScore" tableColumnId="86"/>
      <queryTableField id="23" name="PhoneScoreBand" tableColumnId="87"/>
      <queryTableField id="24" name="PhoneScoreMissing" tableColumnId="88"/>
      <queryTableField id="25" name="AdvertiserCampaignName" tableColumnId="89"/>
      <queryTableField id="26" name="State" tableColumnId="90"/>
      <queryTableField id="27" name="DebtLevel" tableColumnId="91"/>
      <queryTableField id="28" name="Partner" tableColumnId="92"/>
      <queryTableField id="29" name="ReferralDomain" tableColumnId="93"/>
      <queryTableField id="30" name="MarketingCampaign" tableColumnId="94"/>
      <queryTableField id="31" name="AdGroup" tableColumnId="95"/>
      <queryTableField id="32" name="Keyword" tableColumnId="96"/>
    </queryTableFields>
  </queryTableRefresh>
</queryTable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DataCleaningChecksTable" displayName="DataCleaningChecksTable" ref="A3:E11" totalsRowShown="0">
  <tableColumns count="5">
    <tableColumn id="1" xr3:uid="{00000000-0010-0000-0000-000001000000}" name="Check"/>
    <tableColumn id="2" xr3:uid="{00000000-0010-0000-0000-000002000000}" name="Source / expected"/>
    <tableColumn id="3" xr3:uid="{00000000-0010-0000-0000-000003000000}" name="Clean output"/>
    <tableColumn id="4" xr3:uid="{00000000-0010-0000-0000-000004000000}" name="Result"/>
    <tableColumn id="5" xr3:uid="{00000000-0010-0000-0000-000005000000}" name="What was d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DataCleaningStepsTable" displayName="DataCleaningStepsTable" ref="A14:D23" totalsRowShown="0">
  <tableColumns count="4">
    <tableColumn id="1" xr3:uid="{00000000-0010-0000-0100-000001000000}" name="Step"/>
    <tableColumn id="2" xr3:uid="{00000000-0010-0000-0100-000002000000}" name="Fields"/>
    <tableColumn id="3" xr3:uid="{00000000-0010-0000-0100-000003000000}" name="Cleaning performed"/>
    <tableColumn id="4" xr3:uid="{00000000-0010-0000-0100-000004000000}" name="Output field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MonthlyTrendTable" displayName="MonthlyTrendTable" ref="A4:H10" totalsRowShown="0">
  <tableColumns count="8">
    <tableColumn id="1" xr3:uid="{00000000-0010-0000-0200-000001000000}" name="Month"/>
    <tableColumn id="2" xr3:uid="{00000000-0010-0000-0200-000002000000}" name="Leads"/>
    <tableColumn id="3" xr3:uid="{00000000-0010-0000-0200-000003000000}" name="Closed"/>
    <tableColumn id="4" xr3:uid="{00000000-0010-0000-0200-000004000000}" name="Close rate"/>
    <tableColumn id="5" xr3:uid="{00000000-0010-0000-0200-000005000000}" name="Wilson low"/>
    <tableColumn id="6" xr3:uid="{00000000-0010-0000-0200-000006000000}" name="Wilson high"/>
    <tableColumn id="7" xr3:uid="{00000000-0010-0000-0200-000007000000}" name="Positive signal rate"/>
    <tableColumn id="8" xr3:uid="{00000000-0010-0000-0200-000008000000}" name="Targe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rendTestsTable" displayName="TrendTestsTable" ref="J4:N7" totalsRowShown="0">
  <tableColumns count="5">
    <tableColumn id="1" xr3:uid="{00000000-0010-0000-0300-000001000000}" name="Test"/>
    <tableColumn id="2" xr3:uid="{00000000-0010-0000-0300-000002000000}" name="Estimate"/>
    <tableColumn id="3" xr3:uid="{00000000-0010-0000-0300-000003000000}" name="95% low"/>
    <tableColumn id="4" xr3:uid="{00000000-0010-0000-0300-000004000000}" name="95% high"/>
    <tableColumn id="5" xr3:uid="{00000000-0010-0000-0300-000005000000}" name="p-valu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WeeklyTrendTable" displayName="WeeklyTrendTable" ref="A14:H41" totalsRowShown="0">
  <tableColumns count="8">
    <tableColumn id="1" xr3:uid="{00000000-0010-0000-0400-000001000000}" name="Week start"/>
    <tableColumn id="2" xr3:uid="{00000000-0010-0000-0400-000002000000}" name="Leads"/>
    <tableColumn id="3" xr3:uid="{00000000-0010-0000-0400-000003000000}" name="Closed"/>
    <tableColumn id="4" xr3:uid="{00000000-0010-0000-0400-000004000000}" name="Close rate"/>
    <tableColumn id="5" xr3:uid="{00000000-0010-0000-0400-000005000000}" name="Wilson low"/>
    <tableColumn id="6" xr3:uid="{00000000-0010-0000-0400-000006000000}" name="Wilson high"/>
    <tableColumn id="7" xr3:uid="{00000000-0010-0000-0400-000007000000}" name="Positive signal rate"/>
    <tableColumn id="8" xr3:uid="{00000000-0010-0000-0400-000008000000}" name="Targe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liableSegmentTable" displayName="ReliableSegmentTable" ref="A26:K115" totalsRowShown="0">
  <tableColumns count="11">
    <tableColumn id="1" xr3:uid="{00000000-0010-0000-0600-000001000000}" name="Dimension"/>
    <tableColumn id="2" xr3:uid="{00000000-0010-0000-0600-000002000000}" name="Segment"/>
    <tableColumn id="3" xr3:uid="{00000000-0010-0000-0600-000003000000}" name="Leads"/>
    <tableColumn id="4" xr3:uid="{00000000-0010-0000-0600-000004000000}" name="Closed"/>
    <tableColumn id="5" xr3:uid="{00000000-0010-0000-0600-000005000000}" name="Close rate"/>
    <tableColumn id="6" xr3:uid="{00000000-0010-0000-0600-000006000000}" name="Wilson low"/>
    <tableColumn id="7" xr3:uid="{00000000-0010-0000-0600-000007000000}" name="Wilson high"/>
    <tableColumn id="8" xr3:uid="{00000000-0010-0000-0600-000008000000}" name="Lift vs overall"/>
    <tableColumn id="9" xr3:uid="{00000000-0010-0000-0600-000009000000}" name="p-value"/>
    <tableColumn id="10" xr3:uid="{00000000-0010-0000-0600-00000A000000}" name="q-value"/>
    <tableColumn id="11" xr3:uid="{00000000-0010-0000-0600-00000B000000}" name="Reliable 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dGroupPerformanceTable" displayName="AdGroupPerformanceTable" ref="A4:H15" totalsRowShown="0">
  <tableColumns count="8">
    <tableColumn id="1" xr3:uid="{00000000-0010-0000-0500-000001000000}" name="Ad group"/>
    <tableColumn id="2" xr3:uid="{00000000-0010-0000-0500-000002000000}" name="Leads"/>
    <tableColumn id="3" xr3:uid="{00000000-0010-0000-0500-000003000000}" name="Closed"/>
    <tableColumn id="4" xr3:uid="{00000000-0010-0000-0500-000004000000}" name="Close rate"/>
    <tableColumn id="5" xr3:uid="{00000000-0010-0000-0500-000005000000}" name="Wilson low"/>
    <tableColumn id="6" xr3:uid="{00000000-0010-0000-0500-000006000000}" name="Wilson high"/>
    <tableColumn id="7" xr3:uid="{00000000-0010-0000-0500-000007000000}" name="q-value"/>
    <tableColumn id="8" xr3:uid="{00000000-0010-0000-0500-000008000000}" name="Reliable 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rgetScenarioTable" displayName="TargetScenarioTable" ref="A15:H18" totalsRowShown="0">
  <tableColumns count="8">
    <tableColumn id="1" xr3:uid="{00000000-0010-0000-0700-000001000000}" name="Scenario"/>
    <tableColumn id="2" xr3:uid="{00000000-0010-0000-0700-000002000000}" name="Leads affected"/>
    <tableColumn id="3" xr3:uid="{00000000-0010-0000-0700-000003000000}" name="Destination rate"/>
    <tableColumn id="4" xr3:uid="{00000000-0010-0000-0700-000004000000}" name="Incremental closes"/>
    <tableColumn id="5" xr3:uid="{00000000-0010-0000-0700-000005000000}" name="Total closes"/>
    <tableColumn id="6" xr3:uid="{00000000-0010-0000-0700-000006000000}" name="Close rate"/>
    <tableColumn id="7" xr3:uid="{00000000-0010-0000-0700-000007000000}" name="Meets target"/>
    <tableColumn id="8" xr3:uid="{00000000-0010-0000-0700-000008000000}" name="Assump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OpportunityDimensionTable" displayName="OpportunityDimensionTable" ref="A23:E35" totalsRowShown="0">
  <tableColumns count="5">
    <tableColumn id="1" xr3:uid="{00000000-0010-0000-0800-000001000000}" name="Dimension"/>
    <tableColumn id="2" xr3:uid="{00000000-0010-0000-0800-000002000000}" name="Benchmark segment"/>
    <tableColumn id="3" xr3:uid="{00000000-0010-0000-0800-000003000000}" name="Observed rate"/>
    <tableColumn id="4" xr3:uid="{00000000-0010-0000-0800-000004000000}" name="Planning rate"/>
    <tableColumn id="5" xr3:uid="{00000000-0010-0000-0800-000005000000}" name="Potential clos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ModelMetricsTable" displayName="ModelMetricsTable" ref="A4:C17" totalsRowShown="0">
  <tableColumns count="3">
    <tableColumn id="1" xr3:uid="{00000000-0010-0000-0900-000001000000}" name="Metric"/>
    <tableColumn id="2" xr3:uid="{00000000-0010-0000-0900-000002000000}" name="Value"/>
    <tableColumn id="3" xr3:uid="{00000000-0010-0000-0900-000003000000}" name="Not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ModelCoefficientTable" displayName="ModelCoefficientTable" ref="A20:H44" totalsRowShown="0">
  <tableColumns count="8">
    <tableColumn id="1" xr3:uid="{00000000-0010-0000-0A00-000001000000}" name="Term"/>
    <tableColumn id="2" xr3:uid="{00000000-0010-0000-0A00-000002000000}" name="Odds ratio"/>
    <tableColumn id="3" xr3:uid="{00000000-0010-0000-0A00-000003000000}" name="95% low"/>
    <tableColumn id="4" xr3:uid="{00000000-0010-0000-0A00-000004000000}" name="95% high"/>
    <tableColumn id="5" xr3:uid="{00000000-0010-0000-0A00-000005000000}" name="p-value"/>
    <tableColumn id="6" xr3:uid="{00000000-0010-0000-0A00-000006000000}" name="q-value"/>
    <tableColumn id="7" xr3:uid="{00000000-0010-0000-0A00-000007000000}" name="Bootstrap sign consistency"/>
    <tableColumn id="8" xr3:uid="{00000000-0010-0000-0A00-000008000000}" name="Interpretat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QualityCheckTable" displayName="QualityCheckTable" ref="A4:E19" totalsRowShown="0">
  <tableColumns count="5">
    <tableColumn id="1" xr3:uid="{00000000-0010-0000-0B00-000001000000}" name="Check"/>
    <tableColumn id="2" xr3:uid="{00000000-0010-0000-0B00-000002000000}" name="Actual"/>
    <tableColumn id="3" xr3:uid="{00000000-0010-0000-0B00-000003000000}" name="Expected"/>
    <tableColumn id="4" xr3:uid="{00000000-0010-0000-0B00-000004000000}" name="Passed"/>
    <tableColumn id="5" xr3:uid="{00000000-0010-0000-0B00-000005000000}" name="Note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DE1843-4866-4E30-AD2B-1A7EF64CEF21}" name="LeadQualityCleaning" displayName="LeadQualityCleaning" ref="A3:AF3024" tableType="queryTable" totalsRowShown="0">
  <autoFilter ref="A3:AF3024" xr:uid="{7BDE1843-4866-4E30-AD2B-1A7EF64CEF21}"/>
  <tableColumns count="32">
    <tableColumn id="65" xr3:uid="{6A6C19BE-F438-48EA-A3C6-1156E89FFAE2}" uniqueName="65" name="LeadKey" queryTableFieldId="1"/>
    <tableColumn id="66" xr3:uid="{6A8944A1-1321-493B-B81D-D4DEDC952125}" uniqueName="66" name="LeadCreated" queryTableFieldId="2" dataDxfId="8"/>
    <tableColumn id="67" xr3:uid="{33C11566-2A82-4AD7-BF57-258BB59D5DB8}" uniqueName="67" name="LeadDate" queryTableFieldId="3" dataDxfId="7"/>
    <tableColumn id="68" xr3:uid="{12B6DB4B-0AB3-4675-A9E0-E6508DCF85A9}" uniqueName="68" name="WeekStart" queryTableFieldId="4" dataDxfId="6"/>
    <tableColumn id="69" xr3:uid="{B5F345F7-0EBA-4C46-8DFF-868F12DAE06C}" uniqueName="69" name="MonthStart" queryTableFieldId="5" dataDxfId="5"/>
    <tableColumn id="70" xr3:uid="{76608848-5CAE-4261-99AF-246F2CE25A91}" uniqueName="70" name="DaysSinceStart" queryTableFieldId="6" dataDxfId="4"/>
    <tableColumn id="71" xr3:uid="{C1E9B678-4F9C-401F-825B-EBD2AD391815}" uniqueName="71" name="CallStatus" queryTableFieldId="7"/>
    <tableColumn id="72" xr3:uid="{970DAC90-F8A2-45E7-909E-F94D5B84DE05}" uniqueName="72" name="OutcomeBucket" queryTableFieldId="8"/>
    <tableColumn id="73" xr3:uid="{448DFC03-50AA-494E-B9C8-375414C90AB6}" uniqueName="73" name="IsClosed" queryTableFieldId="9"/>
    <tableColumn id="74" xr3:uid="{EB0D62D4-179A-4E18-9490-85880D9A4434}" uniqueName="74" name="IsGoodProgression" queryTableFieldId="10"/>
    <tableColumn id="75" xr3:uid="{5A7A8DF6-F063-4BDC-95C1-167EDC213328}" uniqueName="75" name="IsBadQuality" queryTableFieldId="11"/>
    <tableColumn id="76" xr3:uid="{6B5FD37C-F63C-46F3-95A8-ABBDEB0E7820}" uniqueName="76" name="IsUnknown" queryTableFieldId="12"/>
    <tableColumn id="77" xr3:uid="{2F00DBB5-BC09-4923-A1C4-725E716ED74D}" uniqueName="77" name="IsPositiveSignal" queryTableFieldId="13"/>
    <tableColumn id="78" xr3:uid="{A37A250D-1950-4035-830C-5C922C996EC1}" uniqueName="78" name="WidgetNameNormalized" queryTableFieldId="14"/>
    <tableColumn id="79" xr3:uid="{890706BD-6C21-492F-8568-3E8490D8639B}" uniqueName="79" name="WidgetFormPages" queryTableFieldId="15"/>
    <tableColumn id="80" xr3:uid="{E6A8C179-5FE7-4E75-ABE6-71BF083C1ED9}" uniqueName="80" name="WidgetDesign" queryTableFieldId="16"/>
    <tableColumn id="81" xr3:uid="{7009C7A5-DCBA-4EF2-8F70-7016EC1B3C42}" uniqueName="81" name="PublisherZoneName" queryTableFieldId="17"/>
    <tableColumn id="82" xr3:uid="{0B9A4238-34F9-4A0E-AC1E-E5ED6F48FF2B}" uniqueName="82" name="PublisherCampaignName" queryTableFieldId="18"/>
    <tableColumn id="83" xr3:uid="{A46D0A5B-78BB-4D6E-9B80-686727D702BD}" uniqueName="83" name="AddressScore" queryTableFieldId="19"/>
    <tableColumn id="84" xr3:uid="{B5FE0DCF-5768-4982-BF16-6EE71CC23D39}" uniqueName="84" name="AddressScoreBand" queryTableFieldId="20"/>
    <tableColumn id="85" xr3:uid="{21362BC7-BED0-4240-B18B-1EEC8261905E}" uniqueName="85" name="AddressScoreMissing" queryTableFieldId="21"/>
    <tableColumn id="86" xr3:uid="{6BE1991A-DB74-4047-A020-A12D88705697}" uniqueName="86" name="PhoneScore" queryTableFieldId="22"/>
    <tableColumn id="87" xr3:uid="{06A7F76E-72D2-4CF9-8589-CF63E6B1492C}" uniqueName="87" name="PhoneScoreBand" queryTableFieldId="23"/>
    <tableColumn id="88" xr3:uid="{21958A0C-5326-41BC-BA2A-4DC4C11F50C8}" uniqueName="88" name="PhoneScoreMissing" queryTableFieldId="24"/>
    <tableColumn id="89" xr3:uid="{81C8772B-5F80-4960-8520-90FD8720D23F}" uniqueName="89" name="AdvertiserCampaignName" queryTableFieldId="25"/>
    <tableColumn id="90" xr3:uid="{0D0E8097-F704-497C-80AB-CBCF8E6EA3D6}" uniqueName="90" name="State" queryTableFieldId="26"/>
    <tableColumn id="91" xr3:uid="{5D08183C-DB12-4196-8CCB-4D00E67DEA27}" uniqueName="91" name="DebtLevel" queryTableFieldId="27"/>
    <tableColumn id="92" xr3:uid="{A10436FF-3649-4A76-9F6D-3387F5F482E6}" uniqueName="92" name="Partner" queryTableFieldId="28"/>
    <tableColumn id="93" xr3:uid="{1582CEF6-8972-42B3-AFEC-571A21BD9AA3}" uniqueName="93" name="ReferralDomain" queryTableFieldId="29"/>
    <tableColumn id="94" xr3:uid="{FEA71BC5-7392-4183-B10E-272FB7B57AC2}" uniqueName="94" name="MarketingCampaign" queryTableFieldId="30"/>
    <tableColumn id="95" xr3:uid="{61E6CD5F-A236-44E9-A136-F4C645C555E5}" uniqueName="95" name="AdGroup" queryTableFieldId="31"/>
    <tableColumn id="96" xr3:uid="{4FCB289B-0AF4-4724-AD25-B5FADD481135}" uniqueName="96" name="Keyword" queryTableFieldId="32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SanitizedStagingTable" displayName="SanitizedStagingTable" ref="A3:P3024" totalsRowShown="0">
  <tableColumns count="16">
    <tableColumn id="1" xr3:uid="{00000000-0010-0000-0D00-000001000000}" name="LeadKey"/>
    <tableColumn id="2" xr3:uid="{00000000-0010-0000-0D00-000002000000}" name="LeadCreated"/>
    <tableColumn id="3" xr3:uid="{00000000-0010-0000-0D00-000003000000}" name="CallStatus"/>
    <tableColumn id="4" xr3:uid="{00000000-0010-0000-0D00-000004000000}" name="WidgetName"/>
    <tableColumn id="5" xr3:uid="{00000000-0010-0000-0D00-000005000000}" name="PublisherZoneName"/>
    <tableColumn id="6" xr3:uid="{00000000-0010-0000-0D00-000006000000}" name="PublisherCampaignName"/>
    <tableColumn id="7" xr3:uid="{00000000-0010-0000-0D00-000007000000}" name="AddressScore"/>
    <tableColumn id="8" xr3:uid="{00000000-0010-0000-0D00-000008000000}" name="PhoneScore"/>
    <tableColumn id="9" xr3:uid="{00000000-0010-0000-0D00-000009000000}" name="AdvertiserCampaignName"/>
    <tableColumn id="10" xr3:uid="{00000000-0010-0000-0D00-00000A000000}" name="State"/>
    <tableColumn id="11" xr3:uid="{00000000-0010-0000-0D00-00000B000000}" name="DebtLevel"/>
    <tableColumn id="12" xr3:uid="{00000000-0010-0000-0D00-00000C000000}" name="Partner"/>
    <tableColumn id="13" xr3:uid="{00000000-0010-0000-0D00-00000D000000}" name="ReferralDomain"/>
    <tableColumn id="14" xr3:uid="{00000000-0010-0000-0D00-00000E000000}" name="MarketingCampaign"/>
    <tableColumn id="15" xr3:uid="{00000000-0010-0000-0D00-00000F000000}" name="AdGroup"/>
    <tableColumn id="16" xr3:uid="{00000000-0010-0000-0D00-000010000000}" name="Keyword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orkbookGuideTable" displayName="WorkbookGuideTable" ref="A4:B14" totalsRowShown="0">
  <tableColumns count="2">
    <tableColumn id="1" xr3:uid="{00000000-0010-0000-0E00-000001000000}" name="Section"/>
    <tableColumn id="2" xr3:uid="{00000000-0010-0000-0E00-000002000000}" name="Purpos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MethodGuideTable" displayName="MethodGuideTable" ref="A15:B22" totalsRowShown="0">
  <tableColumns count="2">
    <tableColumn id="1" xr3:uid="{00000000-0010-0000-0F00-000001000000}" name="Method note"/>
    <tableColumn id="2" xr3:uid="{00000000-0010-0000-0F00-000002000000}" name="Detai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25"/>
  <sheetViews>
    <sheetView workbookViewId="0"/>
  </sheetViews>
  <sheetFormatPr defaultRowHeight="14.25"/>
  <cols>
    <col min="1" max="1" width="24" customWidth="1"/>
    <col min="2" max="2" width="17" customWidth="1"/>
    <col min="3" max="3" width="30" customWidth="1"/>
    <col min="4" max="4" width="3" customWidth="1"/>
    <col min="5" max="5" width="22" customWidth="1"/>
    <col min="6" max="7" width="13" customWidth="1"/>
    <col min="8" max="8" width="34" customWidth="1"/>
  </cols>
  <sheetData>
    <row r="1" spans="1:12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8.75">
      <c r="A2" s="31" t="s">
        <v>4226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5">
      <c r="A4" s="1" t="s">
        <v>0</v>
      </c>
      <c r="B4" s="2" t="s">
        <v>1</v>
      </c>
      <c r="C4" s="3" t="s">
        <v>2</v>
      </c>
      <c r="D4" s="4"/>
      <c r="E4" s="1" t="s">
        <v>3</v>
      </c>
      <c r="F4" s="2" t="s">
        <v>4</v>
      </c>
      <c r="G4" s="2" t="s">
        <v>5</v>
      </c>
      <c r="H4" s="3" t="s">
        <v>6</v>
      </c>
      <c r="I4" s="4"/>
      <c r="J4" s="4"/>
      <c r="K4" s="4"/>
      <c r="L4" s="4"/>
    </row>
    <row r="5" spans="1:12" ht="15">
      <c r="A5" s="5" t="s">
        <v>7</v>
      </c>
      <c r="B5" s="6">
        <f>Opportunity!B5</f>
        <v>3021</v>
      </c>
      <c r="C5" s="7" t="s">
        <v>8</v>
      </c>
      <c r="D5" s="4"/>
      <c r="E5" s="5" t="s">
        <v>9</v>
      </c>
      <c r="F5" s="6">
        <v>245</v>
      </c>
      <c r="G5" s="8">
        <f>F5/$B$5</f>
        <v>8.1098973849718634E-2</v>
      </c>
      <c r="H5" s="7" t="s">
        <v>10</v>
      </c>
      <c r="I5" s="4"/>
      <c r="J5" s="4"/>
      <c r="K5" s="4"/>
      <c r="L5" s="4"/>
    </row>
    <row r="6" spans="1:12" ht="15">
      <c r="A6" s="9" t="s">
        <v>11</v>
      </c>
      <c r="B6" s="10">
        <f>Opportunity!B6</f>
        <v>245</v>
      </c>
      <c r="C6" s="11" t="s">
        <v>12</v>
      </c>
      <c r="D6" s="4"/>
      <c r="E6" s="9" t="s">
        <v>13</v>
      </c>
      <c r="F6" s="10">
        <v>148</v>
      </c>
      <c r="G6" s="12">
        <f>F6/$B$5</f>
        <v>4.8990400529625951E-2</v>
      </c>
      <c r="H6" s="11" t="s">
        <v>14</v>
      </c>
      <c r="I6" s="4"/>
      <c r="J6" s="4"/>
      <c r="K6" s="4"/>
      <c r="L6" s="4"/>
    </row>
    <row r="7" spans="1:12" ht="15">
      <c r="A7" s="9" t="s">
        <v>15</v>
      </c>
      <c r="B7" s="13">
        <f>Opportunity!B7</f>
        <v>8.1098973849718634E-2</v>
      </c>
      <c r="C7" s="11" t="s">
        <v>16</v>
      </c>
      <c r="D7" s="4"/>
      <c r="E7" s="9" t="s">
        <v>17</v>
      </c>
      <c r="F7" s="10">
        <v>488</v>
      </c>
      <c r="G7" s="12">
        <f>F7/$B$5</f>
        <v>0.16153591525984773</v>
      </c>
      <c r="H7" s="11" t="s">
        <v>18</v>
      </c>
      <c r="I7" s="4"/>
      <c r="J7" s="4"/>
      <c r="K7" s="4"/>
      <c r="L7" s="4"/>
    </row>
    <row r="8" spans="1:12" ht="15">
      <c r="A8" s="9" t="s">
        <v>19</v>
      </c>
      <c r="B8" s="13">
        <f>Opportunity!B8</f>
        <v>9.6000000000000002E-2</v>
      </c>
      <c r="C8" s="11" t="s">
        <v>20</v>
      </c>
      <c r="D8" s="4"/>
      <c r="E8" s="14" t="s">
        <v>21</v>
      </c>
      <c r="F8" s="15">
        <v>2140</v>
      </c>
      <c r="G8" s="16">
        <f>F8/$B$5</f>
        <v>0.70837471036080768</v>
      </c>
      <c r="H8" s="17" t="s">
        <v>22</v>
      </c>
      <c r="I8" s="4"/>
      <c r="J8" s="4"/>
      <c r="K8" s="4"/>
      <c r="L8" s="4"/>
    </row>
    <row r="9" spans="1:12" ht="15">
      <c r="A9" s="9" t="s">
        <v>23</v>
      </c>
      <c r="B9" s="10">
        <f>Opportunity!B9</f>
        <v>291</v>
      </c>
      <c r="C9" s="11" t="s">
        <v>24</v>
      </c>
      <c r="D9" s="4"/>
      <c r="E9" s="4"/>
      <c r="F9" s="4"/>
      <c r="G9" s="4"/>
      <c r="H9" s="4"/>
      <c r="I9" s="4"/>
      <c r="J9" s="4"/>
      <c r="K9" s="4"/>
      <c r="L9" s="4"/>
    </row>
    <row r="10" spans="1:12" ht="15">
      <c r="A10" s="9" t="s">
        <v>25</v>
      </c>
      <c r="B10" s="10">
        <f>Opportunity!B10</f>
        <v>46</v>
      </c>
      <c r="C10" s="11" t="s">
        <v>26</v>
      </c>
      <c r="D10" s="4"/>
      <c r="E10" s="4"/>
      <c r="F10" s="4"/>
      <c r="G10" s="4"/>
      <c r="H10" s="4"/>
      <c r="I10" s="4"/>
      <c r="J10" s="4"/>
      <c r="K10" s="4"/>
      <c r="L10" s="4"/>
    </row>
    <row r="11" spans="1:12" ht="15">
      <c r="A11" s="14" t="s">
        <v>27</v>
      </c>
      <c r="B11" s="18">
        <f>Opportunity!B5*(Opportunity!B12-Opportunity!B11)</f>
        <v>9063</v>
      </c>
      <c r="C11" s="17" t="s">
        <v>28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ht="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">
      <c r="A14" s="19" t="s">
        <v>29</v>
      </c>
      <c r="B14" s="19"/>
      <c r="C14" s="19"/>
      <c r="D14" s="19"/>
      <c r="E14" s="19"/>
      <c r="F14" s="19"/>
      <c r="G14" s="19"/>
      <c r="H14" s="19"/>
      <c r="I14" s="4"/>
      <c r="J14" s="4"/>
      <c r="K14" s="4"/>
      <c r="L14" s="4"/>
    </row>
    <row r="15" spans="1:12" ht="37.9" customHeight="1">
      <c r="A15" s="32" t="s">
        <v>30</v>
      </c>
      <c r="B15" s="41" t="s">
        <v>31</v>
      </c>
      <c r="C15" s="41"/>
      <c r="D15" s="41"/>
      <c r="E15" s="41"/>
      <c r="F15" s="41"/>
      <c r="G15" s="41"/>
      <c r="H15" s="42"/>
      <c r="I15" s="4"/>
      <c r="J15" s="4"/>
      <c r="K15" s="4"/>
      <c r="L15" s="4"/>
    </row>
    <row r="16" spans="1:12" ht="37.9" customHeight="1">
      <c r="A16" s="33" t="s">
        <v>32</v>
      </c>
      <c r="B16" s="40" t="s">
        <v>33</v>
      </c>
      <c r="C16" s="40"/>
      <c r="D16" s="40"/>
      <c r="E16" s="40"/>
      <c r="F16" s="40"/>
      <c r="G16" s="40"/>
      <c r="H16" s="43"/>
      <c r="I16" s="4"/>
      <c r="J16" s="4"/>
      <c r="K16" s="4"/>
      <c r="L16" s="4"/>
    </row>
    <row r="17" spans="1:12" ht="37.9" customHeight="1">
      <c r="A17" s="33" t="s">
        <v>34</v>
      </c>
      <c r="B17" s="40" t="s">
        <v>35</v>
      </c>
      <c r="C17" s="40"/>
      <c r="D17" s="40"/>
      <c r="E17" s="40"/>
      <c r="F17" s="40"/>
      <c r="G17" s="40"/>
      <c r="H17" s="43"/>
      <c r="I17" s="4"/>
      <c r="J17" s="4"/>
      <c r="K17" s="4"/>
      <c r="L17" s="4"/>
    </row>
    <row r="18" spans="1:12" ht="37.9" customHeight="1">
      <c r="A18" s="34" t="s">
        <v>36</v>
      </c>
      <c r="B18" s="44" t="s">
        <v>37</v>
      </c>
      <c r="C18" s="44"/>
      <c r="D18" s="44"/>
      <c r="E18" s="44"/>
      <c r="F18" s="44"/>
      <c r="G18" s="44"/>
      <c r="H18" s="45"/>
      <c r="I18" s="4"/>
      <c r="J18" s="4"/>
      <c r="K18" s="4"/>
      <c r="L18" s="4"/>
    </row>
    <row r="19" spans="1:12" ht="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>
      <c r="A21" s="19" t="s">
        <v>38</v>
      </c>
      <c r="B21" s="19"/>
      <c r="C21" s="19"/>
      <c r="D21" s="19"/>
      <c r="E21" s="19"/>
      <c r="F21" s="19"/>
      <c r="G21" s="19"/>
      <c r="H21" s="19"/>
      <c r="I21" s="4"/>
      <c r="J21" s="4"/>
      <c r="K21" s="4"/>
      <c r="L21" s="4"/>
    </row>
    <row r="22" spans="1:12" ht="37.9" customHeight="1">
      <c r="A22" s="4" t="s">
        <v>39</v>
      </c>
      <c r="B22" s="40" t="s">
        <v>40</v>
      </c>
      <c r="C22" s="40"/>
      <c r="D22" s="40"/>
      <c r="E22" s="40"/>
      <c r="F22" s="40"/>
      <c r="G22" s="40"/>
      <c r="H22" s="40"/>
      <c r="I22" s="4"/>
      <c r="J22" s="4"/>
      <c r="K22" s="4"/>
      <c r="L22" s="4"/>
    </row>
    <row r="23" spans="1:12" ht="37.9" customHeight="1">
      <c r="A23" s="4" t="s">
        <v>41</v>
      </c>
      <c r="B23" s="40" t="s">
        <v>42</v>
      </c>
      <c r="C23" s="40"/>
      <c r="D23" s="40"/>
      <c r="E23" s="40"/>
      <c r="F23" s="40"/>
      <c r="G23" s="40"/>
      <c r="H23" s="40"/>
      <c r="I23" s="4"/>
      <c r="J23" s="4"/>
      <c r="K23" s="4"/>
      <c r="L23" s="4"/>
    </row>
    <row r="24" spans="1:12" ht="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6">
    <mergeCell ref="B23:H23"/>
    <mergeCell ref="B15:H15"/>
    <mergeCell ref="B16:H16"/>
    <mergeCell ref="B17:H17"/>
    <mergeCell ref="B18:H18"/>
    <mergeCell ref="B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3" topLeftCell="A4" activePane="bottomLeft" state="frozen"/>
      <selection pane="bottomLeft" activeCell="D6" sqref="D6"/>
    </sheetView>
  </sheetViews>
  <sheetFormatPr defaultRowHeight="14.25"/>
  <cols>
    <col min="1" max="1" width="29" customWidth="1"/>
    <col min="2" max="2" width="28" customWidth="1"/>
    <col min="3" max="3" width="46" customWidth="1"/>
    <col min="4" max="4" width="42" customWidth="1"/>
    <col min="5" max="5" width="68" customWidth="1"/>
  </cols>
  <sheetData>
    <row r="1" spans="1:5" ht="15">
      <c r="A1" s="4"/>
      <c r="B1" s="4"/>
      <c r="C1" s="4"/>
      <c r="D1" s="4"/>
      <c r="E1" s="4"/>
    </row>
    <row r="2" spans="1:5" ht="18.75">
      <c r="A2" s="31" t="s">
        <v>43</v>
      </c>
      <c r="B2" s="4"/>
      <c r="C2" s="4"/>
      <c r="D2" s="4"/>
      <c r="E2" s="4"/>
    </row>
    <row r="3" spans="1:5">
      <c r="A3" s="1" t="s">
        <v>44</v>
      </c>
      <c r="B3" s="2" t="s">
        <v>45</v>
      </c>
      <c r="C3" s="2" t="s">
        <v>46</v>
      </c>
      <c r="D3" s="2" t="s">
        <v>1</v>
      </c>
      <c r="E3" s="3" t="s">
        <v>47</v>
      </c>
    </row>
    <row r="4" spans="1:5" ht="31.9" customHeight="1">
      <c r="A4" s="4" t="s">
        <v>48</v>
      </c>
      <c r="B4" s="4">
        <v>3021</v>
      </c>
      <c r="C4" s="4">
        <f>ROWS(LeadQualityCleaning[LeadKey])</f>
        <v>3021</v>
      </c>
      <c r="D4" s="4" t="str">
        <f>IF(B4=C4,"Matched","Check")</f>
        <v>Matched</v>
      </c>
      <c r="E4" s="20" t="s">
        <v>49</v>
      </c>
    </row>
    <row r="5" spans="1:5" ht="31.9" customHeight="1">
      <c r="A5" s="4" t="s">
        <v>50</v>
      </c>
      <c r="B5" s="4">
        <v>8</v>
      </c>
      <c r="C5" s="4">
        <f>COUNTIF(LeadQualityCleaning[#Headers],"Email")+COUNTIF(LeadQualityCleaning[#Headers],"FirstName")+COUNTIF(LeadQualityCleaning[#Headers],"IP Address")+COUNTIF(LeadQualityCleaning[#Headers],"Landing Page URL Parameters")+COUNTIF(LeadQualityCleaning[#Headers],"LandingPageURL")+COUNTIF(LeadQualityCleaning[#Headers],"ReferralURL")+COUNTIF(LeadQualityCleaning[#Headers],"ReferralURL Parameters")+COUNTIF(LeadQualityCleaning[#Headers],"SearchQuery")</f>
        <v>0</v>
      </c>
      <c r="D5" s="4" t="str">
        <f>IF(C5=0,"Removed","Check")</f>
        <v>Removed</v>
      </c>
      <c r="E5" s="20" t="s">
        <v>51</v>
      </c>
    </row>
    <row r="6" spans="1:5" ht="31.9" customHeight="1">
      <c r="A6" s="4" t="s">
        <v>52</v>
      </c>
      <c r="B6" s="4">
        <v>2</v>
      </c>
      <c r="C6" s="4">
        <f>COUNTIF(LeadQualityCleaning[ReferralDomain],"IP literal redacted")</f>
        <v>2</v>
      </c>
      <c r="D6" s="4" t="str">
        <f>IF(B6=C6,"Redacted","Check")</f>
        <v>Redacted</v>
      </c>
      <c r="E6" s="20" t="s">
        <v>53</v>
      </c>
    </row>
    <row r="7" spans="1:5" ht="31.9" customHeight="1">
      <c r="A7" s="4" t="s">
        <v>54</v>
      </c>
      <c r="B7" s="4">
        <v>2</v>
      </c>
      <c r="C7" s="4">
        <v>0</v>
      </c>
      <c r="D7" s="4" t="str">
        <f>IF(C7=0,"Unique keys","Check")</f>
        <v>Unique keys</v>
      </c>
      <c r="E7" s="20" t="s">
        <v>55</v>
      </c>
    </row>
    <row r="8" spans="1:5" ht="31.9" customHeight="1">
      <c r="A8" s="4" t="s">
        <v>56</v>
      </c>
      <c r="B8" s="4">
        <v>0</v>
      </c>
      <c r="C8" s="4">
        <f>COUNTBLANK(LeadQualityCleaning[LeadCreated])</f>
        <v>0</v>
      </c>
      <c r="D8" s="4" t="str">
        <f>IF(C8=0,"Complete","Check")</f>
        <v>Complete</v>
      </c>
      <c r="E8" s="20" t="s">
        <v>57</v>
      </c>
    </row>
    <row r="9" spans="1:5" ht="31.9" customHeight="1">
      <c r="A9" s="4" t="s">
        <v>58</v>
      </c>
      <c r="B9" s="4">
        <v>3021</v>
      </c>
      <c r="C9" s="4">
        <f>COUNTA(LeadQualityCleaning[OutcomeBucket])</f>
        <v>3021</v>
      </c>
      <c r="D9" s="4" t="str">
        <f>IF(B9=C9,"Complete","Check")</f>
        <v>Complete</v>
      </c>
      <c r="E9" s="20" t="s">
        <v>59</v>
      </c>
    </row>
    <row r="10" spans="1:5" ht="31.9" customHeight="1">
      <c r="A10" s="4" t="s">
        <v>11</v>
      </c>
      <c r="B10" s="4">
        <v>245</v>
      </c>
      <c r="C10" s="4">
        <f>SUM(LeadQualityCleaning[IsClosed])</f>
        <v>245</v>
      </c>
      <c r="D10" s="4" t="str">
        <f>IF(B10=C10,"Matched","Check")</f>
        <v>Matched</v>
      </c>
      <c r="E10" s="20" t="s">
        <v>60</v>
      </c>
    </row>
    <row r="11" spans="1:5" ht="31.9" customHeight="1">
      <c r="A11" s="4" t="s">
        <v>61</v>
      </c>
      <c r="B11" s="4">
        <v>24</v>
      </c>
      <c r="C11" s="4">
        <v>32</v>
      </c>
      <c r="D11" s="4" t="s">
        <v>62</v>
      </c>
      <c r="E11" s="20" t="s">
        <v>63</v>
      </c>
    </row>
    <row r="12" spans="1:5" ht="15">
      <c r="A12" s="4"/>
      <c r="B12" s="4"/>
      <c r="C12" s="4"/>
      <c r="D12" s="4"/>
      <c r="E12" s="4"/>
    </row>
    <row r="13" spans="1:5" ht="15">
      <c r="A13" s="4"/>
      <c r="B13" s="4"/>
      <c r="C13" s="4"/>
      <c r="D13" s="4"/>
      <c r="E13" s="4"/>
    </row>
    <row r="14" spans="1:5" ht="15">
      <c r="A14" s="1" t="s">
        <v>64</v>
      </c>
      <c r="B14" s="2" t="s">
        <v>65</v>
      </c>
      <c r="C14" s="2" t="s">
        <v>66</v>
      </c>
      <c r="D14" s="3" t="s">
        <v>67</v>
      </c>
      <c r="E14" s="4"/>
    </row>
    <row r="15" spans="1:5" ht="54" customHeight="1">
      <c r="A15" s="4">
        <v>1</v>
      </c>
      <c r="B15" s="20" t="s">
        <v>68</v>
      </c>
      <c r="C15" s="20" t="s">
        <v>69</v>
      </c>
      <c r="D15" s="20" t="s">
        <v>70</v>
      </c>
      <c r="E15" s="4"/>
    </row>
    <row r="16" spans="1:5" ht="54" customHeight="1">
      <c r="A16" s="4">
        <v>2</v>
      </c>
      <c r="B16" s="20" t="s">
        <v>71</v>
      </c>
      <c r="C16" s="20" t="s">
        <v>72</v>
      </c>
      <c r="D16" s="20" t="s">
        <v>73</v>
      </c>
      <c r="E16" s="4"/>
    </row>
    <row r="17" spans="1:5" ht="54" customHeight="1">
      <c r="A17" s="4">
        <v>3</v>
      </c>
      <c r="B17" s="20" t="s">
        <v>74</v>
      </c>
      <c r="C17" s="20" t="s">
        <v>75</v>
      </c>
      <c r="D17" s="20" t="s">
        <v>76</v>
      </c>
      <c r="E17" s="4"/>
    </row>
    <row r="18" spans="1:5" ht="54" customHeight="1">
      <c r="A18" s="4">
        <v>4</v>
      </c>
      <c r="B18" s="20" t="s">
        <v>77</v>
      </c>
      <c r="C18" s="20" t="s">
        <v>78</v>
      </c>
      <c r="D18" s="20" t="s">
        <v>77</v>
      </c>
      <c r="E18" s="4"/>
    </row>
    <row r="19" spans="1:5" ht="54" customHeight="1">
      <c r="A19" s="4">
        <v>5</v>
      </c>
      <c r="B19" s="20" t="s">
        <v>79</v>
      </c>
      <c r="C19" s="20" t="s">
        <v>80</v>
      </c>
      <c r="D19" s="20" t="s">
        <v>81</v>
      </c>
      <c r="E19" s="4"/>
    </row>
    <row r="20" spans="1:5" ht="54" customHeight="1">
      <c r="A20" s="4">
        <v>6</v>
      </c>
      <c r="B20" s="20" t="s">
        <v>82</v>
      </c>
      <c r="C20" s="20" t="s">
        <v>83</v>
      </c>
      <c r="D20" s="20" t="s">
        <v>84</v>
      </c>
      <c r="E20" s="4"/>
    </row>
    <row r="21" spans="1:5" ht="54" customHeight="1">
      <c r="A21" s="4">
        <v>7</v>
      </c>
      <c r="B21" s="20" t="s">
        <v>85</v>
      </c>
      <c r="C21" s="20" t="s">
        <v>86</v>
      </c>
      <c r="D21" s="20" t="s">
        <v>87</v>
      </c>
      <c r="E21" s="4"/>
    </row>
    <row r="22" spans="1:5" ht="54" customHeight="1">
      <c r="A22" s="4">
        <v>8</v>
      </c>
      <c r="B22" s="20" t="s">
        <v>88</v>
      </c>
      <c r="C22" s="20" t="s">
        <v>89</v>
      </c>
      <c r="D22" s="20" t="s">
        <v>90</v>
      </c>
      <c r="E22" s="4"/>
    </row>
    <row r="23" spans="1:5" ht="54" customHeight="1">
      <c r="A23" s="4">
        <v>9</v>
      </c>
      <c r="B23" s="20" t="s">
        <v>91</v>
      </c>
      <c r="C23" s="20" t="s">
        <v>92</v>
      </c>
      <c r="D23" s="20" t="s">
        <v>91</v>
      </c>
      <c r="E23" s="4"/>
    </row>
  </sheetData>
  <conditionalFormatting sqref="D4:D11">
    <cfRule type="containsText" dxfId="3" priority="1" operator="containsText" text="Check"/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1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8" width="14" customWidth="1"/>
    <col min="9" max="9" width="3" customWidth="1"/>
    <col min="10" max="10" width="28" customWidth="1"/>
    <col min="11" max="14" width="14" customWidth="1"/>
  </cols>
  <sheetData>
    <row r="1" spans="1:22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2" ht="18.75">
      <c r="A2" s="31" t="s">
        <v>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22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22" ht="15">
      <c r="A4" s="1" t="s">
        <v>94</v>
      </c>
      <c r="B4" s="2" t="s">
        <v>4</v>
      </c>
      <c r="C4" s="2" t="s">
        <v>9</v>
      </c>
      <c r="D4" s="2" t="s">
        <v>95</v>
      </c>
      <c r="E4" s="2" t="s">
        <v>96</v>
      </c>
      <c r="F4" s="2" t="s">
        <v>97</v>
      </c>
      <c r="G4" s="2" t="s">
        <v>98</v>
      </c>
      <c r="H4" s="3" t="s">
        <v>99</v>
      </c>
      <c r="I4" s="4"/>
      <c r="J4" s="1" t="s">
        <v>100</v>
      </c>
      <c r="K4" s="2" t="s">
        <v>101</v>
      </c>
      <c r="L4" s="2" t="s">
        <v>102</v>
      </c>
      <c r="M4" s="2" t="s">
        <v>103</v>
      </c>
      <c r="N4" s="3" t="s">
        <v>104</v>
      </c>
      <c r="O4" s="4"/>
      <c r="P4" s="4"/>
      <c r="Q4" s="4"/>
      <c r="R4" s="4"/>
      <c r="T4" t="s">
        <v>105</v>
      </c>
      <c r="U4" t="s">
        <v>95</v>
      </c>
      <c r="V4" t="s">
        <v>99</v>
      </c>
    </row>
    <row r="5" spans="1:22" ht="15">
      <c r="A5" s="21">
        <v>39904</v>
      </c>
      <c r="B5" s="10">
        <v>518</v>
      </c>
      <c r="C5" s="10">
        <v>56</v>
      </c>
      <c r="D5" s="13">
        <v>0.10810810810810811</v>
      </c>
      <c r="E5" s="13">
        <v>8.4195397995943694E-2</v>
      </c>
      <c r="F5" s="13">
        <v>0.13779052677608081</v>
      </c>
      <c r="G5" s="13">
        <v>0.15250965250965251</v>
      </c>
      <c r="H5" s="13">
        <v>9.6000000000000002E-2</v>
      </c>
      <c r="I5" s="4"/>
      <c r="J5" s="4" t="s">
        <v>106</v>
      </c>
      <c r="K5" s="22">
        <v>0.89861553549334228</v>
      </c>
      <c r="L5" s="22">
        <v>0.82904572808583477</v>
      </c>
      <c r="M5" s="22">
        <v>0.97402332980404815</v>
      </c>
      <c r="N5" s="22">
        <v>9.3169618521892813E-3</v>
      </c>
      <c r="O5" s="4"/>
      <c r="P5" s="4"/>
      <c r="Q5" s="4"/>
      <c r="R5" s="4"/>
      <c r="T5" t="s">
        <v>107</v>
      </c>
      <c r="U5">
        <v>0.10810810810810811</v>
      </c>
      <c r="V5">
        <v>9.6000000000000002E-2</v>
      </c>
    </row>
    <row r="6" spans="1:22" ht="15">
      <c r="A6" s="21">
        <v>39934</v>
      </c>
      <c r="B6" s="10">
        <v>580</v>
      </c>
      <c r="C6" s="10">
        <v>37</v>
      </c>
      <c r="D6" s="13">
        <v>6.3793103448275865E-2</v>
      </c>
      <c r="E6" s="13">
        <v>4.6633305074863587E-2</v>
      </c>
      <c r="F6" s="13">
        <v>8.66930588629196E-2</v>
      </c>
      <c r="G6" s="13">
        <v>0.10172413793103448</v>
      </c>
      <c r="H6" s="13">
        <v>9.6000000000000002E-2</v>
      </c>
      <c r="I6" s="4"/>
      <c r="J6" s="4" t="s">
        <v>108</v>
      </c>
      <c r="K6" s="22">
        <v>21.488351865774231</v>
      </c>
      <c r="L6" s="22"/>
      <c r="M6" s="22"/>
      <c r="N6" s="22">
        <v>6.5480363710842117E-4</v>
      </c>
      <c r="O6" s="4"/>
      <c r="P6" s="4"/>
      <c r="Q6" s="4"/>
      <c r="R6" s="4"/>
      <c r="T6" t="s">
        <v>109</v>
      </c>
      <c r="U6">
        <v>6.3793103448275865E-2</v>
      </c>
      <c r="V6">
        <v>9.6000000000000002E-2</v>
      </c>
    </row>
    <row r="7" spans="1:22" ht="15">
      <c r="A7" s="21">
        <v>39965</v>
      </c>
      <c r="B7" s="10">
        <v>609</v>
      </c>
      <c r="C7" s="10">
        <v>63</v>
      </c>
      <c r="D7" s="13">
        <v>0.10344827586206896</v>
      </c>
      <c r="E7" s="13">
        <v>8.1694732404080733E-2</v>
      </c>
      <c r="F7" s="13">
        <v>0.13017320987017603</v>
      </c>
      <c r="G7" s="13">
        <v>0.14121510673234811</v>
      </c>
      <c r="H7" s="13">
        <v>9.6000000000000002E-2</v>
      </c>
      <c r="I7" s="4"/>
      <c r="J7" s="4" t="s">
        <v>110</v>
      </c>
      <c r="K7" s="22">
        <v>-6.4503456945317422E-2</v>
      </c>
      <c r="L7" s="22"/>
      <c r="M7" s="22"/>
      <c r="N7" s="22">
        <v>7.4255503615368009E-4</v>
      </c>
      <c r="O7" s="4"/>
      <c r="P7" s="4"/>
      <c r="Q7" s="4"/>
      <c r="R7" s="4"/>
      <c r="T7" t="s">
        <v>111</v>
      </c>
      <c r="U7">
        <v>0.10344827586206896</v>
      </c>
      <c r="V7">
        <v>9.6000000000000002E-2</v>
      </c>
    </row>
    <row r="8" spans="1:22" ht="15">
      <c r="A8" s="21">
        <v>39995</v>
      </c>
      <c r="B8" s="10">
        <v>532</v>
      </c>
      <c r="C8" s="10">
        <v>33</v>
      </c>
      <c r="D8" s="13">
        <v>6.2030075187969921E-2</v>
      </c>
      <c r="E8" s="13">
        <v>4.4506664824234723E-2</v>
      </c>
      <c r="F8" s="13">
        <v>8.5833116973173376E-2</v>
      </c>
      <c r="G8" s="13">
        <v>9.2105263157894732E-2</v>
      </c>
      <c r="H8" s="13">
        <v>9.6000000000000002E-2</v>
      </c>
      <c r="I8" s="4"/>
      <c r="J8" s="4"/>
      <c r="K8" s="4"/>
      <c r="L8" s="4"/>
      <c r="M8" s="4"/>
      <c r="N8" s="4"/>
      <c r="O8" s="4"/>
      <c r="P8" s="4"/>
      <c r="Q8" s="4"/>
      <c r="R8" s="4"/>
      <c r="T8" t="s">
        <v>112</v>
      </c>
      <c r="U8">
        <v>6.2030075187969921E-2</v>
      </c>
      <c r="V8">
        <v>9.6000000000000002E-2</v>
      </c>
    </row>
    <row r="9" spans="1:22" ht="15">
      <c r="A9" s="21">
        <v>40026</v>
      </c>
      <c r="B9" s="10">
        <v>438</v>
      </c>
      <c r="C9" s="10">
        <v>41</v>
      </c>
      <c r="D9" s="13">
        <v>9.3607305936073054E-2</v>
      </c>
      <c r="E9" s="13">
        <v>6.9751822149567752E-2</v>
      </c>
      <c r="F9" s="13">
        <v>0.12452930993299192</v>
      </c>
      <c r="G9" s="13">
        <v>0.14155251141552511</v>
      </c>
      <c r="H9" s="13">
        <v>9.6000000000000002E-2</v>
      </c>
      <c r="I9" s="4"/>
      <c r="J9" s="4"/>
      <c r="K9" s="4"/>
      <c r="L9" s="4"/>
      <c r="M9" s="4"/>
      <c r="N9" s="4"/>
      <c r="O9" s="4"/>
      <c r="P9" s="4"/>
      <c r="Q9" s="4"/>
      <c r="R9" s="4"/>
      <c r="T9" t="s">
        <v>113</v>
      </c>
      <c r="U9">
        <v>9.3607305936073054E-2</v>
      </c>
      <c r="V9">
        <v>9.6000000000000002E-2</v>
      </c>
    </row>
    <row r="10" spans="1:22" ht="15">
      <c r="A10" s="21">
        <v>40057</v>
      </c>
      <c r="B10" s="10">
        <v>344</v>
      </c>
      <c r="C10" s="10">
        <v>15</v>
      </c>
      <c r="D10" s="13">
        <v>4.3604651162790699E-2</v>
      </c>
      <c r="E10" s="13">
        <v>2.6600369415344251E-2</v>
      </c>
      <c r="F10" s="13">
        <v>7.0689525053902386E-2</v>
      </c>
      <c r="G10" s="13">
        <v>0.16860465116279069</v>
      </c>
      <c r="H10" s="13">
        <v>9.6000000000000002E-2</v>
      </c>
      <c r="I10" s="4"/>
      <c r="J10" s="4"/>
      <c r="K10" s="4"/>
      <c r="L10" s="4"/>
      <c r="M10" s="4"/>
      <c r="N10" s="4"/>
      <c r="O10" s="4"/>
      <c r="P10" s="4"/>
      <c r="Q10" s="4"/>
      <c r="R10" s="4"/>
      <c r="T10" t="s">
        <v>114</v>
      </c>
      <c r="U10">
        <v>4.3604651162790699E-2</v>
      </c>
      <c r="V10">
        <v>9.6000000000000002E-2</v>
      </c>
    </row>
    <row r="11" spans="1:22" ht="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22" ht="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2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22" ht="15">
      <c r="A14" s="1" t="s">
        <v>115</v>
      </c>
      <c r="B14" s="2" t="s">
        <v>4</v>
      </c>
      <c r="C14" s="2" t="s">
        <v>9</v>
      </c>
      <c r="D14" s="2" t="s">
        <v>95</v>
      </c>
      <c r="E14" s="2" t="s">
        <v>96</v>
      </c>
      <c r="F14" s="2" t="s">
        <v>97</v>
      </c>
      <c r="G14" s="2" t="s">
        <v>98</v>
      </c>
      <c r="H14" s="3" t="s">
        <v>99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22" ht="15">
      <c r="A15" s="23">
        <v>39902</v>
      </c>
      <c r="B15" s="10">
        <v>37</v>
      </c>
      <c r="C15" s="10">
        <v>3</v>
      </c>
      <c r="D15" s="13">
        <v>8.1081081081081086E-2</v>
      </c>
      <c r="E15" s="13">
        <v>2.7960574100447971E-2</v>
      </c>
      <c r="F15" s="13">
        <v>0.2130067934928839</v>
      </c>
      <c r="G15" s="13">
        <v>0.16216216216216217</v>
      </c>
      <c r="H15" s="13">
        <v>9.6000000000000002E-2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22" ht="15">
      <c r="A16" s="23">
        <v>39909</v>
      </c>
      <c r="B16" s="10">
        <v>119</v>
      </c>
      <c r="C16" s="10">
        <v>15</v>
      </c>
      <c r="D16" s="13">
        <v>0.12605042016806722</v>
      </c>
      <c r="E16" s="13">
        <v>7.7897211303527267E-2</v>
      </c>
      <c r="F16" s="13">
        <v>0.19759169240683083</v>
      </c>
      <c r="G16" s="13">
        <v>0.15126050420168066</v>
      </c>
      <c r="H16" s="13">
        <v>9.6000000000000002E-2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5">
      <c r="A17" s="23">
        <v>39916</v>
      </c>
      <c r="B17" s="10">
        <v>125</v>
      </c>
      <c r="C17" s="10">
        <v>16</v>
      </c>
      <c r="D17" s="13">
        <v>0.128</v>
      </c>
      <c r="E17" s="13">
        <v>8.0347028806195708E-2</v>
      </c>
      <c r="F17" s="13">
        <v>0.1978356241127992</v>
      </c>
      <c r="G17" s="13">
        <v>0.16800000000000001</v>
      </c>
      <c r="H17" s="13">
        <v>9.6000000000000002E-2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5">
      <c r="A18" s="23">
        <v>39923</v>
      </c>
      <c r="B18" s="10">
        <v>155</v>
      </c>
      <c r="C18" s="10">
        <v>14</v>
      </c>
      <c r="D18" s="13">
        <v>9.0322580645161285E-2</v>
      </c>
      <c r="E18" s="13">
        <v>5.456581577280642E-2</v>
      </c>
      <c r="F18" s="13">
        <v>0.14589481369445309</v>
      </c>
      <c r="G18" s="13">
        <v>0.16129032258064516</v>
      </c>
      <c r="H18" s="13">
        <v>9.6000000000000002E-2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5">
      <c r="A19" s="23">
        <v>39930</v>
      </c>
      <c r="B19" s="10">
        <v>129</v>
      </c>
      <c r="C19" s="10">
        <v>10</v>
      </c>
      <c r="D19" s="13">
        <v>7.7519379844961239E-2</v>
      </c>
      <c r="E19" s="13">
        <v>4.2649774764186167E-2</v>
      </c>
      <c r="F19" s="13">
        <v>0.13682325295131562</v>
      </c>
      <c r="G19" s="13">
        <v>0.10852713178294573</v>
      </c>
      <c r="H19" s="13">
        <v>9.6000000000000002E-2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5">
      <c r="A20" s="23">
        <v>39937</v>
      </c>
      <c r="B20" s="10">
        <v>113</v>
      </c>
      <c r="C20" s="10">
        <v>10</v>
      </c>
      <c r="D20" s="13">
        <v>8.8495575221238937E-2</v>
      </c>
      <c r="E20" s="13">
        <v>4.8779380094718827E-2</v>
      </c>
      <c r="F20" s="13">
        <v>0.15527027027194959</v>
      </c>
      <c r="G20" s="13">
        <v>0.11504424778761062</v>
      </c>
      <c r="H20" s="13">
        <v>9.6000000000000002E-2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5">
      <c r="A21" s="23">
        <v>39944</v>
      </c>
      <c r="B21" s="10">
        <v>166</v>
      </c>
      <c r="C21" s="10">
        <v>12</v>
      </c>
      <c r="D21" s="13">
        <v>7.2289156626506021E-2</v>
      </c>
      <c r="E21" s="13">
        <v>4.1833048912887895E-2</v>
      </c>
      <c r="F21" s="13">
        <v>0.12209311501677458</v>
      </c>
      <c r="G21" s="13">
        <v>0.12650602409638553</v>
      </c>
      <c r="H21" s="13">
        <v>9.6000000000000002E-2</v>
      </c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5">
      <c r="A22" s="23">
        <v>39951</v>
      </c>
      <c r="B22" s="10">
        <v>122</v>
      </c>
      <c r="C22" s="10">
        <v>8</v>
      </c>
      <c r="D22" s="13">
        <v>6.5573770491803282E-2</v>
      </c>
      <c r="E22" s="13">
        <v>3.3598868772217322E-2</v>
      </c>
      <c r="F22" s="13">
        <v>0.12407141736905616</v>
      </c>
      <c r="G22" s="13">
        <v>9.0163934426229511E-2</v>
      </c>
      <c r="H22" s="13">
        <v>9.6000000000000002E-2</v>
      </c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5">
      <c r="A23" s="23">
        <v>39958</v>
      </c>
      <c r="B23" s="10">
        <v>132</v>
      </c>
      <c r="C23" s="10">
        <v>5</v>
      </c>
      <c r="D23" s="13">
        <v>3.787878787878788E-2</v>
      </c>
      <c r="E23" s="13">
        <v>1.6286179128381463E-2</v>
      </c>
      <c r="F23" s="13">
        <v>8.5608035943059713E-2</v>
      </c>
      <c r="G23" s="13">
        <v>6.8181818181818177E-2</v>
      </c>
      <c r="H23" s="13">
        <v>9.6000000000000002E-2</v>
      </c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5">
      <c r="A24" s="23">
        <v>39965</v>
      </c>
      <c r="B24" s="10">
        <v>137</v>
      </c>
      <c r="C24" s="10">
        <v>10</v>
      </c>
      <c r="D24" s="13">
        <v>7.2992700729927001E-2</v>
      </c>
      <c r="E24" s="13">
        <v>4.0128622582625971E-2</v>
      </c>
      <c r="F24" s="13">
        <v>0.12915007575183807</v>
      </c>
      <c r="G24" s="13">
        <v>0.10218978102189781</v>
      </c>
      <c r="H24" s="13">
        <v>9.6000000000000002E-2</v>
      </c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5">
      <c r="A25" s="23">
        <v>39972</v>
      </c>
      <c r="B25" s="10">
        <v>165</v>
      </c>
      <c r="C25" s="10">
        <v>17</v>
      </c>
      <c r="D25" s="13">
        <v>0.10303030303030303</v>
      </c>
      <c r="E25" s="13">
        <v>6.5326799711821079E-2</v>
      </c>
      <c r="F25" s="13">
        <v>0.15879741175262091</v>
      </c>
      <c r="G25" s="13">
        <v>0.15151515151515152</v>
      </c>
      <c r="H25" s="13">
        <v>9.6000000000000002E-2</v>
      </c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5">
      <c r="A26" s="23">
        <v>39979</v>
      </c>
      <c r="B26" s="10">
        <v>153</v>
      </c>
      <c r="C26" s="10">
        <v>21</v>
      </c>
      <c r="D26" s="13">
        <v>0.13725490196078433</v>
      </c>
      <c r="E26" s="13">
        <v>9.155693706059638E-2</v>
      </c>
      <c r="F26" s="13">
        <v>0.20072202518178794</v>
      </c>
      <c r="G26" s="13">
        <v>0.16339869281045752</v>
      </c>
      <c r="H26" s="13">
        <v>9.6000000000000002E-2</v>
      </c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5">
      <c r="A27" s="23">
        <v>39986</v>
      </c>
      <c r="B27" s="10">
        <v>107</v>
      </c>
      <c r="C27" s="10">
        <v>9</v>
      </c>
      <c r="D27" s="13">
        <v>8.4112149532710276E-2</v>
      </c>
      <c r="E27" s="13">
        <v>4.4881945524203333E-2</v>
      </c>
      <c r="F27" s="13">
        <v>0.15216940198671847</v>
      </c>
      <c r="G27" s="13">
        <v>0.11214953271028037</v>
      </c>
      <c r="H27" s="13">
        <v>9.6000000000000002E-2</v>
      </c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5">
      <c r="A28" s="23">
        <v>39993</v>
      </c>
      <c r="B28" s="10">
        <v>101</v>
      </c>
      <c r="C28" s="10">
        <v>9</v>
      </c>
      <c r="D28" s="13">
        <v>8.9108910891089105E-2</v>
      </c>
      <c r="E28" s="13">
        <v>4.7589237771987508E-2</v>
      </c>
      <c r="F28" s="13">
        <v>0.16073921421997342</v>
      </c>
      <c r="G28" s="13">
        <v>0.16831683168316833</v>
      </c>
      <c r="H28" s="13">
        <v>9.6000000000000002E-2</v>
      </c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5">
      <c r="A29" s="23">
        <v>40000</v>
      </c>
      <c r="B29" s="10">
        <v>104</v>
      </c>
      <c r="C29" s="10">
        <v>8</v>
      </c>
      <c r="D29" s="13">
        <v>7.6923076923076927E-2</v>
      </c>
      <c r="E29" s="13">
        <v>3.9491753691054891E-2</v>
      </c>
      <c r="F29" s="13">
        <v>0.14449554616255827</v>
      </c>
      <c r="G29" s="13">
        <v>9.6153846153846159E-2</v>
      </c>
      <c r="H29" s="13">
        <v>9.6000000000000002E-2</v>
      </c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5">
      <c r="A30" s="23">
        <v>40007</v>
      </c>
      <c r="B30" s="10">
        <v>115</v>
      </c>
      <c r="C30" s="10">
        <v>6</v>
      </c>
      <c r="D30" s="13">
        <v>5.2173913043478258E-2</v>
      </c>
      <c r="E30" s="13">
        <v>2.4128549061825502E-2</v>
      </c>
      <c r="F30" s="13">
        <v>0.10917054519277662</v>
      </c>
      <c r="G30" s="13">
        <v>8.6956521739130432E-2</v>
      </c>
      <c r="H30" s="13">
        <v>9.6000000000000002E-2</v>
      </c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5">
      <c r="A31" s="23">
        <v>40014</v>
      </c>
      <c r="B31" s="10">
        <v>144</v>
      </c>
      <c r="C31" s="10">
        <v>11</v>
      </c>
      <c r="D31" s="13">
        <v>7.6388888888888895E-2</v>
      </c>
      <c r="E31" s="13">
        <v>4.3187329661752982E-2</v>
      </c>
      <c r="F31" s="13">
        <v>0.13160436291776428</v>
      </c>
      <c r="G31" s="13">
        <v>9.0277777777777776E-2</v>
      </c>
      <c r="H31" s="13">
        <v>9.6000000000000002E-2</v>
      </c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5">
      <c r="A32" s="23">
        <v>40021</v>
      </c>
      <c r="B32" s="10">
        <v>136</v>
      </c>
      <c r="C32" s="10">
        <v>9</v>
      </c>
      <c r="D32" s="13">
        <v>6.6176470588235295E-2</v>
      </c>
      <c r="E32" s="13">
        <v>3.5203171505731254E-2</v>
      </c>
      <c r="F32" s="13">
        <v>0.12098412091017112</v>
      </c>
      <c r="G32" s="13">
        <v>9.5588235294117641E-2</v>
      </c>
      <c r="H32" s="13">
        <v>9.6000000000000002E-2</v>
      </c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">
      <c r="A33" s="23">
        <v>40028</v>
      </c>
      <c r="B33" s="10">
        <v>95</v>
      </c>
      <c r="C33" s="10">
        <v>11</v>
      </c>
      <c r="D33" s="13">
        <v>0.11578947368421053</v>
      </c>
      <c r="E33" s="13">
        <v>6.5898575811164276E-2</v>
      </c>
      <c r="F33" s="13">
        <v>0.19554494322443078</v>
      </c>
      <c r="G33" s="13">
        <v>0.2</v>
      </c>
      <c r="H33" s="13">
        <v>9.6000000000000002E-2</v>
      </c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5">
      <c r="A34" s="23">
        <v>40035</v>
      </c>
      <c r="B34" s="10">
        <v>116</v>
      </c>
      <c r="C34" s="10">
        <v>14</v>
      </c>
      <c r="D34" s="13">
        <v>0.1206896551724138</v>
      </c>
      <c r="E34" s="13">
        <v>7.3269965365718309E-2</v>
      </c>
      <c r="F34" s="13">
        <v>0.19242655680642143</v>
      </c>
      <c r="G34" s="13">
        <v>0.17241379310344829</v>
      </c>
      <c r="H34" s="13">
        <v>9.6000000000000002E-2</v>
      </c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5">
      <c r="A35" s="23">
        <v>40042</v>
      </c>
      <c r="B35" s="10">
        <v>104</v>
      </c>
      <c r="C35" s="10">
        <v>4</v>
      </c>
      <c r="D35" s="13">
        <v>3.8461538461538464E-2</v>
      </c>
      <c r="E35" s="13">
        <v>1.5056813343976884E-2</v>
      </c>
      <c r="F35" s="13">
        <v>9.4747513769055658E-2</v>
      </c>
      <c r="G35" s="13">
        <v>9.6153846153846159E-2</v>
      </c>
      <c r="H35" s="13">
        <v>9.6000000000000002E-2</v>
      </c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">
      <c r="A36" s="23">
        <v>40049</v>
      </c>
      <c r="B36" s="10">
        <v>89</v>
      </c>
      <c r="C36" s="10">
        <v>7</v>
      </c>
      <c r="D36" s="13">
        <v>7.8651685393258425E-2</v>
      </c>
      <c r="E36" s="13">
        <v>3.8619822165174039E-2</v>
      </c>
      <c r="F36" s="13">
        <v>0.15355142382043202</v>
      </c>
      <c r="G36" s="13">
        <v>8.98876404494382E-2</v>
      </c>
      <c r="H36" s="13">
        <v>9.6000000000000002E-2</v>
      </c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">
      <c r="A37" s="23">
        <v>40056</v>
      </c>
      <c r="B37" s="10">
        <v>74</v>
      </c>
      <c r="C37" s="10">
        <v>3</v>
      </c>
      <c r="D37" s="13">
        <v>4.0540540540540543E-2</v>
      </c>
      <c r="E37" s="13">
        <v>1.3882431221978866E-2</v>
      </c>
      <c r="F37" s="13">
        <v>0.11254709579091647</v>
      </c>
      <c r="G37" s="13">
        <v>0.13513513513513514</v>
      </c>
      <c r="H37" s="13">
        <v>9.6000000000000002E-2</v>
      </c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5">
      <c r="A38" s="23">
        <v>40063</v>
      </c>
      <c r="B38" s="10">
        <v>65</v>
      </c>
      <c r="C38" s="10">
        <v>5</v>
      </c>
      <c r="D38" s="13">
        <v>7.6923076923076927E-2</v>
      </c>
      <c r="E38" s="13">
        <v>3.3303501495163521E-2</v>
      </c>
      <c r="F38" s="13">
        <v>0.16775933270109999</v>
      </c>
      <c r="G38" s="13">
        <v>0.24615384615384617</v>
      </c>
      <c r="H38" s="13">
        <v>9.6000000000000002E-2</v>
      </c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">
      <c r="A39" s="23">
        <v>40070</v>
      </c>
      <c r="B39" s="10">
        <v>95</v>
      </c>
      <c r="C39" s="10">
        <v>4</v>
      </c>
      <c r="D39" s="13">
        <v>4.2105263157894736E-2</v>
      </c>
      <c r="E39" s="13">
        <v>1.6493772862549924E-2</v>
      </c>
      <c r="F39" s="13">
        <v>0.10330877722096742</v>
      </c>
      <c r="G39" s="13">
        <v>0.12631578947368421</v>
      </c>
      <c r="H39" s="13">
        <v>9.6000000000000002E-2</v>
      </c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">
      <c r="A40" s="23">
        <v>40077</v>
      </c>
      <c r="B40" s="10">
        <v>82</v>
      </c>
      <c r="C40" s="10">
        <v>4</v>
      </c>
      <c r="D40" s="13">
        <v>4.878048780487805E-2</v>
      </c>
      <c r="E40" s="13">
        <v>1.9131065567745804E-2</v>
      </c>
      <c r="F40" s="13">
        <v>0.11881461922575939</v>
      </c>
      <c r="G40" s="13">
        <v>0.18292682926829268</v>
      </c>
      <c r="H40" s="13">
        <v>9.6000000000000002E-2</v>
      </c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">
      <c r="A41" s="23">
        <v>40084</v>
      </c>
      <c r="B41" s="10">
        <v>41</v>
      </c>
      <c r="C41" s="10">
        <v>0</v>
      </c>
      <c r="D41" s="13">
        <v>0</v>
      </c>
      <c r="E41" s="13">
        <v>0</v>
      </c>
      <c r="F41" s="13">
        <v>8.5667570184431857E-2</v>
      </c>
      <c r="G41" s="13">
        <v>0.14634146341463414</v>
      </c>
      <c r="H41" s="13">
        <v>9.6000000000000002E-2</v>
      </c>
      <c r="I41" s="4"/>
      <c r="J41" s="4"/>
      <c r="K41" s="4"/>
      <c r="L41" s="4"/>
      <c r="M41" s="4"/>
      <c r="N41" s="4"/>
      <c r="O41" s="4"/>
      <c r="P41" s="4"/>
      <c r="Q41" s="4"/>
      <c r="R41" s="4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5"/>
  <sheetViews>
    <sheetView workbookViewId="0">
      <pane ySplit="4" topLeftCell="A82" activePane="bottomLeft" state="frozen"/>
      <selection pane="bottomLeft" activeCell="K4" sqref="K2:K4"/>
    </sheetView>
  </sheetViews>
  <sheetFormatPr defaultRowHeight="14.25"/>
  <cols>
    <col min="1" max="1" width="23" customWidth="1"/>
    <col min="2" max="2" width="42" customWidth="1"/>
    <col min="3" max="11" width="14" customWidth="1"/>
  </cols>
  <sheetData>
    <row r="1" spans="1:18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8.75">
      <c r="A2" s="31" t="s">
        <v>116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5">
      <c r="A4" s="1" t="s">
        <v>117</v>
      </c>
      <c r="B4" s="2" t="s">
        <v>4</v>
      </c>
      <c r="C4" s="2" t="s">
        <v>9</v>
      </c>
      <c r="D4" s="2" t="s">
        <v>95</v>
      </c>
      <c r="E4" s="2" t="s">
        <v>96</v>
      </c>
      <c r="F4" s="2" t="s">
        <v>97</v>
      </c>
      <c r="G4" s="2" t="s">
        <v>118</v>
      </c>
      <c r="H4" s="3" t="s">
        <v>119</v>
      </c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">
      <c r="A5" s="4" t="s">
        <v>120</v>
      </c>
      <c r="B5" s="10">
        <v>338</v>
      </c>
      <c r="C5" s="10">
        <v>49</v>
      </c>
      <c r="D5" s="13">
        <v>0.14497041420118342</v>
      </c>
      <c r="E5" s="13">
        <v>0.11142534477651198</v>
      </c>
      <c r="F5" s="13">
        <v>0.18649480561142842</v>
      </c>
      <c r="G5" s="13">
        <v>2.6042429951884287E-4</v>
      </c>
      <c r="H5" s="4" t="s">
        <v>121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">
      <c r="A6" s="4" t="s">
        <v>122</v>
      </c>
      <c r="B6" s="10">
        <v>169</v>
      </c>
      <c r="C6" s="10">
        <v>21</v>
      </c>
      <c r="D6" s="13">
        <v>0.1242603550295858</v>
      </c>
      <c r="E6" s="13">
        <v>8.2728505115773759E-2</v>
      </c>
      <c r="F6" s="13">
        <v>0.18249408171884732</v>
      </c>
      <c r="G6" s="13">
        <v>0.35856270140068247</v>
      </c>
      <c r="H6" s="4" t="s">
        <v>121</v>
      </c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5">
      <c r="A7" s="4" t="s">
        <v>123</v>
      </c>
      <c r="B7" s="10">
        <v>93</v>
      </c>
      <c r="C7" s="10">
        <v>11</v>
      </c>
      <c r="D7" s="13">
        <v>0.11827956989247312</v>
      </c>
      <c r="E7" s="13">
        <v>6.7344378054703613E-2</v>
      </c>
      <c r="F7" s="13">
        <v>0.19949855404672862</v>
      </c>
      <c r="G7" s="13">
        <v>0.82167284358591708</v>
      </c>
      <c r="H7" s="4" t="s">
        <v>121</v>
      </c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">
      <c r="A8" s="4" t="s">
        <v>124</v>
      </c>
      <c r="B8" s="10">
        <v>130</v>
      </c>
      <c r="C8" s="10">
        <v>13</v>
      </c>
      <c r="D8" s="13">
        <v>0.1</v>
      </c>
      <c r="E8" s="13">
        <v>5.9375488014095035E-2</v>
      </c>
      <c r="F8" s="13">
        <v>0.16358576094145011</v>
      </c>
      <c r="G8" s="13">
        <v>0.82167284358591708</v>
      </c>
      <c r="H8" s="4" t="s">
        <v>121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5">
      <c r="A9" s="4" t="s">
        <v>21</v>
      </c>
      <c r="B9" s="10">
        <v>272</v>
      </c>
      <c r="C9" s="10">
        <v>26</v>
      </c>
      <c r="D9" s="13">
        <v>9.5588235294117641E-2</v>
      </c>
      <c r="E9" s="13">
        <v>6.6068167037527492E-2</v>
      </c>
      <c r="F9" s="13">
        <v>0.13637224587006549</v>
      </c>
      <c r="G9" s="13">
        <v>0.82167284358591708</v>
      </c>
      <c r="H9" s="4" t="s">
        <v>121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5">
      <c r="A10" s="4" t="s">
        <v>125</v>
      </c>
      <c r="B10" s="10">
        <v>195</v>
      </c>
      <c r="C10" s="10">
        <v>17</v>
      </c>
      <c r="D10" s="13">
        <v>8.7179487179487175E-2</v>
      </c>
      <c r="E10" s="13">
        <v>5.514218135043715E-2</v>
      </c>
      <c r="F10" s="13">
        <v>0.13516752088735307</v>
      </c>
      <c r="G10" s="13">
        <v>0.82167284358591708</v>
      </c>
      <c r="H10" s="4" t="s">
        <v>121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5">
      <c r="A11" s="4" t="s">
        <v>126</v>
      </c>
      <c r="B11" s="10">
        <v>115</v>
      </c>
      <c r="C11" s="10">
        <v>10</v>
      </c>
      <c r="D11" s="13">
        <v>8.6956521739130432E-2</v>
      </c>
      <c r="E11" s="13">
        <v>4.7918497415334778E-2</v>
      </c>
      <c r="F11" s="13">
        <v>0.1526971720427934</v>
      </c>
      <c r="G11" s="13">
        <v>0.85564673345477382</v>
      </c>
      <c r="H11" s="4" t="s">
        <v>121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5">
      <c r="A12" s="4" t="s">
        <v>127</v>
      </c>
      <c r="B12" s="10">
        <v>197</v>
      </c>
      <c r="C12" s="10">
        <v>10</v>
      </c>
      <c r="D12" s="13">
        <v>5.0761421319796954E-2</v>
      </c>
      <c r="E12" s="13">
        <v>2.7803153770755387E-2</v>
      </c>
      <c r="F12" s="13">
        <v>9.0904701473311242E-2</v>
      </c>
      <c r="G12" s="13">
        <v>0.71069928923036951</v>
      </c>
      <c r="H12" s="4" t="s">
        <v>121</v>
      </c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5">
      <c r="A13" s="4" t="s">
        <v>128</v>
      </c>
      <c r="B13" s="10">
        <v>84</v>
      </c>
      <c r="C13" s="10">
        <v>4</v>
      </c>
      <c r="D13" s="13">
        <v>4.7619047619047616E-2</v>
      </c>
      <c r="E13" s="13">
        <v>1.8671746809490054E-2</v>
      </c>
      <c r="F13" s="13">
        <v>0.11613315032758317</v>
      </c>
      <c r="G13" s="13">
        <v>0.82167284358591708</v>
      </c>
      <c r="H13" s="4" t="s">
        <v>121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5">
      <c r="A14" s="4" t="s">
        <v>129</v>
      </c>
      <c r="B14" s="10">
        <v>258</v>
      </c>
      <c r="C14" s="10">
        <v>12</v>
      </c>
      <c r="D14" s="13">
        <v>4.6511627906976744E-2</v>
      </c>
      <c r="E14" s="13">
        <v>2.6803871423129438E-2</v>
      </c>
      <c r="F14" s="13">
        <v>7.9525580551699421E-2</v>
      </c>
      <c r="G14" s="13">
        <v>0.35856270140068247</v>
      </c>
      <c r="H14" s="4" t="s">
        <v>121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5">
      <c r="A15" s="4" t="s">
        <v>130</v>
      </c>
      <c r="B15" s="10">
        <v>360</v>
      </c>
      <c r="C15" s="10">
        <v>4</v>
      </c>
      <c r="D15" s="13">
        <v>1.1111111111111112E-2</v>
      </c>
      <c r="E15" s="13">
        <v>4.3291433431633906E-3</v>
      </c>
      <c r="F15" s="13">
        <v>2.8216512281336929E-2</v>
      </c>
      <c r="G15" s="13">
        <v>2.2702578313014295E-5</v>
      </c>
      <c r="H15" s="4" t="s">
        <v>121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5">
      <c r="A26" s="1" t="s">
        <v>131</v>
      </c>
      <c r="B26" s="2" t="s">
        <v>32</v>
      </c>
      <c r="C26" s="2" t="s">
        <v>4</v>
      </c>
      <c r="D26" s="2" t="s">
        <v>9</v>
      </c>
      <c r="E26" s="2" t="s">
        <v>95</v>
      </c>
      <c r="F26" s="2" t="s">
        <v>96</v>
      </c>
      <c r="G26" s="2" t="s">
        <v>97</v>
      </c>
      <c r="H26" s="2" t="s">
        <v>132</v>
      </c>
      <c r="I26" s="2" t="s">
        <v>104</v>
      </c>
      <c r="J26" s="2" t="s">
        <v>118</v>
      </c>
      <c r="K26" s="3" t="s">
        <v>119</v>
      </c>
      <c r="L26" s="4"/>
      <c r="M26" s="4"/>
      <c r="N26" s="4"/>
      <c r="O26" s="4"/>
      <c r="P26" s="4"/>
      <c r="Q26" s="4"/>
      <c r="R26" s="4"/>
    </row>
    <row r="27" spans="1:18" ht="15">
      <c r="A27" s="4" t="s">
        <v>117</v>
      </c>
      <c r="B27" s="4" t="s">
        <v>130</v>
      </c>
      <c r="C27" s="10">
        <v>360</v>
      </c>
      <c r="D27" s="10">
        <v>4</v>
      </c>
      <c r="E27" s="13">
        <v>1.1111111111111112E-2</v>
      </c>
      <c r="F27" s="13">
        <v>4.3291433431633906E-3</v>
      </c>
      <c r="G27" s="13">
        <v>2.8216512281336929E-2</v>
      </c>
      <c r="H27" s="24">
        <v>0.13700680272108845</v>
      </c>
      <c r="I27" s="13">
        <v>2.1829402224052208E-7</v>
      </c>
      <c r="J27" s="13">
        <v>2.2702578313014295E-5</v>
      </c>
      <c r="K27" s="4" t="s">
        <v>121</v>
      </c>
      <c r="L27" s="4"/>
      <c r="M27" s="4"/>
      <c r="N27" s="4"/>
      <c r="O27" s="4"/>
      <c r="P27" s="4"/>
      <c r="Q27" s="4"/>
      <c r="R27" s="4"/>
    </row>
    <row r="28" spans="1:18" ht="15">
      <c r="A28" s="4" t="s">
        <v>117</v>
      </c>
      <c r="B28" s="4" t="s">
        <v>120</v>
      </c>
      <c r="C28" s="10">
        <v>338</v>
      </c>
      <c r="D28" s="10">
        <v>49</v>
      </c>
      <c r="E28" s="13">
        <v>0.14497041420118342</v>
      </c>
      <c r="F28" s="13">
        <v>0.11142534477651198</v>
      </c>
      <c r="G28" s="13">
        <v>0.18649480561142842</v>
      </c>
      <c r="H28" s="24">
        <v>1.7875739644970414</v>
      </c>
      <c r="I28" s="13">
        <v>5.0081596061315942E-6</v>
      </c>
      <c r="J28" s="13">
        <v>2.6042429951884287E-4</v>
      </c>
      <c r="K28" s="4" t="s">
        <v>121</v>
      </c>
      <c r="L28" s="4"/>
      <c r="M28" s="4"/>
      <c r="N28" s="4"/>
      <c r="O28" s="4"/>
      <c r="P28" s="4"/>
      <c r="Q28" s="4"/>
      <c r="R28" s="4"/>
    </row>
    <row r="29" spans="1:18" ht="15">
      <c r="A29" s="4" t="s">
        <v>117</v>
      </c>
      <c r="B29" s="4" t="s">
        <v>21</v>
      </c>
      <c r="C29" s="10">
        <v>272</v>
      </c>
      <c r="D29" s="10">
        <v>26</v>
      </c>
      <c r="E29" s="13">
        <v>9.5588235294117641E-2</v>
      </c>
      <c r="F29" s="13">
        <v>6.6068167037527492E-2</v>
      </c>
      <c r="G29" s="13">
        <v>0.13637224587006549</v>
      </c>
      <c r="H29" s="24">
        <v>1.1786614645858342</v>
      </c>
      <c r="I29" s="13">
        <v>0.35880260037880285</v>
      </c>
      <c r="J29" s="13">
        <v>0.82167284358591708</v>
      </c>
      <c r="K29" s="4" t="s">
        <v>121</v>
      </c>
      <c r="L29" s="4"/>
      <c r="M29" s="4"/>
      <c r="N29" s="4"/>
      <c r="O29" s="4"/>
      <c r="P29" s="4"/>
      <c r="Q29" s="4"/>
      <c r="R29" s="4"/>
    </row>
    <row r="30" spans="1:18" ht="15">
      <c r="A30" s="4" t="s">
        <v>117</v>
      </c>
      <c r="B30" s="4" t="s">
        <v>129</v>
      </c>
      <c r="C30" s="10">
        <v>258</v>
      </c>
      <c r="D30" s="10">
        <v>12</v>
      </c>
      <c r="E30" s="13">
        <v>4.6511627906976744E-2</v>
      </c>
      <c r="F30" s="13">
        <v>2.6803871423129438E-2</v>
      </c>
      <c r="G30" s="13">
        <v>7.9525580551699421E-2</v>
      </c>
      <c r="H30" s="24">
        <v>0.57351684859990504</v>
      </c>
      <c r="I30" s="13">
        <v>3.3337758184435698E-2</v>
      </c>
      <c r="J30" s="13">
        <v>0.35856270140068247</v>
      </c>
      <c r="K30" s="4" t="s">
        <v>121</v>
      </c>
      <c r="L30" s="4"/>
      <c r="M30" s="4"/>
      <c r="N30" s="4"/>
      <c r="O30" s="4"/>
      <c r="P30" s="4"/>
      <c r="Q30" s="4"/>
      <c r="R30" s="4"/>
    </row>
    <row r="31" spans="1:18" ht="15">
      <c r="A31" s="4" t="s">
        <v>117</v>
      </c>
      <c r="B31" s="4" t="s">
        <v>127</v>
      </c>
      <c r="C31" s="10">
        <v>197</v>
      </c>
      <c r="D31" s="10">
        <v>10</v>
      </c>
      <c r="E31" s="13">
        <v>5.0761421319796954E-2</v>
      </c>
      <c r="F31" s="13">
        <v>2.7803153770755387E-2</v>
      </c>
      <c r="G31" s="13">
        <v>9.0904701473311242E-2</v>
      </c>
      <c r="H31" s="24">
        <v>0.62591940329431262</v>
      </c>
      <c r="I31" s="13">
        <v>0.10667975856383434</v>
      </c>
      <c r="J31" s="13">
        <v>0.71069928923036951</v>
      </c>
      <c r="K31" s="4" t="s">
        <v>121</v>
      </c>
      <c r="L31" s="4"/>
      <c r="M31" s="4"/>
      <c r="N31" s="4"/>
      <c r="O31" s="4"/>
      <c r="P31" s="4"/>
      <c r="Q31" s="4"/>
      <c r="R31" s="4"/>
    </row>
    <row r="32" spans="1:18" ht="15">
      <c r="A32" s="4" t="s">
        <v>117</v>
      </c>
      <c r="B32" s="4" t="s">
        <v>125</v>
      </c>
      <c r="C32" s="10">
        <v>195</v>
      </c>
      <c r="D32" s="10">
        <v>17</v>
      </c>
      <c r="E32" s="13">
        <v>8.7179487179487175E-2</v>
      </c>
      <c r="F32" s="13">
        <v>5.514218135043715E-2</v>
      </c>
      <c r="G32" s="13">
        <v>0.13516752088735307</v>
      </c>
      <c r="H32" s="24">
        <v>1.0749764521193093</v>
      </c>
      <c r="I32" s="13">
        <v>0.74776205767001613</v>
      </c>
      <c r="J32" s="13">
        <v>0.82167284358591708</v>
      </c>
      <c r="K32" s="4" t="s">
        <v>121</v>
      </c>
      <c r="L32" s="4"/>
      <c r="M32" s="4"/>
      <c r="N32" s="4"/>
      <c r="O32" s="4"/>
      <c r="P32" s="4"/>
      <c r="Q32" s="4"/>
      <c r="R32" s="4"/>
    </row>
    <row r="33" spans="1:18" ht="15">
      <c r="A33" s="4" t="s">
        <v>117</v>
      </c>
      <c r="B33" s="4" t="s">
        <v>122</v>
      </c>
      <c r="C33" s="10">
        <v>169</v>
      </c>
      <c r="D33" s="10">
        <v>21</v>
      </c>
      <c r="E33" s="13">
        <v>0.1242603550295858</v>
      </c>
      <c r="F33" s="13">
        <v>8.2728505115773759E-2</v>
      </c>
      <c r="G33" s="13">
        <v>0.18249408171884732</v>
      </c>
      <c r="H33" s="24">
        <v>1.5322062552831783</v>
      </c>
      <c r="I33" s="13">
        <v>3.4393903571827346E-2</v>
      </c>
      <c r="J33" s="13">
        <v>0.35856270140068247</v>
      </c>
      <c r="K33" s="4" t="s">
        <v>121</v>
      </c>
      <c r="L33" s="4"/>
      <c r="M33" s="4"/>
      <c r="N33" s="4"/>
      <c r="O33" s="4"/>
      <c r="P33" s="4"/>
      <c r="Q33" s="4"/>
      <c r="R33" s="4"/>
    </row>
    <row r="34" spans="1:18" ht="15">
      <c r="A34" s="4" t="s">
        <v>117</v>
      </c>
      <c r="B34" s="4" t="s">
        <v>124</v>
      </c>
      <c r="C34" s="10">
        <v>130</v>
      </c>
      <c r="D34" s="10">
        <v>13</v>
      </c>
      <c r="E34" s="13">
        <v>0.1</v>
      </c>
      <c r="F34" s="13">
        <v>5.9375488014095035E-2</v>
      </c>
      <c r="G34" s="13">
        <v>0.16358576094145011</v>
      </c>
      <c r="H34" s="24">
        <v>1.233061224489796</v>
      </c>
      <c r="I34" s="13">
        <v>0.41967419824546737</v>
      </c>
      <c r="J34" s="13">
        <v>0.82167284358591708</v>
      </c>
      <c r="K34" s="4" t="s">
        <v>121</v>
      </c>
      <c r="L34" s="4"/>
      <c r="M34" s="4"/>
      <c r="N34" s="4"/>
      <c r="O34" s="4"/>
      <c r="P34" s="4"/>
      <c r="Q34" s="4"/>
      <c r="R34" s="4"/>
    </row>
    <row r="35" spans="1:18" ht="15">
      <c r="A35" s="4" t="s">
        <v>117</v>
      </c>
      <c r="B35" s="4" t="s">
        <v>126</v>
      </c>
      <c r="C35" s="10">
        <v>115</v>
      </c>
      <c r="D35" s="10">
        <v>10</v>
      </c>
      <c r="E35" s="13">
        <v>8.6956521739130432E-2</v>
      </c>
      <c r="F35" s="13">
        <v>4.7918497415334778E-2</v>
      </c>
      <c r="G35" s="13">
        <v>0.1526971720427934</v>
      </c>
      <c r="H35" s="24">
        <v>1.0722271517302573</v>
      </c>
      <c r="I35" s="13">
        <v>0.81450987126944807</v>
      </c>
      <c r="J35" s="13">
        <v>0.85564673345477382</v>
      </c>
      <c r="K35" s="4" t="s">
        <v>121</v>
      </c>
      <c r="L35" s="4"/>
      <c r="M35" s="4"/>
      <c r="N35" s="4"/>
      <c r="O35" s="4"/>
      <c r="P35" s="4"/>
      <c r="Q35" s="4"/>
      <c r="R35" s="4"/>
    </row>
    <row r="36" spans="1:18" ht="15">
      <c r="A36" s="4" t="s">
        <v>117</v>
      </c>
      <c r="B36" s="4" t="s">
        <v>123</v>
      </c>
      <c r="C36" s="10">
        <v>93</v>
      </c>
      <c r="D36" s="10">
        <v>11</v>
      </c>
      <c r="E36" s="13">
        <v>0.11827956989247312</v>
      </c>
      <c r="F36" s="13">
        <v>6.7344378054703613E-2</v>
      </c>
      <c r="G36" s="13">
        <v>0.19949855404672862</v>
      </c>
      <c r="H36" s="24">
        <v>1.4584595128373932</v>
      </c>
      <c r="I36" s="13">
        <v>0.18215375592416394</v>
      </c>
      <c r="J36" s="13">
        <v>0.82167284358591708</v>
      </c>
      <c r="K36" s="4" t="s">
        <v>121</v>
      </c>
      <c r="L36" s="4"/>
      <c r="M36" s="4"/>
      <c r="N36" s="4"/>
      <c r="O36" s="4"/>
      <c r="P36" s="4"/>
      <c r="Q36" s="4"/>
      <c r="R36" s="4"/>
    </row>
    <row r="37" spans="1:18" ht="15">
      <c r="A37" s="4" t="s">
        <v>117</v>
      </c>
      <c r="B37" s="4" t="s">
        <v>128</v>
      </c>
      <c r="C37" s="10">
        <v>84</v>
      </c>
      <c r="D37" s="10">
        <v>4</v>
      </c>
      <c r="E37" s="13">
        <v>4.7619047619047616E-2</v>
      </c>
      <c r="F37" s="13">
        <v>1.8671746809490054E-2</v>
      </c>
      <c r="G37" s="13">
        <v>0.11613315032758317</v>
      </c>
      <c r="H37" s="24">
        <v>0.58717201166180755</v>
      </c>
      <c r="I37" s="13">
        <v>0.25428561689520868</v>
      </c>
      <c r="J37" s="13">
        <v>0.82167284358591708</v>
      </c>
      <c r="K37" s="4" t="s">
        <v>121</v>
      </c>
      <c r="L37" s="4"/>
      <c r="M37" s="4"/>
      <c r="N37" s="4"/>
      <c r="O37" s="4"/>
      <c r="P37" s="4"/>
      <c r="Q37" s="4"/>
      <c r="R37" s="4"/>
    </row>
    <row r="38" spans="1:18" ht="15">
      <c r="A38" s="4" t="s">
        <v>133</v>
      </c>
      <c r="B38" s="4" t="s">
        <v>134</v>
      </c>
      <c r="C38" s="10">
        <v>1850</v>
      </c>
      <c r="D38" s="10">
        <v>166</v>
      </c>
      <c r="E38" s="13">
        <v>8.9729729729729729E-2</v>
      </c>
      <c r="F38" s="13">
        <v>7.7542491842612762E-2</v>
      </c>
      <c r="G38" s="13">
        <v>0.10361726009989523</v>
      </c>
      <c r="H38" s="24">
        <v>1.1064225041367899</v>
      </c>
      <c r="I38" s="13">
        <v>2.8948603476169652E-2</v>
      </c>
      <c r="J38" s="13">
        <v>0.11579441390467861</v>
      </c>
      <c r="K38" s="4" t="s">
        <v>121</v>
      </c>
      <c r="L38" s="4"/>
      <c r="M38" s="4"/>
      <c r="N38" s="4"/>
      <c r="O38" s="4"/>
      <c r="P38" s="4"/>
      <c r="Q38" s="4"/>
      <c r="R38" s="4"/>
    </row>
    <row r="39" spans="1:18" ht="15">
      <c r="A39" s="4" t="s">
        <v>133</v>
      </c>
      <c r="B39" s="4" t="s">
        <v>135</v>
      </c>
      <c r="C39" s="10">
        <v>870</v>
      </c>
      <c r="D39" s="10">
        <v>64</v>
      </c>
      <c r="E39" s="13">
        <v>7.3563218390804597E-2</v>
      </c>
      <c r="F39" s="13">
        <v>5.8027717166751147E-2</v>
      </c>
      <c r="G39" s="13">
        <v>9.2848002324313894E-2</v>
      </c>
      <c r="H39" s="24">
        <v>0.90707952146375792</v>
      </c>
      <c r="I39" s="13">
        <v>0.33457572970635396</v>
      </c>
      <c r="J39" s="13">
        <v>0.33457572970635396</v>
      </c>
      <c r="K39" s="4" t="s">
        <v>121</v>
      </c>
      <c r="L39" s="4"/>
      <c r="M39" s="4"/>
      <c r="N39" s="4"/>
      <c r="O39" s="4"/>
      <c r="P39" s="4"/>
      <c r="Q39" s="4"/>
      <c r="R39" s="4"/>
    </row>
    <row r="40" spans="1:18" ht="15">
      <c r="A40" s="4" t="s">
        <v>133</v>
      </c>
      <c r="B40" s="4" t="s">
        <v>136</v>
      </c>
      <c r="C40" s="10">
        <v>160</v>
      </c>
      <c r="D40" s="10">
        <v>9</v>
      </c>
      <c r="E40" s="13">
        <v>5.6250000000000001E-2</v>
      </c>
      <c r="F40" s="13">
        <v>2.9872301755764163E-2</v>
      </c>
      <c r="G40" s="13">
        <v>0.10343619645894672</v>
      </c>
      <c r="H40" s="24">
        <v>0.69359693877551021</v>
      </c>
      <c r="I40" s="13">
        <v>0.23674643585496313</v>
      </c>
      <c r="J40" s="13">
        <v>0.31566191447328418</v>
      </c>
      <c r="K40" s="4" t="s">
        <v>121</v>
      </c>
      <c r="L40" s="4"/>
      <c r="M40" s="4"/>
      <c r="N40" s="4"/>
      <c r="O40" s="4"/>
      <c r="P40" s="4"/>
      <c r="Q40" s="4"/>
      <c r="R40" s="4"/>
    </row>
    <row r="41" spans="1:18" ht="15">
      <c r="A41" s="4" t="s">
        <v>133</v>
      </c>
      <c r="B41" s="4" t="s">
        <v>137</v>
      </c>
      <c r="C41" s="10">
        <v>141</v>
      </c>
      <c r="D41" s="10">
        <v>6</v>
      </c>
      <c r="E41" s="13">
        <v>4.2553191489361701E-2</v>
      </c>
      <c r="F41" s="13">
        <v>1.9646160425252017E-2</v>
      </c>
      <c r="G41" s="13">
        <v>8.9724864622935274E-2</v>
      </c>
      <c r="H41" s="24">
        <v>0.52470690403821107</v>
      </c>
      <c r="I41" s="13">
        <v>8.594074888589022E-2</v>
      </c>
      <c r="J41" s="13">
        <v>0.17188149777178044</v>
      </c>
      <c r="K41" s="4" t="s">
        <v>121</v>
      </c>
      <c r="L41" s="4"/>
      <c r="M41" s="4"/>
      <c r="N41" s="4"/>
      <c r="O41" s="4"/>
      <c r="P41" s="4"/>
      <c r="Q41" s="4"/>
      <c r="R41" s="4"/>
    </row>
    <row r="42" spans="1:18" ht="15">
      <c r="A42" s="4" t="s">
        <v>138</v>
      </c>
      <c r="B42" s="4" t="s">
        <v>139</v>
      </c>
      <c r="C42" s="10">
        <v>1815</v>
      </c>
      <c r="D42" s="10">
        <v>151</v>
      </c>
      <c r="E42" s="13">
        <v>8.3195592286501377E-2</v>
      </c>
      <c r="F42" s="13">
        <v>7.1353140637360993E-2</v>
      </c>
      <c r="G42" s="13">
        <v>9.679865584686724E-2</v>
      </c>
      <c r="H42" s="24">
        <v>1.0258525889694721</v>
      </c>
      <c r="I42" s="13">
        <v>0.60455178441899615</v>
      </c>
      <c r="J42" s="13">
        <v>0.60455178441899615</v>
      </c>
      <c r="K42" s="4" t="s">
        <v>121</v>
      </c>
      <c r="L42" s="4"/>
      <c r="M42" s="4"/>
      <c r="N42" s="4"/>
      <c r="O42" s="4"/>
      <c r="P42" s="4"/>
      <c r="Q42" s="4"/>
      <c r="R42" s="4"/>
    </row>
    <row r="43" spans="1:18" ht="15">
      <c r="A43" s="4" t="s">
        <v>138</v>
      </c>
      <c r="B43" s="4" t="s">
        <v>140</v>
      </c>
      <c r="C43" s="10">
        <v>1206</v>
      </c>
      <c r="D43" s="10">
        <v>94</v>
      </c>
      <c r="E43" s="13">
        <v>7.7943615257048099E-2</v>
      </c>
      <c r="F43" s="13">
        <v>6.4118274800567143E-2</v>
      </c>
      <c r="G43" s="13">
        <v>9.4449161801988757E-2</v>
      </c>
      <c r="H43" s="24">
        <v>0.96109249670017272</v>
      </c>
      <c r="I43" s="13">
        <v>0.60455178441899615</v>
      </c>
      <c r="J43" s="13">
        <v>0.60455178441899615</v>
      </c>
      <c r="K43" s="4" t="s">
        <v>121</v>
      </c>
      <c r="L43" s="4"/>
      <c r="M43" s="4"/>
      <c r="N43" s="4"/>
      <c r="O43" s="4"/>
      <c r="P43" s="4"/>
      <c r="Q43" s="4"/>
      <c r="R43" s="4"/>
    </row>
    <row r="44" spans="1:18" ht="15">
      <c r="A44" s="4" t="s">
        <v>141</v>
      </c>
      <c r="B44" s="4" t="s">
        <v>142</v>
      </c>
      <c r="C44" s="10">
        <v>496</v>
      </c>
      <c r="D44" s="10">
        <v>39</v>
      </c>
      <c r="E44" s="13">
        <v>7.8629032258064516E-2</v>
      </c>
      <c r="F44" s="13">
        <v>5.805010798325079E-2</v>
      </c>
      <c r="G44" s="13">
        <v>0.10568472708582806</v>
      </c>
      <c r="H44" s="24">
        <v>0.96954410796576695</v>
      </c>
      <c r="I44" s="13">
        <v>0.82555231228647719</v>
      </c>
      <c r="J44" s="13">
        <v>0.82555231228647719</v>
      </c>
      <c r="K44" s="4" t="s">
        <v>121</v>
      </c>
      <c r="L44" s="4"/>
      <c r="M44" s="4"/>
      <c r="N44" s="4"/>
      <c r="O44" s="4"/>
      <c r="P44" s="4"/>
      <c r="Q44" s="4"/>
      <c r="R44" s="4"/>
    </row>
    <row r="45" spans="1:18" ht="15">
      <c r="A45" s="4" t="s">
        <v>141</v>
      </c>
      <c r="B45" s="4" t="s">
        <v>143</v>
      </c>
      <c r="C45" s="10">
        <v>456</v>
      </c>
      <c r="D45" s="10">
        <v>40</v>
      </c>
      <c r="E45" s="13">
        <v>8.771929824561403E-2</v>
      </c>
      <c r="F45" s="13">
        <v>6.5079385022775299E-2</v>
      </c>
      <c r="G45" s="13">
        <v>0.11724749571501916</v>
      </c>
      <c r="H45" s="24">
        <v>1.0816326530612244</v>
      </c>
      <c r="I45" s="13">
        <v>0.57410278833747708</v>
      </c>
      <c r="J45" s="13">
        <v>0.75365212450374819</v>
      </c>
      <c r="K45" s="4" t="s">
        <v>121</v>
      </c>
      <c r="L45" s="4"/>
      <c r="M45" s="4"/>
      <c r="N45" s="4"/>
      <c r="O45" s="4"/>
      <c r="P45" s="4"/>
      <c r="Q45" s="4"/>
      <c r="R45" s="4"/>
    </row>
    <row r="46" spans="1:18" ht="15">
      <c r="A46" s="4" t="s">
        <v>141</v>
      </c>
      <c r="B46" s="4" t="s">
        <v>144</v>
      </c>
      <c r="C46" s="10">
        <v>442</v>
      </c>
      <c r="D46" s="10">
        <v>22</v>
      </c>
      <c r="E46" s="13">
        <v>4.9773755656108594E-2</v>
      </c>
      <c r="F46" s="13">
        <v>3.3096655335489861E-2</v>
      </c>
      <c r="G46" s="13">
        <v>7.4209333989147433E-2</v>
      </c>
      <c r="H46" s="24">
        <v>0.61374088096777168</v>
      </c>
      <c r="I46" s="13">
        <v>9.0268353637287663E-3</v>
      </c>
      <c r="J46" s="13">
        <v>5.017758471592821E-2</v>
      </c>
      <c r="K46" s="4" t="s">
        <v>121</v>
      </c>
      <c r="L46" s="4"/>
      <c r="M46" s="4"/>
      <c r="N46" s="4"/>
      <c r="O46" s="4"/>
      <c r="P46" s="4"/>
      <c r="Q46" s="4"/>
      <c r="R46" s="4"/>
    </row>
    <row r="47" spans="1:18" ht="15">
      <c r="A47" s="4" t="s">
        <v>141</v>
      </c>
      <c r="B47" s="4" t="s">
        <v>145</v>
      </c>
      <c r="C47" s="10">
        <v>408</v>
      </c>
      <c r="D47" s="10">
        <v>35</v>
      </c>
      <c r="E47" s="13">
        <v>8.5784313725490197E-2</v>
      </c>
      <c r="F47" s="13">
        <v>6.2326836892247828E-2</v>
      </c>
      <c r="G47" s="13">
        <v>0.11696899950105447</v>
      </c>
      <c r="H47" s="24">
        <v>1.0577731092436975</v>
      </c>
      <c r="I47" s="13">
        <v>0.709323569402594</v>
      </c>
      <c r="J47" s="13">
        <v>0.78813729933621557</v>
      </c>
      <c r="K47" s="4" t="s">
        <v>121</v>
      </c>
      <c r="L47" s="4"/>
      <c r="M47" s="4"/>
      <c r="N47" s="4"/>
      <c r="O47" s="4"/>
      <c r="P47" s="4"/>
      <c r="Q47" s="4"/>
      <c r="R47" s="4"/>
    </row>
    <row r="48" spans="1:18" ht="15">
      <c r="A48" s="4" t="s">
        <v>141</v>
      </c>
      <c r="B48" s="4" t="s">
        <v>146</v>
      </c>
      <c r="C48" s="10">
        <v>291</v>
      </c>
      <c r="D48" s="10">
        <v>34</v>
      </c>
      <c r="E48" s="13">
        <v>0.11683848797250859</v>
      </c>
      <c r="F48" s="13">
        <v>8.4826094468166038E-2</v>
      </c>
      <c r="G48" s="13">
        <v>0.15883522476436435</v>
      </c>
      <c r="H48" s="24">
        <v>1.4406900904691775</v>
      </c>
      <c r="I48" s="13">
        <v>1.8806381531322247E-2</v>
      </c>
      <c r="J48" s="13">
        <v>5.017758471592821E-2</v>
      </c>
      <c r="K48" s="4" t="s">
        <v>121</v>
      </c>
      <c r="L48" s="4"/>
      <c r="M48" s="4"/>
      <c r="N48" s="4"/>
      <c r="O48" s="4"/>
      <c r="P48" s="4"/>
      <c r="Q48" s="4"/>
      <c r="R48" s="4"/>
    </row>
    <row r="49" spans="1:18" ht="15">
      <c r="A49" s="4" t="s">
        <v>141</v>
      </c>
      <c r="B49" s="4" t="s">
        <v>147</v>
      </c>
      <c r="C49" s="10">
        <v>271</v>
      </c>
      <c r="D49" s="10">
        <v>19</v>
      </c>
      <c r="E49" s="13">
        <v>7.0110701107011064E-2</v>
      </c>
      <c r="F49" s="13">
        <v>4.5340440490174258E-2</v>
      </c>
      <c r="G49" s="13">
        <v>0.10689808640540367</v>
      </c>
      <c r="H49" s="24">
        <v>0.86450786956849157</v>
      </c>
      <c r="I49" s="13">
        <v>0.48735988474433534</v>
      </c>
      <c r="J49" s="13">
        <v>0.75365212450374819</v>
      </c>
      <c r="K49" s="4" t="s">
        <v>121</v>
      </c>
      <c r="L49" s="4"/>
      <c r="M49" s="4"/>
      <c r="N49" s="4"/>
      <c r="O49" s="4"/>
      <c r="P49" s="4"/>
      <c r="Q49" s="4"/>
      <c r="R49" s="4"/>
    </row>
    <row r="50" spans="1:18" ht="15">
      <c r="A50" s="4" t="s">
        <v>141</v>
      </c>
      <c r="B50" s="4" t="s">
        <v>148</v>
      </c>
      <c r="C50" s="10">
        <v>245</v>
      </c>
      <c r="D50" s="10">
        <v>22</v>
      </c>
      <c r="E50" s="13">
        <v>8.9795918367346933E-2</v>
      </c>
      <c r="F50" s="13">
        <v>6.0047411736508016E-2</v>
      </c>
      <c r="G50" s="13">
        <v>0.13220937315546169</v>
      </c>
      <c r="H50" s="24">
        <v>1.1072386505622658</v>
      </c>
      <c r="I50" s="13">
        <v>0.60292169960299857</v>
      </c>
      <c r="J50" s="13">
        <v>0.75365212450374819</v>
      </c>
      <c r="K50" s="4" t="s">
        <v>121</v>
      </c>
      <c r="L50" s="4"/>
      <c r="M50" s="4"/>
      <c r="N50" s="4"/>
      <c r="O50" s="4"/>
      <c r="P50" s="4"/>
      <c r="Q50" s="4"/>
      <c r="R50" s="4"/>
    </row>
    <row r="51" spans="1:18" ht="15">
      <c r="A51" s="4" t="s">
        <v>141</v>
      </c>
      <c r="B51" s="4" t="s">
        <v>149</v>
      </c>
      <c r="C51" s="10">
        <v>191</v>
      </c>
      <c r="D51" s="10">
        <v>7</v>
      </c>
      <c r="E51" s="13">
        <v>3.6649214659685861E-2</v>
      </c>
      <c r="F51" s="13">
        <v>1.7864273426287811E-2</v>
      </c>
      <c r="G51" s="13">
        <v>7.370483578015169E-2</v>
      </c>
      <c r="H51" s="24">
        <v>0.45190725504861629</v>
      </c>
      <c r="I51" s="13">
        <v>2.0071033886371284E-2</v>
      </c>
      <c r="J51" s="13">
        <v>5.017758471592821E-2</v>
      </c>
      <c r="K51" s="4" t="s">
        <v>121</v>
      </c>
      <c r="L51" s="4"/>
      <c r="M51" s="4"/>
      <c r="N51" s="4"/>
      <c r="O51" s="4"/>
      <c r="P51" s="4"/>
      <c r="Q51" s="4"/>
      <c r="R51" s="4"/>
    </row>
    <row r="52" spans="1:18" ht="15">
      <c r="A52" s="4" t="s">
        <v>141</v>
      </c>
      <c r="B52" s="4" t="s">
        <v>150</v>
      </c>
      <c r="C52" s="10">
        <v>131</v>
      </c>
      <c r="D52" s="10">
        <v>18</v>
      </c>
      <c r="E52" s="13">
        <v>0.13740458015267176</v>
      </c>
      <c r="F52" s="13">
        <v>8.8714815543127656E-2</v>
      </c>
      <c r="G52" s="13">
        <v>0.20675409416121959</v>
      </c>
      <c r="H52" s="24">
        <v>1.6942825985355976</v>
      </c>
      <c r="I52" s="13">
        <v>1.5794254963502934E-2</v>
      </c>
      <c r="J52" s="13">
        <v>5.017758471592821E-2</v>
      </c>
      <c r="K52" s="4" t="s">
        <v>121</v>
      </c>
      <c r="L52" s="4"/>
      <c r="M52" s="4"/>
      <c r="N52" s="4"/>
      <c r="O52" s="4"/>
      <c r="P52" s="4"/>
      <c r="Q52" s="4"/>
      <c r="R52" s="4"/>
    </row>
    <row r="53" spans="1:18" ht="15">
      <c r="A53" s="4" t="s">
        <v>141</v>
      </c>
      <c r="B53" s="4" t="s">
        <v>151</v>
      </c>
      <c r="C53" s="10">
        <v>90</v>
      </c>
      <c r="D53" s="10">
        <v>9</v>
      </c>
      <c r="E53" s="13">
        <v>0.1</v>
      </c>
      <c r="F53" s="13">
        <v>5.3506751697124932E-2</v>
      </c>
      <c r="G53" s="13">
        <v>0.17924174875433652</v>
      </c>
      <c r="H53" s="24">
        <v>1.233061224489796</v>
      </c>
      <c r="I53" s="13">
        <v>0.50486413779659167</v>
      </c>
      <c r="J53" s="13">
        <v>0.75365212450374819</v>
      </c>
      <c r="K53" s="4" t="s">
        <v>121</v>
      </c>
      <c r="L53" s="4"/>
      <c r="M53" s="4"/>
      <c r="N53" s="4"/>
      <c r="O53" s="4"/>
      <c r="P53" s="4"/>
      <c r="Q53" s="4"/>
      <c r="R53" s="4"/>
    </row>
    <row r="54" spans="1:18" ht="15">
      <c r="A54" s="4" t="s">
        <v>152</v>
      </c>
      <c r="B54" s="4" t="s">
        <v>21</v>
      </c>
      <c r="C54" s="10">
        <v>2042</v>
      </c>
      <c r="D54" s="10">
        <v>148</v>
      </c>
      <c r="E54" s="13">
        <v>7.2477962781586677E-2</v>
      </c>
      <c r="F54" s="13">
        <v>6.2016968163730452E-2</v>
      </c>
      <c r="G54" s="13">
        <v>8.4544466266059104E-2</v>
      </c>
      <c r="H54" s="24">
        <v>0.89369765535989121</v>
      </c>
      <c r="I54" s="13">
        <v>1.2181300505677622E-2</v>
      </c>
      <c r="J54" s="13">
        <v>0.1290315535045852</v>
      </c>
      <c r="K54" s="4" t="s">
        <v>121</v>
      </c>
      <c r="L54" s="4"/>
      <c r="M54" s="4"/>
      <c r="N54" s="4"/>
      <c r="O54" s="4"/>
      <c r="P54" s="4"/>
      <c r="Q54" s="4"/>
      <c r="R54" s="4"/>
    </row>
    <row r="55" spans="1:18" ht="15">
      <c r="A55" s="4" t="s">
        <v>152</v>
      </c>
      <c r="B55" s="4" t="s">
        <v>153</v>
      </c>
      <c r="C55" s="10">
        <v>104</v>
      </c>
      <c r="D55" s="10">
        <v>7</v>
      </c>
      <c r="E55" s="13">
        <v>6.7307692307692304E-2</v>
      </c>
      <c r="F55" s="13">
        <v>3.2983689029670082E-2</v>
      </c>
      <c r="G55" s="13">
        <v>0.13245786763879791</v>
      </c>
      <c r="H55" s="24">
        <v>0.82994505494505488</v>
      </c>
      <c r="I55" s="13">
        <v>0.60006440903406566</v>
      </c>
      <c r="J55" s="13">
        <v>0.76905695097032767</v>
      </c>
      <c r="K55" s="4" t="s">
        <v>121</v>
      </c>
      <c r="L55" s="4"/>
      <c r="M55" s="4"/>
      <c r="N55" s="4"/>
      <c r="O55" s="4"/>
      <c r="P55" s="4"/>
      <c r="Q55" s="4"/>
      <c r="R55" s="4"/>
    </row>
    <row r="56" spans="1:18" ht="15">
      <c r="A56" s="4" t="s">
        <v>152</v>
      </c>
      <c r="B56" s="4" t="s">
        <v>123</v>
      </c>
      <c r="C56" s="10">
        <v>92</v>
      </c>
      <c r="D56" s="10">
        <v>11</v>
      </c>
      <c r="E56" s="13">
        <v>0.11956521739130435</v>
      </c>
      <c r="F56" s="13">
        <v>6.809134808816239E-2</v>
      </c>
      <c r="G56" s="13">
        <v>0.20153579593350626</v>
      </c>
      <c r="H56" s="24">
        <v>1.474312333629104</v>
      </c>
      <c r="I56" s="13">
        <v>0.16987346314808438</v>
      </c>
      <c r="J56" s="13">
        <v>0.76905695097032767</v>
      </c>
      <c r="K56" s="4" t="s">
        <v>121</v>
      </c>
      <c r="L56" s="4"/>
      <c r="M56" s="4"/>
      <c r="N56" s="4"/>
      <c r="O56" s="4"/>
      <c r="P56" s="4"/>
      <c r="Q56" s="4"/>
      <c r="R56" s="4"/>
    </row>
    <row r="57" spans="1:18" ht="15">
      <c r="A57" s="4" t="s">
        <v>154</v>
      </c>
      <c r="B57" s="4" t="s">
        <v>155</v>
      </c>
      <c r="C57" s="10">
        <v>1473</v>
      </c>
      <c r="D57" s="10">
        <v>88</v>
      </c>
      <c r="E57" s="13">
        <v>5.9742023082145282E-2</v>
      </c>
      <c r="F57" s="13">
        <v>4.8745340935507961E-2</v>
      </c>
      <c r="G57" s="13">
        <v>7.3029043001616459E-2</v>
      </c>
      <c r="H57" s="24">
        <v>0.73665572135167712</v>
      </c>
      <c r="I57" s="13">
        <v>2.7337794977394287E-5</v>
      </c>
      <c r="J57" s="13">
        <v>2.8704684726264004E-4</v>
      </c>
      <c r="K57" s="4" t="s">
        <v>121</v>
      </c>
      <c r="L57" s="4"/>
      <c r="M57" s="4"/>
      <c r="N57" s="4"/>
      <c r="O57" s="4"/>
      <c r="P57" s="4"/>
      <c r="Q57" s="4"/>
      <c r="R57" s="4"/>
    </row>
    <row r="58" spans="1:18" ht="15">
      <c r="A58" s="4" t="s">
        <v>154</v>
      </c>
      <c r="B58" s="4" t="s">
        <v>156</v>
      </c>
      <c r="C58" s="10">
        <v>338</v>
      </c>
      <c r="D58" s="10">
        <v>49</v>
      </c>
      <c r="E58" s="13">
        <v>0.14497041420118342</v>
      </c>
      <c r="F58" s="13">
        <v>0.11142534477651198</v>
      </c>
      <c r="G58" s="13">
        <v>0.18649480561142842</v>
      </c>
      <c r="H58" s="24">
        <v>1.7875739644970414</v>
      </c>
      <c r="I58" s="13">
        <v>5.0081596061315942E-6</v>
      </c>
      <c r="J58" s="13">
        <v>1.0517135172876348E-4</v>
      </c>
      <c r="K58" s="4" t="s">
        <v>121</v>
      </c>
      <c r="L58" s="4"/>
      <c r="M58" s="4"/>
      <c r="N58" s="4"/>
      <c r="O58" s="4"/>
      <c r="P58" s="4"/>
      <c r="Q58" s="4"/>
      <c r="R58" s="4"/>
    </row>
    <row r="59" spans="1:18" ht="15">
      <c r="A59" s="4" t="s">
        <v>154</v>
      </c>
      <c r="B59" s="4" t="s">
        <v>157</v>
      </c>
      <c r="C59" s="10">
        <v>329</v>
      </c>
      <c r="D59" s="10">
        <v>20</v>
      </c>
      <c r="E59" s="13">
        <v>6.0790273556231005E-2</v>
      </c>
      <c r="F59" s="13">
        <v>3.9693549077737145E-2</v>
      </c>
      <c r="G59" s="13">
        <v>9.2025194662993998E-2</v>
      </c>
      <c r="H59" s="24">
        <v>0.74958129148315866</v>
      </c>
      <c r="I59" s="13">
        <v>0.15286841516813443</v>
      </c>
      <c r="J59" s="13">
        <v>0.45860524550440329</v>
      </c>
      <c r="K59" s="4" t="s">
        <v>121</v>
      </c>
      <c r="L59" s="4"/>
      <c r="M59" s="4"/>
      <c r="N59" s="4"/>
      <c r="O59" s="4"/>
      <c r="P59" s="4"/>
      <c r="Q59" s="4"/>
      <c r="R59" s="4"/>
    </row>
    <row r="60" spans="1:18" ht="15">
      <c r="A60" s="4" t="s">
        <v>154</v>
      </c>
      <c r="B60" s="4" t="s">
        <v>21</v>
      </c>
      <c r="C60" s="10">
        <v>272</v>
      </c>
      <c r="D60" s="10">
        <v>26</v>
      </c>
      <c r="E60" s="13">
        <v>9.5588235294117641E-2</v>
      </c>
      <c r="F60" s="13">
        <v>6.6068167037527492E-2</v>
      </c>
      <c r="G60" s="13">
        <v>0.13637224587006549</v>
      </c>
      <c r="H60" s="24">
        <v>1.1786614645858342</v>
      </c>
      <c r="I60" s="13">
        <v>0.35880260037880285</v>
      </c>
      <c r="J60" s="13">
        <v>0.68498678254135081</v>
      </c>
      <c r="K60" s="4" t="s">
        <v>121</v>
      </c>
      <c r="L60" s="4"/>
      <c r="M60" s="4"/>
      <c r="N60" s="4"/>
      <c r="O60" s="4"/>
      <c r="P60" s="4"/>
      <c r="Q60" s="4"/>
      <c r="R60" s="4"/>
    </row>
    <row r="61" spans="1:18" ht="15">
      <c r="A61" s="4" t="s">
        <v>154</v>
      </c>
      <c r="B61" s="4" t="s">
        <v>158</v>
      </c>
      <c r="C61" s="10">
        <v>171</v>
      </c>
      <c r="D61" s="10">
        <v>21</v>
      </c>
      <c r="E61" s="13">
        <v>0.12280701754385964</v>
      </c>
      <c r="F61" s="13">
        <v>8.1743307084909136E-2</v>
      </c>
      <c r="G61" s="13">
        <v>0.18044541594391267</v>
      </c>
      <c r="H61" s="24">
        <v>1.5142857142857142</v>
      </c>
      <c r="I61" s="13">
        <v>3.9688746231747139E-2</v>
      </c>
      <c r="J61" s="13">
        <v>0.27782122362223</v>
      </c>
      <c r="K61" s="4" t="s">
        <v>121</v>
      </c>
      <c r="L61" s="4"/>
      <c r="M61" s="4"/>
      <c r="N61" s="4"/>
      <c r="O61" s="4"/>
      <c r="P61" s="4"/>
      <c r="Q61" s="4"/>
      <c r="R61" s="4"/>
    </row>
    <row r="62" spans="1:18" ht="15">
      <c r="A62" s="4" t="s">
        <v>154</v>
      </c>
      <c r="B62" s="4" t="s">
        <v>159</v>
      </c>
      <c r="C62" s="10">
        <v>143</v>
      </c>
      <c r="D62" s="10">
        <v>13</v>
      </c>
      <c r="E62" s="13">
        <v>9.0909090909090912E-2</v>
      </c>
      <c r="F62" s="13">
        <v>5.3897775233929759E-2</v>
      </c>
      <c r="G62" s="13">
        <v>0.14932452356611881</v>
      </c>
      <c r="H62" s="24">
        <v>1.1209647495361781</v>
      </c>
      <c r="I62" s="13">
        <v>0.65973346487025419</v>
      </c>
      <c r="J62" s="13">
        <v>0.76636794065224956</v>
      </c>
      <c r="K62" s="4" t="s">
        <v>121</v>
      </c>
      <c r="L62" s="4"/>
      <c r="M62" s="4"/>
      <c r="N62" s="4"/>
      <c r="O62" s="4"/>
      <c r="P62" s="4"/>
      <c r="Q62" s="4"/>
      <c r="R62" s="4"/>
    </row>
    <row r="63" spans="1:18" ht="15">
      <c r="A63" s="4" t="s">
        <v>154</v>
      </c>
      <c r="B63" s="4" t="s">
        <v>160</v>
      </c>
      <c r="C63" s="10">
        <v>100</v>
      </c>
      <c r="D63" s="10">
        <v>12</v>
      </c>
      <c r="E63" s="13">
        <v>0.12</v>
      </c>
      <c r="F63" s="13">
        <v>6.9994064370194883E-2</v>
      </c>
      <c r="G63" s="13">
        <v>0.19812099426711421</v>
      </c>
      <c r="H63" s="24">
        <v>1.4796734693877551</v>
      </c>
      <c r="I63" s="13">
        <v>0.14728148740916641</v>
      </c>
      <c r="J63" s="13">
        <v>0.45860524550440329</v>
      </c>
      <c r="K63" s="4" t="s">
        <v>121</v>
      </c>
      <c r="L63" s="4"/>
      <c r="M63" s="4"/>
      <c r="N63" s="4"/>
      <c r="O63" s="4"/>
      <c r="P63" s="4"/>
      <c r="Q63" s="4"/>
      <c r="R63" s="4"/>
    </row>
    <row r="64" spans="1:18" ht="15">
      <c r="A64" s="4" t="s">
        <v>154</v>
      </c>
      <c r="B64" s="4" t="s">
        <v>161</v>
      </c>
      <c r="C64" s="10">
        <v>97</v>
      </c>
      <c r="D64" s="10">
        <v>10</v>
      </c>
      <c r="E64" s="13">
        <v>0.10309278350515463</v>
      </c>
      <c r="F64" s="13">
        <v>5.6967493385810426E-2</v>
      </c>
      <c r="G64" s="13">
        <v>0.17945767439251917</v>
      </c>
      <c r="H64" s="24">
        <v>1.2711971386492742</v>
      </c>
      <c r="I64" s="13">
        <v>0.41992614946845108</v>
      </c>
      <c r="J64" s="13">
        <v>0.73487076156978948</v>
      </c>
      <c r="K64" s="4" t="s">
        <v>121</v>
      </c>
      <c r="L64" s="4"/>
      <c r="M64" s="4"/>
      <c r="N64" s="4"/>
      <c r="O64" s="4"/>
      <c r="P64" s="4"/>
      <c r="Q64" s="4"/>
      <c r="R64" s="4"/>
    </row>
    <row r="65" spans="1:18" ht="15">
      <c r="A65" s="4" t="s">
        <v>91</v>
      </c>
      <c r="B65" s="4" t="s">
        <v>162</v>
      </c>
      <c r="C65" s="10">
        <v>1618</v>
      </c>
      <c r="D65" s="10">
        <v>123</v>
      </c>
      <c r="E65" s="13">
        <v>7.6019777503090233E-2</v>
      </c>
      <c r="F65" s="13">
        <v>6.408649430843813E-2</v>
      </c>
      <c r="G65" s="13">
        <v>8.996152158231599E-2</v>
      </c>
      <c r="H65" s="24">
        <v>0.93737039933402289</v>
      </c>
      <c r="I65" s="13">
        <v>0.27210910714289138</v>
      </c>
      <c r="J65" s="13">
        <v>0.43524893310204577</v>
      </c>
      <c r="K65" s="4" t="s">
        <v>121</v>
      </c>
      <c r="L65" s="4"/>
      <c r="M65" s="4"/>
      <c r="N65" s="4"/>
      <c r="O65" s="4"/>
      <c r="P65" s="4"/>
      <c r="Q65" s="4"/>
      <c r="R65" s="4"/>
    </row>
    <row r="66" spans="1:18" ht="15">
      <c r="A66" s="4" t="s">
        <v>91</v>
      </c>
      <c r="B66" s="4" t="s">
        <v>163</v>
      </c>
      <c r="C66" s="10">
        <v>958</v>
      </c>
      <c r="D66" s="10">
        <v>74</v>
      </c>
      <c r="E66" s="13">
        <v>7.724425887265135E-2</v>
      </c>
      <c r="F66" s="13">
        <v>6.1976171256936607E-2</v>
      </c>
      <c r="G66" s="13">
        <v>9.5889199827052296E-2</v>
      </c>
      <c r="H66" s="24">
        <v>0.9524690043031826</v>
      </c>
      <c r="I66" s="13">
        <v>0.59688735990405639</v>
      </c>
      <c r="J66" s="13">
        <v>0.59688735990405639</v>
      </c>
      <c r="K66" s="4" t="s">
        <v>121</v>
      </c>
      <c r="L66" s="4"/>
      <c r="M66" s="4"/>
      <c r="N66" s="4"/>
      <c r="O66" s="4"/>
      <c r="P66" s="4"/>
      <c r="Q66" s="4"/>
      <c r="R66" s="4"/>
    </row>
    <row r="67" spans="1:18" ht="15">
      <c r="A67" s="4" t="s">
        <v>91</v>
      </c>
      <c r="B67" s="4" t="s">
        <v>164</v>
      </c>
      <c r="C67" s="10">
        <v>271</v>
      </c>
      <c r="D67" s="10">
        <v>26</v>
      </c>
      <c r="E67" s="13">
        <v>9.5940959409594101E-2</v>
      </c>
      <c r="F67" s="13">
        <v>6.6315163832496013E-2</v>
      </c>
      <c r="G67" s="13">
        <v>0.13686182067450642</v>
      </c>
      <c r="H67" s="24">
        <v>1.1830107688831992</v>
      </c>
      <c r="I67" s="13">
        <v>0.34819914648163663</v>
      </c>
      <c r="J67" s="13">
        <v>0.43524893310204577</v>
      </c>
      <c r="K67" s="4" t="s">
        <v>121</v>
      </c>
      <c r="L67" s="4"/>
      <c r="M67" s="4"/>
      <c r="N67" s="4"/>
      <c r="O67" s="4"/>
      <c r="P67" s="4"/>
      <c r="Q67" s="4"/>
      <c r="R67" s="4"/>
    </row>
    <row r="68" spans="1:18" ht="15">
      <c r="A68" s="4" t="s">
        <v>91</v>
      </c>
      <c r="B68" s="4" t="s">
        <v>165</v>
      </c>
      <c r="C68" s="10">
        <v>171</v>
      </c>
      <c r="D68" s="10">
        <v>21</v>
      </c>
      <c r="E68" s="13">
        <v>0.12280701754385964</v>
      </c>
      <c r="F68" s="13">
        <v>8.1743307084909136E-2</v>
      </c>
      <c r="G68" s="13">
        <v>0.18044541594391267</v>
      </c>
      <c r="H68" s="24">
        <v>1.5142857142857142</v>
      </c>
      <c r="I68" s="13">
        <v>3.9688746231747139E-2</v>
      </c>
      <c r="J68" s="13">
        <v>0.19844373115873568</v>
      </c>
      <c r="K68" s="4" t="s">
        <v>121</v>
      </c>
      <c r="L68" s="4"/>
      <c r="M68" s="4"/>
      <c r="N68" s="4"/>
      <c r="O68" s="4"/>
      <c r="P68" s="4"/>
      <c r="Q68" s="4"/>
      <c r="R68" s="4"/>
    </row>
    <row r="69" spans="1:18" ht="15">
      <c r="A69" s="4" t="s">
        <v>166</v>
      </c>
      <c r="B69" s="4" t="s">
        <v>134</v>
      </c>
      <c r="C69" s="10">
        <v>1628</v>
      </c>
      <c r="D69" s="10">
        <v>149</v>
      </c>
      <c r="E69" s="13">
        <v>9.1523341523341517E-2</v>
      </c>
      <c r="F69" s="13">
        <v>7.8461457359683878E-2</v>
      </c>
      <c r="G69" s="13">
        <v>0.10650838587424774</v>
      </c>
      <c r="H69" s="24">
        <v>1.1285388356816928</v>
      </c>
      <c r="I69" s="13">
        <v>2.3268268104098065E-2</v>
      </c>
      <c r="J69" s="13">
        <v>4.653653620819613E-2</v>
      </c>
      <c r="K69" s="4" t="s">
        <v>121</v>
      </c>
      <c r="L69" s="4"/>
      <c r="M69" s="4"/>
      <c r="N69" s="4"/>
      <c r="O69" s="4"/>
      <c r="P69" s="4"/>
      <c r="Q69" s="4"/>
      <c r="R69" s="4"/>
    </row>
    <row r="70" spans="1:18" ht="15">
      <c r="A70" s="4" t="s">
        <v>166</v>
      </c>
      <c r="B70" s="4" t="s">
        <v>135</v>
      </c>
      <c r="C70" s="10">
        <v>619</v>
      </c>
      <c r="D70" s="10">
        <v>54</v>
      </c>
      <c r="E70" s="13">
        <v>8.723747980613894E-2</v>
      </c>
      <c r="F70" s="13">
        <v>6.7476481631968455E-2</v>
      </c>
      <c r="G70" s="13">
        <v>0.11209001516556</v>
      </c>
      <c r="H70" s="24">
        <v>1.0756915367116153</v>
      </c>
      <c r="I70" s="13">
        <v>0.5303873116234834</v>
      </c>
      <c r="J70" s="13">
        <v>0.5303873116234834</v>
      </c>
      <c r="K70" s="4" t="s">
        <v>121</v>
      </c>
      <c r="L70" s="4"/>
      <c r="M70" s="4"/>
      <c r="N70" s="4"/>
      <c r="O70" s="4"/>
      <c r="P70" s="4"/>
      <c r="Q70" s="4"/>
      <c r="R70" s="4"/>
    </row>
    <row r="71" spans="1:18" ht="15">
      <c r="A71" s="4" t="s">
        <v>166</v>
      </c>
      <c r="B71" s="4" t="s">
        <v>137</v>
      </c>
      <c r="C71" s="10">
        <v>611</v>
      </c>
      <c r="D71" s="10">
        <v>35</v>
      </c>
      <c r="E71" s="13">
        <v>5.7283142389525366E-2</v>
      </c>
      <c r="F71" s="13">
        <v>4.1473720280878736E-2</v>
      </c>
      <c r="G71" s="13">
        <v>7.8624652659564892E-2</v>
      </c>
      <c r="H71" s="24">
        <v>0.70633621697451487</v>
      </c>
      <c r="I71" s="13">
        <v>1.5760685898994087E-2</v>
      </c>
      <c r="J71" s="13">
        <v>4.653653620819613E-2</v>
      </c>
      <c r="K71" s="4" t="s">
        <v>121</v>
      </c>
      <c r="L71" s="4"/>
      <c r="M71" s="4"/>
      <c r="N71" s="4"/>
      <c r="O71" s="4"/>
      <c r="P71" s="4"/>
      <c r="Q71" s="4"/>
      <c r="R71" s="4"/>
    </row>
    <row r="72" spans="1:18" ht="15">
      <c r="A72" s="4" t="s">
        <v>166</v>
      </c>
      <c r="B72" s="4" t="s">
        <v>136</v>
      </c>
      <c r="C72" s="10">
        <v>163</v>
      </c>
      <c r="D72" s="10">
        <v>7</v>
      </c>
      <c r="E72" s="13">
        <v>4.2944785276073622E-2</v>
      </c>
      <c r="F72" s="13">
        <v>2.095572063528206E-2</v>
      </c>
      <c r="G72" s="13">
        <v>8.5980882213944329E-2</v>
      </c>
      <c r="H72" s="24">
        <v>0.52953549517966703</v>
      </c>
      <c r="I72" s="13">
        <v>6.656695962299565E-2</v>
      </c>
      <c r="J72" s="13">
        <v>8.8755946163994195E-2</v>
      </c>
      <c r="K72" s="4" t="s">
        <v>121</v>
      </c>
      <c r="L72" s="4"/>
      <c r="M72" s="4"/>
      <c r="N72" s="4"/>
      <c r="O72" s="4"/>
      <c r="P72" s="4"/>
      <c r="Q72" s="4"/>
      <c r="R72" s="4"/>
    </row>
    <row r="73" spans="1:18" ht="15">
      <c r="A73" s="4" t="s">
        <v>167</v>
      </c>
      <c r="B73" s="4" t="s">
        <v>155</v>
      </c>
      <c r="C73" s="10">
        <v>2750</v>
      </c>
      <c r="D73" s="10">
        <v>219</v>
      </c>
      <c r="E73" s="13">
        <v>7.963636363636363E-2</v>
      </c>
      <c r="F73" s="13">
        <v>7.0094294998890569E-2</v>
      </c>
      <c r="G73" s="13">
        <v>9.0351201021024966E-2</v>
      </c>
      <c r="H73" s="24">
        <v>0.98196512059369201</v>
      </c>
      <c r="I73" s="13">
        <v>0.34819914648163663</v>
      </c>
      <c r="J73" s="13">
        <v>0.34819914648163663</v>
      </c>
      <c r="K73" s="4" t="s">
        <v>121</v>
      </c>
      <c r="L73" s="4"/>
      <c r="M73" s="4"/>
      <c r="N73" s="4"/>
      <c r="O73" s="4"/>
      <c r="P73" s="4"/>
      <c r="Q73" s="4"/>
      <c r="R73" s="4"/>
    </row>
    <row r="74" spans="1:18" ht="15">
      <c r="A74" s="4" t="s">
        <v>167</v>
      </c>
      <c r="B74" s="4" t="s">
        <v>168</v>
      </c>
      <c r="C74" s="10">
        <v>271</v>
      </c>
      <c r="D74" s="10">
        <v>26</v>
      </c>
      <c r="E74" s="13">
        <v>9.5940959409594101E-2</v>
      </c>
      <c r="F74" s="13">
        <v>6.6315163832496013E-2</v>
      </c>
      <c r="G74" s="13">
        <v>0.13686182067450642</v>
      </c>
      <c r="H74" s="24">
        <v>1.1830107688831992</v>
      </c>
      <c r="I74" s="13">
        <v>0.34819914648163663</v>
      </c>
      <c r="J74" s="13">
        <v>0.34819914648163663</v>
      </c>
      <c r="K74" s="4" t="s">
        <v>121</v>
      </c>
      <c r="L74" s="4"/>
      <c r="M74" s="4"/>
      <c r="N74" s="4"/>
      <c r="O74" s="4"/>
      <c r="P74" s="4"/>
      <c r="Q74" s="4"/>
      <c r="R74" s="4"/>
    </row>
    <row r="75" spans="1:18" ht="15">
      <c r="A75" s="4" t="s">
        <v>169</v>
      </c>
      <c r="B75" s="4" t="s">
        <v>170</v>
      </c>
      <c r="C75" s="10">
        <v>2750</v>
      </c>
      <c r="D75" s="10">
        <v>219</v>
      </c>
      <c r="E75" s="13">
        <v>7.963636363636363E-2</v>
      </c>
      <c r="F75" s="13">
        <v>7.0094294998890569E-2</v>
      </c>
      <c r="G75" s="13">
        <v>9.0351201021024966E-2</v>
      </c>
      <c r="H75" s="24">
        <v>0.98196512059369201</v>
      </c>
      <c r="I75" s="13">
        <v>0.34819914648163663</v>
      </c>
      <c r="J75" s="13">
        <v>0.34819914648163663</v>
      </c>
      <c r="K75" s="4" t="s">
        <v>121</v>
      </c>
      <c r="L75" s="4"/>
      <c r="M75" s="4"/>
      <c r="N75" s="4"/>
      <c r="O75" s="4"/>
      <c r="P75" s="4"/>
      <c r="Q75" s="4"/>
      <c r="R75" s="4"/>
    </row>
    <row r="76" spans="1:18" ht="15">
      <c r="A76" s="4" t="s">
        <v>169</v>
      </c>
      <c r="B76" s="4" t="s">
        <v>171</v>
      </c>
      <c r="C76" s="10">
        <v>271</v>
      </c>
      <c r="D76" s="10">
        <v>26</v>
      </c>
      <c r="E76" s="13">
        <v>9.5940959409594101E-2</v>
      </c>
      <c r="F76" s="13">
        <v>6.6315163832496013E-2</v>
      </c>
      <c r="G76" s="13">
        <v>0.13686182067450642</v>
      </c>
      <c r="H76" s="24">
        <v>1.1830107688831992</v>
      </c>
      <c r="I76" s="13">
        <v>0.34819914648163663</v>
      </c>
      <c r="J76" s="13">
        <v>0.34819914648163663</v>
      </c>
      <c r="K76" s="4" t="s">
        <v>121</v>
      </c>
      <c r="L76" s="4"/>
      <c r="M76" s="4"/>
      <c r="N76" s="4"/>
      <c r="O76" s="4"/>
      <c r="P76" s="4"/>
      <c r="Q76" s="4"/>
      <c r="R76" s="4"/>
    </row>
    <row r="77" spans="1:18" ht="15">
      <c r="A77" s="4" t="s">
        <v>172</v>
      </c>
      <c r="B77" s="4" t="s">
        <v>173</v>
      </c>
      <c r="C77" s="10">
        <v>573</v>
      </c>
      <c r="D77" s="10">
        <v>44</v>
      </c>
      <c r="E77" s="13">
        <v>7.6788830715532289E-2</v>
      </c>
      <c r="F77" s="13">
        <v>5.7697186136177241E-2</v>
      </c>
      <c r="G77" s="13">
        <v>0.10151720009822518</v>
      </c>
      <c r="H77" s="24">
        <v>0.94685329629233894</v>
      </c>
      <c r="I77" s="13">
        <v>0.67459330253302707</v>
      </c>
      <c r="J77" s="13">
        <v>0.77259857431608903</v>
      </c>
      <c r="K77" s="4" t="s">
        <v>121</v>
      </c>
      <c r="L77" s="4"/>
      <c r="M77" s="4"/>
      <c r="N77" s="4"/>
      <c r="O77" s="4"/>
      <c r="P77" s="4"/>
      <c r="Q77" s="4"/>
      <c r="R77" s="4"/>
    </row>
    <row r="78" spans="1:18" ht="15">
      <c r="A78" s="4" t="s">
        <v>172</v>
      </c>
      <c r="B78" s="4" t="s">
        <v>21</v>
      </c>
      <c r="C78" s="10">
        <v>515</v>
      </c>
      <c r="D78" s="10">
        <v>46</v>
      </c>
      <c r="E78" s="13">
        <v>8.9320388349514557E-2</v>
      </c>
      <c r="F78" s="13">
        <v>6.7632565573730291E-2</v>
      </c>
      <c r="G78" s="13">
        <v>0.11708948620397056</v>
      </c>
      <c r="H78" s="24">
        <v>1.1013750743015653</v>
      </c>
      <c r="I78" s="13">
        <v>0.45301371101970911</v>
      </c>
      <c r="J78" s="13">
        <v>0.77259857431608903</v>
      </c>
      <c r="K78" s="4" t="s">
        <v>121</v>
      </c>
      <c r="L78" s="4"/>
      <c r="M78" s="4"/>
      <c r="N78" s="4"/>
      <c r="O78" s="4"/>
      <c r="P78" s="4"/>
      <c r="Q78" s="4"/>
      <c r="R78" s="4"/>
    </row>
    <row r="79" spans="1:18" ht="15">
      <c r="A79" s="4" t="s">
        <v>172</v>
      </c>
      <c r="B79" s="4" t="s">
        <v>174</v>
      </c>
      <c r="C79" s="10">
        <v>491</v>
      </c>
      <c r="D79" s="10">
        <v>58</v>
      </c>
      <c r="E79" s="13">
        <v>0.11812627291242363</v>
      </c>
      <c r="F79" s="13">
        <v>9.2499156072068156E-2</v>
      </c>
      <c r="G79" s="13">
        <v>0.14968236830202172</v>
      </c>
      <c r="H79" s="24">
        <v>1.456569267218089</v>
      </c>
      <c r="I79" s="13">
        <v>1.0225520053147839E-3</v>
      </c>
      <c r="J79" s="13">
        <v>2.5359289731806643E-2</v>
      </c>
      <c r="K79" s="4" t="s">
        <v>121</v>
      </c>
      <c r="L79" s="4"/>
      <c r="M79" s="4"/>
      <c r="N79" s="4"/>
      <c r="O79" s="4"/>
      <c r="P79" s="4"/>
      <c r="Q79" s="4"/>
      <c r="R79" s="4"/>
    </row>
    <row r="80" spans="1:18" ht="15">
      <c r="A80" s="4" t="s">
        <v>172</v>
      </c>
      <c r="B80" s="4" t="s">
        <v>175</v>
      </c>
      <c r="C80" s="10">
        <v>290</v>
      </c>
      <c r="D80" s="10">
        <v>17</v>
      </c>
      <c r="E80" s="13">
        <v>5.8620689655172413E-2</v>
      </c>
      <c r="F80" s="13">
        <v>3.6918535783165674E-2</v>
      </c>
      <c r="G80" s="13">
        <v>9.186335555567865E-2</v>
      </c>
      <c r="H80" s="24">
        <v>0.72282899366643205</v>
      </c>
      <c r="I80" s="13">
        <v>0.14026495821493354</v>
      </c>
      <c r="J80" s="13">
        <v>0.77259857431608903</v>
      </c>
      <c r="K80" s="4" t="s">
        <v>121</v>
      </c>
      <c r="L80" s="4"/>
      <c r="M80" s="4"/>
      <c r="N80" s="4"/>
      <c r="O80" s="4"/>
      <c r="P80" s="4"/>
      <c r="Q80" s="4"/>
      <c r="R80" s="4"/>
    </row>
    <row r="81" spans="1:18" ht="15">
      <c r="A81" s="4" t="s">
        <v>172</v>
      </c>
      <c r="B81" s="4" t="s">
        <v>176</v>
      </c>
      <c r="C81" s="10">
        <v>101</v>
      </c>
      <c r="D81" s="10">
        <v>6</v>
      </c>
      <c r="E81" s="13">
        <v>5.9405940594059403E-2</v>
      </c>
      <c r="F81" s="13">
        <v>2.7508127513887766E-2</v>
      </c>
      <c r="G81" s="13">
        <v>0.12359105594737155</v>
      </c>
      <c r="H81" s="24">
        <v>0.73251161850878965</v>
      </c>
      <c r="I81" s="13">
        <v>0.41661263832210893</v>
      </c>
      <c r="J81" s="13">
        <v>0.77259857431608903</v>
      </c>
      <c r="K81" s="4" t="s">
        <v>121</v>
      </c>
      <c r="L81" s="4"/>
      <c r="M81" s="4"/>
      <c r="N81" s="4"/>
      <c r="O81" s="4"/>
      <c r="P81" s="4"/>
      <c r="Q81" s="4"/>
      <c r="R81" s="4"/>
    </row>
    <row r="82" spans="1:18" ht="15">
      <c r="A82" s="4" t="s">
        <v>177</v>
      </c>
      <c r="B82" s="4" t="s">
        <v>178</v>
      </c>
      <c r="C82" s="10">
        <v>463</v>
      </c>
      <c r="D82" s="10">
        <v>44</v>
      </c>
      <c r="E82" s="13">
        <v>9.5032397408207347E-2</v>
      </c>
      <c r="F82" s="13">
        <v>7.1554731070048477E-2</v>
      </c>
      <c r="G82" s="13">
        <v>0.12517470905443903</v>
      </c>
      <c r="H82" s="24">
        <v>1.1718076431436506</v>
      </c>
      <c r="I82" s="13">
        <v>0.23266397855821563</v>
      </c>
      <c r="J82" s="13">
        <v>0.90508368837927466</v>
      </c>
      <c r="K82" s="4" t="s">
        <v>121</v>
      </c>
      <c r="L82" s="4"/>
      <c r="M82" s="4"/>
      <c r="N82" s="4"/>
      <c r="O82" s="4"/>
      <c r="P82" s="4"/>
      <c r="Q82" s="4"/>
      <c r="R82" s="4"/>
    </row>
    <row r="83" spans="1:18" ht="15">
      <c r="A83" s="4" t="s">
        <v>177</v>
      </c>
      <c r="B83" s="4" t="s">
        <v>179</v>
      </c>
      <c r="C83" s="10">
        <v>325</v>
      </c>
      <c r="D83" s="10">
        <v>28</v>
      </c>
      <c r="E83" s="13">
        <v>8.615384615384615E-2</v>
      </c>
      <c r="F83" s="13">
        <v>6.0278448298934605E-2</v>
      </c>
      <c r="G83" s="13">
        <v>0.12169817665371041</v>
      </c>
      <c r="H83" s="24">
        <v>1.0623296703296703</v>
      </c>
      <c r="I83" s="13">
        <v>0.72381377913124445</v>
      </c>
      <c r="J83" s="13">
        <v>0.90508368837927466</v>
      </c>
      <c r="K83" s="4" t="s">
        <v>121</v>
      </c>
      <c r="L83" s="4"/>
      <c r="M83" s="4"/>
      <c r="N83" s="4"/>
      <c r="O83" s="4"/>
      <c r="P83" s="4"/>
      <c r="Q83" s="4"/>
      <c r="R83" s="4"/>
    </row>
    <row r="84" spans="1:18" ht="15">
      <c r="A84" s="4" t="s">
        <v>177</v>
      </c>
      <c r="B84" s="4" t="s">
        <v>180</v>
      </c>
      <c r="C84" s="10">
        <v>283</v>
      </c>
      <c r="D84" s="10">
        <v>17</v>
      </c>
      <c r="E84" s="13">
        <v>6.0070671378091869E-2</v>
      </c>
      <c r="F84" s="13">
        <v>3.7839939825859287E-2</v>
      </c>
      <c r="G84" s="13">
        <v>9.4084709338433881E-2</v>
      </c>
      <c r="H84" s="24">
        <v>0.74070815605394102</v>
      </c>
      <c r="I84" s="13">
        <v>0.17345833130028965</v>
      </c>
      <c r="J84" s="13">
        <v>0.90508368837927466</v>
      </c>
      <c r="K84" s="4" t="s">
        <v>121</v>
      </c>
      <c r="L84" s="4"/>
      <c r="M84" s="4"/>
      <c r="N84" s="4"/>
      <c r="O84" s="4"/>
      <c r="P84" s="4"/>
      <c r="Q84" s="4"/>
      <c r="R84" s="4"/>
    </row>
    <row r="85" spans="1:18" ht="15">
      <c r="A85" s="4" t="s">
        <v>177</v>
      </c>
      <c r="B85" s="4" t="s">
        <v>181</v>
      </c>
      <c r="C85" s="10">
        <v>261</v>
      </c>
      <c r="D85" s="10">
        <v>18</v>
      </c>
      <c r="E85" s="13">
        <v>6.8965517241379309E-2</v>
      </c>
      <c r="F85" s="13">
        <v>4.4065878977558454E-2</v>
      </c>
      <c r="G85" s="13">
        <v>0.1063692492614384</v>
      </c>
      <c r="H85" s="24">
        <v>0.85038705137227311</v>
      </c>
      <c r="I85" s="13">
        <v>0.45250316776560462</v>
      </c>
      <c r="J85" s="13">
        <v>0.90508368837927466</v>
      </c>
      <c r="K85" s="4" t="s">
        <v>121</v>
      </c>
      <c r="L85" s="4"/>
      <c r="M85" s="4"/>
      <c r="N85" s="4"/>
      <c r="O85" s="4"/>
      <c r="P85" s="4"/>
      <c r="Q85" s="4"/>
      <c r="R85" s="4"/>
    </row>
    <row r="86" spans="1:18" ht="15">
      <c r="A86" s="4" t="s">
        <v>177</v>
      </c>
      <c r="B86" s="4" t="s">
        <v>182</v>
      </c>
      <c r="C86" s="10">
        <v>186</v>
      </c>
      <c r="D86" s="10">
        <v>14</v>
      </c>
      <c r="E86" s="13">
        <v>7.5268817204301078E-2</v>
      </c>
      <c r="F86" s="13">
        <v>4.5362687656036363E-2</v>
      </c>
      <c r="G86" s="13">
        <v>0.12236389334737073</v>
      </c>
      <c r="H86" s="24">
        <v>0.92811059907834104</v>
      </c>
      <c r="I86" s="13">
        <v>0.76366436207001298</v>
      </c>
      <c r="J86" s="13">
        <v>0.90508368837927466</v>
      </c>
      <c r="K86" s="4" t="s">
        <v>121</v>
      </c>
      <c r="L86" s="4"/>
      <c r="M86" s="4"/>
      <c r="N86" s="4"/>
      <c r="O86" s="4"/>
      <c r="P86" s="4"/>
      <c r="Q86" s="4"/>
      <c r="R86" s="4"/>
    </row>
    <row r="87" spans="1:18" ht="15">
      <c r="A87" s="4" t="s">
        <v>177</v>
      </c>
      <c r="B87" s="4" t="s">
        <v>183</v>
      </c>
      <c r="C87" s="10">
        <v>145</v>
      </c>
      <c r="D87" s="10">
        <v>12</v>
      </c>
      <c r="E87" s="13">
        <v>8.2758620689655171E-2</v>
      </c>
      <c r="F87" s="13">
        <v>4.7973750470801928E-2</v>
      </c>
      <c r="G87" s="13">
        <v>0.13908071030436481</v>
      </c>
      <c r="H87" s="24">
        <v>1.0204644616467278</v>
      </c>
      <c r="I87" s="13">
        <v>0.94019034611297503</v>
      </c>
      <c r="J87" s="13">
        <v>0.97051906695532908</v>
      </c>
      <c r="K87" s="4" t="s">
        <v>121</v>
      </c>
      <c r="L87" s="4"/>
      <c r="M87" s="4"/>
      <c r="N87" s="4"/>
      <c r="O87" s="4"/>
      <c r="P87" s="4"/>
      <c r="Q87" s="4"/>
      <c r="R87" s="4"/>
    </row>
    <row r="88" spans="1:18" ht="15">
      <c r="A88" s="4" t="s">
        <v>177</v>
      </c>
      <c r="B88" s="4" t="s">
        <v>184</v>
      </c>
      <c r="C88" s="10">
        <v>145</v>
      </c>
      <c r="D88" s="10">
        <v>11</v>
      </c>
      <c r="E88" s="13">
        <v>7.586206896551724E-2</v>
      </c>
      <c r="F88" s="13">
        <v>4.2885732749187305E-2</v>
      </c>
      <c r="G88" s="13">
        <v>0.13073161167515576</v>
      </c>
      <c r="H88" s="24">
        <v>0.93542575650950033</v>
      </c>
      <c r="I88" s="13">
        <v>0.81284753990573544</v>
      </c>
      <c r="J88" s="13">
        <v>0.92337141440828818</v>
      </c>
      <c r="K88" s="4" t="s">
        <v>121</v>
      </c>
      <c r="L88" s="4"/>
      <c r="M88" s="4"/>
      <c r="N88" s="4"/>
      <c r="O88" s="4"/>
      <c r="P88" s="4"/>
      <c r="Q88" s="4"/>
      <c r="R88" s="4"/>
    </row>
    <row r="89" spans="1:18" ht="15">
      <c r="A89" s="4" t="s">
        <v>177</v>
      </c>
      <c r="B89" s="4" t="s">
        <v>185</v>
      </c>
      <c r="C89" s="10">
        <v>105</v>
      </c>
      <c r="D89" s="10">
        <v>7</v>
      </c>
      <c r="E89" s="13">
        <v>6.6666666666666666E-2</v>
      </c>
      <c r="F89" s="13">
        <v>3.2665884656020709E-2</v>
      </c>
      <c r="G89" s="13">
        <v>0.13125564868254119</v>
      </c>
      <c r="H89" s="24">
        <v>0.82204081632653059</v>
      </c>
      <c r="I89" s="13">
        <v>0.58135671027149582</v>
      </c>
      <c r="J89" s="13">
        <v>0.90508368837927466</v>
      </c>
      <c r="K89" s="4" t="s">
        <v>121</v>
      </c>
      <c r="L89" s="4"/>
      <c r="M89" s="4"/>
      <c r="N89" s="4"/>
      <c r="O89" s="4"/>
      <c r="P89" s="4"/>
      <c r="Q89" s="4"/>
      <c r="R89" s="4"/>
    </row>
    <row r="90" spans="1:18" ht="15">
      <c r="A90" s="4" t="s">
        <v>177</v>
      </c>
      <c r="B90" s="4" t="s">
        <v>186</v>
      </c>
      <c r="C90" s="10">
        <v>98</v>
      </c>
      <c r="D90" s="10">
        <v>6</v>
      </c>
      <c r="E90" s="13">
        <v>6.1224489795918366E-2</v>
      </c>
      <c r="F90" s="13">
        <v>2.8359323681385669E-2</v>
      </c>
      <c r="G90" s="13">
        <v>0.12719087173151772</v>
      </c>
      <c r="H90" s="24">
        <v>0.75493544356518116</v>
      </c>
      <c r="I90" s="13">
        <v>0.46373976019377383</v>
      </c>
      <c r="J90" s="13">
        <v>0.90508368837927466</v>
      </c>
      <c r="K90" s="4" t="s">
        <v>121</v>
      </c>
      <c r="L90" s="4"/>
      <c r="M90" s="4"/>
      <c r="N90" s="4"/>
      <c r="O90" s="4"/>
      <c r="P90" s="4"/>
      <c r="Q90" s="4"/>
      <c r="R90" s="4"/>
    </row>
    <row r="91" spans="1:18" ht="15">
      <c r="A91" s="4" t="s">
        <v>177</v>
      </c>
      <c r="B91" s="4" t="s">
        <v>187</v>
      </c>
      <c r="C91" s="10">
        <v>96</v>
      </c>
      <c r="D91" s="10">
        <v>12</v>
      </c>
      <c r="E91" s="13">
        <v>0.125</v>
      </c>
      <c r="F91" s="13">
        <v>7.2972009599242688E-2</v>
      </c>
      <c r="G91" s="13">
        <v>0.20588468129401408</v>
      </c>
      <c r="H91" s="24">
        <v>1.541326530612245</v>
      </c>
      <c r="I91" s="13">
        <v>0.10930398833173395</v>
      </c>
      <c r="J91" s="13">
        <v>0.90508368837927466</v>
      </c>
      <c r="K91" s="4" t="s">
        <v>121</v>
      </c>
      <c r="L91" s="4"/>
      <c r="M91" s="4"/>
      <c r="N91" s="4"/>
      <c r="O91" s="4"/>
      <c r="P91" s="4"/>
      <c r="Q91" s="4"/>
      <c r="R91" s="4"/>
    </row>
    <row r="92" spans="1:18" ht="15">
      <c r="A92" s="4" t="s">
        <v>177</v>
      </c>
      <c r="B92" s="4" t="s">
        <v>188</v>
      </c>
      <c r="C92" s="10">
        <v>94</v>
      </c>
      <c r="D92" s="10">
        <v>9</v>
      </c>
      <c r="E92" s="13">
        <v>9.5744680851063829E-2</v>
      </c>
      <c r="F92" s="13">
        <v>5.1191960763089517E-2</v>
      </c>
      <c r="G92" s="13">
        <v>0.17204120730241473</v>
      </c>
      <c r="H92" s="24">
        <v>1.1805905340859748</v>
      </c>
      <c r="I92" s="13">
        <v>0.59719352662988712</v>
      </c>
      <c r="J92" s="13">
        <v>0.90508368837927466</v>
      </c>
      <c r="K92" s="4" t="s">
        <v>121</v>
      </c>
      <c r="L92" s="4"/>
      <c r="M92" s="4"/>
      <c r="N92" s="4"/>
      <c r="O92" s="4"/>
      <c r="P92" s="4"/>
      <c r="Q92" s="4"/>
      <c r="R92" s="4"/>
    </row>
    <row r="93" spans="1:18" ht="15">
      <c r="A93" s="4" t="s">
        <v>177</v>
      </c>
      <c r="B93" s="4" t="s">
        <v>189</v>
      </c>
      <c r="C93" s="10">
        <v>90</v>
      </c>
      <c r="D93" s="10">
        <v>6</v>
      </c>
      <c r="E93" s="13">
        <v>6.6666666666666666E-2</v>
      </c>
      <c r="F93" s="13">
        <v>3.0909927745827924E-2</v>
      </c>
      <c r="G93" s="13">
        <v>0.13790094774325526</v>
      </c>
      <c r="H93" s="24">
        <v>0.82204081632653059</v>
      </c>
      <c r="I93" s="13">
        <v>0.61061694946495915</v>
      </c>
      <c r="J93" s="13">
        <v>0.90508368837927466</v>
      </c>
      <c r="K93" s="4" t="s">
        <v>121</v>
      </c>
      <c r="L93" s="4"/>
      <c r="M93" s="4"/>
      <c r="N93" s="4"/>
      <c r="O93" s="4"/>
      <c r="P93" s="4"/>
      <c r="Q93" s="4"/>
      <c r="R93" s="4"/>
    </row>
    <row r="94" spans="1:18" ht="15">
      <c r="A94" s="4" t="s">
        <v>177</v>
      </c>
      <c r="B94" s="4" t="s">
        <v>190</v>
      </c>
      <c r="C94" s="10">
        <v>80</v>
      </c>
      <c r="D94" s="10">
        <v>5</v>
      </c>
      <c r="E94" s="13">
        <v>6.25E-2</v>
      </c>
      <c r="F94" s="13">
        <v>2.6989375670841982E-2</v>
      </c>
      <c r="G94" s="13">
        <v>0.13810148767274424</v>
      </c>
      <c r="H94" s="24">
        <v>0.7706632653061225</v>
      </c>
      <c r="I94" s="13">
        <v>0.53682733095940272</v>
      </c>
      <c r="J94" s="13">
        <v>0.90508368837927466</v>
      </c>
      <c r="K94" s="4" t="s">
        <v>121</v>
      </c>
      <c r="L94" s="4"/>
      <c r="M94" s="4"/>
      <c r="N94" s="4"/>
      <c r="O94" s="4"/>
      <c r="P94" s="4"/>
      <c r="Q94" s="4"/>
      <c r="R94" s="4"/>
    </row>
    <row r="95" spans="1:18" ht="15">
      <c r="A95" s="4" t="s">
        <v>177</v>
      </c>
      <c r="B95" s="4" t="s">
        <v>191</v>
      </c>
      <c r="C95" s="10">
        <v>75</v>
      </c>
      <c r="D95" s="10">
        <v>6</v>
      </c>
      <c r="E95" s="13">
        <v>0.08</v>
      </c>
      <c r="F95" s="13">
        <v>3.7180124350333868E-2</v>
      </c>
      <c r="G95" s="13">
        <v>0.16374790333522304</v>
      </c>
      <c r="H95" s="24">
        <v>0.98644897959183675</v>
      </c>
      <c r="I95" s="13">
        <v>0.97183661950381262</v>
      </c>
      <c r="J95" s="13">
        <v>0.97183661950381262</v>
      </c>
      <c r="K95" s="4" t="s">
        <v>121</v>
      </c>
      <c r="L95" s="4"/>
      <c r="M95" s="4"/>
      <c r="N95" s="4"/>
      <c r="O95" s="4"/>
      <c r="P95" s="4"/>
      <c r="Q95" s="4"/>
      <c r="R95" s="4"/>
    </row>
    <row r="96" spans="1:18" ht="15">
      <c r="A96" s="4" t="s">
        <v>192</v>
      </c>
      <c r="B96" s="4" t="s">
        <v>193</v>
      </c>
      <c r="C96" s="10">
        <v>1131</v>
      </c>
      <c r="D96" s="10">
        <v>88</v>
      </c>
      <c r="E96" s="13">
        <v>7.7807250221043331E-2</v>
      </c>
      <c r="F96" s="13">
        <v>6.3586186449544987E-2</v>
      </c>
      <c r="G96" s="13">
        <v>9.488657414873454E-2</v>
      </c>
      <c r="H96" s="24">
        <v>0.95941103231743641</v>
      </c>
      <c r="I96" s="13">
        <v>0.60816634118834301</v>
      </c>
      <c r="J96" s="13">
        <v>0.82376788585184824</v>
      </c>
      <c r="K96" s="4" t="s">
        <v>121</v>
      </c>
      <c r="L96" s="4"/>
      <c r="M96" s="4"/>
      <c r="N96" s="4"/>
      <c r="O96" s="4"/>
      <c r="P96" s="4"/>
      <c r="Q96" s="4"/>
      <c r="R96" s="4"/>
    </row>
    <row r="97" spans="1:18" ht="15">
      <c r="A97" s="4" t="s">
        <v>192</v>
      </c>
      <c r="B97" s="4" t="s">
        <v>194</v>
      </c>
      <c r="C97" s="10">
        <v>620</v>
      </c>
      <c r="D97" s="10">
        <v>57</v>
      </c>
      <c r="E97" s="13">
        <v>9.1935483870967741E-2</v>
      </c>
      <c r="F97" s="13">
        <v>7.1636328213260353E-2</v>
      </c>
      <c r="G97" s="13">
        <v>0.11726015687040314</v>
      </c>
      <c r="H97" s="24">
        <v>1.1336208031599737</v>
      </c>
      <c r="I97" s="13">
        <v>0.26755029197833113</v>
      </c>
      <c r="J97" s="13">
        <v>0.81928765983938379</v>
      </c>
      <c r="K97" s="4" t="s">
        <v>121</v>
      </c>
      <c r="L97" s="4"/>
      <c r="M97" s="4"/>
      <c r="N97" s="4"/>
      <c r="O97" s="4"/>
      <c r="P97" s="4"/>
      <c r="Q97" s="4"/>
      <c r="R97" s="4"/>
    </row>
    <row r="98" spans="1:18" ht="15">
      <c r="A98" s="4" t="s">
        <v>192</v>
      </c>
      <c r="B98" s="4" t="s">
        <v>195</v>
      </c>
      <c r="C98" s="10">
        <v>436</v>
      </c>
      <c r="D98" s="10">
        <v>32</v>
      </c>
      <c r="E98" s="13">
        <v>7.3394495412844041E-2</v>
      </c>
      <c r="F98" s="13">
        <v>5.2465869515731005E-2</v>
      </c>
      <c r="G98" s="13">
        <v>0.10177484031319484</v>
      </c>
      <c r="H98" s="24">
        <v>0.90499906384572182</v>
      </c>
      <c r="I98" s="13">
        <v>0.5240769790592702</v>
      </c>
      <c r="J98" s="13">
        <v>0.82376788585184824</v>
      </c>
      <c r="K98" s="4" t="s">
        <v>121</v>
      </c>
      <c r="L98" s="4"/>
      <c r="M98" s="4"/>
      <c r="N98" s="4"/>
      <c r="O98" s="4"/>
      <c r="P98" s="4"/>
      <c r="Q98" s="4"/>
      <c r="R98" s="4"/>
    </row>
    <row r="99" spans="1:18" ht="15">
      <c r="A99" s="4" t="s">
        <v>192</v>
      </c>
      <c r="B99" s="4" t="s">
        <v>196</v>
      </c>
      <c r="C99" s="10">
        <v>232</v>
      </c>
      <c r="D99" s="10">
        <v>15</v>
      </c>
      <c r="E99" s="13">
        <v>6.4655172413793108E-2</v>
      </c>
      <c r="F99" s="13">
        <v>3.9569871890817024E-2</v>
      </c>
      <c r="G99" s="13">
        <v>0.10392253605948808</v>
      </c>
      <c r="H99" s="24">
        <v>0.79723786066150604</v>
      </c>
      <c r="I99" s="13">
        <v>0.33963118246980595</v>
      </c>
      <c r="J99" s="13">
        <v>0.81928765983938379</v>
      </c>
      <c r="K99" s="4" t="s">
        <v>121</v>
      </c>
      <c r="L99" s="4"/>
      <c r="M99" s="4"/>
      <c r="N99" s="4"/>
      <c r="O99" s="4"/>
      <c r="P99" s="4"/>
      <c r="Q99" s="4"/>
      <c r="R99" s="4"/>
    </row>
    <row r="100" spans="1:18" ht="15">
      <c r="A100" s="4" t="s">
        <v>192</v>
      </c>
      <c r="B100" s="4" t="s">
        <v>197</v>
      </c>
      <c r="C100" s="10">
        <v>135</v>
      </c>
      <c r="D100" s="10">
        <v>10</v>
      </c>
      <c r="E100" s="13">
        <v>7.407407407407407E-2</v>
      </c>
      <c r="F100" s="13">
        <v>4.0730541592962438E-2</v>
      </c>
      <c r="G100" s="13">
        <v>0.13098660271826248</v>
      </c>
      <c r="H100" s="24">
        <v>0.91337868480725626</v>
      </c>
      <c r="I100" s="13">
        <v>0.75967397942415049</v>
      </c>
      <c r="J100" s="13">
        <v>0.83564137736656552</v>
      </c>
      <c r="K100" s="4" t="s">
        <v>121</v>
      </c>
      <c r="L100" s="4"/>
      <c r="M100" s="4"/>
      <c r="N100" s="4"/>
      <c r="O100" s="4"/>
      <c r="P100" s="4"/>
      <c r="Q100" s="4"/>
      <c r="R100" s="4"/>
    </row>
    <row r="101" spans="1:18" ht="15">
      <c r="A101" s="4" t="s">
        <v>192</v>
      </c>
      <c r="B101" s="4" t="s">
        <v>198</v>
      </c>
      <c r="C101" s="10">
        <v>92</v>
      </c>
      <c r="D101" s="10">
        <v>13</v>
      </c>
      <c r="E101" s="13">
        <v>0.14130434782608695</v>
      </c>
      <c r="F101" s="13">
        <v>8.4476933783828964E-2</v>
      </c>
      <c r="G101" s="13">
        <v>0.22688580200803005</v>
      </c>
      <c r="H101" s="24">
        <v>1.7423691215616681</v>
      </c>
      <c r="I101" s="13">
        <v>3.1686839315790465E-2</v>
      </c>
      <c r="J101" s="13">
        <v>0.34855523247369508</v>
      </c>
      <c r="K101" s="4" t="s">
        <v>121</v>
      </c>
      <c r="L101" s="4"/>
      <c r="M101" s="4"/>
      <c r="N101" s="4"/>
      <c r="O101" s="4"/>
      <c r="P101" s="4"/>
      <c r="Q101" s="4"/>
      <c r="R101" s="4"/>
    </row>
    <row r="102" spans="1:18" ht="15">
      <c r="A102" s="4" t="s">
        <v>192</v>
      </c>
      <c r="B102" s="4" t="s">
        <v>199</v>
      </c>
      <c r="C102" s="10">
        <v>89</v>
      </c>
      <c r="D102" s="10">
        <v>11</v>
      </c>
      <c r="E102" s="13">
        <v>0.12359550561797752</v>
      </c>
      <c r="F102" s="13">
        <v>7.0435170083323381E-2</v>
      </c>
      <c r="G102" s="13">
        <v>0.20790447633048464</v>
      </c>
      <c r="H102" s="24">
        <v>1.5240082549873881</v>
      </c>
      <c r="I102" s="13">
        <v>0.13603164672650975</v>
      </c>
      <c r="J102" s="13">
        <v>0.74817405699580364</v>
      </c>
      <c r="K102" s="4" t="s">
        <v>121</v>
      </c>
      <c r="L102" s="4"/>
      <c r="M102" s="4"/>
      <c r="N102" s="4"/>
      <c r="O102" s="4"/>
      <c r="P102" s="4"/>
      <c r="Q102" s="4"/>
      <c r="R102" s="4"/>
    </row>
    <row r="103" spans="1:18" ht="15">
      <c r="A103" s="4" t="s">
        <v>192</v>
      </c>
      <c r="B103" s="4" t="s">
        <v>200</v>
      </c>
      <c r="C103" s="10">
        <v>87</v>
      </c>
      <c r="D103" s="10">
        <v>6</v>
      </c>
      <c r="E103" s="13">
        <v>6.8965517241379309E-2</v>
      </c>
      <c r="F103" s="13">
        <v>3.1988839442576765E-2</v>
      </c>
      <c r="G103" s="13">
        <v>0.14239694240580283</v>
      </c>
      <c r="H103" s="24">
        <v>0.85038705137227311</v>
      </c>
      <c r="I103" s="13">
        <v>0.67399190660605768</v>
      </c>
      <c r="J103" s="13">
        <v>0.82376788585184824</v>
      </c>
      <c r="K103" s="4" t="s">
        <v>121</v>
      </c>
      <c r="L103" s="4"/>
      <c r="M103" s="4"/>
      <c r="N103" s="4"/>
      <c r="O103" s="4"/>
      <c r="P103" s="4"/>
      <c r="Q103" s="4"/>
      <c r="R103" s="4"/>
    </row>
    <row r="104" spans="1:18" ht="15">
      <c r="A104" s="4" t="s">
        <v>192</v>
      </c>
      <c r="B104" s="4" t="s">
        <v>201</v>
      </c>
      <c r="C104" s="10">
        <v>75</v>
      </c>
      <c r="D104" s="10">
        <v>6</v>
      </c>
      <c r="E104" s="13">
        <v>0.08</v>
      </c>
      <c r="F104" s="13">
        <v>3.7180124350333868E-2</v>
      </c>
      <c r="G104" s="13">
        <v>0.16374790333522304</v>
      </c>
      <c r="H104" s="24">
        <v>0.98644897959183675</v>
      </c>
      <c r="I104" s="13">
        <v>0.97183661950381262</v>
      </c>
      <c r="J104" s="13">
        <v>0.97183661950381262</v>
      </c>
      <c r="K104" s="4" t="s">
        <v>121</v>
      </c>
      <c r="L104" s="4"/>
      <c r="M104" s="4"/>
      <c r="N104" s="4"/>
      <c r="O104" s="4"/>
      <c r="P104" s="4"/>
      <c r="Q104" s="4"/>
      <c r="R104" s="4"/>
    </row>
    <row r="105" spans="1:18" ht="15">
      <c r="A105" s="4" t="s">
        <v>192</v>
      </c>
      <c r="B105" s="4" t="s">
        <v>202</v>
      </c>
      <c r="C105" s="10">
        <v>75</v>
      </c>
      <c r="D105" s="10">
        <v>4</v>
      </c>
      <c r="E105" s="13">
        <v>5.3333333333333337E-2</v>
      </c>
      <c r="F105" s="13">
        <v>2.093342774665434E-2</v>
      </c>
      <c r="G105" s="13">
        <v>0.12925987153798557</v>
      </c>
      <c r="H105" s="24">
        <v>0.65763265306122454</v>
      </c>
      <c r="I105" s="13">
        <v>0.37240348174517446</v>
      </c>
      <c r="J105" s="13">
        <v>0.81928765983938379</v>
      </c>
      <c r="K105" s="4" t="s">
        <v>121</v>
      </c>
      <c r="L105" s="4"/>
      <c r="M105" s="4"/>
      <c r="N105" s="4"/>
      <c r="O105" s="4"/>
      <c r="P105" s="4"/>
      <c r="Q105" s="4"/>
      <c r="R105" s="4"/>
    </row>
    <row r="106" spans="1:18" ht="15">
      <c r="A106" s="4" t="s">
        <v>203</v>
      </c>
      <c r="B106" s="4" t="s">
        <v>204</v>
      </c>
      <c r="C106" s="10">
        <v>1206</v>
      </c>
      <c r="D106" s="10">
        <v>94</v>
      </c>
      <c r="E106" s="13">
        <v>7.7943615257048099E-2</v>
      </c>
      <c r="F106" s="13">
        <v>6.4118274800567143E-2</v>
      </c>
      <c r="G106" s="13">
        <v>9.4449161801988757E-2</v>
      </c>
      <c r="H106" s="24">
        <v>0.96109249670017272</v>
      </c>
      <c r="I106" s="13">
        <v>0.60455178441899615</v>
      </c>
      <c r="J106" s="13">
        <v>0.68330769548822368</v>
      </c>
      <c r="K106" s="4" t="s">
        <v>121</v>
      </c>
      <c r="L106" s="4"/>
      <c r="M106" s="4"/>
      <c r="N106" s="4"/>
      <c r="O106" s="4"/>
      <c r="P106" s="4"/>
      <c r="Q106" s="4"/>
      <c r="R106" s="4"/>
    </row>
    <row r="107" spans="1:18" ht="15">
      <c r="A107" s="4" t="s">
        <v>203</v>
      </c>
      <c r="B107" s="4" t="s">
        <v>205</v>
      </c>
      <c r="C107" s="10">
        <v>620</v>
      </c>
      <c r="D107" s="10">
        <v>57</v>
      </c>
      <c r="E107" s="13">
        <v>9.1935483870967741E-2</v>
      </c>
      <c r="F107" s="13">
        <v>7.1636328213260353E-2</v>
      </c>
      <c r="G107" s="13">
        <v>0.11726015687040314</v>
      </c>
      <c r="H107" s="24">
        <v>1.1336208031599737</v>
      </c>
      <c r="I107" s="13">
        <v>0.26755029197833113</v>
      </c>
      <c r="J107" s="13">
        <v>0.67032626714131405</v>
      </c>
      <c r="K107" s="4" t="s">
        <v>121</v>
      </c>
      <c r="L107" s="4"/>
      <c r="M107" s="4"/>
      <c r="N107" s="4"/>
      <c r="O107" s="4"/>
      <c r="P107" s="4"/>
      <c r="Q107" s="4"/>
      <c r="R107" s="4"/>
    </row>
    <row r="108" spans="1:18" ht="15">
      <c r="A108" s="4" t="s">
        <v>203</v>
      </c>
      <c r="B108" s="4" t="s">
        <v>206</v>
      </c>
      <c r="C108" s="10">
        <v>436</v>
      </c>
      <c r="D108" s="10">
        <v>32</v>
      </c>
      <c r="E108" s="13">
        <v>7.3394495412844041E-2</v>
      </c>
      <c r="F108" s="13">
        <v>5.2465869515731005E-2</v>
      </c>
      <c r="G108" s="13">
        <v>0.10177484031319484</v>
      </c>
      <c r="H108" s="24">
        <v>0.90499906384572182</v>
      </c>
      <c r="I108" s="13">
        <v>0.5240769790592702</v>
      </c>
      <c r="J108" s="13">
        <v>0.68330769548822368</v>
      </c>
      <c r="K108" s="4" t="s">
        <v>121</v>
      </c>
      <c r="L108" s="4"/>
      <c r="M108" s="4"/>
      <c r="N108" s="4"/>
      <c r="O108" s="4"/>
      <c r="P108" s="4"/>
      <c r="Q108" s="4"/>
      <c r="R108" s="4"/>
    </row>
    <row r="109" spans="1:18" ht="15">
      <c r="A109" s="4" t="s">
        <v>203</v>
      </c>
      <c r="B109" s="4" t="s">
        <v>207</v>
      </c>
      <c r="C109" s="10">
        <v>232</v>
      </c>
      <c r="D109" s="10">
        <v>15</v>
      </c>
      <c r="E109" s="13">
        <v>6.4655172413793108E-2</v>
      </c>
      <c r="F109" s="13">
        <v>3.9569871890817024E-2</v>
      </c>
      <c r="G109" s="13">
        <v>0.10392253605948808</v>
      </c>
      <c r="H109" s="24">
        <v>0.79723786066150604</v>
      </c>
      <c r="I109" s="13">
        <v>0.33963118246980595</v>
      </c>
      <c r="J109" s="13">
        <v>0.67032626714131405</v>
      </c>
      <c r="K109" s="4" t="s">
        <v>121</v>
      </c>
      <c r="L109" s="4"/>
      <c r="M109" s="4"/>
      <c r="N109" s="4"/>
      <c r="O109" s="4"/>
      <c r="P109" s="4"/>
      <c r="Q109" s="4"/>
      <c r="R109" s="4"/>
    </row>
    <row r="110" spans="1:18" ht="15">
      <c r="A110" s="4" t="s">
        <v>203</v>
      </c>
      <c r="B110" s="4" t="s">
        <v>208</v>
      </c>
      <c r="C110" s="10">
        <v>179</v>
      </c>
      <c r="D110" s="10">
        <v>19</v>
      </c>
      <c r="E110" s="13">
        <v>0.10614525139664804</v>
      </c>
      <c r="F110" s="13">
        <v>6.901248284853817E-2</v>
      </c>
      <c r="G110" s="13">
        <v>0.15982762316771551</v>
      </c>
      <c r="H110" s="24">
        <v>1.3088359366092805</v>
      </c>
      <c r="I110" s="13">
        <v>0.20566205035825325</v>
      </c>
      <c r="J110" s="13">
        <v>0.67032626714131405</v>
      </c>
      <c r="K110" s="4" t="s">
        <v>121</v>
      </c>
      <c r="L110" s="4"/>
      <c r="M110" s="4"/>
      <c r="N110" s="4"/>
      <c r="O110" s="4"/>
      <c r="P110" s="4"/>
      <c r="Q110" s="4"/>
      <c r="R110" s="4"/>
    </row>
    <row r="111" spans="1:18" ht="15">
      <c r="A111" s="4" t="s">
        <v>203</v>
      </c>
      <c r="B111" s="4" t="s">
        <v>209</v>
      </c>
      <c r="C111" s="10">
        <v>135</v>
      </c>
      <c r="D111" s="10">
        <v>10</v>
      </c>
      <c r="E111" s="13">
        <v>7.407407407407407E-2</v>
      </c>
      <c r="F111" s="13">
        <v>4.0730541592962438E-2</v>
      </c>
      <c r="G111" s="13">
        <v>0.13098660271826248</v>
      </c>
      <c r="H111" s="24">
        <v>0.91337868480725626</v>
      </c>
      <c r="I111" s="13">
        <v>0.75967397942415049</v>
      </c>
      <c r="J111" s="13">
        <v>0.75967397942415049</v>
      </c>
      <c r="K111" s="4" t="s">
        <v>121</v>
      </c>
      <c r="L111" s="4"/>
      <c r="M111" s="4"/>
      <c r="N111" s="4"/>
      <c r="O111" s="4"/>
      <c r="P111" s="4"/>
      <c r="Q111" s="4"/>
      <c r="R111" s="4"/>
    </row>
    <row r="112" spans="1:18" ht="15">
      <c r="A112" s="4" t="s">
        <v>203</v>
      </c>
      <c r="B112" s="4" t="s">
        <v>210</v>
      </c>
      <c r="C112" s="10">
        <v>89</v>
      </c>
      <c r="D112" s="10">
        <v>11</v>
      </c>
      <c r="E112" s="13">
        <v>0.12359550561797752</v>
      </c>
      <c r="F112" s="13">
        <v>7.0435170083323381E-2</v>
      </c>
      <c r="G112" s="13">
        <v>0.20790447633048464</v>
      </c>
      <c r="H112" s="24">
        <v>1.5240082549873881</v>
      </c>
      <c r="I112" s="13">
        <v>0.13603164672650975</v>
      </c>
      <c r="J112" s="13">
        <v>0.67032626714131405</v>
      </c>
      <c r="K112" s="4" t="s">
        <v>121</v>
      </c>
      <c r="L112" s="4"/>
      <c r="M112" s="4"/>
      <c r="N112" s="4"/>
      <c r="O112" s="4"/>
      <c r="P112" s="4"/>
      <c r="Q112" s="4"/>
      <c r="R112" s="4"/>
    </row>
    <row r="113" spans="1:18" ht="15">
      <c r="A113" s="4" t="s">
        <v>203</v>
      </c>
      <c r="B113" s="4" t="s">
        <v>211</v>
      </c>
      <c r="C113" s="10">
        <v>75</v>
      </c>
      <c r="D113" s="10">
        <v>4</v>
      </c>
      <c r="E113" s="13">
        <v>5.3333333333333337E-2</v>
      </c>
      <c r="F113" s="13">
        <v>2.093342774665434E-2</v>
      </c>
      <c r="G113" s="13">
        <v>0.12925987153798557</v>
      </c>
      <c r="H113" s="24">
        <v>0.65763265306122454</v>
      </c>
      <c r="I113" s="13">
        <v>0.37240348174517446</v>
      </c>
      <c r="J113" s="13">
        <v>0.67032626714131405</v>
      </c>
      <c r="K113" s="4" t="s">
        <v>121</v>
      </c>
      <c r="L113" s="4"/>
      <c r="M113" s="4"/>
      <c r="N113" s="4"/>
      <c r="O113" s="4"/>
      <c r="P113" s="4"/>
      <c r="Q113" s="4"/>
      <c r="R113" s="4"/>
    </row>
    <row r="114" spans="1:18" ht="15">
      <c r="A114" s="4" t="s">
        <v>212</v>
      </c>
      <c r="B114" s="4" t="s">
        <v>213</v>
      </c>
      <c r="C114" s="10">
        <v>2859</v>
      </c>
      <c r="D114" s="10">
        <v>233</v>
      </c>
      <c r="E114" s="13">
        <v>8.1497026932493874E-2</v>
      </c>
      <c r="F114" s="13">
        <v>7.2020724864059166E-2</v>
      </c>
      <c r="G114" s="13">
        <v>9.2096452275829827E-2</v>
      </c>
      <c r="H114" s="24">
        <v>1.0049082382165877</v>
      </c>
      <c r="I114" s="13">
        <v>0.7363543085159403</v>
      </c>
      <c r="J114" s="13">
        <v>0.7363543085159403</v>
      </c>
      <c r="K114" s="4" t="s">
        <v>121</v>
      </c>
      <c r="L114" s="4"/>
      <c r="M114" s="4"/>
      <c r="N114" s="4"/>
      <c r="O114" s="4"/>
      <c r="P114" s="4"/>
      <c r="Q114" s="4"/>
      <c r="R114" s="4"/>
    </row>
    <row r="115" spans="1:18" ht="15">
      <c r="A115" s="4" t="s">
        <v>212</v>
      </c>
      <c r="B115" s="4" t="s">
        <v>214</v>
      </c>
      <c r="C115" s="10">
        <v>162</v>
      </c>
      <c r="D115" s="10">
        <v>12</v>
      </c>
      <c r="E115" s="13">
        <v>7.407407407407407E-2</v>
      </c>
      <c r="F115" s="13">
        <v>4.2878450437987693E-2</v>
      </c>
      <c r="G115" s="13">
        <v>0.12500151768744944</v>
      </c>
      <c r="H115" s="24">
        <v>0.91337868480725626</v>
      </c>
      <c r="I115" s="13">
        <v>0.7363543085159403</v>
      </c>
      <c r="J115" s="13">
        <v>0.7363543085159403</v>
      </c>
      <c r="K115" s="4" t="s">
        <v>121</v>
      </c>
      <c r="L115" s="4"/>
      <c r="M115" s="4"/>
      <c r="N115" s="4"/>
      <c r="O115" s="4"/>
      <c r="P115" s="4"/>
      <c r="Q115" s="4"/>
      <c r="R115" s="4"/>
    </row>
  </sheetData>
  <conditionalFormatting sqref="J27:J115">
    <cfRule type="cellIs" dxfId="2" priority="1" operator="lessThan">
      <formula>0.05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workbookViewId="0">
      <pane ySplit="4" topLeftCell="A19" activePane="bottomLeft" state="frozen"/>
      <selection pane="bottomLeft"/>
    </sheetView>
  </sheetViews>
  <sheetFormatPr defaultRowHeight="14.25"/>
  <cols>
    <col min="1" max="1" width="31" customWidth="1"/>
    <col min="2" max="2" width="38" customWidth="1"/>
    <col min="3" max="7" width="17" customWidth="1"/>
    <col min="8" max="8" width="70" customWidth="1"/>
    <col min="9" max="11" width="14" customWidth="1"/>
  </cols>
  <sheetData>
    <row r="1" spans="1:11" ht="15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.75">
      <c r="A2" s="31" t="s">
        <v>215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">
      <c r="A4" s="1" t="s">
        <v>216</v>
      </c>
      <c r="B4" s="2" t="s">
        <v>217</v>
      </c>
      <c r="C4" s="3" t="s">
        <v>6</v>
      </c>
      <c r="D4" s="4"/>
      <c r="E4" s="4"/>
      <c r="F4" s="4"/>
      <c r="G4" s="4"/>
      <c r="H4" s="4"/>
      <c r="I4" s="4"/>
      <c r="J4" s="4"/>
      <c r="K4" s="4"/>
    </row>
    <row r="5" spans="1:11" ht="15">
      <c r="A5" s="5" t="s">
        <v>7</v>
      </c>
      <c r="B5" s="6">
        <f>SUM(Trends!B5:B10)</f>
        <v>3021</v>
      </c>
      <c r="C5" s="7" t="s">
        <v>218</v>
      </c>
      <c r="D5" s="4"/>
      <c r="E5" s="4"/>
      <c r="F5" s="4"/>
      <c r="G5" s="4"/>
      <c r="H5" s="4"/>
      <c r="I5" s="4"/>
      <c r="J5" s="4"/>
      <c r="K5" s="4"/>
    </row>
    <row r="6" spans="1:11" ht="15">
      <c r="A6" s="9" t="s">
        <v>219</v>
      </c>
      <c r="B6" s="10">
        <f>SUM(Trends!C5:C10)</f>
        <v>245</v>
      </c>
      <c r="C6" s="11" t="s">
        <v>220</v>
      </c>
      <c r="D6" s="4"/>
      <c r="E6" s="4"/>
      <c r="F6" s="4"/>
      <c r="G6" s="4"/>
      <c r="H6" s="4"/>
      <c r="I6" s="4"/>
      <c r="J6" s="4"/>
      <c r="K6" s="4"/>
    </row>
    <row r="7" spans="1:11" ht="15">
      <c r="A7" s="9" t="s">
        <v>221</v>
      </c>
      <c r="B7" s="13">
        <f>B6/B5</f>
        <v>8.1098973849718634E-2</v>
      </c>
      <c r="C7" s="11" t="s">
        <v>222</v>
      </c>
      <c r="D7" s="4"/>
      <c r="E7" s="4"/>
      <c r="F7" s="4"/>
      <c r="G7" s="4"/>
      <c r="H7" s="4"/>
      <c r="I7" s="4"/>
      <c r="J7" s="4"/>
      <c r="K7" s="4"/>
    </row>
    <row r="8" spans="1:11" ht="15">
      <c r="A8" s="9" t="s">
        <v>19</v>
      </c>
      <c r="B8" s="13">
        <f>9.6%</f>
        <v>9.6000000000000002E-2</v>
      </c>
      <c r="C8" s="11" t="s">
        <v>223</v>
      </c>
      <c r="D8" s="4"/>
      <c r="E8" s="4"/>
      <c r="F8" s="4"/>
      <c r="G8" s="4"/>
      <c r="H8" s="4"/>
      <c r="I8" s="4"/>
      <c r="J8" s="4"/>
      <c r="K8" s="4"/>
    </row>
    <row r="9" spans="1:11" ht="15">
      <c r="A9" s="9" t="s">
        <v>224</v>
      </c>
      <c r="B9" s="10">
        <f>ROUNDUP(B5*B8,0)</f>
        <v>291</v>
      </c>
      <c r="C9" s="11" t="s">
        <v>225</v>
      </c>
      <c r="D9" s="4"/>
      <c r="E9" s="4"/>
      <c r="F9" s="4"/>
      <c r="G9" s="4"/>
      <c r="H9" s="4"/>
      <c r="I9" s="4"/>
      <c r="J9" s="4"/>
      <c r="K9" s="4"/>
    </row>
    <row r="10" spans="1:11" ht="15">
      <c r="A10" s="9" t="s">
        <v>226</v>
      </c>
      <c r="B10" s="10">
        <f>B9-B6</f>
        <v>46</v>
      </c>
      <c r="C10" s="11" t="s">
        <v>227</v>
      </c>
      <c r="D10" s="4"/>
      <c r="E10" s="4"/>
      <c r="F10" s="4"/>
      <c r="G10" s="4"/>
      <c r="H10" s="4"/>
      <c r="I10" s="4"/>
      <c r="J10" s="4"/>
      <c r="K10" s="4"/>
    </row>
    <row r="11" spans="1:11" ht="15">
      <c r="A11" s="9" t="s">
        <v>228</v>
      </c>
      <c r="B11" s="25">
        <f>30</f>
        <v>30</v>
      </c>
      <c r="C11" s="11" t="s">
        <v>229</v>
      </c>
      <c r="D11" s="4"/>
      <c r="E11" s="4"/>
      <c r="F11" s="4"/>
      <c r="G11" s="4"/>
      <c r="H11" s="4"/>
      <c r="I11" s="4"/>
      <c r="J11" s="4"/>
      <c r="K11" s="4"/>
    </row>
    <row r="12" spans="1:11" ht="15">
      <c r="A12" s="14" t="s">
        <v>230</v>
      </c>
      <c r="B12" s="18">
        <f>33</f>
        <v>33</v>
      </c>
      <c r="C12" s="17" t="s">
        <v>231</v>
      </c>
      <c r="D12" s="4"/>
      <c r="E12" s="4"/>
      <c r="F12" s="4"/>
      <c r="G12" s="4"/>
      <c r="H12" s="4"/>
      <c r="I12" s="4"/>
      <c r="J12" s="4"/>
      <c r="K12" s="4"/>
    </row>
    <row r="13" spans="1:11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5">
      <c r="A15" s="1" t="s">
        <v>232</v>
      </c>
      <c r="B15" s="2" t="s">
        <v>233</v>
      </c>
      <c r="C15" s="2" t="s">
        <v>234</v>
      </c>
      <c r="D15" s="2" t="s">
        <v>235</v>
      </c>
      <c r="E15" s="2" t="s">
        <v>236</v>
      </c>
      <c r="F15" s="2" t="s">
        <v>95</v>
      </c>
      <c r="G15" s="2" t="s">
        <v>237</v>
      </c>
      <c r="H15" s="3" t="s">
        <v>216</v>
      </c>
      <c r="I15" s="4"/>
      <c r="J15" s="4"/>
      <c r="K15" s="4"/>
    </row>
    <row r="16" spans="1:11" ht="54" customHeight="1">
      <c r="A16" s="4" t="s">
        <v>238</v>
      </c>
      <c r="B16" s="10">
        <v>3021</v>
      </c>
      <c r="C16" s="13">
        <v>9.6000000000000002E-2</v>
      </c>
      <c r="D16" s="26">
        <v>46</v>
      </c>
      <c r="E16" s="26">
        <f>$B$6+D16</f>
        <v>291</v>
      </c>
      <c r="F16" s="13">
        <f>E16/$B$5</f>
        <v>9.6325719960278056E-2</v>
      </c>
      <c r="G16" s="4" t="str">
        <f>IF(E16&gt;=$B$9,"Yes","No")</f>
        <v>Yes</v>
      </c>
      <c r="H16" s="20" t="s">
        <v>239</v>
      </c>
      <c r="I16" s="4"/>
      <c r="J16" s="4"/>
      <c r="K16" s="4"/>
    </row>
    <row r="17" spans="1:11" ht="54" customHeight="1">
      <c r="A17" s="4" t="s">
        <v>240</v>
      </c>
      <c r="B17" s="10">
        <v>344</v>
      </c>
      <c r="C17" s="13">
        <v>0.14497041420118342</v>
      </c>
      <c r="D17" s="26">
        <v>46.047600262984879</v>
      </c>
      <c r="E17" s="26">
        <f>$B$6+D17</f>
        <v>291.04760026298487</v>
      </c>
      <c r="F17" s="13">
        <f>E17/$B$5</f>
        <v>9.6341476419392544E-2</v>
      </c>
      <c r="G17" s="4" t="str">
        <f>IF(E17&gt;=$B$9,"Yes","No")</f>
        <v>Yes</v>
      </c>
      <c r="H17" s="20" t="s">
        <v>241</v>
      </c>
      <c r="I17" s="4"/>
      <c r="J17" s="4"/>
      <c r="K17" s="4"/>
    </row>
    <row r="18" spans="1:11" ht="54" customHeight="1">
      <c r="A18" s="4" t="s">
        <v>242</v>
      </c>
      <c r="B18" s="10">
        <v>513</v>
      </c>
      <c r="C18" s="13">
        <v>0.11142534477651198</v>
      </c>
      <c r="D18" s="26">
        <v>46</v>
      </c>
      <c r="E18" s="26">
        <f>$B$6+D18</f>
        <v>291</v>
      </c>
      <c r="F18" s="13">
        <f>E18/$B$5</f>
        <v>9.6325719960278056E-2</v>
      </c>
      <c r="G18" s="4" t="str">
        <f>IF(E18&gt;=$B$9,"Yes","No")</f>
        <v>Yes</v>
      </c>
      <c r="H18" s="20" t="s">
        <v>243</v>
      </c>
      <c r="I18" s="4"/>
      <c r="J18" s="4"/>
      <c r="K18" s="4"/>
    </row>
    <row r="19" spans="1:11" ht="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">
      <c r="A23" s="1" t="s">
        <v>131</v>
      </c>
      <c r="B23" s="2" t="s">
        <v>244</v>
      </c>
      <c r="C23" s="2" t="s">
        <v>245</v>
      </c>
      <c r="D23" s="2" t="s">
        <v>246</v>
      </c>
      <c r="E23" s="3" t="s">
        <v>247</v>
      </c>
      <c r="F23" s="4"/>
      <c r="G23" s="46" t="s">
        <v>248</v>
      </c>
      <c r="H23" s="46"/>
      <c r="I23" s="46"/>
      <c r="J23" s="46"/>
      <c r="K23" s="46"/>
    </row>
    <row r="24" spans="1:11" ht="34.15" customHeight="1">
      <c r="A24" s="4" t="s">
        <v>154</v>
      </c>
      <c r="B24" s="4" t="s">
        <v>156</v>
      </c>
      <c r="C24" s="13">
        <v>0.14497041420118342</v>
      </c>
      <c r="D24" s="13">
        <v>0.11142534477651198</v>
      </c>
      <c r="E24" s="26">
        <v>100.83824781284871</v>
      </c>
      <c r="F24" s="4"/>
      <c r="G24" s="40" t="s">
        <v>249</v>
      </c>
      <c r="H24" s="40"/>
      <c r="I24" s="40"/>
      <c r="J24" s="40"/>
      <c r="K24" s="40"/>
    </row>
    <row r="25" spans="1:11" ht="34.15" customHeight="1">
      <c r="A25" s="4" t="s">
        <v>117</v>
      </c>
      <c r="B25" s="4" t="s">
        <v>120</v>
      </c>
      <c r="C25" s="13">
        <v>0.14497041420118342</v>
      </c>
      <c r="D25" s="13">
        <v>0.11142534477651198</v>
      </c>
      <c r="E25" s="26">
        <v>83.506230434960784</v>
      </c>
      <c r="F25" s="4"/>
      <c r="G25" s="40" t="s">
        <v>250</v>
      </c>
      <c r="H25" s="40"/>
      <c r="I25" s="40"/>
      <c r="J25" s="40"/>
      <c r="K25" s="40"/>
    </row>
    <row r="26" spans="1:11" ht="34.15" customHeight="1">
      <c r="A26" s="4" t="s">
        <v>141</v>
      </c>
      <c r="B26" s="4" t="s">
        <v>150</v>
      </c>
      <c r="C26" s="13">
        <v>0.13740458015267176</v>
      </c>
      <c r="D26" s="13">
        <v>8.8714815543127656E-2</v>
      </c>
      <c r="E26" s="26">
        <v>38.850342389641014</v>
      </c>
      <c r="F26" s="4"/>
      <c r="G26" s="40" t="s">
        <v>251</v>
      </c>
      <c r="H26" s="40"/>
      <c r="I26" s="40"/>
      <c r="J26" s="40"/>
      <c r="K26" s="40"/>
    </row>
    <row r="27" spans="1:11" ht="34.15" customHeight="1">
      <c r="A27" s="4" t="s">
        <v>192</v>
      </c>
      <c r="B27" s="4" t="s">
        <v>198</v>
      </c>
      <c r="C27" s="13">
        <v>0.14130434782608695</v>
      </c>
      <c r="D27" s="13">
        <v>8.4476933783828964E-2</v>
      </c>
      <c r="E27" s="26">
        <v>22.399423244692667</v>
      </c>
      <c r="F27" s="4"/>
      <c r="G27" s="40" t="s">
        <v>252</v>
      </c>
      <c r="H27" s="40"/>
      <c r="I27" s="40"/>
      <c r="J27" s="40"/>
      <c r="K27" s="40"/>
    </row>
    <row r="28" spans="1:11" ht="15">
      <c r="A28" s="4" t="s">
        <v>166</v>
      </c>
      <c r="B28" s="4" t="s">
        <v>134</v>
      </c>
      <c r="C28" s="13">
        <v>9.1523341523341517E-2</v>
      </c>
      <c r="D28" s="13">
        <v>7.8461457359683878E-2</v>
      </c>
      <c r="E28" s="26">
        <v>18.729167996395322</v>
      </c>
      <c r="F28" s="4"/>
      <c r="G28" s="4"/>
      <c r="H28" s="4"/>
      <c r="I28" s="4"/>
      <c r="J28" s="4"/>
      <c r="K28" s="4"/>
    </row>
    <row r="29" spans="1:11" ht="15">
      <c r="A29" s="4" t="s">
        <v>91</v>
      </c>
      <c r="B29" s="4" t="s">
        <v>165</v>
      </c>
      <c r="C29" s="13">
        <v>0.12280701754385964</v>
      </c>
      <c r="D29" s="13">
        <v>8.1743307084909136E-2</v>
      </c>
      <c r="E29" s="26">
        <v>13.570759050725945</v>
      </c>
      <c r="F29" s="4"/>
      <c r="G29" s="4"/>
      <c r="H29" s="4"/>
      <c r="I29" s="4"/>
      <c r="J29" s="4"/>
      <c r="K29" s="4"/>
    </row>
    <row r="30" spans="1:11" ht="15">
      <c r="A30" s="4" t="s">
        <v>133</v>
      </c>
      <c r="B30" s="4" t="s">
        <v>134</v>
      </c>
      <c r="C30" s="13">
        <v>8.9729729729729729E-2</v>
      </c>
      <c r="D30" s="13">
        <v>7.7542491842612762E-2</v>
      </c>
      <c r="E30" s="26">
        <v>11.802257947699545</v>
      </c>
      <c r="F30" s="4"/>
      <c r="G30" s="4"/>
      <c r="H30" s="4"/>
      <c r="I30" s="4"/>
      <c r="J30" s="4"/>
      <c r="K30" s="4"/>
    </row>
    <row r="31" spans="1:11" ht="15">
      <c r="A31" s="4" t="s">
        <v>203</v>
      </c>
      <c r="B31" s="4" t="s">
        <v>205</v>
      </c>
      <c r="C31" s="13">
        <v>9.1935483870967741E-2</v>
      </c>
      <c r="D31" s="13">
        <v>7.1636328213260353E-2</v>
      </c>
      <c r="E31" s="26">
        <v>2.9923527614709267</v>
      </c>
      <c r="F31" s="4"/>
      <c r="G31" s="4"/>
      <c r="H31" s="4"/>
      <c r="I31" s="4"/>
      <c r="J31" s="4"/>
      <c r="K31" s="4"/>
    </row>
    <row r="32" spans="1:11" ht="15">
      <c r="A32" s="4" t="s">
        <v>138</v>
      </c>
      <c r="B32" s="4" t="s">
        <v>139</v>
      </c>
      <c r="C32" s="13">
        <v>8.3195592286501377E-2</v>
      </c>
      <c r="D32" s="13">
        <v>7.1353140637360993E-2</v>
      </c>
      <c r="E32" s="26">
        <v>0</v>
      </c>
      <c r="F32" s="4"/>
      <c r="G32" s="4"/>
      <c r="H32" s="4"/>
      <c r="I32" s="4"/>
      <c r="J32" s="4"/>
      <c r="K32" s="4"/>
    </row>
    <row r="33" spans="1:11" ht="15">
      <c r="A33" s="4" t="s">
        <v>167</v>
      </c>
      <c r="B33" s="4" t="s">
        <v>155</v>
      </c>
      <c r="C33" s="13">
        <v>7.963636363636363E-2</v>
      </c>
      <c r="D33" s="13">
        <v>7.0094294998890569E-2</v>
      </c>
      <c r="E33" s="26">
        <v>0</v>
      </c>
      <c r="F33" s="4"/>
      <c r="G33" s="4"/>
      <c r="H33" s="4"/>
      <c r="I33" s="4"/>
      <c r="J33" s="4"/>
      <c r="K33" s="4"/>
    </row>
    <row r="34" spans="1:11" ht="15">
      <c r="A34" s="4" t="s">
        <v>169</v>
      </c>
      <c r="B34" s="4" t="s">
        <v>170</v>
      </c>
      <c r="C34" s="13">
        <v>7.963636363636363E-2</v>
      </c>
      <c r="D34" s="13">
        <v>7.0094294998890569E-2</v>
      </c>
      <c r="E34" s="26">
        <v>0</v>
      </c>
      <c r="F34" s="4"/>
      <c r="G34" s="4"/>
      <c r="H34" s="4"/>
      <c r="I34" s="4"/>
      <c r="J34" s="4"/>
      <c r="K34" s="4"/>
    </row>
    <row r="35" spans="1:11" ht="15">
      <c r="A35" s="4" t="s">
        <v>212</v>
      </c>
      <c r="B35" s="4" t="s">
        <v>213</v>
      </c>
      <c r="C35" s="13">
        <v>8.1497026932493874E-2</v>
      </c>
      <c r="D35" s="13">
        <v>7.2020724864059166E-2</v>
      </c>
      <c r="E35" s="26">
        <v>0</v>
      </c>
      <c r="F35" s="4"/>
      <c r="G35" s="4"/>
      <c r="H35" s="4"/>
      <c r="I35" s="4"/>
      <c r="J35" s="4"/>
      <c r="K35" s="4"/>
    </row>
  </sheetData>
  <mergeCells count="5">
    <mergeCell ref="G23:K23"/>
    <mergeCell ref="G24:K24"/>
    <mergeCell ref="G25:K25"/>
    <mergeCell ref="G26:K26"/>
    <mergeCell ref="G27:K27"/>
  </mergeCells>
  <conditionalFormatting sqref="G16:G18">
    <cfRule type="containsText" dxfId="1" priority="1" operator="containsText" text="No"/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4"/>
  <sheetViews>
    <sheetView tabSelected="1" workbookViewId="0">
      <pane ySplit="4" topLeftCell="A5" activePane="bottomLeft" state="frozen"/>
      <selection pane="bottomLeft" activeCell="E11" sqref="E11"/>
    </sheetView>
  </sheetViews>
  <sheetFormatPr defaultRowHeight="14.25"/>
  <cols>
    <col min="1" max="1" width="48" customWidth="1"/>
    <col min="2" max="2" width="18" customWidth="1"/>
    <col min="3" max="3" width="32.75" bestFit="1" customWidth="1"/>
    <col min="4" max="7" width="18" customWidth="1"/>
    <col min="8" max="8" width="28" customWidth="1"/>
    <col min="9" max="9" width="3" customWidth="1"/>
    <col min="10" max="10" width="24" customWidth="1"/>
    <col min="11" max="11" width="64" customWidth="1"/>
    <col min="12" max="13" width="14" customWidth="1"/>
  </cols>
  <sheetData>
    <row r="1" spans="1:13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8.75">
      <c r="A2" s="31" t="s">
        <v>253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">
      <c r="A4" s="1" t="s">
        <v>0</v>
      </c>
      <c r="B4" s="2" t="s">
        <v>217</v>
      </c>
      <c r="C4" s="3" t="s">
        <v>254</v>
      </c>
      <c r="D4" s="4"/>
      <c r="E4" s="4"/>
      <c r="F4" s="4"/>
      <c r="G4" s="4"/>
      <c r="H4" s="4"/>
      <c r="I4" s="4"/>
      <c r="J4" s="19" t="s">
        <v>255</v>
      </c>
      <c r="K4" s="19"/>
      <c r="L4" s="19"/>
      <c r="M4" s="19"/>
    </row>
    <row r="5" spans="1:13" ht="31.9" customHeight="1">
      <c r="A5" s="4" t="s">
        <v>256</v>
      </c>
      <c r="B5" s="10">
        <v>3021</v>
      </c>
      <c r="C5" s="4" t="s">
        <v>257</v>
      </c>
      <c r="D5" s="4"/>
      <c r="E5" s="4"/>
      <c r="F5" s="4"/>
      <c r="G5" s="4"/>
      <c r="H5" s="4"/>
      <c r="I5" s="4"/>
      <c r="J5" s="4" t="s">
        <v>258</v>
      </c>
      <c r="K5" s="20" t="s">
        <v>259</v>
      </c>
      <c r="L5" s="20"/>
      <c r="M5" s="20"/>
    </row>
    <row r="6" spans="1:13" ht="31.9" customHeight="1">
      <c r="A6" s="4" t="s">
        <v>260</v>
      </c>
      <c r="B6" s="10">
        <v>245</v>
      </c>
      <c r="C6" s="4" t="s">
        <v>261</v>
      </c>
      <c r="D6" s="4"/>
      <c r="E6" s="4"/>
      <c r="F6" s="4"/>
      <c r="G6" s="4"/>
      <c r="H6" s="4"/>
      <c r="I6" s="4"/>
      <c r="J6" s="4" t="s">
        <v>262</v>
      </c>
      <c r="K6" s="20" t="s">
        <v>263</v>
      </c>
      <c r="L6" s="20"/>
      <c r="M6" s="20"/>
    </row>
    <row r="7" spans="1:13" ht="31.9" customHeight="1">
      <c r="A7" s="4" t="s">
        <v>264</v>
      </c>
      <c r="B7" s="10">
        <v>25</v>
      </c>
      <c r="C7" s="4" t="s">
        <v>265</v>
      </c>
      <c r="D7" s="4"/>
      <c r="E7" s="4"/>
      <c r="F7" s="4"/>
      <c r="G7" s="4"/>
      <c r="H7" s="4"/>
      <c r="I7" s="4"/>
      <c r="J7" s="4" t="s">
        <v>266</v>
      </c>
      <c r="K7" s="20" t="s">
        <v>267</v>
      </c>
      <c r="L7" s="20"/>
      <c r="M7" s="20"/>
    </row>
    <row r="8" spans="1:13" ht="31.9" customHeight="1">
      <c r="A8" s="4" t="s">
        <v>268</v>
      </c>
      <c r="B8" s="10">
        <v>25</v>
      </c>
      <c r="C8" s="4" t="s">
        <v>269</v>
      </c>
      <c r="D8" s="4"/>
      <c r="E8" s="4"/>
      <c r="F8" s="4"/>
      <c r="G8" s="4"/>
      <c r="H8" s="4"/>
      <c r="I8" s="4"/>
      <c r="J8" s="4" t="s">
        <v>270</v>
      </c>
      <c r="K8" s="20" t="s">
        <v>271</v>
      </c>
      <c r="L8" s="20"/>
      <c r="M8" s="20"/>
    </row>
    <row r="9" spans="1:13" ht="31.9" customHeight="1">
      <c r="A9" s="4" t="s">
        <v>272</v>
      </c>
      <c r="B9" s="27">
        <v>9.8000000000000007</v>
      </c>
      <c r="C9" s="4" t="s">
        <v>273</v>
      </c>
      <c r="D9" s="4"/>
      <c r="E9" s="4"/>
      <c r="F9" s="4"/>
      <c r="G9" s="4"/>
      <c r="H9" s="4"/>
      <c r="I9" s="4"/>
      <c r="J9" s="4" t="s">
        <v>274</v>
      </c>
      <c r="K9" s="20" t="s">
        <v>275</v>
      </c>
      <c r="L9" s="20"/>
      <c r="M9" s="20"/>
    </row>
    <row r="10" spans="1:13" ht="31.9" customHeight="1">
      <c r="A10" s="4" t="s">
        <v>276</v>
      </c>
      <c r="B10" s="22">
        <v>0.62424131035699582</v>
      </c>
      <c r="C10" s="4" t="s">
        <v>277</v>
      </c>
      <c r="D10" s="4"/>
      <c r="E10" s="4"/>
      <c r="F10" s="4"/>
      <c r="G10" s="4"/>
      <c r="H10" s="4"/>
      <c r="I10" s="4"/>
      <c r="J10" s="4" t="s">
        <v>278</v>
      </c>
      <c r="K10" s="20" t="s">
        <v>279</v>
      </c>
      <c r="L10" s="20"/>
      <c r="M10" s="20"/>
    </row>
    <row r="11" spans="1:13" ht="31.9" customHeight="1">
      <c r="A11" s="4" t="s">
        <v>280</v>
      </c>
      <c r="B11" s="22">
        <v>7.3488843173421914E-2</v>
      </c>
      <c r="C11" s="4" t="s">
        <v>281</v>
      </c>
      <c r="D11" s="4"/>
      <c r="E11" s="4"/>
      <c r="F11" s="4"/>
      <c r="G11" s="4"/>
      <c r="H11" s="4"/>
      <c r="I11" s="4"/>
      <c r="J11" s="4" t="s">
        <v>282</v>
      </c>
      <c r="K11" s="20" t="s">
        <v>283</v>
      </c>
      <c r="L11" s="20"/>
      <c r="M11" s="20"/>
    </row>
    <row r="12" spans="1:13" ht="31.9" customHeight="1">
      <c r="A12" s="4" t="s">
        <v>284</v>
      </c>
      <c r="B12" s="10">
        <v>592</v>
      </c>
      <c r="C12" s="4" t="s">
        <v>285</v>
      </c>
      <c r="D12" s="4"/>
      <c r="E12" s="4"/>
      <c r="F12" s="4"/>
      <c r="G12" s="4"/>
      <c r="H12" s="4"/>
      <c r="I12" s="4"/>
      <c r="J12" s="4"/>
      <c r="K12" s="20"/>
      <c r="L12" s="20"/>
      <c r="M12" s="20"/>
    </row>
    <row r="13" spans="1:13" ht="15">
      <c r="A13" s="4" t="s">
        <v>286</v>
      </c>
      <c r="B13" s="10">
        <v>31</v>
      </c>
      <c r="C13" s="4" t="s">
        <v>287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">
      <c r="A14" s="4" t="s">
        <v>288</v>
      </c>
      <c r="B14" s="22">
        <v>0.60907940888965562</v>
      </c>
      <c r="C14" s="4" t="s">
        <v>289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">
      <c r="A15" s="4" t="s">
        <v>290</v>
      </c>
      <c r="B15" s="22">
        <v>5.1009553695323423E-2</v>
      </c>
      <c r="C15" s="4" t="s">
        <v>289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">
      <c r="A16" s="4" t="s">
        <v>291</v>
      </c>
      <c r="B16" s="10">
        <v>100</v>
      </c>
      <c r="C16" s="4" t="s">
        <v>292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5">
      <c r="A17" s="4" t="s">
        <v>293</v>
      </c>
      <c r="B17" s="10">
        <v>1</v>
      </c>
      <c r="C17" s="4" t="s">
        <v>294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5.5">
      <c r="A20" s="1" t="s">
        <v>295</v>
      </c>
      <c r="B20" s="2" t="s">
        <v>296</v>
      </c>
      <c r="C20" s="2" t="s">
        <v>102</v>
      </c>
      <c r="D20" s="2" t="s">
        <v>103</v>
      </c>
      <c r="E20" s="2" t="s">
        <v>104</v>
      </c>
      <c r="F20" s="2" t="s">
        <v>118</v>
      </c>
      <c r="G20" s="2" t="s">
        <v>297</v>
      </c>
      <c r="H20" s="3" t="s">
        <v>248</v>
      </c>
      <c r="I20" s="4"/>
      <c r="J20" s="4"/>
      <c r="K20" s="4"/>
      <c r="L20" s="4"/>
      <c r="M20" s="4"/>
    </row>
    <row r="21" spans="1:13" ht="15">
      <c r="A21" s="4" t="s">
        <v>298</v>
      </c>
      <c r="B21" s="22">
        <v>0.38063121307062359</v>
      </c>
      <c r="C21" s="22">
        <v>0.21708766773628557</v>
      </c>
      <c r="D21" s="22">
        <v>0.66738070326321985</v>
      </c>
      <c r="E21" s="22">
        <v>7.4769937747273482E-4</v>
      </c>
      <c r="F21" s="22">
        <v>9.3462422184091842E-3</v>
      </c>
      <c r="G21" s="28">
        <v>1</v>
      </c>
      <c r="H21" s="20" t="s">
        <v>299</v>
      </c>
      <c r="I21" s="4"/>
      <c r="J21" s="4"/>
      <c r="K21" s="4"/>
      <c r="L21" s="4"/>
      <c r="M21" s="4"/>
    </row>
    <row r="22" spans="1:13" ht="15">
      <c r="A22" s="4" t="s">
        <v>300</v>
      </c>
      <c r="B22" s="22">
        <v>0.23337725026590436</v>
      </c>
      <c r="C22" s="22">
        <v>0.10099494339740049</v>
      </c>
      <c r="D22" s="22">
        <v>0.53928384045291156</v>
      </c>
      <c r="E22" s="22">
        <v>6.6175025364871869E-4</v>
      </c>
      <c r="F22" s="22">
        <v>9.3462422184091842E-3</v>
      </c>
      <c r="G22" s="28">
        <v>1</v>
      </c>
      <c r="H22" s="20" t="s">
        <v>299</v>
      </c>
      <c r="I22" s="4"/>
      <c r="J22" s="4"/>
      <c r="K22" s="4"/>
      <c r="L22" s="4"/>
      <c r="M22" s="4"/>
    </row>
    <row r="23" spans="1:13" ht="15">
      <c r="A23" s="4" t="s">
        <v>301</v>
      </c>
      <c r="B23" s="22">
        <v>0.37989512267081355</v>
      </c>
      <c r="C23" s="22">
        <v>0.2011212020100859</v>
      </c>
      <c r="D23" s="22">
        <v>0.71757876736354753</v>
      </c>
      <c r="E23" s="22">
        <v>2.8570185064653066E-3</v>
      </c>
      <c r="F23" s="22">
        <v>1.7856365665408165E-2</v>
      </c>
      <c r="G23" s="28">
        <v>1</v>
      </c>
      <c r="H23" s="20" t="s">
        <v>299</v>
      </c>
      <c r="I23" s="4"/>
      <c r="J23" s="4"/>
      <c r="K23" s="4"/>
      <c r="L23" s="4"/>
      <c r="M23" s="4"/>
    </row>
    <row r="24" spans="1:13" ht="15">
      <c r="A24" s="4" t="s">
        <v>302</v>
      </c>
      <c r="B24" s="22">
        <v>0.52910423078816438</v>
      </c>
      <c r="C24" s="22">
        <v>0.32092654126285919</v>
      </c>
      <c r="D24" s="22">
        <v>0.87232201467761217</v>
      </c>
      <c r="E24" s="22">
        <v>1.2580043105479478E-2</v>
      </c>
      <c r="F24" s="22">
        <v>6.2900215527397385E-2</v>
      </c>
      <c r="G24" s="28">
        <v>1</v>
      </c>
      <c r="H24" s="20" t="s">
        <v>303</v>
      </c>
      <c r="I24" s="4"/>
      <c r="J24" s="4"/>
      <c r="K24" s="4"/>
      <c r="L24" s="4"/>
      <c r="M24" s="4"/>
    </row>
    <row r="25" spans="1:13" ht="15">
      <c r="A25" s="4" t="s">
        <v>304</v>
      </c>
      <c r="B25" s="22">
        <v>1.250249367583429</v>
      </c>
      <c r="C25" s="22">
        <v>1.0203323750452757</v>
      </c>
      <c r="D25" s="22">
        <v>1.5319747950499003</v>
      </c>
      <c r="E25" s="22">
        <v>3.1232434512998848E-2</v>
      </c>
      <c r="F25" s="22">
        <v>0.13013514380416188</v>
      </c>
      <c r="G25" s="28">
        <v>1</v>
      </c>
      <c r="H25" s="20" t="s">
        <v>303</v>
      </c>
      <c r="I25" s="4"/>
      <c r="J25" s="4"/>
      <c r="K25" s="4"/>
      <c r="L25" s="4"/>
      <c r="M25" s="4"/>
    </row>
    <row r="26" spans="1:13" ht="15">
      <c r="A26" s="4" t="s">
        <v>305</v>
      </c>
      <c r="B26" s="22">
        <v>0.5906790433721647</v>
      </c>
      <c r="C26" s="22">
        <v>0.35298141241228836</v>
      </c>
      <c r="D26" s="22">
        <v>0.9884422238968561</v>
      </c>
      <c r="E26" s="22">
        <v>4.5046662607846219E-2</v>
      </c>
      <c r="F26" s="22">
        <v>0.16088093788516505</v>
      </c>
      <c r="G26" s="28">
        <v>0.99</v>
      </c>
      <c r="H26" s="20" t="s">
        <v>303</v>
      </c>
      <c r="I26" s="4"/>
      <c r="J26" s="4"/>
      <c r="K26" s="4"/>
      <c r="L26" s="4"/>
      <c r="M26" s="4"/>
    </row>
    <row r="27" spans="1:13" ht="15">
      <c r="A27" s="4" t="s">
        <v>306</v>
      </c>
      <c r="B27" s="22">
        <v>0.61967501934504565</v>
      </c>
      <c r="C27" s="22">
        <v>0.37777164252852907</v>
      </c>
      <c r="D27" s="22">
        <v>1.0164794981171292</v>
      </c>
      <c r="E27" s="22">
        <v>5.8061611511243207E-2</v>
      </c>
      <c r="F27" s="22">
        <v>0.18144253597263502</v>
      </c>
      <c r="G27" s="28">
        <v>0.96</v>
      </c>
      <c r="H27" s="20" t="s">
        <v>303</v>
      </c>
      <c r="I27" s="4"/>
      <c r="J27" s="4"/>
      <c r="K27" s="4"/>
      <c r="L27" s="4"/>
      <c r="M27" s="4"/>
    </row>
    <row r="28" spans="1:13" ht="15">
      <c r="A28" s="4" t="s">
        <v>307</v>
      </c>
      <c r="B28" s="22">
        <v>0.61876958136200311</v>
      </c>
      <c r="C28" s="22">
        <v>0.34843341565623409</v>
      </c>
      <c r="D28" s="22">
        <v>1.0988492423948668</v>
      </c>
      <c r="E28" s="22">
        <v>0.10136856121889966</v>
      </c>
      <c r="F28" s="22">
        <v>0.28157933671916574</v>
      </c>
      <c r="G28" s="28">
        <v>0.96</v>
      </c>
      <c r="H28" s="20" t="s">
        <v>303</v>
      </c>
      <c r="I28" s="4"/>
      <c r="J28" s="4"/>
      <c r="K28" s="4"/>
      <c r="L28" s="4"/>
      <c r="M28" s="4"/>
    </row>
    <row r="29" spans="1:13" ht="15">
      <c r="A29" s="4" t="s">
        <v>308</v>
      </c>
      <c r="B29" s="22">
        <v>0.85671486265151875</v>
      </c>
      <c r="C29" s="22">
        <v>0.69278331861208742</v>
      </c>
      <c r="D29" s="22">
        <v>1.0594371085008467</v>
      </c>
      <c r="E29" s="22">
        <v>0.15353755735061828</v>
      </c>
      <c r="F29" s="22">
        <v>0.38384389337654568</v>
      </c>
      <c r="G29" s="28">
        <v>0.93</v>
      </c>
      <c r="H29" s="20" t="s">
        <v>303</v>
      </c>
      <c r="I29" s="4"/>
      <c r="J29" s="4"/>
      <c r="K29" s="4"/>
      <c r="L29" s="4"/>
      <c r="M29" s="4"/>
    </row>
    <row r="30" spans="1:13" ht="15">
      <c r="A30" s="4" t="s">
        <v>309</v>
      </c>
      <c r="B30" s="22">
        <v>0.60446637631897238</v>
      </c>
      <c r="C30" s="22">
        <v>0.29307031148872936</v>
      </c>
      <c r="D30" s="22">
        <v>1.2467301728521925</v>
      </c>
      <c r="E30" s="22">
        <v>0.17290749544800976</v>
      </c>
      <c r="F30" s="22">
        <v>0.39297158056365855</v>
      </c>
      <c r="G30" s="28">
        <v>0.95</v>
      </c>
      <c r="H30" s="20" t="s">
        <v>303</v>
      </c>
      <c r="I30" s="4"/>
      <c r="J30" s="4"/>
      <c r="K30" s="4"/>
      <c r="L30" s="4"/>
      <c r="M30" s="4"/>
    </row>
    <row r="31" spans="1:13" ht="15">
      <c r="A31" s="4" t="s">
        <v>310</v>
      </c>
      <c r="B31" s="22">
        <v>0.53365578504705147</v>
      </c>
      <c r="C31" s="22">
        <v>0.18214295166721914</v>
      </c>
      <c r="D31" s="22">
        <v>1.5635438775281418</v>
      </c>
      <c r="E31" s="22">
        <v>0.2521947409435924</v>
      </c>
      <c r="F31" s="22">
        <v>0.52540571029915084</v>
      </c>
      <c r="G31" s="28">
        <v>0.92</v>
      </c>
      <c r="H31" s="20" t="s">
        <v>303</v>
      </c>
      <c r="I31" s="4"/>
      <c r="J31" s="4"/>
      <c r="K31" s="4"/>
      <c r="L31" s="4"/>
      <c r="M31" s="4"/>
    </row>
    <row r="32" spans="1:13" ht="15">
      <c r="A32" s="4" t="s">
        <v>311</v>
      </c>
      <c r="B32" s="22">
        <v>0.76893727964347414</v>
      </c>
      <c r="C32" s="22">
        <v>0.45531087673806814</v>
      </c>
      <c r="D32" s="22">
        <v>1.2985952460908372</v>
      </c>
      <c r="E32" s="22">
        <v>0.32574648938240258</v>
      </c>
      <c r="F32" s="22">
        <v>0.61261425156776028</v>
      </c>
      <c r="G32" s="28">
        <v>0.8</v>
      </c>
      <c r="H32" s="20" t="s">
        <v>303</v>
      </c>
      <c r="I32" s="4"/>
      <c r="J32" s="4"/>
      <c r="K32" s="4"/>
      <c r="L32" s="4"/>
      <c r="M32" s="4"/>
    </row>
    <row r="33" spans="1:13" ht="15">
      <c r="A33" s="4" t="s">
        <v>312</v>
      </c>
      <c r="B33" s="22">
        <v>1.0960952518337759</v>
      </c>
      <c r="C33" s="22">
        <v>0.9067221248274473</v>
      </c>
      <c r="D33" s="22">
        <v>1.3250198359515979</v>
      </c>
      <c r="E33" s="22">
        <v>0.34306398087794576</v>
      </c>
      <c r="F33" s="22">
        <v>0.61261425156776028</v>
      </c>
      <c r="G33" s="28">
        <v>0.86</v>
      </c>
      <c r="H33" s="20" t="s">
        <v>303</v>
      </c>
      <c r="I33" s="4"/>
      <c r="J33" s="4"/>
      <c r="K33" s="4"/>
      <c r="L33" s="4"/>
      <c r="M33" s="4"/>
    </row>
    <row r="34" spans="1:13" ht="15">
      <c r="A34" s="4" t="s">
        <v>313</v>
      </c>
      <c r="B34" s="22">
        <v>1.3381232273392465</v>
      </c>
      <c r="C34" s="22">
        <v>0.67830717620842307</v>
      </c>
      <c r="D34" s="22">
        <v>2.6397682854450775</v>
      </c>
      <c r="E34" s="22">
        <v>0.40077676882873581</v>
      </c>
      <c r="F34" s="22">
        <v>0.66796128138122635</v>
      </c>
      <c r="G34" s="28">
        <v>0.8</v>
      </c>
      <c r="H34" s="20" t="s">
        <v>303</v>
      </c>
      <c r="I34" s="4"/>
      <c r="J34" s="4"/>
      <c r="K34" s="4"/>
      <c r="L34" s="4"/>
      <c r="M34" s="4"/>
    </row>
    <row r="35" spans="1:13" ht="15">
      <c r="A35" s="4" t="s">
        <v>314</v>
      </c>
      <c r="B35" s="22">
        <v>0.73470996440452307</v>
      </c>
      <c r="C35" s="22">
        <v>0.33394495088706372</v>
      </c>
      <c r="D35" s="22">
        <v>1.6164302839777003</v>
      </c>
      <c r="E35" s="22">
        <v>0.44350584410746052</v>
      </c>
      <c r="F35" s="22">
        <v>0.69297788141790706</v>
      </c>
      <c r="G35" s="28">
        <v>0.76</v>
      </c>
      <c r="H35" s="20" t="s">
        <v>303</v>
      </c>
      <c r="I35" s="4"/>
      <c r="J35" s="4"/>
      <c r="K35" s="4"/>
      <c r="L35" s="4"/>
      <c r="M35" s="4"/>
    </row>
    <row r="36" spans="1:13" ht="15">
      <c r="A36" s="4" t="s">
        <v>315</v>
      </c>
      <c r="B36" s="22">
        <v>1.2757171456298784</v>
      </c>
      <c r="C36" s="22">
        <v>0.60696300715826212</v>
      </c>
      <c r="D36" s="22">
        <v>2.6813071249162554</v>
      </c>
      <c r="E36" s="22">
        <v>0.5205298138801473</v>
      </c>
      <c r="F36" s="22">
        <v>0.7654850204119813</v>
      </c>
      <c r="G36" s="28">
        <v>0.74</v>
      </c>
      <c r="H36" s="20" t="s">
        <v>303</v>
      </c>
      <c r="I36" s="4"/>
      <c r="J36" s="4"/>
      <c r="K36" s="4"/>
      <c r="L36" s="4"/>
      <c r="M36" s="4"/>
    </row>
    <row r="37" spans="1:13" ht="15">
      <c r="A37" s="4" t="s">
        <v>316</v>
      </c>
      <c r="B37" s="22">
        <v>1.0290465383739391</v>
      </c>
      <c r="C37" s="22">
        <v>0.67518056331414755</v>
      </c>
      <c r="D37" s="22">
        <v>1.5683756844858781</v>
      </c>
      <c r="E37" s="22">
        <v>0.89405865584866751</v>
      </c>
      <c r="F37" s="22">
        <v>0.97180288679202986</v>
      </c>
      <c r="G37" s="28">
        <v>0.56999999999999995</v>
      </c>
      <c r="H37" s="20" t="s">
        <v>303</v>
      </c>
      <c r="I37" s="4"/>
      <c r="J37" s="4"/>
      <c r="K37" s="4"/>
      <c r="L37" s="4"/>
      <c r="M37" s="4"/>
    </row>
    <row r="38" spans="1:13" ht="15">
      <c r="A38" s="4" t="s">
        <v>317</v>
      </c>
      <c r="B38" s="22">
        <v>1.1300418634864262</v>
      </c>
      <c r="C38" s="22">
        <v>0.30527099933963681</v>
      </c>
      <c r="D38" s="22">
        <v>4.1831507611082408</v>
      </c>
      <c r="E38" s="22">
        <v>0.85473655281433902</v>
      </c>
      <c r="F38" s="22">
        <v>0.97180288679202986</v>
      </c>
      <c r="G38" s="28">
        <v>0.64</v>
      </c>
      <c r="H38" s="20" t="s">
        <v>303</v>
      </c>
      <c r="I38" s="4"/>
      <c r="J38" s="4"/>
      <c r="K38" s="4"/>
      <c r="L38" s="4"/>
      <c r="M38" s="4"/>
    </row>
    <row r="39" spans="1:13" ht="15">
      <c r="A39" s="4" t="s">
        <v>318</v>
      </c>
      <c r="B39" s="22">
        <v>0.95471238766863797</v>
      </c>
      <c r="C39" s="22">
        <v>0.57025046961699544</v>
      </c>
      <c r="D39" s="22">
        <v>1.5983778913503355</v>
      </c>
      <c r="E39" s="22">
        <v>0.86008667810256267</v>
      </c>
      <c r="F39" s="22">
        <v>0.97180288679202986</v>
      </c>
      <c r="G39" s="28">
        <v>0.5</v>
      </c>
      <c r="H39" s="20" t="s">
        <v>303</v>
      </c>
      <c r="I39" s="4"/>
      <c r="J39" s="4"/>
      <c r="K39" s="4"/>
      <c r="L39" s="4"/>
      <c r="M39" s="4"/>
    </row>
    <row r="40" spans="1:13" ht="15">
      <c r="A40" s="4" t="s">
        <v>319</v>
      </c>
      <c r="B40" s="22">
        <v>0.88630053483277282</v>
      </c>
      <c r="C40" s="22">
        <v>0.44803290426276221</v>
      </c>
      <c r="D40" s="22">
        <v>1.7532833650632111</v>
      </c>
      <c r="E40" s="22">
        <v>0.72876056610913753</v>
      </c>
      <c r="F40" s="22">
        <v>0.97180288679202986</v>
      </c>
      <c r="G40" s="28">
        <v>0.64</v>
      </c>
      <c r="H40" s="20" t="s">
        <v>303</v>
      </c>
      <c r="I40" s="4"/>
      <c r="J40" s="4"/>
      <c r="K40" s="4"/>
      <c r="L40" s="4"/>
      <c r="M40" s="4"/>
    </row>
    <row r="41" spans="1:13" ht="15">
      <c r="A41" s="4" t="s">
        <v>320</v>
      </c>
      <c r="B41" s="22">
        <v>1.1198045312812679</v>
      </c>
      <c r="C41" s="22">
        <v>0.50857741470419771</v>
      </c>
      <c r="D41" s="22">
        <v>2.4656269665600434</v>
      </c>
      <c r="E41" s="22">
        <v>0.7787230307980495</v>
      </c>
      <c r="F41" s="22">
        <v>0.97180288679202986</v>
      </c>
      <c r="G41" s="28">
        <v>0.61</v>
      </c>
      <c r="H41" s="20" t="s">
        <v>303</v>
      </c>
      <c r="I41" s="4"/>
      <c r="J41" s="4"/>
      <c r="K41" s="4"/>
      <c r="L41" s="4"/>
      <c r="M41" s="4"/>
    </row>
    <row r="42" spans="1:13" ht="15">
      <c r="A42" s="4" t="s">
        <v>321</v>
      </c>
      <c r="B42" s="22">
        <v>0.94999210701890069</v>
      </c>
      <c r="C42" s="22">
        <v>0.50159696793009523</v>
      </c>
      <c r="D42" s="22">
        <v>1.7992234026502025</v>
      </c>
      <c r="E42" s="22">
        <v>0.87489910530895099</v>
      </c>
      <c r="F42" s="22">
        <v>0.97180288679202986</v>
      </c>
      <c r="G42" s="28">
        <v>0.52</v>
      </c>
      <c r="H42" s="20" t="s">
        <v>303</v>
      </c>
      <c r="I42" s="4"/>
      <c r="J42" s="4"/>
      <c r="K42" s="4"/>
      <c r="L42" s="4"/>
      <c r="M42" s="4"/>
    </row>
    <row r="43" spans="1:13" ht="15">
      <c r="A43" s="4" t="s">
        <v>322</v>
      </c>
      <c r="B43" s="22">
        <v>0.98065751829443371</v>
      </c>
      <c r="C43" s="22">
        <v>0.5321615366741913</v>
      </c>
      <c r="D43" s="22">
        <v>1.8071376864205406</v>
      </c>
      <c r="E43" s="22">
        <v>0.95006403330345723</v>
      </c>
      <c r="F43" s="22">
        <v>0.98965003469110135</v>
      </c>
      <c r="G43" s="28">
        <v>0.54</v>
      </c>
      <c r="H43" s="20" t="s">
        <v>303</v>
      </c>
      <c r="I43" s="4"/>
      <c r="J43" s="4"/>
      <c r="K43" s="4"/>
      <c r="L43" s="4"/>
      <c r="M43" s="4"/>
    </row>
    <row r="44" spans="1:13" ht="15">
      <c r="A44" s="4" t="s">
        <v>323</v>
      </c>
      <c r="B44" s="22">
        <v>0.9960316580768046</v>
      </c>
      <c r="C44" s="22">
        <v>0.53704442231735405</v>
      </c>
      <c r="D44" s="22">
        <v>1.8472942324033346</v>
      </c>
      <c r="E44" s="22">
        <v>0.98993363895175346</v>
      </c>
      <c r="F44" s="22">
        <v>0.98993363895175346</v>
      </c>
      <c r="G44" s="28">
        <v>0.51</v>
      </c>
      <c r="H44" s="20" t="s">
        <v>303</v>
      </c>
      <c r="I44" s="4"/>
      <c r="J44" s="4"/>
      <c r="K44" s="4"/>
      <c r="L44" s="4"/>
      <c r="M44" s="4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36" customWidth="1"/>
    <col min="2" max="4" width="18" customWidth="1"/>
    <col min="5" max="5" width="64" customWidth="1"/>
  </cols>
  <sheetData>
    <row r="1" spans="1:5" ht="15">
      <c r="A1" s="4"/>
      <c r="B1" s="4"/>
      <c r="C1" s="4"/>
      <c r="D1" s="4"/>
      <c r="E1" s="4"/>
    </row>
    <row r="2" spans="1:5" ht="18.75">
      <c r="A2" s="31" t="s">
        <v>324</v>
      </c>
      <c r="B2" s="4"/>
      <c r="C2" s="4"/>
      <c r="D2" s="4"/>
      <c r="E2" s="4"/>
    </row>
    <row r="3" spans="1:5" ht="15">
      <c r="A3" s="4"/>
      <c r="B3" s="4"/>
      <c r="C3" s="4"/>
      <c r="D3" s="4"/>
      <c r="E3" s="4"/>
    </row>
    <row r="4" spans="1:5">
      <c r="A4" s="1" t="s">
        <v>44</v>
      </c>
      <c r="B4" s="2" t="s">
        <v>325</v>
      </c>
      <c r="C4" s="2" t="s">
        <v>326</v>
      </c>
      <c r="D4" s="2" t="s">
        <v>327</v>
      </c>
      <c r="E4" s="3" t="s">
        <v>254</v>
      </c>
    </row>
    <row r="5" spans="1:5" ht="15">
      <c r="A5" s="4" t="s">
        <v>328</v>
      </c>
      <c r="B5" s="4">
        <v>3021</v>
      </c>
      <c r="C5" s="4">
        <v>3021</v>
      </c>
      <c r="D5" s="4" t="s">
        <v>121</v>
      </c>
      <c r="E5" s="20"/>
    </row>
    <row r="6" spans="1:5" ht="15">
      <c r="A6" s="4" t="s">
        <v>329</v>
      </c>
      <c r="B6" s="4">
        <v>245</v>
      </c>
      <c r="C6" s="4">
        <v>245</v>
      </c>
      <c r="D6" s="4" t="s">
        <v>121</v>
      </c>
      <c r="E6" s="20"/>
    </row>
    <row r="7" spans="1:5" ht="15">
      <c r="A7" s="4" t="s">
        <v>15</v>
      </c>
      <c r="B7" s="13">
        <v>8.1098973849718634E-2</v>
      </c>
      <c r="C7" s="13">
        <v>8.1098973849718634E-2</v>
      </c>
      <c r="D7" s="4" t="s">
        <v>121</v>
      </c>
      <c r="E7" s="20"/>
    </row>
    <row r="8" spans="1:5" ht="15">
      <c r="A8" s="4" t="s">
        <v>330</v>
      </c>
      <c r="B8" s="4">
        <v>3021</v>
      </c>
      <c r="C8" s="4">
        <v>3021</v>
      </c>
      <c r="D8" s="4" t="s">
        <v>121</v>
      </c>
      <c r="E8" s="20"/>
    </row>
    <row r="9" spans="1:5" ht="15">
      <c r="A9" s="4" t="s">
        <v>331</v>
      </c>
      <c r="B9" s="4">
        <v>3021</v>
      </c>
      <c r="C9" s="4">
        <v>3021</v>
      </c>
      <c r="D9" s="4" t="s">
        <v>121</v>
      </c>
      <c r="E9" s="20"/>
    </row>
    <row r="10" spans="1:5" ht="15">
      <c r="A10" s="4" t="s">
        <v>332</v>
      </c>
      <c r="B10" s="4">
        <v>3021</v>
      </c>
      <c r="C10" s="4">
        <v>3021</v>
      </c>
      <c r="D10" s="4" t="s">
        <v>121</v>
      </c>
      <c r="E10" s="20" t="s">
        <v>333</v>
      </c>
    </row>
    <row r="11" spans="1:5" ht="15">
      <c r="A11" s="4" t="s">
        <v>334</v>
      </c>
      <c r="B11" s="4">
        <v>0</v>
      </c>
      <c r="C11" s="4">
        <v>0</v>
      </c>
      <c r="D11" s="4" t="s">
        <v>121</v>
      </c>
      <c r="E11" s="20" t="s">
        <v>335</v>
      </c>
    </row>
    <row r="12" spans="1:5" ht="15">
      <c r="A12" s="4" t="s">
        <v>336</v>
      </c>
      <c r="B12" s="4">
        <v>0</v>
      </c>
      <c r="C12" s="4">
        <v>0</v>
      </c>
      <c r="D12" s="4" t="s">
        <v>121</v>
      </c>
      <c r="E12" s="20" t="s">
        <v>337</v>
      </c>
    </row>
    <row r="13" spans="1:5" ht="15">
      <c r="A13" s="4" t="s">
        <v>338</v>
      </c>
      <c r="B13" s="4">
        <v>0</v>
      </c>
      <c r="C13" s="4">
        <v>0</v>
      </c>
      <c r="D13" s="4" t="s">
        <v>121</v>
      </c>
      <c r="E13" s="20"/>
    </row>
    <row r="14" spans="1:5" ht="15">
      <c r="A14" s="4" t="s">
        <v>339</v>
      </c>
      <c r="B14" s="4">
        <v>291</v>
      </c>
      <c r="C14" s="4">
        <v>291</v>
      </c>
      <c r="D14" s="4" t="s">
        <v>121</v>
      </c>
      <c r="E14" s="20"/>
    </row>
    <row r="15" spans="1:5" ht="15">
      <c r="A15" s="4" t="s">
        <v>340</v>
      </c>
      <c r="B15" s="4">
        <v>46</v>
      </c>
      <c r="C15" s="4">
        <v>46</v>
      </c>
      <c r="D15" s="4" t="s">
        <v>121</v>
      </c>
      <c r="E15" s="20"/>
    </row>
    <row r="16" spans="1:5" ht="15">
      <c r="A16" s="4" t="s">
        <v>341</v>
      </c>
      <c r="B16" s="13">
        <v>9.6325719960278056E-2</v>
      </c>
      <c r="C16" s="13">
        <v>9.6000000000000002E-2</v>
      </c>
      <c r="D16" s="4" t="s">
        <v>121</v>
      </c>
      <c r="E16" s="20"/>
    </row>
    <row r="17" spans="1:5" ht="15">
      <c r="A17" s="4" t="s">
        <v>342</v>
      </c>
      <c r="B17" s="4">
        <v>3</v>
      </c>
      <c r="C17" s="4">
        <v>3</v>
      </c>
      <c r="D17" s="4" t="s">
        <v>121</v>
      </c>
      <c r="E17" s="20"/>
    </row>
    <row r="18" spans="1:5" ht="15">
      <c r="A18" s="4" t="s">
        <v>343</v>
      </c>
      <c r="B18" s="4">
        <v>0</v>
      </c>
      <c r="C18" s="4">
        <v>0</v>
      </c>
      <c r="D18" s="4" t="s">
        <v>121</v>
      </c>
      <c r="E18" s="20"/>
    </row>
    <row r="19" spans="1:5" ht="15">
      <c r="A19" s="4" t="s">
        <v>344</v>
      </c>
      <c r="B19" s="4">
        <v>8</v>
      </c>
      <c r="C19" s="4">
        <v>8</v>
      </c>
      <c r="D19" s="4" t="s">
        <v>121</v>
      </c>
      <c r="E19" s="20"/>
    </row>
    <row r="20" spans="1:5" ht="15">
      <c r="A20" s="4"/>
      <c r="B20" s="4"/>
      <c r="C20" s="4"/>
      <c r="D20" s="4"/>
      <c r="E20" s="4"/>
    </row>
    <row r="21" spans="1:5" ht="15">
      <c r="A21" s="4"/>
      <c r="B21" s="4"/>
      <c r="C21" s="4"/>
      <c r="D21" s="4"/>
      <c r="E21" s="4"/>
    </row>
    <row r="22" spans="1:5" ht="15">
      <c r="A22" s="19" t="s">
        <v>345</v>
      </c>
      <c r="B22" s="19"/>
      <c r="C22" s="19"/>
      <c r="D22" s="19"/>
      <c r="E22" s="19"/>
    </row>
    <row r="23" spans="1:5" ht="15">
      <c r="A23" s="4" t="s">
        <v>346</v>
      </c>
      <c r="B23" s="4" t="s">
        <v>347</v>
      </c>
      <c r="C23" s="4"/>
      <c r="D23" s="4"/>
      <c r="E23" s="4"/>
    </row>
    <row r="24" spans="1:5" ht="15">
      <c r="A24" s="4" t="s">
        <v>348</v>
      </c>
      <c r="B24" s="4" t="s">
        <v>349</v>
      </c>
      <c r="C24" s="4"/>
      <c r="D24" s="4"/>
      <c r="E24" s="4"/>
    </row>
    <row r="25" spans="1:5" ht="15">
      <c r="A25" s="4" t="s">
        <v>350</v>
      </c>
      <c r="B25" s="4" t="s">
        <v>351</v>
      </c>
      <c r="C25" s="4"/>
      <c r="D25" s="4"/>
      <c r="E25" s="4"/>
    </row>
  </sheetData>
  <conditionalFormatting sqref="D5:D19">
    <cfRule type="containsText" dxfId="0" priority="1" operator="containsText" text="No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D79F-8E41-4B1A-B9E4-2DFEA8F54627}">
  <dimension ref="A1:AF3024"/>
  <sheetViews>
    <sheetView topLeftCell="A48" zoomScale="64" zoomScaleNormal="100" workbookViewId="0"/>
  </sheetViews>
  <sheetFormatPr defaultRowHeight="14.25"/>
  <cols>
    <col min="1" max="1" width="25.75" customWidth="1"/>
    <col min="2" max="2" width="21.75" customWidth="1"/>
    <col min="3" max="5" width="13.75" customWidth="1"/>
    <col min="6" max="6" width="16.375" bestFit="1" customWidth="1"/>
    <col min="7" max="7" width="42.75" customWidth="1"/>
    <col min="8" max="8" width="20.75" customWidth="1"/>
    <col min="9" max="9" width="10.5" bestFit="1" customWidth="1"/>
    <col min="10" max="10" width="19.875" bestFit="1" customWidth="1"/>
    <col min="11" max="11" width="14" bestFit="1" customWidth="1"/>
    <col min="12" max="12" width="12.625" bestFit="1" customWidth="1"/>
    <col min="13" max="13" width="17" bestFit="1" customWidth="1"/>
    <col min="14" max="17" width="24.75" customWidth="1"/>
    <col min="18" max="18" width="25.375" bestFit="1" customWidth="1"/>
    <col min="19" max="19" width="15.375" bestFit="1" customWidth="1"/>
    <col min="20" max="20" width="20" bestFit="1" customWidth="1"/>
    <col min="21" max="21" width="22.25" bestFit="1" customWidth="1"/>
    <col min="22" max="22" width="13.625" bestFit="1" customWidth="1"/>
    <col min="23" max="23" width="18.25" bestFit="1" customWidth="1"/>
    <col min="24" max="24" width="20.5" bestFit="1" customWidth="1"/>
    <col min="25" max="32" width="22.75" customWidth="1"/>
  </cols>
  <sheetData>
    <row r="1" spans="1:32" ht="20.25">
      <c r="A1" s="35" t="s">
        <v>4224</v>
      </c>
    </row>
    <row r="2" spans="1:32">
      <c r="A2" s="36" t="s">
        <v>4225</v>
      </c>
    </row>
    <row r="3" spans="1:32">
      <c r="A3" t="s">
        <v>73</v>
      </c>
      <c r="B3" t="s">
        <v>79</v>
      </c>
      <c r="C3" t="s">
        <v>352</v>
      </c>
      <c r="D3" t="s">
        <v>353</v>
      </c>
      <c r="E3" t="s">
        <v>354</v>
      </c>
      <c r="F3" t="s">
        <v>355</v>
      </c>
      <c r="G3" t="s">
        <v>82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  <c r="T3" t="s">
        <v>368</v>
      </c>
      <c r="U3" t="s">
        <v>321</v>
      </c>
      <c r="V3" t="s">
        <v>369</v>
      </c>
      <c r="W3" t="s">
        <v>370</v>
      </c>
      <c r="X3" t="s">
        <v>322</v>
      </c>
      <c r="Y3" t="s">
        <v>371</v>
      </c>
      <c r="Z3" t="s">
        <v>177</v>
      </c>
      <c r="AA3" t="s">
        <v>372</v>
      </c>
      <c r="AB3" t="s">
        <v>91</v>
      </c>
      <c r="AC3" t="s">
        <v>77</v>
      </c>
      <c r="AD3" t="s">
        <v>373</v>
      </c>
      <c r="AE3" t="s">
        <v>374</v>
      </c>
      <c r="AF3" t="s">
        <v>152</v>
      </c>
    </row>
    <row r="4" spans="1:32">
      <c r="A4" t="s">
        <v>375</v>
      </c>
      <c r="B4" s="37">
        <v>39995</v>
      </c>
      <c r="C4" s="38">
        <v>39995</v>
      </c>
      <c r="D4" s="38">
        <v>39993</v>
      </c>
      <c r="E4" s="38">
        <v>39995</v>
      </c>
      <c r="F4" s="39">
        <v>90</v>
      </c>
      <c r="G4" t="s">
        <v>21</v>
      </c>
      <c r="H4" t="s">
        <v>21</v>
      </c>
      <c r="I4">
        <v>0</v>
      </c>
      <c r="J4">
        <v>0</v>
      </c>
      <c r="K4">
        <v>0</v>
      </c>
      <c r="L4">
        <v>1</v>
      </c>
      <c r="M4">
        <v>0</v>
      </c>
      <c r="N4" t="s">
        <v>193</v>
      </c>
      <c r="O4" t="s">
        <v>213</v>
      </c>
      <c r="P4" t="s">
        <v>204</v>
      </c>
      <c r="Q4" t="s">
        <v>170</v>
      </c>
      <c r="R4" t="s">
        <v>155</v>
      </c>
      <c r="T4" t="s">
        <v>134</v>
      </c>
      <c r="U4">
        <v>1</v>
      </c>
      <c r="V4">
        <v>5</v>
      </c>
      <c r="W4" t="s">
        <v>135</v>
      </c>
      <c r="X4">
        <v>0</v>
      </c>
      <c r="Y4" t="s">
        <v>140</v>
      </c>
      <c r="Z4" t="s">
        <v>376</v>
      </c>
      <c r="AA4" t="s">
        <v>142</v>
      </c>
      <c r="AB4" t="s">
        <v>162</v>
      </c>
      <c r="AC4" t="s">
        <v>174</v>
      </c>
      <c r="AD4" t="s">
        <v>156</v>
      </c>
      <c r="AE4" t="s">
        <v>120</v>
      </c>
      <c r="AF4" t="s">
        <v>377</v>
      </c>
    </row>
    <row r="5" spans="1:32">
      <c r="A5" t="s">
        <v>378</v>
      </c>
      <c r="B5" s="37">
        <v>39916</v>
      </c>
      <c r="C5" s="38">
        <v>39916</v>
      </c>
      <c r="D5" s="38">
        <v>39916</v>
      </c>
      <c r="E5" s="38">
        <v>39904</v>
      </c>
      <c r="F5" s="39">
        <v>11</v>
      </c>
      <c r="G5" t="s">
        <v>21</v>
      </c>
      <c r="H5" t="s">
        <v>21</v>
      </c>
      <c r="I5">
        <v>0</v>
      </c>
      <c r="J5">
        <v>0</v>
      </c>
      <c r="K5">
        <v>0</v>
      </c>
      <c r="L5">
        <v>1</v>
      </c>
      <c r="M5">
        <v>0</v>
      </c>
      <c r="N5" t="s">
        <v>199</v>
      </c>
      <c r="O5" t="s">
        <v>213</v>
      </c>
      <c r="P5" t="s">
        <v>210</v>
      </c>
      <c r="Q5" t="s">
        <v>170</v>
      </c>
      <c r="R5" t="s">
        <v>155</v>
      </c>
      <c r="T5" t="s">
        <v>134</v>
      </c>
      <c r="U5">
        <v>1</v>
      </c>
      <c r="W5" t="s">
        <v>134</v>
      </c>
      <c r="X5">
        <v>1</v>
      </c>
      <c r="Y5" t="s">
        <v>139</v>
      </c>
      <c r="Z5" t="s">
        <v>187</v>
      </c>
      <c r="AA5" t="s">
        <v>151</v>
      </c>
      <c r="AB5" t="s">
        <v>165</v>
      </c>
      <c r="AC5" t="s">
        <v>21</v>
      </c>
      <c r="AD5" t="s">
        <v>158</v>
      </c>
      <c r="AE5" t="s">
        <v>122</v>
      </c>
      <c r="AF5" t="s">
        <v>21</v>
      </c>
    </row>
    <row r="6" spans="1:32">
      <c r="A6" t="s">
        <v>379</v>
      </c>
      <c r="B6" s="37">
        <v>39924</v>
      </c>
      <c r="C6" s="38">
        <v>39924</v>
      </c>
      <c r="D6" s="38">
        <v>39923</v>
      </c>
      <c r="E6" s="38">
        <v>39904</v>
      </c>
      <c r="F6" s="39">
        <v>19</v>
      </c>
      <c r="G6" t="s">
        <v>380</v>
      </c>
      <c r="H6" t="s">
        <v>17</v>
      </c>
      <c r="I6">
        <v>0</v>
      </c>
      <c r="J6">
        <v>0</v>
      </c>
      <c r="K6">
        <v>1</v>
      </c>
      <c r="L6">
        <v>0</v>
      </c>
      <c r="M6">
        <v>0</v>
      </c>
      <c r="N6" t="s">
        <v>199</v>
      </c>
      <c r="O6" t="s">
        <v>213</v>
      </c>
      <c r="P6" t="s">
        <v>210</v>
      </c>
      <c r="Q6" t="s">
        <v>170</v>
      </c>
      <c r="R6" t="s">
        <v>155</v>
      </c>
      <c r="T6" t="s">
        <v>134</v>
      </c>
      <c r="U6">
        <v>1</v>
      </c>
      <c r="W6" t="s">
        <v>134</v>
      </c>
      <c r="X6">
        <v>1</v>
      </c>
      <c r="Y6" t="s">
        <v>139</v>
      </c>
      <c r="Z6" t="s">
        <v>180</v>
      </c>
      <c r="AA6" t="s">
        <v>143</v>
      </c>
      <c r="AB6" t="s">
        <v>165</v>
      </c>
      <c r="AC6" t="s">
        <v>381</v>
      </c>
      <c r="AD6" t="s">
        <v>158</v>
      </c>
      <c r="AE6" t="s">
        <v>122</v>
      </c>
      <c r="AF6" t="s">
        <v>21</v>
      </c>
    </row>
    <row r="7" spans="1:32">
      <c r="A7" t="s">
        <v>382</v>
      </c>
      <c r="B7" s="37">
        <v>40028</v>
      </c>
      <c r="C7" s="38">
        <v>40028</v>
      </c>
      <c r="D7" s="38">
        <v>40028</v>
      </c>
      <c r="E7" s="38">
        <v>40026</v>
      </c>
      <c r="F7" s="39">
        <v>123</v>
      </c>
      <c r="G7" t="s">
        <v>383</v>
      </c>
      <c r="H7" t="s">
        <v>17</v>
      </c>
      <c r="I7">
        <v>0</v>
      </c>
      <c r="J7">
        <v>0</v>
      </c>
      <c r="K7">
        <v>1</v>
      </c>
      <c r="L7">
        <v>0</v>
      </c>
      <c r="M7">
        <v>0</v>
      </c>
      <c r="N7" t="s">
        <v>195</v>
      </c>
      <c r="O7" t="s">
        <v>213</v>
      </c>
      <c r="P7" t="s">
        <v>206</v>
      </c>
      <c r="Q7" t="s">
        <v>170</v>
      </c>
      <c r="R7" t="s">
        <v>155</v>
      </c>
      <c r="S7">
        <v>5</v>
      </c>
      <c r="T7" t="s">
        <v>135</v>
      </c>
      <c r="U7">
        <v>0</v>
      </c>
      <c r="V7">
        <v>3</v>
      </c>
      <c r="W7" t="s">
        <v>137</v>
      </c>
      <c r="X7">
        <v>0</v>
      </c>
      <c r="Y7" t="s">
        <v>139</v>
      </c>
      <c r="Z7" t="s">
        <v>384</v>
      </c>
      <c r="AA7" t="s">
        <v>143</v>
      </c>
      <c r="AB7" t="s">
        <v>162</v>
      </c>
      <c r="AC7" t="s">
        <v>385</v>
      </c>
      <c r="AD7" t="s">
        <v>155</v>
      </c>
      <c r="AE7" t="s">
        <v>127</v>
      </c>
      <c r="AF7" t="s">
        <v>21</v>
      </c>
    </row>
    <row r="8" spans="1:32">
      <c r="A8" t="s">
        <v>386</v>
      </c>
      <c r="B8" s="37">
        <v>39916</v>
      </c>
      <c r="C8" s="38">
        <v>39916</v>
      </c>
      <c r="D8" s="38">
        <v>39916</v>
      </c>
      <c r="E8" s="38">
        <v>39904</v>
      </c>
      <c r="F8" s="39">
        <v>11</v>
      </c>
      <c r="G8" t="s">
        <v>21</v>
      </c>
      <c r="H8" t="s">
        <v>21</v>
      </c>
      <c r="I8">
        <v>0</v>
      </c>
      <c r="J8">
        <v>0</v>
      </c>
      <c r="K8">
        <v>0</v>
      </c>
      <c r="L8">
        <v>1</v>
      </c>
      <c r="M8">
        <v>0</v>
      </c>
      <c r="N8" t="s">
        <v>198</v>
      </c>
      <c r="O8" t="s">
        <v>213</v>
      </c>
      <c r="P8" t="s">
        <v>208</v>
      </c>
      <c r="Q8" t="s">
        <v>170</v>
      </c>
      <c r="R8" t="s">
        <v>155</v>
      </c>
      <c r="T8" t="s">
        <v>134</v>
      </c>
      <c r="U8">
        <v>1</v>
      </c>
      <c r="W8" t="s">
        <v>134</v>
      </c>
      <c r="X8">
        <v>1</v>
      </c>
      <c r="Y8" t="s">
        <v>139</v>
      </c>
      <c r="Z8" t="s">
        <v>179</v>
      </c>
      <c r="AA8" t="s">
        <v>149</v>
      </c>
      <c r="AB8" t="s">
        <v>162</v>
      </c>
      <c r="AC8" t="s">
        <v>21</v>
      </c>
      <c r="AD8" t="s">
        <v>155</v>
      </c>
      <c r="AE8" t="s">
        <v>387</v>
      </c>
      <c r="AF8" t="s">
        <v>21</v>
      </c>
    </row>
    <row r="9" spans="1:32">
      <c r="A9" t="s">
        <v>388</v>
      </c>
      <c r="B9" s="37">
        <v>40023</v>
      </c>
      <c r="C9" s="38">
        <v>40023</v>
      </c>
      <c r="D9" s="38">
        <v>40021</v>
      </c>
      <c r="E9" s="38">
        <v>39995</v>
      </c>
      <c r="F9" s="39">
        <v>118</v>
      </c>
      <c r="G9" t="s">
        <v>21</v>
      </c>
      <c r="H9" t="s">
        <v>21</v>
      </c>
      <c r="I9">
        <v>0</v>
      </c>
      <c r="J9">
        <v>0</v>
      </c>
      <c r="K9">
        <v>0</v>
      </c>
      <c r="L9">
        <v>1</v>
      </c>
      <c r="M9">
        <v>0</v>
      </c>
      <c r="N9" t="s">
        <v>195</v>
      </c>
      <c r="O9" t="s">
        <v>213</v>
      </c>
      <c r="P9" t="s">
        <v>206</v>
      </c>
      <c r="Q9" t="s">
        <v>170</v>
      </c>
      <c r="R9" t="s">
        <v>155</v>
      </c>
      <c r="S9">
        <v>5</v>
      </c>
      <c r="T9" t="s">
        <v>135</v>
      </c>
      <c r="U9">
        <v>0</v>
      </c>
      <c r="V9">
        <v>3</v>
      </c>
      <c r="W9" t="s">
        <v>137</v>
      </c>
      <c r="X9">
        <v>0</v>
      </c>
      <c r="Y9" t="s">
        <v>139</v>
      </c>
      <c r="Z9" t="s">
        <v>185</v>
      </c>
      <c r="AA9" t="s">
        <v>146</v>
      </c>
      <c r="AB9" t="s">
        <v>162</v>
      </c>
      <c r="AC9" t="s">
        <v>175</v>
      </c>
      <c r="AD9" t="s">
        <v>155</v>
      </c>
      <c r="AE9" t="s">
        <v>129</v>
      </c>
      <c r="AF9" t="s">
        <v>21</v>
      </c>
    </row>
    <row r="10" spans="1:32">
      <c r="A10" t="s">
        <v>389</v>
      </c>
      <c r="B10" s="37">
        <v>40000</v>
      </c>
      <c r="C10" s="38">
        <v>40000</v>
      </c>
      <c r="D10" s="38">
        <v>40000</v>
      </c>
      <c r="E10" s="38">
        <v>39995</v>
      </c>
      <c r="F10" s="39">
        <v>95</v>
      </c>
      <c r="G10" t="s">
        <v>21</v>
      </c>
      <c r="H10" t="s">
        <v>21</v>
      </c>
      <c r="I10">
        <v>0</v>
      </c>
      <c r="J10">
        <v>0</v>
      </c>
      <c r="K10">
        <v>0</v>
      </c>
      <c r="L10">
        <v>1</v>
      </c>
      <c r="M10">
        <v>0</v>
      </c>
      <c r="N10" t="s">
        <v>195</v>
      </c>
      <c r="O10" t="s">
        <v>213</v>
      </c>
      <c r="P10" t="s">
        <v>206</v>
      </c>
      <c r="Q10" t="s">
        <v>170</v>
      </c>
      <c r="R10" t="s">
        <v>155</v>
      </c>
      <c r="T10" t="s">
        <v>134</v>
      </c>
      <c r="U10">
        <v>1</v>
      </c>
      <c r="V10">
        <v>4</v>
      </c>
      <c r="W10" t="s">
        <v>137</v>
      </c>
      <c r="X10">
        <v>0</v>
      </c>
      <c r="Y10" t="s">
        <v>139</v>
      </c>
      <c r="Z10" t="s">
        <v>184</v>
      </c>
      <c r="AA10" t="s">
        <v>150</v>
      </c>
      <c r="AB10" t="s">
        <v>162</v>
      </c>
      <c r="AC10" t="s">
        <v>175</v>
      </c>
      <c r="AD10" t="s">
        <v>155</v>
      </c>
      <c r="AE10" t="s">
        <v>130</v>
      </c>
      <c r="AF10" t="s">
        <v>21</v>
      </c>
    </row>
    <row r="11" spans="1:32">
      <c r="A11" t="s">
        <v>390</v>
      </c>
      <c r="B11" s="37">
        <v>39925</v>
      </c>
      <c r="C11" s="38">
        <v>39925</v>
      </c>
      <c r="D11" s="38">
        <v>39923</v>
      </c>
      <c r="E11" s="38">
        <v>39904</v>
      </c>
      <c r="F11" s="39">
        <v>20</v>
      </c>
      <c r="G11" t="s">
        <v>380</v>
      </c>
      <c r="H11" t="s">
        <v>17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200</v>
      </c>
      <c r="O11" t="s">
        <v>214</v>
      </c>
      <c r="P11" t="s">
        <v>208</v>
      </c>
      <c r="Q11" t="s">
        <v>170</v>
      </c>
      <c r="R11" t="s">
        <v>155</v>
      </c>
      <c r="T11" t="s">
        <v>134</v>
      </c>
      <c r="U11">
        <v>1</v>
      </c>
      <c r="W11" t="s">
        <v>134</v>
      </c>
      <c r="X11">
        <v>1</v>
      </c>
      <c r="Y11" t="s">
        <v>139</v>
      </c>
      <c r="Z11" t="s">
        <v>391</v>
      </c>
      <c r="AA11" t="s">
        <v>147</v>
      </c>
      <c r="AB11" t="s">
        <v>162</v>
      </c>
      <c r="AC11" t="s">
        <v>174</v>
      </c>
      <c r="AD11" t="s">
        <v>160</v>
      </c>
      <c r="AE11" t="s">
        <v>392</v>
      </c>
      <c r="AF11" t="s">
        <v>393</v>
      </c>
    </row>
    <row r="12" spans="1:32">
      <c r="A12" t="s">
        <v>394</v>
      </c>
      <c r="B12" s="37">
        <v>39938</v>
      </c>
      <c r="C12" s="38">
        <v>39938</v>
      </c>
      <c r="D12" s="38">
        <v>39937</v>
      </c>
      <c r="E12" s="38">
        <v>39934</v>
      </c>
      <c r="F12" s="39">
        <v>33</v>
      </c>
      <c r="G12" t="s">
        <v>21</v>
      </c>
      <c r="H12" t="s">
        <v>21</v>
      </c>
      <c r="I12">
        <v>0</v>
      </c>
      <c r="J12">
        <v>0</v>
      </c>
      <c r="K12">
        <v>0</v>
      </c>
      <c r="L12">
        <v>1</v>
      </c>
      <c r="M12">
        <v>0</v>
      </c>
      <c r="N12" t="s">
        <v>202</v>
      </c>
      <c r="O12" t="s">
        <v>213</v>
      </c>
      <c r="P12" t="s">
        <v>211</v>
      </c>
      <c r="Q12" t="s">
        <v>170</v>
      </c>
      <c r="R12" t="s">
        <v>155</v>
      </c>
      <c r="T12" t="s">
        <v>134</v>
      </c>
      <c r="U12">
        <v>1</v>
      </c>
      <c r="W12" t="s">
        <v>134</v>
      </c>
      <c r="X12">
        <v>1</v>
      </c>
      <c r="Y12" t="s">
        <v>139</v>
      </c>
      <c r="Z12" t="s">
        <v>190</v>
      </c>
      <c r="AA12" t="s">
        <v>143</v>
      </c>
      <c r="AB12" t="s">
        <v>163</v>
      </c>
      <c r="AC12" t="s">
        <v>395</v>
      </c>
      <c r="AD12" t="s">
        <v>155</v>
      </c>
      <c r="AE12" t="s">
        <v>125</v>
      </c>
      <c r="AF12" t="s">
        <v>21</v>
      </c>
    </row>
    <row r="13" spans="1:32">
      <c r="A13" t="s">
        <v>396</v>
      </c>
      <c r="B13" s="37">
        <v>40032</v>
      </c>
      <c r="C13" s="38">
        <v>40032</v>
      </c>
      <c r="D13" s="38">
        <v>40028</v>
      </c>
      <c r="E13" s="38">
        <v>40026</v>
      </c>
      <c r="F13" s="39">
        <v>127</v>
      </c>
      <c r="G13" t="s">
        <v>21</v>
      </c>
      <c r="H13" t="s">
        <v>21</v>
      </c>
      <c r="I13">
        <v>0</v>
      </c>
      <c r="J13">
        <v>0</v>
      </c>
      <c r="K13">
        <v>0</v>
      </c>
      <c r="L13">
        <v>1</v>
      </c>
      <c r="M13">
        <v>0</v>
      </c>
      <c r="N13" t="s">
        <v>193</v>
      </c>
      <c r="O13" t="s">
        <v>213</v>
      </c>
      <c r="P13" t="s">
        <v>204</v>
      </c>
      <c r="Q13" t="s">
        <v>170</v>
      </c>
      <c r="R13" t="s">
        <v>155</v>
      </c>
      <c r="S13">
        <v>3</v>
      </c>
      <c r="T13" t="s">
        <v>137</v>
      </c>
      <c r="U13">
        <v>0</v>
      </c>
      <c r="V13">
        <v>4</v>
      </c>
      <c r="W13" t="s">
        <v>137</v>
      </c>
      <c r="X13">
        <v>0</v>
      </c>
      <c r="Y13" t="s">
        <v>140</v>
      </c>
      <c r="Z13" t="s">
        <v>184</v>
      </c>
      <c r="AA13" t="s">
        <v>146</v>
      </c>
      <c r="AB13" t="s">
        <v>162</v>
      </c>
      <c r="AC13" t="s">
        <v>397</v>
      </c>
      <c r="AD13" t="s">
        <v>398</v>
      </c>
      <c r="AE13" t="s">
        <v>399</v>
      </c>
      <c r="AF13" t="s">
        <v>400</v>
      </c>
    </row>
    <row r="14" spans="1:32">
      <c r="A14" t="s">
        <v>401</v>
      </c>
      <c r="B14" s="37">
        <v>39965</v>
      </c>
      <c r="C14" s="38">
        <v>39965</v>
      </c>
      <c r="D14" s="38">
        <v>39965</v>
      </c>
      <c r="E14" s="38">
        <v>39965</v>
      </c>
      <c r="F14" s="39">
        <v>60</v>
      </c>
      <c r="G14" t="s">
        <v>380</v>
      </c>
      <c r="H14" t="s">
        <v>17</v>
      </c>
      <c r="I14">
        <v>0</v>
      </c>
      <c r="J14">
        <v>0</v>
      </c>
      <c r="K14">
        <v>1</v>
      </c>
      <c r="L14">
        <v>0</v>
      </c>
      <c r="M14">
        <v>0</v>
      </c>
      <c r="N14" t="s">
        <v>193</v>
      </c>
      <c r="O14" t="s">
        <v>213</v>
      </c>
      <c r="P14" t="s">
        <v>204</v>
      </c>
      <c r="Q14" t="s">
        <v>170</v>
      </c>
      <c r="R14" t="s">
        <v>155</v>
      </c>
      <c r="T14" t="s">
        <v>134</v>
      </c>
      <c r="U14">
        <v>1</v>
      </c>
      <c r="W14" t="s">
        <v>134</v>
      </c>
      <c r="X14">
        <v>1</v>
      </c>
      <c r="Y14" t="s">
        <v>140</v>
      </c>
      <c r="Z14" t="s">
        <v>179</v>
      </c>
      <c r="AA14" t="s">
        <v>143</v>
      </c>
      <c r="AB14" t="s">
        <v>162</v>
      </c>
      <c r="AC14" t="s">
        <v>175</v>
      </c>
      <c r="AD14" t="s">
        <v>155</v>
      </c>
      <c r="AE14" t="s">
        <v>129</v>
      </c>
      <c r="AF14" t="s">
        <v>21</v>
      </c>
    </row>
    <row r="15" spans="1:32">
      <c r="A15" t="s">
        <v>402</v>
      </c>
      <c r="B15" s="37">
        <v>40020</v>
      </c>
      <c r="C15" s="38">
        <v>40020</v>
      </c>
      <c r="D15" s="38">
        <v>40014</v>
      </c>
      <c r="E15" s="38">
        <v>39995</v>
      </c>
      <c r="F15" s="39">
        <v>115</v>
      </c>
      <c r="G15" t="s">
        <v>21</v>
      </c>
      <c r="H15" t="s">
        <v>21</v>
      </c>
      <c r="I15">
        <v>0</v>
      </c>
      <c r="J15">
        <v>0</v>
      </c>
      <c r="K15">
        <v>0</v>
      </c>
      <c r="L15">
        <v>1</v>
      </c>
      <c r="M15">
        <v>0</v>
      </c>
      <c r="N15" t="s">
        <v>193</v>
      </c>
      <c r="O15" t="s">
        <v>213</v>
      </c>
      <c r="P15" t="s">
        <v>204</v>
      </c>
      <c r="Q15" t="s">
        <v>170</v>
      </c>
      <c r="R15" t="s">
        <v>155</v>
      </c>
      <c r="S15">
        <v>5</v>
      </c>
      <c r="T15" t="s">
        <v>135</v>
      </c>
      <c r="U15">
        <v>0</v>
      </c>
      <c r="V15">
        <v>5</v>
      </c>
      <c r="W15" t="s">
        <v>135</v>
      </c>
      <c r="X15">
        <v>0</v>
      </c>
      <c r="Y15" t="s">
        <v>140</v>
      </c>
      <c r="Z15" t="s">
        <v>182</v>
      </c>
      <c r="AA15" t="s">
        <v>142</v>
      </c>
      <c r="AB15" t="s">
        <v>162</v>
      </c>
      <c r="AC15" t="s">
        <v>174</v>
      </c>
      <c r="AD15" t="s">
        <v>159</v>
      </c>
      <c r="AE15" t="s">
        <v>123</v>
      </c>
      <c r="AF15" t="s">
        <v>123</v>
      </c>
    </row>
    <row r="16" spans="1:32">
      <c r="A16" t="s">
        <v>403</v>
      </c>
      <c r="B16" s="37">
        <v>39957</v>
      </c>
      <c r="C16" s="38">
        <v>39957</v>
      </c>
      <c r="D16" s="38">
        <v>39951</v>
      </c>
      <c r="E16" s="38">
        <v>39934</v>
      </c>
      <c r="F16" s="39">
        <v>52</v>
      </c>
      <c r="G16" t="s">
        <v>21</v>
      </c>
      <c r="H16" t="s">
        <v>21</v>
      </c>
      <c r="I16">
        <v>0</v>
      </c>
      <c r="J16">
        <v>0</v>
      </c>
      <c r="K16">
        <v>0</v>
      </c>
      <c r="L16">
        <v>1</v>
      </c>
      <c r="M16">
        <v>0</v>
      </c>
      <c r="N16" t="s">
        <v>194</v>
      </c>
      <c r="O16" t="s">
        <v>213</v>
      </c>
      <c r="P16" t="s">
        <v>205</v>
      </c>
      <c r="Q16" t="s">
        <v>170</v>
      </c>
      <c r="R16" t="s">
        <v>155</v>
      </c>
      <c r="T16" t="s">
        <v>134</v>
      </c>
      <c r="U16">
        <v>1</v>
      </c>
      <c r="W16" t="s">
        <v>134</v>
      </c>
      <c r="X16">
        <v>1</v>
      </c>
      <c r="Y16" t="s">
        <v>139</v>
      </c>
      <c r="Z16" t="s">
        <v>184</v>
      </c>
      <c r="AA16" t="s">
        <v>145</v>
      </c>
      <c r="AB16" t="s">
        <v>163</v>
      </c>
      <c r="AC16" t="s">
        <v>173</v>
      </c>
      <c r="AD16" t="s">
        <v>161</v>
      </c>
      <c r="AE16" t="s">
        <v>404</v>
      </c>
      <c r="AF16" t="s">
        <v>21</v>
      </c>
    </row>
    <row r="17" spans="1:32">
      <c r="A17" t="s">
        <v>405</v>
      </c>
      <c r="B17" s="37">
        <v>39957</v>
      </c>
      <c r="C17" s="38">
        <v>39957</v>
      </c>
      <c r="D17" s="38">
        <v>39951</v>
      </c>
      <c r="E17" s="38">
        <v>39934</v>
      </c>
      <c r="F17" s="39">
        <v>52</v>
      </c>
      <c r="G17" t="s">
        <v>21</v>
      </c>
      <c r="H17" t="s">
        <v>21</v>
      </c>
      <c r="I17">
        <v>0</v>
      </c>
      <c r="J17">
        <v>0</v>
      </c>
      <c r="K17">
        <v>0</v>
      </c>
      <c r="L17">
        <v>1</v>
      </c>
      <c r="M17">
        <v>0</v>
      </c>
      <c r="N17" t="s">
        <v>195</v>
      </c>
      <c r="O17" t="s">
        <v>213</v>
      </c>
      <c r="P17" t="s">
        <v>206</v>
      </c>
      <c r="Q17" t="s">
        <v>170</v>
      </c>
      <c r="R17" t="s">
        <v>155</v>
      </c>
      <c r="T17" t="s">
        <v>134</v>
      </c>
      <c r="U17">
        <v>1</v>
      </c>
      <c r="W17" t="s">
        <v>134</v>
      </c>
      <c r="X17">
        <v>1</v>
      </c>
      <c r="Y17" t="s">
        <v>139</v>
      </c>
      <c r="Z17" t="s">
        <v>190</v>
      </c>
      <c r="AA17" t="s">
        <v>146</v>
      </c>
      <c r="AB17" t="s">
        <v>163</v>
      </c>
      <c r="AC17" t="s">
        <v>173</v>
      </c>
      <c r="AD17" t="s">
        <v>155</v>
      </c>
      <c r="AE17" t="s">
        <v>406</v>
      </c>
      <c r="AF17" t="s">
        <v>21</v>
      </c>
    </row>
    <row r="18" spans="1:32">
      <c r="A18" t="s">
        <v>407</v>
      </c>
      <c r="B18" s="37">
        <v>39939</v>
      </c>
      <c r="C18" s="38">
        <v>39939</v>
      </c>
      <c r="D18" s="38">
        <v>39937</v>
      </c>
      <c r="E18" s="38">
        <v>39934</v>
      </c>
      <c r="F18" s="39">
        <v>34</v>
      </c>
      <c r="G18" t="s">
        <v>21</v>
      </c>
      <c r="H18" t="s">
        <v>21</v>
      </c>
      <c r="I18">
        <v>0</v>
      </c>
      <c r="J18">
        <v>0</v>
      </c>
      <c r="K18">
        <v>0</v>
      </c>
      <c r="L18">
        <v>1</v>
      </c>
      <c r="M18">
        <v>0</v>
      </c>
      <c r="N18" t="s">
        <v>202</v>
      </c>
      <c r="O18" t="s">
        <v>213</v>
      </c>
      <c r="P18" t="s">
        <v>211</v>
      </c>
      <c r="Q18" t="s">
        <v>170</v>
      </c>
      <c r="R18" t="s">
        <v>155</v>
      </c>
      <c r="T18" t="s">
        <v>134</v>
      </c>
      <c r="U18">
        <v>1</v>
      </c>
      <c r="W18" t="s">
        <v>134</v>
      </c>
      <c r="X18">
        <v>1</v>
      </c>
      <c r="Y18" t="s">
        <v>139</v>
      </c>
      <c r="Z18" t="s">
        <v>180</v>
      </c>
      <c r="AA18" t="s">
        <v>142</v>
      </c>
      <c r="AB18" t="s">
        <v>163</v>
      </c>
      <c r="AC18" t="s">
        <v>173</v>
      </c>
      <c r="AD18" t="s">
        <v>155</v>
      </c>
      <c r="AE18" t="s">
        <v>124</v>
      </c>
      <c r="AF18" t="s">
        <v>21</v>
      </c>
    </row>
    <row r="19" spans="1:32">
      <c r="A19" t="s">
        <v>408</v>
      </c>
      <c r="B19" s="37">
        <v>39961</v>
      </c>
      <c r="C19" s="38">
        <v>39961</v>
      </c>
      <c r="D19" s="38">
        <v>39958</v>
      </c>
      <c r="E19" s="38">
        <v>39934</v>
      </c>
      <c r="F19" s="39">
        <v>56</v>
      </c>
      <c r="G19" t="s">
        <v>21</v>
      </c>
      <c r="H19" t="s">
        <v>21</v>
      </c>
      <c r="I19">
        <v>0</v>
      </c>
      <c r="J19">
        <v>0</v>
      </c>
      <c r="K19">
        <v>0</v>
      </c>
      <c r="L19">
        <v>1</v>
      </c>
      <c r="M19">
        <v>0</v>
      </c>
      <c r="N19" t="s">
        <v>195</v>
      </c>
      <c r="O19" t="s">
        <v>213</v>
      </c>
      <c r="P19" t="s">
        <v>206</v>
      </c>
      <c r="Q19" t="s">
        <v>170</v>
      </c>
      <c r="R19" t="s">
        <v>155</v>
      </c>
      <c r="T19" t="s">
        <v>134</v>
      </c>
      <c r="U19">
        <v>1</v>
      </c>
      <c r="W19" t="s">
        <v>134</v>
      </c>
      <c r="X19">
        <v>1</v>
      </c>
      <c r="Y19" t="s">
        <v>139</v>
      </c>
      <c r="Z19" t="s">
        <v>409</v>
      </c>
      <c r="AA19" t="s">
        <v>148</v>
      </c>
      <c r="AB19" t="s">
        <v>163</v>
      </c>
      <c r="AC19" t="s">
        <v>173</v>
      </c>
      <c r="AD19" t="s">
        <v>155</v>
      </c>
      <c r="AE19" t="s">
        <v>127</v>
      </c>
      <c r="AF19" t="s">
        <v>21</v>
      </c>
    </row>
    <row r="20" spans="1:32">
      <c r="A20" t="s">
        <v>410</v>
      </c>
      <c r="B20" s="37">
        <v>39922</v>
      </c>
      <c r="C20" s="38">
        <v>39922</v>
      </c>
      <c r="D20" s="38">
        <v>39916</v>
      </c>
      <c r="E20" s="38">
        <v>39904</v>
      </c>
      <c r="F20" s="39">
        <v>17</v>
      </c>
      <c r="G20" t="s">
        <v>21</v>
      </c>
      <c r="H20" t="s">
        <v>21</v>
      </c>
      <c r="I20">
        <v>0</v>
      </c>
      <c r="J20">
        <v>0</v>
      </c>
      <c r="K20">
        <v>0</v>
      </c>
      <c r="L20">
        <v>1</v>
      </c>
      <c r="M20">
        <v>0</v>
      </c>
      <c r="N20" t="s">
        <v>198</v>
      </c>
      <c r="O20" t="s">
        <v>213</v>
      </c>
      <c r="P20" t="s">
        <v>208</v>
      </c>
      <c r="Q20" t="s">
        <v>170</v>
      </c>
      <c r="R20" t="s">
        <v>155</v>
      </c>
      <c r="T20" t="s">
        <v>134</v>
      </c>
      <c r="U20">
        <v>1</v>
      </c>
      <c r="W20" t="s">
        <v>134</v>
      </c>
      <c r="X20">
        <v>1</v>
      </c>
      <c r="Y20" t="s">
        <v>139</v>
      </c>
      <c r="Z20" t="s">
        <v>182</v>
      </c>
      <c r="AA20" t="s">
        <v>147</v>
      </c>
      <c r="AB20" t="s">
        <v>163</v>
      </c>
      <c r="AC20" t="s">
        <v>173</v>
      </c>
      <c r="AD20" t="s">
        <v>155</v>
      </c>
      <c r="AE20" t="s">
        <v>124</v>
      </c>
      <c r="AF20" t="s">
        <v>21</v>
      </c>
    </row>
    <row r="21" spans="1:32">
      <c r="A21" t="s">
        <v>411</v>
      </c>
      <c r="B21" s="37">
        <v>40026</v>
      </c>
      <c r="C21" s="38">
        <v>40026</v>
      </c>
      <c r="D21" s="38">
        <v>40021</v>
      </c>
      <c r="E21" s="38">
        <v>40026</v>
      </c>
      <c r="F21" s="39">
        <v>121</v>
      </c>
      <c r="G21" t="s">
        <v>380</v>
      </c>
      <c r="H21" t="s">
        <v>17</v>
      </c>
      <c r="I21">
        <v>0</v>
      </c>
      <c r="J21">
        <v>0</v>
      </c>
      <c r="K21">
        <v>1</v>
      </c>
      <c r="L21">
        <v>0</v>
      </c>
      <c r="M21">
        <v>0</v>
      </c>
      <c r="N21" t="s">
        <v>193</v>
      </c>
      <c r="O21" t="s">
        <v>213</v>
      </c>
      <c r="P21" t="s">
        <v>204</v>
      </c>
      <c r="Q21" t="s">
        <v>170</v>
      </c>
      <c r="R21" t="s">
        <v>155</v>
      </c>
      <c r="S21">
        <v>3</v>
      </c>
      <c r="T21" t="s">
        <v>137</v>
      </c>
      <c r="U21">
        <v>0</v>
      </c>
      <c r="V21">
        <v>3</v>
      </c>
      <c r="W21" t="s">
        <v>137</v>
      </c>
      <c r="X21">
        <v>0</v>
      </c>
      <c r="Y21" t="s">
        <v>140</v>
      </c>
      <c r="Z21" t="s">
        <v>182</v>
      </c>
      <c r="AA21" t="s">
        <v>144</v>
      </c>
      <c r="AB21" t="s">
        <v>162</v>
      </c>
      <c r="AC21" t="s">
        <v>175</v>
      </c>
      <c r="AD21" t="s">
        <v>155</v>
      </c>
      <c r="AE21" t="s">
        <v>129</v>
      </c>
      <c r="AF21" t="s">
        <v>21</v>
      </c>
    </row>
    <row r="22" spans="1:32">
      <c r="A22" t="s">
        <v>412</v>
      </c>
      <c r="B22" s="37">
        <v>40079</v>
      </c>
      <c r="C22" s="38">
        <v>40079</v>
      </c>
      <c r="D22" s="38">
        <v>40077</v>
      </c>
      <c r="E22" s="38">
        <v>40057</v>
      </c>
      <c r="F22" s="39">
        <v>174</v>
      </c>
      <c r="G22" t="s">
        <v>21</v>
      </c>
      <c r="H22" t="s">
        <v>21</v>
      </c>
      <c r="I22">
        <v>0</v>
      </c>
      <c r="J22">
        <v>0</v>
      </c>
      <c r="K22">
        <v>0</v>
      </c>
      <c r="L22">
        <v>1</v>
      </c>
      <c r="M22">
        <v>0</v>
      </c>
      <c r="N22" t="s">
        <v>195</v>
      </c>
      <c r="O22" t="s">
        <v>213</v>
      </c>
      <c r="P22" t="s">
        <v>206</v>
      </c>
      <c r="Q22" t="s">
        <v>170</v>
      </c>
      <c r="R22" t="s">
        <v>155</v>
      </c>
      <c r="S22">
        <v>5</v>
      </c>
      <c r="T22" t="s">
        <v>135</v>
      </c>
      <c r="U22">
        <v>0</v>
      </c>
      <c r="V22">
        <v>5</v>
      </c>
      <c r="W22" t="s">
        <v>135</v>
      </c>
      <c r="X22">
        <v>0</v>
      </c>
      <c r="Y22" t="s">
        <v>139</v>
      </c>
      <c r="Z22" t="s">
        <v>413</v>
      </c>
      <c r="AA22" t="s">
        <v>142</v>
      </c>
      <c r="AB22" t="s">
        <v>162</v>
      </c>
      <c r="AC22" t="s">
        <v>176</v>
      </c>
      <c r="AD22" t="s">
        <v>155</v>
      </c>
      <c r="AE22" t="s">
        <v>129</v>
      </c>
      <c r="AF22" t="s">
        <v>21</v>
      </c>
    </row>
    <row r="23" spans="1:32">
      <c r="A23" t="s">
        <v>414</v>
      </c>
      <c r="B23" s="37">
        <v>39952</v>
      </c>
      <c r="C23" s="38">
        <v>39952</v>
      </c>
      <c r="D23" s="38">
        <v>39951</v>
      </c>
      <c r="E23" s="38">
        <v>39934</v>
      </c>
      <c r="F23" s="39">
        <v>47</v>
      </c>
      <c r="G23" t="s">
        <v>21</v>
      </c>
      <c r="H23" t="s">
        <v>21</v>
      </c>
      <c r="I23">
        <v>0</v>
      </c>
      <c r="J23">
        <v>0</v>
      </c>
      <c r="K23">
        <v>0</v>
      </c>
      <c r="L23">
        <v>1</v>
      </c>
      <c r="M23">
        <v>0</v>
      </c>
      <c r="N23" t="s">
        <v>195</v>
      </c>
      <c r="O23" t="s">
        <v>213</v>
      </c>
      <c r="P23" t="s">
        <v>206</v>
      </c>
      <c r="Q23" t="s">
        <v>170</v>
      </c>
      <c r="R23" t="s">
        <v>155</v>
      </c>
      <c r="T23" t="s">
        <v>134</v>
      </c>
      <c r="U23">
        <v>1</v>
      </c>
      <c r="W23" t="s">
        <v>134</v>
      </c>
      <c r="X23">
        <v>1</v>
      </c>
      <c r="Y23" t="s">
        <v>139</v>
      </c>
      <c r="Z23" t="s">
        <v>413</v>
      </c>
      <c r="AA23" t="s">
        <v>149</v>
      </c>
      <c r="AB23" t="s">
        <v>163</v>
      </c>
      <c r="AC23" t="s">
        <v>415</v>
      </c>
      <c r="AD23" t="s">
        <v>161</v>
      </c>
      <c r="AE23" t="s">
        <v>416</v>
      </c>
      <c r="AF23" t="s">
        <v>21</v>
      </c>
    </row>
    <row r="24" spans="1:32">
      <c r="A24" t="s">
        <v>417</v>
      </c>
      <c r="B24" s="37">
        <v>39913</v>
      </c>
      <c r="C24" s="38">
        <v>39913</v>
      </c>
      <c r="D24" s="38">
        <v>39909</v>
      </c>
      <c r="E24" s="38">
        <v>39904</v>
      </c>
      <c r="F24" s="39">
        <v>8</v>
      </c>
      <c r="G24" t="s">
        <v>21</v>
      </c>
      <c r="H24" t="s">
        <v>21</v>
      </c>
      <c r="I24">
        <v>0</v>
      </c>
      <c r="J24">
        <v>0</v>
      </c>
      <c r="K24">
        <v>0</v>
      </c>
      <c r="L24">
        <v>1</v>
      </c>
      <c r="M24">
        <v>0</v>
      </c>
      <c r="N24" t="s">
        <v>200</v>
      </c>
      <c r="O24" t="s">
        <v>214</v>
      </c>
      <c r="P24" t="s">
        <v>208</v>
      </c>
      <c r="Q24" t="s">
        <v>170</v>
      </c>
      <c r="R24" t="s">
        <v>155</v>
      </c>
      <c r="T24" t="s">
        <v>134</v>
      </c>
      <c r="U24">
        <v>1</v>
      </c>
      <c r="W24" t="s">
        <v>134</v>
      </c>
      <c r="X24">
        <v>1</v>
      </c>
      <c r="Y24" t="s">
        <v>139</v>
      </c>
      <c r="Z24" t="s">
        <v>189</v>
      </c>
      <c r="AA24" t="s">
        <v>147</v>
      </c>
      <c r="AB24" t="s">
        <v>165</v>
      </c>
      <c r="AC24" t="s">
        <v>418</v>
      </c>
      <c r="AD24" t="s">
        <v>158</v>
      </c>
      <c r="AE24" t="s">
        <v>122</v>
      </c>
      <c r="AF24" t="s">
        <v>21</v>
      </c>
    </row>
    <row r="25" spans="1:32">
      <c r="A25" t="s">
        <v>419</v>
      </c>
      <c r="B25" s="37">
        <v>39922</v>
      </c>
      <c r="C25" s="38">
        <v>39922</v>
      </c>
      <c r="D25" s="38">
        <v>39916</v>
      </c>
      <c r="E25" s="38">
        <v>39904</v>
      </c>
      <c r="F25" s="39">
        <v>17</v>
      </c>
      <c r="G25" t="s">
        <v>21</v>
      </c>
      <c r="H25" t="s">
        <v>21</v>
      </c>
      <c r="I25">
        <v>0</v>
      </c>
      <c r="J25">
        <v>0</v>
      </c>
      <c r="K25">
        <v>0</v>
      </c>
      <c r="L25">
        <v>1</v>
      </c>
      <c r="M25">
        <v>0</v>
      </c>
      <c r="N25" t="s">
        <v>194</v>
      </c>
      <c r="O25" t="s">
        <v>213</v>
      </c>
      <c r="P25" t="s">
        <v>205</v>
      </c>
      <c r="Q25" t="s">
        <v>170</v>
      </c>
      <c r="R25" t="s">
        <v>155</v>
      </c>
      <c r="T25" t="s">
        <v>134</v>
      </c>
      <c r="U25">
        <v>1</v>
      </c>
      <c r="W25" t="s">
        <v>134</v>
      </c>
      <c r="X25">
        <v>1</v>
      </c>
      <c r="Y25" t="s">
        <v>139</v>
      </c>
      <c r="Z25" t="s">
        <v>186</v>
      </c>
      <c r="AA25" t="s">
        <v>149</v>
      </c>
      <c r="AB25" t="s">
        <v>163</v>
      </c>
      <c r="AC25" t="s">
        <v>173</v>
      </c>
      <c r="AD25" t="s">
        <v>161</v>
      </c>
      <c r="AE25" t="s">
        <v>420</v>
      </c>
      <c r="AF25" t="s">
        <v>21</v>
      </c>
    </row>
    <row r="26" spans="1:32">
      <c r="A26" t="s">
        <v>421</v>
      </c>
      <c r="B26" s="37">
        <v>39947</v>
      </c>
      <c r="C26" s="38">
        <v>39947</v>
      </c>
      <c r="D26" s="38">
        <v>39944</v>
      </c>
      <c r="E26" s="38">
        <v>39934</v>
      </c>
      <c r="F26" s="39">
        <v>42</v>
      </c>
      <c r="G26" t="s">
        <v>380</v>
      </c>
      <c r="H26" t="s">
        <v>17</v>
      </c>
      <c r="I26">
        <v>0</v>
      </c>
      <c r="J26">
        <v>0</v>
      </c>
      <c r="K26">
        <v>1</v>
      </c>
      <c r="L26">
        <v>0</v>
      </c>
      <c r="M26">
        <v>0</v>
      </c>
      <c r="N26" t="s">
        <v>195</v>
      </c>
      <c r="O26" t="s">
        <v>213</v>
      </c>
      <c r="P26" t="s">
        <v>206</v>
      </c>
      <c r="Q26" t="s">
        <v>170</v>
      </c>
      <c r="R26" t="s">
        <v>155</v>
      </c>
      <c r="T26" t="s">
        <v>134</v>
      </c>
      <c r="U26">
        <v>1</v>
      </c>
      <c r="W26" t="s">
        <v>134</v>
      </c>
      <c r="X26">
        <v>1</v>
      </c>
      <c r="Y26" t="s">
        <v>139</v>
      </c>
      <c r="Z26" t="s">
        <v>179</v>
      </c>
      <c r="AA26" t="s">
        <v>149</v>
      </c>
      <c r="AB26" t="s">
        <v>163</v>
      </c>
      <c r="AC26" t="s">
        <v>173</v>
      </c>
      <c r="AD26" t="s">
        <v>155</v>
      </c>
      <c r="AE26" t="s">
        <v>125</v>
      </c>
      <c r="AF26" t="s">
        <v>21</v>
      </c>
    </row>
    <row r="27" spans="1:32">
      <c r="A27" t="s">
        <v>422</v>
      </c>
      <c r="B27" s="37">
        <v>39930</v>
      </c>
      <c r="C27" s="38">
        <v>39930</v>
      </c>
      <c r="D27" s="38">
        <v>39930</v>
      </c>
      <c r="E27" s="38">
        <v>39904</v>
      </c>
      <c r="F27" s="39">
        <v>25</v>
      </c>
      <c r="G27" t="s">
        <v>21</v>
      </c>
      <c r="H27" t="s">
        <v>21</v>
      </c>
      <c r="I27">
        <v>0</v>
      </c>
      <c r="J27">
        <v>0</v>
      </c>
      <c r="K27">
        <v>0</v>
      </c>
      <c r="L27">
        <v>1</v>
      </c>
      <c r="M27">
        <v>0</v>
      </c>
      <c r="N27" t="s">
        <v>198</v>
      </c>
      <c r="O27" t="s">
        <v>213</v>
      </c>
      <c r="P27" t="s">
        <v>208</v>
      </c>
      <c r="Q27" t="s">
        <v>170</v>
      </c>
      <c r="R27" t="s">
        <v>155</v>
      </c>
      <c r="T27" t="s">
        <v>134</v>
      </c>
      <c r="U27">
        <v>1</v>
      </c>
      <c r="W27" t="s">
        <v>134</v>
      </c>
      <c r="X27">
        <v>1</v>
      </c>
      <c r="Y27" t="s">
        <v>139</v>
      </c>
      <c r="Z27" t="s">
        <v>178</v>
      </c>
      <c r="AA27" t="s">
        <v>147</v>
      </c>
      <c r="AB27" t="s">
        <v>162</v>
      </c>
      <c r="AC27" t="s">
        <v>174</v>
      </c>
      <c r="AD27" t="s">
        <v>157</v>
      </c>
      <c r="AE27" t="s">
        <v>130</v>
      </c>
      <c r="AF27" t="s">
        <v>423</v>
      </c>
    </row>
    <row r="28" spans="1:32">
      <c r="A28" t="s">
        <v>424</v>
      </c>
      <c r="B28" s="37">
        <v>40003</v>
      </c>
      <c r="C28" s="38">
        <v>40003</v>
      </c>
      <c r="D28" s="38">
        <v>40000</v>
      </c>
      <c r="E28" s="38">
        <v>39995</v>
      </c>
      <c r="F28" s="39">
        <v>98</v>
      </c>
      <c r="G28" t="s">
        <v>21</v>
      </c>
      <c r="H28" t="s">
        <v>21</v>
      </c>
      <c r="I28">
        <v>0</v>
      </c>
      <c r="J28">
        <v>0</v>
      </c>
      <c r="K28">
        <v>0</v>
      </c>
      <c r="L28">
        <v>1</v>
      </c>
      <c r="M28">
        <v>0</v>
      </c>
      <c r="N28" t="s">
        <v>193</v>
      </c>
      <c r="O28" t="s">
        <v>213</v>
      </c>
      <c r="P28" t="s">
        <v>204</v>
      </c>
      <c r="Q28" t="s">
        <v>170</v>
      </c>
      <c r="R28" t="s">
        <v>155</v>
      </c>
      <c r="T28" t="s">
        <v>134</v>
      </c>
      <c r="U28">
        <v>1</v>
      </c>
      <c r="V28">
        <v>2</v>
      </c>
      <c r="W28" t="s">
        <v>136</v>
      </c>
      <c r="X28">
        <v>0</v>
      </c>
      <c r="Y28" t="s">
        <v>140</v>
      </c>
      <c r="Z28" t="s">
        <v>178</v>
      </c>
      <c r="AA28" t="s">
        <v>142</v>
      </c>
      <c r="AB28" t="s">
        <v>162</v>
      </c>
      <c r="AC28" t="s">
        <v>174</v>
      </c>
      <c r="AD28" t="s">
        <v>156</v>
      </c>
      <c r="AE28" t="s">
        <v>120</v>
      </c>
      <c r="AF28" t="s">
        <v>425</v>
      </c>
    </row>
    <row r="29" spans="1:32">
      <c r="A29" t="s">
        <v>426</v>
      </c>
      <c r="B29" s="37">
        <v>39914</v>
      </c>
      <c r="C29" s="38">
        <v>39914</v>
      </c>
      <c r="D29" s="38">
        <v>39909</v>
      </c>
      <c r="E29" s="38">
        <v>39904</v>
      </c>
      <c r="F29" s="39">
        <v>9</v>
      </c>
      <c r="G29" t="s">
        <v>9</v>
      </c>
      <c r="H29" t="s">
        <v>9</v>
      </c>
      <c r="I29">
        <v>1</v>
      </c>
      <c r="J29">
        <v>0</v>
      </c>
      <c r="K29">
        <v>0</v>
      </c>
      <c r="L29">
        <v>0</v>
      </c>
      <c r="M29">
        <v>1</v>
      </c>
      <c r="N29" t="s">
        <v>200</v>
      </c>
      <c r="O29" t="s">
        <v>214</v>
      </c>
      <c r="P29" t="s">
        <v>208</v>
      </c>
      <c r="Q29" t="s">
        <v>170</v>
      </c>
      <c r="R29" t="s">
        <v>155</v>
      </c>
      <c r="T29" t="s">
        <v>134</v>
      </c>
      <c r="U29">
        <v>1</v>
      </c>
      <c r="W29" t="s">
        <v>134</v>
      </c>
      <c r="X29">
        <v>1</v>
      </c>
      <c r="Y29" t="s">
        <v>139</v>
      </c>
      <c r="Z29" t="s">
        <v>182</v>
      </c>
      <c r="AA29" t="s">
        <v>150</v>
      </c>
      <c r="AB29" t="s">
        <v>162</v>
      </c>
      <c r="AC29" t="s">
        <v>174</v>
      </c>
      <c r="AD29" t="s">
        <v>156</v>
      </c>
      <c r="AE29" t="s">
        <v>120</v>
      </c>
      <c r="AF29" t="s">
        <v>427</v>
      </c>
    </row>
    <row r="30" spans="1:32">
      <c r="A30" t="s">
        <v>428</v>
      </c>
      <c r="B30" s="37">
        <v>40020</v>
      </c>
      <c r="C30" s="38">
        <v>40020</v>
      </c>
      <c r="D30" s="38">
        <v>40014</v>
      </c>
      <c r="E30" s="38">
        <v>39995</v>
      </c>
      <c r="F30" s="39">
        <v>115</v>
      </c>
      <c r="G30" t="s">
        <v>21</v>
      </c>
      <c r="H30" t="s">
        <v>21</v>
      </c>
      <c r="I30">
        <v>0</v>
      </c>
      <c r="J30">
        <v>0</v>
      </c>
      <c r="K30">
        <v>0</v>
      </c>
      <c r="L30">
        <v>1</v>
      </c>
      <c r="M30">
        <v>0</v>
      </c>
      <c r="N30" t="s">
        <v>193</v>
      </c>
      <c r="O30" t="s">
        <v>213</v>
      </c>
      <c r="P30" t="s">
        <v>204</v>
      </c>
      <c r="Q30" t="s">
        <v>170</v>
      </c>
      <c r="R30" t="s">
        <v>155</v>
      </c>
      <c r="S30">
        <v>5</v>
      </c>
      <c r="T30" t="s">
        <v>135</v>
      </c>
      <c r="U30">
        <v>0</v>
      </c>
      <c r="V30">
        <v>2</v>
      </c>
      <c r="W30" t="s">
        <v>136</v>
      </c>
      <c r="X30">
        <v>0</v>
      </c>
      <c r="Y30" t="s">
        <v>140</v>
      </c>
      <c r="Z30" t="s">
        <v>189</v>
      </c>
      <c r="AA30" t="s">
        <v>142</v>
      </c>
      <c r="AB30" t="s">
        <v>162</v>
      </c>
      <c r="AC30" t="s">
        <v>429</v>
      </c>
      <c r="AD30" t="s">
        <v>155</v>
      </c>
      <c r="AE30" t="s">
        <v>129</v>
      </c>
      <c r="AF30" t="s">
        <v>21</v>
      </c>
    </row>
    <row r="31" spans="1:32">
      <c r="A31" t="s">
        <v>430</v>
      </c>
      <c r="B31" s="37">
        <v>40001</v>
      </c>
      <c r="C31" s="38">
        <v>40001</v>
      </c>
      <c r="D31" s="38">
        <v>40000</v>
      </c>
      <c r="E31" s="38">
        <v>39995</v>
      </c>
      <c r="F31" s="39">
        <v>96</v>
      </c>
      <c r="G31" t="s">
        <v>21</v>
      </c>
      <c r="H31" t="s">
        <v>21</v>
      </c>
      <c r="I31">
        <v>0</v>
      </c>
      <c r="J31">
        <v>0</v>
      </c>
      <c r="K31">
        <v>0</v>
      </c>
      <c r="L31">
        <v>1</v>
      </c>
      <c r="M31">
        <v>0</v>
      </c>
      <c r="N31" t="s">
        <v>196</v>
      </c>
      <c r="O31" t="s">
        <v>213</v>
      </c>
      <c r="P31" t="s">
        <v>207</v>
      </c>
      <c r="Q31" t="s">
        <v>170</v>
      </c>
      <c r="R31" t="s">
        <v>155</v>
      </c>
      <c r="T31" t="s">
        <v>134</v>
      </c>
      <c r="U31">
        <v>1</v>
      </c>
      <c r="V31">
        <v>3</v>
      </c>
      <c r="W31" t="s">
        <v>137</v>
      </c>
      <c r="X31">
        <v>0</v>
      </c>
      <c r="Y31" t="s">
        <v>139</v>
      </c>
      <c r="Z31" t="s">
        <v>179</v>
      </c>
      <c r="AA31" t="s">
        <v>146</v>
      </c>
      <c r="AB31" t="s">
        <v>162</v>
      </c>
      <c r="AC31" t="s">
        <v>431</v>
      </c>
      <c r="AD31" t="s">
        <v>155</v>
      </c>
      <c r="AE31" t="s">
        <v>130</v>
      </c>
      <c r="AF31" t="s">
        <v>21</v>
      </c>
    </row>
    <row r="32" spans="1:32">
      <c r="A32" t="s">
        <v>432</v>
      </c>
      <c r="B32" s="37">
        <v>40072</v>
      </c>
      <c r="C32" s="38">
        <v>40072</v>
      </c>
      <c r="D32" s="38">
        <v>40070</v>
      </c>
      <c r="E32" s="38">
        <v>40057</v>
      </c>
      <c r="F32" s="39">
        <v>167</v>
      </c>
      <c r="G32" t="s">
        <v>21</v>
      </c>
      <c r="H32" t="s">
        <v>21</v>
      </c>
      <c r="I32">
        <v>0</v>
      </c>
      <c r="J32">
        <v>0</v>
      </c>
      <c r="K32">
        <v>0</v>
      </c>
      <c r="L32">
        <v>1</v>
      </c>
      <c r="M32">
        <v>0</v>
      </c>
      <c r="N32" t="s">
        <v>193</v>
      </c>
      <c r="O32" t="s">
        <v>213</v>
      </c>
      <c r="P32" t="s">
        <v>204</v>
      </c>
      <c r="Q32" t="s">
        <v>170</v>
      </c>
      <c r="R32" t="s">
        <v>155</v>
      </c>
      <c r="S32">
        <v>5</v>
      </c>
      <c r="T32" t="s">
        <v>135</v>
      </c>
      <c r="U32">
        <v>0</v>
      </c>
      <c r="V32">
        <v>4</v>
      </c>
      <c r="W32" t="s">
        <v>137</v>
      </c>
      <c r="X32">
        <v>0</v>
      </c>
      <c r="Y32" t="s">
        <v>140</v>
      </c>
      <c r="Z32" t="s">
        <v>433</v>
      </c>
      <c r="AA32" t="s">
        <v>144</v>
      </c>
      <c r="AB32" t="s">
        <v>162</v>
      </c>
      <c r="AC32" t="s">
        <v>174</v>
      </c>
      <c r="AD32" t="s">
        <v>157</v>
      </c>
      <c r="AE32" t="s">
        <v>434</v>
      </c>
      <c r="AF32" t="s">
        <v>435</v>
      </c>
    </row>
    <row r="33" spans="1:32">
      <c r="A33" t="s">
        <v>436</v>
      </c>
      <c r="B33" s="37">
        <v>39938</v>
      </c>
      <c r="C33" s="38">
        <v>39938</v>
      </c>
      <c r="D33" s="38">
        <v>39937</v>
      </c>
      <c r="E33" s="38">
        <v>39934</v>
      </c>
      <c r="F33" s="39">
        <v>33</v>
      </c>
      <c r="G33" t="s">
        <v>21</v>
      </c>
      <c r="H33" t="s">
        <v>21</v>
      </c>
      <c r="I33">
        <v>0</v>
      </c>
      <c r="J33">
        <v>0</v>
      </c>
      <c r="K33">
        <v>0</v>
      </c>
      <c r="L33">
        <v>1</v>
      </c>
      <c r="M33">
        <v>0</v>
      </c>
      <c r="N33" t="s">
        <v>198</v>
      </c>
      <c r="O33" t="s">
        <v>213</v>
      </c>
      <c r="P33" t="s">
        <v>208</v>
      </c>
      <c r="Q33" t="s">
        <v>170</v>
      </c>
      <c r="R33" t="s">
        <v>155</v>
      </c>
      <c r="T33" t="s">
        <v>134</v>
      </c>
      <c r="U33">
        <v>1</v>
      </c>
      <c r="W33" t="s">
        <v>134</v>
      </c>
      <c r="X33">
        <v>1</v>
      </c>
      <c r="Y33" t="s">
        <v>139</v>
      </c>
      <c r="Z33" t="s">
        <v>189</v>
      </c>
      <c r="AA33" t="s">
        <v>149</v>
      </c>
      <c r="AB33" t="s">
        <v>162</v>
      </c>
      <c r="AC33" t="s">
        <v>174</v>
      </c>
      <c r="AD33" t="s">
        <v>157</v>
      </c>
      <c r="AE33" t="s">
        <v>130</v>
      </c>
      <c r="AF33" t="s">
        <v>437</v>
      </c>
    </row>
    <row r="34" spans="1:32">
      <c r="A34" t="s">
        <v>438</v>
      </c>
      <c r="B34" s="37">
        <v>39927</v>
      </c>
      <c r="C34" s="38">
        <v>39927</v>
      </c>
      <c r="D34" s="38">
        <v>39923</v>
      </c>
      <c r="E34" s="38">
        <v>39904</v>
      </c>
      <c r="F34" s="39">
        <v>22</v>
      </c>
      <c r="G34" t="s">
        <v>21</v>
      </c>
      <c r="H34" t="s">
        <v>21</v>
      </c>
      <c r="I34">
        <v>0</v>
      </c>
      <c r="J34">
        <v>0</v>
      </c>
      <c r="K34">
        <v>0</v>
      </c>
      <c r="L34">
        <v>1</v>
      </c>
      <c r="M34">
        <v>0</v>
      </c>
      <c r="N34" t="s">
        <v>198</v>
      </c>
      <c r="O34" t="s">
        <v>213</v>
      </c>
      <c r="P34" t="s">
        <v>208</v>
      </c>
      <c r="Q34" t="s">
        <v>170</v>
      </c>
      <c r="R34" t="s">
        <v>155</v>
      </c>
      <c r="T34" t="s">
        <v>134</v>
      </c>
      <c r="U34">
        <v>1</v>
      </c>
      <c r="W34" t="s">
        <v>134</v>
      </c>
      <c r="X34">
        <v>1</v>
      </c>
      <c r="Y34" t="s">
        <v>139</v>
      </c>
      <c r="Z34" t="s">
        <v>181</v>
      </c>
      <c r="AA34" t="s">
        <v>142</v>
      </c>
      <c r="AB34" t="s">
        <v>162</v>
      </c>
      <c r="AC34" t="s">
        <v>175</v>
      </c>
      <c r="AD34" t="s">
        <v>155</v>
      </c>
      <c r="AE34" t="s">
        <v>439</v>
      </c>
      <c r="AF34" t="s">
        <v>21</v>
      </c>
    </row>
    <row r="35" spans="1:32">
      <c r="A35" t="s">
        <v>440</v>
      </c>
      <c r="B35" s="37">
        <v>40026</v>
      </c>
      <c r="C35" s="38">
        <v>40026</v>
      </c>
      <c r="D35" s="38">
        <v>40021</v>
      </c>
      <c r="E35" s="38">
        <v>40026</v>
      </c>
      <c r="F35" s="39">
        <v>121</v>
      </c>
      <c r="G35" t="s">
        <v>21</v>
      </c>
      <c r="H35" t="s">
        <v>21</v>
      </c>
      <c r="I35">
        <v>0</v>
      </c>
      <c r="J35">
        <v>0</v>
      </c>
      <c r="K35">
        <v>0</v>
      </c>
      <c r="L35">
        <v>1</v>
      </c>
      <c r="M35">
        <v>0</v>
      </c>
      <c r="N35" t="s">
        <v>193</v>
      </c>
      <c r="O35" t="s">
        <v>213</v>
      </c>
      <c r="P35" t="s">
        <v>204</v>
      </c>
      <c r="Q35" t="s">
        <v>170</v>
      </c>
      <c r="R35" t="s">
        <v>155</v>
      </c>
      <c r="S35">
        <v>1</v>
      </c>
      <c r="T35" t="s">
        <v>136</v>
      </c>
      <c r="U35">
        <v>0</v>
      </c>
      <c r="V35">
        <v>5</v>
      </c>
      <c r="W35" t="s">
        <v>135</v>
      </c>
      <c r="X35">
        <v>0</v>
      </c>
      <c r="Y35" t="s">
        <v>140</v>
      </c>
      <c r="Z35" t="s">
        <v>180</v>
      </c>
      <c r="AA35" t="s">
        <v>143</v>
      </c>
      <c r="AB35" t="s">
        <v>163</v>
      </c>
      <c r="AC35" t="s">
        <v>441</v>
      </c>
      <c r="AD35" t="s">
        <v>155</v>
      </c>
      <c r="AE35" t="s">
        <v>125</v>
      </c>
      <c r="AF35" t="s">
        <v>21</v>
      </c>
    </row>
    <row r="36" spans="1:32">
      <c r="A36" t="s">
        <v>442</v>
      </c>
      <c r="B36" s="37">
        <v>40023</v>
      </c>
      <c r="C36" s="38">
        <v>40023</v>
      </c>
      <c r="D36" s="38">
        <v>40021</v>
      </c>
      <c r="E36" s="38">
        <v>39995</v>
      </c>
      <c r="F36" s="39">
        <v>118</v>
      </c>
      <c r="G36" t="s">
        <v>21</v>
      </c>
      <c r="H36" t="s">
        <v>21</v>
      </c>
      <c r="I36">
        <v>0</v>
      </c>
      <c r="J36">
        <v>0</v>
      </c>
      <c r="K36">
        <v>0</v>
      </c>
      <c r="L36">
        <v>1</v>
      </c>
      <c r="M36">
        <v>0</v>
      </c>
      <c r="N36" t="s">
        <v>193</v>
      </c>
      <c r="O36" t="s">
        <v>213</v>
      </c>
      <c r="P36" t="s">
        <v>204</v>
      </c>
      <c r="Q36" t="s">
        <v>170</v>
      </c>
      <c r="R36" t="s">
        <v>155</v>
      </c>
      <c r="S36">
        <v>1</v>
      </c>
      <c r="T36" t="s">
        <v>136</v>
      </c>
      <c r="U36">
        <v>0</v>
      </c>
      <c r="V36">
        <v>5</v>
      </c>
      <c r="W36" t="s">
        <v>135</v>
      </c>
      <c r="X36">
        <v>0</v>
      </c>
      <c r="Y36" t="s">
        <v>140</v>
      </c>
      <c r="Z36" t="s">
        <v>188</v>
      </c>
      <c r="AA36" t="s">
        <v>146</v>
      </c>
      <c r="AB36" t="s">
        <v>162</v>
      </c>
      <c r="AC36" t="s">
        <v>175</v>
      </c>
      <c r="AD36" t="s">
        <v>155</v>
      </c>
      <c r="AE36" t="s">
        <v>129</v>
      </c>
      <c r="AF36" t="s">
        <v>21</v>
      </c>
    </row>
    <row r="37" spans="1:32">
      <c r="A37" t="s">
        <v>443</v>
      </c>
      <c r="B37" s="37">
        <v>39979</v>
      </c>
      <c r="C37" s="38">
        <v>39979</v>
      </c>
      <c r="D37" s="38">
        <v>39979</v>
      </c>
      <c r="E37" s="38">
        <v>39965</v>
      </c>
      <c r="F37" s="39">
        <v>74</v>
      </c>
      <c r="G37" t="s">
        <v>383</v>
      </c>
      <c r="H37" t="s">
        <v>17</v>
      </c>
      <c r="I37">
        <v>0</v>
      </c>
      <c r="J37">
        <v>0</v>
      </c>
      <c r="K37">
        <v>1</v>
      </c>
      <c r="L37">
        <v>0</v>
      </c>
      <c r="M37">
        <v>0</v>
      </c>
      <c r="N37" t="s">
        <v>194</v>
      </c>
      <c r="O37" t="s">
        <v>213</v>
      </c>
      <c r="P37" t="s">
        <v>205</v>
      </c>
      <c r="Q37" t="s">
        <v>170</v>
      </c>
      <c r="R37" t="s">
        <v>155</v>
      </c>
      <c r="T37" t="s">
        <v>134</v>
      </c>
      <c r="U37">
        <v>1</v>
      </c>
      <c r="W37" t="s">
        <v>134</v>
      </c>
      <c r="X37">
        <v>1</v>
      </c>
      <c r="Y37" t="s">
        <v>139</v>
      </c>
      <c r="Z37" t="s">
        <v>179</v>
      </c>
      <c r="AA37" t="s">
        <v>143</v>
      </c>
      <c r="AB37" t="s">
        <v>165</v>
      </c>
      <c r="AC37" t="s">
        <v>444</v>
      </c>
      <c r="AD37" t="s">
        <v>158</v>
      </c>
      <c r="AE37" t="s">
        <v>122</v>
      </c>
      <c r="AF37" t="s">
        <v>21</v>
      </c>
    </row>
    <row r="38" spans="1:32">
      <c r="A38" t="s">
        <v>445</v>
      </c>
      <c r="B38" s="37">
        <v>40022</v>
      </c>
      <c r="C38" s="38">
        <v>40022</v>
      </c>
      <c r="D38" s="38">
        <v>40021</v>
      </c>
      <c r="E38" s="38">
        <v>39995</v>
      </c>
      <c r="F38" s="39">
        <v>117</v>
      </c>
      <c r="G38" t="s">
        <v>21</v>
      </c>
      <c r="H38" t="s">
        <v>21</v>
      </c>
      <c r="I38">
        <v>0</v>
      </c>
      <c r="J38">
        <v>0</v>
      </c>
      <c r="K38">
        <v>0</v>
      </c>
      <c r="L38">
        <v>1</v>
      </c>
      <c r="M38">
        <v>0</v>
      </c>
      <c r="N38" t="s">
        <v>193</v>
      </c>
      <c r="O38" t="s">
        <v>213</v>
      </c>
      <c r="P38" t="s">
        <v>204</v>
      </c>
      <c r="Q38" t="s">
        <v>170</v>
      </c>
      <c r="R38" t="s">
        <v>155</v>
      </c>
      <c r="S38">
        <v>5</v>
      </c>
      <c r="T38" t="s">
        <v>135</v>
      </c>
      <c r="U38">
        <v>0</v>
      </c>
      <c r="V38">
        <v>3</v>
      </c>
      <c r="W38" t="s">
        <v>137</v>
      </c>
      <c r="X38">
        <v>0</v>
      </c>
      <c r="Y38" t="s">
        <v>140</v>
      </c>
      <c r="Z38" t="s">
        <v>181</v>
      </c>
      <c r="AA38" t="s">
        <v>146</v>
      </c>
      <c r="AB38" t="s">
        <v>163</v>
      </c>
      <c r="AC38" t="s">
        <v>173</v>
      </c>
      <c r="AD38" t="s">
        <v>155</v>
      </c>
      <c r="AE38" t="s">
        <v>127</v>
      </c>
      <c r="AF38" t="s">
        <v>21</v>
      </c>
    </row>
    <row r="39" spans="1:32">
      <c r="A39" t="s">
        <v>446</v>
      </c>
      <c r="B39" s="37">
        <v>40044</v>
      </c>
      <c r="C39" s="38">
        <v>40044</v>
      </c>
      <c r="D39" s="38">
        <v>40042</v>
      </c>
      <c r="E39" s="38">
        <v>40026</v>
      </c>
      <c r="F39" s="39">
        <v>139</v>
      </c>
      <c r="G39" t="s">
        <v>21</v>
      </c>
      <c r="H39" t="s">
        <v>21</v>
      </c>
      <c r="I39">
        <v>0</v>
      </c>
      <c r="J39">
        <v>0</v>
      </c>
      <c r="K39">
        <v>0</v>
      </c>
      <c r="L39">
        <v>1</v>
      </c>
      <c r="M39">
        <v>0</v>
      </c>
      <c r="N39" t="s">
        <v>195</v>
      </c>
      <c r="O39" t="s">
        <v>213</v>
      </c>
      <c r="P39" t="s">
        <v>206</v>
      </c>
      <c r="Q39" t="s">
        <v>170</v>
      </c>
      <c r="R39" t="s">
        <v>155</v>
      </c>
      <c r="S39">
        <v>5</v>
      </c>
      <c r="T39" t="s">
        <v>135</v>
      </c>
      <c r="U39">
        <v>0</v>
      </c>
      <c r="V39">
        <v>5</v>
      </c>
      <c r="W39" t="s">
        <v>135</v>
      </c>
      <c r="X39">
        <v>0</v>
      </c>
      <c r="Y39" t="s">
        <v>139</v>
      </c>
      <c r="Z39" t="s">
        <v>447</v>
      </c>
      <c r="AA39" t="s">
        <v>144</v>
      </c>
      <c r="AB39" t="s">
        <v>162</v>
      </c>
      <c r="AC39" t="s">
        <v>448</v>
      </c>
      <c r="AD39" t="s">
        <v>157</v>
      </c>
      <c r="AE39" t="s">
        <v>434</v>
      </c>
      <c r="AF39" t="s">
        <v>449</v>
      </c>
    </row>
    <row r="40" spans="1:32">
      <c r="A40" t="s">
        <v>450</v>
      </c>
      <c r="B40" s="37">
        <v>39926</v>
      </c>
      <c r="C40" s="38">
        <v>39926</v>
      </c>
      <c r="D40" s="38">
        <v>39923</v>
      </c>
      <c r="E40" s="38">
        <v>39904</v>
      </c>
      <c r="F40" s="39">
        <v>21</v>
      </c>
      <c r="G40" t="s">
        <v>21</v>
      </c>
      <c r="H40" t="s">
        <v>21</v>
      </c>
      <c r="I40">
        <v>0</v>
      </c>
      <c r="J40">
        <v>0</v>
      </c>
      <c r="K40">
        <v>0</v>
      </c>
      <c r="L40">
        <v>1</v>
      </c>
      <c r="M40">
        <v>0</v>
      </c>
      <c r="N40" t="s">
        <v>201</v>
      </c>
      <c r="O40" t="s">
        <v>214</v>
      </c>
      <c r="P40" t="s">
        <v>204</v>
      </c>
      <c r="Q40" t="s">
        <v>170</v>
      </c>
      <c r="R40" t="s">
        <v>155</v>
      </c>
      <c r="T40" t="s">
        <v>134</v>
      </c>
      <c r="U40">
        <v>1</v>
      </c>
      <c r="W40" t="s">
        <v>134</v>
      </c>
      <c r="X40">
        <v>1</v>
      </c>
      <c r="Y40" t="s">
        <v>140</v>
      </c>
      <c r="Z40" t="s">
        <v>178</v>
      </c>
      <c r="AA40" t="s">
        <v>143</v>
      </c>
      <c r="AB40" t="s">
        <v>163</v>
      </c>
      <c r="AC40" t="s">
        <v>173</v>
      </c>
      <c r="AD40" t="s">
        <v>155</v>
      </c>
      <c r="AE40" t="s">
        <v>124</v>
      </c>
      <c r="AF40" t="s">
        <v>21</v>
      </c>
    </row>
    <row r="41" spans="1:32">
      <c r="A41" t="s">
        <v>451</v>
      </c>
      <c r="B41" s="37">
        <v>40044</v>
      </c>
      <c r="C41" s="38">
        <v>40044</v>
      </c>
      <c r="D41" s="38">
        <v>40042</v>
      </c>
      <c r="E41" s="38">
        <v>40026</v>
      </c>
      <c r="F41" s="39">
        <v>139</v>
      </c>
      <c r="G41" t="s">
        <v>21</v>
      </c>
      <c r="H41" t="s">
        <v>21</v>
      </c>
      <c r="I41">
        <v>0</v>
      </c>
      <c r="J41">
        <v>0</v>
      </c>
      <c r="K41">
        <v>0</v>
      </c>
      <c r="L41">
        <v>1</v>
      </c>
      <c r="M41">
        <v>0</v>
      </c>
      <c r="N41" t="s">
        <v>197</v>
      </c>
      <c r="O41" t="s">
        <v>213</v>
      </c>
      <c r="P41" t="s">
        <v>209</v>
      </c>
      <c r="Q41" t="s">
        <v>170</v>
      </c>
      <c r="R41" t="s">
        <v>155</v>
      </c>
      <c r="S41">
        <v>5</v>
      </c>
      <c r="T41" t="s">
        <v>135</v>
      </c>
      <c r="U41">
        <v>0</v>
      </c>
      <c r="V41">
        <v>3</v>
      </c>
      <c r="W41" t="s">
        <v>137</v>
      </c>
      <c r="X41">
        <v>0</v>
      </c>
      <c r="Y41" t="s">
        <v>139</v>
      </c>
      <c r="Z41" t="s">
        <v>190</v>
      </c>
      <c r="AA41" t="s">
        <v>149</v>
      </c>
      <c r="AB41" t="s">
        <v>165</v>
      </c>
      <c r="AC41" t="s">
        <v>452</v>
      </c>
      <c r="AD41" t="s">
        <v>158</v>
      </c>
      <c r="AE41" t="s">
        <v>122</v>
      </c>
      <c r="AF41" t="s">
        <v>21</v>
      </c>
    </row>
    <row r="42" spans="1:32">
      <c r="A42" t="s">
        <v>453</v>
      </c>
      <c r="B42" s="37">
        <v>40069</v>
      </c>
      <c r="C42" s="38">
        <v>40069</v>
      </c>
      <c r="D42" s="38">
        <v>40063</v>
      </c>
      <c r="E42" s="38">
        <v>40057</v>
      </c>
      <c r="F42" s="39">
        <v>164</v>
      </c>
      <c r="G42" t="s">
        <v>21</v>
      </c>
      <c r="H42" t="s">
        <v>21</v>
      </c>
      <c r="I42">
        <v>0</v>
      </c>
      <c r="J42">
        <v>0</v>
      </c>
      <c r="K42">
        <v>0</v>
      </c>
      <c r="L42">
        <v>1</v>
      </c>
      <c r="M42">
        <v>0</v>
      </c>
      <c r="N42" t="s">
        <v>193</v>
      </c>
      <c r="O42" t="s">
        <v>213</v>
      </c>
      <c r="P42" t="s">
        <v>204</v>
      </c>
      <c r="Q42" t="s">
        <v>170</v>
      </c>
      <c r="R42" t="s">
        <v>155</v>
      </c>
      <c r="S42">
        <v>5</v>
      </c>
      <c r="T42" t="s">
        <v>135</v>
      </c>
      <c r="U42">
        <v>0</v>
      </c>
      <c r="V42">
        <v>5</v>
      </c>
      <c r="W42" t="s">
        <v>135</v>
      </c>
      <c r="X42">
        <v>0</v>
      </c>
      <c r="Y42" t="s">
        <v>140</v>
      </c>
      <c r="Z42" t="s">
        <v>187</v>
      </c>
      <c r="AA42" t="s">
        <v>150</v>
      </c>
      <c r="AB42" t="s">
        <v>162</v>
      </c>
      <c r="AC42" t="s">
        <v>174</v>
      </c>
      <c r="AD42" t="s">
        <v>160</v>
      </c>
      <c r="AE42" t="s">
        <v>454</v>
      </c>
      <c r="AF42" t="s">
        <v>455</v>
      </c>
    </row>
    <row r="43" spans="1:32">
      <c r="A43" t="s">
        <v>456</v>
      </c>
      <c r="B43" s="37">
        <v>39924</v>
      </c>
      <c r="C43" s="38">
        <v>39924</v>
      </c>
      <c r="D43" s="38">
        <v>39923</v>
      </c>
      <c r="E43" s="38">
        <v>39904</v>
      </c>
      <c r="F43" s="39">
        <v>19</v>
      </c>
      <c r="G43" t="s">
        <v>21</v>
      </c>
      <c r="H43" t="s">
        <v>21</v>
      </c>
      <c r="I43">
        <v>0</v>
      </c>
      <c r="J43">
        <v>0</v>
      </c>
      <c r="K43">
        <v>0</v>
      </c>
      <c r="L43">
        <v>1</v>
      </c>
      <c r="M43">
        <v>0</v>
      </c>
      <c r="N43" t="s">
        <v>194</v>
      </c>
      <c r="O43" t="s">
        <v>213</v>
      </c>
      <c r="P43" t="s">
        <v>205</v>
      </c>
      <c r="Q43" t="s">
        <v>170</v>
      </c>
      <c r="R43" t="s">
        <v>155</v>
      </c>
      <c r="T43" t="s">
        <v>134</v>
      </c>
      <c r="U43">
        <v>1</v>
      </c>
      <c r="W43" t="s">
        <v>134</v>
      </c>
      <c r="X43">
        <v>1</v>
      </c>
      <c r="Y43" t="s">
        <v>139</v>
      </c>
      <c r="Z43" t="s">
        <v>179</v>
      </c>
      <c r="AA43" t="s">
        <v>147</v>
      </c>
      <c r="AB43" t="s">
        <v>163</v>
      </c>
      <c r="AC43" t="s">
        <v>173</v>
      </c>
      <c r="AD43" t="s">
        <v>161</v>
      </c>
      <c r="AE43" t="s">
        <v>457</v>
      </c>
      <c r="AF43" t="s">
        <v>21</v>
      </c>
    </row>
    <row r="44" spans="1:32">
      <c r="A44" t="s">
        <v>458</v>
      </c>
      <c r="B44" s="37">
        <v>39930</v>
      </c>
      <c r="C44" s="38">
        <v>39930</v>
      </c>
      <c r="D44" s="38">
        <v>39930</v>
      </c>
      <c r="E44" s="38">
        <v>39904</v>
      </c>
      <c r="F44" s="39">
        <v>25</v>
      </c>
      <c r="G44" t="s">
        <v>21</v>
      </c>
      <c r="H44" t="s">
        <v>21</v>
      </c>
      <c r="I44">
        <v>0</v>
      </c>
      <c r="J44">
        <v>0</v>
      </c>
      <c r="K44">
        <v>0</v>
      </c>
      <c r="L44">
        <v>1</v>
      </c>
      <c r="M44">
        <v>0</v>
      </c>
      <c r="N44" t="s">
        <v>198</v>
      </c>
      <c r="O44" t="s">
        <v>213</v>
      </c>
      <c r="P44" t="s">
        <v>208</v>
      </c>
      <c r="Q44" t="s">
        <v>170</v>
      </c>
      <c r="R44" t="s">
        <v>155</v>
      </c>
      <c r="T44" t="s">
        <v>134</v>
      </c>
      <c r="U44">
        <v>1</v>
      </c>
      <c r="W44" t="s">
        <v>134</v>
      </c>
      <c r="X44">
        <v>1</v>
      </c>
      <c r="Y44" t="s">
        <v>139</v>
      </c>
      <c r="Z44" t="s">
        <v>182</v>
      </c>
      <c r="AA44" t="s">
        <v>142</v>
      </c>
      <c r="AB44" t="s">
        <v>162</v>
      </c>
      <c r="AC44" t="s">
        <v>459</v>
      </c>
      <c r="AD44" t="s">
        <v>155</v>
      </c>
      <c r="AE44" t="s">
        <v>130</v>
      </c>
      <c r="AF44" t="s">
        <v>21</v>
      </c>
    </row>
    <row r="45" spans="1:32">
      <c r="A45" t="s">
        <v>460</v>
      </c>
      <c r="B45" s="37">
        <v>39945</v>
      </c>
      <c r="C45" s="38">
        <v>39945</v>
      </c>
      <c r="D45" s="38">
        <v>39944</v>
      </c>
      <c r="E45" s="38">
        <v>39934</v>
      </c>
      <c r="F45" s="39">
        <v>40</v>
      </c>
      <c r="G45" t="s">
        <v>21</v>
      </c>
      <c r="H45" t="s">
        <v>21</v>
      </c>
      <c r="I45">
        <v>0</v>
      </c>
      <c r="J45">
        <v>0</v>
      </c>
      <c r="K45">
        <v>0</v>
      </c>
      <c r="L45">
        <v>1</v>
      </c>
      <c r="M45">
        <v>0</v>
      </c>
      <c r="N45" t="s">
        <v>195</v>
      </c>
      <c r="O45" t="s">
        <v>213</v>
      </c>
      <c r="P45" t="s">
        <v>206</v>
      </c>
      <c r="Q45" t="s">
        <v>170</v>
      </c>
      <c r="R45" t="s">
        <v>155</v>
      </c>
      <c r="T45" t="s">
        <v>134</v>
      </c>
      <c r="U45">
        <v>1</v>
      </c>
      <c r="W45" t="s">
        <v>134</v>
      </c>
      <c r="X45">
        <v>1</v>
      </c>
      <c r="Y45" t="s">
        <v>139</v>
      </c>
      <c r="Z45" t="s">
        <v>186</v>
      </c>
      <c r="AA45" t="s">
        <v>143</v>
      </c>
      <c r="AB45" t="s">
        <v>162</v>
      </c>
      <c r="AC45" t="s">
        <v>461</v>
      </c>
      <c r="AD45" t="s">
        <v>156</v>
      </c>
      <c r="AE45" t="s">
        <v>120</v>
      </c>
      <c r="AF45" t="s">
        <v>462</v>
      </c>
    </row>
    <row r="46" spans="1:32">
      <c r="A46" t="s">
        <v>463</v>
      </c>
      <c r="B46" s="37">
        <v>39982</v>
      </c>
      <c r="C46" s="38">
        <v>39982</v>
      </c>
      <c r="D46" s="38">
        <v>39979</v>
      </c>
      <c r="E46" s="38">
        <v>39965</v>
      </c>
      <c r="F46" s="39">
        <v>77</v>
      </c>
      <c r="G46" t="s">
        <v>9</v>
      </c>
      <c r="H46" t="s">
        <v>9</v>
      </c>
      <c r="I46">
        <v>1</v>
      </c>
      <c r="J46">
        <v>0</v>
      </c>
      <c r="K46">
        <v>0</v>
      </c>
      <c r="L46">
        <v>0</v>
      </c>
      <c r="M46">
        <v>1</v>
      </c>
      <c r="N46" t="s">
        <v>193</v>
      </c>
      <c r="O46" t="s">
        <v>213</v>
      </c>
      <c r="P46" t="s">
        <v>204</v>
      </c>
      <c r="Q46" t="s">
        <v>170</v>
      </c>
      <c r="R46" t="s">
        <v>155</v>
      </c>
      <c r="T46" t="s">
        <v>134</v>
      </c>
      <c r="U46">
        <v>1</v>
      </c>
      <c r="W46" t="s">
        <v>134</v>
      </c>
      <c r="X46">
        <v>1</v>
      </c>
      <c r="Y46" t="s">
        <v>140</v>
      </c>
      <c r="Z46" t="s">
        <v>186</v>
      </c>
      <c r="AA46" t="s">
        <v>150</v>
      </c>
      <c r="AB46" t="s">
        <v>163</v>
      </c>
      <c r="AC46" t="s">
        <v>464</v>
      </c>
      <c r="AD46" t="s">
        <v>161</v>
      </c>
      <c r="AE46" t="s">
        <v>465</v>
      </c>
      <c r="AF46" t="s">
        <v>21</v>
      </c>
    </row>
    <row r="47" spans="1:32">
      <c r="A47" t="s">
        <v>466</v>
      </c>
      <c r="B47" s="37">
        <v>39982</v>
      </c>
      <c r="C47" s="38">
        <v>39982</v>
      </c>
      <c r="D47" s="38">
        <v>39979</v>
      </c>
      <c r="E47" s="38">
        <v>39965</v>
      </c>
      <c r="F47" s="39">
        <v>77</v>
      </c>
      <c r="G47" t="s">
        <v>9</v>
      </c>
      <c r="H47" t="s">
        <v>9</v>
      </c>
      <c r="I47">
        <v>1</v>
      </c>
      <c r="J47">
        <v>0</v>
      </c>
      <c r="K47">
        <v>0</v>
      </c>
      <c r="L47">
        <v>0</v>
      </c>
      <c r="M47">
        <v>1</v>
      </c>
      <c r="N47" t="s">
        <v>193</v>
      </c>
      <c r="O47" t="s">
        <v>213</v>
      </c>
      <c r="P47" t="s">
        <v>204</v>
      </c>
      <c r="Q47" t="s">
        <v>170</v>
      </c>
      <c r="R47" t="s">
        <v>155</v>
      </c>
      <c r="T47" t="s">
        <v>134</v>
      </c>
      <c r="U47">
        <v>1</v>
      </c>
      <c r="W47" t="s">
        <v>134</v>
      </c>
      <c r="X47">
        <v>1</v>
      </c>
      <c r="Y47" t="s">
        <v>140</v>
      </c>
      <c r="Z47" t="s">
        <v>179</v>
      </c>
      <c r="AA47" t="s">
        <v>143</v>
      </c>
      <c r="AB47" t="s">
        <v>163</v>
      </c>
      <c r="AC47" t="s">
        <v>21</v>
      </c>
      <c r="AD47" t="s">
        <v>155</v>
      </c>
      <c r="AE47" t="s">
        <v>467</v>
      </c>
      <c r="AF47" t="s">
        <v>21</v>
      </c>
    </row>
    <row r="48" spans="1:32">
      <c r="A48" t="s">
        <v>468</v>
      </c>
      <c r="B48" s="37">
        <v>39927</v>
      </c>
      <c r="C48" s="38">
        <v>39927</v>
      </c>
      <c r="D48" s="38">
        <v>39923</v>
      </c>
      <c r="E48" s="38">
        <v>39904</v>
      </c>
      <c r="F48" s="39">
        <v>22</v>
      </c>
      <c r="G48" t="s">
        <v>21</v>
      </c>
      <c r="H48" t="s">
        <v>21</v>
      </c>
      <c r="I48">
        <v>0</v>
      </c>
      <c r="J48">
        <v>0</v>
      </c>
      <c r="K48">
        <v>0</v>
      </c>
      <c r="L48">
        <v>1</v>
      </c>
      <c r="M48">
        <v>0</v>
      </c>
      <c r="N48" t="s">
        <v>199</v>
      </c>
      <c r="O48" t="s">
        <v>213</v>
      </c>
      <c r="P48" t="s">
        <v>210</v>
      </c>
      <c r="Q48" t="s">
        <v>170</v>
      </c>
      <c r="R48" t="s">
        <v>155</v>
      </c>
      <c r="T48" t="s">
        <v>134</v>
      </c>
      <c r="U48">
        <v>1</v>
      </c>
      <c r="W48" t="s">
        <v>134</v>
      </c>
      <c r="X48">
        <v>1</v>
      </c>
      <c r="Y48" t="s">
        <v>139</v>
      </c>
      <c r="Z48" t="s">
        <v>179</v>
      </c>
      <c r="AA48" t="s">
        <v>147</v>
      </c>
      <c r="AB48" t="s">
        <v>162</v>
      </c>
      <c r="AC48" t="s">
        <v>459</v>
      </c>
      <c r="AD48" t="s">
        <v>155</v>
      </c>
      <c r="AE48" t="s">
        <v>130</v>
      </c>
      <c r="AF48" t="s">
        <v>21</v>
      </c>
    </row>
    <row r="49" spans="1:32">
      <c r="A49" t="s">
        <v>469</v>
      </c>
      <c r="B49" s="37">
        <v>39973</v>
      </c>
      <c r="C49" s="38">
        <v>39973</v>
      </c>
      <c r="D49" s="38">
        <v>39972</v>
      </c>
      <c r="E49" s="38">
        <v>39965</v>
      </c>
      <c r="F49" s="39">
        <v>68</v>
      </c>
      <c r="G49" t="s">
        <v>9</v>
      </c>
      <c r="H49" t="s">
        <v>9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193</v>
      </c>
      <c r="O49" t="s">
        <v>213</v>
      </c>
      <c r="P49" t="s">
        <v>204</v>
      </c>
      <c r="Q49" t="s">
        <v>170</v>
      </c>
      <c r="R49" t="s">
        <v>155</v>
      </c>
      <c r="T49" t="s">
        <v>134</v>
      </c>
      <c r="U49">
        <v>1</v>
      </c>
      <c r="W49" t="s">
        <v>134</v>
      </c>
      <c r="X49">
        <v>1</v>
      </c>
      <c r="Y49" t="s">
        <v>140</v>
      </c>
      <c r="Z49" t="s">
        <v>188</v>
      </c>
      <c r="AA49" t="s">
        <v>144</v>
      </c>
      <c r="AB49" t="s">
        <v>162</v>
      </c>
      <c r="AC49" t="s">
        <v>174</v>
      </c>
      <c r="AD49" t="s">
        <v>156</v>
      </c>
      <c r="AE49" t="s">
        <v>120</v>
      </c>
      <c r="AF49" t="s">
        <v>470</v>
      </c>
    </row>
    <row r="50" spans="1:32">
      <c r="A50" t="s">
        <v>471</v>
      </c>
      <c r="B50" s="37">
        <v>39949</v>
      </c>
      <c r="C50" s="38">
        <v>39949</v>
      </c>
      <c r="D50" s="38">
        <v>39944</v>
      </c>
      <c r="E50" s="38">
        <v>39934</v>
      </c>
      <c r="F50" s="39">
        <v>44</v>
      </c>
      <c r="G50" t="s">
        <v>21</v>
      </c>
      <c r="H50" t="s">
        <v>21</v>
      </c>
      <c r="I50">
        <v>0</v>
      </c>
      <c r="J50">
        <v>0</v>
      </c>
      <c r="K50">
        <v>0</v>
      </c>
      <c r="L50">
        <v>1</v>
      </c>
      <c r="M50">
        <v>0</v>
      </c>
      <c r="N50" t="s">
        <v>193</v>
      </c>
      <c r="O50" t="s">
        <v>213</v>
      </c>
      <c r="P50" t="s">
        <v>204</v>
      </c>
      <c r="Q50" t="s">
        <v>170</v>
      </c>
      <c r="R50" t="s">
        <v>155</v>
      </c>
      <c r="T50" t="s">
        <v>134</v>
      </c>
      <c r="U50">
        <v>1</v>
      </c>
      <c r="W50" t="s">
        <v>134</v>
      </c>
      <c r="X50">
        <v>1</v>
      </c>
      <c r="Y50" t="s">
        <v>140</v>
      </c>
      <c r="Z50" t="s">
        <v>188</v>
      </c>
      <c r="AA50" t="s">
        <v>143</v>
      </c>
      <c r="AB50" t="s">
        <v>162</v>
      </c>
      <c r="AC50" t="s">
        <v>174</v>
      </c>
      <c r="AD50" t="s">
        <v>156</v>
      </c>
      <c r="AE50" t="s">
        <v>120</v>
      </c>
      <c r="AF50" t="s">
        <v>472</v>
      </c>
    </row>
    <row r="51" spans="1:32">
      <c r="A51" t="s">
        <v>473</v>
      </c>
      <c r="B51" s="37">
        <v>40017</v>
      </c>
      <c r="C51" s="38">
        <v>40017</v>
      </c>
      <c r="D51" s="38">
        <v>40014</v>
      </c>
      <c r="E51" s="38">
        <v>39995</v>
      </c>
      <c r="F51" s="39">
        <v>112</v>
      </c>
      <c r="G51" t="s">
        <v>21</v>
      </c>
      <c r="H51" t="s">
        <v>21</v>
      </c>
      <c r="I51">
        <v>0</v>
      </c>
      <c r="J51">
        <v>0</v>
      </c>
      <c r="K51">
        <v>0</v>
      </c>
      <c r="L51">
        <v>1</v>
      </c>
      <c r="M51">
        <v>0</v>
      </c>
      <c r="N51" t="s">
        <v>195</v>
      </c>
      <c r="O51" t="s">
        <v>213</v>
      </c>
      <c r="P51" t="s">
        <v>206</v>
      </c>
      <c r="Q51" t="s">
        <v>170</v>
      </c>
      <c r="R51" t="s">
        <v>155</v>
      </c>
      <c r="S51">
        <v>3</v>
      </c>
      <c r="T51" t="s">
        <v>137</v>
      </c>
      <c r="U51">
        <v>0</v>
      </c>
      <c r="V51">
        <v>3</v>
      </c>
      <c r="W51" t="s">
        <v>137</v>
      </c>
      <c r="X51">
        <v>0</v>
      </c>
      <c r="Y51" t="s">
        <v>139</v>
      </c>
      <c r="Z51" t="s">
        <v>384</v>
      </c>
      <c r="AA51" t="s">
        <v>146</v>
      </c>
      <c r="AB51" t="s">
        <v>162</v>
      </c>
      <c r="AC51" t="s">
        <v>175</v>
      </c>
      <c r="AD51" t="s">
        <v>155</v>
      </c>
      <c r="AE51" t="s">
        <v>130</v>
      </c>
      <c r="AF51" t="s">
        <v>21</v>
      </c>
    </row>
    <row r="52" spans="1:32">
      <c r="A52" t="s">
        <v>474</v>
      </c>
      <c r="B52" s="37">
        <v>39943</v>
      </c>
      <c r="C52" s="38">
        <v>39943</v>
      </c>
      <c r="D52" s="38">
        <v>39937</v>
      </c>
      <c r="E52" s="38">
        <v>39934</v>
      </c>
      <c r="F52" s="39">
        <v>38</v>
      </c>
      <c r="G52" t="s">
        <v>21</v>
      </c>
      <c r="H52" t="s">
        <v>21</v>
      </c>
      <c r="I52">
        <v>0</v>
      </c>
      <c r="J52">
        <v>0</v>
      </c>
      <c r="K52">
        <v>0</v>
      </c>
      <c r="L52">
        <v>1</v>
      </c>
      <c r="M52">
        <v>0</v>
      </c>
      <c r="N52" t="s">
        <v>193</v>
      </c>
      <c r="O52" t="s">
        <v>213</v>
      </c>
      <c r="P52" t="s">
        <v>204</v>
      </c>
      <c r="Q52" t="s">
        <v>170</v>
      </c>
      <c r="R52" t="s">
        <v>155</v>
      </c>
      <c r="T52" t="s">
        <v>134</v>
      </c>
      <c r="U52">
        <v>1</v>
      </c>
      <c r="W52" t="s">
        <v>134</v>
      </c>
      <c r="X52">
        <v>1</v>
      </c>
      <c r="Y52" t="s">
        <v>140</v>
      </c>
      <c r="Z52" t="s">
        <v>178</v>
      </c>
      <c r="AA52" t="s">
        <v>148</v>
      </c>
      <c r="AB52" t="s">
        <v>163</v>
      </c>
      <c r="AC52" t="s">
        <v>415</v>
      </c>
      <c r="AD52" t="s">
        <v>155</v>
      </c>
      <c r="AE52" t="s">
        <v>125</v>
      </c>
      <c r="AF52" t="s">
        <v>21</v>
      </c>
    </row>
    <row r="53" spans="1:32">
      <c r="A53" t="s">
        <v>475</v>
      </c>
      <c r="B53" s="37">
        <v>39944</v>
      </c>
      <c r="C53" s="38">
        <v>39944</v>
      </c>
      <c r="D53" s="38">
        <v>39944</v>
      </c>
      <c r="E53" s="38">
        <v>39934</v>
      </c>
      <c r="F53" s="39">
        <v>39</v>
      </c>
      <c r="G53" t="s">
        <v>21</v>
      </c>
      <c r="H53" t="s">
        <v>21</v>
      </c>
      <c r="I53">
        <v>0</v>
      </c>
      <c r="J53">
        <v>0</v>
      </c>
      <c r="K53">
        <v>0</v>
      </c>
      <c r="L53">
        <v>1</v>
      </c>
      <c r="M53">
        <v>0</v>
      </c>
      <c r="N53" t="s">
        <v>194</v>
      </c>
      <c r="O53" t="s">
        <v>213</v>
      </c>
      <c r="P53" t="s">
        <v>205</v>
      </c>
      <c r="Q53" t="s">
        <v>170</v>
      </c>
      <c r="R53" t="s">
        <v>155</v>
      </c>
      <c r="T53" t="s">
        <v>134</v>
      </c>
      <c r="U53">
        <v>1</v>
      </c>
      <c r="W53" t="s">
        <v>134</v>
      </c>
      <c r="X53">
        <v>1</v>
      </c>
      <c r="Y53" t="s">
        <v>139</v>
      </c>
      <c r="Z53" t="s">
        <v>186</v>
      </c>
      <c r="AA53" t="s">
        <v>145</v>
      </c>
      <c r="AB53" t="s">
        <v>162</v>
      </c>
      <c r="AC53" t="s">
        <v>176</v>
      </c>
      <c r="AD53" t="s">
        <v>155</v>
      </c>
      <c r="AE53" t="s">
        <v>130</v>
      </c>
      <c r="AF53" t="s">
        <v>21</v>
      </c>
    </row>
    <row r="54" spans="1:32">
      <c r="A54" t="s">
        <v>476</v>
      </c>
      <c r="B54" s="37">
        <v>40042</v>
      </c>
      <c r="C54" s="38">
        <v>40042</v>
      </c>
      <c r="D54" s="38">
        <v>40042</v>
      </c>
      <c r="E54" s="38">
        <v>40026</v>
      </c>
      <c r="F54" s="39">
        <v>137</v>
      </c>
      <c r="G54" t="s">
        <v>21</v>
      </c>
      <c r="H54" t="s">
        <v>21</v>
      </c>
      <c r="I54">
        <v>0</v>
      </c>
      <c r="J54">
        <v>0</v>
      </c>
      <c r="K54">
        <v>0</v>
      </c>
      <c r="L54">
        <v>1</v>
      </c>
      <c r="M54">
        <v>0</v>
      </c>
      <c r="N54" t="s">
        <v>196</v>
      </c>
      <c r="O54" t="s">
        <v>213</v>
      </c>
      <c r="P54" t="s">
        <v>207</v>
      </c>
      <c r="Q54" t="s">
        <v>170</v>
      </c>
      <c r="R54" t="s">
        <v>155</v>
      </c>
      <c r="S54">
        <v>1</v>
      </c>
      <c r="T54" t="s">
        <v>136</v>
      </c>
      <c r="U54">
        <v>0</v>
      </c>
      <c r="V54">
        <v>3</v>
      </c>
      <c r="W54" t="s">
        <v>137</v>
      </c>
      <c r="X54">
        <v>0</v>
      </c>
      <c r="Y54" t="s">
        <v>139</v>
      </c>
      <c r="Z54" t="s">
        <v>376</v>
      </c>
      <c r="AA54" t="s">
        <v>144</v>
      </c>
      <c r="AB54" t="s">
        <v>162</v>
      </c>
      <c r="AC54" t="s">
        <v>477</v>
      </c>
      <c r="AD54" t="s">
        <v>155</v>
      </c>
      <c r="AE54" t="s">
        <v>129</v>
      </c>
      <c r="AF54" t="s">
        <v>21</v>
      </c>
    </row>
    <row r="55" spans="1:32">
      <c r="A55" t="s">
        <v>478</v>
      </c>
      <c r="B55" s="37">
        <v>39987</v>
      </c>
      <c r="C55" s="38">
        <v>39987</v>
      </c>
      <c r="D55" s="38">
        <v>39986</v>
      </c>
      <c r="E55" s="38">
        <v>39965</v>
      </c>
      <c r="F55" s="39">
        <v>82</v>
      </c>
      <c r="G55" t="s">
        <v>21</v>
      </c>
      <c r="H55" t="s">
        <v>21</v>
      </c>
      <c r="I55">
        <v>0</v>
      </c>
      <c r="J55">
        <v>0</v>
      </c>
      <c r="K55">
        <v>0</v>
      </c>
      <c r="L55">
        <v>1</v>
      </c>
      <c r="M55">
        <v>0</v>
      </c>
      <c r="N55" t="s">
        <v>193</v>
      </c>
      <c r="O55" t="s">
        <v>213</v>
      </c>
      <c r="P55" t="s">
        <v>204</v>
      </c>
      <c r="Q55" t="s">
        <v>170</v>
      </c>
      <c r="R55" t="s">
        <v>155</v>
      </c>
      <c r="T55" t="s">
        <v>134</v>
      </c>
      <c r="U55">
        <v>1</v>
      </c>
      <c r="W55" t="s">
        <v>134</v>
      </c>
      <c r="X55">
        <v>1</v>
      </c>
      <c r="Y55" t="s">
        <v>140</v>
      </c>
      <c r="Z55" t="s">
        <v>479</v>
      </c>
      <c r="AA55" t="s">
        <v>143</v>
      </c>
      <c r="AB55" t="s">
        <v>162</v>
      </c>
      <c r="AC55" t="s">
        <v>175</v>
      </c>
      <c r="AD55" t="s">
        <v>161</v>
      </c>
      <c r="AE55" t="s">
        <v>387</v>
      </c>
      <c r="AF55" t="s">
        <v>21</v>
      </c>
    </row>
    <row r="56" spans="1:32">
      <c r="A56" t="s">
        <v>480</v>
      </c>
      <c r="B56" s="37">
        <v>39980</v>
      </c>
      <c r="C56" s="38">
        <v>39980</v>
      </c>
      <c r="D56" s="38">
        <v>39979</v>
      </c>
      <c r="E56" s="38">
        <v>39965</v>
      </c>
      <c r="F56" s="39">
        <v>75</v>
      </c>
      <c r="G56" t="s">
        <v>21</v>
      </c>
      <c r="H56" t="s">
        <v>21</v>
      </c>
      <c r="I56">
        <v>0</v>
      </c>
      <c r="J56">
        <v>0</v>
      </c>
      <c r="K56">
        <v>0</v>
      </c>
      <c r="L56">
        <v>1</v>
      </c>
      <c r="M56">
        <v>0</v>
      </c>
      <c r="N56" t="s">
        <v>193</v>
      </c>
      <c r="O56" t="s">
        <v>213</v>
      </c>
      <c r="P56" t="s">
        <v>204</v>
      </c>
      <c r="Q56" t="s">
        <v>170</v>
      </c>
      <c r="R56" t="s">
        <v>155</v>
      </c>
      <c r="T56" t="s">
        <v>134</v>
      </c>
      <c r="U56">
        <v>1</v>
      </c>
      <c r="W56" t="s">
        <v>134</v>
      </c>
      <c r="X56">
        <v>1</v>
      </c>
      <c r="Y56" t="s">
        <v>140</v>
      </c>
      <c r="Z56" t="s">
        <v>181</v>
      </c>
      <c r="AA56" t="s">
        <v>142</v>
      </c>
      <c r="AB56" t="s">
        <v>162</v>
      </c>
      <c r="AC56" t="s">
        <v>175</v>
      </c>
      <c r="AD56" t="s">
        <v>155</v>
      </c>
      <c r="AE56" t="s">
        <v>129</v>
      </c>
      <c r="AF56" t="s">
        <v>21</v>
      </c>
    </row>
    <row r="57" spans="1:32">
      <c r="A57" t="s">
        <v>481</v>
      </c>
      <c r="B57" s="37">
        <v>39948</v>
      </c>
      <c r="C57" s="38">
        <v>39948</v>
      </c>
      <c r="D57" s="38">
        <v>39944</v>
      </c>
      <c r="E57" s="38">
        <v>39934</v>
      </c>
      <c r="F57" s="39">
        <v>43</v>
      </c>
      <c r="G57" t="s">
        <v>380</v>
      </c>
      <c r="H57" t="s">
        <v>17</v>
      </c>
      <c r="I57">
        <v>0</v>
      </c>
      <c r="J57">
        <v>0</v>
      </c>
      <c r="K57">
        <v>1</v>
      </c>
      <c r="L57">
        <v>0</v>
      </c>
      <c r="M57">
        <v>0</v>
      </c>
      <c r="N57" t="s">
        <v>194</v>
      </c>
      <c r="O57" t="s">
        <v>213</v>
      </c>
      <c r="P57" t="s">
        <v>205</v>
      </c>
      <c r="Q57" t="s">
        <v>170</v>
      </c>
      <c r="R57" t="s">
        <v>155</v>
      </c>
      <c r="T57" t="s">
        <v>134</v>
      </c>
      <c r="U57">
        <v>1</v>
      </c>
      <c r="W57" t="s">
        <v>134</v>
      </c>
      <c r="X57">
        <v>1</v>
      </c>
      <c r="Y57" t="s">
        <v>139</v>
      </c>
      <c r="Z57" t="s">
        <v>186</v>
      </c>
      <c r="AA57" t="s">
        <v>143</v>
      </c>
      <c r="AB57" t="s">
        <v>163</v>
      </c>
      <c r="AC57" t="s">
        <v>482</v>
      </c>
      <c r="AD57" t="s">
        <v>155</v>
      </c>
      <c r="AE57" t="s">
        <v>454</v>
      </c>
      <c r="AF57" t="s">
        <v>21</v>
      </c>
    </row>
    <row r="58" spans="1:32">
      <c r="A58" t="s">
        <v>483</v>
      </c>
      <c r="B58" s="37">
        <v>40059</v>
      </c>
      <c r="C58" s="38">
        <v>40059</v>
      </c>
      <c r="D58" s="38">
        <v>40056</v>
      </c>
      <c r="E58" s="38">
        <v>40057</v>
      </c>
      <c r="F58" s="39">
        <v>154</v>
      </c>
      <c r="G58" t="s">
        <v>383</v>
      </c>
      <c r="H58" t="s">
        <v>17</v>
      </c>
      <c r="I58">
        <v>0</v>
      </c>
      <c r="J58">
        <v>0</v>
      </c>
      <c r="K58">
        <v>1</v>
      </c>
      <c r="L58">
        <v>0</v>
      </c>
      <c r="M58">
        <v>0</v>
      </c>
      <c r="N58" t="s">
        <v>193</v>
      </c>
      <c r="O58" t="s">
        <v>213</v>
      </c>
      <c r="P58" t="s">
        <v>204</v>
      </c>
      <c r="Q58" t="s">
        <v>170</v>
      </c>
      <c r="R58" t="s">
        <v>155</v>
      </c>
      <c r="S58">
        <v>5</v>
      </c>
      <c r="T58" t="s">
        <v>135</v>
      </c>
      <c r="U58">
        <v>0</v>
      </c>
      <c r="V58">
        <v>3</v>
      </c>
      <c r="W58" t="s">
        <v>137</v>
      </c>
      <c r="X58">
        <v>0</v>
      </c>
      <c r="Y58" t="s">
        <v>140</v>
      </c>
      <c r="Z58" t="s">
        <v>182</v>
      </c>
      <c r="AA58" t="s">
        <v>146</v>
      </c>
      <c r="AB58" t="s">
        <v>163</v>
      </c>
      <c r="AC58" t="s">
        <v>173</v>
      </c>
      <c r="AD58" t="s">
        <v>155</v>
      </c>
      <c r="AE58" t="s">
        <v>484</v>
      </c>
      <c r="AF58" t="s">
        <v>21</v>
      </c>
    </row>
    <row r="59" spans="1:32">
      <c r="A59" t="s">
        <v>485</v>
      </c>
      <c r="B59" s="37">
        <v>39964</v>
      </c>
      <c r="C59" s="38">
        <v>39964</v>
      </c>
      <c r="D59" s="38">
        <v>39958</v>
      </c>
      <c r="E59" s="38">
        <v>39934</v>
      </c>
      <c r="F59" s="39">
        <v>59</v>
      </c>
      <c r="G59" t="s">
        <v>486</v>
      </c>
      <c r="H59" t="s">
        <v>13</v>
      </c>
      <c r="I59">
        <v>0</v>
      </c>
      <c r="J59">
        <v>1</v>
      </c>
      <c r="K59">
        <v>0</v>
      </c>
      <c r="L59">
        <v>0</v>
      </c>
      <c r="M59">
        <v>1</v>
      </c>
      <c r="N59" t="s">
        <v>193</v>
      </c>
      <c r="O59" t="s">
        <v>213</v>
      </c>
      <c r="P59" t="s">
        <v>204</v>
      </c>
      <c r="Q59" t="s">
        <v>170</v>
      </c>
      <c r="R59" t="s">
        <v>155</v>
      </c>
      <c r="T59" t="s">
        <v>134</v>
      </c>
      <c r="U59">
        <v>1</v>
      </c>
      <c r="W59" t="s">
        <v>134</v>
      </c>
      <c r="X59">
        <v>1</v>
      </c>
      <c r="Y59" t="s">
        <v>140</v>
      </c>
      <c r="Z59" t="s">
        <v>183</v>
      </c>
      <c r="AA59" t="s">
        <v>143</v>
      </c>
      <c r="AB59" t="s">
        <v>163</v>
      </c>
      <c r="AC59" t="s">
        <v>173</v>
      </c>
      <c r="AD59" t="s">
        <v>155</v>
      </c>
      <c r="AE59" t="s">
        <v>124</v>
      </c>
      <c r="AF59" t="s">
        <v>21</v>
      </c>
    </row>
    <row r="60" spans="1:32">
      <c r="A60" t="s">
        <v>487</v>
      </c>
      <c r="B60" s="37">
        <v>39938</v>
      </c>
      <c r="C60" s="38">
        <v>39938</v>
      </c>
      <c r="D60" s="38">
        <v>39937</v>
      </c>
      <c r="E60" s="38">
        <v>39934</v>
      </c>
      <c r="F60" s="39">
        <v>33</v>
      </c>
      <c r="G60" t="s">
        <v>21</v>
      </c>
      <c r="H60" t="s">
        <v>21</v>
      </c>
      <c r="I60">
        <v>0</v>
      </c>
      <c r="J60">
        <v>0</v>
      </c>
      <c r="K60">
        <v>0</v>
      </c>
      <c r="L60">
        <v>1</v>
      </c>
      <c r="M60">
        <v>0</v>
      </c>
      <c r="N60" t="s">
        <v>202</v>
      </c>
      <c r="O60" t="s">
        <v>213</v>
      </c>
      <c r="P60" t="s">
        <v>211</v>
      </c>
      <c r="Q60" t="s">
        <v>170</v>
      </c>
      <c r="R60" t="s">
        <v>155</v>
      </c>
      <c r="T60" t="s">
        <v>134</v>
      </c>
      <c r="U60">
        <v>1</v>
      </c>
      <c r="W60" t="s">
        <v>134</v>
      </c>
      <c r="X60">
        <v>1</v>
      </c>
      <c r="Y60" t="s">
        <v>139</v>
      </c>
      <c r="Z60" t="s">
        <v>186</v>
      </c>
      <c r="AA60" t="s">
        <v>143</v>
      </c>
      <c r="AB60" t="s">
        <v>162</v>
      </c>
      <c r="AC60" t="s">
        <v>174</v>
      </c>
      <c r="AD60" t="s">
        <v>156</v>
      </c>
      <c r="AE60" t="s">
        <v>120</v>
      </c>
      <c r="AF60" t="s">
        <v>488</v>
      </c>
    </row>
    <row r="61" spans="1:32">
      <c r="A61" t="s">
        <v>489</v>
      </c>
      <c r="B61" s="37">
        <v>40081</v>
      </c>
      <c r="C61" s="38">
        <v>40081</v>
      </c>
      <c r="D61" s="38">
        <v>40077</v>
      </c>
      <c r="E61" s="38">
        <v>40057</v>
      </c>
      <c r="F61" s="39">
        <v>176</v>
      </c>
      <c r="G61" t="s">
        <v>21</v>
      </c>
      <c r="H61" t="s">
        <v>21</v>
      </c>
      <c r="I61">
        <v>0</v>
      </c>
      <c r="J61">
        <v>0</v>
      </c>
      <c r="K61">
        <v>0</v>
      </c>
      <c r="L61">
        <v>1</v>
      </c>
      <c r="M61">
        <v>0</v>
      </c>
      <c r="N61" t="s">
        <v>193</v>
      </c>
      <c r="O61" t="s">
        <v>213</v>
      </c>
      <c r="P61" t="s">
        <v>204</v>
      </c>
      <c r="Q61" t="s">
        <v>170</v>
      </c>
      <c r="R61" t="s">
        <v>155</v>
      </c>
      <c r="S61">
        <v>5</v>
      </c>
      <c r="T61" t="s">
        <v>135</v>
      </c>
      <c r="U61">
        <v>0</v>
      </c>
      <c r="V61">
        <v>5</v>
      </c>
      <c r="W61" t="s">
        <v>135</v>
      </c>
      <c r="X61">
        <v>0</v>
      </c>
      <c r="Y61" t="s">
        <v>140</v>
      </c>
      <c r="Z61" t="s">
        <v>182</v>
      </c>
      <c r="AA61" t="s">
        <v>144</v>
      </c>
      <c r="AB61" t="s">
        <v>163</v>
      </c>
      <c r="AC61" t="s">
        <v>173</v>
      </c>
      <c r="AD61" t="s">
        <v>155</v>
      </c>
      <c r="AE61" t="s">
        <v>406</v>
      </c>
      <c r="AF61" t="s">
        <v>21</v>
      </c>
    </row>
    <row r="62" spans="1:32">
      <c r="A62" t="s">
        <v>490</v>
      </c>
      <c r="B62" s="37">
        <v>40077</v>
      </c>
      <c r="C62" s="38">
        <v>40077</v>
      </c>
      <c r="D62" s="38">
        <v>40077</v>
      </c>
      <c r="E62" s="38">
        <v>40057</v>
      </c>
      <c r="F62" s="39">
        <v>172</v>
      </c>
      <c r="G62" t="s">
        <v>21</v>
      </c>
      <c r="H62" t="s">
        <v>21</v>
      </c>
      <c r="I62">
        <v>0</v>
      </c>
      <c r="J62">
        <v>0</v>
      </c>
      <c r="K62">
        <v>0</v>
      </c>
      <c r="L62">
        <v>1</v>
      </c>
      <c r="M62">
        <v>0</v>
      </c>
      <c r="N62" t="s">
        <v>196</v>
      </c>
      <c r="O62" t="s">
        <v>213</v>
      </c>
      <c r="P62" t="s">
        <v>207</v>
      </c>
      <c r="Q62" t="s">
        <v>170</v>
      </c>
      <c r="R62" t="s">
        <v>155</v>
      </c>
      <c r="S62">
        <v>5</v>
      </c>
      <c r="T62" t="s">
        <v>135</v>
      </c>
      <c r="U62">
        <v>0</v>
      </c>
      <c r="V62">
        <v>3</v>
      </c>
      <c r="W62" t="s">
        <v>137</v>
      </c>
      <c r="X62">
        <v>0</v>
      </c>
      <c r="Y62" t="s">
        <v>139</v>
      </c>
      <c r="Z62" t="s">
        <v>181</v>
      </c>
      <c r="AA62" t="s">
        <v>146</v>
      </c>
      <c r="AB62" t="s">
        <v>162</v>
      </c>
      <c r="AC62" t="s">
        <v>174</v>
      </c>
      <c r="AD62" t="s">
        <v>159</v>
      </c>
      <c r="AE62" t="s">
        <v>123</v>
      </c>
      <c r="AF62" t="s">
        <v>123</v>
      </c>
    </row>
    <row r="63" spans="1:32">
      <c r="A63" t="s">
        <v>491</v>
      </c>
      <c r="B63" s="37">
        <v>39919</v>
      </c>
      <c r="C63" s="38">
        <v>39919</v>
      </c>
      <c r="D63" s="38">
        <v>39916</v>
      </c>
      <c r="E63" s="38">
        <v>39904</v>
      </c>
      <c r="F63" s="39">
        <v>14</v>
      </c>
      <c r="G63" t="s">
        <v>9</v>
      </c>
      <c r="H63" t="s">
        <v>9</v>
      </c>
      <c r="I63">
        <v>1</v>
      </c>
      <c r="J63">
        <v>0</v>
      </c>
      <c r="K63">
        <v>0</v>
      </c>
      <c r="L63">
        <v>0</v>
      </c>
      <c r="M63">
        <v>1</v>
      </c>
      <c r="N63" t="s">
        <v>198</v>
      </c>
      <c r="O63" t="s">
        <v>213</v>
      </c>
      <c r="P63" t="s">
        <v>208</v>
      </c>
      <c r="Q63" t="s">
        <v>170</v>
      </c>
      <c r="R63" t="s">
        <v>155</v>
      </c>
      <c r="T63" t="s">
        <v>134</v>
      </c>
      <c r="U63">
        <v>1</v>
      </c>
      <c r="W63" t="s">
        <v>134</v>
      </c>
      <c r="X63">
        <v>1</v>
      </c>
      <c r="Y63" t="s">
        <v>139</v>
      </c>
      <c r="Z63" t="s">
        <v>178</v>
      </c>
      <c r="AA63" t="s">
        <v>143</v>
      </c>
      <c r="AB63" t="s">
        <v>162</v>
      </c>
      <c r="AC63" t="s">
        <v>174</v>
      </c>
      <c r="AD63" t="s">
        <v>156</v>
      </c>
      <c r="AE63" t="s">
        <v>120</v>
      </c>
      <c r="AF63" t="s">
        <v>492</v>
      </c>
    </row>
    <row r="64" spans="1:32">
      <c r="A64" t="s">
        <v>493</v>
      </c>
      <c r="B64" s="37">
        <v>39954</v>
      </c>
      <c r="C64" s="38">
        <v>39954</v>
      </c>
      <c r="D64" s="38">
        <v>39951</v>
      </c>
      <c r="E64" s="38">
        <v>39934</v>
      </c>
      <c r="F64" s="39">
        <v>49</v>
      </c>
      <c r="G64" t="s">
        <v>21</v>
      </c>
      <c r="H64" t="s">
        <v>21</v>
      </c>
      <c r="I64">
        <v>0</v>
      </c>
      <c r="J64">
        <v>0</v>
      </c>
      <c r="K64">
        <v>0</v>
      </c>
      <c r="L64">
        <v>1</v>
      </c>
      <c r="M64">
        <v>0</v>
      </c>
      <c r="N64" t="s">
        <v>194</v>
      </c>
      <c r="O64" t="s">
        <v>213</v>
      </c>
      <c r="P64" t="s">
        <v>205</v>
      </c>
      <c r="Q64" t="s">
        <v>170</v>
      </c>
      <c r="R64" t="s">
        <v>155</v>
      </c>
      <c r="T64" t="s">
        <v>134</v>
      </c>
      <c r="U64">
        <v>1</v>
      </c>
      <c r="W64" t="s">
        <v>134</v>
      </c>
      <c r="X64">
        <v>1</v>
      </c>
      <c r="Y64" t="s">
        <v>139</v>
      </c>
      <c r="Z64" t="s">
        <v>178</v>
      </c>
      <c r="AA64" t="s">
        <v>142</v>
      </c>
      <c r="AB64" t="s">
        <v>163</v>
      </c>
      <c r="AC64" t="s">
        <v>173</v>
      </c>
      <c r="AD64" t="s">
        <v>155</v>
      </c>
      <c r="AE64" t="s">
        <v>406</v>
      </c>
      <c r="AF64" t="s">
        <v>21</v>
      </c>
    </row>
    <row r="65" spans="1:32">
      <c r="A65" t="s">
        <v>494</v>
      </c>
      <c r="B65" s="37">
        <v>39953</v>
      </c>
      <c r="C65" s="38">
        <v>39953</v>
      </c>
      <c r="D65" s="38">
        <v>39951</v>
      </c>
      <c r="E65" s="38">
        <v>39934</v>
      </c>
      <c r="F65" s="39">
        <v>48</v>
      </c>
      <c r="G65" t="s">
        <v>21</v>
      </c>
      <c r="H65" t="s">
        <v>21</v>
      </c>
      <c r="I65">
        <v>0</v>
      </c>
      <c r="J65">
        <v>0</v>
      </c>
      <c r="K65">
        <v>0</v>
      </c>
      <c r="L65">
        <v>1</v>
      </c>
      <c r="M65">
        <v>0</v>
      </c>
      <c r="N65" t="s">
        <v>195</v>
      </c>
      <c r="O65" t="s">
        <v>213</v>
      </c>
      <c r="P65" t="s">
        <v>206</v>
      </c>
      <c r="Q65" t="s">
        <v>170</v>
      </c>
      <c r="R65" t="s">
        <v>155</v>
      </c>
      <c r="T65" t="s">
        <v>134</v>
      </c>
      <c r="U65">
        <v>1</v>
      </c>
      <c r="W65" t="s">
        <v>134</v>
      </c>
      <c r="X65">
        <v>1</v>
      </c>
      <c r="Y65" t="s">
        <v>139</v>
      </c>
      <c r="Z65" t="s">
        <v>186</v>
      </c>
      <c r="AA65" t="s">
        <v>143</v>
      </c>
      <c r="AB65" t="s">
        <v>162</v>
      </c>
      <c r="AC65" t="s">
        <v>174</v>
      </c>
      <c r="AD65" t="s">
        <v>157</v>
      </c>
      <c r="AE65" t="s">
        <v>130</v>
      </c>
      <c r="AF65" t="s">
        <v>437</v>
      </c>
    </row>
    <row r="66" spans="1:32">
      <c r="A66" t="s">
        <v>495</v>
      </c>
      <c r="B66" s="37">
        <v>40028</v>
      </c>
      <c r="C66" s="38">
        <v>40028</v>
      </c>
      <c r="D66" s="38">
        <v>40028</v>
      </c>
      <c r="E66" s="38">
        <v>40026</v>
      </c>
      <c r="F66" s="39">
        <v>123</v>
      </c>
      <c r="G66" t="s">
        <v>496</v>
      </c>
      <c r="H66" t="s">
        <v>13</v>
      </c>
      <c r="I66">
        <v>0</v>
      </c>
      <c r="J66">
        <v>1</v>
      </c>
      <c r="K66">
        <v>0</v>
      </c>
      <c r="L66">
        <v>0</v>
      </c>
      <c r="M66">
        <v>1</v>
      </c>
      <c r="N66" t="s">
        <v>195</v>
      </c>
      <c r="O66" t="s">
        <v>213</v>
      </c>
      <c r="P66" t="s">
        <v>206</v>
      </c>
      <c r="Q66" t="s">
        <v>170</v>
      </c>
      <c r="R66" t="s">
        <v>155</v>
      </c>
      <c r="S66">
        <v>5</v>
      </c>
      <c r="T66" t="s">
        <v>135</v>
      </c>
      <c r="U66">
        <v>0</v>
      </c>
      <c r="V66">
        <v>3</v>
      </c>
      <c r="W66" t="s">
        <v>137</v>
      </c>
      <c r="X66">
        <v>0</v>
      </c>
      <c r="Y66" t="s">
        <v>139</v>
      </c>
      <c r="Z66" t="s">
        <v>183</v>
      </c>
      <c r="AA66" t="s">
        <v>143</v>
      </c>
      <c r="AB66" t="s">
        <v>162</v>
      </c>
      <c r="AC66" t="s">
        <v>175</v>
      </c>
      <c r="AD66" t="s">
        <v>155</v>
      </c>
      <c r="AE66" t="s">
        <v>129</v>
      </c>
      <c r="AF66" t="s">
        <v>21</v>
      </c>
    </row>
    <row r="67" spans="1:32">
      <c r="A67" t="s">
        <v>497</v>
      </c>
      <c r="B67" s="37">
        <v>39933</v>
      </c>
      <c r="C67" s="38">
        <v>39933</v>
      </c>
      <c r="D67" s="38">
        <v>39930</v>
      </c>
      <c r="E67" s="38">
        <v>39904</v>
      </c>
      <c r="F67" s="39">
        <v>28</v>
      </c>
      <c r="G67" t="s">
        <v>21</v>
      </c>
      <c r="H67" t="s">
        <v>21</v>
      </c>
      <c r="I67">
        <v>0</v>
      </c>
      <c r="J67">
        <v>0</v>
      </c>
      <c r="K67">
        <v>0</v>
      </c>
      <c r="L67">
        <v>1</v>
      </c>
      <c r="M67">
        <v>0</v>
      </c>
      <c r="N67" t="s">
        <v>200</v>
      </c>
      <c r="O67" t="s">
        <v>214</v>
      </c>
      <c r="P67" t="s">
        <v>208</v>
      </c>
      <c r="Q67" t="s">
        <v>170</v>
      </c>
      <c r="R67" t="s">
        <v>155</v>
      </c>
      <c r="T67" t="s">
        <v>134</v>
      </c>
      <c r="U67">
        <v>1</v>
      </c>
      <c r="W67" t="s">
        <v>134</v>
      </c>
      <c r="X67">
        <v>1</v>
      </c>
      <c r="Y67" t="s">
        <v>139</v>
      </c>
      <c r="Z67" t="s">
        <v>191</v>
      </c>
      <c r="AA67" t="s">
        <v>151</v>
      </c>
      <c r="AB67" t="s">
        <v>162</v>
      </c>
      <c r="AC67" t="s">
        <v>498</v>
      </c>
      <c r="AD67" t="s">
        <v>155</v>
      </c>
      <c r="AE67" t="s">
        <v>129</v>
      </c>
      <c r="AF67" t="s">
        <v>21</v>
      </c>
    </row>
    <row r="68" spans="1:32">
      <c r="A68" t="s">
        <v>499</v>
      </c>
      <c r="B68" s="37">
        <v>39919</v>
      </c>
      <c r="C68" s="38">
        <v>39919</v>
      </c>
      <c r="D68" s="38">
        <v>39916</v>
      </c>
      <c r="E68" s="38">
        <v>39904</v>
      </c>
      <c r="F68" s="39">
        <v>14</v>
      </c>
      <c r="G68" t="s">
        <v>21</v>
      </c>
      <c r="H68" t="s">
        <v>21</v>
      </c>
      <c r="I68">
        <v>0</v>
      </c>
      <c r="J68">
        <v>0</v>
      </c>
      <c r="K68">
        <v>0</v>
      </c>
      <c r="L68">
        <v>1</v>
      </c>
      <c r="M68">
        <v>0</v>
      </c>
      <c r="N68" t="s">
        <v>193</v>
      </c>
      <c r="O68" t="s">
        <v>213</v>
      </c>
      <c r="P68" t="s">
        <v>204</v>
      </c>
      <c r="Q68" t="s">
        <v>170</v>
      </c>
      <c r="R68" t="s">
        <v>155</v>
      </c>
      <c r="T68" t="s">
        <v>134</v>
      </c>
      <c r="U68">
        <v>1</v>
      </c>
      <c r="W68" t="s">
        <v>134</v>
      </c>
      <c r="X68">
        <v>1</v>
      </c>
      <c r="Y68" t="s">
        <v>140</v>
      </c>
      <c r="Z68" t="s">
        <v>183</v>
      </c>
      <c r="AA68" t="s">
        <v>147</v>
      </c>
      <c r="AB68" t="s">
        <v>163</v>
      </c>
      <c r="AC68" t="s">
        <v>500</v>
      </c>
      <c r="AD68" t="s">
        <v>155</v>
      </c>
      <c r="AE68" t="s">
        <v>501</v>
      </c>
      <c r="AF68" t="s">
        <v>21</v>
      </c>
    </row>
    <row r="69" spans="1:32">
      <c r="A69" t="s">
        <v>502</v>
      </c>
      <c r="B69" s="37">
        <v>39923</v>
      </c>
      <c r="C69" s="38">
        <v>39923</v>
      </c>
      <c r="D69" s="38">
        <v>39923</v>
      </c>
      <c r="E69" s="38">
        <v>39904</v>
      </c>
      <c r="F69" s="39">
        <v>18</v>
      </c>
      <c r="G69" t="s">
        <v>21</v>
      </c>
      <c r="H69" t="s">
        <v>21</v>
      </c>
      <c r="I69">
        <v>0</v>
      </c>
      <c r="J69">
        <v>0</v>
      </c>
      <c r="K69">
        <v>0</v>
      </c>
      <c r="L69">
        <v>1</v>
      </c>
      <c r="M69">
        <v>0</v>
      </c>
      <c r="N69" t="s">
        <v>202</v>
      </c>
      <c r="O69" t="s">
        <v>213</v>
      </c>
      <c r="P69" t="s">
        <v>211</v>
      </c>
      <c r="Q69" t="s">
        <v>170</v>
      </c>
      <c r="R69" t="s">
        <v>155</v>
      </c>
      <c r="T69" t="s">
        <v>134</v>
      </c>
      <c r="U69">
        <v>1</v>
      </c>
      <c r="W69" t="s">
        <v>134</v>
      </c>
      <c r="X69">
        <v>1</v>
      </c>
      <c r="Y69" t="s">
        <v>139</v>
      </c>
      <c r="Z69" t="s">
        <v>183</v>
      </c>
      <c r="AA69" t="s">
        <v>142</v>
      </c>
      <c r="AB69" t="s">
        <v>165</v>
      </c>
      <c r="AC69" t="s">
        <v>503</v>
      </c>
      <c r="AD69" t="s">
        <v>158</v>
      </c>
      <c r="AE69" t="s">
        <v>122</v>
      </c>
      <c r="AF69" t="s">
        <v>21</v>
      </c>
    </row>
    <row r="70" spans="1:32">
      <c r="A70" t="s">
        <v>504</v>
      </c>
      <c r="B70" s="37">
        <v>40039</v>
      </c>
      <c r="C70" s="38">
        <v>40039</v>
      </c>
      <c r="D70" s="38">
        <v>40035</v>
      </c>
      <c r="E70" s="38">
        <v>40026</v>
      </c>
      <c r="F70" s="39">
        <v>134</v>
      </c>
      <c r="G70" t="s">
        <v>9</v>
      </c>
      <c r="H70" t="s">
        <v>9</v>
      </c>
      <c r="I70">
        <v>1</v>
      </c>
      <c r="J70">
        <v>0</v>
      </c>
      <c r="K70">
        <v>0</v>
      </c>
      <c r="L70">
        <v>0</v>
      </c>
      <c r="M70">
        <v>1</v>
      </c>
      <c r="N70" t="s">
        <v>197</v>
      </c>
      <c r="O70" t="s">
        <v>213</v>
      </c>
      <c r="P70" t="s">
        <v>209</v>
      </c>
      <c r="Q70" t="s">
        <v>170</v>
      </c>
      <c r="R70" t="s">
        <v>155</v>
      </c>
      <c r="S70">
        <v>5</v>
      </c>
      <c r="T70" t="s">
        <v>135</v>
      </c>
      <c r="U70">
        <v>0</v>
      </c>
      <c r="V70">
        <v>3</v>
      </c>
      <c r="W70" t="s">
        <v>137</v>
      </c>
      <c r="X70">
        <v>0</v>
      </c>
      <c r="Y70" t="s">
        <v>139</v>
      </c>
      <c r="Z70" t="s">
        <v>180</v>
      </c>
      <c r="AA70" t="s">
        <v>146</v>
      </c>
      <c r="AB70" t="s">
        <v>162</v>
      </c>
      <c r="AC70" t="s">
        <v>174</v>
      </c>
      <c r="AD70" t="s">
        <v>156</v>
      </c>
      <c r="AE70" t="s">
        <v>120</v>
      </c>
      <c r="AF70" t="s">
        <v>425</v>
      </c>
    </row>
    <row r="71" spans="1:32">
      <c r="A71" t="s">
        <v>505</v>
      </c>
      <c r="B71" s="37">
        <v>40070</v>
      </c>
      <c r="C71" s="38">
        <v>40070</v>
      </c>
      <c r="D71" s="38">
        <v>40070</v>
      </c>
      <c r="E71" s="38">
        <v>40057</v>
      </c>
      <c r="F71" s="39">
        <v>165</v>
      </c>
      <c r="G71" t="s">
        <v>21</v>
      </c>
      <c r="H71" t="s">
        <v>21</v>
      </c>
      <c r="I71">
        <v>0</v>
      </c>
      <c r="J71">
        <v>0</v>
      </c>
      <c r="K71">
        <v>0</v>
      </c>
      <c r="L71">
        <v>1</v>
      </c>
      <c r="M71">
        <v>0</v>
      </c>
      <c r="N71" t="s">
        <v>193</v>
      </c>
      <c r="O71" t="s">
        <v>213</v>
      </c>
      <c r="P71" t="s">
        <v>204</v>
      </c>
      <c r="Q71" t="s">
        <v>170</v>
      </c>
      <c r="R71" t="s">
        <v>155</v>
      </c>
      <c r="S71">
        <v>5</v>
      </c>
      <c r="T71" t="s">
        <v>135</v>
      </c>
      <c r="U71">
        <v>0</v>
      </c>
      <c r="V71">
        <v>5</v>
      </c>
      <c r="W71" t="s">
        <v>135</v>
      </c>
      <c r="X71">
        <v>0</v>
      </c>
      <c r="Y71" t="s">
        <v>140</v>
      </c>
      <c r="Z71" t="s">
        <v>183</v>
      </c>
      <c r="AA71" t="s">
        <v>142</v>
      </c>
      <c r="AB71" t="s">
        <v>162</v>
      </c>
      <c r="AC71" t="s">
        <v>506</v>
      </c>
      <c r="AD71" t="s">
        <v>159</v>
      </c>
      <c r="AE71" t="s">
        <v>123</v>
      </c>
      <c r="AF71" t="s">
        <v>123</v>
      </c>
    </row>
    <row r="72" spans="1:32">
      <c r="A72" t="s">
        <v>507</v>
      </c>
      <c r="B72" s="37">
        <v>39926</v>
      </c>
      <c r="C72" s="38">
        <v>39926</v>
      </c>
      <c r="D72" s="38">
        <v>39923</v>
      </c>
      <c r="E72" s="38">
        <v>39904</v>
      </c>
      <c r="F72" s="39">
        <v>21</v>
      </c>
      <c r="G72" t="s">
        <v>21</v>
      </c>
      <c r="H72" t="s">
        <v>21</v>
      </c>
      <c r="I72">
        <v>0</v>
      </c>
      <c r="J72">
        <v>0</v>
      </c>
      <c r="K72">
        <v>0</v>
      </c>
      <c r="L72">
        <v>1</v>
      </c>
      <c r="M72">
        <v>0</v>
      </c>
      <c r="N72" t="s">
        <v>199</v>
      </c>
      <c r="O72" t="s">
        <v>213</v>
      </c>
      <c r="P72" t="s">
        <v>210</v>
      </c>
      <c r="Q72" t="s">
        <v>170</v>
      </c>
      <c r="R72" t="s">
        <v>155</v>
      </c>
      <c r="T72" t="s">
        <v>134</v>
      </c>
      <c r="U72">
        <v>1</v>
      </c>
      <c r="W72" t="s">
        <v>134</v>
      </c>
      <c r="X72">
        <v>1</v>
      </c>
      <c r="Y72" t="s">
        <v>139</v>
      </c>
      <c r="Z72" t="s">
        <v>179</v>
      </c>
      <c r="AA72" t="s">
        <v>147</v>
      </c>
      <c r="AB72" t="s">
        <v>163</v>
      </c>
      <c r="AC72" t="s">
        <v>173</v>
      </c>
      <c r="AD72" t="s">
        <v>155</v>
      </c>
      <c r="AE72" t="s">
        <v>127</v>
      </c>
      <c r="AF72" t="s">
        <v>21</v>
      </c>
    </row>
    <row r="73" spans="1:32">
      <c r="A73" t="s">
        <v>508</v>
      </c>
      <c r="B73" s="37">
        <v>40041</v>
      </c>
      <c r="C73" s="38">
        <v>40041</v>
      </c>
      <c r="D73" s="38">
        <v>40035</v>
      </c>
      <c r="E73" s="38">
        <v>40026</v>
      </c>
      <c r="F73" s="39">
        <v>136</v>
      </c>
      <c r="G73" t="s">
        <v>21</v>
      </c>
      <c r="H73" t="s">
        <v>21</v>
      </c>
      <c r="I73">
        <v>0</v>
      </c>
      <c r="J73">
        <v>0</v>
      </c>
      <c r="K73">
        <v>0</v>
      </c>
      <c r="L73">
        <v>1</v>
      </c>
      <c r="M73">
        <v>0</v>
      </c>
      <c r="N73" t="s">
        <v>193</v>
      </c>
      <c r="O73" t="s">
        <v>213</v>
      </c>
      <c r="P73" t="s">
        <v>204</v>
      </c>
      <c r="Q73" t="s">
        <v>170</v>
      </c>
      <c r="R73" t="s">
        <v>155</v>
      </c>
      <c r="S73">
        <v>3</v>
      </c>
      <c r="T73" t="s">
        <v>137</v>
      </c>
      <c r="U73">
        <v>0</v>
      </c>
      <c r="V73">
        <v>4</v>
      </c>
      <c r="W73" t="s">
        <v>137</v>
      </c>
      <c r="X73">
        <v>0</v>
      </c>
      <c r="Y73" t="s">
        <v>140</v>
      </c>
      <c r="Z73" t="s">
        <v>509</v>
      </c>
      <c r="AA73" t="s">
        <v>145</v>
      </c>
      <c r="AB73" t="s">
        <v>163</v>
      </c>
      <c r="AC73" t="s">
        <v>21</v>
      </c>
      <c r="AD73" t="s">
        <v>155</v>
      </c>
      <c r="AE73" t="s">
        <v>510</v>
      </c>
      <c r="AF73" t="s">
        <v>21</v>
      </c>
    </row>
    <row r="74" spans="1:32">
      <c r="A74" t="s">
        <v>511</v>
      </c>
      <c r="B74" s="37">
        <v>40075</v>
      </c>
      <c r="C74" s="38">
        <v>40075</v>
      </c>
      <c r="D74" s="38">
        <v>40070</v>
      </c>
      <c r="E74" s="38">
        <v>40057</v>
      </c>
      <c r="F74" s="39">
        <v>170</v>
      </c>
      <c r="G74" t="s">
        <v>21</v>
      </c>
      <c r="H74" t="s">
        <v>21</v>
      </c>
      <c r="I74">
        <v>0</v>
      </c>
      <c r="J74">
        <v>0</v>
      </c>
      <c r="K74">
        <v>0</v>
      </c>
      <c r="L74">
        <v>1</v>
      </c>
      <c r="M74">
        <v>0</v>
      </c>
      <c r="N74" t="s">
        <v>193</v>
      </c>
      <c r="O74" t="s">
        <v>213</v>
      </c>
      <c r="P74" t="s">
        <v>204</v>
      </c>
      <c r="Q74" t="s">
        <v>170</v>
      </c>
      <c r="R74" t="s">
        <v>155</v>
      </c>
      <c r="S74">
        <v>5</v>
      </c>
      <c r="T74" t="s">
        <v>135</v>
      </c>
      <c r="U74">
        <v>0</v>
      </c>
      <c r="V74">
        <v>3</v>
      </c>
      <c r="W74" t="s">
        <v>137</v>
      </c>
      <c r="X74">
        <v>0</v>
      </c>
      <c r="Y74" t="s">
        <v>140</v>
      </c>
      <c r="Z74" t="s">
        <v>433</v>
      </c>
      <c r="AA74" t="s">
        <v>151</v>
      </c>
      <c r="AB74" t="s">
        <v>162</v>
      </c>
      <c r="AC74" t="s">
        <v>176</v>
      </c>
      <c r="AD74" t="s">
        <v>155</v>
      </c>
      <c r="AE74" t="s">
        <v>454</v>
      </c>
      <c r="AF74" t="s">
        <v>21</v>
      </c>
    </row>
    <row r="75" spans="1:32">
      <c r="A75" t="s">
        <v>512</v>
      </c>
      <c r="B75" s="37">
        <v>39975</v>
      </c>
      <c r="C75" s="38">
        <v>39975</v>
      </c>
      <c r="D75" s="38">
        <v>39972</v>
      </c>
      <c r="E75" s="38">
        <v>39965</v>
      </c>
      <c r="F75" s="39">
        <v>70</v>
      </c>
      <c r="G75" t="s">
        <v>21</v>
      </c>
      <c r="H75" t="s">
        <v>21</v>
      </c>
      <c r="I75">
        <v>0</v>
      </c>
      <c r="J75">
        <v>0</v>
      </c>
      <c r="K75">
        <v>0</v>
      </c>
      <c r="L75">
        <v>1</v>
      </c>
      <c r="M75">
        <v>0</v>
      </c>
      <c r="N75" t="s">
        <v>193</v>
      </c>
      <c r="O75" t="s">
        <v>213</v>
      </c>
      <c r="P75" t="s">
        <v>204</v>
      </c>
      <c r="Q75" t="s">
        <v>170</v>
      </c>
      <c r="R75" t="s">
        <v>155</v>
      </c>
      <c r="T75" t="s">
        <v>134</v>
      </c>
      <c r="U75">
        <v>1</v>
      </c>
      <c r="W75" t="s">
        <v>134</v>
      </c>
      <c r="X75">
        <v>1</v>
      </c>
      <c r="Y75" t="s">
        <v>140</v>
      </c>
      <c r="Z75" t="s">
        <v>178</v>
      </c>
      <c r="AA75" t="s">
        <v>143</v>
      </c>
      <c r="AB75" t="s">
        <v>163</v>
      </c>
      <c r="AC75" t="s">
        <v>173</v>
      </c>
      <c r="AD75" t="s">
        <v>155</v>
      </c>
      <c r="AE75" t="s">
        <v>125</v>
      </c>
      <c r="AF75" t="s">
        <v>21</v>
      </c>
    </row>
    <row r="76" spans="1:32">
      <c r="A76" t="s">
        <v>513</v>
      </c>
      <c r="B76" s="37">
        <v>39912</v>
      </c>
      <c r="C76" s="38">
        <v>39912</v>
      </c>
      <c r="D76" s="38">
        <v>39909</v>
      </c>
      <c r="E76" s="38">
        <v>39904</v>
      </c>
      <c r="F76" s="39">
        <v>7</v>
      </c>
      <c r="G76" t="s">
        <v>21</v>
      </c>
      <c r="H76" t="s">
        <v>21</v>
      </c>
      <c r="I76">
        <v>0</v>
      </c>
      <c r="J76">
        <v>0</v>
      </c>
      <c r="K76">
        <v>0</v>
      </c>
      <c r="L76">
        <v>1</v>
      </c>
      <c r="M76">
        <v>0</v>
      </c>
      <c r="N76" t="s">
        <v>199</v>
      </c>
      <c r="O76" t="s">
        <v>213</v>
      </c>
      <c r="P76" t="s">
        <v>210</v>
      </c>
      <c r="Q76" t="s">
        <v>170</v>
      </c>
      <c r="R76" t="s">
        <v>155</v>
      </c>
      <c r="T76" t="s">
        <v>134</v>
      </c>
      <c r="U76">
        <v>1</v>
      </c>
      <c r="W76" t="s">
        <v>134</v>
      </c>
      <c r="X76">
        <v>1</v>
      </c>
      <c r="Y76" t="s">
        <v>139</v>
      </c>
      <c r="Z76" t="s">
        <v>182</v>
      </c>
      <c r="AA76" t="s">
        <v>143</v>
      </c>
      <c r="AB76" t="s">
        <v>162</v>
      </c>
      <c r="AC76" t="s">
        <v>175</v>
      </c>
      <c r="AD76" t="s">
        <v>155</v>
      </c>
      <c r="AE76" t="s">
        <v>130</v>
      </c>
      <c r="AF76" t="s">
        <v>21</v>
      </c>
    </row>
    <row r="77" spans="1:32">
      <c r="A77" t="s">
        <v>514</v>
      </c>
      <c r="B77" s="37">
        <v>39983</v>
      </c>
      <c r="C77" s="38">
        <v>39983</v>
      </c>
      <c r="D77" s="38">
        <v>39979</v>
      </c>
      <c r="E77" s="38">
        <v>39965</v>
      </c>
      <c r="F77" s="39">
        <v>78</v>
      </c>
      <c r="G77" t="s">
        <v>21</v>
      </c>
      <c r="H77" t="s">
        <v>21</v>
      </c>
      <c r="I77">
        <v>0</v>
      </c>
      <c r="J77">
        <v>0</v>
      </c>
      <c r="K77">
        <v>0</v>
      </c>
      <c r="L77">
        <v>1</v>
      </c>
      <c r="M77">
        <v>0</v>
      </c>
      <c r="N77" t="s">
        <v>193</v>
      </c>
      <c r="O77" t="s">
        <v>213</v>
      </c>
      <c r="P77" t="s">
        <v>204</v>
      </c>
      <c r="Q77" t="s">
        <v>170</v>
      </c>
      <c r="R77" t="s">
        <v>155</v>
      </c>
      <c r="T77" t="s">
        <v>134</v>
      </c>
      <c r="U77">
        <v>1</v>
      </c>
      <c r="W77" t="s">
        <v>134</v>
      </c>
      <c r="X77">
        <v>1</v>
      </c>
      <c r="Y77" t="s">
        <v>140</v>
      </c>
      <c r="Z77" t="s">
        <v>181</v>
      </c>
      <c r="AA77" t="s">
        <v>144</v>
      </c>
      <c r="AB77" t="s">
        <v>163</v>
      </c>
      <c r="AC77" t="s">
        <v>173</v>
      </c>
      <c r="AD77" t="s">
        <v>155</v>
      </c>
      <c r="AE77" t="s">
        <v>127</v>
      </c>
      <c r="AF77" t="s">
        <v>21</v>
      </c>
    </row>
    <row r="78" spans="1:32">
      <c r="A78" t="s">
        <v>515</v>
      </c>
      <c r="B78" s="37">
        <v>39981</v>
      </c>
      <c r="C78" s="38">
        <v>39981</v>
      </c>
      <c r="D78" s="38">
        <v>39979</v>
      </c>
      <c r="E78" s="38">
        <v>39965</v>
      </c>
      <c r="F78" s="39">
        <v>76</v>
      </c>
      <c r="G78" t="s">
        <v>21</v>
      </c>
      <c r="H78" t="s">
        <v>21</v>
      </c>
      <c r="I78">
        <v>0</v>
      </c>
      <c r="J78">
        <v>0</v>
      </c>
      <c r="K78">
        <v>0</v>
      </c>
      <c r="L78">
        <v>1</v>
      </c>
      <c r="M78">
        <v>0</v>
      </c>
      <c r="N78" t="s">
        <v>193</v>
      </c>
      <c r="O78" t="s">
        <v>213</v>
      </c>
      <c r="P78" t="s">
        <v>204</v>
      </c>
      <c r="Q78" t="s">
        <v>170</v>
      </c>
      <c r="R78" t="s">
        <v>155</v>
      </c>
      <c r="T78" t="s">
        <v>134</v>
      </c>
      <c r="U78">
        <v>1</v>
      </c>
      <c r="W78" t="s">
        <v>134</v>
      </c>
      <c r="X78">
        <v>1</v>
      </c>
      <c r="Y78" t="s">
        <v>140</v>
      </c>
      <c r="Z78" t="s">
        <v>181</v>
      </c>
      <c r="AA78" t="s">
        <v>144</v>
      </c>
      <c r="AB78" t="s">
        <v>162</v>
      </c>
      <c r="AC78" t="s">
        <v>176</v>
      </c>
      <c r="AD78" t="s">
        <v>155</v>
      </c>
      <c r="AE78" t="s">
        <v>129</v>
      </c>
      <c r="AF78" t="s">
        <v>21</v>
      </c>
    </row>
    <row r="79" spans="1:32">
      <c r="A79" t="s">
        <v>516</v>
      </c>
      <c r="B79" s="37">
        <v>39990</v>
      </c>
      <c r="C79" s="38">
        <v>39990</v>
      </c>
      <c r="D79" s="38">
        <v>39986</v>
      </c>
      <c r="E79" s="38">
        <v>39965</v>
      </c>
      <c r="F79" s="39">
        <v>85</v>
      </c>
      <c r="G79" t="s">
        <v>21</v>
      </c>
      <c r="H79" t="s">
        <v>21</v>
      </c>
      <c r="I79">
        <v>0</v>
      </c>
      <c r="J79">
        <v>0</v>
      </c>
      <c r="K79">
        <v>0</v>
      </c>
      <c r="L79">
        <v>1</v>
      </c>
      <c r="M79">
        <v>0</v>
      </c>
      <c r="N79" t="s">
        <v>194</v>
      </c>
      <c r="O79" t="s">
        <v>213</v>
      </c>
      <c r="P79" t="s">
        <v>205</v>
      </c>
      <c r="Q79" t="s">
        <v>170</v>
      </c>
      <c r="R79" t="s">
        <v>155</v>
      </c>
      <c r="T79" t="s">
        <v>134</v>
      </c>
      <c r="U79">
        <v>1</v>
      </c>
      <c r="V79">
        <v>5</v>
      </c>
      <c r="W79" t="s">
        <v>135</v>
      </c>
      <c r="X79">
        <v>0</v>
      </c>
      <c r="Y79" t="s">
        <v>139</v>
      </c>
      <c r="Z79" t="s">
        <v>179</v>
      </c>
      <c r="AA79" t="s">
        <v>142</v>
      </c>
      <c r="AB79" t="s">
        <v>162</v>
      </c>
      <c r="AC79" t="s">
        <v>175</v>
      </c>
      <c r="AD79" t="s">
        <v>517</v>
      </c>
      <c r="AE79" t="s">
        <v>518</v>
      </c>
      <c r="AF79" t="s">
        <v>519</v>
      </c>
    </row>
    <row r="80" spans="1:32">
      <c r="A80" t="s">
        <v>520</v>
      </c>
      <c r="B80" s="37">
        <v>40037</v>
      </c>
      <c r="C80" s="38">
        <v>40037</v>
      </c>
      <c r="D80" s="38">
        <v>40035</v>
      </c>
      <c r="E80" s="38">
        <v>40026</v>
      </c>
      <c r="F80" s="39">
        <v>132</v>
      </c>
      <c r="G80" t="s">
        <v>21</v>
      </c>
      <c r="H80" t="s">
        <v>21</v>
      </c>
      <c r="I80">
        <v>0</v>
      </c>
      <c r="J80">
        <v>0</v>
      </c>
      <c r="K80">
        <v>0</v>
      </c>
      <c r="L80">
        <v>1</v>
      </c>
      <c r="M80">
        <v>0</v>
      </c>
      <c r="N80" t="s">
        <v>196</v>
      </c>
      <c r="O80" t="s">
        <v>213</v>
      </c>
      <c r="P80" t="s">
        <v>207</v>
      </c>
      <c r="Q80" t="s">
        <v>170</v>
      </c>
      <c r="R80" t="s">
        <v>155</v>
      </c>
      <c r="S80">
        <v>5</v>
      </c>
      <c r="T80" t="s">
        <v>135</v>
      </c>
      <c r="U80">
        <v>0</v>
      </c>
      <c r="V80">
        <v>3</v>
      </c>
      <c r="W80" t="s">
        <v>137</v>
      </c>
      <c r="X80">
        <v>0</v>
      </c>
      <c r="Y80" t="s">
        <v>139</v>
      </c>
      <c r="Z80" t="s">
        <v>186</v>
      </c>
      <c r="AA80" t="s">
        <v>148</v>
      </c>
      <c r="AB80" t="s">
        <v>162</v>
      </c>
      <c r="AC80" t="s">
        <v>174</v>
      </c>
      <c r="AD80" t="s">
        <v>159</v>
      </c>
      <c r="AE80" t="s">
        <v>123</v>
      </c>
      <c r="AF80" t="s">
        <v>123</v>
      </c>
    </row>
    <row r="81" spans="1:32">
      <c r="A81" t="s">
        <v>521</v>
      </c>
      <c r="B81" s="37">
        <v>39933</v>
      </c>
      <c r="C81" s="38">
        <v>39933</v>
      </c>
      <c r="D81" s="38">
        <v>39930</v>
      </c>
      <c r="E81" s="38">
        <v>39904</v>
      </c>
      <c r="F81" s="39">
        <v>28</v>
      </c>
      <c r="G81" t="s">
        <v>21</v>
      </c>
      <c r="H81" t="s">
        <v>21</v>
      </c>
      <c r="I81">
        <v>0</v>
      </c>
      <c r="J81">
        <v>0</v>
      </c>
      <c r="K81">
        <v>0</v>
      </c>
      <c r="L81">
        <v>1</v>
      </c>
      <c r="M81">
        <v>0</v>
      </c>
      <c r="N81" t="s">
        <v>200</v>
      </c>
      <c r="O81" t="s">
        <v>214</v>
      </c>
      <c r="P81" t="s">
        <v>208</v>
      </c>
      <c r="Q81" t="s">
        <v>170</v>
      </c>
      <c r="R81" t="s">
        <v>155</v>
      </c>
      <c r="T81" t="s">
        <v>134</v>
      </c>
      <c r="U81">
        <v>1</v>
      </c>
      <c r="W81" t="s">
        <v>134</v>
      </c>
      <c r="X81">
        <v>1</v>
      </c>
      <c r="Y81" t="s">
        <v>139</v>
      </c>
      <c r="Z81" t="s">
        <v>479</v>
      </c>
      <c r="AA81" t="s">
        <v>145</v>
      </c>
      <c r="AB81" t="s">
        <v>162</v>
      </c>
      <c r="AC81" t="s">
        <v>522</v>
      </c>
      <c r="AD81" t="s">
        <v>155</v>
      </c>
      <c r="AE81" t="s">
        <v>129</v>
      </c>
      <c r="AF81" t="s">
        <v>21</v>
      </c>
    </row>
    <row r="82" spans="1:32">
      <c r="A82" t="s">
        <v>523</v>
      </c>
      <c r="B82" s="37">
        <v>40050</v>
      </c>
      <c r="C82" s="38">
        <v>40050</v>
      </c>
      <c r="D82" s="38">
        <v>40049</v>
      </c>
      <c r="E82" s="38">
        <v>40026</v>
      </c>
      <c r="F82" s="39">
        <v>145</v>
      </c>
      <c r="G82" t="s">
        <v>21</v>
      </c>
      <c r="H82" t="s">
        <v>21</v>
      </c>
      <c r="I82">
        <v>0</v>
      </c>
      <c r="J82">
        <v>0</v>
      </c>
      <c r="K82">
        <v>0</v>
      </c>
      <c r="L82">
        <v>1</v>
      </c>
      <c r="M82">
        <v>0</v>
      </c>
      <c r="N82" t="s">
        <v>196</v>
      </c>
      <c r="O82" t="s">
        <v>213</v>
      </c>
      <c r="P82" t="s">
        <v>207</v>
      </c>
      <c r="Q82" t="s">
        <v>170</v>
      </c>
      <c r="R82" t="s">
        <v>155</v>
      </c>
      <c r="S82">
        <v>5</v>
      </c>
      <c r="T82" t="s">
        <v>135</v>
      </c>
      <c r="U82">
        <v>0</v>
      </c>
      <c r="V82">
        <v>3</v>
      </c>
      <c r="W82" t="s">
        <v>137</v>
      </c>
      <c r="X82">
        <v>0</v>
      </c>
      <c r="Y82" t="s">
        <v>139</v>
      </c>
      <c r="Z82" t="s">
        <v>178</v>
      </c>
      <c r="AA82" t="s">
        <v>151</v>
      </c>
      <c r="AB82" t="s">
        <v>162</v>
      </c>
      <c r="AC82" t="s">
        <v>174</v>
      </c>
      <c r="AD82" t="s">
        <v>157</v>
      </c>
      <c r="AE82" t="s">
        <v>127</v>
      </c>
      <c r="AF82" t="s">
        <v>153</v>
      </c>
    </row>
    <row r="83" spans="1:32">
      <c r="A83" t="s">
        <v>524</v>
      </c>
      <c r="B83" s="37">
        <v>40032</v>
      </c>
      <c r="C83" s="38">
        <v>40032</v>
      </c>
      <c r="D83" s="38">
        <v>40028</v>
      </c>
      <c r="E83" s="38">
        <v>40026</v>
      </c>
      <c r="F83" s="39">
        <v>127</v>
      </c>
      <c r="G83" t="s">
        <v>525</v>
      </c>
      <c r="H83" t="s">
        <v>17</v>
      </c>
      <c r="I83">
        <v>0</v>
      </c>
      <c r="J83">
        <v>0</v>
      </c>
      <c r="K83">
        <v>1</v>
      </c>
      <c r="L83">
        <v>0</v>
      </c>
      <c r="M83">
        <v>0</v>
      </c>
      <c r="N83" t="s">
        <v>197</v>
      </c>
      <c r="O83" t="s">
        <v>213</v>
      </c>
      <c r="P83" t="s">
        <v>209</v>
      </c>
      <c r="Q83" t="s">
        <v>170</v>
      </c>
      <c r="R83" t="s">
        <v>155</v>
      </c>
      <c r="S83">
        <v>1</v>
      </c>
      <c r="T83" t="s">
        <v>136</v>
      </c>
      <c r="U83">
        <v>0</v>
      </c>
      <c r="V83">
        <v>2</v>
      </c>
      <c r="W83" t="s">
        <v>136</v>
      </c>
      <c r="X83">
        <v>0</v>
      </c>
      <c r="Y83" t="s">
        <v>139</v>
      </c>
      <c r="Z83" t="s">
        <v>184</v>
      </c>
      <c r="AA83" t="s">
        <v>146</v>
      </c>
      <c r="AB83" t="s">
        <v>163</v>
      </c>
      <c r="AC83" t="s">
        <v>173</v>
      </c>
      <c r="AD83" t="s">
        <v>161</v>
      </c>
      <c r="AE83" t="s">
        <v>526</v>
      </c>
      <c r="AF83" t="s">
        <v>21</v>
      </c>
    </row>
    <row r="84" spans="1:32">
      <c r="A84" t="s">
        <v>527</v>
      </c>
      <c r="B84" s="37">
        <v>40071</v>
      </c>
      <c r="C84" s="38">
        <v>40071</v>
      </c>
      <c r="D84" s="38">
        <v>40070</v>
      </c>
      <c r="E84" s="38">
        <v>40057</v>
      </c>
      <c r="F84" s="39">
        <v>166</v>
      </c>
      <c r="G84" t="s">
        <v>383</v>
      </c>
      <c r="H84" t="s">
        <v>17</v>
      </c>
      <c r="I84">
        <v>0</v>
      </c>
      <c r="J84">
        <v>0</v>
      </c>
      <c r="K84">
        <v>1</v>
      </c>
      <c r="L84">
        <v>0</v>
      </c>
      <c r="M84">
        <v>0</v>
      </c>
      <c r="N84" t="s">
        <v>197</v>
      </c>
      <c r="O84" t="s">
        <v>213</v>
      </c>
      <c r="P84" t="s">
        <v>209</v>
      </c>
      <c r="Q84" t="s">
        <v>170</v>
      </c>
      <c r="R84" t="s">
        <v>155</v>
      </c>
      <c r="S84">
        <v>5</v>
      </c>
      <c r="T84" t="s">
        <v>135</v>
      </c>
      <c r="U84">
        <v>0</v>
      </c>
      <c r="V84">
        <v>5</v>
      </c>
      <c r="W84" t="s">
        <v>135</v>
      </c>
      <c r="X84">
        <v>0</v>
      </c>
      <c r="Y84" t="s">
        <v>139</v>
      </c>
      <c r="Z84" t="s">
        <v>528</v>
      </c>
      <c r="AA84" t="s">
        <v>142</v>
      </c>
      <c r="AB84" t="s">
        <v>162</v>
      </c>
      <c r="AC84" t="s">
        <v>174</v>
      </c>
      <c r="AD84" t="s">
        <v>157</v>
      </c>
      <c r="AE84" t="s">
        <v>434</v>
      </c>
      <c r="AF84" t="s">
        <v>435</v>
      </c>
    </row>
    <row r="85" spans="1:32">
      <c r="A85" t="s">
        <v>529</v>
      </c>
      <c r="B85" s="37">
        <v>39946</v>
      </c>
      <c r="C85" s="38">
        <v>39946</v>
      </c>
      <c r="D85" s="38">
        <v>39944</v>
      </c>
      <c r="E85" s="38">
        <v>39934</v>
      </c>
      <c r="F85" s="39">
        <v>41</v>
      </c>
      <c r="G85" t="s">
        <v>21</v>
      </c>
      <c r="H85" t="s">
        <v>21</v>
      </c>
      <c r="I85">
        <v>0</v>
      </c>
      <c r="J85">
        <v>0</v>
      </c>
      <c r="K85">
        <v>0</v>
      </c>
      <c r="L85">
        <v>1</v>
      </c>
      <c r="M85">
        <v>0</v>
      </c>
      <c r="N85" t="s">
        <v>194</v>
      </c>
      <c r="O85" t="s">
        <v>213</v>
      </c>
      <c r="P85" t="s">
        <v>205</v>
      </c>
      <c r="Q85" t="s">
        <v>170</v>
      </c>
      <c r="R85" t="s">
        <v>155</v>
      </c>
      <c r="T85" t="s">
        <v>134</v>
      </c>
      <c r="U85">
        <v>1</v>
      </c>
      <c r="W85" t="s">
        <v>134</v>
      </c>
      <c r="X85">
        <v>1</v>
      </c>
      <c r="Y85" t="s">
        <v>139</v>
      </c>
      <c r="Z85" t="s">
        <v>447</v>
      </c>
      <c r="AA85" t="s">
        <v>151</v>
      </c>
      <c r="AB85" t="s">
        <v>163</v>
      </c>
      <c r="AC85" t="s">
        <v>415</v>
      </c>
      <c r="AD85" t="s">
        <v>155</v>
      </c>
      <c r="AE85" t="s">
        <v>125</v>
      </c>
      <c r="AF85" t="s">
        <v>21</v>
      </c>
    </row>
    <row r="86" spans="1:32">
      <c r="A86" t="s">
        <v>530</v>
      </c>
      <c r="B86" s="37">
        <v>40049</v>
      </c>
      <c r="C86" s="38">
        <v>40049</v>
      </c>
      <c r="D86" s="38">
        <v>40049</v>
      </c>
      <c r="E86" s="38">
        <v>40026</v>
      </c>
      <c r="F86" s="39">
        <v>144</v>
      </c>
      <c r="G86" t="s">
        <v>21</v>
      </c>
      <c r="H86" t="s">
        <v>21</v>
      </c>
      <c r="I86">
        <v>0</v>
      </c>
      <c r="J86">
        <v>0</v>
      </c>
      <c r="K86">
        <v>0</v>
      </c>
      <c r="L86">
        <v>1</v>
      </c>
      <c r="M86">
        <v>0</v>
      </c>
      <c r="N86" t="s">
        <v>197</v>
      </c>
      <c r="O86" t="s">
        <v>213</v>
      </c>
      <c r="P86" t="s">
        <v>209</v>
      </c>
      <c r="Q86" t="s">
        <v>170</v>
      </c>
      <c r="R86" t="s">
        <v>155</v>
      </c>
      <c r="S86">
        <v>3</v>
      </c>
      <c r="T86" t="s">
        <v>137</v>
      </c>
      <c r="U86">
        <v>0</v>
      </c>
      <c r="V86">
        <v>4</v>
      </c>
      <c r="W86" t="s">
        <v>137</v>
      </c>
      <c r="X86">
        <v>0</v>
      </c>
      <c r="Y86" t="s">
        <v>139</v>
      </c>
      <c r="Z86" t="s">
        <v>186</v>
      </c>
      <c r="AA86" t="s">
        <v>145</v>
      </c>
      <c r="AB86" t="s">
        <v>162</v>
      </c>
      <c r="AC86" t="s">
        <v>531</v>
      </c>
      <c r="AD86" t="s">
        <v>155</v>
      </c>
      <c r="AE86" t="s">
        <v>129</v>
      </c>
      <c r="AF86" t="s">
        <v>21</v>
      </c>
    </row>
    <row r="87" spans="1:32">
      <c r="A87" t="s">
        <v>532</v>
      </c>
      <c r="B87" s="37">
        <v>39943</v>
      </c>
      <c r="C87" s="38">
        <v>39943</v>
      </c>
      <c r="D87" s="38">
        <v>39937</v>
      </c>
      <c r="E87" s="38">
        <v>39934</v>
      </c>
      <c r="F87" s="39">
        <v>38</v>
      </c>
      <c r="G87" t="s">
        <v>21</v>
      </c>
      <c r="H87" t="s">
        <v>21</v>
      </c>
      <c r="I87">
        <v>0</v>
      </c>
      <c r="J87">
        <v>0</v>
      </c>
      <c r="K87">
        <v>0</v>
      </c>
      <c r="L87">
        <v>1</v>
      </c>
      <c r="M87">
        <v>0</v>
      </c>
      <c r="N87" t="s">
        <v>193</v>
      </c>
      <c r="O87" t="s">
        <v>213</v>
      </c>
      <c r="P87" t="s">
        <v>204</v>
      </c>
      <c r="Q87" t="s">
        <v>170</v>
      </c>
      <c r="R87" t="s">
        <v>155</v>
      </c>
      <c r="T87" t="s">
        <v>134</v>
      </c>
      <c r="U87">
        <v>1</v>
      </c>
      <c r="W87" t="s">
        <v>134</v>
      </c>
      <c r="X87">
        <v>1</v>
      </c>
      <c r="Y87" t="s">
        <v>140</v>
      </c>
      <c r="Z87" t="s">
        <v>433</v>
      </c>
      <c r="AA87" t="s">
        <v>143</v>
      </c>
      <c r="AB87" t="s">
        <v>163</v>
      </c>
      <c r="AC87" t="s">
        <v>173</v>
      </c>
      <c r="AD87" t="s">
        <v>155</v>
      </c>
      <c r="AE87" t="s">
        <v>484</v>
      </c>
      <c r="AF87" t="s">
        <v>21</v>
      </c>
    </row>
    <row r="88" spans="1:32">
      <c r="A88" t="s">
        <v>533</v>
      </c>
      <c r="B88" s="37">
        <v>40024</v>
      </c>
      <c r="C88" s="38">
        <v>40024</v>
      </c>
      <c r="D88" s="38">
        <v>40021</v>
      </c>
      <c r="E88" s="38">
        <v>39995</v>
      </c>
      <c r="F88" s="39">
        <v>119</v>
      </c>
      <c r="G88" t="s">
        <v>21</v>
      </c>
      <c r="H88" t="s">
        <v>21</v>
      </c>
      <c r="I88">
        <v>0</v>
      </c>
      <c r="J88">
        <v>0</v>
      </c>
      <c r="K88">
        <v>0</v>
      </c>
      <c r="L88">
        <v>1</v>
      </c>
      <c r="M88">
        <v>0</v>
      </c>
      <c r="N88" t="s">
        <v>193</v>
      </c>
      <c r="O88" t="s">
        <v>213</v>
      </c>
      <c r="P88" t="s">
        <v>204</v>
      </c>
      <c r="Q88" t="s">
        <v>170</v>
      </c>
      <c r="R88" t="s">
        <v>155</v>
      </c>
      <c r="S88">
        <v>1</v>
      </c>
      <c r="T88" t="s">
        <v>136</v>
      </c>
      <c r="U88">
        <v>0</v>
      </c>
      <c r="V88">
        <v>5</v>
      </c>
      <c r="W88" t="s">
        <v>135</v>
      </c>
      <c r="X88">
        <v>0</v>
      </c>
      <c r="Y88" t="s">
        <v>140</v>
      </c>
      <c r="Z88" t="s">
        <v>534</v>
      </c>
      <c r="AA88" t="s">
        <v>144</v>
      </c>
      <c r="AB88" t="s">
        <v>163</v>
      </c>
      <c r="AC88" t="s">
        <v>173</v>
      </c>
      <c r="AD88" t="s">
        <v>155</v>
      </c>
      <c r="AE88" t="s">
        <v>124</v>
      </c>
      <c r="AF88" t="s">
        <v>21</v>
      </c>
    </row>
    <row r="89" spans="1:32">
      <c r="A89" t="s">
        <v>535</v>
      </c>
      <c r="B89" s="37">
        <v>39942</v>
      </c>
      <c r="C89" s="38">
        <v>39942</v>
      </c>
      <c r="D89" s="38">
        <v>39937</v>
      </c>
      <c r="E89" s="38">
        <v>39934</v>
      </c>
      <c r="F89" s="39">
        <v>37</v>
      </c>
      <c r="G89" t="s">
        <v>21</v>
      </c>
      <c r="H89" t="s">
        <v>21</v>
      </c>
      <c r="I89">
        <v>0</v>
      </c>
      <c r="J89">
        <v>0</v>
      </c>
      <c r="K89">
        <v>0</v>
      </c>
      <c r="L89">
        <v>1</v>
      </c>
      <c r="M89">
        <v>0</v>
      </c>
      <c r="N89" t="s">
        <v>195</v>
      </c>
      <c r="O89" t="s">
        <v>213</v>
      </c>
      <c r="P89" t="s">
        <v>206</v>
      </c>
      <c r="Q89" t="s">
        <v>170</v>
      </c>
      <c r="R89" t="s">
        <v>155</v>
      </c>
      <c r="T89" t="s">
        <v>134</v>
      </c>
      <c r="U89">
        <v>1</v>
      </c>
      <c r="W89" t="s">
        <v>134</v>
      </c>
      <c r="X89">
        <v>1</v>
      </c>
      <c r="Y89" t="s">
        <v>139</v>
      </c>
      <c r="Z89" t="s">
        <v>534</v>
      </c>
      <c r="AA89" t="s">
        <v>142</v>
      </c>
      <c r="AB89" t="s">
        <v>162</v>
      </c>
      <c r="AC89" t="s">
        <v>174</v>
      </c>
      <c r="AD89" t="s">
        <v>157</v>
      </c>
      <c r="AE89" t="s">
        <v>130</v>
      </c>
      <c r="AF89" t="s">
        <v>437</v>
      </c>
    </row>
    <row r="90" spans="1:32">
      <c r="A90" t="s">
        <v>536</v>
      </c>
      <c r="B90" s="37">
        <v>39953</v>
      </c>
      <c r="C90" s="38">
        <v>39953</v>
      </c>
      <c r="D90" s="38">
        <v>39951</v>
      </c>
      <c r="E90" s="38">
        <v>39934</v>
      </c>
      <c r="F90" s="39">
        <v>48</v>
      </c>
      <c r="G90" t="s">
        <v>525</v>
      </c>
      <c r="H90" t="s">
        <v>17</v>
      </c>
      <c r="I90">
        <v>0</v>
      </c>
      <c r="J90">
        <v>0</v>
      </c>
      <c r="K90">
        <v>1</v>
      </c>
      <c r="L90">
        <v>0</v>
      </c>
      <c r="M90">
        <v>0</v>
      </c>
      <c r="N90" t="s">
        <v>193</v>
      </c>
      <c r="O90" t="s">
        <v>213</v>
      </c>
      <c r="P90" t="s">
        <v>204</v>
      </c>
      <c r="Q90" t="s">
        <v>170</v>
      </c>
      <c r="R90" t="s">
        <v>155</v>
      </c>
      <c r="T90" t="s">
        <v>134</v>
      </c>
      <c r="U90">
        <v>1</v>
      </c>
      <c r="W90" t="s">
        <v>134</v>
      </c>
      <c r="X90">
        <v>1</v>
      </c>
      <c r="Y90" t="s">
        <v>140</v>
      </c>
      <c r="Z90" t="s">
        <v>537</v>
      </c>
      <c r="AA90" t="s">
        <v>148</v>
      </c>
      <c r="AB90" t="s">
        <v>162</v>
      </c>
      <c r="AC90" t="s">
        <v>459</v>
      </c>
      <c r="AD90" t="s">
        <v>155</v>
      </c>
      <c r="AE90" t="s">
        <v>130</v>
      </c>
      <c r="AF90" t="s">
        <v>21</v>
      </c>
    </row>
    <row r="91" spans="1:32">
      <c r="A91" t="s">
        <v>538</v>
      </c>
      <c r="B91" s="37">
        <v>40007</v>
      </c>
      <c r="C91" s="38">
        <v>40007</v>
      </c>
      <c r="D91" s="38">
        <v>40007</v>
      </c>
      <c r="E91" s="38">
        <v>39995</v>
      </c>
      <c r="F91" s="39">
        <v>102</v>
      </c>
      <c r="G91" t="s">
        <v>21</v>
      </c>
      <c r="H91" t="s">
        <v>21</v>
      </c>
      <c r="I91">
        <v>0</v>
      </c>
      <c r="J91">
        <v>0</v>
      </c>
      <c r="K91">
        <v>0</v>
      </c>
      <c r="L91">
        <v>1</v>
      </c>
      <c r="M91">
        <v>0</v>
      </c>
      <c r="N91" t="s">
        <v>194</v>
      </c>
      <c r="O91" t="s">
        <v>213</v>
      </c>
      <c r="P91" t="s">
        <v>205</v>
      </c>
      <c r="Q91" t="s">
        <v>170</v>
      </c>
      <c r="R91" t="s">
        <v>155</v>
      </c>
      <c r="S91">
        <v>5</v>
      </c>
      <c r="T91" t="s">
        <v>135</v>
      </c>
      <c r="U91">
        <v>0</v>
      </c>
      <c r="V91">
        <v>5</v>
      </c>
      <c r="W91" t="s">
        <v>135</v>
      </c>
      <c r="X91">
        <v>0</v>
      </c>
      <c r="Y91" t="s">
        <v>139</v>
      </c>
      <c r="Z91" t="s">
        <v>185</v>
      </c>
      <c r="AA91" t="s">
        <v>144</v>
      </c>
      <c r="AB91" t="s">
        <v>162</v>
      </c>
      <c r="AC91" t="s">
        <v>21</v>
      </c>
      <c r="AD91" t="s">
        <v>155</v>
      </c>
      <c r="AE91" t="s">
        <v>130</v>
      </c>
      <c r="AF91" t="s">
        <v>21</v>
      </c>
    </row>
    <row r="92" spans="1:32">
      <c r="A92" t="s">
        <v>539</v>
      </c>
      <c r="B92" s="37">
        <v>39995</v>
      </c>
      <c r="C92" s="38">
        <v>39995</v>
      </c>
      <c r="D92" s="38">
        <v>39993</v>
      </c>
      <c r="E92" s="38">
        <v>39995</v>
      </c>
      <c r="F92" s="39">
        <v>90</v>
      </c>
      <c r="G92" t="s">
        <v>21</v>
      </c>
      <c r="H92" t="s">
        <v>21</v>
      </c>
      <c r="I92">
        <v>0</v>
      </c>
      <c r="J92">
        <v>0</v>
      </c>
      <c r="K92">
        <v>0</v>
      </c>
      <c r="L92">
        <v>1</v>
      </c>
      <c r="M92">
        <v>0</v>
      </c>
      <c r="N92" t="s">
        <v>193</v>
      </c>
      <c r="O92" t="s">
        <v>213</v>
      </c>
      <c r="P92" t="s">
        <v>204</v>
      </c>
      <c r="Q92" t="s">
        <v>170</v>
      </c>
      <c r="R92" t="s">
        <v>155</v>
      </c>
      <c r="T92" t="s">
        <v>134</v>
      </c>
      <c r="U92">
        <v>1</v>
      </c>
      <c r="V92">
        <v>5</v>
      </c>
      <c r="W92" t="s">
        <v>135</v>
      </c>
      <c r="X92">
        <v>0</v>
      </c>
      <c r="Y92" t="s">
        <v>140</v>
      </c>
      <c r="Z92" t="s">
        <v>409</v>
      </c>
      <c r="AA92" t="s">
        <v>144</v>
      </c>
      <c r="AB92" t="s">
        <v>162</v>
      </c>
      <c r="AC92" t="s">
        <v>429</v>
      </c>
      <c r="AD92" t="s">
        <v>540</v>
      </c>
      <c r="AE92" t="s">
        <v>123</v>
      </c>
      <c r="AF92" t="s">
        <v>123</v>
      </c>
    </row>
    <row r="93" spans="1:32">
      <c r="A93" t="s">
        <v>541</v>
      </c>
      <c r="B93" s="37">
        <v>39936</v>
      </c>
      <c r="C93" s="38">
        <v>39936</v>
      </c>
      <c r="D93" s="38">
        <v>39930</v>
      </c>
      <c r="E93" s="38">
        <v>39934</v>
      </c>
      <c r="F93" s="39">
        <v>31</v>
      </c>
      <c r="G93" t="s">
        <v>21</v>
      </c>
      <c r="H93" t="s">
        <v>21</v>
      </c>
      <c r="I93">
        <v>0</v>
      </c>
      <c r="J93">
        <v>0</v>
      </c>
      <c r="K93">
        <v>0</v>
      </c>
      <c r="L93">
        <v>1</v>
      </c>
      <c r="M93">
        <v>0</v>
      </c>
      <c r="N93" t="s">
        <v>199</v>
      </c>
      <c r="O93" t="s">
        <v>213</v>
      </c>
      <c r="P93" t="s">
        <v>210</v>
      </c>
      <c r="Q93" t="s">
        <v>170</v>
      </c>
      <c r="R93" t="s">
        <v>155</v>
      </c>
      <c r="T93" t="s">
        <v>134</v>
      </c>
      <c r="U93">
        <v>1</v>
      </c>
      <c r="W93" t="s">
        <v>134</v>
      </c>
      <c r="X93">
        <v>1</v>
      </c>
      <c r="Y93" t="s">
        <v>139</v>
      </c>
      <c r="Z93" t="s">
        <v>179</v>
      </c>
      <c r="AA93" t="s">
        <v>147</v>
      </c>
      <c r="AB93" t="s">
        <v>162</v>
      </c>
      <c r="AC93" t="s">
        <v>459</v>
      </c>
      <c r="AD93" t="s">
        <v>155</v>
      </c>
      <c r="AE93" t="s">
        <v>130</v>
      </c>
      <c r="AF93" t="s">
        <v>21</v>
      </c>
    </row>
    <row r="94" spans="1:32">
      <c r="A94" t="s">
        <v>542</v>
      </c>
      <c r="B94" s="37">
        <v>39947</v>
      </c>
      <c r="C94" s="38">
        <v>39947</v>
      </c>
      <c r="D94" s="38">
        <v>39944</v>
      </c>
      <c r="E94" s="38">
        <v>39934</v>
      </c>
      <c r="F94" s="39">
        <v>42</v>
      </c>
      <c r="G94" t="s">
        <v>21</v>
      </c>
      <c r="H94" t="s">
        <v>21</v>
      </c>
      <c r="I94">
        <v>0</v>
      </c>
      <c r="J94">
        <v>0</v>
      </c>
      <c r="K94">
        <v>0</v>
      </c>
      <c r="L94">
        <v>1</v>
      </c>
      <c r="M94">
        <v>0</v>
      </c>
      <c r="N94" t="s">
        <v>194</v>
      </c>
      <c r="O94" t="s">
        <v>213</v>
      </c>
      <c r="P94" t="s">
        <v>205</v>
      </c>
      <c r="Q94" t="s">
        <v>170</v>
      </c>
      <c r="R94" t="s">
        <v>155</v>
      </c>
      <c r="T94" t="s">
        <v>134</v>
      </c>
      <c r="U94">
        <v>1</v>
      </c>
      <c r="W94" t="s">
        <v>134</v>
      </c>
      <c r="X94">
        <v>1</v>
      </c>
      <c r="Y94" t="s">
        <v>139</v>
      </c>
      <c r="Z94" t="s">
        <v>190</v>
      </c>
      <c r="AA94" t="s">
        <v>143</v>
      </c>
      <c r="AB94" t="s">
        <v>163</v>
      </c>
      <c r="AC94" t="s">
        <v>415</v>
      </c>
      <c r="AD94" t="s">
        <v>155</v>
      </c>
      <c r="AE94" t="s">
        <v>125</v>
      </c>
      <c r="AF94" t="s">
        <v>21</v>
      </c>
    </row>
    <row r="95" spans="1:32">
      <c r="A95" t="s">
        <v>543</v>
      </c>
      <c r="B95" s="37">
        <v>40072</v>
      </c>
      <c r="C95" s="38">
        <v>40072</v>
      </c>
      <c r="D95" s="38">
        <v>40070</v>
      </c>
      <c r="E95" s="38">
        <v>40057</v>
      </c>
      <c r="F95" s="39">
        <v>167</v>
      </c>
      <c r="G95" t="s">
        <v>21</v>
      </c>
      <c r="H95" t="s">
        <v>21</v>
      </c>
      <c r="I95">
        <v>0</v>
      </c>
      <c r="J95">
        <v>0</v>
      </c>
      <c r="K95">
        <v>0</v>
      </c>
      <c r="L95">
        <v>1</v>
      </c>
      <c r="M95">
        <v>0</v>
      </c>
      <c r="N95" t="s">
        <v>544</v>
      </c>
      <c r="O95" t="s">
        <v>213</v>
      </c>
      <c r="P95" t="s">
        <v>545</v>
      </c>
      <c r="Q95" t="s">
        <v>170</v>
      </c>
      <c r="R95" t="s">
        <v>155</v>
      </c>
      <c r="S95">
        <v>5</v>
      </c>
      <c r="T95" t="s">
        <v>135</v>
      </c>
      <c r="U95">
        <v>0</v>
      </c>
      <c r="V95">
        <v>3</v>
      </c>
      <c r="W95" t="s">
        <v>137</v>
      </c>
      <c r="X95">
        <v>0</v>
      </c>
      <c r="Y95" t="s">
        <v>139</v>
      </c>
      <c r="Z95" t="s">
        <v>180</v>
      </c>
      <c r="AA95" t="s">
        <v>146</v>
      </c>
      <c r="AB95" t="s">
        <v>163</v>
      </c>
      <c r="AC95" t="s">
        <v>546</v>
      </c>
      <c r="AD95" t="s">
        <v>155</v>
      </c>
      <c r="AE95" t="s">
        <v>128</v>
      </c>
      <c r="AF95" t="s">
        <v>21</v>
      </c>
    </row>
    <row r="96" spans="1:32">
      <c r="A96" t="s">
        <v>547</v>
      </c>
      <c r="B96" s="37">
        <v>39913</v>
      </c>
      <c r="C96" s="38">
        <v>39913</v>
      </c>
      <c r="D96" s="38">
        <v>39909</v>
      </c>
      <c r="E96" s="38">
        <v>39904</v>
      </c>
      <c r="F96" s="39">
        <v>8</v>
      </c>
      <c r="G96" t="s">
        <v>9</v>
      </c>
      <c r="H96" t="s">
        <v>9</v>
      </c>
      <c r="I96">
        <v>1</v>
      </c>
      <c r="J96">
        <v>0</v>
      </c>
      <c r="K96">
        <v>0</v>
      </c>
      <c r="L96">
        <v>0</v>
      </c>
      <c r="M96">
        <v>1</v>
      </c>
      <c r="N96" t="s">
        <v>201</v>
      </c>
      <c r="O96" t="s">
        <v>214</v>
      </c>
      <c r="P96" t="s">
        <v>204</v>
      </c>
      <c r="Q96" t="s">
        <v>170</v>
      </c>
      <c r="R96" t="s">
        <v>155</v>
      </c>
      <c r="T96" t="s">
        <v>134</v>
      </c>
      <c r="U96">
        <v>1</v>
      </c>
      <c r="W96" t="s">
        <v>134</v>
      </c>
      <c r="X96">
        <v>1</v>
      </c>
      <c r="Y96" t="s">
        <v>140</v>
      </c>
      <c r="Z96" t="s">
        <v>178</v>
      </c>
      <c r="AA96" t="s">
        <v>145</v>
      </c>
      <c r="AB96" t="s">
        <v>165</v>
      </c>
      <c r="AC96" t="s">
        <v>548</v>
      </c>
      <c r="AD96" t="s">
        <v>158</v>
      </c>
      <c r="AE96" t="s">
        <v>122</v>
      </c>
      <c r="AF96" t="s">
        <v>21</v>
      </c>
    </row>
    <row r="97" spans="1:32">
      <c r="A97" t="s">
        <v>549</v>
      </c>
      <c r="B97" s="37">
        <v>40015</v>
      </c>
      <c r="C97" s="38">
        <v>40015</v>
      </c>
      <c r="D97" s="38">
        <v>40014</v>
      </c>
      <c r="E97" s="38">
        <v>39995</v>
      </c>
      <c r="F97" s="39">
        <v>110</v>
      </c>
      <c r="G97" t="s">
        <v>21</v>
      </c>
      <c r="H97" t="s">
        <v>21</v>
      </c>
      <c r="I97">
        <v>0</v>
      </c>
      <c r="J97">
        <v>0</v>
      </c>
      <c r="K97">
        <v>0</v>
      </c>
      <c r="L97">
        <v>1</v>
      </c>
      <c r="M97">
        <v>0</v>
      </c>
      <c r="N97" t="s">
        <v>193</v>
      </c>
      <c r="O97" t="s">
        <v>213</v>
      </c>
      <c r="P97" t="s">
        <v>204</v>
      </c>
      <c r="Q97" t="s">
        <v>170</v>
      </c>
      <c r="R97" t="s">
        <v>155</v>
      </c>
      <c r="S97">
        <v>1</v>
      </c>
      <c r="T97" t="s">
        <v>136</v>
      </c>
      <c r="U97">
        <v>0</v>
      </c>
      <c r="V97">
        <v>3</v>
      </c>
      <c r="W97" t="s">
        <v>137</v>
      </c>
      <c r="X97">
        <v>0</v>
      </c>
      <c r="Y97" t="s">
        <v>140</v>
      </c>
      <c r="Z97" t="s">
        <v>188</v>
      </c>
      <c r="AA97" t="s">
        <v>143</v>
      </c>
      <c r="AB97" t="s">
        <v>162</v>
      </c>
      <c r="AC97" t="s">
        <v>550</v>
      </c>
      <c r="AD97" t="s">
        <v>160</v>
      </c>
      <c r="AE97" t="s">
        <v>126</v>
      </c>
      <c r="AF97" t="s">
        <v>551</v>
      </c>
    </row>
    <row r="98" spans="1:32">
      <c r="A98" t="s">
        <v>552</v>
      </c>
      <c r="B98" s="37">
        <v>40008</v>
      </c>
      <c r="C98" s="38">
        <v>40008</v>
      </c>
      <c r="D98" s="38">
        <v>40007</v>
      </c>
      <c r="E98" s="38">
        <v>39995</v>
      </c>
      <c r="F98" s="39">
        <v>103</v>
      </c>
      <c r="G98" t="s">
        <v>383</v>
      </c>
      <c r="H98" t="s">
        <v>17</v>
      </c>
      <c r="I98">
        <v>0</v>
      </c>
      <c r="J98">
        <v>0</v>
      </c>
      <c r="K98">
        <v>1</v>
      </c>
      <c r="L98">
        <v>0</v>
      </c>
      <c r="M98">
        <v>0</v>
      </c>
      <c r="N98" t="s">
        <v>196</v>
      </c>
      <c r="O98" t="s">
        <v>213</v>
      </c>
      <c r="P98" t="s">
        <v>207</v>
      </c>
      <c r="Q98" t="s">
        <v>170</v>
      </c>
      <c r="R98" t="s">
        <v>155</v>
      </c>
      <c r="T98" t="s">
        <v>134</v>
      </c>
      <c r="U98">
        <v>1</v>
      </c>
      <c r="W98" t="s">
        <v>134</v>
      </c>
      <c r="X98">
        <v>1</v>
      </c>
      <c r="Y98" t="s">
        <v>139</v>
      </c>
      <c r="Z98" t="s">
        <v>186</v>
      </c>
      <c r="AA98" t="s">
        <v>151</v>
      </c>
      <c r="AB98" t="s">
        <v>162</v>
      </c>
      <c r="AC98" t="s">
        <v>21</v>
      </c>
      <c r="AD98" t="s">
        <v>155</v>
      </c>
      <c r="AE98" t="s">
        <v>130</v>
      </c>
      <c r="AF98" t="s">
        <v>21</v>
      </c>
    </row>
    <row r="99" spans="1:32">
      <c r="A99" t="s">
        <v>553</v>
      </c>
      <c r="B99" s="37">
        <v>39911</v>
      </c>
      <c r="C99" s="38">
        <v>39911</v>
      </c>
      <c r="D99" s="38">
        <v>39909</v>
      </c>
      <c r="E99" s="38">
        <v>39904</v>
      </c>
      <c r="F99" s="39">
        <v>6</v>
      </c>
      <c r="G99" t="s">
        <v>21</v>
      </c>
      <c r="H99" t="s">
        <v>21</v>
      </c>
      <c r="I99">
        <v>0</v>
      </c>
      <c r="J99">
        <v>0</v>
      </c>
      <c r="K99">
        <v>0</v>
      </c>
      <c r="L99">
        <v>1</v>
      </c>
      <c r="M99">
        <v>0</v>
      </c>
      <c r="N99" t="s">
        <v>201</v>
      </c>
      <c r="O99" t="s">
        <v>214</v>
      </c>
      <c r="P99" t="s">
        <v>204</v>
      </c>
      <c r="Q99" t="s">
        <v>170</v>
      </c>
      <c r="R99" t="s">
        <v>155</v>
      </c>
      <c r="T99" t="s">
        <v>134</v>
      </c>
      <c r="U99">
        <v>1</v>
      </c>
      <c r="W99" t="s">
        <v>134</v>
      </c>
      <c r="X99">
        <v>1</v>
      </c>
      <c r="Y99" t="s">
        <v>140</v>
      </c>
      <c r="Z99" t="s">
        <v>181</v>
      </c>
      <c r="AA99" t="s">
        <v>143</v>
      </c>
      <c r="AB99" t="s">
        <v>163</v>
      </c>
      <c r="AC99" t="s">
        <v>554</v>
      </c>
      <c r="AD99" t="s">
        <v>155</v>
      </c>
      <c r="AE99" t="s">
        <v>387</v>
      </c>
      <c r="AF99" t="s">
        <v>21</v>
      </c>
    </row>
    <row r="100" spans="1:32">
      <c r="A100" t="s">
        <v>555</v>
      </c>
      <c r="B100" s="37">
        <v>40025</v>
      </c>
      <c r="C100" s="38">
        <v>40025</v>
      </c>
      <c r="D100" s="38">
        <v>40021</v>
      </c>
      <c r="E100" s="38">
        <v>39995</v>
      </c>
      <c r="F100" s="39">
        <v>120</v>
      </c>
      <c r="G100" t="s">
        <v>21</v>
      </c>
      <c r="H100" t="s">
        <v>21</v>
      </c>
      <c r="I100">
        <v>0</v>
      </c>
      <c r="J100">
        <v>0</v>
      </c>
      <c r="K100">
        <v>0</v>
      </c>
      <c r="L100">
        <v>1</v>
      </c>
      <c r="M100">
        <v>0</v>
      </c>
      <c r="N100" t="s">
        <v>193</v>
      </c>
      <c r="O100" t="s">
        <v>213</v>
      </c>
      <c r="P100" t="s">
        <v>204</v>
      </c>
      <c r="Q100" t="s">
        <v>170</v>
      </c>
      <c r="R100" t="s">
        <v>155</v>
      </c>
      <c r="S100">
        <v>4</v>
      </c>
      <c r="T100" t="s">
        <v>137</v>
      </c>
      <c r="U100">
        <v>0</v>
      </c>
      <c r="V100">
        <v>4</v>
      </c>
      <c r="W100" t="s">
        <v>137</v>
      </c>
      <c r="X100">
        <v>0</v>
      </c>
      <c r="Y100" t="s">
        <v>140</v>
      </c>
      <c r="Z100" t="s">
        <v>447</v>
      </c>
      <c r="AA100" t="s">
        <v>142</v>
      </c>
      <c r="AB100" t="s">
        <v>162</v>
      </c>
      <c r="AC100" t="s">
        <v>531</v>
      </c>
      <c r="AD100" t="s">
        <v>155</v>
      </c>
      <c r="AE100" t="s">
        <v>129</v>
      </c>
      <c r="AF100" t="s">
        <v>21</v>
      </c>
    </row>
    <row r="101" spans="1:32">
      <c r="A101" t="s">
        <v>556</v>
      </c>
      <c r="B101" s="37">
        <v>40023</v>
      </c>
      <c r="C101" s="38">
        <v>40023</v>
      </c>
      <c r="D101" s="38">
        <v>40021</v>
      </c>
      <c r="E101" s="38">
        <v>39995</v>
      </c>
      <c r="F101" s="39">
        <v>118</v>
      </c>
      <c r="G101" t="s">
        <v>21</v>
      </c>
      <c r="H101" t="s">
        <v>21</v>
      </c>
      <c r="I101">
        <v>0</v>
      </c>
      <c r="J101">
        <v>0</v>
      </c>
      <c r="K101">
        <v>0</v>
      </c>
      <c r="L101">
        <v>1</v>
      </c>
      <c r="M101">
        <v>0</v>
      </c>
      <c r="N101" t="s">
        <v>193</v>
      </c>
      <c r="O101" t="s">
        <v>213</v>
      </c>
      <c r="P101" t="s">
        <v>204</v>
      </c>
      <c r="Q101" t="s">
        <v>170</v>
      </c>
      <c r="R101" t="s">
        <v>155</v>
      </c>
      <c r="S101">
        <v>5</v>
      </c>
      <c r="T101" t="s">
        <v>135</v>
      </c>
      <c r="U101">
        <v>0</v>
      </c>
      <c r="V101">
        <v>3</v>
      </c>
      <c r="W101" t="s">
        <v>137</v>
      </c>
      <c r="X101">
        <v>0</v>
      </c>
      <c r="Y101" t="s">
        <v>140</v>
      </c>
      <c r="Z101" t="s">
        <v>186</v>
      </c>
      <c r="AA101" t="s">
        <v>142</v>
      </c>
      <c r="AB101" t="s">
        <v>162</v>
      </c>
      <c r="AC101" t="s">
        <v>174</v>
      </c>
      <c r="AD101" t="s">
        <v>156</v>
      </c>
      <c r="AE101" t="s">
        <v>120</v>
      </c>
      <c r="AF101" t="s">
        <v>557</v>
      </c>
    </row>
    <row r="102" spans="1:32">
      <c r="A102" t="s">
        <v>558</v>
      </c>
      <c r="B102" s="37">
        <v>39918</v>
      </c>
      <c r="C102" s="38">
        <v>39918</v>
      </c>
      <c r="D102" s="38">
        <v>39916</v>
      </c>
      <c r="E102" s="38">
        <v>39904</v>
      </c>
      <c r="F102" s="39">
        <v>13</v>
      </c>
      <c r="G102" t="s">
        <v>21</v>
      </c>
      <c r="H102" t="s">
        <v>21</v>
      </c>
      <c r="I102">
        <v>0</v>
      </c>
      <c r="J102">
        <v>0</v>
      </c>
      <c r="K102">
        <v>0</v>
      </c>
      <c r="L102">
        <v>1</v>
      </c>
      <c r="M102">
        <v>0</v>
      </c>
      <c r="N102" t="s">
        <v>198</v>
      </c>
      <c r="O102" t="s">
        <v>213</v>
      </c>
      <c r="P102" t="s">
        <v>208</v>
      </c>
      <c r="Q102" t="s">
        <v>170</v>
      </c>
      <c r="R102" t="s">
        <v>155</v>
      </c>
      <c r="T102" t="s">
        <v>134</v>
      </c>
      <c r="U102">
        <v>1</v>
      </c>
      <c r="W102" t="s">
        <v>134</v>
      </c>
      <c r="X102">
        <v>1</v>
      </c>
      <c r="Y102" t="s">
        <v>139</v>
      </c>
      <c r="Z102" t="s">
        <v>178</v>
      </c>
      <c r="AA102" t="s">
        <v>145</v>
      </c>
      <c r="AB102" t="s">
        <v>163</v>
      </c>
      <c r="AC102" t="s">
        <v>173</v>
      </c>
      <c r="AD102" t="s">
        <v>161</v>
      </c>
      <c r="AE102" t="s">
        <v>420</v>
      </c>
      <c r="AF102" t="s">
        <v>21</v>
      </c>
    </row>
    <row r="103" spans="1:32">
      <c r="A103" t="s">
        <v>559</v>
      </c>
      <c r="B103" s="37">
        <v>39947</v>
      </c>
      <c r="C103" s="38">
        <v>39947</v>
      </c>
      <c r="D103" s="38">
        <v>39944</v>
      </c>
      <c r="E103" s="38">
        <v>39934</v>
      </c>
      <c r="F103" s="39">
        <v>42</v>
      </c>
      <c r="G103" t="s">
        <v>21</v>
      </c>
      <c r="H103" t="s">
        <v>21</v>
      </c>
      <c r="I103">
        <v>0</v>
      </c>
      <c r="J103">
        <v>0</v>
      </c>
      <c r="K103">
        <v>0</v>
      </c>
      <c r="L103">
        <v>1</v>
      </c>
      <c r="M103">
        <v>0</v>
      </c>
      <c r="N103" t="s">
        <v>194</v>
      </c>
      <c r="O103" t="s">
        <v>213</v>
      </c>
      <c r="P103" t="s">
        <v>205</v>
      </c>
      <c r="Q103" t="s">
        <v>170</v>
      </c>
      <c r="R103" t="s">
        <v>155</v>
      </c>
      <c r="T103" t="s">
        <v>134</v>
      </c>
      <c r="U103">
        <v>1</v>
      </c>
      <c r="W103" t="s">
        <v>134</v>
      </c>
      <c r="X103">
        <v>1</v>
      </c>
      <c r="Y103" t="s">
        <v>139</v>
      </c>
      <c r="Z103" t="s">
        <v>179</v>
      </c>
      <c r="AA103" t="s">
        <v>147</v>
      </c>
      <c r="AB103" t="s">
        <v>165</v>
      </c>
      <c r="AC103" t="s">
        <v>21</v>
      </c>
      <c r="AD103" t="s">
        <v>158</v>
      </c>
      <c r="AE103" t="s">
        <v>122</v>
      </c>
      <c r="AF103" t="s">
        <v>21</v>
      </c>
    </row>
    <row r="104" spans="1:32">
      <c r="A104" t="s">
        <v>560</v>
      </c>
      <c r="B104" s="37">
        <v>40021</v>
      </c>
      <c r="C104" s="38">
        <v>40021</v>
      </c>
      <c r="D104" s="38">
        <v>40021</v>
      </c>
      <c r="E104" s="38">
        <v>39995</v>
      </c>
      <c r="F104" s="39">
        <v>116</v>
      </c>
      <c r="G104" t="s">
        <v>21</v>
      </c>
      <c r="H104" t="s">
        <v>21</v>
      </c>
      <c r="I104">
        <v>0</v>
      </c>
      <c r="J104">
        <v>0</v>
      </c>
      <c r="K104">
        <v>0</v>
      </c>
      <c r="L104">
        <v>1</v>
      </c>
      <c r="M104">
        <v>0</v>
      </c>
      <c r="N104" t="s">
        <v>193</v>
      </c>
      <c r="O104" t="s">
        <v>213</v>
      </c>
      <c r="P104" t="s">
        <v>204</v>
      </c>
      <c r="Q104" t="s">
        <v>170</v>
      </c>
      <c r="R104" t="s">
        <v>155</v>
      </c>
      <c r="S104">
        <v>3</v>
      </c>
      <c r="T104" t="s">
        <v>137</v>
      </c>
      <c r="U104">
        <v>0</v>
      </c>
      <c r="V104">
        <v>2</v>
      </c>
      <c r="W104" t="s">
        <v>136</v>
      </c>
      <c r="X104">
        <v>0</v>
      </c>
      <c r="Y104" t="s">
        <v>140</v>
      </c>
      <c r="Z104" t="s">
        <v>178</v>
      </c>
      <c r="AA104" t="s">
        <v>144</v>
      </c>
      <c r="AB104" t="s">
        <v>162</v>
      </c>
      <c r="AC104" t="s">
        <v>174</v>
      </c>
      <c r="AD104" t="s">
        <v>157</v>
      </c>
      <c r="AE104" t="s">
        <v>439</v>
      </c>
      <c r="AF104" t="s">
        <v>561</v>
      </c>
    </row>
    <row r="105" spans="1:32">
      <c r="A105" t="s">
        <v>562</v>
      </c>
      <c r="B105" s="37">
        <v>40036</v>
      </c>
      <c r="C105" s="38">
        <v>40036</v>
      </c>
      <c r="D105" s="38">
        <v>40035</v>
      </c>
      <c r="E105" s="38">
        <v>40026</v>
      </c>
      <c r="F105" s="39">
        <v>131</v>
      </c>
      <c r="G105" t="s">
        <v>21</v>
      </c>
      <c r="H105" t="s">
        <v>21</v>
      </c>
      <c r="I105">
        <v>0</v>
      </c>
      <c r="J105">
        <v>0</v>
      </c>
      <c r="K105">
        <v>0</v>
      </c>
      <c r="L105">
        <v>1</v>
      </c>
      <c r="M105">
        <v>0</v>
      </c>
      <c r="N105" t="s">
        <v>197</v>
      </c>
      <c r="O105" t="s">
        <v>213</v>
      </c>
      <c r="P105" t="s">
        <v>209</v>
      </c>
      <c r="Q105" t="s">
        <v>170</v>
      </c>
      <c r="R105" t="s">
        <v>155</v>
      </c>
      <c r="S105">
        <v>5</v>
      </c>
      <c r="T105" t="s">
        <v>135</v>
      </c>
      <c r="U105">
        <v>0</v>
      </c>
      <c r="V105">
        <v>5</v>
      </c>
      <c r="W105" t="s">
        <v>135</v>
      </c>
      <c r="X105">
        <v>0</v>
      </c>
      <c r="Y105" t="s">
        <v>139</v>
      </c>
      <c r="Z105" t="s">
        <v>178</v>
      </c>
      <c r="AA105" t="s">
        <v>142</v>
      </c>
      <c r="AB105" t="s">
        <v>162</v>
      </c>
      <c r="AC105" t="s">
        <v>174</v>
      </c>
      <c r="AD105" t="s">
        <v>157</v>
      </c>
      <c r="AE105" t="s">
        <v>127</v>
      </c>
      <c r="AF105" t="s">
        <v>153</v>
      </c>
    </row>
    <row r="106" spans="1:32">
      <c r="A106" t="s">
        <v>563</v>
      </c>
      <c r="B106" s="37">
        <v>39950</v>
      </c>
      <c r="C106" s="38">
        <v>39950</v>
      </c>
      <c r="D106" s="38">
        <v>39944</v>
      </c>
      <c r="E106" s="38">
        <v>39934</v>
      </c>
      <c r="F106" s="39">
        <v>45</v>
      </c>
      <c r="G106" t="s">
        <v>21</v>
      </c>
      <c r="H106" t="s">
        <v>21</v>
      </c>
      <c r="I106">
        <v>0</v>
      </c>
      <c r="J106">
        <v>0</v>
      </c>
      <c r="K106">
        <v>0</v>
      </c>
      <c r="L106">
        <v>1</v>
      </c>
      <c r="M106">
        <v>0</v>
      </c>
      <c r="N106" t="s">
        <v>195</v>
      </c>
      <c r="O106" t="s">
        <v>213</v>
      </c>
      <c r="P106" t="s">
        <v>206</v>
      </c>
      <c r="Q106" t="s">
        <v>170</v>
      </c>
      <c r="R106" t="s">
        <v>155</v>
      </c>
      <c r="T106" t="s">
        <v>134</v>
      </c>
      <c r="U106">
        <v>1</v>
      </c>
      <c r="W106" t="s">
        <v>134</v>
      </c>
      <c r="X106">
        <v>1</v>
      </c>
      <c r="Y106" t="s">
        <v>139</v>
      </c>
      <c r="Z106" t="s">
        <v>178</v>
      </c>
      <c r="AA106" t="s">
        <v>147</v>
      </c>
      <c r="AB106" t="s">
        <v>162</v>
      </c>
      <c r="AC106" t="s">
        <v>174</v>
      </c>
      <c r="AD106" t="s">
        <v>157</v>
      </c>
      <c r="AE106" t="s">
        <v>130</v>
      </c>
      <c r="AF106" t="s">
        <v>437</v>
      </c>
    </row>
    <row r="107" spans="1:32">
      <c r="A107" t="s">
        <v>564</v>
      </c>
      <c r="B107" s="37">
        <v>39948</v>
      </c>
      <c r="C107" s="38">
        <v>39948</v>
      </c>
      <c r="D107" s="38">
        <v>39944</v>
      </c>
      <c r="E107" s="38">
        <v>39934</v>
      </c>
      <c r="F107" s="39">
        <v>43</v>
      </c>
      <c r="G107" t="s">
        <v>525</v>
      </c>
      <c r="H107" t="s">
        <v>17</v>
      </c>
      <c r="I107">
        <v>0</v>
      </c>
      <c r="J107">
        <v>0</v>
      </c>
      <c r="K107">
        <v>1</v>
      </c>
      <c r="L107">
        <v>0</v>
      </c>
      <c r="M107">
        <v>0</v>
      </c>
      <c r="N107" t="s">
        <v>195</v>
      </c>
      <c r="O107" t="s">
        <v>213</v>
      </c>
      <c r="P107" t="s">
        <v>206</v>
      </c>
      <c r="Q107" t="s">
        <v>170</v>
      </c>
      <c r="R107" t="s">
        <v>155</v>
      </c>
      <c r="T107" t="s">
        <v>134</v>
      </c>
      <c r="U107">
        <v>1</v>
      </c>
      <c r="W107" t="s">
        <v>134</v>
      </c>
      <c r="X107">
        <v>1</v>
      </c>
      <c r="Y107" t="s">
        <v>139</v>
      </c>
      <c r="Z107" t="s">
        <v>178</v>
      </c>
      <c r="AA107" t="s">
        <v>143</v>
      </c>
      <c r="AB107" t="s">
        <v>162</v>
      </c>
      <c r="AC107" t="s">
        <v>174</v>
      </c>
      <c r="AD107" t="s">
        <v>156</v>
      </c>
      <c r="AE107" t="s">
        <v>120</v>
      </c>
      <c r="AF107" t="s">
        <v>565</v>
      </c>
    </row>
    <row r="108" spans="1:32">
      <c r="A108" t="s">
        <v>566</v>
      </c>
      <c r="B108" s="37">
        <v>40017</v>
      </c>
      <c r="C108" s="38">
        <v>40017</v>
      </c>
      <c r="D108" s="38">
        <v>40014</v>
      </c>
      <c r="E108" s="38">
        <v>39995</v>
      </c>
      <c r="F108" s="39">
        <v>112</v>
      </c>
      <c r="G108" t="s">
        <v>383</v>
      </c>
      <c r="H108" t="s">
        <v>17</v>
      </c>
      <c r="I108">
        <v>0</v>
      </c>
      <c r="J108">
        <v>0</v>
      </c>
      <c r="K108">
        <v>1</v>
      </c>
      <c r="L108">
        <v>0</v>
      </c>
      <c r="M108">
        <v>0</v>
      </c>
      <c r="N108" t="s">
        <v>193</v>
      </c>
      <c r="O108" t="s">
        <v>213</v>
      </c>
      <c r="P108" t="s">
        <v>204</v>
      </c>
      <c r="Q108" t="s">
        <v>170</v>
      </c>
      <c r="R108" t="s">
        <v>155</v>
      </c>
      <c r="S108">
        <v>5</v>
      </c>
      <c r="T108" t="s">
        <v>135</v>
      </c>
      <c r="U108">
        <v>0</v>
      </c>
      <c r="V108">
        <v>5</v>
      </c>
      <c r="W108" t="s">
        <v>135</v>
      </c>
      <c r="X108">
        <v>0</v>
      </c>
      <c r="Y108" t="s">
        <v>140</v>
      </c>
      <c r="Z108" t="s">
        <v>178</v>
      </c>
      <c r="AA108" t="s">
        <v>146</v>
      </c>
      <c r="AB108" t="s">
        <v>162</v>
      </c>
      <c r="AC108" t="s">
        <v>567</v>
      </c>
      <c r="AD108" t="s">
        <v>155</v>
      </c>
      <c r="AE108" t="s">
        <v>130</v>
      </c>
      <c r="AF108" t="s">
        <v>21</v>
      </c>
    </row>
    <row r="109" spans="1:32">
      <c r="A109" t="s">
        <v>568</v>
      </c>
      <c r="B109" s="37">
        <v>39914</v>
      </c>
      <c r="C109" s="38">
        <v>39914</v>
      </c>
      <c r="D109" s="38">
        <v>39909</v>
      </c>
      <c r="E109" s="38">
        <v>39904</v>
      </c>
      <c r="F109" s="39">
        <v>9</v>
      </c>
      <c r="G109" t="s">
        <v>21</v>
      </c>
      <c r="H109" t="s">
        <v>21</v>
      </c>
      <c r="I109">
        <v>0</v>
      </c>
      <c r="J109">
        <v>0</v>
      </c>
      <c r="K109">
        <v>0</v>
      </c>
      <c r="L109">
        <v>1</v>
      </c>
      <c r="M109">
        <v>0</v>
      </c>
      <c r="N109" t="s">
        <v>194</v>
      </c>
      <c r="O109" t="s">
        <v>213</v>
      </c>
      <c r="P109" t="s">
        <v>205</v>
      </c>
      <c r="Q109" t="s">
        <v>170</v>
      </c>
      <c r="R109" t="s">
        <v>155</v>
      </c>
      <c r="T109" t="s">
        <v>134</v>
      </c>
      <c r="U109">
        <v>1</v>
      </c>
      <c r="W109" t="s">
        <v>134</v>
      </c>
      <c r="X109">
        <v>1</v>
      </c>
      <c r="Y109" t="s">
        <v>139</v>
      </c>
      <c r="Z109" t="s">
        <v>178</v>
      </c>
      <c r="AA109" t="s">
        <v>143</v>
      </c>
      <c r="AB109" t="s">
        <v>162</v>
      </c>
      <c r="AC109" t="s">
        <v>174</v>
      </c>
      <c r="AD109" t="s">
        <v>160</v>
      </c>
      <c r="AE109" t="s">
        <v>126</v>
      </c>
      <c r="AF109" t="s">
        <v>551</v>
      </c>
    </row>
    <row r="110" spans="1:32">
      <c r="A110" t="s">
        <v>569</v>
      </c>
      <c r="B110" s="37">
        <v>39965</v>
      </c>
      <c r="C110" s="38">
        <v>39965</v>
      </c>
      <c r="D110" s="38">
        <v>39965</v>
      </c>
      <c r="E110" s="38">
        <v>39965</v>
      </c>
      <c r="F110" s="39">
        <v>60</v>
      </c>
      <c r="G110" t="s">
        <v>570</v>
      </c>
      <c r="H110" t="s">
        <v>13</v>
      </c>
      <c r="I110">
        <v>0</v>
      </c>
      <c r="J110">
        <v>1</v>
      </c>
      <c r="K110">
        <v>0</v>
      </c>
      <c r="L110">
        <v>0</v>
      </c>
      <c r="M110">
        <v>1</v>
      </c>
      <c r="N110" t="s">
        <v>193</v>
      </c>
      <c r="O110" t="s">
        <v>213</v>
      </c>
      <c r="P110" t="s">
        <v>204</v>
      </c>
      <c r="Q110" t="s">
        <v>170</v>
      </c>
      <c r="R110" t="s">
        <v>155</v>
      </c>
      <c r="T110" t="s">
        <v>134</v>
      </c>
      <c r="U110">
        <v>1</v>
      </c>
      <c r="W110" t="s">
        <v>134</v>
      </c>
      <c r="X110">
        <v>1</v>
      </c>
      <c r="Y110" t="s">
        <v>140</v>
      </c>
      <c r="Z110" t="s">
        <v>178</v>
      </c>
      <c r="AA110" t="s">
        <v>143</v>
      </c>
      <c r="AB110" t="s">
        <v>163</v>
      </c>
      <c r="AC110" t="s">
        <v>173</v>
      </c>
      <c r="AD110" t="s">
        <v>155</v>
      </c>
      <c r="AE110" t="s">
        <v>571</v>
      </c>
      <c r="AF110" t="s">
        <v>21</v>
      </c>
    </row>
    <row r="111" spans="1:32">
      <c r="A111" t="s">
        <v>572</v>
      </c>
      <c r="B111" s="37">
        <v>40046</v>
      </c>
      <c r="C111" s="38">
        <v>40046</v>
      </c>
      <c r="D111" s="38">
        <v>40042</v>
      </c>
      <c r="E111" s="38">
        <v>40026</v>
      </c>
      <c r="F111" s="39">
        <v>141</v>
      </c>
      <c r="G111" t="s">
        <v>21</v>
      </c>
      <c r="H111" t="s">
        <v>21</v>
      </c>
      <c r="I111">
        <v>0</v>
      </c>
      <c r="J111">
        <v>0</v>
      </c>
      <c r="K111">
        <v>0</v>
      </c>
      <c r="L111">
        <v>1</v>
      </c>
      <c r="M111">
        <v>0</v>
      </c>
      <c r="N111" t="s">
        <v>195</v>
      </c>
      <c r="O111" t="s">
        <v>213</v>
      </c>
      <c r="P111" t="s">
        <v>206</v>
      </c>
      <c r="Q111" t="s">
        <v>170</v>
      </c>
      <c r="R111" t="s">
        <v>155</v>
      </c>
      <c r="S111">
        <v>5</v>
      </c>
      <c r="T111" t="s">
        <v>135</v>
      </c>
      <c r="U111">
        <v>0</v>
      </c>
      <c r="V111">
        <v>3</v>
      </c>
      <c r="W111" t="s">
        <v>137</v>
      </c>
      <c r="X111">
        <v>0</v>
      </c>
      <c r="Y111" t="s">
        <v>139</v>
      </c>
      <c r="Z111" t="s">
        <v>178</v>
      </c>
      <c r="AA111" t="s">
        <v>142</v>
      </c>
      <c r="AB111" t="s">
        <v>162</v>
      </c>
      <c r="AC111" t="s">
        <v>573</v>
      </c>
      <c r="AD111" t="s">
        <v>155</v>
      </c>
      <c r="AE111" t="s">
        <v>129</v>
      </c>
      <c r="AF111" t="s">
        <v>21</v>
      </c>
    </row>
    <row r="112" spans="1:32">
      <c r="A112" t="s">
        <v>574</v>
      </c>
      <c r="B112" s="37">
        <v>40063</v>
      </c>
      <c r="C112" s="38">
        <v>40063</v>
      </c>
      <c r="D112" s="38">
        <v>40063</v>
      </c>
      <c r="E112" s="38">
        <v>40057</v>
      </c>
      <c r="F112" s="39">
        <v>158</v>
      </c>
      <c r="G112" t="s">
        <v>21</v>
      </c>
      <c r="H112" t="s">
        <v>21</v>
      </c>
      <c r="I112">
        <v>0</v>
      </c>
      <c r="J112">
        <v>0</v>
      </c>
      <c r="K112">
        <v>0</v>
      </c>
      <c r="L112">
        <v>1</v>
      </c>
      <c r="M112">
        <v>0</v>
      </c>
      <c r="N112" t="s">
        <v>196</v>
      </c>
      <c r="O112" t="s">
        <v>213</v>
      </c>
      <c r="P112" t="s">
        <v>207</v>
      </c>
      <c r="Q112" t="s">
        <v>170</v>
      </c>
      <c r="R112" t="s">
        <v>155</v>
      </c>
      <c r="S112">
        <v>1</v>
      </c>
      <c r="T112" t="s">
        <v>136</v>
      </c>
      <c r="U112">
        <v>0</v>
      </c>
      <c r="V112">
        <v>2</v>
      </c>
      <c r="W112" t="s">
        <v>136</v>
      </c>
      <c r="X112">
        <v>0</v>
      </c>
      <c r="Y112" t="s">
        <v>139</v>
      </c>
      <c r="Z112" t="s">
        <v>178</v>
      </c>
      <c r="AA112" t="s">
        <v>149</v>
      </c>
      <c r="AB112" t="s">
        <v>162</v>
      </c>
      <c r="AC112" t="s">
        <v>174</v>
      </c>
      <c r="AD112" t="s">
        <v>156</v>
      </c>
      <c r="AE112" t="s">
        <v>120</v>
      </c>
      <c r="AF112" t="s">
        <v>470</v>
      </c>
    </row>
    <row r="113" spans="1:32">
      <c r="A113" t="s">
        <v>575</v>
      </c>
      <c r="B113" s="37">
        <v>39961</v>
      </c>
      <c r="C113" s="38">
        <v>39961</v>
      </c>
      <c r="D113" s="38">
        <v>39958</v>
      </c>
      <c r="E113" s="38">
        <v>39934</v>
      </c>
      <c r="F113" s="39">
        <v>56</v>
      </c>
      <c r="G113" t="s">
        <v>21</v>
      </c>
      <c r="H113" t="s">
        <v>21</v>
      </c>
      <c r="I113">
        <v>0</v>
      </c>
      <c r="J113">
        <v>0</v>
      </c>
      <c r="K113">
        <v>0</v>
      </c>
      <c r="L113">
        <v>1</v>
      </c>
      <c r="M113">
        <v>0</v>
      </c>
      <c r="N113" t="s">
        <v>195</v>
      </c>
      <c r="O113" t="s">
        <v>213</v>
      </c>
      <c r="P113" t="s">
        <v>206</v>
      </c>
      <c r="Q113" t="s">
        <v>170</v>
      </c>
      <c r="R113" t="s">
        <v>155</v>
      </c>
      <c r="T113" t="s">
        <v>134</v>
      </c>
      <c r="U113">
        <v>1</v>
      </c>
      <c r="W113" t="s">
        <v>134</v>
      </c>
      <c r="X113">
        <v>1</v>
      </c>
      <c r="Y113" t="s">
        <v>139</v>
      </c>
      <c r="Z113" t="s">
        <v>576</v>
      </c>
      <c r="AA113" t="s">
        <v>142</v>
      </c>
      <c r="AB113" t="s">
        <v>162</v>
      </c>
      <c r="AC113" t="s">
        <v>175</v>
      </c>
      <c r="AD113" t="s">
        <v>155</v>
      </c>
      <c r="AE113" t="s">
        <v>129</v>
      </c>
      <c r="AF113" t="s">
        <v>21</v>
      </c>
    </row>
    <row r="114" spans="1:32">
      <c r="A114" t="s">
        <v>577</v>
      </c>
      <c r="B114" s="37">
        <v>39921</v>
      </c>
      <c r="C114" s="38">
        <v>39921</v>
      </c>
      <c r="D114" s="38">
        <v>39916</v>
      </c>
      <c r="E114" s="38">
        <v>39904</v>
      </c>
      <c r="F114" s="39">
        <v>16</v>
      </c>
      <c r="G114" t="s">
        <v>21</v>
      </c>
      <c r="H114" t="s">
        <v>21</v>
      </c>
      <c r="I114">
        <v>0</v>
      </c>
      <c r="J114">
        <v>0</v>
      </c>
      <c r="K114">
        <v>0</v>
      </c>
      <c r="L114">
        <v>1</v>
      </c>
      <c r="M114">
        <v>0</v>
      </c>
      <c r="N114" t="s">
        <v>201</v>
      </c>
      <c r="O114" t="s">
        <v>214</v>
      </c>
      <c r="P114" t="s">
        <v>204</v>
      </c>
      <c r="Q114" t="s">
        <v>170</v>
      </c>
      <c r="R114" t="s">
        <v>155</v>
      </c>
      <c r="T114" t="s">
        <v>134</v>
      </c>
      <c r="U114">
        <v>1</v>
      </c>
      <c r="W114" t="s">
        <v>134</v>
      </c>
      <c r="X114">
        <v>1</v>
      </c>
      <c r="Y114" t="s">
        <v>140</v>
      </c>
      <c r="Z114" t="s">
        <v>179</v>
      </c>
      <c r="AA114" t="s">
        <v>147</v>
      </c>
      <c r="AB114" t="s">
        <v>162</v>
      </c>
      <c r="AC114" t="s">
        <v>578</v>
      </c>
      <c r="AD114" t="s">
        <v>157</v>
      </c>
      <c r="AE114" t="s">
        <v>130</v>
      </c>
      <c r="AF114" t="s">
        <v>437</v>
      </c>
    </row>
    <row r="115" spans="1:32">
      <c r="A115" t="s">
        <v>579</v>
      </c>
      <c r="B115" s="37">
        <v>39966</v>
      </c>
      <c r="C115" s="38">
        <v>39966</v>
      </c>
      <c r="D115" s="38">
        <v>39965</v>
      </c>
      <c r="E115" s="38">
        <v>39965</v>
      </c>
      <c r="F115" s="39">
        <v>61</v>
      </c>
      <c r="G115" t="s">
        <v>21</v>
      </c>
      <c r="H115" t="s">
        <v>21</v>
      </c>
      <c r="I115">
        <v>0</v>
      </c>
      <c r="J115">
        <v>0</v>
      </c>
      <c r="K115">
        <v>0</v>
      </c>
      <c r="L115">
        <v>1</v>
      </c>
      <c r="M115">
        <v>0</v>
      </c>
      <c r="N115" t="s">
        <v>193</v>
      </c>
      <c r="O115" t="s">
        <v>213</v>
      </c>
      <c r="P115" t="s">
        <v>204</v>
      </c>
      <c r="Q115" t="s">
        <v>170</v>
      </c>
      <c r="R115" t="s">
        <v>155</v>
      </c>
      <c r="T115" t="s">
        <v>134</v>
      </c>
      <c r="U115">
        <v>1</v>
      </c>
      <c r="W115" t="s">
        <v>134</v>
      </c>
      <c r="X115">
        <v>1</v>
      </c>
      <c r="Y115" t="s">
        <v>140</v>
      </c>
      <c r="Z115" t="s">
        <v>181</v>
      </c>
      <c r="AA115" t="s">
        <v>144</v>
      </c>
      <c r="AB115" t="s">
        <v>163</v>
      </c>
      <c r="AC115" t="s">
        <v>173</v>
      </c>
      <c r="AD115" t="s">
        <v>155</v>
      </c>
      <c r="AE115" t="s">
        <v>130</v>
      </c>
      <c r="AF115" t="s">
        <v>21</v>
      </c>
    </row>
    <row r="116" spans="1:32">
      <c r="A116" t="s">
        <v>580</v>
      </c>
      <c r="B116" s="37">
        <v>39951</v>
      </c>
      <c r="C116" s="38">
        <v>39951</v>
      </c>
      <c r="D116" s="38">
        <v>39951</v>
      </c>
      <c r="E116" s="38">
        <v>39934</v>
      </c>
      <c r="F116" s="39">
        <v>46</v>
      </c>
      <c r="G116" t="s">
        <v>21</v>
      </c>
      <c r="H116" t="s">
        <v>21</v>
      </c>
      <c r="I116">
        <v>0</v>
      </c>
      <c r="J116">
        <v>0</v>
      </c>
      <c r="K116">
        <v>0</v>
      </c>
      <c r="L116">
        <v>1</v>
      </c>
      <c r="M116">
        <v>0</v>
      </c>
      <c r="N116" t="s">
        <v>193</v>
      </c>
      <c r="O116" t="s">
        <v>213</v>
      </c>
      <c r="P116" t="s">
        <v>204</v>
      </c>
      <c r="Q116" t="s">
        <v>170</v>
      </c>
      <c r="R116" t="s">
        <v>155</v>
      </c>
      <c r="T116" t="s">
        <v>134</v>
      </c>
      <c r="U116">
        <v>1</v>
      </c>
      <c r="W116" t="s">
        <v>134</v>
      </c>
      <c r="X116">
        <v>1</v>
      </c>
      <c r="Y116" t="s">
        <v>140</v>
      </c>
      <c r="Z116" t="s">
        <v>479</v>
      </c>
      <c r="AA116" t="s">
        <v>145</v>
      </c>
      <c r="AB116" t="s">
        <v>162</v>
      </c>
      <c r="AC116" t="s">
        <v>581</v>
      </c>
      <c r="AD116" t="s">
        <v>155</v>
      </c>
      <c r="AE116" t="s">
        <v>129</v>
      </c>
      <c r="AF116" t="s">
        <v>21</v>
      </c>
    </row>
    <row r="117" spans="1:32">
      <c r="A117" t="s">
        <v>582</v>
      </c>
      <c r="B117" s="37">
        <v>39907</v>
      </c>
      <c r="C117" s="38">
        <v>39907</v>
      </c>
      <c r="D117" s="38">
        <v>39902</v>
      </c>
      <c r="E117" s="38">
        <v>39904</v>
      </c>
      <c r="F117" s="39">
        <v>2</v>
      </c>
      <c r="G117" t="s">
        <v>21</v>
      </c>
      <c r="H117" t="s">
        <v>21</v>
      </c>
      <c r="I117">
        <v>0</v>
      </c>
      <c r="J117">
        <v>0</v>
      </c>
      <c r="K117">
        <v>0</v>
      </c>
      <c r="L117">
        <v>1</v>
      </c>
      <c r="M117">
        <v>0</v>
      </c>
      <c r="N117" t="s">
        <v>195</v>
      </c>
      <c r="O117" t="s">
        <v>213</v>
      </c>
      <c r="P117" t="s">
        <v>206</v>
      </c>
      <c r="Q117" t="s">
        <v>170</v>
      </c>
      <c r="R117" t="s">
        <v>155</v>
      </c>
      <c r="T117" t="s">
        <v>134</v>
      </c>
      <c r="U117">
        <v>1</v>
      </c>
      <c r="W117" t="s">
        <v>134</v>
      </c>
      <c r="X117">
        <v>1</v>
      </c>
      <c r="Y117" t="s">
        <v>139</v>
      </c>
      <c r="Z117" t="s">
        <v>191</v>
      </c>
      <c r="AA117" t="s">
        <v>147</v>
      </c>
      <c r="AB117" t="s">
        <v>165</v>
      </c>
      <c r="AC117" t="s">
        <v>583</v>
      </c>
      <c r="AD117" t="s">
        <v>158</v>
      </c>
      <c r="AE117" t="s">
        <v>122</v>
      </c>
      <c r="AF117" t="s">
        <v>21</v>
      </c>
    </row>
    <row r="118" spans="1:32">
      <c r="A118" t="s">
        <v>584</v>
      </c>
      <c r="B118" s="37">
        <v>39927</v>
      </c>
      <c r="C118" s="38">
        <v>39927</v>
      </c>
      <c r="D118" s="38">
        <v>39923</v>
      </c>
      <c r="E118" s="38">
        <v>39904</v>
      </c>
      <c r="F118" s="39">
        <v>22</v>
      </c>
      <c r="G118" t="s">
        <v>21</v>
      </c>
      <c r="H118" t="s">
        <v>21</v>
      </c>
      <c r="I118">
        <v>0</v>
      </c>
      <c r="J118">
        <v>0</v>
      </c>
      <c r="K118">
        <v>0</v>
      </c>
      <c r="L118">
        <v>1</v>
      </c>
      <c r="M118">
        <v>0</v>
      </c>
      <c r="N118" t="s">
        <v>202</v>
      </c>
      <c r="O118" t="s">
        <v>213</v>
      </c>
      <c r="P118" t="s">
        <v>211</v>
      </c>
      <c r="Q118" t="s">
        <v>170</v>
      </c>
      <c r="R118" t="s">
        <v>155</v>
      </c>
      <c r="T118" t="s">
        <v>134</v>
      </c>
      <c r="U118">
        <v>1</v>
      </c>
      <c r="W118" t="s">
        <v>134</v>
      </c>
      <c r="X118">
        <v>1</v>
      </c>
      <c r="Y118" t="s">
        <v>139</v>
      </c>
      <c r="Z118" t="s">
        <v>183</v>
      </c>
      <c r="AA118" t="s">
        <v>142</v>
      </c>
      <c r="AB118" t="s">
        <v>163</v>
      </c>
      <c r="AC118" t="s">
        <v>585</v>
      </c>
      <c r="AD118" t="s">
        <v>161</v>
      </c>
      <c r="AE118" t="s">
        <v>586</v>
      </c>
      <c r="AF118" t="s">
        <v>21</v>
      </c>
    </row>
    <row r="119" spans="1:32">
      <c r="A119" t="s">
        <v>587</v>
      </c>
      <c r="B119" s="37">
        <v>40048</v>
      </c>
      <c r="C119" s="38">
        <v>40048</v>
      </c>
      <c r="D119" s="38">
        <v>40042</v>
      </c>
      <c r="E119" s="38">
        <v>40026</v>
      </c>
      <c r="F119" s="39">
        <v>143</v>
      </c>
      <c r="G119" t="s">
        <v>21</v>
      </c>
      <c r="H119" t="s">
        <v>21</v>
      </c>
      <c r="I119">
        <v>0</v>
      </c>
      <c r="J119">
        <v>0</v>
      </c>
      <c r="K119">
        <v>0</v>
      </c>
      <c r="L119">
        <v>1</v>
      </c>
      <c r="M119">
        <v>0</v>
      </c>
      <c r="N119" t="s">
        <v>193</v>
      </c>
      <c r="O119" t="s">
        <v>213</v>
      </c>
      <c r="P119" t="s">
        <v>204</v>
      </c>
      <c r="Q119" t="s">
        <v>170</v>
      </c>
      <c r="R119" t="s">
        <v>155</v>
      </c>
      <c r="S119">
        <v>1</v>
      </c>
      <c r="T119" t="s">
        <v>136</v>
      </c>
      <c r="U119">
        <v>0</v>
      </c>
      <c r="V119">
        <v>2</v>
      </c>
      <c r="W119" t="s">
        <v>136</v>
      </c>
      <c r="X119">
        <v>0</v>
      </c>
      <c r="Y119" t="s">
        <v>140</v>
      </c>
      <c r="Z119" t="s">
        <v>447</v>
      </c>
      <c r="AA119" t="s">
        <v>144</v>
      </c>
      <c r="AB119" t="s">
        <v>162</v>
      </c>
      <c r="AC119" t="s">
        <v>175</v>
      </c>
      <c r="AD119" t="s">
        <v>155</v>
      </c>
      <c r="AE119" t="s">
        <v>387</v>
      </c>
      <c r="AF119" t="s">
        <v>21</v>
      </c>
    </row>
    <row r="120" spans="1:32">
      <c r="A120" t="s">
        <v>588</v>
      </c>
      <c r="B120" s="37">
        <v>39973</v>
      </c>
      <c r="C120" s="38">
        <v>39973</v>
      </c>
      <c r="D120" s="38">
        <v>39972</v>
      </c>
      <c r="E120" s="38">
        <v>39965</v>
      </c>
      <c r="F120" s="39">
        <v>68</v>
      </c>
      <c r="G120" t="s">
        <v>380</v>
      </c>
      <c r="H120" t="s">
        <v>17</v>
      </c>
      <c r="I120">
        <v>0</v>
      </c>
      <c r="J120">
        <v>0</v>
      </c>
      <c r="K120">
        <v>1</v>
      </c>
      <c r="L120">
        <v>0</v>
      </c>
      <c r="M120">
        <v>0</v>
      </c>
      <c r="N120" t="s">
        <v>193</v>
      </c>
      <c r="O120" t="s">
        <v>213</v>
      </c>
      <c r="P120" t="s">
        <v>204</v>
      </c>
      <c r="Q120" t="s">
        <v>170</v>
      </c>
      <c r="R120" t="s">
        <v>155</v>
      </c>
      <c r="T120" t="s">
        <v>134</v>
      </c>
      <c r="U120">
        <v>1</v>
      </c>
      <c r="W120" t="s">
        <v>134</v>
      </c>
      <c r="X120">
        <v>1</v>
      </c>
      <c r="Y120" t="s">
        <v>140</v>
      </c>
      <c r="Z120" t="s">
        <v>181</v>
      </c>
      <c r="AA120" t="s">
        <v>144</v>
      </c>
      <c r="AB120" t="s">
        <v>165</v>
      </c>
      <c r="AC120" t="s">
        <v>589</v>
      </c>
      <c r="AD120" t="s">
        <v>158</v>
      </c>
      <c r="AE120" t="s">
        <v>122</v>
      </c>
      <c r="AF120" t="s">
        <v>21</v>
      </c>
    </row>
    <row r="121" spans="1:32">
      <c r="A121" t="s">
        <v>590</v>
      </c>
      <c r="B121" s="37">
        <v>39951</v>
      </c>
      <c r="C121" s="38">
        <v>39951</v>
      </c>
      <c r="D121" s="38">
        <v>39951</v>
      </c>
      <c r="E121" s="38">
        <v>39934</v>
      </c>
      <c r="F121" s="39">
        <v>46</v>
      </c>
      <c r="G121" t="s">
        <v>21</v>
      </c>
      <c r="H121" t="s">
        <v>21</v>
      </c>
      <c r="I121">
        <v>0</v>
      </c>
      <c r="J121">
        <v>0</v>
      </c>
      <c r="K121">
        <v>0</v>
      </c>
      <c r="L121">
        <v>1</v>
      </c>
      <c r="M121">
        <v>0</v>
      </c>
      <c r="N121" t="s">
        <v>193</v>
      </c>
      <c r="O121" t="s">
        <v>213</v>
      </c>
      <c r="P121" t="s">
        <v>204</v>
      </c>
      <c r="Q121" t="s">
        <v>170</v>
      </c>
      <c r="R121" t="s">
        <v>155</v>
      </c>
      <c r="T121" t="s">
        <v>134</v>
      </c>
      <c r="U121">
        <v>1</v>
      </c>
      <c r="W121" t="s">
        <v>134</v>
      </c>
      <c r="X121">
        <v>1</v>
      </c>
      <c r="Y121" t="s">
        <v>140</v>
      </c>
      <c r="Z121" t="s">
        <v>591</v>
      </c>
      <c r="AA121" t="s">
        <v>145</v>
      </c>
      <c r="AB121" t="s">
        <v>162</v>
      </c>
      <c r="AC121" t="s">
        <v>176</v>
      </c>
      <c r="AD121" t="s">
        <v>155</v>
      </c>
      <c r="AE121" t="s">
        <v>129</v>
      </c>
      <c r="AF121" t="s">
        <v>21</v>
      </c>
    </row>
    <row r="122" spans="1:32">
      <c r="A122" t="s">
        <v>592</v>
      </c>
      <c r="B122" s="37">
        <v>39974</v>
      </c>
      <c r="C122" s="38">
        <v>39974</v>
      </c>
      <c r="D122" s="38">
        <v>39972</v>
      </c>
      <c r="E122" s="38">
        <v>39965</v>
      </c>
      <c r="F122" s="39">
        <v>69</v>
      </c>
      <c r="G122" t="s">
        <v>496</v>
      </c>
      <c r="H122" t="s">
        <v>13</v>
      </c>
      <c r="I122">
        <v>0</v>
      </c>
      <c r="J122">
        <v>1</v>
      </c>
      <c r="K122">
        <v>0</v>
      </c>
      <c r="L122">
        <v>0</v>
      </c>
      <c r="M122">
        <v>1</v>
      </c>
      <c r="N122" t="s">
        <v>193</v>
      </c>
      <c r="O122" t="s">
        <v>213</v>
      </c>
      <c r="P122" t="s">
        <v>204</v>
      </c>
      <c r="Q122" t="s">
        <v>170</v>
      </c>
      <c r="R122" t="s">
        <v>155</v>
      </c>
      <c r="T122" t="s">
        <v>134</v>
      </c>
      <c r="U122">
        <v>1</v>
      </c>
      <c r="W122" t="s">
        <v>134</v>
      </c>
      <c r="X122">
        <v>1</v>
      </c>
      <c r="Y122" t="s">
        <v>140</v>
      </c>
      <c r="Z122" t="s">
        <v>178</v>
      </c>
      <c r="AA122" t="s">
        <v>145</v>
      </c>
      <c r="AB122" t="s">
        <v>162</v>
      </c>
      <c r="AC122" t="s">
        <v>175</v>
      </c>
      <c r="AD122" t="s">
        <v>155</v>
      </c>
      <c r="AE122" t="s">
        <v>129</v>
      </c>
      <c r="AF122" t="s">
        <v>21</v>
      </c>
    </row>
    <row r="123" spans="1:32">
      <c r="A123" t="s">
        <v>593</v>
      </c>
      <c r="B123" s="37">
        <v>39935</v>
      </c>
      <c r="C123" s="38">
        <v>39935</v>
      </c>
      <c r="D123" s="38">
        <v>39930</v>
      </c>
      <c r="E123" s="38">
        <v>39934</v>
      </c>
      <c r="F123" s="39">
        <v>30</v>
      </c>
      <c r="G123" t="s">
        <v>21</v>
      </c>
      <c r="H123" t="s">
        <v>21</v>
      </c>
      <c r="I123">
        <v>0</v>
      </c>
      <c r="J123">
        <v>0</v>
      </c>
      <c r="K123">
        <v>0</v>
      </c>
      <c r="L123">
        <v>1</v>
      </c>
      <c r="M123">
        <v>0</v>
      </c>
      <c r="N123" t="s">
        <v>200</v>
      </c>
      <c r="O123" t="s">
        <v>214</v>
      </c>
      <c r="P123" t="s">
        <v>208</v>
      </c>
      <c r="Q123" t="s">
        <v>170</v>
      </c>
      <c r="R123" t="s">
        <v>155</v>
      </c>
      <c r="T123" t="s">
        <v>134</v>
      </c>
      <c r="U123">
        <v>1</v>
      </c>
      <c r="W123" t="s">
        <v>134</v>
      </c>
      <c r="X123">
        <v>1</v>
      </c>
      <c r="Y123" t="s">
        <v>139</v>
      </c>
      <c r="Z123" t="s">
        <v>509</v>
      </c>
      <c r="AA123" t="s">
        <v>149</v>
      </c>
      <c r="AB123" t="s">
        <v>163</v>
      </c>
      <c r="AC123" t="s">
        <v>173</v>
      </c>
      <c r="AD123" t="s">
        <v>161</v>
      </c>
      <c r="AE123" t="s">
        <v>420</v>
      </c>
      <c r="AF123" t="s">
        <v>21</v>
      </c>
    </row>
    <row r="124" spans="1:32">
      <c r="A124" t="s">
        <v>594</v>
      </c>
      <c r="B124" s="37">
        <v>39965</v>
      </c>
      <c r="C124" s="38">
        <v>39965</v>
      </c>
      <c r="D124" s="38">
        <v>39965</v>
      </c>
      <c r="E124" s="38">
        <v>39965</v>
      </c>
      <c r="F124" s="39">
        <v>60</v>
      </c>
      <c r="G124" t="s">
        <v>9</v>
      </c>
      <c r="H124" t="s">
        <v>9</v>
      </c>
      <c r="I124">
        <v>1</v>
      </c>
      <c r="J124">
        <v>0</v>
      </c>
      <c r="K124">
        <v>0</v>
      </c>
      <c r="L124">
        <v>0</v>
      </c>
      <c r="M124">
        <v>1</v>
      </c>
      <c r="N124" t="s">
        <v>194</v>
      </c>
      <c r="O124" t="s">
        <v>213</v>
      </c>
      <c r="P124" t="s">
        <v>205</v>
      </c>
      <c r="Q124" t="s">
        <v>170</v>
      </c>
      <c r="R124" t="s">
        <v>155</v>
      </c>
      <c r="T124" t="s">
        <v>134</v>
      </c>
      <c r="U124">
        <v>1</v>
      </c>
      <c r="W124" t="s">
        <v>134</v>
      </c>
      <c r="X124">
        <v>1</v>
      </c>
      <c r="Y124" t="s">
        <v>139</v>
      </c>
      <c r="Z124" t="s">
        <v>178</v>
      </c>
      <c r="AA124" t="s">
        <v>143</v>
      </c>
      <c r="AB124" t="s">
        <v>162</v>
      </c>
      <c r="AC124" t="s">
        <v>174</v>
      </c>
      <c r="AD124" t="s">
        <v>159</v>
      </c>
      <c r="AE124" t="s">
        <v>123</v>
      </c>
      <c r="AF124" t="s">
        <v>123</v>
      </c>
    </row>
    <row r="125" spans="1:32">
      <c r="A125" t="s">
        <v>595</v>
      </c>
      <c r="B125" s="37">
        <v>40006</v>
      </c>
      <c r="C125" s="38">
        <v>40006</v>
      </c>
      <c r="D125" s="38">
        <v>40000</v>
      </c>
      <c r="E125" s="38">
        <v>39995</v>
      </c>
      <c r="F125" s="39">
        <v>101</v>
      </c>
      <c r="G125" t="s">
        <v>21</v>
      </c>
      <c r="H125" t="s">
        <v>21</v>
      </c>
      <c r="I125">
        <v>0</v>
      </c>
      <c r="J125">
        <v>0</v>
      </c>
      <c r="K125">
        <v>0</v>
      </c>
      <c r="L125">
        <v>1</v>
      </c>
      <c r="M125">
        <v>0</v>
      </c>
      <c r="N125" t="s">
        <v>194</v>
      </c>
      <c r="O125" t="s">
        <v>213</v>
      </c>
      <c r="P125" t="s">
        <v>205</v>
      </c>
      <c r="Q125" t="s">
        <v>170</v>
      </c>
      <c r="R125" t="s">
        <v>155</v>
      </c>
      <c r="S125">
        <v>5</v>
      </c>
      <c r="T125" t="s">
        <v>135</v>
      </c>
      <c r="U125">
        <v>0</v>
      </c>
      <c r="V125">
        <v>5</v>
      </c>
      <c r="W125" t="s">
        <v>135</v>
      </c>
      <c r="X125">
        <v>0</v>
      </c>
      <c r="Y125" t="s">
        <v>139</v>
      </c>
      <c r="Z125" t="s">
        <v>189</v>
      </c>
      <c r="AA125" t="s">
        <v>145</v>
      </c>
      <c r="AB125" t="s">
        <v>163</v>
      </c>
      <c r="AC125" t="s">
        <v>173</v>
      </c>
      <c r="AD125" t="s">
        <v>155</v>
      </c>
      <c r="AE125" t="s">
        <v>128</v>
      </c>
      <c r="AF125" t="s">
        <v>21</v>
      </c>
    </row>
    <row r="126" spans="1:32">
      <c r="A126" t="s">
        <v>596</v>
      </c>
      <c r="B126" s="37">
        <v>40047</v>
      </c>
      <c r="C126" s="38">
        <v>40047</v>
      </c>
      <c r="D126" s="38">
        <v>40042</v>
      </c>
      <c r="E126" s="38">
        <v>40026</v>
      </c>
      <c r="F126" s="39">
        <v>142</v>
      </c>
      <c r="G126" t="s">
        <v>21</v>
      </c>
      <c r="H126" t="s">
        <v>21</v>
      </c>
      <c r="I126">
        <v>0</v>
      </c>
      <c r="J126">
        <v>0</v>
      </c>
      <c r="K126">
        <v>0</v>
      </c>
      <c r="L126">
        <v>1</v>
      </c>
      <c r="M126">
        <v>0</v>
      </c>
      <c r="N126" t="s">
        <v>193</v>
      </c>
      <c r="O126" t="s">
        <v>213</v>
      </c>
      <c r="P126" t="s">
        <v>204</v>
      </c>
      <c r="Q126" t="s">
        <v>170</v>
      </c>
      <c r="R126" t="s">
        <v>155</v>
      </c>
      <c r="S126">
        <v>5</v>
      </c>
      <c r="T126" t="s">
        <v>135</v>
      </c>
      <c r="U126">
        <v>0</v>
      </c>
      <c r="V126">
        <v>3</v>
      </c>
      <c r="W126" t="s">
        <v>137</v>
      </c>
      <c r="X126">
        <v>0</v>
      </c>
      <c r="Y126" t="s">
        <v>140</v>
      </c>
      <c r="Z126" t="s">
        <v>182</v>
      </c>
      <c r="AA126" t="s">
        <v>150</v>
      </c>
      <c r="AB126" t="s">
        <v>162</v>
      </c>
      <c r="AC126" t="s">
        <v>597</v>
      </c>
      <c r="AD126" t="s">
        <v>161</v>
      </c>
      <c r="AE126" t="s">
        <v>571</v>
      </c>
      <c r="AF126" t="s">
        <v>21</v>
      </c>
    </row>
    <row r="127" spans="1:32">
      <c r="A127" t="s">
        <v>598</v>
      </c>
      <c r="B127" s="37">
        <v>40054</v>
      </c>
      <c r="C127" s="38">
        <v>40054</v>
      </c>
      <c r="D127" s="38">
        <v>40049</v>
      </c>
      <c r="E127" s="38">
        <v>40026</v>
      </c>
      <c r="F127" s="39">
        <v>149</v>
      </c>
      <c r="G127" t="s">
        <v>525</v>
      </c>
      <c r="H127" t="s">
        <v>17</v>
      </c>
      <c r="I127">
        <v>0</v>
      </c>
      <c r="J127">
        <v>0</v>
      </c>
      <c r="K127">
        <v>1</v>
      </c>
      <c r="L127">
        <v>0</v>
      </c>
      <c r="M127">
        <v>0</v>
      </c>
      <c r="N127" t="s">
        <v>193</v>
      </c>
      <c r="O127" t="s">
        <v>213</v>
      </c>
      <c r="P127" t="s">
        <v>204</v>
      </c>
      <c r="Q127" t="s">
        <v>170</v>
      </c>
      <c r="R127" t="s">
        <v>155</v>
      </c>
      <c r="S127">
        <v>3</v>
      </c>
      <c r="T127" t="s">
        <v>137</v>
      </c>
      <c r="U127">
        <v>0</v>
      </c>
      <c r="V127">
        <v>4</v>
      </c>
      <c r="W127" t="s">
        <v>137</v>
      </c>
      <c r="X127">
        <v>0</v>
      </c>
      <c r="Y127" t="s">
        <v>140</v>
      </c>
      <c r="Z127" t="s">
        <v>180</v>
      </c>
      <c r="AA127" t="s">
        <v>144</v>
      </c>
      <c r="AB127" t="s">
        <v>165</v>
      </c>
      <c r="AC127" t="s">
        <v>21</v>
      </c>
      <c r="AD127" t="s">
        <v>158</v>
      </c>
      <c r="AE127" t="s">
        <v>122</v>
      </c>
      <c r="AF127" t="s">
        <v>21</v>
      </c>
    </row>
    <row r="128" spans="1:32">
      <c r="A128" t="s">
        <v>599</v>
      </c>
      <c r="B128" s="37">
        <v>40018</v>
      </c>
      <c r="C128" s="38">
        <v>40018</v>
      </c>
      <c r="D128" s="38">
        <v>40014</v>
      </c>
      <c r="E128" s="38">
        <v>39995</v>
      </c>
      <c r="F128" s="39">
        <v>113</v>
      </c>
      <c r="G128" t="s">
        <v>21</v>
      </c>
      <c r="H128" t="s">
        <v>21</v>
      </c>
      <c r="I128">
        <v>0</v>
      </c>
      <c r="J128">
        <v>0</v>
      </c>
      <c r="K128">
        <v>0</v>
      </c>
      <c r="L128">
        <v>1</v>
      </c>
      <c r="M128">
        <v>0</v>
      </c>
      <c r="N128" t="s">
        <v>193</v>
      </c>
      <c r="O128" t="s">
        <v>213</v>
      </c>
      <c r="P128" t="s">
        <v>204</v>
      </c>
      <c r="Q128" t="s">
        <v>170</v>
      </c>
      <c r="R128" t="s">
        <v>155</v>
      </c>
      <c r="S128">
        <v>5</v>
      </c>
      <c r="T128" t="s">
        <v>135</v>
      </c>
      <c r="U128">
        <v>0</v>
      </c>
      <c r="V128">
        <v>5</v>
      </c>
      <c r="W128" t="s">
        <v>135</v>
      </c>
      <c r="X128">
        <v>0</v>
      </c>
      <c r="Y128" t="s">
        <v>140</v>
      </c>
      <c r="Z128" t="s">
        <v>181</v>
      </c>
      <c r="AA128" t="s">
        <v>142</v>
      </c>
      <c r="AB128" t="s">
        <v>162</v>
      </c>
      <c r="AC128" t="s">
        <v>21</v>
      </c>
      <c r="AD128" t="s">
        <v>155</v>
      </c>
      <c r="AE128" t="s">
        <v>127</v>
      </c>
      <c r="AF128" t="s">
        <v>21</v>
      </c>
    </row>
    <row r="129" spans="1:32">
      <c r="A129" t="s">
        <v>600</v>
      </c>
      <c r="B129" s="37">
        <v>40023</v>
      </c>
      <c r="C129" s="38">
        <v>40023</v>
      </c>
      <c r="D129" s="38">
        <v>40021</v>
      </c>
      <c r="E129" s="38">
        <v>39995</v>
      </c>
      <c r="F129" s="39">
        <v>118</v>
      </c>
      <c r="G129" t="s">
        <v>21</v>
      </c>
      <c r="H129" t="s">
        <v>21</v>
      </c>
      <c r="I129">
        <v>0</v>
      </c>
      <c r="J129">
        <v>0</v>
      </c>
      <c r="K129">
        <v>0</v>
      </c>
      <c r="L129">
        <v>1</v>
      </c>
      <c r="M129">
        <v>0</v>
      </c>
      <c r="N129" t="s">
        <v>195</v>
      </c>
      <c r="O129" t="s">
        <v>213</v>
      </c>
      <c r="P129" t="s">
        <v>206</v>
      </c>
      <c r="Q129" t="s">
        <v>170</v>
      </c>
      <c r="R129" t="s">
        <v>155</v>
      </c>
      <c r="S129">
        <v>5</v>
      </c>
      <c r="T129" t="s">
        <v>135</v>
      </c>
      <c r="U129">
        <v>0</v>
      </c>
      <c r="V129">
        <v>3</v>
      </c>
      <c r="W129" t="s">
        <v>137</v>
      </c>
      <c r="X129">
        <v>0</v>
      </c>
      <c r="Y129" t="s">
        <v>139</v>
      </c>
      <c r="Z129" t="s">
        <v>537</v>
      </c>
      <c r="AA129" t="s">
        <v>144</v>
      </c>
      <c r="AB129" t="s">
        <v>162</v>
      </c>
      <c r="AC129" t="s">
        <v>175</v>
      </c>
      <c r="AD129" t="s">
        <v>159</v>
      </c>
      <c r="AE129" t="s">
        <v>126</v>
      </c>
      <c r="AF129" t="s">
        <v>601</v>
      </c>
    </row>
    <row r="130" spans="1:32">
      <c r="A130" t="s">
        <v>602</v>
      </c>
      <c r="B130" s="37">
        <v>40032</v>
      </c>
      <c r="C130" s="38">
        <v>40032</v>
      </c>
      <c r="D130" s="38">
        <v>40028</v>
      </c>
      <c r="E130" s="38">
        <v>40026</v>
      </c>
      <c r="F130" s="39">
        <v>127</v>
      </c>
      <c r="G130" t="s">
        <v>21</v>
      </c>
      <c r="H130" t="s">
        <v>21</v>
      </c>
      <c r="I130">
        <v>0</v>
      </c>
      <c r="J130">
        <v>0</v>
      </c>
      <c r="K130">
        <v>0</v>
      </c>
      <c r="L130">
        <v>1</v>
      </c>
      <c r="M130">
        <v>0</v>
      </c>
      <c r="N130" t="s">
        <v>193</v>
      </c>
      <c r="O130" t="s">
        <v>213</v>
      </c>
      <c r="P130" t="s">
        <v>204</v>
      </c>
      <c r="Q130" t="s">
        <v>170</v>
      </c>
      <c r="R130" t="s">
        <v>155</v>
      </c>
      <c r="S130">
        <v>5</v>
      </c>
      <c r="T130" t="s">
        <v>135</v>
      </c>
      <c r="U130">
        <v>0</v>
      </c>
      <c r="V130">
        <v>2</v>
      </c>
      <c r="W130" t="s">
        <v>136</v>
      </c>
      <c r="X130">
        <v>0</v>
      </c>
      <c r="Y130" t="s">
        <v>140</v>
      </c>
      <c r="Z130" t="s">
        <v>603</v>
      </c>
      <c r="AA130" t="s">
        <v>146</v>
      </c>
      <c r="AB130" t="s">
        <v>162</v>
      </c>
      <c r="AC130" t="s">
        <v>174</v>
      </c>
      <c r="AD130" t="s">
        <v>159</v>
      </c>
      <c r="AE130" t="s">
        <v>123</v>
      </c>
      <c r="AF130" t="s">
        <v>123</v>
      </c>
    </row>
    <row r="131" spans="1:32">
      <c r="A131" t="s">
        <v>604</v>
      </c>
      <c r="B131" s="37">
        <v>40011</v>
      </c>
      <c r="C131" s="38">
        <v>40011</v>
      </c>
      <c r="D131" s="38">
        <v>40007</v>
      </c>
      <c r="E131" s="38">
        <v>39995</v>
      </c>
      <c r="F131" s="39">
        <v>106</v>
      </c>
      <c r="G131" t="s">
        <v>21</v>
      </c>
      <c r="H131" t="s">
        <v>21</v>
      </c>
      <c r="I131">
        <v>0</v>
      </c>
      <c r="J131">
        <v>0</v>
      </c>
      <c r="K131">
        <v>0</v>
      </c>
      <c r="L131">
        <v>1</v>
      </c>
      <c r="M131">
        <v>0</v>
      </c>
      <c r="N131" t="s">
        <v>194</v>
      </c>
      <c r="O131" t="s">
        <v>213</v>
      </c>
      <c r="P131" t="s">
        <v>205</v>
      </c>
      <c r="Q131" t="s">
        <v>170</v>
      </c>
      <c r="R131" t="s">
        <v>155</v>
      </c>
      <c r="S131">
        <v>5</v>
      </c>
      <c r="T131" t="s">
        <v>135</v>
      </c>
      <c r="U131">
        <v>0</v>
      </c>
      <c r="V131">
        <v>5</v>
      </c>
      <c r="W131" t="s">
        <v>135</v>
      </c>
      <c r="X131">
        <v>0</v>
      </c>
      <c r="Y131" t="s">
        <v>139</v>
      </c>
      <c r="Z131" t="s">
        <v>182</v>
      </c>
      <c r="AA131" t="s">
        <v>143</v>
      </c>
      <c r="AB131" t="s">
        <v>162</v>
      </c>
      <c r="AC131" t="s">
        <v>175</v>
      </c>
      <c r="AD131" t="s">
        <v>155</v>
      </c>
      <c r="AE131" t="s">
        <v>130</v>
      </c>
      <c r="AF131" t="s">
        <v>21</v>
      </c>
    </row>
    <row r="132" spans="1:32">
      <c r="A132" t="s">
        <v>605</v>
      </c>
      <c r="B132" s="37">
        <v>40051</v>
      </c>
      <c r="C132" s="38">
        <v>40051</v>
      </c>
      <c r="D132" s="38">
        <v>40049</v>
      </c>
      <c r="E132" s="38">
        <v>40026</v>
      </c>
      <c r="F132" s="39">
        <v>146</v>
      </c>
      <c r="G132" t="s">
        <v>21</v>
      </c>
      <c r="H132" t="s">
        <v>21</v>
      </c>
      <c r="I132">
        <v>0</v>
      </c>
      <c r="J132">
        <v>0</v>
      </c>
      <c r="K132">
        <v>0</v>
      </c>
      <c r="L132">
        <v>1</v>
      </c>
      <c r="M132">
        <v>0</v>
      </c>
      <c r="N132" t="s">
        <v>197</v>
      </c>
      <c r="O132" t="s">
        <v>213</v>
      </c>
      <c r="P132" t="s">
        <v>209</v>
      </c>
      <c r="Q132" t="s">
        <v>170</v>
      </c>
      <c r="R132" t="s">
        <v>155</v>
      </c>
      <c r="S132">
        <v>5</v>
      </c>
      <c r="T132" t="s">
        <v>135</v>
      </c>
      <c r="U132">
        <v>0</v>
      </c>
      <c r="V132">
        <v>2</v>
      </c>
      <c r="W132" t="s">
        <v>136</v>
      </c>
      <c r="X132">
        <v>0</v>
      </c>
      <c r="Y132" t="s">
        <v>139</v>
      </c>
      <c r="Z132" t="s">
        <v>191</v>
      </c>
      <c r="AA132" t="s">
        <v>142</v>
      </c>
      <c r="AB132" t="s">
        <v>162</v>
      </c>
      <c r="AC132" t="s">
        <v>459</v>
      </c>
      <c r="AD132" t="s">
        <v>155</v>
      </c>
      <c r="AE132" t="s">
        <v>129</v>
      </c>
      <c r="AF132" t="s">
        <v>21</v>
      </c>
    </row>
    <row r="133" spans="1:32">
      <c r="A133" t="s">
        <v>606</v>
      </c>
      <c r="B133" s="37">
        <v>40022</v>
      </c>
      <c r="C133" s="38">
        <v>40022</v>
      </c>
      <c r="D133" s="38">
        <v>40021</v>
      </c>
      <c r="E133" s="38">
        <v>39995</v>
      </c>
      <c r="F133" s="39">
        <v>117</v>
      </c>
      <c r="G133" t="s">
        <v>21</v>
      </c>
      <c r="H133" t="s">
        <v>21</v>
      </c>
      <c r="I133">
        <v>0</v>
      </c>
      <c r="J133">
        <v>0</v>
      </c>
      <c r="K133">
        <v>0</v>
      </c>
      <c r="L133">
        <v>1</v>
      </c>
      <c r="M133">
        <v>0</v>
      </c>
      <c r="N133" t="s">
        <v>196</v>
      </c>
      <c r="O133" t="s">
        <v>213</v>
      </c>
      <c r="P133" t="s">
        <v>207</v>
      </c>
      <c r="Q133" t="s">
        <v>170</v>
      </c>
      <c r="R133" t="s">
        <v>155</v>
      </c>
      <c r="S133">
        <v>5</v>
      </c>
      <c r="T133" t="s">
        <v>135</v>
      </c>
      <c r="U133">
        <v>0</v>
      </c>
      <c r="V133">
        <v>5</v>
      </c>
      <c r="W133" t="s">
        <v>135</v>
      </c>
      <c r="X133">
        <v>0</v>
      </c>
      <c r="Y133" t="s">
        <v>139</v>
      </c>
      <c r="Z133" t="s">
        <v>190</v>
      </c>
      <c r="AA133" t="s">
        <v>146</v>
      </c>
      <c r="AB133" t="s">
        <v>162</v>
      </c>
      <c r="AC133" t="s">
        <v>176</v>
      </c>
      <c r="AD133" t="s">
        <v>155</v>
      </c>
      <c r="AE133" t="s">
        <v>129</v>
      </c>
      <c r="AF133" t="s">
        <v>21</v>
      </c>
    </row>
    <row r="134" spans="1:32">
      <c r="A134" t="s">
        <v>607</v>
      </c>
      <c r="B134" s="37">
        <v>40012</v>
      </c>
      <c r="C134" s="38">
        <v>40012</v>
      </c>
      <c r="D134" s="38">
        <v>40007</v>
      </c>
      <c r="E134" s="38">
        <v>39995</v>
      </c>
      <c r="F134" s="39">
        <v>107</v>
      </c>
      <c r="G134" t="s">
        <v>383</v>
      </c>
      <c r="H134" t="s">
        <v>17</v>
      </c>
      <c r="I134">
        <v>0</v>
      </c>
      <c r="J134">
        <v>0</v>
      </c>
      <c r="K134">
        <v>1</v>
      </c>
      <c r="L134">
        <v>0</v>
      </c>
      <c r="M134">
        <v>0</v>
      </c>
      <c r="N134" t="s">
        <v>193</v>
      </c>
      <c r="O134" t="s">
        <v>213</v>
      </c>
      <c r="P134" t="s">
        <v>204</v>
      </c>
      <c r="Q134" t="s">
        <v>170</v>
      </c>
      <c r="R134" t="s">
        <v>155</v>
      </c>
      <c r="S134">
        <v>3</v>
      </c>
      <c r="T134" t="s">
        <v>137</v>
      </c>
      <c r="U134">
        <v>0</v>
      </c>
      <c r="V134">
        <v>3</v>
      </c>
      <c r="W134" t="s">
        <v>137</v>
      </c>
      <c r="X134">
        <v>0</v>
      </c>
      <c r="Y134" t="s">
        <v>140</v>
      </c>
      <c r="Z134" t="s">
        <v>178</v>
      </c>
      <c r="AA134" t="s">
        <v>144</v>
      </c>
      <c r="AB134" t="s">
        <v>165</v>
      </c>
      <c r="AC134" t="s">
        <v>21</v>
      </c>
      <c r="AD134" t="s">
        <v>158</v>
      </c>
      <c r="AE134" t="s">
        <v>122</v>
      </c>
      <c r="AF134" t="s">
        <v>21</v>
      </c>
    </row>
    <row r="135" spans="1:32">
      <c r="A135" t="s">
        <v>608</v>
      </c>
      <c r="B135" s="37">
        <v>40059</v>
      </c>
      <c r="C135" s="38">
        <v>40059</v>
      </c>
      <c r="D135" s="38">
        <v>40056</v>
      </c>
      <c r="E135" s="38">
        <v>40057</v>
      </c>
      <c r="F135" s="39">
        <v>154</v>
      </c>
      <c r="G135" t="s">
        <v>21</v>
      </c>
      <c r="H135" t="s">
        <v>21</v>
      </c>
      <c r="I135">
        <v>0</v>
      </c>
      <c r="J135">
        <v>0</v>
      </c>
      <c r="K135">
        <v>0</v>
      </c>
      <c r="L135">
        <v>1</v>
      </c>
      <c r="M135">
        <v>0</v>
      </c>
      <c r="N135" t="s">
        <v>196</v>
      </c>
      <c r="O135" t="s">
        <v>213</v>
      </c>
      <c r="P135" t="s">
        <v>207</v>
      </c>
      <c r="Q135" t="s">
        <v>170</v>
      </c>
      <c r="R135" t="s">
        <v>155</v>
      </c>
      <c r="S135">
        <v>3</v>
      </c>
      <c r="T135" t="s">
        <v>137</v>
      </c>
      <c r="U135">
        <v>0</v>
      </c>
      <c r="V135">
        <v>4</v>
      </c>
      <c r="W135" t="s">
        <v>137</v>
      </c>
      <c r="X135">
        <v>0</v>
      </c>
      <c r="Y135" t="s">
        <v>139</v>
      </c>
      <c r="Z135" t="s">
        <v>178</v>
      </c>
      <c r="AA135" t="s">
        <v>148</v>
      </c>
      <c r="AB135" t="s">
        <v>162</v>
      </c>
      <c r="AC135" t="s">
        <v>174</v>
      </c>
      <c r="AD135" t="s">
        <v>156</v>
      </c>
      <c r="AE135" t="s">
        <v>120</v>
      </c>
      <c r="AF135" t="s">
        <v>609</v>
      </c>
    </row>
    <row r="136" spans="1:32">
      <c r="A136" t="s">
        <v>610</v>
      </c>
      <c r="B136" s="37">
        <v>40040</v>
      </c>
      <c r="C136" s="38">
        <v>40040</v>
      </c>
      <c r="D136" s="38">
        <v>40035</v>
      </c>
      <c r="E136" s="38">
        <v>40026</v>
      </c>
      <c r="F136" s="39">
        <v>135</v>
      </c>
      <c r="G136" t="s">
        <v>21</v>
      </c>
      <c r="H136" t="s">
        <v>21</v>
      </c>
      <c r="I136">
        <v>0</v>
      </c>
      <c r="J136">
        <v>0</v>
      </c>
      <c r="K136">
        <v>0</v>
      </c>
      <c r="L136">
        <v>1</v>
      </c>
      <c r="M136">
        <v>0</v>
      </c>
      <c r="N136" t="s">
        <v>196</v>
      </c>
      <c r="O136" t="s">
        <v>213</v>
      </c>
      <c r="P136" t="s">
        <v>207</v>
      </c>
      <c r="Q136" t="s">
        <v>170</v>
      </c>
      <c r="R136" t="s">
        <v>155</v>
      </c>
      <c r="S136">
        <v>5</v>
      </c>
      <c r="T136" t="s">
        <v>135</v>
      </c>
      <c r="U136">
        <v>0</v>
      </c>
      <c r="V136">
        <v>2</v>
      </c>
      <c r="W136" t="s">
        <v>136</v>
      </c>
      <c r="X136">
        <v>0</v>
      </c>
      <c r="Y136" t="s">
        <v>139</v>
      </c>
      <c r="Z136" t="s">
        <v>179</v>
      </c>
      <c r="AA136" t="s">
        <v>148</v>
      </c>
      <c r="AB136" t="s">
        <v>162</v>
      </c>
      <c r="AC136" t="s">
        <v>174</v>
      </c>
      <c r="AD136" t="s">
        <v>157</v>
      </c>
      <c r="AE136" t="s">
        <v>387</v>
      </c>
      <c r="AF136" t="s">
        <v>611</v>
      </c>
    </row>
    <row r="137" spans="1:32">
      <c r="A137" t="s">
        <v>612</v>
      </c>
      <c r="B137" s="37">
        <v>40001</v>
      </c>
      <c r="C137" s="38">
        <v>40001</v>
      </c>
      <c r="D137" s="38">
        <v>40000</v>
      </c>
      <c r="E137" s="38">
        <v>39995</v>
      </c>
      <c r="F137" s="39">
        <v>96</v>
      </c>
      <c r="G137" t="s">
        <v>21</v>
      </c>
      <c r="H137" t="s">
        <v>21</v>
      </c>
      <c r="I137">
        <v>0</v>
      </c>
      <c r="J137">
        <v>0</v>
      </c>
      <c r="K137">
        <v>0</v>
      </c>
      <c r="L137">
        <v>1</v>
      </c>
      <c r="M137">
        <v>0</v>
      </c>
      <c r="N137" t="s">
        <v>196</v>
      </c>
      <c r="O137" t="s">
        <v>213</v>
      </c>
      <c r="P137" t="s">
        <v>207</v>
      </c>
      <c r="Q137" t="s">
        <v>170</v>
      </c>
      <c r="R137" t="s">
        <v>155</v>
      </c>
      <c r="T137" t="s">
        <v>134</v>
      </c>
      <c r="U137">
        <v>1</v>
      </c>
      <c r="V137">
        <v>2</v>
      </c>
      <c r="W137" t="s">
        <v>136</v>
      </c>
      <c r="X137">
        <v>0</v>
      </c>
      <c r="Y137" t="s">
        <v>139</v>
      </c>
      <c r="Z137" t="s">
        <v>181</v>
      </c>
      <c r="AA137" t="s">
        <v>146</v>
      </c>
      <c r="AB137" t="s">
        <v>162</v>
      </c>
      <c r="AC137" t="s">
        <v>459</v>
      </c>
      <c r="AD137" t="s">
        <v>155</v>
      </c>
      <c r="AE137" t="s">
        <v>129</v>
      </c>
      <c r="AF137" t="s">
        <v>21</v>
      </c>
    </row>
    <row r="138" spans="1:32">
      <c r="A138" t="s">
        <v>613</v>
      </c>
      <c r="B138" s="37">
        <v>39948</v>
      </c>
      <c r="C138" s="38">
        <v>39948</v>
      </c>
      <c r="D138" s="38">
        <v>39944</v>
      </c>
      <c r="E138" s="38">
        <v>39934</v>
      </c>
      <c r="F138" s="39">
        <v>43</v>
      </c>
      <c r="G138" t="s">
        <v>21</v>
      </c>
      <c r="H138" t="s">
        <v>21</v>
      </c>
      <c r="I138">
        <v>0</v>
      </c>
      <c r="J138">
        <v>0</v>
      </c>
      <c r="K138">
        <v>0</v>
      </c>
      <c r="L138">
        <v>1</v>
      </c>
      <c r="M138">
        <v>0</v>
      </c>
      <c r="N138" t="s">
        <v>195</v>
      </c>
      <c r="O138" t="s">
        <v>213</v>
      </c>
      <c r="P138" t="s">
        <v>206</v>
      </c>
      <c r="Q138" t="s">
        <v>170</v>
      </c>
      <c r="R138" t="s">
        <v>155</v>
      </c>
      <c r="T138" t="s">
        <v>134</v>
      </c>
      <c r="U138">
        <v>1</v>
      </c>
      <c r="W138" t="s">
        <v>134</v>
      </c>
      <c r="X138">
        <v>1</v>
      </c>
      <c r="Y138" t="s">
        <v>139</v>
      </c>
      <c r="Z138" t="s">
        <v>181</v>
      </c>
      <c r="AA138" t="s">
        <v>143</v>
      </c>
      <c r="AB138" t="s">
        <v>165</v>
      </c>
      <c r="AC138" t="s">
        <v>614</v>
      </c>
      <c r="AD138" t="s">
        <v>158</v>
      </c>
      <c r="AE138" t="s">
        <v>122</v>
      </c>
      <c r="AF138" t="s">
        <v>21</v>
      </c>
    </row>
    <row r="139" spans="1:32">
      <c r="A139" t="s">
        <v>615</v>
      </c>
      <c r="B139" s="37">
        <v>39910</v>
      </c>
      <c r="C139" s="38">
        <v>39910</v>
      </c>
      <c r="D139" s="38">
        <v>39909</v>
      </c>
      <c r="E139" s="38">
        <v>39904</v>
      </c>
      <c r="F139" s="39">
        <v>5</v>
      </c>
      <c r="G139" t="s">
        <v>21</v>
      </c>
      <c r="H139" t="s">
        <v>21</v>
      </c>
      <c r="I139">
        <v>0</v>
      </c>
      <c r="J139">
        <v>0</v>
      </c>
      <c r="K139">
        <v>0</v>
      </c>
      <c r="L139">
        <v>1</v>
      </c>
      <c r="M139">
        <v>0</v>
      </c>
      <c r="N139" t="s">
        <v>194</v>
      </c>
      <c r="O139" t="s">
        <v>213</v>
      </c>
      <c r="P139" t="s">
        <v>205</v>
      </c>
      <c r="Q139" t="s">
        <v>170</v>
      </c>
      <c r="R139" t="s">
        <v>155</v>
      </c>
      <c r="T139" t="s">
        <v>134</v>
      </c>
      <c r="U139">
        <v>1</v>
      </c>
      <c r="W139" t="s">
        <v>134</v>
      </c>
      <c r="X139">
        <v>1</v>
      </c>
      <c r="Y139" t="s">
        <v>139</v>
      </c>
      <c r="Z139" t="s">
        <v>179</v>
      </c>
      <c r="AA139" t="s">
        <v>143</v>
      </c>
      <c r="AB139" t="s">
        <v>163</v>
      </c>
      <c r="AC139" t="s">
        <v>173</v>
      </c>
      <c r="AD139" t="s">
        <v>161</v>
      </c>
      <c r="AE139" t="s">
        <v>616</v>
      </c>
      <c r="AF139" t="s">
        <v>21</v>
      </c>
    </row>
    <row r="140" spans="1:32">
      <c r="A140" t="s">
        <v>617</v>
      </c>
      <c r="B140" s="37">
        <v>40009</v>
      </c>
      <c r="C140" s="38">
        <v>40009</v>
      </c>
      <c r="D140" s="38">
        <v>40007</v>
      </c>
      <c r="E140" s="38">
        <v>39995</v>
      </c>
      <c r="F140" s="39">
        <v>104</v>
      </c>
      <c r="G140" t="s">
        <v>21</v>
      </c>
      <c r="H140" t="s">
        <v>21</v>
      </c>
      <c r="I140">
        <v>0</v>
      </c>
      <c r="J140">
        <v>0</v>
      </c>
      <c r="K140">
        <v>0</v>
      </c>
      <c r="L140">
        <v>1</v>
      </c>
      <c r="M140">
        <v>0</v>
      </c>
      <c r="N140" t="s">
        <v>193</v>
      </c>
      <c r="O140" t="s">
        <v>213</v>
      </c>
      <c r="P140" t="s">
        <v>204</v>
      </c>
      <c r="Q140" t="s">
        <v>170</v>
      </c>
      <c r="R140" t="s">
        <v>155</v>
      </c>
      <c r="S140">
        <v>5</v>
      </c>
      <c r="T140" t="s">
        <v>135</v>
      </c>
      <c r="U140">
        <v>0</v>
      </c>
      <c r="V140">
        <v>5</v>
      </c>
      <c r="W140" t="s">
        <v>135</v>
      </c>
      <c r="X140">
        <v>0</v>
      </c>
      <c r="Y140" t="s">
        <v>140</v>
      </c>
      <c r="Z140" t="s">
        <v>183</v>
      </c>
      <c r="AA140" t="s">
        <v>145</v>
      </c>
      <c r="AB140" t="s">
        <v>162</v>
      </c>
      <c r="AC140" t="s">
        <v>581</v>
      </c>
      <c r="AD140" t="s">
        <v>155</v>
      </c>
      <c r="AE140" t="s">
        <v>130</v>
      </c>
      <c r="AF140" t="s">
        <v>21</v>
      </c>
    </row>
    <row r="141" spans="1:32">
      <c r="A141" t="s">
        <v>618</v>
      </c>
      <c r="B141" s="37">
        <v>40014</v>
      </c>
      <c r="C141" s="38">
        <v>40014</v>
      </c>
      <c r="D141" s="38">
        <v>40014</v>
      </c>
      <c r="E141" s="38">
        <v>39995</v>
      </c>
      <c r="F141" s="39">
        <v>109</v>
      </c>
      <c r="G141" t="s">
        <v>21</v>
      </c>
      <c r="H141" t="s">
        <v>21</v>
      </c>
      <c r="I141">
        <v>0</v>
      </c>
      <c r="J141">
        <v>0</v>
      </c>
      <c r="K141">
        <v>0</v>
      </c>
      <c r="L141">
        <v>1</v>
      </c>
      <c r="M141">
        <v>0</v>
      </c>
      <c r="N141" t="s">
        <v>196</v>
      </c>
      <c r="O141" t="s">
        <v>213</v>
      </c>
      <c r="P141" t="s">
        <v>207</v>
      </c>
      <c r="Q141" t="s">
        <v>170</v>
      </c>
      <c r="R141" t="s">
        <v>155</v>
      </c>
      <c r="S141">
        <v>5</v>
      </c>
      <c r="T141" t="s">
        <v>135</v>
      </c>
      <c r="U141">
        <v>0</v>
      </c>
      <c r="V141">
        <v>5</v>
      </c>
      <c r="W141" t="s">
        <v>135</v>
      </c>
      <c r="X141">
        <v>0</v>
      </c>
      <c r="Y141" t="s">
        <v>139</v>
      </c>
      <c r="Z141" t="s">
        <v>180</v>
      </c>
      <c r="AA141" t="s">
        <v>142</v>
      </c>
      <c r="AB141" t="s">
        <v>162</v>
      </c>
      <c r="AC141" t="s">
        <v>619</v>
      </c>
      <c r="AD141" t="s">
        <v>156</v>
      </c>
      <c r="AE141" t="s">
        <v>120</v>
      </c>
      <c r="AF141" t="s">
        <v>620</v>
      </c>
    </row>
    <row r="142" spans="1:32">
      <c r="A142" t="s">
        <v>621</v>
      </c>
      <c r="B142" s="37">
        <v>39993</v>
      </c>
      <c r="C142" s="38">
        <v>39993</v>
      </c>
      <c r="D142" s="38">
        <v>39993</v>
      </c>
      <c r="E142" s="38">
        <v>39965</v>
      </c>
      <c r="F142" s="39">
        <v>88</v>
      </c>
      <c r="G142" t="s">
        <v>21</v>
      </c>
      <c r="H142" t="s">
        <v>21</v>
      </c>
      <c r="I142">
        <v>0</v>
      </c>
      <c r="J142">
        <v>0</v>
      </c>
      <c r="K142">
        <v>0</v>
      </c>
      <c r="L142">
        <v>1</v>
      </c>
      <c r="M142">
        <v>0</v>
      </c>
      <c r="N142" t="s">
        <v>194</v>
      </c>
      <c r="O142" t="s">
        <v>213</v>
      </c>
      <c r="P142" t="s">
        <v>205</v>
      </c>
      <c r="Q142" t="s">
        <v>170</v>
      </c>
      <c r="R142" t="s">
        <v>155</v>
      </c>
      <c r="T142" t="s">
        <v>134</v>
      </c>
      <c r="U142">
        <v>1</v>
      </c>
      <c r="V142">
        <v>2</v>
      </c>
      <c r="W142" t="s">
        <v>136</v>
      </c>
      <c r="X142">
        <v>0</v>
      </c>
      <c r="Y142" t="s">
        <v>139</v>
      </c>
      <c r="Z142" t="s">
        <v>189</v>
      </c>
      <c r="AA142" t="s">
        <v>149</v>
      </c>
      <c r="AB142" t="s">
        <v>162</v>
      </c>
      <c r="AC142" t="s">
        <v>622</v>
      </c>
      <c r="AD142" t="s">
        <v>155</v>
      </c>
      <c r="AE142" t="s">
        <v>130</v>
      </c>
      <c r="AF142" t="s">
        <v>21</v>
      </c>
    </row>
    <row r="143" spans="1:32">
      <c r="A143" t="s">
        <v>623</v>
      </c>
      <c r="B143" s="37">
        <v>39953</v>
      </c>
      <c r="C143" s="38">
        <v>39953</v>
      </c>
      <c r="D143" s="38">
        <v>39951</v>
      </c>
      <c r="E143" s="38">
        <v>39934</v>
      </c>
      <c r="F143" s="39">
        <v>48</v>
      </c>
      <c r="G143" t="s">
        <v>21</v>
      </c>
      <c r="H143" t="s">
        <v>21</v>
      </c>
      <c r="I143">
        <v>0</v>
      </c>
      <c r="J143">
        <v>0</v>
      </c>
      <c r="K143">
        <v>0</v>
      </c>
      <c r="L143">
        <v>1</v>
      </c>
      <c r="M143">
        <v>0</v>
      </c>
      <c r="N143" t="s">
        <v>193</v>
      </c>
      <c r="O143" t="s">
        <v>213</v>
      </c>
      <c r="P143" t="s">
        <v>204</v>
      </c>
      <c r="Q143" t="s">
        <v>170</v>
      </c>
      <c r="R143" t="s">
        <v>155</v>
      </c>
      <c r="T143" t="s">
        <v>134</v>
      </c>
      <c r="U143">
        <v>1</v>
      </c>
      <c r="W143" t="s">
        <v>134</v>
      </c>
      <c r="X143">
        <v>1</v>
      </c>
      <c r="Y143" t="s">
        <v>140</v>
      </c>
      <c r="Z143" t="s">
        <v>179</v>
      </c>
      <c r="AA143" t="s">
        <v>147</v>
      </c>
      <c r="AB143" t="s">
        <v>163</v>
      </c>
      <c r="AC143" t="s">
        <v>173</v>
      </c>
      <c r="AD143" t="s">
        <v>155</v>
      </c>
      <c r="AE143" t="s">
        <v>454</v>
      </c>
      <c r="AF143" t="s">
        <v>21</v>
      </c>
    </row>
    <row r="144" spans="1:32">
      <c r="A144" t="s">
        <v>624</v>
      </c>
      <c r="B144" s="37">
        <v>39960</v>
      </c>
      <c r="C144" s="38">
        <v>39960</v>
      </c>
      <c r="D144" s="38">
        <v>39958</v>
      </c>
      <c r="E144" s="38">
        <v>39934</v>
      </c>
      <c r="F144" s="39">
        <v>55</v>
      </c>
      <c r="G144" t="s">
        <v>21</v>
      </c>
      <c r="H144" t="s">
        <v>21</v>
      </c>
      <c r="I144">
        <v>0</v>
      </c>
      <c r="J144">
        <v>0</v>
      </c>
      <c r="K144">
        <v>0</v>
      </c>
      <c r="L144">
        <v>1</v>
      </c>
      <c r="M144">
        <v>0</v>
      </c>
      <c r="N144" t="s">
        <v>195</v>
      </c>
      <c r="O144" t="s">
        <v>213</v>
      </c>
      <c r="P144" t="s">
        <v>206</v>
      </c>
      <c r="Q144" t="s">
        <v>170</v>
      </c>
      <c r="R144" t="s">
        <v>155</v>
      </c>
      <c r="T144" t="s">
        <v>134</v>
      </c>
      <c r="U144">
        <v>1</v>
      </c>
      <c r="W144" t="s">
        <v>134</v>
      </c>
      <c r="X144">
        <v>1</v>
      </c>
      <c r="Y144" t="s">
        <v>139</v>
      </c>
      <c r="Z144" t="s">
        <v>181</v>
      </c>
      <c r="AA144" t="s">
        <v>151</v>
      </c>
      <c r="AB144" t="s">
        <v>162</v>
      </c>
      <c r="AC144" t="s">
        <v>459</v>
      </c>
      <c r="AD144" t="s">
        <v>155</v>
      </c>
      <c r="AE144" t="s">
        <v>130</v>
      </c>
      <c r="AF144" t="s">
        <v>21</v>
      </c>
    </row>
    <row r="145" spans="1:32">
      <c r="A145" t="s">
        <v>625</v>
      </c>
      <c r="B145" s="37">
        <v>39924</v>
      </c>
      <c r="C145" s="38">
        <v>39924</v>
      </c>
      <c r="D145" s="38">
        <v>39923</v>
      </c>
      <c r="E145" s="38">
        <v>39904</v>
      </c>
      <c r="F145" s="39">
        <v>19</v>
      </c>
      <c r="G145" t="s">
        <v>21</v>
      </c>
      <c r="H145" t="s">
        <v>21</v>
      </c>
      <c r="I145">
        <v>0</v>
      </c>
      <c r="J145">
        <v>0</v>
      </c>
      <c r="K145">
        <v>0</v>
      </c>
      <c r="L145">
        <v>1</v>
      </c>
      <c r="M145">
        <v>0</v>
      </c>
      <c r="N145" t="s">
        <v>202</v>
      </c>
      <c r="O145" t="s">
        <v>213</v>
      </c>
      <c r="P145" t="s">
        <v>211</v>
      </c>
      <c r="Q145" t="s">
        <v>170</v>
      </c>
      <c r="R145" t="s">
        <v>155</v>
      </c>
      <c r="T145" t="s">
        <v>134</v>
      </c>
      <c r="U145">
        <v>1</v>
      </c>
      <c r="W145" t="s">
        <v>134</v>
      </c>
      <c r="X145">
        <v>1</v>
      </c>
      <c r="Y145" t="s">
        <v>139</v>
      </c>
      <c r="Z145" t="s">
        <v>433</v>
      </c>
      <c r="AA145" t="s">
        <v>147</v>
      </c>
      <c r="AB145" t="s">
        <v>162</v>
      </c>
      <c r="AC145" t="s">
        <v>174</v>
      </c>
      <c r="AD145" t="s">
        <v>156</v>
      </c>
      <c r="AE145" t="s">
        <v>120</v>
      </c>
      <c r="AF145" t="s">
        <v>626</v>
      </c>
    </row>
    <row r="146" spans="1:32">
      <c r="A146" t="s">
        <v>627</v>
      </c>
      <c r="B146" s="37">
        <v>40042</v>
      </c>
      <c r="C146" s="38">
        <v>40042</v>
      </c>
      <c r="D146" s="38">
        <v>40042</v>
      </c>
      <c r="E146" s="38">
        <v>40026</v>
      </c>
      <c r="F146" s="39">
        <v>137</v>
      </c>
      <c r="G146" t="s">
        <v>383</v>
      </c>
      <c r="H146" t="s">
        <v>17</v>
      </c>
      <c r="I146">
        <v>0</v>
      </c>
      <c r="J146">
        <v>0</v>
      </c>
      <c r="K146">
        <v>1</v>
      </c>
      <c r="L146">
        <v>0</v>
      </c>
      <c r="M146">
        <v>0</v>
      </c>
      <c r="N146" t="s">
        <v>197</v>
      </c>
      <c r="O146" t="s">
        <v>213</v>
      </c>
      <c r="P146" t="s">
        <v>209</v>
      </c>
      <c r="Q146" t="s">
        <v>170</v>
      </c>
      <c r="R146" t="s">
        <v>155</v>
      </c>
      <c r="S146">
        <v>5</v>
      </c>
      <c r="T146" t="s">
        <v>135</v>
      </c>
      <c r="U146">
        <v>0</v>
      </c>
      <c r="V146">
        <v>5</v>
      </c>
      <c r="W146" t="s">
        <v>135</v>
      </c>
      <c r="X146">
        <v>0</v>
      </c>
      <c r="Y146" t="s">
        <v>139</v>
      </c>
      <c r="Z146" t="s">
        <v>186</v>
      </c>
      <c r="AA146" t="s">
        <v>145</v>
      </c>
      <c r="AB146" t="s">
        <v>162</v>
      </c>
      <c r="AC146" t="s">
        <v>176</v>
      </c>
      <c r="AD146" t="s">
        <v>125</v>
      </c>
      <c r="AE146" t="s">
        <v>628</v>
      </c>
      <c r="AF146" t="s">
        <v>629</v>
      </c>
    </row>
    <row r="147" spans="1:32">
      <c r="A147" t="s">
        <v>630</v>
      </c>
      <c r="B147" s="37">
        <v>39995</v>
      </c>
      <c r="C147" s="38">
        <v>39995</v>
      </c>
      <c r="D147" s="38">
        <v>39993</v>
      </c>
      <c r="E147" s="38">
        <v>39995</v>
      </c>
      <c r="F147" s="39">
        <v>90</v>
      </c>
      <c r="G147" t="s">
        <v>21</v>
      </c>
      <c r="H147" t="s">
        <v>21</v>
      </c>
      <c r="I147">
        <v>0</v>
      </c>
      <c r="J147">
        <v>0</v>
      </c>
      <c r="K147">
        <v>0</v>
      </c>
      <c r="L147">
        <v>1</v>
      </c>
      <c r="M147">
        <v>0</v>
      </c>
      <c r="N147" t="s">
        <v>193</v>
      </c>
      <c r="O147" t="s">
        <v>213</v>
      </c>
      <c r="P147" t="s">
        <v>204</v>
      </c>
      <c r="Q147" t="s">
        <v>170</v>
      </c>
      <c r="R147" t="s">
        <v>155</v>
      </c>
      <c r="T147" t="s">
        <v>134</v>
      </c>
      <c r="U147">
        <v>1</v>
      </c>
      <c r="V147">
        <v>3</v>
      </c>
      <c r="W147" t="s">
        <v>137</v>
      </c>
      <c r="X147">
        <v>0</v>
      </c>
      <c r="Y147" t="s">
        <v>140</v>
      </c>
      <c r="Z147" t="s">
        <v>178</v>
      </c>
      <c r="AA147" t="s">
        <v>149</v>
      </c>
      <c r="AB147" t="s">
        <v>162</v>
      </c>
      <c r="AC147" t="s">
        <v>174</v>
      </c>
      <c r="AD147" t="s">
        <v>156</v>
      </c>
      <c r="AE147" t="s">
        <v>120</v>
      </c>
      <c r="AF147" t="s">
        <v>631</v>
      </c>
    </row>
    <row r="148" spans="1:32">
      <c r="A148" t="s">
        <v>632</v>
      </c>
      <c r="B148" s="37">
        <v>39951</v>
      </c>
      <c r="C148" s="38">
        <v>39951</v>
      </c>
      <c r="D148" s="38">
        <v>39951</v>
      </c>
      <c r="E148" s="38">
        <v>39934</v>
      </c>
      <c r="F148" s="39">
        <v>46</v>
      </c>
      <c r="G148" t="s">
        <v>21</v>
      </c>
      <c r="H148" t="s">
        <v>21</v>
      </c>
      <c r="I148">
        <v>0</v>
      </c>
      <c r="J148">
        <v>0</v>
      </c>
      <c r="K148">
        <v>0</v>
      </c>
      <c r="L148">
        <v>1</v>
      </c>
      <c r="M148">
        <v>0</v>
      </c>
      <c r="N148" t="s">
        <v>194</v>
      </c>
      <c r="O148" t="s">
        <v>213</v>
      </c>
      <c r="P148" t="s">
        <v>205</v>
      </c>
      <c r="Q148" t="s">
        <v>170</v>
      </c>
      <c r="R148" t="s">
        <v>155</v>
      </c>
      <c r="T148" t="s">
        <v>134</v>
      </c>
      <c r="U148">
        <v>1</v>
      </c>
      <c r="W148" t="s">
        <v>134</v>
      </c>
      <c r="X148">
        <v>1</v>
      </c>
      <c r="Y148" t="s">
        <v>139</v>
      </c>
      <c r="Z148" t="s">
        <v>178</v>
      </c>
      <c r="AA148" t="s">
        <v>145</v>
      </c>
      <c r="AB148" t="s">
        <v>162</v>
      </c>
      <c r="AC148" t="s">
        <v>174</v>
      </c>
      <c r="AD148" t="s">
        <v>156</v>
      </c>
      <c r="AE148" t="s">
        <v>120</v>
      </c>
      <c r="AF148" t="s">
        <v>631</v>
      </c>
    </row>
    <row r="149" spans="1:32">
      <c r="A149" t="s">
        <v>633</v>
      </c>
      <c r="B149" s="37">
        <v>40063</v>
      </c>
      <c r="C149" s="38">
        <v>40063</v>
      </c>
      <c r="D149" s="38">
        <v>40063</v>
      </c>
      <c r="E149" s="38">
        <v>40057</v>
      </c>
      <c r="F149" s="39">
        <v>158</v>
      </c>
      <c r="G149" t="s">
        <v>21</v>
      </c>
      <c r="H149" t="s">
        <v>21</v>
      </c>
      <c r="I149">
        <v>0</v>
      </c>
      <c r="J149">
        <v>0</v>
      </c>
      <c r="K149">
        <v>0</v>
      </c>
      <c r="L149">
        <v>1</v>
      </c>
      <c r="M149">
        <v>0</v>
      </c>
      <c r="N149" t="s">
        <v>193</v>
      </c>
      <c r="O149" t="s">
        <v>213</v>
      </c>
      <c r="P149" t="s">
        <v>204</v>
      </c>
      <c r="Q149" t="s">
        <v>170</v>
      </c>
      <c r="R149" t="s">
        <v>155</v>
      </c>
      <c r="S149">
        <v>1</v>
      </c>
      <c r="T149" t="s">
        <v>136</v>
      </c>
      <c r="U149">
        <v>0</v>
      </c>
      <c r="V149">
        <v>5</v>
      </c>
      <c r="W149" t="s">
        <v>135</v>
      </c>
      <c r="X149">
        <v>0</v>
      </c>
      <c r="Y149" t="s">
        <v>140</v>
      </c>
      <c r="Z149" t="s">
        <v>185</v>
      </c>
      <c r="AA149" t="s">
        <v>150</v>
      </c>
      <c r="AB149" t="s">
        <v>162</v>
      </c>
      <c r="AC149" t="s">
        <v>174</v>
      </c>
      <c r="AD149" t="s">
        <v>156</v>
      </c>
      <c r="AE149" t="s">
        <v>120</v>
      </c>
      <c r="AF149" t="s">
        <v>425</v>
      </c>
    </row>
    <row r="150" spans="1:32">
      <c r="A150" t="s">
        <v>634</v>
      </c>
      <c r="B150" s="37">
        <v>40058</v>
      </c>
      <c r="C150" s="38">
        <v>40058</v>
      </c>
      <c r="D150" s="38">
        <v>40056</v>
      </c>
      <c r="E150" s="38">
        <v>40057</v>
      </c>
      <c r="F150" s="39">
        <v>153</v>
      </c>
      <c r="G150" t="s">
        <v>21</v>
      </c>
      <c r="H150" t="s">
        <v>21</v>
      </c>
      <c r="I150">
        <v>0</v>
      </c>
      <c r="J150">
        <v>0</v>
      </c>
      <c r="K150">
        <v>0</v>
      </c>
      <c r="L150">
        <v>1</v>
      </c>
      <c r="M150">
        <v>0</v>
      </c>
      <c r="N150" t="s">
        <v>196</v>
      </c>
      <c r="O150" t="s">
        <v>213</v>
      </c>
      <c r="P150" t="s">
        <v>207</v>
      </c>
      <c r="Q150" t="s">
        <v>170</v>
      </c>
      <c r="R150" t="s">
        <v>155</v>
      </c>
      <c r="S150">
        <v>1</v>
      </c>
      <c r="T150" t="s">
        <v>136</v>
      </c>
      <c r="U150">
        <v>0</v>
      </c>
      <c r="V150">
        <v>4</v>
      </c>
      <c r="W150" t="s">
        <v>137</v>
      </c>
      <c r="X150">
        <v>0</v>
      </c>
      <c r="Y150" t="s">
        <v>139</v>
      </c>
      <c r="Z150" t="s">
        <v>534</v>
      </c>
      <c r="AA150" t="s">
        <v>151</v>
      </c>
      <c r="AB150" t="s">
        <v>162</v>
      </c>
      <c r="AC150" t="s">
        <v>573</v>
      </c>
      <c r="AD150" t="s">
        <v>155</v>
      </c>
      <c r="AE150" t="s">
        <v>129</v>
      </c>
      <c r="AF150" t="s">
        <v>21</v>
      </c>
    </row>
    <row r="151" spans="1:32">
      <c r="A151" t="s">
        <v>635</v>
      </c>
      <c r="B151" s="37">
        <v>39952</v>
      </c>
      <c r="C151" s="38">
        <v>39952</v>
      </c>
      <c r="D151" s="38">
        <v>39951</v>
      </c>
      <c r="E151" s="38">
        <v>39934</v>
      </c>
      <c r="F151" s="39">
        <v>47</v>
      </c>
      <c r="G151" t="s">
        <v>380</v>
      </c>
      <c r="H151" t="s">
        <v>17</v>
      </c>
      <c r="I151">
        <v>0</v>
      </c>
      <c r="J151">
        <v>0</v>
      </c>
      <c r="K151">
        <v>1</v>
      </c>
      <c r="L151">
        <v>0</v>
      </c>
      <c r="M151">
        <v>0</v>
      </c>
      <c r="N151" t="s">
        <v>193</v>
      </c>
      <c r="O151" t="s">
        <v>213</v>
      </c>
      <c r="P151" t="s">
        <v>204</v>
      </c>
      <c r="Q151" t="s">
        <v>170</v>
      </c>
      <c r="R151" t="s">
        <v>155</v>
      </c>
      <c r="T151" t="s">
        <v>134</v>
      </c>
      <c r="U151">
        <v>1</v>
      </c>
      <c r="W151" t="s">
        <v>134</v>
      </c>
      <c r="X151">
        <v>1</v>
      </c>
      <c r="Y151" t="s">
        <v>140</v>
      </c>
      <c r="Z151" t="s">
        <v>433</v>
      </c>
      <c r="AA151" t="s">
        <v>145</v>
      </c>
      <c r="AB151" t="s">
        <v>162</v>
      </c>
      <c r="AC151" t="s">
        <v>174</v>
      </c>
      <c r="AD151" t="s">
        <v>157</v>
      </c>
      <c r="AE151" t="s">
        <v>571</v>
      </c>
      <c r="AF151" t="s">
        <v>636</v>
      </c>
    </row>
    <row r="152" spans="1:32">
      <c r="A152" t="s">
        <v>637</v>
      </c>
      <c r="B152" s="37">
        <v>39919</v>
      </c>
      <c r="C152" s="38">
        <v>39919</v>
      </c>
      <c r="D152" s="38">
        <v>39916</v>
      </c>
      <c r="E152" s="38">
        <v>39904</v>
      </c>
      <c r="F152" s="39">
        <v>14</v>
      </c>
      <c r="G152" t="s">
        <v>21</v>
      </c>
      <c r="H152" t="s">
        <v>21</v>
      </c>
      <c r="I152">
        <v>0</v>
      </c>
      <c r="J152">
        <v>0</v>
      </c>
      <c r="K152">
        <v>0</v>
      </c>
      <c r="L152">
        <v>1</v>
      </c>
      <c r="M152">
        <v>0</v>
      </c>
      <c r="N152" t="s">
        <v>194</v>
      </c>
      <c r="O152" t="s">
        <v>213</v>
      </c>
      <c r="P152" t="s">
        <v>205</v>
      </c>
      <c r="Q152" t="s">
        <v>170</v>
      </c>
      <c r="R152" t="s">
        <v>155</v>
      </c>
      <c r="T152" t="s">
        <v>134</v>
      </c>
      <c r="U152">
        <v>1</v>
      </c>
      <c r="W152" t="s">
        <v>134</v>
      </c>
      <c r="X152">
        <v>1</v>
      </c>
      <c r="Y152" t="s">
        <v>139</v>
      </c>
      <c r="Z152" t="s">
        <v>183</v>
      </c>
      <c r="AA152" t="s">
        <v>150</v>
      </c>
      <c r="AB152" t="s">
        <v>163</v>
      </c>
      <c r="AC152" t="s">
        <v>173</v>
      </c>
      <c r="AD152" t="s">
        <v>161</v>
      </c>
      <c r="AE152" t="s">
        <v>638</v>
      </c>
      <c r="AF152" t="s">
        <v>21</v>
      </c>
    </row>
    <row r="153" spans="1:32">
      <c r="A153" t="s">
        <v>639</v>
      </c>
      <c r="B153" s="37">
        <v>40041</v>
      </c>
      <c r="C153" s="38">
        <v>40041</v>
      </c>
      <c r="D153" s="38">
        <v>40035</v>
      </c>
      <c r="E153" s="38">
        <v>40026</v>
      </c>
      <c r="F153" s="39">
        <v>136</v>
      </c>
      <c r="G153" t="s">
        <v>496</v>
      </c>
      <c r="H153" t="s">
        <v>13</v>
      </c>
      <c r="I153">
        <v>0</v>
      </c>
      <c r="J153">
        <v>1</v>
      </c>
      <c r="K153">
        <v>0</v>
      </c>
      <c r="L153">
        <v>0</v>
      </c>
      <c r="M153">
        <v>1</v>
      </c>
      <c r="N153" t="s">
        <v>196</v>
      </c>
      <c r="O153" t="s">
        <v>213</v>
      </c>
      <c r="P153" t="s">
        <v>207</v>
      </c>
      <c r="Q153" t="s">
        <v>170</v>
      </c>
      <c r="R153" t="s">
        <v>155</v>
      </c>
      <c r="S153">
        <v>5</v>
      </c>
      <c r="T153" t="s">
        <v>135</v>
      </c>
      <c r="U153">
        <v>0</v>
      </c>
      <c r="V153">
        <v>5</v>
      </c>
      <c r="W153" t="s">
        <v>135</v>
      </c>
      <c r="X153">
        <v>0</v>
      </c>
      <c r="Y153" t="s">
        <v>139</v>
      </c>
      <c r="Z153" t="s">
        <v>183</v>
      </c>
      <c r="AA153" t="s">
        <v>146</v>
      </c>
      <c r="AB153" t="s">
        <v>162</v>
      </c>
      <c r="AC153" t="s">
        <v>174</v>
      </c>
      <c r="AD153" t="s">
        <v>159</v>
      </c>
      <c r="AE153" t="s">
        <v>123</v>
      </c>
      <c r="AF153" t="s">
        <v>123</v>
      </c>
    </row>
    <row r="154" spans="1:32">
      <c r="A154" t="s">
        <v>640</v>
      </c>
      <c r="B154" s="37">
        <v>39924</v>
      </c>
      <c r="C154" s="38">
        <v>39924</v>
      </c>
      <c r="D154" s="38">
        <v>39923</v>
      </c>
      <c r="E154" s="38">
        <v>39904</v>
      </c>
      <c r="F154" s="39">
        <v>19</v>
      </c>
      <c r="G154" t="s">
        <v>21</v>
      </c>
      <c r="H154" t="s">
        <v>21</v>
      </c>
      <c r="I154">
        <v>0</v>
      </c>
      <c r="J154">
        <v>0</v>
      </c>
      <c r="K154">
        <v>0</v>
      </c>
      <c r="L154">
        <v>1</v>
      </c>
      <c r="M154">
        <v>0</v>
      </c>
      <c r="N154" t="s">
        <v>198</v>
      </c>
      <c r="O154" t="s">
        <v>213</v>
      </c>
      <c r="P154" t="s">
        <v>208</v>
      </c>
      <c r="Q154" t="s">
        <v>170</v>
      </c>
      <c r="R154" t="s">
        <v>155</v>
      </c>
      <c r="T154" t="s">
        <v>134</v>
      </c>
      <c r="U154">
        <v>1</v>
      </c>
      <c r="W154" t="s">
        <v>134</v>
      </c>
      <c r="X154">
        <v>1</v>
      </c>
      <c r="Y154" t="s">
        <v>139</v>
      </c>
      <c r="Z154" t="s">
        <v>447</v>
      </c>
      <c r="AA154" t="s">
        <v>143</v>
      </c>
      <c r="AB154" t="s">
        <v>162</v>
      </c>
      <c r="AC154" t="s">
        <v>550</v>
      </c>
      <c r="AD154" t="s">
        <v>157</v>
      </c>
      <c r="AE154" t="s">
        <v>571</v>
      </c>
      <c r="AF154" t="s">
        <v>641</v>
      </c>
    </row>
    <row r="155" spans="1:32">
      <c r="A155" t="s">
        <v>642</v>
      </c>
      <c r="B155" s="37">
        <v>39910</v>
      </c>
      <c r="C155" s="38">
        <v>39910</v>
      </c>
      <c r="D155" s="38">
        <v>39909</v>
      </c>
      <c r="E155" s="38">
        <v>39904</v>
      </c>
      <c r="F155" s="39">
        <v>5</v>
      </c>
      <c r="G155" t="s">
        <v>21</v>
      </c>
      <c r="H155" t="s">
        <v>21</v>
      </c>
      <c r="I155">
        <v>0</v>
      </c>
      <c r="J155">
        <v>0</v>
      </c>
      <c r="K155">
        <v>0</v>
      </c>
      <c r="L155">
        <v>1</v>
      </c>
      <c r="M155">
        <v>0</v>
      </c>
      <c r="N155" t="s">
        <v>200</v>
      </c>
      <c r="O155" t="s">
        <v>214</v>
      </c>
      <c r="P155" t="s">
        <v>208</v>
      </c>
      <c r="Q155" t="s">
        <v>170</v>
      </c>
      <c r="R155" t="s">
        <v>155</v>
      </c>
      <c r="T155" t="s">
        <v>134</v>
      </c>
      <c r="U155">
        <v>1</v>
      </c>
      <c r="W155" t="s">
        <v>134</v>
      </c>
      <c r="X155">
        <v>1</v>
      </c>
      <c r="Y155" t="s">
        <v>139</v>
      </c>
      <c r="Z155" t="s">
        <v>433</v>
      </c>
      <c r="AA155" t="s">
        <v>143</v>
      </c>
      <c r="AB155" t="s">
        <v>162</v>
      </c>
      <c r="AC155" t="s">
        <v>643</v>
      </c>
      <c r="AD155" t="s">
        <v>160</v>
      </c>
      <c r="AE155" t="s">
        <v>392</v>
      </c>
      <c r="AF155" t="s">
        <v>393</v>
      </c>
    </row>
    <row r="156" spans="1:32">
      <c r="A156" t="s">
        <v>644</v>
      </c>
      <c r="B156" s="37">
        <v>39906</v>
      </c>
      <c r="C156" s="38">
        <v>39906</v>
      </c>
      <c r="D156" s="38">
        <v>39902</v>
      </c>
      <c r="E156" s="38">
        <v>39904</v>
      </c>
      <c r="F156" s="39">
        <v>1</v>
      </c>
      <c r="G156" t="s">
        <v>21</v>
      </c>
      <c r="H156" t="s">
        <v>21</v>
      </c>
      <c r="I156">
        <v>0</v>
      </c>
      <c r="J156">
        <v>0</v>
      </c>
      <c r="K156">
        <v>0</v>
      </c>
      <c r="L156">
        <v>1</v>
      </c>
      <c r="M156">
        <v>0</v>
      </c>
      <c r="N156" t="s">
        <v>201</v>
      </c>
      <c r="O156" t="s">
        <v>214</v>
      </c>
      <c r="P156" t="s">
        <v>204</v>
      </c>
      <c r="Q156" t="s">
        <v>170</v>
      </c>
      <c r="R156" t="s">
        <v>155</v>
      </c>
      <c r="T156" t="s">
        <v>134</v>
      </c>
      <c r="U156">
        <v>1</v>
      </c>
      <c r="W156" t="s">
        <v>134</v>
      </c>
      <c r="X156">
        <v>1</v>
      </c>
      <c r="Y156" t="s">
        <v>140</v>
      </c>
      <c r="Z156" t="s">
        <v>179</v>
      </c>
      <c r="AA156" t="s">
        <v>145</v>
      </c>
      <c r="AB156" t="s">
        <v>165</v>
      </c>
      <c r="AC156" t="s">
        <v>21</v>
      </c>
      <c r="AD156" t="s">
        <v>158</v>
      </c>
      <c r="AE156" t="s">
        <v>122</v>
      </c>
      <c r="AF156" t="s">
        <v>21</v>
      </c>
    </row>
    <row r="157" spans="1:32">
      <c r="A157" t="s">
        <v>645</v>
      </c>
      <c r="B157" s="37">
        <v>39991</v>
      </c>
      <c r="C157" s="38">
        <v>39991</v>
      </c>
      <c r="D157" s="38">
        <v>39986</v>
      </c>
      <c r="E157" s="38">
        <v>39965</v>
      </c>
      <c r="F157" s="39">
        <v>86</v>
      </c>
      <c r="G157" t="s">
        <v>383</v>
      </c>
      <c r="H157" t="s">
        <v>17</v>
      </c>
      <c r="I157">
        <v>0</v>
      </c>
      <c r="J157">
        <v>0</v>
      </c>
      <c r="K157">
        <v>1</v>
      </c>
      <c r="L157">
        <v>0</v>
      </c>
      <c r="M157">
        <v>0</v>
      </c>
      <c r="N157" t="s">
        <v>193</v>
      </c>
      <c r="O157" t="s">
        <v>213</v>
      </c>
      <c r="P157" t="s">
        <v>204</v>
      </c>
      <c r="Q157" t="s">
        <v>170</v>
      </c>
      <c r="R157" t="s">
        <v>155</v>
      </c>
      <c r="T157" t="s">
        <v>134</v>
      </c>
      <c r="U157">
        <v>1</v>
      </c>
      <c r="V157">
        <v>5</v>
      </c>
      <c r="W157" t="s">
        <v>135</v>
      </c>
      <c r="X157">
        <v>0</v>
      </c>
      <c r="Y157" t="s">
        <v>140</v>
      </c>
      <c r="Z157" t="s">
        <v>188</v>
      </c>
      <c r="AA157" t="s">
        <v>142</v>
      </c>
      <c r="AB157" t="s">
        <v>162</v>
      </c>
      <c r="AC157" t="s">
        <v>619</v>
      </c>
      <c r="AD157" t="s">
        <v>157</v>
      </c>
      <c r="AE157" t="s">
        <v>646</v>
      </c>
      <c r="AF157" t="s">
        <v>647</v>
      </c>
    </row>
    <row r="158" spans="1:32">
      <c r="A158" t="s">
        <v>648</v>
      </c>
      <c r="B158" s="37">
        <v>39952</v>
      </c>
      <c r="C158" s="38">
        <v>39952</v>
      </c>
      <c r="D158" s="38">
        <v>39951</v>
      </c>
      <c r="E158" s="38">
        <v>39934</v>
      </c>
      <c r="F158" s="39">
        <v>47</v>
      </c>
      <c r="G158" t="s">
        <v>9</v>
      </c>
      <c r="H158" t="s">
        <v>9</v>
      </c>
      <c r="I158">
        <v>1</v>
      </c>
      <c r="J158">
        <v>0</v>
      </c>
      <c r="K158">
        <v>0</v>
      </c>
      <c r="L158">
        <v>0</v>
      </c>
      <c r="M158">
        <v>1</v>
      </c>
      <c r="N158" t="s">
        <v>193</v>
      </c>
      <c r="O158" t="s">
        <v>213</v>
      </c>
      <c r="P158" t="s">
        <v>204</v>
      </c>
      <c r="Q158" t="s">
        <v>170</v>
      </c>
      <c r="R158" t="s">
        <v>155</v>
      </c>
      <c r="T158" t="s">
        <v>134</v>
      </c>
      <c r="U158">
        <v>1</v>
      </c>
      <c r="W158" t="s">
        <v>134</v>
      </c>
      <c r="X158">
        <v>1</v>
      </c>
      <c r="Y158" t="s">
        <v>140</v>
      </c>
      <c r="Z158" t="s">
        <v>183</v>
      </c>
      <c r="AA158" t="s">
        <v>142</v>
      </c>
      <c r="AB158" t="s">
        <v>162</v>
      </c>
      <c r="AC158" t="s">
        <v>174</v>
      </c>
      <c r="AD158" t="s">
        <v>156</v>
      </c>
      <c r="AE158" t="s">
        <v>120</v>
      </c>
      <c r="AF158" t="s">
        <v>649</v>
      </c>
    </row>
    <row r="159" spans="1:32">
      <c r="A159" t="s">
        <v>650</v>
      </c>
      <c r="B159" s="37">
        <v>39977</v>
      </c>
      <c r="C159" s="38">
        <v>39977</v>
      </c>
      <c r="D159" s="38">
        <v>39972</v>
      </c>
      <c r="E159" s="38">
        <v>39965</v>
      </c>
      <c r="F159" s="39">
        <v>72</v>
      </c>
      <c r="G159" t="s">
        <v>496</v>
      </c>
      <c r="H159" t="s">
        <v>13</v>
      </c>
      <c r="I159">
        <v>0</v>
      </c>
      <c r="J159">
        <v>1</v>
      </c>
      <c r="K159">
        <v>0</v>
      </c>
      <c r="L159">
        <v>0</v>
      </c>
      <c r="M159">
        <v>1</v>
      </c>
      <c r="N159" t="s">
        <v>193</v>
      </c>
      <c r="O159" t="s">
        <v>213</v>
      </c>
      <c r="P159" t="s">
        <v>204</v>
      </c>
      <c r="Q159" t="s">
        <v>170</v>
      </c>
      <c r="R159" t="s">
        <v>155</v>
      </c>
      <c r="T159" t="s">
        <v>134</v>
      </c>
      <c r="U159">
        <v>1</v>
      </c>
      <c r="W159" t="s">
        <v>134</v>
      </c>
      <c r="X159">
        <v>1</v>
      </c>
      <c r="Y159" t="s">
        <v>140</v>
      </c>
      <c r="Z159" t="s">
        <v>447</v>
      </c>
      <c r="AA159" t="s">
        <v>146</v>
      </c>
      <c r="AB159" t="s">
        <v>163</v>
      </c>
      <c r="AC159" t="s">
        <v>173</v>
      </c>
      <c r="AD159" t="s">
        <v>155</v>
      </c>
      <c r="AE159" t="s">
        <v>125</v>
      </c>
      <c r="AF159" t="s">
        <v>21</v>
      </c>
    </row>
    <row r="160" spans="1:32">
      <c r="A160" t="s">
        <v>651</v>
      </c>
      <c r="B160" s="37">
        <v>39991</v>
      </c>
      <c r="C160" s="38">
        <v>39991</v>
      </c>
      <c r="D160" s="38">
        <v>39986</v>
      </c>
      <c r="E160" s="38">
        <v>39965</v>
      </c>
      <c r="F160" s="39">
        <v>86</v>
      </c>
      <c r="G160" t="s">
        <v>21</v>
      </c>
      <c r="H160" t="s">
        <v>21</v>
      </c>
      <c r="I160">
        <v>0</v>
      </c>
      <c r="J160">
        <v>0</v>
      </c>
      <c r="K160">
        <v>0</v>
      </c>
      <c r="L160">
        <v>1</v>
      </c>
      <c r="M160">
        <v>0</v>
      </c>
      <c r="N160" t="s">
        <v>193</v>
      </c>
      <c r="O160" t="s">
        <v>213</v>
      </c>
      <c r="P160" t="s">
        <v>204</v>
      </c>
      <c r="Q160" t="s">
        <v>170</v>
      </c>
      <c r="R160" t="s">
        <v>155</v>
      </c>
      <c r="T160" t="s">
        <v>134</v>
      </c>
      <c r="U160">
        <v>1</v>
      </c>
      <c r="V160">
        <v>2</v>
      </c>
      <c r="W160" t="s">
        <v>136</v>
      </c>
      <c r="X160">
        <v>0</v>
      </c>
      <c r="Y160" t="s">
        <v>140</v>
      </c>
      <c r="Z160" t="s">
        <v>182</v>
      </c>
      <c r="AA160" t="s">
        <v>146</v>
      </c>
      <c r="AB160" t="s">
        <v>162</v>
      </c>
      <c r="AC160" t="s">
        <v>175</v>
      </c>
      <c r="AD160" t="s">
        <v>155</v>
      </c>
      <c r="AE160" t="s">
        <v>130</v>
      </c>
      <c r="AF160" t="s">
        <v>21</v>
      </c>
    </row>
    <row r="161" spans="1:32">
      <c r="A161" t="s">
        <v>652</v>
      </c>
      <c r="B161" s="37">
        <v>39994</v>
      </c>
      <c r="C161" s="38">
        <v>39994</v>
      </c>
      <c r="D161" s="38">
        <v>39993</v>
      </c>
      <c r="E161" s="38">
        <v>39965</v>
      </c>
      <c r="F161" s="39">
        <v>89</v>
      </c>
      <c r="G161" t="s">
        <v>21</v>
      </c>
      <c r="H161" t="s">
        <v>21</v>
      </c>
      <c r="I161">
        <v>0</v>
      </c>
      <c r="J161">
        <v>0</v>
      </c>
      <c r="K161">
        <v>0</v>
      </c>
      <c r="L161">
        <v>1</v>
      </c>
      <c r="M161">
        <v>0</v>
      </c>
      <c r="N161" t="s">
        <v>193</v>
      </c>
      <c r="O161" t="s">
        <v>213</v>
      </c>
      <c r="P161" t="s">
        <v>204</v>
      </c>
      <c r="Q161" t="s">
        <v>170</v>
      </c>
      <c r="R161" t="s">
        <v>155</v>
      </c>
      <c r="T161" t="s">
        <v>134</v>
      </c>
      <c r="U161">
        <v>1</v>
      </c>
      <c r="V161">
        <v>5</v>
      </c>
      <c r="W161" t="s">
        <v>135</v>
      </c>
      <c r="X161">
        <v>0</v>
      </c>
      <c r="Y161" t="s">
        <v>140</v>
      </c>
      <c r="Z161" t="s">
        <v>184</v>
      </c>
      <c r="AA161" t="s">
        <v>150</v>
      </c>
      <c r="AB161" t="s">
        <v>162</v>
      </c>
      <c r="AC161" t="s">
        <v>175</v>
      </c>
      <c r="AD161" t="s">
        <v>155</v>
      </c>
      <c r="AE161" t="s">
        <v>130</v>
      </c>
      <c r="AF161" t="s">
        <v>21</v>
      </c>
    </row>
    <row r="162" spans="1:32">
      <c r="A162" t="s">
        <v>653</v>
      </c>
      <c r="B162" s="37">
        <v>40015</v>
      </c>
      <c r="C162" s="38">
        <v>40015</v>
      </c>
      <c r="D162" s="38">
        <v>40014</v>
      </c>
      <c r="E162" s="38">
        <v>39995</v>
      </c>
      <c r="F162" s="39">
        <v>110</v>
      </c>
      <c r="G162" t="s">
        <v>383</v>
      </c>
      <c r="H162" t="s">
        <v>17</v>
      </c>
      <c r="I162">
        <v>0</v>
      </c>
      <c r="J162">
        <v>0</v>
      </c>
      <c r="K162">
        <v>1</v>
      </c>
      <c r="L162">
        <v>0</v>
      </c>
      <c r="M162">
        <v>0</v>
      </c>
      <c r="N162" t="s">
        <v>195</v>
      </c>
      <c r="O162" t="s">
        <v>213</v>
      </c>
      <c r="P162" t="s">
        <v>206</v>
      </c>
      <c r="Q162" t="s">
        <v>170</v>
      </c>
      <c r="R162" t="s">
        <v>155</v>
      </c>
      <c r="S162">
        <v>5</v>
      </c>
      <c r="T162" t="s">
        <v>135</v>
      </c>
      <c r="U162">
        <v>0</v>
      </c>
      <c r="V162">
        <v>5</v>
      </c>
      <c r="W162" t="s">
        <v>135</v>
      </c>
      <c r="X162">
        <v>0</v>
      </c>
      <c r="Y162" t="s">
        <v>139</v>
      </c>
      <c r="Z162" t="s">
        <v>187</v>
      </c>
      <c r="AA162" t="s">
        <v>142</v>
      </c>
      <c r="AB162" t="s">
        <v>162</v>
      </c>
      <c r="AC162" t="s">
        <v>654</v>
      </c>
      <c r="AD162" t="s">
        <v>159</v>
      </c>
      <c r="AE162" t="s">
        <v>123</v>
      </c>
      <c r="AF162" t="s">
        <v>123</v>
      </c>
    </row>
    <row r="163" spans="1:32">
      <c r="A163" t="s">
        <v>655</v>
      </c>
      <c r="B163" s="37">
        <v>40080</v>
      </c>
      <c r="C163" s="38">
        <v>40080</v>
      </c>
      <c r="D163" s="38">
        <v>40077</v>
      </c>
      <c r="E163" s="38">
        <v>40057</v>
      </c>
      <c r="F163" s="39">
        <v>175</v>
      </c>
      <c r="G163" t="s">
        <v>380</v>
      </c>
      <c r="H163" t="s">
        <v>17</v>
      </c>
      <c r="I163">
        <v>0</v>
      </c>
      <c r="J163">
        <v>0</v>
      </c>
      <c r="K163">
        <v>1</v>
      </c>
      <c r="L163">
        <v>0</v>
      </c>
      <c r="M163">
        <v>0</v>
      </c>
      <c r="N163" t="s">
        <v>196</v>
      </c>
      <c r="O163" t="s">
        <v>213</v>
      </c>
      <c r="P163" t="s">
        <v>207</v>
      </c>
      <c r="Q163" t="s">
        <v>170</v>
      </c>
      <c r="R163" t="s">
        <v>155</v>
      </c>
      <c r="S163">
        <v>2</v>
      </c>
      <c r="T163" t="s">
        <v>136</v>
      </c>
      <c r="U163">
        <v>0</v>
      </c>
      <c r="V163">
        <v>2</v>
      </c>
      <c r="W163" t="s">
        <v>136</v>
      </c>
      <c r="X163">
        <v>0</v>
      </c>
      <c r="Y163" t="s">
        <v>139</v>
      </c>
      <c r="Z163" t="s">
        <v>384</v>
      </c>
      <c r="AA163" t="s">
        <v>150</v>
      </c>
      <c r="AB163" t="s">
        <v>162</v>
      </c>
      <c r="AC163" t="s">
        <v>176</v>
      </c>
      <c r="AD163" t="s">
        <v>155</v>
      </c>
      <c r="AE163" t="s">
        <v>129</v>
      </c>
      <c r="AF163" t="s">
        <v>21</v>
      </c>
    </row>
    <row r="164" spans="1:32">
      <c r="A164" t="s">
        <v>656</v>
      </c>
      <c r="B164" s="37">
        <v>40071</v>
      </c>
      <c r="C164" s="38">
        <v>40071</v>
      </c>
      <c r="D164" s="38">
        <v>40070</v>
      </c>
      <c r="E164" s="38">
        <v>40057</v>
      </c>
      <c r="F164" s="39">
        <v>166</v>
      </c>
      <c r="G164" t="s">
        <v>21</v>
      </c>
      <c r="H164" t="s">
        <v>21</v>
      </c>
      <c r="I164">
        <v>0</v>
      </c>
      <c r="J164">
        <v>0</v>
      </c>
      <c r="K164">
        <v>0</v>
      </c>
      <c r="L164">
        <v>1</v>
      </c>
      <c r="M164">
        <v>0</v>
      </c>
      <c r="N164" t="s">
        <v>193</v>
      </c>
      <c r="O164" t="s">
        <v>213</v>
      </c>
      <c r="P164" t="s">
        <v>204</v>
      </c>
      <c r="Q164" t="s">
        <v>170</v>
      </c>
      <c r="R164" t="s">
        <v>155</v>
      </c>
      <c r="T164" t="s">
        <v>134</v>
      </c>
      <c r="U164">
        <v>1</v>
      </c>
      <c r="W164" t="s">
        <v>134</v>
      </c>
      <c r="X164">
        <v>1</v>
      </c>
      <c r="Y164" t="s">
        <v>140</v>
      </c>
      <c r="Z164" t="s">
        <v>184</v>
      </c>
      <c r="AA164" t="s">
        <v>144</v>
      </c>
      <c r="AB164" t="s">
        <v>162</v>
      </c>
      <c r="AC164" t="s">
        <v>174</v>
      </c>
      <c r="AD164" t="s">
        <v>157</v>
      </c>
      <c r="AE164" t="s">
        <v>434</v>
      </c>
      <c r="AF164" t="s">
        <v>435</v>
      </c>
    </row>
    <row r="165" spans="1:32">
      <c r="A165" t="s">
        <v>657</v>
      </c>
      <c r="B165" s="37">
        <v>40015</v>
      </c>
      <c r="C165" s="38">
        <v>40015</v>
      </c>
      <c r="D165" s="38">
        <v>40014</v>
      </c>
      <c r="E165" s="38">
        <v>39995</v>
      </c>
      <c r="F165" s="39">
        <v>110</v>
      </c>
      <c r="G165" t="s">
        <v>21</v>
      </c>
      <c r="H165" t="s">
        <v>21</v>
      </c>
      <c r="I165">
        <v>0</v>
      </c>
      <c r="J165">
        <v>0</v>
      </c>
      <c r="K165">
        <v>0</v>
      </c>
      <c r="L165">
        <v>1</v>
      </c>
      <c r="M165">
        <v>0</v>
      </c>
      <c r="N165" t="s">
        <v>196</v>
      </c>
      <c r="O165" t="s">
        <v>213</v>
      </c>
      <c r="P165" t="s">
        <v>207</v>
      </c>
      <c r="Q165" t="s">
        <v>170</v>
      </c>
      <c r="R165" t="s">
        <v>155</v>
      </c>
      <c r="S165">
        <v>5</v>
      </c>
      <c r="T165" t="s">
        <v>135</v>
      </c>
      <c r="U165">
        <v>0</v>
      </c>
      <c r="V165">
        <v>3</v>
      </c>
      <c r="W165" t="s">
        <v>137</v>
      </c>
      <c r="X165">
        <v>0</v>
      </c>
      <c r="Y165" t="s">
        <v>139</v>
      </c>
      <c r="Z165" t="s">
        <v>179</v>
      </c>
      <c r="AA165" t="s">
        <v>151</v>
      </c>
      <c r="AB165" t="s">
        <v>162</v>
      </c>
      <c r="AC165" t="s">
        <v>175</v>
      </c>
      <c r="AD165" t="s">
        <v>155</v>
      </c>
      <c r="AE165" t="s">
        <v>130</v>
      </c>
      <c r="AF165" t="s">
        <v>21</v>
      </c>
    </row>
    <row r="166" spans="1:32">
      <c r="A166" t="s">
        <v>658</v>
      </c>
      <c r="B166" s="37">
        <v>40043</v>
      </c>
      <c r="C166" s="38">
        <v>40043</v>
      </c>
      <c r="D166" s="38">
        <v>40042</v>
      </c>
      <c r="E166" s="38">
        <v>40026</v>
      </c>
      <c r="F166" s="39">
        <v>138</v>
      </c>
      <c r="G166" t="s">
        <v>383</v>
      </c>
      <c r="H166" t="s">
        <v>17</v>
      </c>
      <c r="I166">
        <v>0</v>
      </c>
      <c r="J166">
        <v>0</v>
      </c>
      <c r="K166">
        <v>1</v>
      </c>
      <c r="L166">
        <v>0</v>
      </c>
      <c r="M166">
        <v>0</v>
      </c>
      <c r="N166" t="s">
        <v>193</v>
      </c>
      <c r="O166" t="s">
        <v>213</v>
      </c>
      <c r="P166" t="s">
        <v>204</v>
      </c>
      <c r="Q166" t="s">
        <v>170</v>
      </c>
      <c r="R166" t="s">
        <v>155</v>
      </c>
      <c r="S166">
        <v>5</v>
      </c>
      <c r="T166" t="s">
        <v>135</v>
      </c>
      <c r="U166">
        <v>0</v>
      </c>
      <c r="V166">
        <v>4</v>
      </c>
      <c r="W166" t="s">
        <v>137</v>
      </c>
      <c r="X166">
        <v>0</v>
      </c>
      <c r="Y166" t="s">
        <v>140</v>
      </c>
      <c r="Z166" t="s">
        <v>187</v>
      </c>
      <c r="AA166" t="s">
        <v>144</v>
      </c>
      <c r="AB166" t="s">
        <v>162</v>
      </c>
      <c r="AC166" t="s">
        <v>659</v>
      </c>
      <c r="AD166" t="s">
        <v>156</v>
      </c>
      <c r="AE166" t="s">
        <v>120</v>
      </c>
      <c r="AF166" t="s">
        <v>660</v>
      </c>
    </row>
    <row r="167" spans="1:32">
      <c r="A167" t="s">
        <v>661</v>
      </c>
      <c r="B167" s="37">
        <v>39927</v>
      </c>
      <c r="C167" s="38">
        <v>39927</v>
      </c>
      <c r="D167" s="38">
        <v>39923</v>
      </c>
      <c r="E167" s="38">
        <v>39904</v>
      </c>
      <c r="F167" s="39">
        <v>22</v>
      </c>
      <c r="G167" t="s">
        <v>21</v>
      </c>
      <c r="H167" t="s">
        <v>21</v>
      </c>
      <c r="I167">
        <v>0</v>
      </c>
      <c r="J167">
        <v>0</v>
      </c>
      <c r="K167">
        <v>0</v>
      </c>
      <c r="L167">
        <v>1</v>
      </c>
      <c r="M167">
        <v>0</v>
      </c>
      <c r="N167" t="s">
        <v>201</v>
      </c>
      <c r="O167" t="s">
        <v>214</v>
      </c>
      <c r="P167" t="s">
        <v>204</v>
      </c>
      <c r="Q167" t="s">
        <v>170</v>
      </c>
      <c r="R167" t="s">
        <v>155</v>
      </c>
      <c r="T167" t="s">
        <v>134</v>
      </c>
      <c r="U167">
        <v>1</v>
      </c>
      <c r="W167" t="s">
        <v>134</v>
      </c>
      <c r="X167">
        <v>1</v>
      </c>
      <c r="Y167" t="s">
        <v>140</v>
      </c>
      <c r="Z167" t="s">
        <v>187</v>
      </c>
      <c r="AA167" t="s">
        <v>148</v>
      </c>
      <c r="AB167" t="s">
        <v>162</v>
      </c>
      <c r="AC167" t="s">
        <v>550</v>
      </c>
      <c r="AD167" t="s">
        <v>156</v>
      </c>
      <c r="AE167" t="s">
        <v>120</v>
      </c>
      <c r="AF167" t="s">
        <v>662</v>
      </c>
    </row>
    <row r="168" spans="1:32">
      <c r="A168" t="s">
        <v>663</v>
      </c>
      <c r="B168" s="37">
        <v>40024</v>
      </c>
      <c r="C168" s="38">
        <v>40024</v>
      </c>
      <c r="D168" s="38">
        <v>40021</v>
      </c>
      <c r="E168" s="38">
        <v>39995</v>
      </c>
      <c r="F168" s="39">
        <v>119</v>
      </c>
      <c r="G168" t="s">
        <v>21</v>
      </c>
      <c r="H168" t="s">
        <v>21</v>
      </c>
      <c r="I168">
        <v>0</v>
      </c>
      <c r="J168">
        <v>0</v>
      </c>
      <c r="K168">
        <v>0</v>
      </c>
      <c r="L168">
        <v>1</v>
      </c>
      <c r="M168">
        <v>0</v>
      </c>
      <c r="N168" t="s">
        <v>193</v>
      </c>
      <c r="O168" t="s">
        <v>213</v>
      </c>
      <c r="P168" t="s">
        <v>204</v>
      </c>
      <c r="Q168" t="s">
        <v>170</v>
      </c>
      <c r="R168" t="s">
        <v>155</v>
      </c>
      <c r="S168">
        <v>5</v>
      </c>
      <c r="T168" t="s">
        <v>135</v>
      </c>
      <c r="U168">
        <v>0</v>
      </c>
      <c r="V168">
        <v>5</v>
      </c>
      <c r="W168" t="s">
        <v>135</v>
      </c>
      <c r="X168">
        <v>0</v>
      </c>
      <c r="Y168" t="s">
        <v>140</v>
      </c>
      <c r="Z168" t="s">
        <v>181</v>
      </c>
      <c r="AA168" t="s">
        <v>150</v>
      </c>
      <c r="AB168" t="s">
        <v>162</v>
      </c>
      <c r="AC168" t="s">
        <v>175</v>
      </c>
      <c r="AD168" t="s">
        <v>155</v>
      </c>
      <c r="AE168" t="s">
        <v>129</v>
      </c>
      <c r="AF168" t="s">
        <v>21</v>
      </c>
    </row>
    <row r="169" spans="1:32">
      <c r="A169" t="s">
        <v>664</v>
      </c>
      <c r="B169" s="37">
        <v>39964</v>
      </c>
      <c r="C169" s="38">
        <v>39964</v>
      </c>
      <c r="D169" s="38">
        <v>39958</v>
      </c>
      <c r="E169" s="38">
        <v>39934</v>
      </c>
      <c r="F169" s="39">
        <v>59</v>
      </c>
      <c r="G169" t="s">
        <v>21</v>
      </c>
      <c r="H169" t="s">
        <v>21</v>
      </c>
      <c r="I169">
        <v>0</v>
      </c>
      <c r="J169">
        <v>0</v>
      </c>
      <c r="K169">
        <v>0</v>
      </c>
      <c r="L169">
        <v>1</v>
      </c>
      <c r="M169">
        <v>0</v>
      </c>
      <c r="N169" t="s">
        <v>193</v>
      </c>
      <c r="O169" t="s">
        <v>213</v>
      </c>
      <c r="P169" t="s">
        <v>204</v>
      </c>
      <c r="Q169" t="s">
        <v>170</v>
      </c>
      <c r="R169" t="s">
        <v>155</v>
      </c>
      <c r="T169" t="s">
        <v>134</v>
      </c>
      <c r="U169">
        <v>1</v>
      </c>
      <c r="W169" t="s">
        <v>134</v>
      </c>
      <c r="X169">
        <v>1</v>
      </c>
      <c r="Y169" t="s">
        <v>140</v>
      </c>
      <c r="Z169" t="s">
        <v>181</v>
      </c>
      <c r="AA169" t="s">
        <v>144</v>
      </c>
      <c r="AB169" t="s">
        <v>162</v>
      </c>
      <c r="AC169" t="s">
        <v>597</v>
      </c>
      <c r="AD169" t="s">
        <v>160</v>
      </c>
      <c r="AE169" t="s">
        <v>126</v>
      </c>
      <c r="AF169" t="s">
        <v>665</v>
      </c>
    </row>
    <row r="170" spans="1:32">
      <c r="A170" t="s">
        <v>666</v>
      </c>
      <c r="B170" s="37">
        <v>40027</v>
      </c>
      <c r="C170" s="38">
        <v>40027</v>
      </c>
      <c r="D170" s="38">
        <v>40021</v>
      </c>
      <c r="E170" s="38">
        <v>40026</v>
      </c>
      <c r="F170" s="39">
        <v>122</v>
      </c>
      <c r="G170" t="s">
        <v>21</v>
      </c>
      <c r="H170" t="s">
        <v>21</v>
      </c>
      <c r="I170">
        <v>0</v>
      </c>
      <c r="J170">
        <v>0</v>
      </c>
      <c r="K170">
        <v>0</v>
      </c>
      <c r="L170">
        <v>1</v>
      </c>
      <c r="M170">
        <v>0</v>
      </c>
      <c r="N170" t="s">
        <v>196</v>
      </c>
      <c r="O170" t="s">
        <v>213</v>
      </c>
      <c r="P170" t="s">
        <v>207</v>
      </c>
      <c r="Q170" t="s">
        <v>170</v>
      </c>
      <c r="R170" t="s">
        <v>155</v>
      </c>
      <c r="S170">
        <v>5</v>
      </c>
      <c r="T170" t="s">
        <v>135</v>
      </c>
      <c r="U170">
        <v>0</v>
      </c>
      <c r="V170">
        <v>5</v>
      </c>
      <c r="W170" t="s">
        <v>135</v>
      </c>
      <c r="X170">
        <v>0</v>
      </c>
      <c r="Y170" t="s">
        <v>139</v>
      </c>
      <c r="Z170" t="s">
        <v>187</v>
      </c>
      <c r="AA170" t="s">
        <v>144</v>
      </c>
      <c r="AB170" t="s">
        <v>162</v>
      </c>
      <c r="AC170" t="s">
        <v>21</v>
      </c>
      <c r="AD170" t="s">
        <v>160</v>
      </c>
      <c r="AE170" t="s">
        <v>484</v>
      </c>
      <c r="AF170" t="s">
        <v>667</v>
      </c>
    </row>
    <row r="171" spans="1:32">
      <c r="A171" t="s">
        <v>668</v>
      </c>
      <c r="B171" s="37">
        <v>39977</v>
      </c>
      <c r="C171" s="38">
        <v>39977</v>
      </c>
      <c r="D171" s="38">
        <v>39972</v>
      </c>
      <c r="E171" s="38">
        <v>39965</v>
      </c>
      <c r="F171" s="39">
        <v>72</v>
      </c>
      <c r="G171" t="s">
        <v>383</v>
      </c>
      <c r="H171" t="s">
        <v>17</v>
      </c>
      <c r="I171">
        <v>0</v>
      </c>
      <c r="J171">
        <v>0</v>
      </c>
      <c r="K171">
        <v>1</v>
      </c>
      <c r="L171">
        <v>0</v>
      </c>
      <c r="M171">
        <v>0</v>
      </c>
      <c r="N171" t="s">
        <v>195</v>
      </c>
      <c r="O171" t="s">
        <v>213</v>
      </c>
      <c r="P171" t="s">
        <v>206</v>
      </c>
      <c r="Q171" t="s">
        <v>170</v>
      </c>
      <c r="R171" t="s">
        <v>155</v>
      </c>
      <c r="T171" t="s">
        <v>134</v>
      </c>
      <c r="U171">
        <v>1</v>
      </c>
      <c r="W171" t="s">
        <v>134</v>
      </c>
      <c r="X171">
        <v>1</v>
      </c>
      <c r="Y171" t="s">
        <v>139</v>
      </c>
      <c r="Z171" t="s">
        <v>181</v>
      </c>
      <c r="AA171" t="s">
        <v>145</v>
      </c>
      <c r="AB171" t="s">
        <v>162</v>
      </c>
      <c r="AC171" t="s">
        <v>176</v>
      </c>
      <c r="AD171" t="s">
        <v>155</v>
      </c>
      <c r="AE171" t="s">
        <v>130</v>
      </c>
      <c r="AF171" t="s">
        <v>21</v>
      </c>
    </row>
    <row r="172" spans="1:32">
      <c r="A172" t="s">
        <v>669</v>
      </c>
      <c r="B172" s="37">
        <v>39996</v>
      </c>
      <c r="C172" s="38">
        <v>39996</v>
      </c>
      <c r="D172" s="38">
        <v>39993</v>
      </c>
      <c r="E172" s="38">
        <v>39995</v>
      </c>
      <c r="F172" s="39">
        <v>91</v>
      </c>
      <c r="G172" t="s">
        <v>21</v>
      </c>
      <c r="H172" t="s">
        <v>21</v>
      </c>
      <c r="I172">
        <v>0</v>
      </c>
      <c r="J172">
        <v>0</v>
      </c>
      <c r="K172">
        <v>0</v>
      </c>
      <c r="L172">
        <v>1</v>
      </c>
      <c r="M172">
        <v>0</v>
      </c>
      <c r="N172" t="s">
        <v>197</v>
      </c>
      <c r="O172" t="s">
        <v>213</v>
      </c>
      <c r="P172" t="s">
        <v>209</v>
      </c>
      <c r="Q172" t="s">
        <v>170</v>
      </c>
      <c r="R172" t="s">
        <v>155</v>
      </c>
      <c r="T172" t="s">
        <v>134</v>
      </c>
      <c r="U172">
        <v>1</v>
      </c>
      <c r="V172">
        <v>5</v>
      </c>
      <c r="W172" t="s">
        <v>135</v>
      </c>
      <c r="X172">
        <v>0</v>
      </c>
      <c r="Y172" t="s">
        <v>139</v>
      </c>
      <c r="Z172" t="s">
        <v>187</v>
      </c>
      <c r="AA172" t="s">
        <v>142</v>
      </c>
      <c r="AB172" t="s">
        <v>162</v>
      </c>
      <c r="AC172" t="s">
        <v>175</v>
      </c>
      <c r="AD172" t="s">
        <v>125</v>
      </c>
      <c r="AE172" t="s">
        <v>670</v>
      </c>
      <c r="AF172" t="s">
        <v>671</v>
      </c>
    </row>
    <row r="173" spans="1:32">
      <c r="A173" t="s">
        <v>672</v>
      </c>
      <c r="B173" s="37">
        <v>39986</v>
      </c>
      <c r="C173" s="38">
        <v>39986</v>
      </c>
      <c r="D173" s="38">
        <v>39986</v>
      </c>
      <c r="E173" s="38">
        <v>39965</v>
      </c>
      <c r="F173" s="39">
        <v>81</v>
      </c>
      <c r="G173" t="s">
        <v>21</v>
      </c>
      <c r="H173" t="s">
        <v>21</v>
      </c>
      <c r="I173">
        <v>0</v>
      </c>
      <c r="J173">
        <v>0</v>
      </c>
      <c r="K173">
        <v>0</v>
      </c>
      <c r="L173">
        <v>1</v>
      </c>
      <c r="M173">
        <v>0</v>
      </c>
      <c r="N173" t="s">
        <v>196</v>
      </c>
      <c r="O173" t="s">
        <v>213</v>
      </c>
      <c r="P173" t="s">
        <v>207</v>
      </c>
      <c r="Q173" t="s">
        <v>170</v>
      </c>
      <c r="R173" t="s">
        <v>155</v>
      </c>
      <c r="T173" t="s">
        <v>134</v>
      </c>
      <c r="U173">
        <v>1</v>
      </c>
      <c r="W173" t="s">
        <v>134</v>
      </c>
      <c r="X173">
        <v>1</v>
      </c>
      <c r="Y173" t="s">
        <v>139</v>
      </c>
      <c r="Z173" t="s">
        <v>189</v>
      </c>
      <c r="AA173" t="s">
        <v>148</v>
      </c>
      <c r="AB173" t="s">
        <v>162</v>
      </c>
      <c r="AC173" t="s">
        <v>459</v>
      </c>
      <c r="AD173" t="s">
        <v>155</v>
      </c>
      <c r="AE173" t="s">
        <v>130</v>
      </c>
      <c r="AF173" t="s">
        <v>21</v>
      </c>
    </row>
    <row r="174" spans="1:32">
      <c r="A174" t="s">
        <v>673</v>
      </c>
      <c r="B174" s="37">
        <v>39907</v>
      </c>
      <c r="C174" s="38">
        <v>39907</v>
      </c>
      <c r="D174" s="38">
        <v>39902</v>
      </c>
      <c r="E174" s="38">
        <v>39904</v>
      </c>
      <c r="F174" s="39">
        <v>2</v>
      </c>
      <c r="G174" t="s">
        <v>21</v>
      </c>
      <c r="H174" t="s">
        <v>21</v>
      </c>
      <c r="I174">
        <v>0</v>
      </c>
      <c r="J174">
        <v>0</v>
      </c>
      <c r="K174">
        <v>0</v>
      </c>
      <c r="L174">
        <v>1</v>
      </c>
      <c r="M174">
        <v>0</v>
      </c>
      <c r="N174" t="s">
        <v>199</v>
      </c>
      <c r="O174" t="s">
        <v>213</v>
      </c>
      <c r="P174" t="s">
        <v>210</v>
      </c>
      <c r="Q174" t="s">
        <v>170</v>
      </c>
      <c r="R174" t="s">
        <v>155</v>
      </c>
      <c r="T174" t="s">
        <v>134</v>
      </c>
      <c r="U174">
        <v>1</v>
      </c>
      <c r="W174" t="s">
        <v>134</v>
      </c>
      <c r="X174">
        <v>1</v>
      </c>
      <c r="Y174" t="s">
        <v>139</v>
      </c>
      <c r="Z174" t="s">
        <v>189</v>
      </c>
      <c r="AA174" t="s">
        <v>151</v>
      </c>
      <c r="AB174" t="s">
        <v>165</v>
      </c>
      <c r="AC174" t="s">
        <v>674</v>
      </c>
      <c r="AD174" t="s">
        <v>158</v>
      </c>
      <c r="AE174" t="s">
        <v>122</v>
      </c>
      <c r="AF174" t="s">
        <v>21</v>
      </c>
    </row>
    <row r="175" spans="1:32">
      <c r="A175" t="s">
        <v>675</v>
      </c>
      <c r="B175" s="37">
        <v>40070</v>
      </c>
      <c r="C175" s="38">
        <v>40070</v>
      </c>
      <c r="D175" s="38">
        <v>40070</v>
      </c>
      <c r="E175" s="38">
        <v>40057</v>
      </c>
      <c r="F175" s="39">
        <v>165</v>
      </c>
      <c r="G175" t="s">
        <v>21</v>
      </c>
      <c r="H175" t="s">
        <v>21</v>
      </c>
      <c r="I175">
        <v>0</v>
      </c>
      <c r="J175">
        <v>0</v>
      </c>
      <c r="K175">
        <v>0</v>
      </c>
      <c r="L175">
        <v>1</v>
      </c>
      <c r="M175">
        <v>0</v>
      </c>
      <c r="N175" t="s">
        <v>193</v>
      </c>
      <c r="O175" t="s">
        <v>213</v>
      </c>
      <c r="P175" t="s">
        <v>204</v>
      </c>
      <c r="Q175" t="s">
        <v>170</v>
      </c>
      <c r="R175" t="s">
        <v>155</v>
      </c>
      <c r="S175">
        <v>5</v>
      </c>
      <c r="T175" t="s">
        <v>135</v>
      </c>
      <c r="U175">
        <v>0</v>
      </c>
      <c r="V175">
        <v>2</v>
      </c>
      <c r="W175" t="s">
        <v>136</v>
      </c>
      <c r="X175">
        <v>0</v>
      </c>
      <c r="Y175" t="s">
        <v>140</v>
      </c>
      <c r="Z175" t="s">
        <v>180</v>
      </c>
      <c r="AA175" t="s">
        <v>146</v>
      </c>
      <c r="AB175" t="s">
        <v>162</v>
      </c>
      <c r="AC175" t="s">
        <v>174</v>
      </c>
      <c r="AD175" t="s">
        <v>156</v>
      </c>
      <c r="AE175" t="s">
        <v>120</v>
      </c>
      <c r="AF175" t="s">
        <v>676</v>
      </c>
    </row>
    <row r="176" spans="1:32">
      <c r="A176" t="s">
        <v>677</v>
      </c>
      <c r="B176" s="37">
        <v>39917</v>
      </c>
      <c r="C176" s="38">
        <v>39917</v>
      </c>
      <c r="D176" s="38">
        <v>39916</v>
      </c>
      <c r="E176" s="38">
        <v>39904</v>
      </c>
      <c r="F176" s="39">
        <v>12</v>
      </c>
      <c r="G176" t="s">
        <v>21</v>
      </c>
      <c r="H176" t="s">
        <v>21</v>
      </c>
      <c r="I176">
        <v>0</v>
      </c>
      <c r="J176">
        <v>0</v>
      </c>
      <c r="K176">
        <v>0</v>
      </c>
      <c r="L176">
        <v>1</v>
      </c>
      <c r="M176">
        <v>0</v>
      </c>
      <c r="N176" t="s">
        <v>200</v>
      </c>
      <c r="O176" t="s">
        <v>214</v>
      </c>
      <c r="P176" t="s">
        <v>208</v>
      </c>
      <c r="Q176" t="s">
        <v>170</v>
      </c>
      <c r="R176" t="s">
        <v>155</v>
      </c>
      <c r="T176" t="s">
        <v>134</v>
      </c>
      <c r="U176">
        <v>1</v>
      </c>
      <c r="W176" t="s">
        <v>134</v>
      </c>
      <c r="X176">
        <v>1</v>
      </c>
      <c r="Y176" t="s">
        <v>139</v>
      </c>
      <c r="Z176" t="s">
        <v>180</v>
      </c>
      <c r="AA176" t="s">
        <v>143</v>
      </c>
      <c r="AB176" t="s">
        <v>162</v>
      </c>
      <c r="AC176" t="s">
        <v>174</v>
      </c>
      <c r="AD176" t="s">
        <v>160</v>
      </c>
      <c r="AE176" t="s">
        <v>392</v>
      </c>
      <c r="AF176" t="s">
        <v>393</v>
      </c>
    </row>
    <row r="177" spans="1:32">
      <c r="A177" t="s">
        <v>678</v>
      </c>
      <c r="B177" s="37">
        <v>39996</v>
      </c>
      <c r="C177" s="38">
        <v>39996</v>
      </c>
      <c r="D177" s="38">
        <v>39993</v>
      </c>
      <c r="E177" s="38">
        <v>39995</v>
      </c>
      <c r="F177" s="39">
        <v>91</v>
      </c>
      <c r="G177" t="s">
        <v>21</v>
      </c>
      <c r="H177" t="s">
        <v>21</v>
      </c>
      <c r="I177">
        <v>0</v>
      </c>
      <c r="J177">
        <v>0</v>
      </c>
      <c r="K177">
        <v>0</v>
      </c>
      <c r="L177">
        <v>1</v>
      </c>
      <c r="M177">
        <v>0</v>
      </c>
      <c r="N177" t="s">
        <v>195</v>
      </c>
      <c r="O177" t="s">
        <v>213</v>
      </c>
      <c r="P177" t="s">
        <v>206</v>
      </c>
      <c r="Q177" t="s">
        <v>170</v>
      </c>
      <c r="R177" t="s">
        <v>155</v>
      </c>
      <c r="T177" t="s">
        <v>134</v>
      </c>
      <c r="U177">
        <v>1</v>
      </c>
      <c r="V177">
        <v>3</v>
      </c>
      <c r="W177" t="s">
        <v>137</v>
      </c>
      <c r="X177">
        <v>0</v>
      </c>
      <c r="Y177" t="s">
        <v>139</v>
      </c>
      <c r="Z177" t="s">
        <v>180</v>
      </c>
      <c r="AA177" t="s">
        <v>142</v>
      </c>
      <c r="AB177" t="s">
        <v>162</v>
      </c>
      <c r="AC177" t="s">
        <v>21</v>
      </c>
      <c r="AD177" t="s">
        <v>155</v>
      </c>
      <c r="AE177" t="s">
        <v>130</v>
      </c>
      <c r="AF177" t="s">
        <v>21</v>
      </c>
    </row>
    <row r="178" spans="1:32">
      <c r="A178" t="s">
        <v>679</v>
      </c>
      <c r="B178" s="37">
        <v>39989</v>
      </c>
      <c r="C178" s="38">
        <v>39989</v>
      </c>
      <c r="D178" s="38">
        <v>39986</v>
      </c>
      <c r="E178" s="38">
        <v>39965</v>
      </c>
      <c r="F178" s="39">
        <v>84</v>
      </c>
      <c r="G178" t="s">
        <v>21</v>
      </c>
      <c r="H178" t="s">
        <v>21</v>
      </c>
      <c r="I178">
        <v>0</v>
      </c>
      <c r="J178">
        <v>0</v>
      </c>
      <c r="K178">
        <v>0</v>
      </c>
      <c r="L178">
        <v>1</v>
      </c>
      <c r="M178">
        <v>0</v>
      </c>
      <c r="N178" t="s">
        <v>194</v>
      </c>
      <c r="O178" t="s">
        <v>213</v>
      </c>
      <c r="P178" t="s">
        <v>205</v>
      </c>
      <c r="Q178" t="s">
        <v>170</v>
      </c>
      <c r="R178" t="s">
        <v>155</v>
      </c>
      <c r="T178" t="s">
        <v>134</v>
      </c>
      <c r="U178">
        <v>1</v>
      </c>
      <c r="W178" t="s">
        <v>134</v>
      </c>
      <c r="X178">
        <v>1</v>
      </c>
      <c r="Y178" t="s">
        <v>139</v>
      </c>
      <c r="Z178" t="s">
        <v>182</v>
      </c>
      <c r="AA178" t="s">
        <v>148</v>
      </c>
      <c r="AB178" t="s">
        <v>162</v>
      </c>
      <c r="AC178" t="s">
        <v>578</v>
      </c>
      <c r="AD178" t="s">
        <v>157</v>
      </c>
      <c r="AE178" t="s">
        <v>130</v>
      </c>
      <c r="AF178" t="s">
        <v>437</v>
      </c>
    </row>
    <row r="179" spans="1:32">
      <c r="A179" t="s">
        <v>680</v>
      </c>
      <c r="B179" s="37">
        <v>39982</v>
      </c>
      <c r="C179" s="38">
        <v>39982</v>
      </c>
      <c r="D179" s="38">
        <v>39979</v>
      </c>
      <c r="E179" s="38">
        <v>39965</v>
      </c>
      <c r="F179" s="39">
        <v>77</v>
      </c>
      <c r="G179" t="s">
        <v>21</v>
      </c>
      <c r="H179" t="s">
        <v>21</v>
      </c>
      <c r="I179">
        <v>0</v>
      </c>
      <c r="J179">
        <v>0</v>
      </c>
      <c r="K179">
        <v>0</v>
      </c>
      <c r="L179">
        <v>1</v>
      </c>
      <c r="M179">
        <v>0</v>
      </c>
      <c r="N179" t="s">
        <v>193</v>
      </c>
      <c r="O179" t="s">
        <v>213</v>
      </c>
      <c r="P179" t="s">
        <v>204</v>
      </c>
      <c r="Q179" t="s">
        <v>170</v>
      </c>
      <c r="R179" t="s">
        <v>155</v>
      </c>
      <c r="T179" t="s">
        <v>134</v>
      </c>
      <c r="U179">
        <v>1</v>
      </c>
      <c r="W179" t="s">
        <v>134</v>
      </c>
      <c r="X179">
        <v>1</v>
      </c>
      <c r="Y179" t="s">
        <v>140</v>
      </c>
      <c r="Z179" t="s">
        <v>391</v>
      </c>
      <c r="AA179" t="s">
        <v>143</v>
      </c>
      <c r="AB179" t="s">
        <v>162</v>
      </c>
      <c r="AC179" t="s">
        <v>175</v>
      </c>
      <c r="AD179" t="s">
        <v>155</v>
      </c>
      <c r="AE179" t="s">
        <v>129</v>
      </c>
      <c r="AF179" t="s">
        <v>21</v>
      </c>
    </row>
    <row r="180" spans="1:32">
      <c r="A180" t="s">
        <v>681</v>
      </c>
      <c r="B180" s="37">
        <v>40002</v>
      </c>
      <c r="C180" s="38">
        <v>40002</v>
      </c>
      <c r="D180" s="38">
        <v>40000</v>
      </c>
      <c r="E180" s="38">
        <v>39995</v>
      </c>
      <c r="F180" s="39">
        <v>97</v>
      </c>
      <c r="G180" t="s">
        <v>383</v>
      </c>
      <c r="H180" t="s">
        <v>17</v>
      </c>
      <c r="I180">
        <v>0</v>
      </c>
      <c r="J180">
        <v>0</v>
      </c>
      <c r="K180">
        <v>1</v>
      </c>
      <c r="L180">
        <v>0</v>
      </c>
      <c r="M180">
        <v>0</v>
      </c>
      <c r="N180" t="s">
        <v>196</v>
      </c>
      <c r="O180" t="s">
        <v>213</v>
      </c>
      <c r="P180" t="s">
        <v>207</v>
      </c>
      <c r="Q180" t="s">
        <v>170</v>
      </c>
      <c r="R180" t="s">
        <v>155</v>
      </c>
      <c r="T180" t="s">
        <v>134</v>
      </c>
      <c r="U180">
        <v>1</v>
      </c>
      <c r="V180">
        <v>4</v>
      </c>
      <c r="W180" t="s">
        <v>137</v>
      </c>
      <c r="X180">
        <v>0</v>
      </c>
      <c r="Y180" t="s">
        <v>139</v>
      </c>
      <c r="Z180" t="s">
        <v>181</v>
      </c>
      <c r="AA180" t="s">
        <v>144</v>
      </c>
      <c r="AB180" t="s">
        <v>162</v>
      </c>
      <c r="AC180" t="s">
        <v>578</v>
      </c>
      <c r="AD180" t="s">
        <v>157</v>
      </c>
      <c r="AE180" t="s">
        <v>130</v>
      </c>
      <c r="AF180" t="s">
        <v>437</v>
      </c>
    </row>
    <row r="181" spans="1:32">
      <c r="A181" t="s">
        <v>682</v>
      </c>
      <c r="B181" s="37">
        <v>39980</v>
      </c>
      <c r="C181" s="38">
        <v>39980</v>
      </c>
      <c r="D181" s="38">
        <v>39979</v>
      </c>
      <c r="E181" s="38">
        <v>39965</v>
      </c>
      <c r="F181" s="39">
        <v>75</v>
      </c>
      <c r="G181" t="s">
        <v>21</v>
      </c>
      <c r="H181" t="s">
        <v>21</v>
      </c>
      <c r="I181">
        <v>0</v>
      </c>
      <c r="J181">
        <v>0</v>
      </c>
      <c r="K181">
        <v>0</v>
      </c>
      <c r="L181">
        <v>1</v>
      </c>
      <c r="M181">
        <v>0</v>
      </c>
      <c r="N181" t="s">
        <v>193</v>
      </c>
      <c r="O181" t="s">
        <v>213</v>
      </c>
      <c r="P181" t="s">
        <v>204</v>
      </c>
      <c r="Q181" t="s">
        <v>170</v>
      </c>
      <c r="R181" t="s">
        <v>155</v>
      </c>
      <c r="T181" t="s">
        <v>134</v>
      </c>
      <c r="U181">
        <v>1</v>
      </c>
      <c r="W181" t="s">
        <v>134</v>
      </c>
      <c r="X181">
        <v>1</v>
      </c>
      <c r="Y181" t="s">
        <v>140</v>
      </c>
      <c r="Z181" t="s">
        <v>182</v>
      </c>
      <c r="AA181" t="s">
        <v>149</v>
      </c>
      <c r="AB181" t="s">
        <v>163</v>
      </c>
      <c r="AC181" t="s">
        <v>173</v>
      </c>
      <c r="AD181" t="s">
        <v>155</v>
      </c>
      <c r="AE181" t="s">
        <v>124</v>
      </c>
      <c r="AF181" t="s">
        <v>21</v>
      </c>
    </row>
    <row r="182" spans="1:32">
      <c r="A182" t="s">
        <v>683</v>
      </c>
      <c r="B182" s="37">
        <v>39943</v>
      </c>
      <c r="C182" s="38">
        <v>39943</v>
      </c>
      <c r="D182" s="38">
        <v>39937</v>
      </c>
      <c r="E182" s="38">
        <v>39934</v>
      </c>
      <c r="F182" s="39">
        <v>38</v>
      </c>
      <c r="G182" t="s">
        <v>21</v>
      </c>
      <c r="H182" t="s">
        <v>21</v>
      </c>
      <c r="I182">
        <v>0</v>
      </c>
      <c r="J182">
        <v>0</v>
      </c>
      <c r="K182">
        <v>0</v>
      </c>
      <c r="L182">
        <v>1</v>
      </c>
      <c r="M182">
        <v>0</v>
      </c>
      <c r="N182" t="s">
        <v>195</v>
      </c>
      <c r="O182" t="s">
        <v>213</v>
      </c>
      <c r="P182" t="s">
        <v>206</v>
      </c>
      <c r="Q182" t="s">
        <v>170</v>
      </c>
      <c r="R182" t="s">
        <v>155</v>
      </c>
      <c r="T182" t="s">
        <v>134</v>
      </c>
      <c r="U182">
        <v>1</v>
      </c>
      <c r="W182" t="s">
        <v>134</v>
      </c>
      <c r="X182">
        <v>1</v>
      </c>
      <c r="Y182" t="s">
        <v>139</v>
      </c>
      <c r="Z182" t="s">
        <v>391</v>
      </c>
      <c r="AA182" t="s">
        <v>142</v>
      </c>
      <c r="AB182" t="s">
        <v>162</v>
      </c>
      <c r="AC182" t="s">
        <v>684</v>
      </c>
      <c r="AD182" t="s">
        <v>160</v>
      </c>
      <c r="AE182" t="s">
        <v>126</v>
      </c>
      <c r="AF182" t="s">
        <v>685</v>
      </c>
    </row>
    <row r="183" spans="1:32">
      <c r="A183" t="s">
        <v>686</v>
      </c>
      <c r="B183" s="37">
        <v>40044</v>
      </c>
      <c r="C183" s="38">
        <v>40044</v>
      </c>
      <c r="D183" s="38">
        <v>40042</v>
      </c>
      <c r="E183" s="38">
        <v>40026</v>
      </c>
      <c r="F183" s="39">
        <v>139</v>
      </c>
      <c r="G183" t="s">
        <v>21</v>
      </c>
      <c r="H183" t="s">
        <v>21</v>
      </c>
      <c r="I183">
        <v>0</v>
      </c>
      <c r="J183">
        <v>0</v>
      </c>
      <c r="K183">
        <v>0</v>
      </c>
      <c r="L183">
        <v>1</v>
      </c>
      <c r="M183">
        <v>0</v>
      </c>
      <c r="N183" t="s">
        <v>196</v>
      </c>
      <c r="O183" t="s">
        <v>213</v>
      </c>
      <c r="P183" t="s">
        <v>207</v>
      </c>
      <c r="Q183" t="s">
        <v>170</v>
      </c>
      <c r="R183" t="s">
        <v>155</v>
      </c>
      <c r="S183">
        <v>5</v>
      </c>
      <c r="T183" t="s">
        <v>135</v>
      </c>
      <c r="U183">
        <v>0</v>
      </c>
      <c r="V183">
        <v>5</v>
      </c>
      <c r="W183" t="s">
        <v>135</v>
      </c>
      <c r="X183">
        <v>0</v>
      </c>
      <c r="Y183" t="s">
        <v>139</v>
      </c>
      <c r="Z183" t="s">
        <v>182</v>
      </c>
      <c r="AA183" t="s">
        <v>146</v>
      </c>
      <c r="AB183" t="s">
        <v>163</v>
      </c>
      <c r="AC183" t="s">
        <v>687</v>
      </c>
      <c r="AD183" t="s">
        <v>155</v>
      </c>
      <c r="AE183" t="s">
        <v>125</v>
      </c>
      <c r="AF183" t="s">
        <v>21</v>
      </c>
    </row>
    <row r="184" spans="1:32">
      <c r="A184" t="s">
        <v>688</v>
      </c>
      <c r="B184" s="37">
        <v>39977</v>
      </c>
      <c r="C184" s="38">
        <v>39977</v>
      </c>
      <c r="D184" s="38">
        <v>39972</v>
      </c>
      <c r="E184" s="38">
        <v>39965</v>
      </c>
      <c r="F184" s="39">
        <v>72</v>
      </c>
      <c r="G184" t="s">
        <v>21</v>
      </c>
      <c r="H184" t="s">
        <v>21</v>
      </c>
      <c r="I184">
        <v>0</v>
      </c>
      <c r="J184">
        <v>0</v>
      </c>
      <c r="K184">
        <v>0</v>
      </c>
      <c r="L184">
        <v>1</v>
      </c>
      <c r="M184">
        <v>0</v>
      </c>
      <c r="N184" t="s">
        <v>193</v>
      </c>
      <c r="O184" t="s">
        <v>213</v>
      </c>
      <c r="P184" t="s">
        <v>204</v>
      </c>
      <c r="Q184" t="s">
        <v>170</v>
      </c>
      <c r="R184" t="s">
        <v>155</v>
      </c>
      <c r="T184" t="s">
        <v>134</v>
      </c>
      <c r="U184">
        <v>1</v>
      </c>
      <c r="W184" t="s">
        <v>134</v>
      </c>
      <c r="X184">
        <v>1</v>
      </c>
      <c r="Y184" t="s">
        <v>140</v>
      </c>
      <c r="Z184" t="s">
        <v>182</v>
      </c>
      <c r="AA184" t="s">
        <v>143</v>
      </c>
      <c r="AB184" t="s">
        <v>163</v>
      </c>
      <c r="AC184" t="s">
        <v>689</v>
      </c>
      <c r="AD184" t="s">
        <v>155</v>
      </c>
      <c r="AE184" t="s">
        <v>467</v>
      </c>
      <c r="AF184" t="s">
        <v>21</v>
      </c>
    </row>
    <row r="185" spans="1:32">
      <c r="A185" t="s">
        <v>690</v>
      </c>
      <c r="B185" s="37">
        <v>39953</v>
      </c>
      <c r="C185" s="38">
        <v>39953</v>
      </c>
      <c r="D185" s="38">
        <v>39951</v>
      </c>
      <c r="E185" s="38">
        <v>39934</v>
      </c>
      <c r="F185" s="39">
        <v>48</v>
      </c>
      <c r="G185" t="s">
        <v>21</v>
      </c>
      <c r="H185" t="s">
        <v>21</v>
      </c>
      <c r="I185">
        <v>0</v>
      </c>
      <c r="J185">
        <v>0</v>
      </c>
      <c r="K185">
        <v>0</v>
      </c>
      <c r="L185">
        <v>1</v>
      </c>
      <c r="M185">
        <v>0</v>
      </c>
      <c r="N185" t="s">
        <v>193</v>
      </c>
      <c r="O185" t="s">
        <v>213</v>
      </c>
      <c r="P185" t="s">
        <v>204</v>
      </c>
      <c r="Q185" t="s">
        <v>170</v>
      </c>
      <c r="R185" t="s">
        <v>155</v>
      </c>
      <c r="T185" t="s">
        <v>134</v>
      </c>
      <c r="U185">
        <v>1</v>
      </c>
      <c r="W185" t="s">
        <v>134</v>
      </c>
      <c r="X185">
        <v>1</v>
      </c>
      <c r="Y185" t="s">
        <v>140</v>
      </c>
      <c r="Z185" t="s">
        <v>187</v>
      </c>
      <c r="AA185" t="s">
        <v>145</v>
      </c>
      <c r="AB185" t="s">
        <v>163</v>
      </c>
      <c r="AC185" t="s">
        <v>173</v>
      </c>
      <c r="AD185" t="s">
        <v>155</v>
      </c>
      <c r="AE185" t="s">
        <v>127</v>
      </c>
      <c r="AF185" t="s">
        <v>21</v>
      </c>
    </row>
    <row r="186" spans="1:32">
      <c r="A186" t="s">
        <v>691</v>
      </c>
      <c r="B186" s="37">
        <v>39937</v>
      </c>
      <c r="C186" s="38">
        <v>39937</v>
      </c>
      <c r="D186" s="38">
        <v>39937</v>
      </c>
      <c r="E186" s="38">
        <v>39934</v>
      </c>
      <c r="F186" s="39">
        <v>32</v>
      </c>
      <c r="G186" t="s">
        <v>21</v>
      </c>
      <c r="H186" t="s">
        <v>21</v>
      </c>
      <c r="I186">
        <v>0</v>
      </c>
      <c r="J186">
        <v>0</v>
      </c>
      <c r="K186">
        <v>0</v>
      </c>
      <c r="L186">
        <v>1</v>
      </c>
      <c r="M186">
        <v>0</v>
      </c>
      <c r="N186" t="s">
        <v>202</v>
      </c>
      <c r="O186" t="s">
        <v>213</v>
      </c>
      <c r="P186" t="s">
        <v>211</v>
      </c>
      <c r="Q186" t="s">
        <v>170</v>
      </c>
      <c r="R186" t="s">
        <v>155</v>
      </c>
      <c r="T186" t="s">
        <v>134</v>
      </c>
      <c r="U186">
        <v>1</v>
      </c>
      <c r="W186" t="s">
        <v>134</v>
      </c>
      <c r="X186">
        <v>1</v>
      </c>
      <c r="Y186" t="s">
        <v>139</v>
      </c>
      <c r="Z186" t="s">
        <v>391</v>
      </c>
      <c r="AA186" t="s">
        <v>147</v>
      </c>
      <c r="AB186" t="s">
        <v>163</v>
      </c>
      <c r="AC186" t="s">
        <v>173</v>
      </c>
      <c r="AD186" t="s">
        <v>155</v>
      </c>
      <c r="AE186" t="s">
        <v>692</v>
      </c>
      <c r="AF186" t="s">
        <v>21</v>
      </c>
    </row>
    <row r="187" spans="1:32">
      <c r="A187" t="s">
        <v>693</v>
      </c>
      <c r="B187" s="37">
        <v>39971</v>
      </c>
      <c r="C187" s="38">
        <v>39971</v>
      </c>
      <c r="D187" s="38">
        <v>39965</v>
      </c>
      <c r="E187" s="38">
        <v>39965</v>
      </c>
      <c r="F187" s="39">
        <v>66</v>
      </c>
      <c r="G187" t="s">
        <v>21</v>
      </c>
      <c r="H187" t="s">
        <v>21</v>
      </c>
      <c r="I187">
        <v>0</v>
      </c>
      <c r="J187">
        <v>0</v>
      </c>
      <c r="K187">
        <v>0</v>
      </c>
      <c r="L187">
        <v>1</v>
      </c>
      <c r="M187">
        <v>0</v>
      </c>
      <c r="N187" t="s">
        <v>193</v>
      </c>
      <c r="O187" t="s">
        <v>213</v>
      </c>
      <c r="P187" t="s">
        <v>204</v>
      </c>
      <c r="Q187" t="s">
        <v>170</v>
      </c>
      <c r="R187" t="s">
        <v>155</v>
      </c>
      <c r="T187" t="s">
        <v>134</v>
      </c>
      <c r="U187">
        <v>1</v>
      </c>
      <c r="W187" t="s">
        <v>134</v>
      </c>
      <c r="X187">
        <v>1</v>
      </c>
      <c r="Y187" t="s">
        <v>140</v>
      </c>
      <c r="Z187" t="s">
        <v>182</v>
      </c>
      <c r="AA187" t="s">
        <v>142</v>
      </c>
      <c r="AB187" t="s">
        <v>162</v>
      </c>
      <c r="AC187" t="s">
        <v>174</v>
      </c>
      <c r="AD187" t="s">
        <v>156</v>
      </c>
      <c r="AE187" t="s">
        <v>120</v>
      </c>
      <c r="AF187" t="s">
        <v>694</v>
      </c>
    </row>
    <row r="188" spans="1:32">
      <c r="A188" t="s">
        <v>695</v>
      </c>
      <c r="B188" s="37">
        <v>39956</v>
      </c>
      <c r="C188" s="38">
        <v>39956</v>
      </c>
      <c r="D188" s="38">
        <v>39951</v>
      </c>
      <c r="E188" s="38">
        <v>39934</v>
      </c>
      <c r="F188" s="39">
        <v>51</v>
      </c>
      <c r="G188" t="s">
        <v>21</v>
      </c>
      <c r="H188" t="s">
        <v>21</v>
      </c>
      <c r="I188">
        <v>0</v>
      </c>
      <c r="J188">
        <v>0</v>
      </c>
      <c r="K188">
        <v>0</v>
      </c>
      <c r="L188">
        <v>1</v>
      </c>
      <c r="M188">
        <v>0</v>
      </c>
      <c r="N188" t="s">
        <v>195</v>
      </c>
      <c r="O188" t="s">
        <v>213</v>
      </c>
      <c r="P188" t="s">
        <v>206</v>
      </c>
      <c r="Q188" t="s">
        <v>170</v>
      </c>
      <c r="R188" t="s">
        <v>155</v>
      </c>
      <c r="T188" t="s">
        <v>134</v>
      </c>
      <c r="U188">
        <v>1</v>
      </c>
      <c r="W188" t="s">
        <v>134</v>
      </c>
      <c r="X188">
        <v>1</v>
      </c>
      <c r="Y188" t="s">
        <v>139</v>
      </c>
      <c r="Z188" t="s">
        <v>391</v>
      </c>
      <c r="AA188" t="s">
        <v>142</v>
      </c>
      <c r="AB188" t="s">
        <v>162</v>
      </c>
      <c r="AC188" t="s">
        <v>174</v>
      </c>
      <c r="AD188" t="s">
        <v>157</v>
      </c>
      <c r="AE188" t="s">
        <v>130</v>
      </c>
      <c r="AF188" t="s">
        <v>437</v>
      </c>
    </row>
    <row r="189" spans="1:32">
      <c r="A189" t="s">
        <v>696</v>
      </c>
      <c r="B189" s="37">
        <v>39986</v>
      </c>
      <c r="C189" s="38">
        <v>39986</v>
      </c>
      <c r="D189" s="38">
        <v>39986</v>
      </c>
      <c r="E189" s="38">
        <v>39965</v>
      </c>
      <c r="F189" s="39">
        <v>81</v>
      </c>
      <c r="G189" t="s">
        <v>21</v>
      </c>
      <c r="H189" t="s">
        <v>21</v>
      </c>
      <c r="I189">
        <v>0</v>
      </c>
      <c r="J189">
        <v>0</v>
      </c>
      <c r="K189">
        <v>0</v>
      </c>
      <c r="L189">
        <v>1</v>
      </c>
      <c r="M189">
        <v>0</v>
      </c>
      <c r="N189" t="s">
        <v>196</v>
      </c>
      <c r="O189" t="s">
        <v>213</v>
      </c>
      <c r="P189" t="s">
        <v>207</v>
      </c>
      <c r="Q189" t="s">
        <v>170</v>
      </c>
      <c r="R189" t="s">
        <v>155</v>
      </c>
      <c r="T189" t="s">
        <v>134</v>
      </c>
      <c r="U189">
        <v>1</v>
      </c>
      <c r="W189" t="s">
        <v>134</v>
      </c>
      <c r="X189">
        <v>1</v>
      </c>
      <c r="Y189" t="s">
        <v>139</v>
      </c>
      <c r="Z189" t="s">
        <v>391</v>
      </c>
      <c r="AA189" t="s">
        <v>146</v>
      </c>
      <c r="AB189" t="s">
        <v>162</v>
      </c>
      <c r="AC189" t="s">
        <v>619</v>
      </c>
      <c r="AD189" t="s">
        <v>160</v>
      </c>
      <c r="AE189" t="s">
        <v>697</v>
      </c>
      <c r="AF189" t="s">
        <v>698</v>
      </c>
    </row>
    <row r="190" spans="1:32">
      <c r="A190" t="s">
        <v>699</v>
      </c>
      <c r="B190" s="37">
        <v>39982</v>
      </c>
      <c r="C190" s="38">
        <v>39982</v>
      </c>
      <c r="D190" s="38">
        <v>39979</v>
      </c>
      <c r="E190" s="38">
        <v>39965</v>
      </c>
      <c r="F190" s="39">
        <v>77</v>
      </c>
      <c r="G190" t="s">
        <v>21</v>
      </c>
      <c r="H190" t="s">
        <v>21</v>
      </c>
      <c r="I190">
        <v>0</v>
      </c>
      <c r="J190">
        <v>0</v>
      </c>
      <c r="K190">
        <v>0</v>
      </c>
      <c r="L190">
        <v>1</v>
      </c>
      <c r="M190">
        <v>0</v>
      </c>
      <c r="N190" t="s">
        <v>193</v>
      </c>
      <c r="O190" t="s">
        <v>213</v>
      </c>
      <c r="P190" t="s">
        <v>204</v>
      </c>
      <c r="Q190" t="s">
        <v>170</v>
      </c>
      <c r="R190" t="s">
        <v>155</v>
      </c>
      <c r="T190" t="s">
        <v>134</v>
      </c>
      <c r="U190">
        <v>1</v>
      </c>
      <c r="W190" t="s">
        <v>134</v>
      </c>
      <c r="X190">
        <v>1</v>
      </c>
      <c r="Y190" t="s">
        <v>140</v>
      </c>
      <c r="Z190" t="s">
        <v>391</v>
      </c>
      <c r="AA190" t="s">
        <v>144</v>
      </c>
      <c r="AB190" t="s">
        <v>163</v>
      </c>
      <c r="AC190" t="s">
        <v>700</v>
      </c>
      <c r="AD190" t="s">
        <v>155</v>
      </c>
      <c r="AE190" t="s">
        <v>454</v>
      </c>
      <c r="AF190" t="s">
        <v>21</v>
      </c>
    </row>
    <row r="191" spans="1:32">
      <c r="A191" t="s">
        <v>701</v>
      </c>
      <c r="B191" s="37">
        <v>40021</v>
      </c>
      <c r="C191" s="38">
        <v>40021</v>
      </c>
      <c r="D191" s="38">
        <v>40021</v>
      </c>
      <c r="E191" s="38">
        <v>39995</v>
      </c>
      <c r="F191" s="39">
        <v>116</v>
      </c>
      <c r="G191" t="s">
        <v>383</v>
      </c>
      <c r="H191" t="s">
        <v>17</v>
      </c>
      <c r="I191">
        <v>0</v>
      </c>
      <c r="J191">
        <v>0</v>
      </c>
      <c r="K191">
        <v>1</v>
      </c>
      <c r="L191">
        <v>0</v>
      </c>
      <c r="M191">
        <v>0</v>
      </c>
      <c r="N191" t="s">
        <v>196</v>
      </c>
      <c r="O191" t="s">
        <v>213</v>
      </c>
      <c r="P191" t="s">
        <v>207</v>
      </c>
      <c r="Q191" t="s">
        <v>170</v>
      </c>
      <c r="R191" t="s">
        <v>155</v>
      </c>
      <c r="S191">
        <v>3</v>
      </c>
      <c r="T191" t="s">
        <v>137</v>
      </c>
      <c r="U191">
        <v>0</v>
      </c>
      <c r="V191">
        <v>4</v>
      </c>
      <c r="W191" t="s">
        <v>137</v>
      </c>
      <c r="X191">
        <v>0</v>
      </c>
      <c r="Y191" t="s">
        <v>139</v>
      </c>
      <c r="Z191" t="s">
        <v>179</v>
      </c>
      <c r="AA191" t="s">
        <v>143</v>
      </c>
      <c r="AB191" t="s">
        <v>162</v>
      </c>
      <c r="AC191" t="s">
        <v>21</v>
      </c>
      <c r="AD191" t="s">
        <v>155</v>
      </c>
      <c r="AE191" t="s">
        <v>130</v>
      </c>
      <c r="AF191" t="s">
        <v>21</v>
      </c>
    </row>
    <row r="192" spans="1:32">
      <c r="A192" t="s">
        <v>702</v>
      </c>
      <c r="B192" s="37">
        <v>39975</v>
      </c>
      <c r="C192" s="38">
        <v>39975</v>
      </c>
      <c r="D192" s="38">
        <v>39972</v>
      </c>
      <c r="E192" s="38">
        <v>39965</v>
      </c>
      <c r="F192" s="39">
        <v>70</v>
      </c>
      <c r="G192" t="s">
        <v>380</v>
      </c>
      <c r="H192" t="s">
        <v>17</v>
      </c>
      <c r="I192">
        <v>0</v>
      </c>
      <c r="J192">
        <v>0</v>
      </c>
      <c r="K192">
        <v>1</v>
      </c>
      <c r="L192">
        <v>0</v>
      </c>
      <c r="M192">
        <v>0</v>
      </c>
      <c r="N192" t="s">
        <v>193</v>
      </c>
      <c r="O192" t="s">
        <v>213</v>
      </c>
      <c r="P192" t="s">
        <v>204</v>
      </c>
      <c r="Q192" t="s">
        <v>170</v>
      </c>
      <c r="R192" t="s">
        <v>155</v>
      </c>
      <c r="T192" t="s">
        <v>134</v>
      </c>
      <c r="U192">
        <v>1</v>
      </c>
      <c r="W192" t="s">
        <v>134</v>
      </c>
      <c r="X192">
        <v>1</v>
      </c>
      <c r="Y192" t="s">
        <v>140</v>
      </c>
      <c r="Z192" t="s">
        <v>433</v>
      </c>
      <c r="AA192" t="s">
        <v>149</v>
      </c>
      <c r="AB192" t="s">
        <v>162</v>
      </c>
      <c r="AC192" t="s">
        <v>21</v>
      </c>
      <c r="AD192" t="s">
        <v>159</v>
      </c>
      <c r="AE192" t="s">
        <v>126</v>
      </c>
      <c r="AF192" t="s">
        <v>601</v>
      </c>
    </row>
    <row r="193" spans="1:32">
      <c r="A193" t="s">
        <v>703</v>
      </c>
      <c r="B193" s="37">
        <v>40020</v>
      </c>
      <c r="C193" s="38">
        <v>40020</v>
      </c>
      <c r="D193" s="38">
        <v>40014</v>
      </c>
      <c r="E193" s="38">
        <v>39995</v>
      </c>
      <c r="F193" s="39">
        <v>115</v>
      </c>
      <c r="G193" t="s">
        <v>21</v>
      </c>
      <c r="H193" t="s">
        <v>21</v>
      </c>
      <c r="I193">
        <v>0</v>
      </c>
      <c r="J193">
        <v>0</v>
      </c>
      <c r="K193">
        <v>0</v>
      </c>
      <c r="L193">
        <v>1</v>
      </c>
      <c r="M193">
        <v>0</v>
      </c>
      <c r="N193" t="s">
        <v>193</v>
      </c>
      <c r="O193" t="s">
        <v>213</v>
      </c>
      <c r="P193" t="s">
        <v>204</v>
      </c>
      <c r="Q193" t="s">
        <v>170</v>
      </c>
      <c r="R193" t="s">
        <v>155</v>
      </c>
      <c r="S193">
        <v>5</v>
      </c>
      <c r="T193" t="s">
        <v>135</v>
      </c>
      <c r="U193">
        <v>0</v>
      </c>
      <c r="V193">
        <v>5</v>
      </c>
      <c r="W193" t="s">
        <v>135</v>
      </c>
      <c r="X193">
        <v>0</v>
      </c>
      <c r="Y193" t="s">
        <v>140</v>
      </c>
      <c r="Z193" t="s">
        <v>191</v>
      </c>
      <c r="AA193" t="s">
        <v>142</v>
      </c>
      <c r="AB193" t="s">
        <v>162</v>
      </c>
      <c r="AC193" t="s">
        <v>659</v>
      </c>
      <c r="AD193" t="s">
        <v>157</v>
      </c>
      <c r="AE193" t="s">
        <v>704</v>
      </c>
      <c r="AF193" t="s">
        <v>705</v>
      </c>
    </row>
    <row r="194" spans="1:32">
      <c r="A194" t="s">
        <v>706</v>
      </c>
      <c r="B194" s="37">
        <v>39947</v>
      </c>
      <c r="C194" s="38">
        <v>39947</v>
      </c>
      <c r="D194" s="38">
        <v>39944</v>
      </c>
      <c r="E194" s="38">
        <v>39934</v>
      </c>
      <c r="F194" s="39">
        <v>42</v>
      </c>
      <c r="G194" t="s">
        <v>9</v>
      </c>
      <c r="H194" t="s">
        <v>9</v>
      </c>
      <c r="I194">
        <v>1</v>
      </c>
      <c r="J194">
        <v>0</v>
      </c>
      <c r="K194">
        <v>0</v>
      </c>
      <c r="L194">
        <v>0</v>
      </c>
      <c r="M194">
        <v>1</v>
      </c>
      <c r="N194" t="s">
        <v>194</v>
      </c>
      <c r="O194" t="s">
        <v>213</v>
      </c>
      <c r="P194" t="s">
        <v>205</v>
      </c>
      <c r="Q194" t="s">
        <v>170</v>
      </c>
      <c r="R194" t="s">
        <v>155</v>
      </c>
      <c r="T194" t="s">
        <v>134</v>
      </c>
      <c r="U194">
        <v>1</v>
      </c>
      <c r="W194" t="s">
        <v>134</v>
      </c>
      <c r="X194">
        <v>1</v>
      </c>
      <c r="Y194" t="s">
        <v>139</v>
      </c>
      <c r="Z194" t="s">
        <v>178</v>
      </c>
      <c r="AA194" t="s">
        <v>147</v>
      </c>
      <c r="AB194" t="s">
        <v>165</v>
      </c>
      <c r="AC194" t="s">
        <v>21</v>
      </c>
      <c r="AD194" t="s">
        <v>158</v>
      </c>
      <c r="AE194" t="s">
        <v>122</v>
      </c>
      <c r="AF194" t="s">
        <v>21</v>
      </c>
    </row>
    <row r="195" spans="1:32">
      <c r="A195" t="s">
        <v>707</v>
      </c>
      <c r="B195" s="37">
        <v>39979</v>
      </c>
      <c r="C195" s="38">
        <v>39979</v>
      </c>
      <c r="D195" s="38">
        <v>39979</v>
      </c>
      <c r="E195" s="38">
        <v>39965</v>
      </c>
      <c r="F195" s="39">
        <v>74</v>
      </c>
      <c r="G195" t="s">
        <v>21</v>
      </c>
      <c r="H195" t="s">
        <v>21</v>
      </c>
      <c r="I195">
        <v>0</v>
      </c>
      <c r="J195">
        <v>0</v>
      </c>
      <c r="K195">
        <v>0</v>
      </c>
      <c r="L195">
        <v>1</v>
      </c>
      <c r="M195">
        <v>0</v>
      </c>
      <c r="N195" t="s">
        <v>194</v>
      </c>
      <c r="O195" t="s">
        <v>213</v>
      </c>
      <c r="P195" t="s">
        <v>205</v>
      </c>
      <c r="Q195" t="s">
        <v>170</v>
      </c>
      <c r="R195" t="s">
        <v>155</v>
      </c>
      <c r="T195" t="s">
        <v>134</v>
      </c>
      <c r="U195">
        <v>1</v>
      </c>
      <c r="W195" t="s">
        <v>134</v>
      </c>
      <c r="X195">
        <v>1</v>
      </c>
      <c r="Y195" t="s">
        <v>139</v>
      </c>
      <c r="Z195" t="s">
        <v>178</v>
      </c>
      <c r="AA195" t="s">
        <v>148</v>
      </c>
      <c r="AB195" t="s">
        <v>162</v>
      </c>
      <c r="AC195" t="s">
        <v>175</v>
      </c>
      <c r="AD195" t="s">
        <v>155</v>
      </c>
      <c r="AE195" t="s">
        <v>130</v>
      </c>
      <c r="AF195" t="s">
        <v>21</v>
      </c>
    </row>
    <row r="196" spans="1:32">
      <c r="A196" t="s">
        <v>708</v>
      </c>
      <c r="B196" s="37">
        <v>39990</v>
      </c>
      <c r="C196" s="38">
        <v>39990</v>
      </c>
      <c r="D196" s="38">
        <v>39986</v>
      </c>
      <c r="E196" s="38">
        <v>39965</v>
      </c>
      <c r="F196" s="39">
        <v>85</v>
      </c>
      <c r="G196" t="s">
        <v>380</v>
      </c>
      <c r="H196" t="s">
        <v>17</v>
      </c>
      <c r="I196">
        <v>0</v>
      </c>
      <c r="J196">
        <v>0</v>
      </c>
      <c r="K196">
        <v>1</v>
      </c>
      <c r="L196">
        <v>0</v>
      </c>
      <c r="M196">
        <v>0</v>
      </c>
      <c r="N196" t="s">
        <v>193</v>
      </c>
      <c r="O196" t="s">
        <v>213</v>
      </c>
      <c r="P196" t="s">
        <v>204</v>
      </c>
      <c r="Q196" t="s">
        <v>170</v>
      </c>
      <c r="R196" t="s">
        <v>155</v>
      </c>
      <c r="T196" t="s">
        <v>134</v>
      </c>
      <c r="U196">
        <v>1</v>
      </c>
      <c r="V196">
        <v>5</v>
      </c>
      <c r="W196" t="s">
        <v>135</v>
      </c>
      <c r="X196">
        <v>0</v>
      </c>
      <c r="Y196" t="s">
        <v>140</v>
      </c>
      <c r="Z196" t="s">
        <v>178</v>
      </c>
      <c r="AA196" t="s">
        <v>146</v>
      </c>
      <c r="AB196" t="s">
        <v>162</v>
      </c>
      <c r="AC196" t="s">
        <v>21</v>
      </c>
      <c r="AD196" t="s">
        <v>160</v>
      </c>
      <c r="AE196" t="s">
        <v>126</v>
      </c>
      <c r="AF196" t="s">
        <v>709</v>
      </c>
    </row>
    <row r="197" spans="1:32">
      <c r="A197" t="s">
        <v>710</v>
      </c>
      <c r="B197" s="37">
        <v>39932</v>
      </c>
      <c r="C197" s="38">
        <v>39932</v>
      </c>
      <c r="D197" s="38">
        <v>39930</v>
      </c>
      <c r="E197" s="38">
        <v>39904</v>
      </c>
      <c r="F197" s="39">
        <v>27</v>
      </c>
      <c r="G197" t="s">
        <v>525</v>
      </c>
      <c r="H197" t="s">
        <v>17</v>
      </c>
      <c r="I197">
        <v>0</v>
      </c>
      <c r="J197">
        <v>0</v>
      </c>
      <c r="K197">
        <v>1</v>
      </c>
      <c r="L197">
        <v>0</v>
      </c>
      <c r="M197">
        <v>0</v>
      </c>
      <c r="N197" t="s">
        <v>200</v>
      </c>
      <c r="O197" t="s">
        <v>214</v>
      </c>
      <c r="P197" t="s">
        <v>208</v>
      </c>
      <c r="Q197" t="s">
        <v>170</v>
      </c>
      <c r="R197" t="s">
        <v>155</v>
      </c>
      <c r="T197" t="s">
        <v>134</v>
      </c>
      <c r="U197">
        <v>1</v>
      </c>
      <c r="W197" t="s">
        <v>134</v>
      </c>
      <c r="X197">
        <v>1</v>
      </c>
      <c r="Y197" t="s">
        <v>139</v>
      </c>
      <c r="Z197" t="s">
        <v>180</v>
      </c>
      <c r="AA197" t="s">
        <v>142</v>
      </c>
      <c r="AB197" t="s">
        <v>162</v>
      </c>
      <c r="AC197" t="s">
        <v>431</v>
      </c>
      <c r="AD197" t="s">
        <v>155</v>
      </c>
      <c r="AE197" t="s">
        <v>130</v>
      </c>
      <c r="AF197" t="s">
        <v>21</v>
      </c>
    </row>
    <row r="198" spans="1:32">
      <c r="A198" t="s">
        <v>711</v>
      </c>
      <c r="B198" s="37">
        <v>39973</v>
      </c>
      <c r="C198" s="38">
        <v>39973</v>
      </c>
      <c r="D198" s="38">
        <v>39972</v>
      </c>
      <c r="E198" s="38">
        <v>39965</v>
      </c>
      <c r="F198" s="39">
        <v>68</v>
      </c>
      <c r="G198" t="s">
        <v>9</v>
      </c>
      <c r="H198" t="s">
        <v>9</v>
      </c>
      <c r="I198">
        <v>1</v>
      </c>
      <c r="J198">
        <v>0</v>
      </c>
      <c r="K198">
        <v>0</v>
      </c>
      <c r="L198">
        <v>0</v>
      </c>
      <c r="M198">
        <v>1</v>
      </c>
      <c r="N198" t="s">
        <v>193</v>
      </c>
      <c r="O198" t="s">
        <v>213</v>
      </c>
      <c r="P198" t="s">
        <v>204</v>
      </c>
      <c r="Q198" t="s">
        <v>170</v>
      </c>
      <c r="R198" t="s">
        <v>155</v>
      </c>
      <c r="T198" t="s">
        <v>134</v>
      </c>
      <c r="U198">
        <v>1</v>
      </c>
      <c r="W198" t="s">
        <v>134</v>
      </c>
      <c r="X198">
        <v>1</v>
      </c>
      <c r="Y198" t="s">
        <v>140</v>
      </c>
      <c r="Z198" t="s">
        <v>183</v>
      </c>
      <c r="AA198" t="s">
        <v>142</v>
      </c>
      <c r="AB198" t="s">
        <v>163</v>
      </c>
      <c r="AC198" t="s">
        <v>173</v>
      </c>
      <c r="AD198" t="s">
        <v>161</v>
      </c>
      <c r="AE198" t="s">
        <v>465</v>
      </c>
      <c r="AF198" t="s">
        <v>21</v>
      </c>
    </row>
    <row r="199" spans="1:32">
      <c r="A199" t="s">
        <v>712</v>
      </c>
      <c r="B199" s="37">
        <v>40055</v>
      </c>
      <c r="C199" s="38">
        <v>40055</v>
      </c>
      <c r="D199" s="38">
        <v>40049</v>
      </c>
      <c r="E199" s="38">
        <v>40026</v>
      </c>
      <c r="F199" s="39">
        <v>150</v>
      </c>
      <c r="G199" t="s">
        <v>21</v>
      </c>
      <c r="H199" t="s">
        <v>21</v>
      </c>
      <c r="I199">
        <v>0</v>
      </c>
      <c r="J199">
        <v>0</v>
      </c>
      <c r="K199">
        <v>0</v>
      </c>
      <c r="L199">
        <v>1</v>
      </c>
      <c r="M199">
        <v>0</v>
      </c>
      <c r="N199" t="s">
        <v>193</v>
      </c>
      <c r="O199" t="s">
        <v>213</v>
      </c>
      <c r="P199" t="s">
        <v>204</v>
      </c>
      <c r="Q199" t="s">
        <v>170</v>
      </c>
      <c r="R199" t="s">
        <v>155</v>
      </c>
      <c r="S199">
        <v>5</v>
      </c>
      <c r="T199" t="s">
        <v>135</v>
      </c>
      <c r="U199">
        <v>0</v>
      </c>
      <c r="V199">
        <v>5</v>
      </c>
      <c r="W199" t="s">
        <v>135</v>
      </c>
      <c r="X199">
        <v>0</v>
      </c>
      <c r="Y199" t="s">
        <v>140</v>
      </c>
      <c r="Z199" t="s">
        <v>180</v>
      </c>
      <c r="AA199" t="s">
        <v>142</v>
      </c>
      <c r="AB199" t="s">
        <v>162</v>
      </c>
      <c r="AC199" t="s">
        <v>713</v>
      </c>
      <c r="AD199" t="s">
        <v>155</v>
      </c>
      <c r="AE199" t="s">
        <v>129</v>
      </c>
      <c r="AF199" t="s">
        <v>21</v>
      </c>
    </row>
    <row r="200" spans="1:32">
      <c r="A200" t="s">
        <v>714</v>
      </c>
      <c r="B200" s="37">
        <v>39952</v>
      </c>
      <c r="C200" s="38">
        <v>39952</v>
      </c>
      <c r="D200" s="38">
        <v>39951</v>
      </c>
      <c r="E200" s="38">
        <v>39934</v>
      </c>
      <c r="F200" s="39">
        <v>47</v>
      </c>
      <c r="G200" t="s">
        <v>496</v>
      </c>
      <c r="H200" t="s">
        <v>13</v>
      </c>
      <c r="I200">
        <v>0</v>
      </c>
      <c r="J200">
        <v>1</v>
      </c>
      <c r="K200">
        <v>0</v>
      </c>
      <c r="L200">
        <v>0</v>
      </c>
      <c r="M200">
        <v>1</v>
      </c>
      <c r="N200" t="s">
        <v>193</v>
      </c>
      <c r="O200" t="s">
        <v>213</v>
      </c>
      <c r="P200" t="s">
        <v>204</v>
      </c>
      <c r="Q200" t="s">
        <v>170</v>
      </c>
      <c r="R200" t="s">
        <v>155</v>
      </c>
      <c r="T200" t="s">
        <v>134</v>
      </c>
      <c r="U200">
        <v>1</v>
      </c>
      <c r="W200" t="s">
        <v>134</v>
      </c>
      <c r="X200">
        <v>1</v>
      </c>
      <c r="Y200" t="s">
        <v>140</v>
      </c>
      <c r="Z200" t="s">
        <v>179</v>
      </c>
      <c r="AA200" t="s">
        <v>142</v>
      </c>
      <c r="AB200" t="s">
        <v>162</v>
      </c>
      <c r="AC200" t="s">
        <v>174</v>
      </c>
      <c r="AD200" t="s">
        <v>156</v>
      </c>
      <c r="AE200" t="s">
        <v>120</v>
      </c>
      <c r="AF200" t="s">
        <v>715</v>
      </c>
    </row>
    <row r="201" spans="1:32">
      <c r="A201" t="s">
        <v>716</v>
      </c>
      <c r="B201" s="37">
        <v>40004</v>
      </c>
      <c r="C201" s="38">
        <v>40004</v>
      </c>
      <c r="D201" s="38">
        <v>40000</v>
      </c>
      <c r="E201" s="38">
        <v>39995</v>
      </c>
      <c r="F201" s="39">
        <v>99</v>
      </c>
      <c r="G201" t="s">
        <v>9</v>
      </c>
      <c r="H201" t="s">
        <v>9</v>
      </c>
      <c r="I201">
        <v>1</v>
      </c>
      <c r="J201">
        <v>0</v>
      </c>
      <c r="K201">
        <v>0</v>
      </c>
      <c r="L201">
        <v>0</v>
      </c>
      <c r="M201">
        <v>1</v>
      </c>
      <c r="N201" t="s">
        <v>196</v>
      </c>
      <c r="O201" t="s">
        <v>213</v>
      </c>
      <c r="P201" t="s">
        <v>207</v>
      </c>
      <c r="Q201" t="s">
        <v>170</v>
      </c>
      <c r="R201" t="s">
        <v>155</v>
      </c>
      <c r="S201">
        <v>5</v>
      </c>
      <c r="T201" t="s">
        <v>135</v>
      </c>
      <c r="U201">
        <v>0</v>
      </c>
      <c r="V201">
        <v>3</v>
      </c>
      <c r="W201" t="s">
        <v>137</v>
      </c>
      <c r="X201">
        <v>0</v>
      </c>
      <c r="Y201" t="s">
        <v>139</v>
      </c>
      <c r="Z201" t="s">
        <v>179</v>
      </c>
      <c r="AA201" t="s">
        <v>145</v>
      </c>
      <c r="AB201" t="s">
        <v>162</v>
      </c>
      <c r="AC201" t="s">
        <v>174</v>
      </c>
      <c r="AD201" t="s">
        <v>156</v>
      </c>
      <c r="AE201" t="s">
        <v>120</v>
      </c>
      <c r="AF201" t="s">
        <v>717</v>
      </c>
    </row>
    <row r="202" spans="1:32">
      <c r="A202" t="s">
        <v>718</v>
      </c>
      <c r="B202" s="37">
        <v>40071</v>
      </c>
      <c r="C202" s="38">
        <v>40071</v>
      </c>
      <c r="D202" s="38">
        <v>40070</v>
      </c>
      <c r="E202" s="38">
        <v>40057</v>
      </c>
      <c r="F202" s="39">
        <v>166</v>
      </c>
      <c r="G202" t="s">
        <v>570</v>
      </c>
      <c r="H202" t="s">
        <v>13</v>
      </c>
      <c r="I202">
        <v>0</v>
      </c>
      <c r="J202">
        <v>1</v>
      </c>
      <c r="K202">
        <v>0</v>
      </c>
      <c r="L202">
        <v>0</v>
      </c>
      <c r="M202">
        <v>1</v>
      </c>
      <c r="N202" t="s">
        <v>193</v>
      </c>
      <c r="O202" t="s">
        <v>213</v>
      </c>
      <c r="P202" t="s">
        <v>204</v>
      </c>
      <c r="Q202" t="s">
        <v>170</v>
      </c>
      <c r="R202" t="s">
        <v>155</v>
      </c>
      <c r="S202">
        <v>5</v>
      </c>
      <c r="T202" t="s">
        <v>135</v>
      </c>
      <c r="U202">
        <v>0</v>
      </c>
      <c r="V202">
        <v>3</v>
      </c>
      <c r="W202" t="s">
        <v>137</v>
      </c>
      <c r="X202">
        <v>0</v>
      </c>
      <c r="Y202" t="s">
        <v>140</v>
      </c>
      <c r="Z202" t="s">
        <v>178</v>
      </c>
      <c r="AA202" t="s">
        <v>146</v>
      </c>
      <c r="AB202" t="s">
        <v>163</v>
      </c>
      <c r="AC202" t="s">
        <v>500</v>
      </c>
      <c r="AD202" t="s">
        <v>155</v>
      </c>
      <c r="AE202" t="s">
        <v>128</v>
      </c>
      <c r="AF202" t="s">
        <v>21</v>
      </c>
    </row>
    <row r="203" spans="1:32">
      <c r="A203" t="s">
        <v>719</v>
      </c>
      <c r="B203" s="37">
        <v>39964</v>
      </c>
      <c r="C203" s="38">
        <v>39964</v>
      </c>
      <c r="D203" s="38">
        <v>39958</v>
      </c>
      <c r="E203" s="38">
        <v>39934</v>
      </c>
      <c r="F203" s="39">
        <v>59</v>
      </c>
      <c r="G203" t="s">
        <v>21</v>
      </c>
      <c r="H203" t="s">
        <v>21</v>
      </c>
      <c r="I203">
        <v>0</v>
      </c>
      <c r="J203">
        <v>0</v>
      </c>
      <c r="K203">
        <v>0</v>
      </c>
      <c r="L203">
        <v>1</v>
      </c>
      <c r="M203">
        <v>0</v>
      </c>
      <c r="N203" t="s">
        <v>193</v>
      </c>
      <c r="O203" t="s">
        <v>213</v>
      </c>
      <c r="P203" t="s">
        <v>204</v>
      </c>
      <c r="Q203" t="s">
        <v>170</v>
      </c>
      <c r="R203" t="s">
        <v>155</v>
      </c>
      <c r="T203" t="s">
        <v>134</v>
      </c>
      <c r="U203">
        <v>1</v>
      </c>
      <c r="W203" t="s">
        <v>134</v>
      </c>
      <c r="X203">
        <v>1</v>
      </c>
      <c r="Y203" t="s">
        <v>140</v>
      </c>
      <c r="Z203" t="s">
        <v>178</v>
      </c>
      <c r="AA203" t="s">
        <v>144</v>
      </c>
      <c r="AB203" t="s">
        <v>162</v>
      </c>
      <c r="AC203" t="s">
        <v>174</v>
      </c>
      <c r="AD203" t="s">
        <v>157</v>
      </c>
      <c r="AE203" t="s">
        <v>127</v>
      </c>
      <c r="AF203" t="s">
        <v>153</v>
      </c>
    </row>
    <row r="204" spans="1:32">
      <c r="A204" t="s">
        <v>720</v>
      </c>
      <c r="B204" s="37">
        <v>39973</v>
      </c>
      <c r="C204" s="38">
        <v>39973</v>
      </c>
      <c r="D204" s="38">
        <v>39972</v>
      </c>
      <c r="E204" s="38">
        <v>39965</v>
      </c>
      <c r="F204" s="39">
        <v>68</v>
      </c>
      <c r="G204" t="s">
        <v>21</v>
      </c>
      <c r="H204" t="s">
        <v>21</v>
      </c>
      <c r="I204">
        <v>0</v>
      </c>
      <c r="J204">
        <v>0</v>
      </c>
      <c r="K204">
        <v>0</v>
      </c>
      <c r="L204">
        <v>1</v>
      </c>
      <c r="M204">
        <v>0</v>
      </c>
      <c r="N204" t="s">
        <v>194</v>
      </c>
      <c r="O204" t="s">
        <v>213</v>
      </c>
      <c r="P204" t="s">
        <v>205</v>
      </c>
      <c r="Q204" t="s">
        <v>170</v>
      </c>
      <c r="R204" t="s">
        <v>155</v>
      </c>
      <c r="T204" t="s">
        <v>134</v>
      </c>
      <c r="U204">
        <v>1</v>
      </c>
      <c r="W204" t="s">
        <v>134</v>
      </c>
      <c r="X204">
        <v>1</v>
      </c>
      <c r="Y204" t="s">
        <v>139</v>
      </c>
      <c r="Z204" t="s">
        <v>178</v>
      </c>
      <c r="AA204" t="s">
        <v>148</v>
      </c>
      <c r="AB204" t="s">
        <v>163</v>
      </c>
      <c r="AC204" t="s">
        <v>173</v>
      </c>
      <c r="AD204" t="s">
        <v>161</v>
      </c>
      <c r="AE204" t="s">
        <v>465</v>
      </c>
      <c r="AF204" t="s">
        <v>21</v>
      </c>
    </row>
    <row r="205" spans="1:32">
      <c r="A205" t="s">
        <v>721</v>
      </c>
      <c r="B205" s="37">
        <v>40011</v>
      </c>
      <c r="C205" s="38">
        <v>40011</v>
      </c>
      <c r="D205" s="38">
        <v>40007</v>
      </c>
      <c r="E205" s="38">
        <v>39995</v>
      </c>
      <c r="F205" s="39">
        <v>106</v>
      </c>
      <c r="G205" t="s">
        <v>380</v>
      </c>
      <c r="H205" t="s">
        <v>17</v>
      </c>
      <c r="I205">
        <v>0</v>
      </c>
      <c r="J205">
        <v>0</v>
      </c>
      <c r="K205">
        <v>1</v>
      </c>
      <c r="L205">
        <v>0</v>
      </c>
      <c r="M205">
        <v>0</v>
      </c>
      <c r="N205" t="s">
        <v>196</v>
      </c>
      <c r="O205" t="s">
        <v>213</v>
      </c>
      <c r="P205" t="s">
        <v>207</v>
      </c>
      <c r="Q205" t="s">
        <v>170</v>
      </c>
      <c r="R205" t="s">
        <v>155</v>
      </c>
      <c r="S205">
        <v>2</v>
      </c>
      <c r="T205" t="s">
        <v>136</v>
      </c>
      <c r="U205">
        <v>0</v>
      </c>
      <c r="V205">
        <v>4</v>
      </c>
      <c r="W205" t="s">
        <v>137</v>
      </c>
      <c r="X205">
        <v>0</v>
      </c>
      <c r="Y205" t="s">
        <v>139</v>
      </c>
      <c r="Z205" t="s">
        <v>186</v>
      </c>
      <c r="AA205" t="s">
        <v>146</v>
      </c>
      <c r="AB205" t="s">
        <v>163</v>
      </c>
      <c r="AC205" t="s">
        <v>173</v>
      </c>
      <c r="AD205" t="s">
        <v>155</v>
      </c>
      <c r="AE205" t="s">
        <v>670</v>
      </c>
      <c r="AF205" t="s">
        <v>21</v>
      </c>
    </row>
    <row r="206" spans="1:32">
      <c r="A206" t="s">
        <v>722</v>
      </c>
      <c r="B206" s="37">
        <v>39950</v>
      </c>
      <c r="C206" s="38">
        <v>39950</v>
      </c>
      <c r="D206" s="38">
        <v>39944</v>
      </c>
      <c r="E206" s="38">
        <v>39934</v>
      </c>
      <c r="F206" s="39">
        <v>45</v>
      </c>
      <c r="G206" t="s">
        <v>21</v>
      </c>
      <c r="H206" t="s">
        <v>21</v>
      </c>
      <c r="I206">
        <v>0</v>
      </c>
      <c r="J206">
        <v>0</v>
      </c>
      <c r="K206">
        <v>0</v>
      </c>
      <c r="L206">
        <v>1</v>
      </c>
      <c r="M206">
        <v>0</v>
      </c>
      <c r="N206" t="s">
        <v>195</v>
      </c>
      <c r="O206" t="s">
        <v>213</v>
      </c>
      <c r="P206" t="s">
        <v>206</v>
      </c>
      <c r="Q206" t="s">
        <v>170</v>
      </c>
      <c r="R206" t="s">
        <v>155</v>
      </c>
      <c r="T206" t="s">
        <v>134</v>
      </c>
      <c r="U206">
        <v>1</v>
      </c>
      <c r="W206" t="s">
        <v>134</v>
      </c>
      <c r="X206">
        <v>1</v>
      </c>
      <c r="Y206" t="s">
        <v>139</v>
      </c>
      <c r="Z206" t="s">
        <v>181</v>
      </c>
      <c r="AA206" t="s">
        <v>149</v>
      </c>
      <c r="AB206" t="s">
        <v>162</v>
      </c>
      <c r="AC206" t="s">
        <v>174</v>
      </c>
      <c r="AD206" t="s">
        <v>156</v>
      </c>
      <c r="AE206" t="s">
        <v>120</v>
      </c>
      <c r="AF206" t="s">
        <v>723</v>
      </c>
    </row>
    <row r="207" spans="1:32">
      <c r="A207" t="s">
        <v>724</v>
      </c>
      <c r="B207" s="37">
        <v>40063</v>
      </c>
      <c r="C207" s="38">
        <v>40063</v>
      </c>
      <c r="D207" s="38">
        <v>40063</v>
      </c>
      <c r="E207" s="38">
        <v>40057</v>
      </c>
      <c r="F207" s="39">
        <v>158</v>
      </c>
      <c r="G207" t="s">
        <v>9</v>
      </c>
      <c r="H207" t="s">
        <v>9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544</v>
      </c>
      <c r="O207" t="s">
        <v>213</v>
      </c>
      <c r="P207" t="s">
        <v>545</v>
      </c>
      <c r="Q207" t="s">
        <v>170</v>
      </c>
      <c r="R207" t="s">
        <v>155</v>
      </c>
      <c r="S207">
        <v>5</v>
      </c>
      <c r="T207" t="s">
        <v>135</v>
      </c>
      <c r="U207">
        <v>0</v>
      </c>
      <c r="V207">
        <v>3</v>
      </c>
      <c r="W207" t="s">
        <v>137</v>
      </c>
      <c r="X207">
        <v>0</v>
      </c>
      <c r="Y207" t="s">
        <v>139</v>
      </c>
      <c r="Z207" t="s">
        <v>181</v>
      </c>
      <c r="AA207" t="s">
        <v>145</v>
      </c>
      <c r="AB207" t="s">
        <v>163</v>
      </c>
      <c r="AC207" t="s">
        <v>173</v>
      </c>
      <c r="AD207" t="s">
        <v>155</v>
      </c>
      <c r="AE207" t="s">
        <v>125</v>
      </c>
      <c r="AF207" t="s">
        <v>21</v>
      </c>
    </row>
    <row r="208" spans="1:32">
      <c r="A208" t="s">
        <v>725</v>
      </c>
      <c r="B208" s="37">
        <v>39930</v>
      </c>
      <c r="C208" s="38">
        <v>39930</v>
      </c>
      <c r="D208" s="38">
        <v>39930</v>
      </c>
      <c r="E208" s="38">
        <v>39904</v>
      </c>
      <c r="F208" s="39">
        <v>25</v>
      </c>
      <c r="G208" t="s">
        <v>21</v>
      </c>
      <c r="H208" t="s">
        <v>21</v>
      </c>
      <c r="I208">
        <v>0</v>
      </c>
      <c r="J208">
        <v>0</v>
      </c>
      <c r="K208">
        <v>0</v>
      </c>
      <c r="L208">
        <v>1</v>
      </c>
      <c r="M208">
        <v>0</v>
      </c>
      <c r="N208" t="s">
        <v>200</v>
      </c>
      <c r="O208" t="s">
        <v>214</v>
      </c>
      <c r="P208" t="s">
        <v>208</v>
      </c>
      <c r="Q208" t="s">
        <v>170</v>
      </c>
      <c r="R208" t="s">
        <v>155</v>
      </c>
      <c r="T208" t="s">
        <v>134</v>
      </c>
      <c r="U208">
        <v>1</v>
      </c>
      <c r="W208" t="s">
        <v>134</v>
      </c>
      <c r="X208">
        <v>1</v>
      </c>
      <c r="Y208" t="s">
        <v>139</v>
      </c>
      <c r="Z208" t="s">
        <v>186</v>
      </c>
      <c r="AA208" t="s">
        <v>142</v>
      </c>
      <c r="AB208" t="s">
        <v>162</v>
      </c>
      <c r="AC208" t="s">
        <v>174</v>
      </c>
      <c r="AD208" t="s">
        <v>160</v>
      </c>
      <c r="AE208" t="s">
        <v>726</v>
      </c>
      <c r="AF208" t="s">
        <v>727</v>
      </c>
    </row>
    <row r="209" spans="1:32">
      <c r="A209" t="s">
        <v>728</v>
      </c>
      <c r="B209" s="37">
        <v>40069</v>
      </c>
      <c r="C209" s="38">
        <v>40069</v>
      </c>
      <c r="D209" s="38">
        <v>40063</v>
      </c>
      <c r="E209" s="38">
        <v>40057</v>
      </c>
      <c r="F209" s="39">
        <v>164</v>
      </c>
      <c r="G209" t="s">
        <v>21</v>
      </c>
      <c r="H209" t="s">
        <v>21</v>
      </c>
      <c r="I209">
        <v>0</v>
      </c>
      <c r="J209">
        <v>0</v>
      </c>
      <c r="K209">
        <v>0</v>
      </c>
      <c r="L209">
        <v>1</v>
      </c>
      <c r="M209">
        <v>0</v>
      </c>
      <c r="N209" t="s">
        <v>195</v>
      </c>
      <c r="O209" t="s">
        <v>213</v>
      </c>
      <c r="P209" t="s">
        <v>206</v>
      </c>
      <c r="Q209" t="s">
        <v>170</v>
      </c>
      <c r="R209" t="s">
        <v>155</v>
      </c>
      <c r="S209">
        <v>5</v>
      </c>
      <c r="T209" t="s">
        <v>135</v>
      </c>
      <c r="U209">
        <v>0</v>
      </c>
      <c r="V209">
        <v>5</v>
      </c>
      <c r="W209" t="s">
        <v>135</v>
      </c>
      <c r="X209">
        <v>0</v>
      </c>
      <c r="Y209" t="s">
        <v>139</v>
      </c>
      <c r="Z209" t="s">
        <v>186</v>
      </c>
      <c r="AA209" t="s">
        <v>144</v>
      </c>
      <c r="AB209" t="s">
        <v>162</v>
      </c>
      <c r="AC209" t="s">
        <v>21</v>
      </c>
      <c r="AD209" t="s">
        <v>155</v>
      </c>
      <c r="AE209" t="s">
        <v>454</v>
      </c>
      <c r="AF209" t="s">
        <v>21</v>
      </c>
    </row>
    <row r="210" spans="1:32">
      <c r="A210" t="s">
        <v>729</v>
      </c>
      <c r="B210" s="37">
        <v>39925</v>
      </c>
      <c r="C210" s="38">
        <v>39925</v>
      </c>
      <c r="D210" s="38">
        <v>39923</v>
      </c>
      <c r="E210" s="38">
        <v>39904</v>
      </c>
      <c r="F210" s="39">
        <v>20</v>
      </c>
      <c r="G210" t="s">
        <v>9</v>
      </c>
      <c r="H210" t="s">
        <v>9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193</v>
      </c>
      <c r="O210" t="s">
        <v>213</v>
      </c>
      <c r="P210" t="s">
        <v>204</v>
      </c>
      <c r="Q210" t="s">
        <v>170</v>
      </c>
      <c r="R210" t="s">
        <v>155</v>
      </c>
      <c r="T210" t="s">
        <v>134</v>
      </c>
      <c r="U210">
        <v>1</v>
      </c>
      <c r="W210" t="s">
        <v>134</v>
      </c>
      <c r="X210">
        <v>1</v>
      </c>
      <c r="Y210" t="s">
        <v>140</v>
      </c>
      <c r="Z210" t="s">
        <v>183</v>
      </c>
      <c r="AA210" t="s">
        <v>149</v>
      </c>
      <c r="AB210" t="s">
        <v>163</v>
      </c>
      <c r="AC210" t="s">
        <v>173</v>
      </c>
      <c r="AD210" t="s">
        <v>155</v>
      </c>
      <c r="AE210" t="s">
        <v>484</v>
      </c>
      <c r="AF210" t="s">
        <v>21</v>
      </c>
    </row>
    <row r="211" spans="1:32">
      <c r="A211" t="s">
        <v>730</v>
      </c>
      <c r="B211" s="37">
        <v>39914</v>
      </c>
      <c r="C211" s="38">
        <v>39914</v>
      </c>
      <c r="D211" s="38">
        <v>39909</v>
      </c>
      <c r="E211" s="38">
        <v>39904</v>
      </c>
      <c r="F211" s="39">
        <v>9</v>
      </c>
      <c r="G211" t="s">
        <v>380</v>
      </c>
      <c r="H211" t="s">
        <v>17</v>
      </c>
      <c r="I211">
        <v>0</v>
      </c>
      <c r="J211">
        <v>0</v>
      </c>
      <c r="K211">
        <v>1</v>
      </c>
      <c r="L211">
        <v>0</v>
      </c>
      <c r="M211">
        <v>0</v>
      </c>
      <c r="N211" t="s">
        <v>201</v>
      </c>
      <c r="O211" t="s">
        <v>214</v>
      </c>
      <c r="P211" t="s">
        <v>204</v>
      </c>
      <c r="Q211" t="s">
        <v>170</v>
      </c>
      <c r="R211" t="s">
        <v>155</v>
      </c>
      <c r="T211" t="s">
        <v>134</v>
      </c>
      <c r="U211">
        <v>1</v>
      </c>
      <c r="W211" t="s">
        <v>134</v>
      </c>
      <c r="X211">
        <v>1</v>
      </c>
      <c r="Y211" t="s">
        <v>140</v>
      </c>
      <c r="Z211" t="s">
        <v>537</v>
      </c>
      <c r="AA211" t="s">
        <v>142</v>
      </c>
      <c r="AB211" t="s">
        <v>162</v>
      </c>
      <c r="AC211" t="s">
        <v>174</v>
      </c>
      <c r="AD211" t="s">
        <v>160</v>
      </c>
      <c r="AE211" t="s">
        <v>392</v>
      </c>
      <c r="AF211" t="s">
        <v>393</v>
      </c>
    </row>
    <row r="212" spans="1:32">
      <c r="A212" t="s">
        <v>731</v>
      </c>
      <c r="B212" s="37">
        <v>40069</v>
      </c>
      <c r="C212" s="38">
        <v>40069</v>
      </c>
      <c r="D212" s="38">
        <v>40063</v>
      </c>
      <c r="E212" s="38">
        <v>40057</v>
      </c>
      <c r="F212" s="39">
        <v>164</v>
      </c>
      <c r="G212" t="s">
        <v>21</v>
      </c>
      <c r="H212" t="s">
        <v>21</v>
      </c>
      <c r="I212">
        <v>0</v>
      </c>
      <c r="J212">
        <v>0</v>
      </c>
      <c r="K212">
        <v>0</v>
      </c>
      <c r="L212">
        <v>1</v>
      </c>
      <c r="M212">
        <v>0</v>
      </c>
      <c r="N212" t="s">
        <v>193</v>
      </c>
      <c r="O212" t="s">
        <v>213</v>
      </c>
      <c r="P212" t="s">
        <v>204</v>
      </c>
      <c r="Q212" t="s">
        <v>170</v>
      </c>
      <c r="R212" t="s">
        <v>155</v>
      </c>
      <c r="S212">
        <v>5</v>
      </c>
      <c r="T212" t="s">
        <v>135</v>
      </c>
      <c r="U212">
        <v>0</v>
      </c>
      <c r="V212">
        <v>5</v>
      </c>
      <c r="W212" t="s">
        <v>135</v>
      </c>
      <c r="X212">
        <v>0</v>
      </c>
      <c r="Y212" t="s">
        <v>140</v>
      </c>
      <c r="Z212" t="s">
        <v>186</v>
      </c>
      <c r="AA212" t="s">
        <v>149</v>
      </c>
      <c r="AB212" t="s">
        <v>162</v>
      </c>
      <c r="AC212" t="s">
        <v>732</v>
      </c>
      <c r="AD212" t="s">
        <v>159</v>
      </c>
      <c r="AE212" t="s">
        <v>123</v>
      </c>
      <c r="AF212" t="s">
        <v>123</v>
      </c>
    </row>
    <row r="213" spans="1:32">
      <c r="A213" t="s">
        <v>733</v>
      </c>
      <c r="B213" s="37">
        <v>39972</v>
      </c>
      <c r="C213" s="38">
        <v>39972</v>
      </c>
      <c r="D213" s="38">
        <v>39972</v>
      </c>
      <c r="E213" s="38">
        <v>39965</v>
      </c>
      <c r="F213" s="39">
        <v>67</v>
      </c>
      <c r="G213" t="s">
        <v>21</v>
      </c>
      <c r="H213" t="s">
        <v>21</v>
      </c>
      <c r="I213">
        <v>0</v>
      </c>
      <c r="J213">
        <v>0</v>
      </c>
      <c r="K213">
        <v>0</v>
      </c>
      <c r="L213">
        <v>1</v>
      </c>
      <c r="M213">
        <v>0</v>
      </c>
      <c r="N213" t="s">
        <v>193</v>
      </c>
      <c r="O213" t="s">
        <v>213</v>
      </c>
      <c r="P213" t="s">
        <v>204</v>
      </c>
      <c r="Q213" t="s">
        <v>170</v>
      </c>
      <c r="R213" t="s">
        <v>155</v>
      </c>
      <c r="T213" t="s">
        <v>134</v>
      </c>
      <c r="U213">
        <v>1</v>
      </c>
      <c r="W213" t="s">
        <v>134</v>
      </c>
      <c r="X213">
        <v>1</v>
      </c>
      <c r="Y213" t="s">
        <v>140</v>
      </c>
      <c r="Z213" t="s">
        <v>186</v>
      </c>
      <c r="AA213" t="s">
        <v>148</v>
      </c>
      <c r="AB213" t="s">
        <v>163</v>
      </c>
      <c r="AC213" t="s">
        <v>173</v>
      </c>
      <c r="AD213" t="s">
        <v>155</v>
      </c>
      <c r="AE213" t="s">
        <v>734</v>
      </c>
      <c r="AF213" t="s">
        <v>21</v>
      </c>
    </row>
    <row r="214" spans="1:32">
      <c r="A214" t="s">
        <v>735</v>
      </c>
      <c r="B214" s="37">
        <v>39975</v>
      </c>
      <c r="C214" s="38">
        <v>39975</v>
      </c>
      <c r="D214" s="38">
        <v>39972</v>
      </c>
      <c r="E214" s="38">
        <v>39965</v>
      </c>
      <c r="F214" s="39">
        <v>70</v>
      </c>
      <c r="G214" t="s">
        <v>21</v>
      </c>
      <c r="H214" t="s">
        <v>21</v>
      </c>
      <c r="I214">
        <v>0</v>
      </c>
      <c r="J214">
        <v>0</v>
      </c>
      <c r="K214">
        <v>0</v>
      </c>
      <c r="L214">
        <v>1</v>
      </c>
      <c r="M214">
        <v>0</v>
      </c>
      <c r="N214" t="s">
        <v>193</v>
      </c>
      <c r="O214" t="s">
        <v>213</v>
      </c>
      <c r="P214" t="s">
        <v>204</v>
      </c>
      <c r="Q214" t="s">
        <v>170</v>
      </c>
      <c r="R214" t="s">
        <v>155</v>
      </c>
      <c r="T214" t="s">
        <v>134</v>
      </c>
      <c r="U214">
        <v>1</v>
      </c>
      <c r="W214" t="s">
        <v>134</v>
      </c>
      <c r="X214">
        <v>1</v>
      </c>
      <c r="Y214" t="s">
        <v>140</v>
      </c>
      <c r="Z214" t="s">
        <v>186</v>
      </c>
      <c r="AA214" t="s">
        <v>146</v>
      </c>
      <c r="AB214" t="s">
        <v>162</v>
      </c>
      <c r="AC214" t="s">
        <v>175</v>
      </c>
      <c r="AD214" t="s">
        <v>155</v>
      </c>
      <c r="AE214" t="s">
        <v>129</v>
      </c>
      <c r="AF214" t="s">
        <v>21</v>
      </c>
    </row>
    <row r="215" spans="1:32">
      <c r="A215" t="s">
        <v>736</v>
      </c>
      <c r="B215" s="37">
        <v>39913</v>
      </c>
      <c r="C215" s="38">
        <v>39913</v>
      </c>
      <c r="D215" s="38">
        <v>39909</v>
      </c>
      <c r="E215" s="38">
        <v>39904</v>
      </c>
      <c r="F215" s="39">
        <v>8</v>
      </c>
      <c r="G215" t="s">
        <v>21</v>
      </c>
      <c r="H215" t="s">
        <v>21</v>
      </c>
      <c r="I215">
        <v>0</v>
      </c>
      <c r="J215">
        <v>0</v>
      </c>
      <c r="K215">
        <v>0</v>
      </c>
      <c r="L215">
        <v>1</v>
      </c>
      <c r="M215">
        <v>0</v>
      </c>
      <c r="N215" t="s">
        <v>194</v>
      </c>
      <c r="O215" t="s">
        <v>213</v>
      </c>
      <c r="P215" t="s">
        <v>205</v>
      </c>
      <c r="Q215" t="s">
        <v>170</v>
      </c>
      <c r="R215" t="s">
        <v>155</v>
      </c>
      <c r="T215" t="s">
        <v>134</v>
      </c>
      <c r="U215">
        <v>1</v>
      </c>
      <c r="W215" t="s">
        <v>134</v>
      </c>
      <c r="X215">
        <v>1</v>
      </c>
      <c r="Y215" t="s">
        <v>139</v>
      </c>
      <c r="Z215" t="s">
        <v>180</v>
      </c>
      <c r="AA215" t="s">
        <v>147</v>
      </c>
      <c r="AB215" t="s">
        <v>163</v>
      </c>
      <c r="AC215" t="s">
        <v>173</v>
      </c>
      <c r="AD215" t="s">
        <v>155</v>
      </c>
      <c r="AE215" t="s">
        <v>124</v>
      </c>
      <c r="AF215" t="s">
        <v>21</v>
      </c>
    </row>
    <row r="216" spans="1:32">
      <c r="A216" t="s">
        <v>737</v>
      </c>
      <c r="B216" s="37">
        <v>40016</v>
      </c>
      <c r="C216" s="38">
        <v>40016</v>
      </c>
      <c r="D216" s="38">
        <v>40014</v>
      </c>
      <c r="E216" s="38">
        <v>39995</v>
      </c>
      <c r="F216" s="39">
        <v>111</v>
      </c>
      <c r="G216" t="s">
        <v>21</v>
      </c>
      <c r="H216" t="s">
        <v>21</v>
      </c>
      <c r="I216">
        <v>0</v>
      </c>
      <c r="J216">
        <v>0</v>
      </c>
      <c r="K216">
        <v>0</v>
      </c>
      <c r="L216">
        <v>1</v>
      </c>
      <c r="M216">
        <v>0</v>
      </c>
      <c r="N216" t="s">
        <v>193</v>
      </c>
      <c r="O216" t="s">
        <v>213</v>
      </c>
      <c r="P216" t="s">
        <v>204</v>
      </c>
      <c r="Q216" t="s">
        <v>170</v>
      </c>
      <c r="R216" t="s">
        <v>155</v>
      </c>
      <c r="S216">
        <v>5</v>
      </c>
      <c r="T216" t="s">
        <v>135</v>
      </c>
      <c r="U216">
        <v>0</v>
      </c>
      <c r="V216">
        <v>3</v>
      </c>
      <c r="W216" t="s">
        <v>137</v>
      </c>
      <c r="X216">
        <v>0</v>
      </c>
      <c r="Y216" t="s">
        <v>140</v>
      </c>
      <c r="Z216" t="s">
        <v>191</v>
      </c>
      <c r="AA216" t="s">
        <v>143</v>
      </c>
      <c r="AB216" t="s">
        <v>162</v>
      </c>
      <c r="AC216" t="s">
        <v>176</v>
      </c>
      <c r="AD216" t="s">
        <v>155</v>
      </c>
      <c r="AE216" t="s">
        <v>129</v>
      </c>
      <c r="AF216" t="s">
        <v>21</v>
      </c>
    </row>
    <row r="217" spans="1:32">
      <c r="A217" t="s">
        <v>738</v>
      </c>
      <c r="B217" s="37">
        <v>40011</v>
      </c>
      <c r="C217" s="38">
        <v>40011</v>
      </c>
      <c r="D217" s="38">
        <v>40007</v>
      </c>
      <c r="E217" s="38">
        <v>39995</v>
      </c>
      <c r="F217" s="39">
        <v>106</v>
      </c>
      <c r="G217" t="s">
        <v>21</v>
      </c>
      <c r="H217" t="s">
        <v>21</v>
      </c>
      <c r="I217">
        <v>0</v>
      </c>
      <c r="J217">
        <v>0</v>
      </c>
      <c r="K217">
        <v>0</v>
      </c>
      <c r="L217">
        <v>1</v>
      </c>
      <c r="M217">
        <v>0</v>
      </c>
      <c r="N217" t="s">
        <v>194</v>
      </c>
      <c r="O217" t="s">
        <v>213</v>
      </c>
      <c r="P217" t="s">
        <v>205</v>
      </c>
      <c r="Q217" t="s">
        <v>170</v>
      </c>
      <c r="R217" t="s">
        <v>155</v>
      </c>
      <c r="S217">
        <v>5</v>
      </c>
      <c r="T217" t="s">
        <v>135</v>
      </c>
      <c r="U217">
        <v>0</v>
      </c>
      <c r="V217">
        <v>3</v>
      </c>
      <c r="W217" t="s">
        <v>137</v>
      </c>
      <c r="X217">
        <v>0</v>
      </c>
      <c r="Y217" t="s">
        <v>139</v>
      </c>
      <c r="Z217" t="s">
        <v>186</v>
      </c>
      <c r="AA217" t="s">
        <v>146</v>
      </c>
      <c r="AB217" t="s">
        <v>162</v>
      </c>
      <c r="AC217" t="s">
        <v>174</v>
      </c>
      <c r="AD217" t="s">
        <v>156</v>
      </c>
      <c r="AE217" t="s">
        <v>120</v>
      </c>
      <c r="AF217" t="s">
        <v>425</v>
      </c>
    </row>
    <row r="218" spans="1:32">
      <c r="A218" t="s">
        <v>739</v>
      </c>
      <c r="B218" s="37">
        <v>40020</v>
      </c>
      <c r="C218" s="38">
        <v>40020</v>
      </c>
      <c r="D218" s="38">
        <v>40014</v>
      </c>
      <c r="E218" s="38">
        <v>39995</v>
      </c>
      <c r="F218" s="39">
        <v>115</v>
      </c>
      <c r="G218" t="s">
        <v>21</v>
      </c>
      <c r="H218" t="s">
        <v>21</v>
      </c>
      <c r="I218">
        <v>0</v>
      </c>
      <c r="J218">
        <v>0</v>
      </c>
      <c r="K218">
        <v>0</v>
      </c>
      <c r="L218">
        <v>1</v>
      </c>
      <c r="M218">
        <v>0</v>
      </c>
      <c r="N218" t="s">
        <v>193</v>
      </c>
      <c r="O218" t="s">
        <v>213</v>
      </c>
      <c r="P218" t="s">
        <v>204</v>
      </c>
      <c r="Q218" t="s">
        <v>170</v>
      </c>
      <c r="R218" t="s">
        <v>155</v>
      </c>
      <c r="S218">
        <v>5</v>
      </c>
      <c r="T218" t="s">
        <v>135</v>
      </c>
      <c r="U218">
        <v>0</v>
      </c>
      <c r="V218">
        <v>3</v>
      </c>
      <c r="W218" t="s">
        <v>137</v>
      </c>
      <c r="X218">
        <v>0</v>
      </c>
      <c r="Y218" t="s">
        <v>140</v>
      </c>
      <c r="Z218" t="s">
        <v>183</v>
      </c>
      <c r="AA218" t="s">
        <v>144</v>
      </c>
      <c r="AB218" t="s">
        <v>163</v>
      </c>
      <c r="AC218" t="s">
        <v>173</v>
      </c>
      <c r="AD218" t="s">
        <v>155</v>
      </c>
      <c r="AE218" t="s">
        <v>124</v>
      </c>
      <c r="AF218" t="s">
        <v>21</v>
      </c>
    </row>
    <row r="219" spans="1:32">
      <c r="A219" t="s">
        <v>740</v>
      </c>
      <c r="B219" s="37">
        <v>39930</v>
      </c>
      <c r="C219" s="38">
        <v>39930</v>
      </c>
      <c r="D219" s="38">
        <v>39930</v>
      </c>
      <c r="E219" s="38">
        <v>39904</v>
      </c>
      <c r="F219" s="39">
        <v>25</v>
      </c>
      <c r="G219" t="s">
        <v>21</v>
      </c>
      <c r="H219" t="s">
        <v>21</v>
      </c>
      <c r="I219">
        <v>0</v>
      </c>
      <c r="J219">
        <v>0</v>
      </c>
      <c r="K219">
        <v>0</v>
      </c>
      <c r="L219">
        <v>1</v>
      </c>
      <c r="M219">
        <v>0</v>
      </c>
      <c r="N219" t="s">
        <v>199</v>
      </c>
      <c r="O219" t="s">
        <v>213</v>
      </c>
      <c r="P219" t="s">
        <v>210</v>
      </c>
      <c r="Q219" t="s">
        <v>170</v>
      </c>
      <c r="R219" t="s">
        <v>155</v>
      </c>
      <c r="T219" t="s">
        <v>134</v>
      </c>
      <c r="U219">
        <v>1</v>
      </c>
      <c r="W219" t="s">
        <v>134</v>
      </c>
      <c r="X219">
        <v>1</v>
      </c>
      <c r="Y219" t="s">
        <v>139</v>
      </c>
      <c r="Z219" t="s">
        <v>183</v>
      </c>
      <c r="AA219" t="s">
        <v>151</v>
      </c>
      <c r="AB219" t="s">
        <v>162</v>
      </c>
      <c r="AC219" t="s">
        <v>174</v>
      </c>
      <c r="AD219" t="s">
        <v>156</v>
      </c>
      <c r="AE219" t="s">
        <v>120</v>
      </c>
      <c r="AF219" t="s">
        <v>741</v>
      </c>
    </row>
    <row r="220" spans="1:32">
      <c r="A220" t="s">
        <v>742</v>
      </c>
      <c r="B220" s="37">
        <v>39974</v>
      </c>
      <c r="C220" s="38">
        <v>39974</v>
      </c>
      <c r="D220" s="38">
        <v>39972</v>
      </c>
      <c r="E220" s="38">
        <v>39965</v>
      </c>
      <c r="F220" s="39">
        <v>69</v>
      </c>
      <c r="G220" t="s">
        <v>21</v>
      </c>
      <c r="H220" t="s">
        <v>21</v>
      </c>
      <c r="I220">
        <v>0</v>
      </c>
      <c r="J220">
        <v>0</v>
      </c>
      <c r="K220">
        <v>0</v>
      </c>
      <c r="L220">
        <v>1</v>
      </c>
      <c r="M220">
        <v>0</v>
      </c>
      <c r="N220" t="s">
        <v>194</v>
      </c>
      <c r="O220" t="s">
        <v>213</v>
      </c>
      <c r="P220" t="s">
        <v>205</v>
      </c>
      <c r="Q220" t="s">
        <v>170</v>
      </c>
      <c r="R220" t="s">
        <v>155</v>
      </c>
      <c r="T220" t="s">
        <v>134</v>
      </c>
      <c r="U220">
        <v>1</v>
      </c>
      <c r="W220" t="s">
        <v>134</v>
      </c>
      <c r="X220">
        <v>1</v>
      </c>
      <c r="Y220" t="s">
        <v>139</v>
      </c>
      <c r="Z220" t="s">
        <v>183</v>
      </c>
      <c r="AA220" t="s">
        <v>148</v>
      </c>
      <c r="AB220" t="s">
        <v>163</v>
      </c>
      <c r="AC220" t="s">
        <v>173</v>
      </c>
      <c r="AD220" t="s">
        <v>155</v>
      </c>
      <c r="AE220" t="s">
        <v>692</v>
      </c>
      <c r="AF220" t="s">
        <v>21</v>
      </c>
    </row>
    <row r="221" spans="1:32">
      <c r="A221" t="s">
        <v>743</v>
      </c>
      <c r="B221" s="37">
        <v>39972</v>
      </c>
      <c r="C221" s="38">
        <v>39972</v>
      </c>
      <c r="D221" s="38">
        <v>39972</v>
      </c>
      <c r="E221" s="38">
        <v>39965</v>
      </c>
      <c r="F221" s="39">
        <v>67</v>
      </c>
      <c r="G221" t="s">
        <v>21</v>
      </c>
      <c r="H221" t="s">
        <v>21</v>
      </c>
      <c r="I221">
        <v>0</v>
      </c>
      <c r="J221">
        <v>0</v>
      </c>
      <c r="K221">
        <v>0</v>
      </c>
      <c r="L221">
        <v>1</v>
      </c>
      <c r="M221">
        <v>0</v>
      </c>
      <c r="N221" t="s">
        <v>194</v>
      </c>
      <c r="O221" t="s">
        <v>213</v>
      </c>
      <c r="P221" t="s">
        <v>205</v>
      </c>
      <c r="Q221" t="s">
        <v>170</v>
      </c>
      <c r="R221" t="s">
        <v>155</v>
      </c>
      <c r="T221" t="s">
        <v>134</v>
      </c>
      <c r="U221">
        <v>1</v>
      </c>
      <c r="W221" t="s">
        <v>134</v>
      </c>
      <c r="X221">
        <v>1</v>
      </c>
      <c r="Y221" t="s">
        <v>139</v>
      </c>
      <c r="Z221" t="s">
        <v>180</v>
      </c>
      <c r="AA221" t="s">
        <v>144</v>
      </c>
      <c r="AB221" t="s">
        <v>162</v>
      </c>
      <c r="AC221" t="s">
        <v>175</v>
      </c>
      <c r="AD221" t="s">
        <v>159</v>
      </c>
      <c r="AE221" t="s">
        <v>126</v>
      </c>
      <c r="AF221" t="s">
        <v>601</v>
      </c>
    </row>
    <row r="222" spans="1:32">
      <c r="A222" t="s">
        <v>744</v>
      </c>
      <c r="B222" s="37">
        <v>40042</v>
      </c>
      <c r="C222" s="38">
        <v>40042</v>
      </c>
      <c r="D222" s="38">
        <v>40042</v>
      </c>
      <c r="E222" s="38">
        <v>40026</v>
      </c>
      <c r="F222" s="39">
        <v>137</v>
      </c>
      <c r="G222" t="s">
        <v>21</v>
      </c>
      <c r="H222" t="s">
        <v>21</v>
      </c>
      <c r="I222">
        <v>0</v>
      </c>
      <c r="J222">
        <v>0</v>
      </c>
      <c r="K222">
        <v>0</v>
      </c>
      <c r="L222">
        <v>1</v>
      </c>
      <c r="M222">
        <v>0</v>
      </c>
      <c r="N222" t="s">
        <v>193</v>
      </c>
      <c r="O222" t="s">
        <v>213</v>
      </c>
      <c r="P222" t="s">
        <v>204</v>
      </c>
      <c r="Q222" t="s">
        <v>170</v>
      </c>
      <c r="R222" t="s">
        <v>155</v>
      </c>
      <c r="S222">
        <v>1</v>
      </c>
      <c r="T222" t="s">
        <v>136</v>
      </c>
      <c r="U222">
        <v>0</v>
      </c>
      <c r="V222">
        <v>3</v>
      </c>
      <c r="W222" t="s">
        <v>137</v>
      </c>
      <c r="X222">
        <v>0</v>
      </c>
      <c r="Y222" t="s">
        <v>140</v>
      </c>
      <c r="Z222" t="s">
        <v>181</v>
      </c>
      <c r="AA222" t="s">
        <v>149</v>
      </c>
      <c r="AB222" t="s">
        <v>163</v>
      </c>
      <c r="AC222" t="s">
        <v>745</v>
      </c>
      <c r="AD222" t="s">
        <v>155</v>
      </c>
      <c r="AE222" t="s">
        <v>746</v>
      </c>
      <c r="AF222" t="s">
        <v>21</v>
      </c>
    </row>
    <row r="223" spans="1:32">
      <c r="A223" t="s">
        <v>747</v>
      </c>
      <c r="B223" s="37">
        <v>40052</v>
      </c>
      <c r="C223" s="38">
        <v>40052</v>
      </c>
      <c r="D223" s="38">
        <v>40049</v>
      </c>
      <c r="E223" s="38">
        <v>40026</v>
      </c>
      <c r="F223" s="39">
        <v>147</v>
      </c>
      <c r="G223" t="s">
        <v>9</v>
      </c>
      <c r="H223" t="s">
        <v>9</v>
      </c>
      <c r="I223">
        <v>1</v>
      </c>
      <c r="J223">
        <v>0</v>
      </c>
      <c r="K223">
        <v>0</v>
      </c>
      <c r="L223">
        <v>0</v>
      </c>
      <c r="M223">
        <v>1</v>
      </c>
      <c r="N223" t="s">
        <v>193</v>
      </c>
      <c r="O223" t="s">
        <v>213</v>
      </c>
      <c r="P223" t="s">
        <v>204</v>
      </c>
      <c r="Q223" t="s">
        <v>170</v>
      </c>
      <c r="R223" t="s">
        <v>155</v>
      </c>
      <c r="S223">
        <v>5</v>
      </c>
      <c r="T223" t="s">
        <v>135</v>
      </c>
      <c r="U223">
        <v>0</v>
      </c>
      <c r="V223">
        <v>5</v>
      </c>
      <c r="W223" t="s">
        <v>135</v>
      </c>
      <c r="X223">
        <v>0</v>
      </c>
      <c r="Y223" t="s">
        <v>140</v>
      </c>
      <c r="Z223" t="s">
        <v>181</v>
      </c>
      <c r="AA223" t="s">
        <v>148</v>
      </c>
      <c r="AB223" t="s">
        <v>162</v>
      </c>
      <c r="AC223" t="s">
        <v>174</v>
      </c>
      <c r="AD223" t="s">
        <v>156</v>
      </c>
      <c r="AE223" t="s">
        <v>120</v>
      </c>
      <c r="AF223" t="s">
        <v>748</v>
      </c>
    </row>
    <row r="224" spans="1:32">
      <c r="A224" t="s">
        <v>749</v>
      </c>
      <c r="B224" s="37">
        <v>39957</v>
      </c>
      <c r="C224" s="38">
        <v>39957</v>
      </c>
      <c r="D224" s="38">
        <v>39951</v>
      </c>
      <c r="E224" s="38">
        <v>39934</v>
      </c>
      <c r="F224" s="39">
        <v>52</v>
      </c>
      <c r="G224" t="s">
        <v>21</v>
      </c>
      <c r="H224" t="s">
        <v>21</v>
      </c>
      <c r="I224">
        <v>0</v>
      </c>
      <c r="J224">
        <v>0</v>
      </c>
      <c r="K224">
        <v>0</v>
      </c>
      <c r="L224">
        <v>1</v>
      </c>
      <c r="M224">
        <v>0</v>
      </c>
      <c r="N224" t="s">
        <v>194</v>
      </c>
      <c r="O224" t="s">
        <v>213</v>
      </c>
      <c r="P224" t="s">
        <v>205</v>
      </c>
      <c r="Q224" t="s">
        <v>170</v>
      </c>
      <c r="R224" t="s">
        <v>155</v>
      </c>
      <c r="T224" t="s">
        <v>134</v>
      </c>
      <c r="U224">
        <v>1</v>
      </c>
      <c r="W224" t="s">
        <v>134</v>
      </c>
      <c r="X224">
        <v>1</v>
      </c>
      <c r="Y224" t="s">
        <v>139</v>
      </c>
      <c r="Z224" t="s">
        <v>184</v>
      </c>
      <c r="AA224" t="s">
        <v>148</v>
      </c>
      <c r="AB224" t="s">
        <v>162</v>
      </c>
      <c r="AC224" t="s">
        <v>176</v>
      </c>
      <c r="AD224" t="s">
        <v>155</v>
      </c>
      <c r="AE224" t="s">
        <v>130</v>
      </c>
      <c r="AF224" t="s">
        <v>21</v>
      </c>
    </row>
    <row r="225" spans="1:32">
      <c r="A225" t="s">
        <v>750</v>
      </c>
      <c r="B225" s="37">
        <v>40026</v>
      </c>
      <c r="C225" s="38">
        <v>40026</v>
      </c>
      <c r="D225" s="38">
        <v>40021</v>
      </c>
      <c r="E225" s="38">
        <v>40026</v>
      </c>
      <c r="F225" s="39">
        <v>121</v>
      </c>
      <c r="G225" t="s">
        <v>21</v>
      </c>
      <c r="H225" t="s">
        <v>21</v>
      </c>
      <c r="I225">
        <v>0</v>
      </c>
      <c r="J225">
        <v>0</v>
      </c>
      <c r="K225">
        <v>0</v>
      </c>
      <c r="L225">
        <v>1</v>
      </c>
      <c r="M225">
        <v>0</v>
      </c>
      <c r="N225" t="s">
        <v>197</v>
      </c>
      <c r="O225" t="s">
        <v>213</v>
      </c>
      <c r="P225" t="s">
        <v>209</v>
      </c>
      <c r="Q225" t="s">
        <v>170</v>
      </c>
      <c r="R225" t="s">
        <v>155</v>
      </c>
      <c r="S225">
        <v>5</v>
      </c>
      <c r="T225" t="s">
        <v>135</v>
      </c>
      <c r="U225">
        <v>0</v>
      </c>
      <c r="V225">
        <v>5</v>
      </c>
      <c r="W225" t="s">
        <v>135</v>
      </c>
      <c r="X225">
        <v>0</v>
      </c>
      <c r="Y225" t="s">
        <v>139</v>
      </c>
      <c r="Z225" t="s">
        <v>186</v>
      </c>
      <c r="AA225" t="s">
        <v>142</v>
      </c>
      <c r="AB225" t="s">
        <v>163</v>
      </c>
      <c r="AC225" t="s">
        <v>173</v>
      </c>
      <c r="AD225" t="s">
        <v>155</v>
      </c>
      <c r="AE225" t="s">
        <v>751</v>
      </c>
      <c r="AF225" t="s">
        <v>21</v>
      </c>
    </row>
    <row r="226" spans="1:32">
      <c r="A226" t="s">
        <v>752</v>
      </c>
      <c r="B226" s="37">
        <v>40026</v>
      </c>
      <c r="C226" s="38">
        <v>40026</v>
      </c>
      <c r="D226" s="38">
        <v>40021</v>
      </c>
      <c r="E226" s="38">
        <v>40026</v>
      </c>
      <c r="F226" s="39">
        <v>121</v>
      </c>
      <c r="G226" t="s">
        <v>21</v>
      </c>
      <c r="H226" t="s">
        <v>21</v>
      </c>
      <c r="I226">
        <v>0</v>
      </c>
      <c r="J226">
        <v>0</v>
      </c>
      <c r="K226">
        <v>0</v>
      </c>
      <c r="L226">
        <v>1</v>
      </c>
      <c r="M226">
        <v>0</v>
      </c>
      <c r="N226" t="s">
        <v>197</v>
      </c>
      <c r="O226" t="s">
        <v>213</v>
      </c>
      <c r="P226" t="s">
        <v>209</v>
      </c>
      <c r="Q226" t="s">
        <v>170</v>
      </c>
      <c r="R226" t="s">
        <v>155</v>
      </c>
      <c r="S226">
        <v>5</v>
      </c>
      <c r="T226" t="s">
        <v>135</v>
      </c>
      <c r="U226">
        <v>0</v>
      </c>
      <c r="V226">
        <v>4</v>
      </c>
      <c r="W226" t="s">
        <v>137</v>
      </c>
      <c r="X226">
        <v>0</v>
      </c>
      <c r="Y226" t="s">
        <v>139</v>
      </c>
      <c r="Z226" t="s">
        <v>186</v>
      </c>
      <c r="AA226" t="s">
        <v>144</v>
      </c>
      <c r="AB226" t="s">
        <v>162</v>
      </c>
      <c r="AC226" t="s">
        <v>175</v>
      </c>
      <c r="AD226" t="s">
        <v>155</v>
      </c>
      <c r="AE226" t="s">
        <v>129</v>
      </c>
      <c r="AF226" t="s">
        <v>21</v>
      </c>
    </row>
    <row r="227" spans="1:32">
      <c r="A227" t="s">
        <v>753</v>
      </c>
      <c r="B227" s="37">
        <v>40030</v>
      </c>
      <c r="C227" s="38">
        <v>40030</v>
      </c>
      <c r="D227" s="38">
        <v>40028</v>
      </c>
      <c r="E227" s="38">
        <v>40026</v>
      </c>
      <c r="F227" s="39">
        <v>125</v>
      </c>
      <c r="G227" t="s">
        <v>496</v>
      </c>
      <c r="H227" t="s">
        <v>13</v>
      </c>
      <c r="I227">
        <v>0</v>
      </c>
      <c r="J227">
        <v>1</v>
      </c>
      <c r="K227">
        <v>0</v>
      </c>
      <c r="L227">
        <v>0</v>
      </c>
      <c r="M227">
        <v>1</v>
      </c>
      <c r="N227" t="s">
        <v>193</v>
      </c>
      <c r="O227" t="s">
        <v>213</v>
      </c>
      <c r="P227" t="s">
        <v>204</v>
      </c>
      <c r="Q227" t="s">
        <v>170</v>
      </c>
      <c r="R227" t="s">
        <v>155</v>
      </c>
      <c r="S227">
        <v>5</v>
      </c>
      <c r="T227" t="s">
        <v>135</v>
      </c>
      <c r="U227">
        <v>0</v>
      </c>
      <c r="V227">
        <v>4</v>
      </c>
      <c r="W227" t="s">
        <v>137</v>
      </c>
      <c r="X227">
        <v>0</v>
      </c>
      <c r="Y227" t="s">
        <v>140</v>
      </c>
      <c r="Z227" t="s">
        <v>528</v>
      </c>
      <c r="AA227" t="s">
        <v>142</v>
      </c>
      <c r="AB227" t="s">
        <v>162</v>
      </c>
      <c r="AC227" t="s">
        <v>175</v>
      </c>
      <c r="AD227" t="s">
        <v>155</v>
      </c>
      <c r="AE227" t="s">
        <v>129</v>
      </c>
      <c r="AF227" t="s">
        <v>21</v>
      </c>
    </row>
    <row r="228" spans="1:32">
      <c r="A228" t="s">
        <v>754</v>
      </c>
      <c r="B228" s="37">
        <v>39933</v>
      </c>
      <c r="C228" s="38">
        <v>39933</v>
      </c>
      <c r="D228" s="38">
        <v>39930</v>
      </c>
      <c r="E228" s="38">
        <v>39904</v>
      </c>
      <c r="F228" s="39">
        <v>28</v>
      </c>
      <c r="G228" t="s">
        <v>21</v>
      </c>
      <c r="H228" t="s">
        <v>21</v>
      </c>
      <c r="I228">
        <v>0</v>
      </c>
      <c r="J228">
        <v>0</v>
      </c>
      <c r="K228">
        <v>0</v>
      </c>
      <c r="L228">
        <v>1</v>
      </c>
      <c r="M228">
        <v>0</v>
      </c>
      <c r="N228" t="s">
        <v>201</v>
      </c>
      <c r="O228" t="s">
        <v>214</v>
      </c>
      <c r="P228" t="s">
        <v>204</v>
      </c>
      <c r="Q228" t="s">
        <v>170</v>
      </c>
      <c r="R228" t="s">
        <v>155</v>
      </c>
      <c r="T228" t="s">
        <v>134</v>
      </c>
      <c r="U228">
        <v>1</v>
      </c>
      <c r="W228" t="s">
        <v>134</v>
      </c>
      <c r="X228">
        <v>1</v>
      </c>
      <c r="Y228" t="s">
        <v>140</v>
      </c>
      <c r="Z228" t="s">
        <v>534</v>
      </c>
      <c r="AA228" t="s">
        <v>147</v>
      </c>
      <c r="AB228" t="s">
        <v>162</v>
      </c>
      <c r="AC228" t="s">
        <v>174</v>
      </c>
      <c r="AD228" t="s">
        <v>157</v>
      </c>
      <c r="AE228" t="s">
        <v>130</v>
      </c>
      <c r="AF228" t="s">
        <v>423</v>
      </c>
    </row>
    <row r="229" spans="1:32">
      <c r="A229" t="s">
        <v>755</v>
      </c>
      <c r="B229" s="37">
        <v>40070</v>
      </c>
      <c r="C229" s="38">
        <v>40070</v>
      </c>
      <c r="D229" s="38">
        <v>40070</v>
      </c>
      <c r="E229" s="38">
        <v>40057</v>
      </c>
      <c r="F229" s="39">
        <v>165</v>
      </c>
      <c r="G229" t="s">
        <v>496</v>
      </c>
      <c r="H229" t="s">
        <v>13</v>
      </c>
      <c r="I229">
        <v>0</v>
      </c>
      <c r="J229">
        <v>1</v>
      </c>
      <c r="K229">
        <v>0</v>
      </c>
      <c r="L229">
        <v>0</v>
      </c>
      <c r="M229">
        <v>1</v>
      </c>
      <c r="N229" t="s">
        <v>544</v>
      </c>
      <c r="O229" t="s">
        <v>213</v>
      </c>
      <c r="P229" t="s">
        <v>545</v>
      </c>
      <c r="Q229" t="s">
        <v>170</v>
      </c>
      <c r="R229" t="s">
        <v>155</v>
      </c>
      <c r="S229">
        <v>1</v>
      </c>
      <c r="T229" t="s">
        <v>136</v>
      </c>
      <c r="U229">
        <v>0</v>
      </c>
      <c r="V229">
        <v>2</v>
      </c>
      <c r="W229" t="s">
        <v>136</v>
      </c>
      <c r="X229">
        <v>0</v>
      </c>
      <c r="Y229" t="s">
        <v>139</v>
      </c>
      <c r="Z229" t="s">
        <v>534</v>
      </c>
      <c r="AA229" t="s">
        <v>144</v>
      </c>
      <c r="AB229" t="s">
        <v>162</v>
      </c>
      <c r="AC229" t="s">
        <v>176</v>
      </c>
      <c r="AD229" t="s">
        <v>125</v>
      </c>
      <c r="AE229" t="s">
        <v>628</v>
      </c>
      <c r="AF229" t="s">
        <v>756</v>
      </c>
    </row>
    <row r="230" spans="1:32">
      <c r="A230" t="s">
        <v>757</v>
      </c>
      <c r="B230" s="37">
        <v>40050</v>
      </c>
      <c r="C230" s="38">
        <v>40050</v>
      </c>
      <c r="D230" s="38">
        <v>40049</v>
      </c>
      <c r="E230" s="38">
        <v>40026</v>
      </c>
      <c r="F230" s="39">
        <v>145</v>
      </c>
      <c r="G230" t="s">
        <v>9</v>
      </c>
      <c r="H230" t="s">
        <v>9</v>
      </c>
      <c r="I230">
        <v>1</v>
      </c>
      <c r="J230">
        <v>0</v>
      </c>
      <c r="K230">
        <v>0</v>
      </c>
      <c r="L230">
        <v>0</v>
      </c>
      <c r="M230">
        <v>1</v>
      </c>
      <c r="N230" t="s">
        <v>193</v>
      </c>
      <c r="O230" t="s">
        <v>213</v>
      </c>
      <c r="P230" t="s">
        <v>204</v>
      </c>
      <c r="Q230" t="s">
        <v>170</v>
      </c>
      <c r="R230" t="s">
        <v>155</v>
      </c>
      <c r="S230">
        <v>5</v>
      </c>
      <c r="T230" t="s">
        <v>135</v>
      </c>
      <c r="U230">
        <v>0</v>
      </c>
      <c r="V230">
        <v>5</v>
      </c>
      <c r="W230" t="s">
        <v>135</v>
      </c>
      <c r="X230">
        <v>0</v>
      </c>
      <c r="Y230" t="s">
        <v>140</v>
      </c>
      <c r="Z230" t="s">
        <v>534</v>
      </c>
      <c r="AA230" t="s">
        <v>146</v>
      </c>
      <c r="AB230" t="s">
        <v>165</v>
      </c>
      <c r="AC230" t="s">
        <v>758</v>
      </c>
      <c r="AD230" t="s">
        <v>158</v>
      </c>
      <c r="AE230" t="s">
        <v>122</v>
      </c>
      <c r="AF230" t="s">
        <v>21</v>
      </c>
    </row>
    <row r="231" spans="1:32">
      <c r="A231" t="s">
        <v>759</v>
      </c>
      <c r="B231" s="37">
        <v>40028</v>
      </c>
      <c r="C231" s="38">
        <v>40028</v>
      </c>
      <c r="D231" s="38">
        <v>40028</v>
      </c>
      <c r="E231" s="38">
        <v>40026</v>
      </c>
      <c r="F231" s="39">
        <v>123</v>
      </c>
      <c r="G231" t="s">
        <v>9</v>
      </c>
      <c r="H231" t="s">
        <v>9</v>
      </c>
      <c r="I231">
        <v>1</v>
      </c>
      <c r="J231">
        <v>0</v>
      </c>
      <c r="K231">
        <v>0</v>
      </c>
      <c r="L231">
        <v>0</v>
      </c>
      <c r="M231">
        <v>1</v>
      </c>
      <c r="N231" t="s">
        <v>193</v>
      </c>
      <c r="O231" t="s">
        <v>213</v>
      </c>
      <c r="P231" t="s">
        <v>204</v>
      </c>
      <c r="Q231" t="s">
        <v>170</v>
      </c>
      <c r="R231" t="s">
        <v>155</v>
      </c>
      <c r="S231">
        <v>3</v>
      </c>
      <c r="T231" t="s">
        <v>137</v>
      </c>
      <c r="U231">
        <v>0</v>
      </c>
      <c r="V231">
        <v>3</v>
      </c>
      <c r="W231" t="s">
        <v>137</v>
      </c>
      <c r="X231">
        <v>0</v>
      </c>
      <c r="Y231" t="s">
        <v>140</v>
      </c>
      <c r="Z231" t="s">
        <v>534</v>
      </c>
      <c r="AA231" t="s">
        <v>146</v>
      </c>
      <c r="AB231" t="s">
        <v>162</v>
      </c>
      <c r="AC231" t="s">
        <v>760</v>
      </c>
      <c r="AD231" t="s">
        <v>156</v>
      </c>
      <c r="AE231" t="s">
        <v>120</v>
      </c>
      <c r="AF231" t="s">
        <v>761</v>
      </c>
    </row>
    <row r="232" spans="1:32">
      <c r="A232" t="s">
        <v>762</v>
      </c>
      <c r="B232" s="37">
        <v>40022</v>
      </c>
      <c r="C232" s="38">
        <v>40022</v>
      </c>
      <c r="D232" s="38">
        <v>40021</v>
      </c>
      <c r="E232" s="38">
        <v>39995</v>
      </c>
      <c r="F232" s="39">
        <v>117</v>
      </c>
      <c r="G232" t="s">
        <v>21</v>
      </c>
      <c r="H232" t="s">
        <v>21</v>
      </c>
      <c r="I232">
        <v>0</v>
      </c>
      <c r="J232">
        <v>0</v>
      </c>
      <c r="K232">
        <v>0</v>
      </c>
      <c r="L232">
        <v>1</v>
      </c>
      <c r="M232">
        <v>0</v>
      </c>
      <c r="N232" t="s">
        <v>193</v>
      </c>
      <c r="O232" t="s">
        <v>213</v>
      </c>
      <c r="P232" t="s">
        <v>204</v>
      </c>
      <c r="Q232" t="s">
        <v>170</v>
      </c>
      <c r="R232" t="s">
        <v>155</v>
      </c>
      <c r="S232">
        <v>1</v>
      </c>
      <c r="T232" t="s">
        <v>136</v>
      </c>
      <c r="U232">
        <v>0</v>
      </c>
      <c r="V232">
        <v>4</v>
      </c>
      <c r="W232" t="s">
        <v>137</v>
      </c>
      <c r="X232">
        <v>0</v>
      </c>
      <c r="Y232" t="s">
        <v>140</v>
      </c>
      <c r="Z232" t="s">
        <v>534</v>
      </c>
      <c r="AA232" t="s">
        <v>146</v>
      </c>
      <c r="AB232" t="s">
        <v>163</v>
      </c>
      <c r="AC232" t="s">
        <v>173</v>
      </c>
      <c r="AD232" t="s">
        <v>155</v>
      </c>
      <c r="AE232" t="s">
        <v>763</v>
      </c>
      <c r="AF232" t="s">
        <v>21</v>
      </c>
    </row>
    <row r="233" spans="1:32">
      <c r="A233" t="s">
        <v>764</v>
      </c>
      <c r="B233" s="37">
        <v>40046</v>
      </c>
      <c r="C233" s="38">
        <v>40046</v>
      </c>
      <c r="D233" s="38">
        <v>40042</v>
      </c>
      <c r="E233" s="38">
        <v>40026</v>
      </c>
      <c r="F233" s="39">
        <v>141</v>
      </c>
      <c r="G233" t="s">
        <v>21</v>
      </c>
      <c r="H233" t="s">
        <v>21</v>
      </c>
      <c r="I233">
        <v>0</v>
      </c>
      <c r="J233">
        <v>0</v>
      </c>
      <c r="K233">
        <v>0</v>
      </c>
      <c r="L233">
        <v>1</v>
      </c>
      <c r="M233">
        <v>0</v>
      </c>
      <c r="N233" t="s">
        <v>193</v>
      </c>
      <c r="O233" t="s">
        <v>213</v>
      </c>
      <c r="P233" t="s">
        <v>204</v>
      </c>
      <c r="Q233" t="s">
        <v>170</v>
      </c>
      <c r="R233" t="s">
        <v>155</v>
      </c>
      <c r="S233">
        <v>5</v>
      </c>
      <c r="T233" t="s">
        <v>135</v>
      </c>
      <c r="U233">
        <v>0</v>
      </c>
      <c r="V233">
        <v>5</v>
      </c>
      <c r="W233" t="s">
        <v>135</v>
      </c>
      <c r="X233">
        <v>0</v>
      </c>
      <c r="Y233" t="s">
        <v>140</v>
      </c>
      <c r="Z233" t="s">
        <v>534</v>
      </c>
      <c r="AA233" t="s">
        <v>144</v>
      </c>
      <c r="AB233" t="s">
        <v>163</v>
      </c>
      <c r="AC233" t="s">
        <v>173</v>
      </c>
      <c r="AD233" t="s">
        <v>155</v>
      </c>
      <c r="AE233" t="s">
        <v>128</v>
      </c>
      <c r="AF233" t="s">
        <v>21</v>
      </c>
    </row>
    <row r="234" spans="1:32">
      <c r="A234" t="s">
        <v>765</v>
      </c>
      <c r="B234" s="37">
        <v>40033</v>
      </c>
      <c r="C234" s="38">
        <v>40033</v>
      </c>
      <c r="D234" s="38">
        <v>40028</v>
      </c>
      <c r="E234" s="38">
        <v>40026</v>
      </c>
      <c r="F234" s="39">
        <v>128</v>
      </c>
      <c r="G234" t="s">
        <v>21</v>
      </c>
      <c r="H234" t="s">
        <v>21</v>
      </c>
      <c r="I234">
        <v>0</v>
      </c>
      <c r="J234">
        <v>0</v>
      </c>
      <c r="K234">
        <v>0</v>
      </c>
      <c r="L234">
        <v>1</v>
      </c>
      <c r="M234">
        <v>0</v>
      </c>
      <c r="N234" t="s">
        <v>197</v>
      </c>
      <c r="O234" t="s">
        <v>213</v>
      </c>
      <c r="P234" t="s">
        <v>209</v>
      </c>
      <c r="Q234" t="s">
        <v>170</v>
      </c>
      <c r="R234" t="s">
        <v>155</v>
      </c>
      <c r="S234">
        <v>5</v>
      </c>
      <c r="T234" t="s">
        <v>135</v>
      </c>
      <c r="U234">
        <v>0</v>
      </c>
      <c r="V234">
        <v>3</v>
      </c>
      <c r="W234" t="s">
        <v>137</v>
      </c>
      <c r="X234">
        <v>0</v>
      </c>
      <c r="Y234" t="s">
        <v>139</v>
      </c>
      <c r="Z234" t="s">
        <v>534</v>
      </c>
      <c r="AA234" t="s">
        <v>142</v>
      </c>
      <c r="AB234" t="s">
        <v>162</v>
      </c>
      <c r="AC234" t="s">
        <v>766</v>
      </c>
      <c r="AD234" t="s">
        <v>160</v>
      </c>
      <c r="AE234" t="s">
        <v>392</v>
      </c>
      <c r="AF234" t="s">
        <v>393</v>
      </c>
    </row>
    <row r="235" spans="1:32">
      <c r="A235" t="s">
        <v>767</v>
      </c>
      <c r="B235" s="37">
        <v>39971</v>
      </c>
      <c r="C235" s="38">
        <v>39971</v>
      </c>
      <c r="D235" s="38">
        <v>39965</v>
      </c>
      <c r="E235" s="38">
        <v>39965</v>
      </c>
      <c r="F235" s="39">
        <v>66</v>
      </c>
      <c r="G235" t="s">
        <v>21</v>
      </c>
      <c r="H235" t="s">
        <v>21</v>
      </c>
      <c r="I235">
        <v>0</v>
      </c>
      <c r="J235">
        <v>0</v>
      </c>
      <c r="K235">
        <v>0</v>
      </c>
      <c r="L235">
        <v>1</v>
      </c>
      <c r="M235">
        <v>0</v>
      </c>
      <c r="N235" t="s">
        <v>194</v>
      </c>
      <c r="O235" t="s">
        <v>213</v>
      </c>
      <c r="P235" t="s">
        <v>205</v>
      </c>
      <c r="Q235" t="s">
        <v>170</v>
      </c>
      <c r="R235" t="s">
        <v>155</v>
      </c>
      <c r="T235" t="s">
        <v>134</v>
      </c>
      <c r="U235">
        <v>1</v>
      </c>
      <c r="W235" t="s">
        <v>134</v>
      </c>
      <c r="X235">
        <v>1</v>
      </c>
      <c r="Y235" t="s">
        <v>139</v>
      </c>
      <c r="Z235" t="s">
        <v>534</v>
      </c>
      <c r="AA235" t="s">
        <v>145</v>
      </c>
      <c r="AB235" t="s">
        <v>162</v>
      </c>
      <c r="AC235" t="s">
        <v>768</v>
      </c>
      <c r="AD235" t="s">
        <v>156</v>
      </c>
      <c r="AE235" t="s">
        <v>120</v>
      </c>
      <c r="AF235" t="s">
        <v>769</v>
      </c>
    </row>
    <row r="236" spans="1:32">
      <c r="A236" t="s">
        <v>770</v>
      </c>
      <c r="B236" s="37">
        <v>40049</v>
      </c>
      <c r="C236" s="38">
        <v>40049</v>
      </c>
      <c r="D236" s="38">
        <v>40049</v>
      </c>
      <c r="E236" s="38">
        <v>40026</v>
      </c>
      <c r="F236" s="39">
        <v>144</v>
      </c>
      <c r="G236" t="s">
        <v>9</v>
      </c>
      <c r="H236" t="s">
        <v>9</v>
      </c>
      <c r="I236">
        <v>1</v>
      </c>
      <c r="J236">
        <v>0</v>
      </c>
      <c r="K236">
        <v>0</v>
      </c>
      <c r="L236">
        <v>0</v>
      </c>
      <c r="M236">
        <v>1</v>
      </c>
      <c r="N236" t="s">
        <v>197</v>
      </c>
      <c r="O236" t="s">
        <v>213</v>
      </c>
      <c r="P236" t="s">
        <v>209</v>
      </c>
      <c r="Q236" t="s">
        <v>170</v>
      </c>
      <c r="R236" t="s">
        <v>155</v>
      </c>
      <c r="S236">
        <v>1</v>
      </c>
      <c r="T236" t="s">
        <v>136</v>
      </c>
      <c r="U236">
        <v>0</v>
      </c>
      <c r="V236">
        <v>5</v>
      </c>
      <c r="W236" t="s">
        <v>135</v>
      </c>
      <c r="X236">
        <v>0</v>
      </c>
      <c r="Y236" t="s">
        <v>139</v>
      </c>
      <c r="Z236" t="s">
        <v>534</v>
      </c>
      <c r="AA236" t="s">
        <v>146</v>
      </c>
      <c r="AB236" t="s">
        <v>162</v>
      </c>
      <c r="AC236" t="s">
        <v>21</v>
      </c>
      <c r="AD236" t="s">
        <v>160</v>
      </c>
      <c r="AE236" t="s">
        <v>771</v>
      </c>
      <c r="AF236" t="s">
        <v>772</v>
      </c>
    </row>
    <row r="237" spans="1:32">
      <c r="A237" t="s">
        <v>773</v>
      </c>
      <c r="B237" s="37">
        <v>40046</v>
      </c>
      <c r="C237" s="38">
        <v>40046</v>
      </c>
      <c r="D237" s="38">
        <v>40042</v>
      </c>
      <c r="E237" s="38">
        <v>40026</v>
      </c>
      <c r="F237" s="39">
        <v>141</v>
      </c>
      <c r="G237" t="s">
        <v>21</v>
      </c>
      <c r="H237" t="s">
        <v>21</v>
      </c>
      <c r="I237">
        <v>0</v>
      </c>
      <c r="J237">
        <v>0</v>
      </c>
      <c r="K237">
        <v>0</v>
      </c>
      <c r="L237">
        <v>1</v>
      </c>
      <c r="M237">
        <v>0</v>
      </c>
      <c r="N237" t="s">
        <v>193</v>
      </c>
      <c r="O237" t="s">
        <v>213</v>
      </c>
      <c r="P237" t="s">
        <v>204</v>
      </c>
      <c r="Q237" t="s">
        <v>170</v>
      </c>
      <c r="R237" t="s">
        <v>155</v>
      </c>
      <c r="S237">
        <v>3</v>
      </c>
      <c r="T237" t="s">
        <v>137</v>
      </c>
      <c r="U237">
        <v>0</v>
      </c>
      <c r="V237">
        <v>4</v>
      </c>
      <c r="W237" t="s">
        <v>137</v>
      </c>
      <c r="X237">
        <v>0</v>
      </c>
      <c r="Y237" t="s">
        <v>140</v>
      </c>
      <c r="Z237" t="s">
        <v>534</v>
      </c>
      <c r="AA237" t="s">
        <v>144</v>
      </c>
      <c r="AB237" t="s">
        <v>162</v>
      </c>
      <c r="AC237" t="s">
        <v>774</v>
      </c>
      <c r="AD237" t="s">
        <v>159</v>
      </c>
      <c r="AE237" t="s">
        <v>123</v>
      </c>
      <c r="AF237" t="s">
        <v>123</v>
      </c>
    </row>
    <row r="238" spans="1:32">
      <c r="A238" t="s">
        <v>775</v>
      </c>
      <c r="B238" s="37">
        <v>40053</v>
      </c>
      <c r="C238" s="38">
        <v>40053</v>
      </c>
      <c r="D238" s="38">
        <v>40049</v>
      </c>
      <c r="E238" s="38">
        <v>40026</v>
      </c>
      <c r="F238" s="39">
        <v>148</v>
      </c>
      <c r="G238" t="s">
        <v>380</v>
      </c>
      <c r="H238" t="s">
        <v>17</v>
      </c>
      <c r="I238">
        <v>0</v>
      </c>
      <c r="J238">
        <v>0</v>
      </c>
      <c r="K238">
        <v>1</v>
      </c>
      <c r="L238">
        <v>0</v>
      </c>
      <c r="M238">
        <v>0</v>
      </c>
      <c r="N238" t="s">
        <v>195</v>
      </c>
      <c r="O238" t="s">
        <v>213</v>
      </c>
      <c r="P238" t="s">
        <v>206</v>
      </c>
      <c r="Q238" t="s">
        <v>170</v>
      </c>
      <c r="R238" t="s">
        <v>155</v>
      </c>
      <c r="S238">
        <v>5</v>
      </c>
      <c r="T238" t="s">
        <v>135</v>
      </c>
      <c r="U238">
        <v>0</v>
      </c>
      <c r="V238">
        <v>5</v>
      </c>
      <c r="W238" t="s">
        <v>135</v>
      </c>
      <c r="X238">
        <v>0</v>
      </c>
      <c r="Y238" t="s">
        <v>139</v>
      </c>
      <c r="Z238" t="s">
        <v>534</v>
      </c>
      <c r="AA238" t="s">
        <v>142</v>
      </c>
      <c r="AB238" t="s">
        <v>162</v>
      </c>
      <c r="AC238" t="s">
        <v>21</v>
      </c>
      <c r="AD238" t="s">
        <v>160</v>
      </c>
      <c r="AE238" t="s">
        <v>726</v>
      </c>
      <c r="AF238" t="s">
        <v>776</v>
      </c>
    </row>
    <row r="239" spans="1:32">
      <c r="A239" t="s">
        <v>777</v>
      </c>
      <c r="B239" s="37">
        <v>40086</v>
      </c>
      <c r="C239" s="38">
        <v>40086</v>
      </c>
      <c r="D239" s="38">
        <v>40084</v>
      </c>
      <c r="E239" s="38">
        <v>40057</v>
      </c>
      <c r="F239" s="39">
        <v>181</v>
      </c>
      <c r="G239" t="s">
        <v>21</v>
      </c>
      <c r="H239" t="s">
        <v>21</v>
      </c>
      <c r="I239">
        <v>0</v>
      </c>
      <c r="J239">
        <v>0</v>
      </c>
      <c r="K239">
        <v>0</v>
      </c>
      <c r="L239">
        <v>1</v>
      </c>
      <c r="M239">
        <v>0</v>
      </c>
      <c r="N239" t="s">
        <v>193</v>
      </c>
      <c r="O239" t="s">
        <v>213</v>
      </c>
      <c r="P239" t="s">
        <v>204</v>
      </c>
      <c r="Q239" t="s">
        <v>170</v>
      </c>
      <c r="R239" t="s">
        <v>155</v>
      </c>
      <c r="S239">
        <v>4</v>
      </c>
      <c r="T239" t="s">
        <v>137</v>
      </c>
      <c r="U239">
        <v>0</v>
      </c>
      <c r="V239">
        <v>5</v>
      </c>
      <c r="W239" t="s">
        <v>135</v>
      </c>
      <c r="X239">
        <v>0</v>
      </c>
      <c r="Y239" t="s">
        <v>140</v>
      </c>
      <c r="Z239" t="s">
        <v>534</v>
      </c>
      <c r="AA239" t="s">
        <v>144</v>
      </c>
      <c r="AB239" t="s">
        <v>163</v>
      </c>
      <c r="AC239" t="s">
        <v>173</v>
      </c>
      <c r="AD239" t="s">
        <v>155</v>
      </c>
      <c r="AE239" t="s">
        <v>128</v>
      </c>
      <c r="AF239" t="s">
        <v>21</v>
      </c>
    </row>
    <row r="240" spans="1:32">
      <c r="A240" t="s">
        <v>778</v>
      </c>
      <c r="B240" s="37">
        <v>40069</v>
      </c>
      <c r="C240" s="38">
        <v>40069</v>
      </c>
      <c r="D240" s="38">
        <v>40063</v>
      </c>
      <c r="E240" s="38">
        <v>40057</v>
      </c>
      <c r="F240" s="39">
        <v>164</v>
      </c>
      <c r="G240" t="s">
        <v>496</v>
      </c>
      <c r="H240" t="s">
        <v>13</v>
      </c>
      <c r="I240">
        <v>0</v>
      </c>
      <c r="J240">
        <v>1</v>
      </c>
      <c r="K240">
        <v>0</v>
      </c>
      <c r="L240">
        <v>0</v>
      </c>
      <c r="M240">
        <v>1</v>
      </c>
      <c r="N240" t="s">
        <v>544</v>
      </c>
      <c r="O240" t="s">
        <v>213</v>
      </c>
      <c r="P240" t="s">
        <v>545</v>
      </c>
      <c r="Q240" t="s">
        <v>170</v>
      </c>
      <c r="R240" t="s">
        <v>155</v>
      </c>
      <c r="S240">
        <v>3</v>
      </c>
      <c r="T240" t="s">
        <v>137</v>
      </c>
      <c r="U240">
        <v>0</v>
      </c>
      <c r="V240">
        <v>3</v>
      </c>
      <c r="W240" t="s">
        <v>137</v>
      </c>
      <c r="X240">
        <v>0</v>
      </c>
      <c r="Y240" t="s">
        <v>139</v>
      </c>
      <c r="Z240" t="s">
        <v>534</v>
      </c>
      <c r="AA240" t="s">
        <v>146</v>
      </c>
      <c r="AB240" t="s">
        <v>162</v>
      </c>
      <c r="AC240" t="s">
        <v>779</v>
      </c>
      <c r="AD240" t="s">
        <v>125</v>
      </c>
      <c r="AE240" t="s">
        <v>628</v>
      </c>
      <c r="AF240" t="s">
        <v>780</v>
      </c>
    </row>
    <row r="241" spans="1:32">
      <c r="A241" t="s">
        <v>781</v>
      </c>
      <c r="B241" s="37">
        <v>40036</v>
      </c>
      <c r="C241" s="38">
        <v>40036</v>
      </c>
      <c r="D241" s="38">
        <v>40035</v>
      </c>
      <c r="E241" s="38">
        <v>40026</v>
      </c>
      <c r="F241" s="39">
        <v>131</v>
      </c>
      <c r="G241" t="s">
        <v>21</v>
      </c>
      <c r="H241" t="s">
        <v>21</v>
      </c>
      <c r="I241">
        <v>0</v>
      </c>
      <c r="J241">
        <v>0</v>
      </c>
      <c r="K241">
        <v>0</v>
      </c>
      <c r="L241">
        <v>1</v>
      </c>
      <c r="M241">
        <v>0</v>
      </c>
      <c r="N241" t="s">
        <v>196</v>
      </c>
      <c r="O241" t="s">
        <v>213</v>
      </c>
      <c r="P241" t="s">
        <v>207</v>
      </c>
      <c r="Q241" t="s">
        <v>170</v>
      </c>
      <c r="R241" t="s">
        <v>155</v>
      </c>
      <c r="S241">
        <v>5</v>
      </c>
      <c r="T241" t="s">
        <v>135</v>
      </c>
      <c r="U241">
        <v>0</v>
      </c>
      <c r="V241">
        <v>5</v>
      </c>
      <c r="W241" t="s">
        <v>135</v>
      </c>
      <c r="X241">
        <v>0</v>
      </c>
      <c r="Y241" t="s">
        <v>139</v>
      </c>
      <c r="Z241" t="s">
        <v>534</v>
      </c>
      <c r="AA241" t="s">
        <v>148</v>
      </c>
      <c r="AB241" t="s">
        <v>163</v>
      </c>
      <c r="AC241" t="s">
        <v>173</v>
      </c>
      <c r="AD241" t="s">
        <v>155</v>
      </c>
      <c r="AE241" t="s">
        <v>125</v>
      </c>
      <c r="AF241" t="s">
        <v>21</v>
      </c>
    </row>
    <row r="242" spans="1:32">
      <c r="A242" t="s">
        <v>782</v>
      </c>
      <c r="B242" s="37">
        <v>40018</v>
      </c>
      <c r="C242" s="38">
        <v>40018</v>
      </c>
      <c r="D242" s="38">
        <v>40014</v>
      </c>
      <c r="E242" s="38">
        <v>39995</v>
      </c>
      <c r="F242" s="39">
        <v>113</v>
      </c>
      <c r="G242" t="s">
        <v>383</v>
      </c>
      <c r="H242" t="s">
        <v>17</v>
      </c>
      <c r="I242">
        <v>0</v>
      </c>
      <c r="J242">
        <v>0</v>
      </c>
      <c r="K242">
        <v>1</v>
      </c>
      <c r="L242">
        <v>0</v>
      </c>
      <c r="M242">
        <v>0</v>
      </c>
      <c r="N242" t="s">
        <v>193</v>
      </c>
      <c r="O242" t="s">
        <v>213</v>
      </c>
      <c r="P242" t="s">
        <v>204</v>
      </c>
      <c r="Q242" t="s">
        <v>170</v>
      </c>
      <c r="R242" t="s">
        <v>155</v>
      </c>
      <c r="S242">
        <v>5</v>
      </c>
      <c r="T242" t="s">
        <v>135</v>
      </c>
      <c r="U242">
        <v>0</v>
      </c>
      <c r="V242">
        <v>3</v>
      </c>
      <c r="W242" t="s">
        <v>137</v>
      </c>
      <c r="X242">
        <v>0</v>
      </c>
      <c r="Y242" t="s">
        <v>140</v>
      </c>
      <c r="Z242" t="s">
        <v>534</v>
      </c>
      <c r="AA242" t="s">
        <v>145</v>
      </c>
      <c r="AB242" t="s">
        <v>162</v>
      </c>
      <c r="AC242" t="s">
        <v>175</v>
      </c>
      <c r="AD242" t="s">
        <v>155</v>
      </c>
      <c r="AE242" t="s">
        <v>130</v>
      </c>
      <c r="AF242" t="s">
        <v>21</v>
      </c>
    </row>
    <row r="243" spans="1:32">
      <c r="A243" t="s">
        <v>783</v>
      </c>
      <c r="B243" s="37">
        <v>40067</v>
      </c>
      <c r="C243" s="38">
        <v>40067</v>
      </c>
      <c r="D243" s="38">
        <v>40063</v>
      </c>
      <c r="E243" s="38">
        <v>40057</v>
      </c>
      <c r="F243" s="39">
        <v>162</v>
      </c>
      <c r="G243" t="s">
        <v>21</v>
      </c>
      <c r="H243" t="s">
        <v>21</v>
      </c>
      <c r="I243">
        <v>0</v>
      </c>
      <c r="J243">
        <v>0</v>
      </c>
      <c r="K243">
        <v>0</v>
      </c>
      <c r="L243">
        <v>1</v>
      </c>
      <c r="M243">
        <v>0</v>
      </c>
      <c r="N243" t="s">
        <v>193</v>
      </c>
      <c r="O243" t="s">
        <v>213</v>
      </c>
      <c r="P243" t="s">
        <v>204</v>
      </c>
      <c r="Q243" t="s">
        <v>170</v>
      </c>
      <c r="R243" t="s">
        <v>155</v>
      </c>
      <c r="S243">
        <v>5</v>
      </c>
      <c r="T243" t="s">
        <v>135</v>
      </c>
      <c r="U243">
        <v>0</v>
      </c>
      <c r="V243">
        <v>5</v>
      </c>
      <c r="W243" t="s">
        <v>135</v>
      </c>
      <c r="X243">
        <v>0</v>
      </c>
      <c r="Y243" t="s">
        <v>140</v>
      </c>
      <c r="Z243" t="s">
        <v>534</v>
      </c>
      <c r="AA243" t="s">
        <v>146</v>
      </c>
      <c r="AB243" t="s">
        <v>162</v>
      </c>
      <c r="AC243" t="s">
        <v>578</v>
      </c>
      <c r="AD243" t="s">
        <v>157</v>
      </c>
      <c r="AE243" t="s">
        <v>127</v>
      </c>
      <c r="AF243" t="s">
        <v>153</v>
      </c>
    </row>
    <row r="244" spans="1:32">
      <c r="A244" t="s">
        <v>784</v>
      </c>
      <c r="B244" s="37">
        <v>40038</v>
      </c>
      <c r="C244" s="38">
        <v>40038</v>
      </c>
      <c r="D244" s="38">
        <v>40035</v>
      </c>
      <c r="E244" s="38">
        <v>40026</v>
      </c>
      <c r="F244" s="39">
        <v>133</v>
      </c>
      <c r="G244" t="s">
        <v>21</v>
      </c>
      <c r="H244" t="s">
        <v>21</v>
      </c>
      <c r="I244">
        <v>0</v>
      </c>
      <c r="J244">
        <v>0</v>
      </c>
      <c r="K244">
        <v>0</v>
      </c>
      <c r="L244">
        <v>1</v>
      </c>
      <c r="M244">
        <v>0</v>
      </c>
      <c r="N244" t="s">
        <v>196</v>
      </c>
      <c r="O244" t="s">
        <v>213</v>
      </c>
      <c r="P244" t="s">
        <v>207</v>
      </c>
      <c r="Q244" t="s">
        <v>170</v>
      </c>
      <c r="R244" t="s">
        <v>155</v>
      </c>
      <c r="S244">
        <v>1</v>
      </c>
      <c r="T244" t="s">
        <v>136</v>
      </c>
      <c r="U244">
        <v>0</v>
      </c>
      <c r="V244">
        <v>3</v>
      </c>
      <c r="W244" t="s">
        <v>137</v>
      </c>
      <c r="X244">
        <v>0</v>
      </c>
      <c r="Y244" t="s">
        <v>139</v>
      </c>
      <c r="Z244" t="s">
        <v>534</v>
      </c>
      <c r="AA244" t="s">
        <v>143</v>
      </c>
      <c r="AB244" t="s">
        <v>162</v>
      </c>
      <c r="AC244" t="s">
        <v>176</v>
      </c>
      <c r="AD244" t="s">
        <v>155</v>
      </c>
      <c r="AE244" t="s">
        <v>129</v>
      </c>
      <c r="AF244" t="s">
        <v>21</v>
      </c>
    </row>
    <row r="245" spans="1:32">
      <c r="A245" t="s">
        <v>785</v>
      </c>
      <c r="B245" s="37">
        <v>39975</v>
      </c>
      <c r="C245" s="38">
        <v>39975</v>
      </c>
      <c r="D245" s="38">
        <v>39972</v>
      </c>
      <c r="E245" s="38">
        <v>39965</v>
      </c>
      <c r="F245" s="39">
        <v>70</v>
      </c>
      <c r="G245" t="s">
        <v>21</v>
      </c>
      <c r="H245" t="s">
        <v>21</v>
      </c>
      <c r="I245">
        <v>0</v>
      </c>
      <c r="J245">
        <v>0</v>
      </c>
      <c r="K245">
        <v>0</v>
      </c>
      <c r="L245">
        <v>1</v>
      </c>
      <c r="M245">
        <v>0</v>
      </c>
      <c r="N245" t="s">
        <v>193</v>
      </c>
      <c r="O245" t="s">
        <v>213</v>
      </c>
      <c r="P245" t="s">
        <v>204</v>
      </c>
      <c r="Q245" t="s">
        <v>170</v>
      </c>
      <c r="R245" t="s">
        <v>155</v>
      </c>
      <c r="T245" t="s">
        <v>134</v>
      </c>
      <c r="U245">
        <v>1</v>
      </c>
      <c r="W245" t="s">
        <v>134</v>
      </c>
      <c r="X245">
        <v>1</v>
      </c>
      <c r="Y245" t="s">
        <v>140</v>
      </c>
      <c r="Z245" t="s">
        <v>433</v>
      </c>
      <c r="AA245" t="s">
        <v>142</v>
      </c>
      <c r="AB245" t="s">
        <v>163</v>
      </c>
      <c r="AC245" t="s">
        <v>173</v>
      </c>
      <c r="AD245" t="s">
        <v>155</v>
      </c>
      <c r="AE245" t="s">
        <v>454</v>
      </c>
      <c r="AF245" t="s">
        <v>21</v>
      </c>
    </row>
    <row r="246" spans="1:32">
      <c r="A246" t="s">
        <v>786</v>
      </c>
      <c r="B246" s="37">
        <v>39983</v>
      </c>
      <c r="C246" s="38">
        <v>39983</v>
      </c>
      <c r="D246" s="38">
        <v>39979</v>
      </c>
      <c r="E246" s="38">
        <v>39965</v>
      </c>
      <c r="F246" s="39">
        <v>78</v>
      </c>
      <c r="G246" t="s">
        <v>21</v>
      </c>
      <c r="H246" t="s">
        <v>21</v>
      </c>
      <c r="I246">
        <v>0</v>
      </c>
      <c r="J246">
        <v>0</v>
      </c>
      <c r="K246">
        <v>0</v>
      </c>
      <c r="L246">
        <v>1</v>
      </c>
      <c r="M246">
        <v>0</v>
      </c>
      <c r="N246" t="s">
        <v>193</v>
      </c>
      <c r="O246" t="s">
        <v>213</v>
      </c>
      <c r="P246" t="s">
        <v>204</v>
      </c>
      <c r="Q246" t="s">
        <v>170</v>
      </c>
      <c r="R246" t="s">
        <v>155</v>
      </c>
      <c r="T246" t="s">
        <v>134</v>
      </c>
      <c r="U246">
        <v>1</v>
      </c>
      <c r="W246" t="s">
        <v>134</v>
      </c>
      <c r="X246">
        <v>1</v>
      </c>
      <c r="Y246" t="s">
        <v>140</v>
      </c>
      <c r="Z246" t="s">
        <v>179</v>
      </c>
      <c r="AA246" t="s">
        <v>149</v>
      </c>
      <c r="AB246" t="s">
        <v>163</v>
      </c>
      <c r="AC246" t="s">
        <v>787</v>
      </c>
      <c r="AD246" t="s">
        <v>788</v>
      </c>
      <c r="AE246" t="s">
        <v>789</v>
      </c>
      <c r="AF246" t="s">
        <v>21</v>
      </c>
    </row>
    <row r="247" spans="1:32">
      <c r="A247" t="s">
        <v>790</v>
      </c>
      <c r="B247" s="37">
        <v>39941</v>
      </c>
      <c r="C247" s="38">
        <v>39941</v>
      </c>
      <c r="D247" s="38">
        <v>39937</v>
      </c>
      <c r="E247" s="38">
        <v>39934</v>
      </c>
      <c r="F247" s="39">
        <v>36</v>
      </c>
      <c r="G247" t="s">
        <v>21</v>
      </c>
      <c r="H247" t="s">
        <v>21</v>
      </c>
      <c r="I247">
        <v>0</v>
      </c>
      <c r="J247">
        <v>0</v>
      </c>
      <c r="K247">
        <v>0</v>
      </c>
      <c r="L247">
        <v>1</v>
      </c>
      <c r="M247">
        <v>0</v>
      </c>
      <c r="N247" t="s">
        <v>195</v>
      </c>
      <c r="O247" t="s">
        <v>213</v>
      </c>
      <c r="P247" t="s">
        <v>206</v>
      </c>
      <c r="Q247" t="s">
        <v>170</v>
      </c>
      <c r="R247" t="s">
        <v>155</v>
      </c>
      <c r="T247" t="s">
        <v>134</v>
      </c>
      <c r="U247">
        <v>1</v>
      </c>
      <c r="W247" t="s">
        <v>134</v>
      </c>
      <c r="X247">
        <v>1</v>
      </c>
      <c r="Y247" t="s">
        <v>139</v>
      </c>
      <c r="Z247" t="s">
        <v>179</v>
      </c>
      <c r="AA247" t="s">
        <v>147</v>
      </c>
      <c r="AB247" t="s">
        <v>163</v>
      </c>
      <c r="AC247" t="s">
        <v>173</v>
      </c>
      <c r="AD247" t="s">
        <v>155</v>
      </c>
      <c r="AE247" t="s">
        <v>124</v>
      </c>
      <c r="AF247" t="s">
        <v>21</v>
      </c>
    </row>
    <row r="248" spans="1:32">
      <c r="A248" t="s">
        <v>791</v>
      </c>
      <c r="B248" s="37">
        <v>39974</v>
      </c>
      <c r="C248" s="38">
        <v>39974</v>
      </c>
      <c r="D248" s="38">
        <v>39972</v>
      </c>
      <c r="E248" s="38">
        <v>39965</v>
      </c>
      <c r="F248" s="39">
        <v>69</v>
      </c>
      <c r="G248" t="s">
        <v>21</v>
      </c>
      <c r="H248" t="s">
        <v>21</v>
      </c>
      <c r="I248">
        <v>0</v>
      </c>
      <c r="J248">
        <v>0</v>
      </c>
      <c r="K248">
        <v>0</v>
      </c>
      <c r="L248">
        <v>1</v>
      </c>
      <c r="M248">
        <v>0</v>
      </c>
      <c r="N248" t="s">
        <v>193</v>
      </c>
      <c r="O248" t="s">
        <v>213</v>
      </c>
      <c r="P248" t="s">
        <v>204</v>
      </c>
      <c r="Q248" t="s">
        <v>170</v>
      </c>
      <c r="R248" t="s">
        <v>155</v>
      </c>
      <c r="T248" t="s">
        <v>134</v>
      </c>
      <c r="U248">
        <v>1</v>
      </c>
      <c r="W248" t="s">
        <v>134</v>
      </c>
      <c r="X248">
        <v>1</v>
      </c>
      <c r="Y248" t="s">
        <v>140</v>
      </c>
      <c r="Z248" t="s">
        <v>184</v>
      </c>
      <c r="AA248" t="s">
        <v>146</v>
      </c>
      <c r="AB248" t="s">
        <v>163</v>
      </c>
      <c r="AC248" t="s">
        <v>173</v>
      </c>
      <c r="AD248" t="s">
        <v>155</v>
      </c>
      <c r="AE248" t="s">
        <v>792</v>
      </c>
      <c r="AF248" t="s">
        <v>21</v>
      </c>
    </row>
    <row r="249" spans="1:32">
      <c r="A249" t="s">
        <v>793</v>
      </c>
      <c r="B249" s="37">
        <v>40042</v>
      </c>
      <c r="C249" s="38">
        <v>40042</v>
      </c>
      <c r="D249" s="38">
        <v>40042</v>
      </c>
      <c r="E249" s="38">
        <v>40026</v>
      </c>
      <c r="F249" s="39">
        <v>137</v>
      </c>
      <c r="G249" t="s">
        <v>383</v>
      </c>
      <c r="H249" t="s">
        <v>17</v>
      </c>
      <c r="I249">
        <v>0</v>
      </c>
      <c r="J249">
        <v>0</v>
      </c>
      <c r="K249">
        <v>1</v>
      </c>
      <c r="L249">
        <v>0</v>
      </c>
      <c r="M249">
        <v>0</v>
      </c>
      <c r="N249" t="s">
        <v>195</v>
      </c>
      <c r="O249" t="s">
        <v>213</v>
      </c>
      <c r="P249" t="s">
        <v>206</v>
      </c>
      <c r="Q249" t="s">
        <v>170</v>
      </c>
      <c r="R249" t="s">
        <v>155</v>
      </c>
      <c r="S249">
        <v>4</v>
      </c>
      <c r="T249" t="s">
        <v>137</v>
      </c>
      <c r="U249">
        <v>0</v>
      </c>
      <c r="V249">
        <v>3</v>
      </c>
      <c r="W249" t="s">
        <v>137</v>
      </c>
      <c r="X249">
        <v>0</v>
      </c>
      <c r="Y249" t="s">
        <v>139</v>
      </c>
      <c r="Z249" t="s">
        <v>185</v>
      </c>
      <c r="AA249" t="s">
        <v>144</v>
      </c>
      <c r="AB249" t="s">
        <v>162</v>
      </c>
      <c r="AC249" t="s">
        <v>174</v>
      </c>
      <c r="AD249" t="s">
        <v>156</v>
      </c>
      <c r="AE249" t="s">
        <v>120</v>
      </c>
      <c r="AF249" t="s">
        <v>794</v>
      </c>
    </row>
    <row r="250" spans="1:32">
      <c r="A250" t="s">
        <v>795</v>
      </c>
      <c r="B250" s="37">
        <v>39948</v>
      </c>
      <c r="C250" s="38">
        <v>39948</v>
      </c>
      <c r="D250" s="38">
        <v>39944</v>
      </c>
      <c r="E250" s="38">
        <v>39934</v>
      </c>
      <c r="F250" s="39">
        <v>43</v>
      </c>
      <c r="G250" t="s">
        <v>21</v>
      </c>
      <c r="H250" t="s">
        <v>21</v>
      </c>
      <c r="I250">
        <v>0</v>
      </c>
      <c r="J250">
        <v>0</v>
      </c>
      <c r="K250">
        <v>0</v>
      </c>
      <c r="L250">
        <v>1</v>
      </c>
      <c r="M250">
        <v>0</v>
      </c>
      <c r="N250" t="s">
        <v>193</v>
      </c>
      <c r="O250" t="s">
        <v>213</v>
      </c>
      <c r="P250" t="s">
        <v>204</v>
      </c>
      <c r="Q250" t="s">
        <v>170</v>
      </c>
      <c r="R250" t="s">
        <v>155</v>
      </c>
      <c r="T250" t="s">
        <v>134</v>
      </c>
      <c r="U250">
        <v>1</v>
      </c>
      <c r="W250" t="s">
        <v>134</v>
      </c>
      <c r="X250">
        <v>1</v>
      </c>
      <c r="Y250" t="s">
        <v>140</v>
      </c>
      <c r="Z250" t="s">
        <v>185</v>
      </c>
      <c r="AA250" t="s">
        <v>147</v>
      </c>
      <c r="AB250" t="s">
        <v>163</v>
      </c>
      <c r="AC250" t="s">
        <v>21</v>
      </c>
      <c r="AD250" t="s">
        <v>161</v>
      </c>
      <c r="AE250" t="s">
        <v>616</v>
      </c>
      <c r="AF250" t="s">
        <v>21</v>
      </c>
    </row>
    <row r="251" spans="1:32">
      <c r="A251" t="s">
        <v>796</v>
      </c>
      <c r="B251" s="37">
        <v>40084</v>
      </c>
      <c r="C251" s="38">
        <v>40084</v>
      </c>
      <c r="D251" s="38">
        <v>40084</v>
      </c>
      <c r="E251" s="38">
        <v>40057</v>
      </c>
      <c r="F251" s="39">
        <v>179</v>
      </c>
      <c r="G251" t="s">
        <v>21</v>
      </c>
      <c r="H251" t="s">
        <v>21</v>
      </c>
      <c r="I251">
        <v>0</v>
      </c>
      <c r="J251">
        <v>0</v>
      </c>
      <c r="K251">
        <v>0</v>
      </c>
      <c r="L251">
        <v>1</v>
      </c>
      <c r="M251">
        <v>0</v>
      </c>
      <c r="N251" t="s">
        <v>195</v>
      </c>
      <c r="O251" t="s">
        <v>213</v>
      </c>
      <c r="P251" t="s">
        <v>206</v>
      </c>
      <c r="Q251" t="s">
        <v>170</v>
      </c>
      <c r="R251" t="s">
        <v>155</v>
      </c>
      <c r="S251">
        <v>4</v>
      </c>
      <c r="T251" t="s">
        <v>137</v>
      </c>
      <c r="U251">
        <v>0</v>
      </c>
      <c r="V251">
        <v>3</v>
      </c>
      <c r="W251" t="s">
        <v>137</v>
      </c>
      <c r="X251">
        <v>0</v>
      </c>
      <c r="Y251" t="s">
        <v>139</v>
      </c>
      <c r="Z251" t="s">
        <v>188</v>
      </c>
      <c r="AA251" t="s">
        <v>143</v>
      </c>
      <c r="AB251" t="s">
        <v>163</v>
      </c>
      <c r="AC251" t="s">
        <v>797</v>
      </c>
      <c r="AD251" t="s">
        <v>155</v>
      </c>
      <c r="AE251" t="s">
        <v>798</v>
      </c>
      <c r="AF251" t="s">
        <v>21</v>
      </c>
    </row>
    <row r="252" spans="1:32">
      <c r="A252" t="s">
        <v>799</v>
      </c>
      <c r="B252" s="37">
        <v>40038</v>
      </c>
      <c r="C252" s="38">
        <v>40038</v>
      </c>
      <c r="D252" s="38">
        <v>40035</v>
      </c>
      <c r="E252" s="38">
        <v>40026</v>
      </c>
      <c r="F252" s="39">
        <v>133</v>
      </c>
      <c r="G252" t="s">
        <v>383</v>
      </c>
      <c r="H252" t="s">
        <v>17</v>
      </c>
      <c r="I252">
        <v>0</v>
      </c>
      <c r="J252">
        <v>0</v>
      </c>
      <c r="K252">
        <v>1</v>
      </c>
      <c r="L252">
        <v>0</v>
      </c>
      <c r="M252">
        <v>0</v>
      </c>
      <c r="N252" t="s">
        <v>193</v>
      </c>
      <c r="O252" t="s">
        <v>213</v>
      </c>
      <c r="P252" t="s">
        <v>204</v>
      </c>
      <c r="Q252" t="s">
        <v>170</v>
      </c>
      <c r="R252" t="s">
        <v>155</v>
      </c>
      <c r="S252">
        <v>3</v>
      </c>
      <c r="T252" t="s">
        <v>137</v>
      </c>
      <c r="U252">
        <v>0</v>
      </c>
      <c r="V252">
        <v>2</v>
      </c>
      <c r="W252" t="s">
        <v>136</v>
      </c>
      <c r="X252">
        <v>0</v>
      </c>
      <c r="Y252" t="s">
        <v>140</v>
      </c>
      <c r="Z252" t="s">
        <v>188</v>
      </c>
      <c r="AA252" t="s">
        <v>144</v>
      </c>
      <c r="AB252" t="s">
        <v>163</v>
      </c>
      <c r="AC252" t="s">
        <v>800</v>
      </c>
      <c r="AD252" t="s">
        <v>155</v>
      </c>
      <c r="AE252" t="s">
        <v>406</v>
      </c>
      <c r="AF252" t="s">
        <v>21</v>
      </c>
    </row>
    <row r="253" spans="1:32">
      <c r="A253" t="s">
        <v>801</v>
      </c>
      <c r="B253" s="37">
        <v>39959</v>
      </c>
      <c r="C253" s="38">
        <v>39959</v>
      </c>
      <c r="D253" s="38">
        <v>39958</v>
      </c>
      <c r="E253" s="38">
        <v>39934</v>
      </c>
      <c r="F253" s="39">
        <v>54</v>
      </c>
      <c r="G253" t="s">
        <v>21</v>
      </c>
      <c r="H253" t="s">
        <v>21</v>
      </c>
      <c r="I253">
        <v>0</v>
      </c>
      <c r="J253">
        <v>0</v>
      </c>
      <c r="K253">
        <v>0</v>
      </c>
      <c r="L253">
        <v>1</v>
      </c>
      <c r="M253">
        <v>0</v>
      </c>
      <c r="N253" t="s">
        <v>194</v>
      </c>
      <c r="O253" t="s">
        <v>213</v>
      </c>
      <c r="P253" t="s">
        <v>205</v>
      </c>
      <c r="Q253" t="s">
        <v>170</v>
      </c>
      <c r="R253" t="s">
        <v>155</v>
      </c>
      <c r="T253" t="s">
        <v>134</v>
      </c>
      <c r="U253">
        <v>1</v>
      </c>
      <c r="W253" t="s">
        <v>134</v>
      </c>
      <c r="X253">
        <v>1</v>
      </c>
      <c r="Y253" t="s">
        <v>139</v>
      </c>
      <c r="Z253" t="s">
        <v>188</v>
      </c>
      <c r="AA253" t="s">
        <v>144</v>
      </c>
      <c r="AB253" t="s">
        <v>162</v>
      </c>
      <c r="AC253" t="s">
        <v>802</v>
      </c>
      <c r="AD253" t="s">
        <v>155</v>
      </c>
      <c r="AE253" t="s">
        <v>129</v>
      </c>
      <c r="AF253" t="s">
        <v>21</v>
      </c>
    </row>
    <row r="254" spans="1:32">
      <c r="A254" t="s">
        <v>803</v>
      </c>
      <c r="B254" s="37">
        <v>40062</v>
      </c>
      <c r="C254" s="38">
        <v>40062</v>
      </c>
      <c r="D254" s="38">
        <v>40056</v>
      </c>
      <c r="E254" s="38">
        <v>40057</v>
      </c>
      <c r="F254" s="39">
        <v>157</v>
      </c>
      <c r="G254" t="s">
        <v>21</v>
      </c>
      <c r="H254" t="s">
        <v>21</v>
      </c>
      <c r="I254">
        <v>0</v>
      </c>
      <c r="J254">
        <v>0</v>
      </c>
      <c r="K254">
        <v>0</v>
      </c>
      <c r="L254">
        <v>1</v>
      </c>
      <c r="M254">
        <v>0</v>
      </c>
      <c r="N254" t="s">
        <v>544</v>
      </c>
      <c r="O254" t="s">
        <v>213</v>
      </c>
      <c r="P254" t="s">
        <v>545</v>
      </c>
      <c r="Q254" t="s">
        <v>170</v>
      </c>
      <c r="R254" t="s">
        <v>155</v>
      </c>
      <c r="S254">
        <v>1</v>
      </c>
      <c r="T254" t="s">
        <v>136</v>
      </c>
      <c r="U254">
        <v>0</v>
      </c>
      <c r="V254">
        <v>4</v>
      </c>
      <c r="W254" t="s">
        <v>137</v>
      </c>
      <c r="X254">
        <v>0</v>
      </c>
      <c r="Y254" t="s">
        <v>139</v>
      </c>
      <c r="Z254" t="s">
        <v>188</v>
      </c>
      <c r="AA254" t="s">
        <v>144</v>
      </c>
      <c r="AB254" t="s">
        <v>162</v>
      </c>
      <c r="AC254" t="s">
        <v>175</v>
      </c>
      <c r="AD254" t="s">
        <v>155</v>
      </c>
      <c r="AE254" t="s">
        <v>127</v>
      </c>
      <c r="AF254" t="s">
        <v>21</v>
      </c>
    </row>
    <row r="255" spans="1:32">
      <c r="A255" t="s">
        <v>804</v>
      </c>
      <c r="B255" s="37">
        <v>40009</v>
      </c>
      <c r="C255" s="38">
        <v>40009</v>
      </c>
      <c r="D255" s="38">
        <v>40007</v>
      </c>
      <c r="E255" s="38">
        <v>39995</v>
      </c>
      <c r="F255" s="39">
        <v>104</v>
      </c>
      <c r="G255" t="s">
        <v>380</v>
      </c>
      <c r="H255" t="s">
        <v>17</v>
      </c>
      <c r="I255">
        <v>0</v>
      </c>
      <c r="J255">
        <v>0</v>
      </c>
      <c r="K255">
        <v>1</v>
      </c>
      <c r="L255">
        <v>0</v>
      </c>
      <c r="M255">
        <v>0</v>
      </c>
      <c r="N255" t="s">
        <v>193</v>
      </c>
      <c r="O255" t="s">
        <v>213</v>
      </c>
      <c r="P255" t="s">
        <v>204</v>
      </c>
      <c r="Q255" t="s">
        <v>170</v>
      </c>
      <c r="R255" t="s">
        <v>155</v>
      </c>
      <c r="S255">
        <v>1</v>
      </c>
      <c r="T255" t="s">
        <v>136</v>
      </c>
      <c r="U255">
        <v>0</v>
      </c>
      <c r="V255">
        <v>2</v>
      </c>
      <c r="W255" t="s">
        <v>136</v>
      </c>
      <c r="X255">
        <v>0</v>
      </c>
      <c r="Y255" t="s">
        <v>140</v>
      </c>
      <c r="Z255" t="s">
        <v>191</v>
      </c>
      <c r="AA255" t="s">
        <v>142</v>
      </c>
      <c r="AB255" t="s">
        <v>162</v>
      </c>
      <c r="AC255" t="s">
        <v>21</v>
      </c>
      <c r="AD255" t="s">
        <v>155</v>
      </c>
      <c r="AE255" t="s">
        <v>130</v>
      </c>
      <c r="AF255" t="s">
        <v>21</v>
      </c>
    </row>
    <row r="256" spans="1:32">
      <c r="A256" t="s">
        <v>805</v>
      </c>
      <c r="B256" s="37">
        <v>39936</v>
      </c>
      <c r="C256" s="38">
        <v>39936</v>
      </c>
      <c r="D256" s="38">
        <v>39930</v>
      </c>
      <c r="E256" s="38">
        <v>39934</v>
      </c>
      <c r="F256" s="39">
        <v>31</v>
      </c>
      <c r="G256" t="s">
        <v>21</v>
      </c>
      <c r="H256" t="s">
        <v>21</v>
      </c>
      <c r="I256">
        <v>0</v>
      </c>
      <c r="J256">
        <v>0</v>
      </c>
      <c r="K256">
        <v>0</v>
      </c>
      <c r="L256">
        <v>1</v>
      </c>
      <c r="M256">
        <v>0</v>
      </c>
      <c r="N256" t="s">
        <v>198</v>
      </c>
      <c r="O256" t="s">
        <v>213</v>
      </c>
      <c r="P256" t="s">
        <v>208</v>
      </c>
      <c r="Q256" t="s">
        <v>170</v>
      </c>
      <c r="R256" t="s">
        <v>155</v>
      </c>
      <c r="T256" t="s">
        <v>134</v>
      </c>
      <c r="U256">
        <v>1</v>
      </c>
      <c r="W256" t="s">
        <v>134</v>
      </c>
      <c r="X256">
        <v>1</v>
      </c>
      <c r="Y256" t="s">
        <v>139</v>
      </c>
      <c r="Z256" t="s">
        <v>184</v>
      </c>
      <c r="AA256" t="s">
        <v>143</v>
      </c>
      <c r="AB256" t="s">
        <v>162</v>
      </c>
      <c r="AC256" t="s">
        <v>174</v>
      </c>
      <c r="AD256" t="s">
        <v>160</v>
      </c>
      <c r="AE256" t="s">
        <v>726</v>
      </c>
      <c r="AF256" t="s">
        <v>806</v>
      </c>
    </row>
    <row r="257" spans="1:32">
      <c r="A257" t="s">
        <v>807</v>
      </c>
      <c r="B257" s="37">
        <v>40047</v>
      </c>
      <c r="C257" s="38">
        <v>40047</v>
      </c>
      <c r="D257" s="38">
        <v>40042</v>
      </c>
      <c r="E257" s="38">
        <v>40026</v>
      </c>
      <c r="F257" s="39">
        <v>142</v>
      </c>
      <c r="G257" t="s">
        <v>21</v>
      </c>
      <c r="H257" t="s">
        <v>21</v>
      </c>
      <c r="I257">
        <v>0</v>
      </c>
      <c r="J257">
        <v>0</v>
      </c>
      <c r="K257">
        <v>0</v>
      </c>
      <c r="L257">
        <v>1</v>
      </c>
      <c r="M257">
        <v>0</v>
      </c>
      <c r="N257" t="s">
        <v>193</v>
      </c>
      <c r="O257" t="s">
        <v>213</v>
      </c>
      <c r="P257" t="s">
        <v>204</v>
      </c>
      <c r="Q257" t="s">
        <v>170</v>
      </c>
      <c r="R257" t="s">
        <v>155</v>
      </c>
      <c r="S257">
        <v>5</v>
      </c>
      <c r="T257" t="s">
        <v>135</v>
      </c>
      <c r="U257">
        <v>0</v>
      </c>
      <c r="V257">
        <v>5</v>
      </c>
      <c r="W257" t="s">
        <v>135</v>
      </c>
      <c r="X257">
        <v>0</v>
      </c>
      <c r="Y257" t="s">
        <v>140</v>
      </c>
      <c r="Z257" t="s">
        <v>181</v>
      </c>
      <c r="AA257" t="s">
        <v>149</v>
      </c>
      <c r="AB257" t="s">
        <v>162</v>
      </c>
      <c r="AC257" t="s">
        <v>174</v>
      </c>
      <c r="AD257" t="s">
        <v>157</v>
      </c>
      <c r="AE257" t="s">
        <v>127</v>
      </c>
      <c r="AF257" t="s">
        <v>808</v>
      </c>
    </row>
    <row r="258" spans="1:32">
      <c r="A258" t="s">
        <v>809</v>
      </c>
      <c r="B258" s="37">
        <v>39997</v>
      </c>
      <c r="C258" s="38">
        <v>39997</v>
      </c>
      <c r="D258" s="38">
        <v>39993</v>
      </c>
      <c r="E258" s="38">
        <v>39995</v>
      </c>
      <c r="F258" s="39">
        <v>92</v>
      </c>
      <c r="G258" t="s">
        <v>21</v>
      </c>
      <c r="H258" t="s">
        <v>21</v>
      </c>
      <c r="I258">
        <v>0</v>
      </c>
      <c r="J258">
        <v>0</v>
      </c>
      <c r="K258">
        <v>0</v>
      </c>
      <c r="L258">
        <v>1</v>
      </c>
      <c r="M258">
        <v>0</v>
      </c>
      <c r="N258" t="s">
        <v>197</v>
      </c>
      <c r="O258" t="s">
        <v>213</v>
      </c>
      <c r="P258" t="s">
        <v>209</v>
      </c>
      <c r="Q258" t="s">
        <v>170</v>
      </c>
      <c r="R258" t="s">
        <v>155</v>
      </c>
      <c r="T258" t="s">
        <v>134</v>
      </c>
      <c r="U258">
        <v>1</v>
      </c>
      <c r="V258">
        <v>3</v>
      </c>
      <c r="W258" t="s">
        <v>137</v>
      </c>
      <c r="X258">
        <v>0</v>
      </c>
      <c r="Y258" t="s">
        <v>139</v>
      </c>
      <c r="Z258" t="s">
        <v>810</v>
      </c>
      <c r="AA258" t="s">
        <v>145</v>
      </c>
      <c r="AB258" t="s">
        <v>162</v>
      </c>
      <c r="AC258" t="s">
        <v>21</v>
      </c>
      <c r="AD258" t="s">
        <v>155</v>
      </c>
      <c r="AE258" t="s">
        <v>130</v>
      </c>
      <c r="AF258" t="s">
        <v>21</v>
      </c>
    </row>
    <row r="259" spans="1:32">
      <c r="A259" t="s">
        <v>811</v>
      </c>
      <c r="B259" s="37">
        <v>39972</v>
      </c>
      <c r="C259" s="38">
        <v>39972</v>
      </c>
      <c r="D259" s="38">
        <v>39972</v>
      </c>
      <c r="E259" s="38">
        <v>39965</v>
      </c>
      <c r="F259" s="39">
        <v>67</v>
      </c>
      <c r="G259" t="s">
        <v>21</v>
      </c>
      <c r="H259" t="s">
        <v>21</v>
      </c>
      <c r="I259">
        <v>0</v>
      </c>
      <c r="J259">
        <v>0</v>
      </c>
      <c r="K259">
        <v>0</v>
      </c>
      <c r="L259">
        <v>1</v>
      </c>
      <c r="M259">
        <v>0</v>
      </c>
      <c r="N259" t="s">
        <v>193</v>
      </c>
      <c r="O259" t="s">
        <v>213</v>
      </c>
      <c r="P259" t="s">
        <v>204</v>
      </c>
      <c r="Q259" t="s">
        <v>170</v>
      </c>
      <c r="R259" t="s">
        <v>155</v>
      </c>
      <c r="T259" t="s">
        <v>134</v>
      </c>
      <c r="U259">
        <v>1</v>
      </c>
      <c r="W259" t="s">
        <v>134</v>
      </c>
      <c r="X259">
        <v>1</v>
      </c>
      <c r="Y259" t="s">
        <v>140</v>
      </c>
      <c r="Z259" t="s">
        <v>184</v>
      </c>
      <c r="AA259" t="s">
        <v>143</v>
      </c>
      <c r="AB259" t="s">
        <v>162</v>
      </c>
      <c r="AC259" t="s">
        <v>21</v>
      </c>
      <c r="AD259" t="s">
        <v>155</v>
      </c>
      <c r="AE259" t="s">
        <v>130</v>
      </c>
      <c r="AF259" t="s">
        <v>21</v>
      </c>
    </row>
    <row r="260" spans="1:32">
      <c r="A260" t="s">
        <v>812</v>
      </c>
      <c r="B260" s="37">
        <v>39930</v>
      </c>
      <c r="C260" s="38">
        <v>39930</v>
      </c>
      <c r="D260" s="38">
        <v>39930</v>
      </c>
      <c r="E260" s="38">
        <v>39904</v>
      </c>
      <c r="F260" s="39">
        <v>25</v>
      </c>
      <c r="G260" t="s">
        <v>21</v>
      </c>
      <c r="H260" t="s">
        <v>21</v>
      </c>
      <c r="I260">
        <v>0</v>
      </c>
      <c r="J260">
        <v>0</v>
      </c>
      <c r="K260">
        <v>0</v>
      </c>
      <c r="L260">
        <v>1</v>
      </c>
      <c r="M260">
        <v>0</v>
      </c>
      <c r="N260" t="s">
        <v>193</v>
      </c>
      <c r="O260" t="s">
        <v>213</v>
      </c>
      <c r="P260" t="s">
        <v>204</v>
      </c>
      <c r="Q260" t="s">
        <v>170</v>
      </c>
      <c r="R260" t="s">
        <v>155</v>
      </c>
      <c r="T260" t="s">
        <v>134</v>
      </c>
      <c r="U260">
        <v>1</v>
      </c>
      <c r="W260" t="s">
        <v>134</v>
      </c>
      <c r="X260">
        <v>1</v>
      </c>
      <c r="Y260" t="s">
        <v>140</v>
      </c>
      <c r="Z260" t="s">
        <v>179</v>
      </c>
      <c r="AA260" t="s">
        <v>147</v>
      </c>
      <c r="AB260" t="s">
        <v>162</v>
      </c>
      <c r="AC260" t="s">
        <v>174</v>
      </c>
      <c r="AD260" t="s">
        <v>156</v>
      </c>
      <c r="AE260" t="s">
        <v>120</v>
      </c>
      <c r="AF260" t="s">
        <v>741</v>
      </c>
    </row>
    <row r="261" spans="1:32">
      <c r="A261" t="s">
        <v>813</v>
      </c>
      <c r="B261" s="37">
        <v>39937</v>
      </c>
      <c r="C261" s="38">
        <v>39937</v>
      </c>
      <c r="D261" s="38">
        <v>39937</v>
      </c>
      <c r="E261" s="38">
        <v>39934</v>
      </c>
      <c r="F261" s="39">
        <v>32</v>
      </c>
      <c r="G261" t="s">
        <v>21</v>
      </c>
      <c r="H261" t="s">
        <v>21</v>
      </c>
      <c r="I261">
        <v>0</v>
      </c>
      <c r="J261">
        <v>0</v>
      </c>
      <c r="K261">
        <v>0</v>
      </c>
      <c r="L261">
        <v>1</v>
      </c>
      <c r="M261">
        <v>0</v>
      </c>
      <c r="N261" t="s">
        <v>198</v>
      </c>
      <c r="O261" t="s">
        <v>213</v>
      </c>
      <c r="P261" t="s">
        <v>208</v>
      </c>
      <c r="Q261" t="s">
        <v>170</v>
      </c>
      <c r="R261" t="s">
        <v>155</v>
      </c>
      <c r="T261" t="s">
        <v>134</v>
      </c>
      <c r="U261">
        <v>1</v>
      </c>
      <c r="W261" t="s">
        <v>134</v>
      </c>
      <c r="X261">
        <v>1</v>
      </c>
      <c r="Y261" t="s">
        <v>139</v>
      </c>
      <c r="Z261" t="s">
        <v>576</v>
      </c>
      <c r="AA261" t="s">
        <v>142</v>
      </c>
      <c r="AB261" t="s">
        <v>162</v>
      </c>
      <c r="AC261" t="s">
        <v>174</v>
      </c>
      <c r="AD261" t="s">
        <v>157</v>
      </c>
      <c r="AE261" t="s">
        <v>130</v>
      </c>
      <c r="AF261" t="s">
        <v>423</v>
      </c>
    </row>
    <row r="262" spans="1:32">
      <c r="A262" t="s">
        <v>814</v>
      </c>
      <c r="B262" s="37">
        <v>40010</v>
      </c>
      <c r="C262" s="38">
        <v>40010</v>
      </c>
      <c r="D262" s="38">
        <v>40007</v>
      </c>
      <c r="E262" s="38">
        <v>39995</v>
      </c>
      <c r="F262" s="39">
        <v>105</v>
      </c>
      <c r="G262" t="s">
        <v>21</v>
      </c>
      <c r="H262" t="s">
        <v>21</v>
      </c>
      <c r="I262">
        <v>0</v>
      </c>
      <c r="J262">
        <v>0</v>
      </c>
      <c r="K262">
        <v>0</v>
      </c>
      <c r="L262">
        <v>1</v>
      </c>
      <c r="M262">
        <v>0</v>
      </c>
      <c r="N262" t="s">
        <v>193</v>
      </c>
      <c r="O262" t="s">
        <v>213</v>
      </c>
      <c r="P262" t="s">
        <v>204</v>
      </c>
      <c r="Q262" t="s">
        <v>170</v>
      </c>
      <c r="R262" t="s">
        <v>155</v>
      </c>
      <c r="S262">
        <v>5</v>
      </c>
      <c r="T262" t="s">
        <v>135</v>
      </c>
      <c r="U262">
        <v>0</v>
      </c>
      <c r="V262">
        <v>3</v>
      </c>
      <c r="W262" t="s">
        <v>137</v>
      </c>
      <c r="X262">
        <v>0</v>
      </c>
      <c r="Y262" t="s">
        <v>140</v>
      </c>
      <c r="Z262" t="s">
        <v>179</v>
      </c>
      <c r="AA262" t="s">
        <v>143</v>
      </c>
      <c r="AB262" t="s">
        <v>162</v>
      </c>
      <c r="AC262" t="s">
        <v>175</v>
      </c>
      <c r="AD262" t="s">
        <v>155</v>
      </c>
      <c r="AE262" t="s">
        <v>130</v>
      </c>
      <c r="AF262" t="s">
        <v>21</v>
      </c>
    </row>
    <row r="263" spans="1:32">
      <c r="A263" t="s">
        <v>815</v>
      </c>
      <c r="B263" s="37">
        <v>40012</v>
      </c>
      <c r="C263" s="38">
        <v>40012</v>
      </c>
      <c r="D263" s="38">
        <v>40007</v>
      </c>
      <c r="E263" s="38">
        <v>39995</v>
      </c>
      <c r="F263" s="39">
        <v>107</v>
      </c>
      <c r="G263" t="s">
        <v>21</v>
      </c>
      <c r="H263" t="s">
        <v>21</v>
      </c>
      <c r="I263">
        <v>0</v>
      </c>
      <c r="J263">
        <v>0</v>
      </c>
      <c r="K263">
        <v>0</v>
      </c>
      <c r="L263">
        <v>1</v>
      </c>
      <c r="M263">
        <v>0</v>
      </c>
      <c r="N263" t="s">
        <v>193</v>
      </c>
      <c r="O263" t="s">
        <v>213</v>
      </c>
      <c r="P263" t="s">
        <v>204</v>
      </c>
      <c r="Q263" t="s">
        <v>170</v>
      </c>
      <c r="R263" t="s">
        <v>155</v>
      </c>
      <c r="S263">
        <v>5</v>
      </c>
      <c r="T263" t="s">
        <v>135</v>
      </c>
      <c r="U263">
        <v>0</v>
      </c>
      <c r="V263">
        <v>3</v>
      </c>
      <c r="W263" t="s">
        <v>137</v>
      </c>
      <c r="X263">
        <v>0</v>
      </c>
      <c r="Y263" t="s">
        <v>140</v>
      </c>
      <c r="Z263" t="s">
        <v>189</v>
      </c>
      <c r="AA263" t="s">
        <v>146</v>
      </c>
      <c r="AB263" t="s">
        <v>162</v>
      </c>
      <c r="AC263" t="s">
        <v>175</v>
      </c>
      <c r="AD263" t="s">
        <v>517</v>
      </c>
      <c r="AE263" t="s">
        <v>399</v>
      </c>
      <c r="AF263" t="s">
        <v>816</v>
      </c>
    </row>
    <row r="264" spans="1:32">
      <c r="A264" t="s">
        <v>817</v>
      </c>
      <c r="B264" s="37">
        <v>40007</v>
      </c>
      <c r="C264" s="38">
        <v>40007</v>
      </c>
      <c r="D264" s="38">
        <v>40007</v>
      </c>
      <c r="E264" s="38">
        <v>39995</v>
      </c>
      <c r="F264" s="39">
        <v>102</v>
      </c>
      <c r="G264" t="s">
        <v>383</v>
      </c>
      <c r="H264" t="s">
        <v>17</v>
      </c>
      <c r="I264">
        <v>0</v>
      </c>
      <c r="J264">
        <v>0</v>
      </c>
      <c r="K264">
        <v>1</v>
      </c>
      <c r="L264">
        <v>0</v>
      </c>
      <c r="M264">
        <v>0</v>
      </c>
      <c r="N264" t="s">
        <v>193</v>
      </c>
      <c r="O264" t="s">
        <v>213</v>
      </c>
      <c r="P264" t="s">
        <v>204</v>
      </c>
      <c r="Q264" t="s">
        <v>170</v>
      </c>
      <c r="R264" t="s">
        <v>155</v>
      </c>
      <c r="S264">
        <v>1</v>
      </c>
      <c r="T264" t="s">
        <v>136</v>
      </c>
      <c r="U264">
        <v>0</v>
      </c>
      <c r="V264">
        <v>2</v>
      </c>
      <c r="W264" t="s">
        <v>136</v>
      </c>
      <c r="X264">
        <v>0</v>
      </c>
      <c r="Y264" t="s">
        <v>140</v>
      </c>
      <c r="Z264" t="s">
        <v>178</v>
      </c>
      <c r="AA264" t="s">
        <v>151</v>
      </c>
      <c r="AB264" t="s">
        <v>162</v>
      </c>
      <c r="AC264" t="s">
        <v>175</v>
      </c>
      <c r="AD264" t="s">
        <v>155</v>
      </c>
      <c r="AE264" t="s">
        <v>130</v>
      </c>
      <c r="AF264" t="s">
        <v>21</v>
      </c>
    </row>
    <row r="265" spans="1:32">
      <c r="A265" t="s">
        <v>818</v>
      </c>
      <c r="B265" s="37">
        <v>39948</v>
      </c>
      <c r="C265" s="38">
        <v>39948</v>
      </c>
      <c r="D265" s="38">
        <v>39944</v>
      </c>
      <c r="E265" s="38">
        <v>39934</v>
      </c>
      <c r="F265" s="39">
        <v>43</v>
      </c>
      <c r="G265" t="s">
        <v>21</v>
      </c>
      <c r="H265" t="s">
        <v>21</v>
      </c>
      <c r="I265">
        <v>0</v>
      </c>
      <c r="J265">
        <v>0</v>
      </c>
      <c r="K265">
        <v>0</v>
      </c>
      <c r="L265">
        <v>1</v>
      </c>
      <c r="M265">
        <v>0</v>
      </c>
      <c r="N265" t="s">
        <v>195</v>
      </c>
      <c r="O265" t="s">
        <v>213</v>
      </c>
      <c r="P265" t="s">
        <v>206</v>
      </c>
      <c r="Q265" t="s">
        <v>170</v>
      </c>
      <c r="R265" t="s">
        <v>155</v>
      </c>
      <c r="T265" t="s">
        <v>134</v>
      </c>
      <c r="U265">
        <v>1</v>
      </c>
      <c r="W265" t="s">
        <v>134</v>
      </c>
      <c r="X265">
        <v>1</v>
      </c>
      <c r="Y265" t="s">
        <v>139</v>
      </c>
      <c r="Z265" t="s">
        <v>182</v>
      </c>
      <c r="AA265" t="s">
        <v>147</v>
      </c>
      <c r="AB265" t="s">
        <v>165</v>
      </c>
      <c r="AC265" t="s">
        <v>819</v>
      </c>
      <c r="AD265" t="s">
        <v>158</v>
      </c>
      <c r="AE265" t="s">
        <v>122</v>
      </c>
      <c r="AF265" t="s">
        <v>21</v>
      </c>
    </row>
    <row r="266" spans="1:32">
      <c r="A266" t="s">
        <v>820</v>
      </c>
      <c r="B266" s="37">
        <v>39980</v>
      </c>
      <c r="C266" s="38">
        <v>39980</v>
      </c>
      <c r="D266" s="38">
        <v>39979</v>
      </c>
      <c r="E266" s="38">
        <v>39965</v>
      </c>
      <c r="F266" s="39">
        <v>75</v>
      </c>
      <c r="G266" t="s">
        <v>383</v>
      </c>
      <c r="H266" t="s">
        <v>17</v>
      </c>
      <c r="I266">
        <v>0</v>
      </c>
      <c r="J266">
        <v>0</v>
      </c>
      <c r="K266">
        <v>1</v>
      </c>
      <c r="L266">
        <v>0</v>
      </c>
      <c r="M266">
        <v>0</v>
      </c>
      <c r="N266" t="s">
        <v>193</v>
      </c>
      <c r="O266" t="s">
        <v>213</v>
      </c>
      <c r="P266" t="s">
        <v>204</v>
      </c>
      <c r="Q266" t="s">
        <v>170</v>
      </c>
      <c r="R266" t="s">
        <v>155</v>
      </c>
      <c r="T266" t="s">
        <v>134</v>
      </c>
      <c r="U266">
        <v>1</v>
      </c>
      <c r="W266" t="s">
        <v>134</v>
      </c>
      <c r="X266">
        <v>1</v>
      </c>
      <c r="Y266" t="s">
        <v>140</v>
      </c>
      <c r="Z266" t="s">
        <v>479</v>
      </c>
      <c r="AA266" t="s">
        <v>146</v>
      </c>
      <c r="AB266" t="s">
        <v>163</v>
      </c>
      <c r="AC266" t="s">
        <v>173</v>
      </c>
      <c r="AD266" t="s">
        <v>155</v>
      </c>
      <c r="AE266" t="s">
        <v>130</v>
      </c>
      <c r="AF266" t="s">
        <v>21</v>
      </c>
    </row>
    <row r="267" spans="1:32">
      <c r="A267" t="s">
        <v>821</v>
      </c>
      <c r="B267" s="37">
        <v>39967</v>
      </c>
      <c r="C267" s="38">
        <v>39967</v>
      </c>
      <c r="D267" s="38">
        <v>39965</v>
      </c>
      <c r="E267" s="38">
        <v>39965</v>
      </c>
      <c r="F267" s="39">
        <v>62</v>
      </c>
      <c r="G267" t="s">
        <v>21</v>
      </c>
      <c r="H267" t="s">
        <v>21</v>
      </c>
      <c r="I267">
        <v>0</v>
      </c>
      <c r="J267">
        <v>0</v>
      </c>
      <c r="K267">
        <v>0</v>
      </c>
      <c r="L267">
        <v>1</v>
      </c>
      <c r="M267">
        <v>0</v>
      </c>
      <c r="N267" t="s">
        <v>193</v>
      </c>
      <c r="O267" t="s">
        <v>213</v>
      </c>
      <c r="P267" t="s">
        <v>204</v>
      </c>
      <c r="Q267" t="s">
        <v>170</v>
      </c>
      <c r="R267" t="s">
        <v>155</v>
      </c>
      <c r="T267" t="s">
        <v>134</v>
      </c>
      <c r="U267">
        <v>1</v>
      </c>
      <c r="W267" t="s">
        <v>134</v>
      </c>
      <c r="X267">
        <v>1</v>
      </c>
      <c r="Y267" t="s">
        <v>140</v>
      </c>
      <c r="Z267" t="s">
        <v>185</v>
      </c>
      <c r="AA267" t="s">
        <v>146</v>
      </c>
      <c r="AB267" t="s">
        <v>162</v>
      </c>
      <c r="AC267" t="s">
        <v>550</v>
      </c>
      <c r="AD267" t="s">
        <v>157</v>
      </c>
      <c r="AE267" t="s">
        <v>127</v>
      </c>
      <c r="AF267" t="s">
        <v>822</v>
      </c>
    </row>
    <row r="268" spans="1:32">
      <c r="A268" t="s">
        <v>823</v>
      </c>
      <c r="B268" s="37">
        <v>40003</v>
      </c>
      <c r="C268" s="38">
        <v>40003</v>
      </c>
      <c r="D268" s="38">
        <v>40000</v>
      </c>
      <c r="E268" s="38">
        <v>39995</v>
      </c>
      <c r="F268" s="39">
        <v>98</v>
      </c>
      <c r="G268" t="s">
        <v>21</v>
      </c>
      <c r="H268" t="s">
        <v>21</v>
      </c>
      <c r="I268">
        <v>0</v>
      </c>
      <c r="J268">
        <v>0</v>
      </c>
      <c r="K268">
        <v>0</v>
      </c>
      <c r="L268">
        <v>1</v>
      </c>
      <c r="M268">
        <v>0</v>
      </c>
      <c r="N268" t="s">
        <v>196</v>
      </c>
      <c r="O268" t="s">
        <v>213</v>
      </c>
      <c r="P268" t="s">
        <v>207</v>
      </c>
      <c r="Q268" t="s">
        <v>170</v>
      </c>
      <c r="R268" t="s">
        <v>155</v>
      </c>
      <c r="T268" t="s">
        <v>134</v>
      </c>
      <c r="U268">
        <v>1</v>
      </c>
      <c r="V268">
        <v>5</v>
      </c>
      <c r="W268" t="s">
        <v>135</v>
      </c>
      <c r="X268">
        <v>0</v>
      </c>
      <c r="Y268" t="s">
        <v>139</v>
      </c>
      <c r="Z268" t="s">
        <v>433</v>
      </c>
      <c r="AA268" t="s">
        <v>144</v>
      </c>
      <c r="AB268" t="s">
        <v>162</v>
      </c>
      <c r="AC268" t="s">
        <v>824</v>
      </c>
      <c r="AD268" t="s">
        <v>157</v>
      </c>
      <c r="AE268" t="s">
        <v>127</v>
      </c>
      <c r="AF268" t="s">
        <v>153</v>
      </c>
    </row>
    <row r="269" spans="1:32">
      <c r="A269" t="s">
        <v>825</v>
      </c>
      <c r="B269" s="37">
        <v>39923</v>
      </c>
      <c r="C269" s="38">
        <v>39923</v>
      </c>
      <c r="D269" s="38">
        <v>39923</v>
      </c>
      <c r="E269" s="38">
        <v>39904</v>
      </c>
      <c r="F269" s="39">
        <v>18</v>
      </c>
      <c r="G269" t="s">
        <v>21</v>
      </c>
      <c r="H269" t="s">
        <v>21</v>
      </c>
      <c r="I269">
        <v>0</v>
      </c>
      <c r="J269">
        <v>0</v>
      </c>
      <c r="K269">
        <v>0</v>
      </c>
      <c r="L269">
        <v>1</v>
      </c>
      <c r="M269">
        <v>0</v>
      </c>
      <c r="N269" t="s">
        <v>193</v>
      </c>
      <c r="O269" t="s">
        <v>213</v>
      </c>
      <c r="P269" t="s">
        <v>204</v>
      </c>
      <c r="Q269" t="s">
        <v>170</v>
      </c>
      <c r="R269" t="s">
        <v>155</v>
      </c>
      <c r="T269" t="s">
        <v>134</v>
      </c>
      <c r="U269">
        <v>1</v>
      </c>
      <c r="W269" t="s">
        <v>134</v>
      </c>
      <c r="X269">
        <v>1</v>
      </c>
      <c r="Y269" t="s">
        <v>140</v>
      </c>
      <c r="Z269" t="s">
        <v>178</v>
      </c>
      <c r="AA269" t="s">
        <v>151</v>
      </c>
      <c r="AB269" t="s">
        <v>162</v>
      </c>
      <c r="AC269" t="s">
        <v>175</v>
      </c>
      <c r="AD269" t="s">
        <v>155</v>
      </c>
      <c r="AE269" t="s">
        <v>392</v>
      </c>
      <c r="AF269" t="s">
        <v>21</v>
      </c>
    </row>
    <row r="270" spans="1:32">
      <c r="A270" t="s">
        <v>826</v>
      </c>
      <c r="B270" s="37">
        <v>39996</v>
      </c>
      <c r="C270" s="38">
        <v>39996</v>
      </c>
      <c r="D270" s="38">
        <v>39993</v>
      </c>
      <c r="E270" s="38">
        <v>39995</v>
      </c>
      <c r="F270" s="39">
        <v>91</v>
      </c>
      <c r="G270" t="s">
        <v>21</v>
      </c>
      <c r="H270" t="s">
        <v>21</v>
      </c>
      <c r="I270">
        <v>0</v>
      </c>
      <c r="J270">
        <v>0</v>
      </c>
      <c r="K270">
        <v>0</v>
      </c>
      <c r="L270">
        <v>1</v>
      </c>
      <c r="M270">
        <v>0</v>
      </c>
      <c r="N270" t="s">
        <v>194</v>
      </c>
      <c r="O270" t="s">
        <v>213</v>
      </c>
      <c r="P270" t="s">
        <v>205</v>
      </c>
      <c r="Q270" t="s">
        <v>170</v>
      </c>
      <c r="R270" t="s">
        <v>155</v>
      </c>
      <c r="T270" t="s">
        <v>134</v>
      </c>
      <c r="U270">
        <v>1</v>
      </c>
      <c r="V270">
        <v>5</v>
      </c>
      <c r="W270" t="s">
        <v>135</v>
      </c>
      <c r="X270">
        <v>0</v>
      </c>
      <c r="Y270" t="s">
        <v>139</v>
      </c>
      <c r="Z270" t="s">
        <v>181</v>
      </c>
      <c r="AA270" t="s">
        <v>146</v>
      </c>
      <c r="AB270" t="s">
        <v>162</v>
      </c>
      <c r="AC270" t="s">
        <v>174</v>
      </c>
      <c r="AD270" t="s">
        <v>156</v>
      </c>
      <c r="AE270" t="s">
        <v>120</v>
      </c>
      <c r="AF270" t="s">
        <v>827</v>
      </c>
    </row>
    <row r="271" spans="1:32">
      <c r="A271" t="s">
        <v>828</v>
      </c>
      <c r="B271" s="37">
        <v>40003</v>
      </c>
      <c r="C271" s="38">
        <v>40003</v>
      </c>
      <c r="D271" s="38">
        <v>40000</v>
      </c>
      <c r="E271" s="38">
        <v>39995</v>
      </c>
      <c r="F271" s="39">
        <v>98</v>
      </c>
      <c r="G271" t="s">
        <v>21</v>
      </c>
      <c r="H271" t="s">
        <v>21</v>
      </c>
      <c r="I271">
        <v>0</v>
      </c>
      <c r="J271">
        <v>0</v>
      </c>
      <c r="K271">
        <v>0</v>
      </c>
      <c r="L271">
        <v>1</v>
      </c>
      <c r="M271">
        <v>0</v>
      </c>
      <c r="N271" t="s">
        <v>194</v>
      </c>
      <c r="O271" t="s">
        <v>213</v>
      </c>
      <c r="P271" t="s">
        <v>205</v>
      </c>
      <c r="Q271" t="s">
        <v>170</v>
      </c>
      <c r="R271" t="s">
        <v>155</v>
      </c>
      <c r="T271" t="s">
        <v>134</v>
      </c>
      <c r="U271">
        <v>1</v>
      </c>
      <c r="V271">
        <v>3</v>
      </c>
      <c r="W271" t="s">
        <v>137</v>
      </c>
      <c r="X271">
        <v>0</v>
      </c>
      <c r="Y271" t="s">
        <v>139</v>
      </c>
      <c r="Z271" t="s">
        <v>178</v>
      </c>
      <c r="AA271" t="s">
        <v>142</v>
      </c>
      <c r="AB271" t="s">
        <v>162</v>
      </c>
      <c r="AC271" t="s">
        <v>174</v>
      </c>
      <c r="AD271" t="s">
        <v>156</v>
      </c>
      <c r="AE271" t="s">
        <v>120</v>
      </c>
      <c r="AF271" t="s">
        <v>748</v>
      </c>
    </row>
    <row r="272" spans="1:32">
      <c r="A272" t="s">
        <v>829</v>
      </c>
      <c r="B272" s="37">
        <v>40079</v>
      </c>
      <c r="C272" s="38">
        <v>40079</v>
      </c>
      <c r="D272" s="38">
        <v>40077</v>
      </c>
      <c r="E272" s="38">
        <v>40057</v>
      </c>
      <c r="F272" s="39">
        <v>174</v>
      </c>
      <c r="G272" t="s">
        <v>21</v>
      </c>
      <c r="H272" t="s">
        <v>21</v>
      </c>
      <c r="I272">
        <v>0</v>
      </c>
      <c r="J272">
        <v>0</v>
      </c>
      <c r="K272">
        <v>0</v>
      </c>
      <c r="L272">
        <v>1</v>
      </c>
      <c r="M272">
        <v>0</v>
      </c>
      <c r="N272" t="s">
        <v>544</v>
      </c>
      <c r="O272" t="s">
        <v>213</v>
      </c>
      <c r="P272" t="s">
        <v>545</v>
      </c>
      <c r="Q272" t="s">
        <v>170</v>
      </c>
      <c r="R272" t="s">
        <v>155</v>
      </c>
      <c r="S272">
        <v>5</v>
      </c>
      <c r="T272" t="s">
        <v>135</v>
      </c>
      <c r="U272">
        <v>0</v>
      </c>
      <c r="V272">
        <v>2</v>
      </c>
      <c r="W272" t="s">
        <v>136</v>
      </c>
      <c r="X272">
        <v>0</v>
      </c>
      <c r="Y272" t="s">
        <v>139</v>
      </c>
      <c r="Z272" t="s">
        <v>384</v>
      </c>
      <c r="AA272" t="s">
        <v>144</v>
      </c>
      <c r="AB272" t="s">
        <v>162</v>
      </c>
      <c r="AC272" t="s">
        <v>176</v>
      </c>
      <c r="AD272" t="s">
        <v>155</v>
      </c>
      <c r="AE272" t="s">
        <v>830</v>
      </c>
      <c r="AF272" t="s">
        <v>21</v>
      </c>
    </row>
    <row r="273" spans="1:32">
      <c r="A273" t="s">
        <v>831</v>
      </c>
      <c r="B273" s="37">
        <v>40022</v>
      </c>
      <c r="C273" s="38">
        <v>40022</v>
      </c>
      <c r="D273" s="38">
        <v>40021</v>
      </c>
      <c r="E273" s="38">
        <v>39995</v>
      </c>
      <c r="F273" s="39">
        <v>117</v>
      </c>
      <c r="G273" t="s">
        <v>9</v>
      </c>
      <c r="H273" t="s">
        <v>9</v>
      </c>
      <c r="I273">
        <v>1</v>
      </c>
      <c r="J273">
        <v>0</v>
      </c>
      <c r="K273">
        <v>0</v>
      </c>
      <c r="L273">
        <v>0</v>
      </c>
      <c r="M273">
        <v>1</v>
      </c>
      <c r="N273" t="s">
        <v>193</v>
      </c>
      <c r="O273" t="s">
        <v>213</v>
      </c>
      <c r="P273" t="s">
        <v>204</v>
      </c>
      <c r="Q273" t="s">
        <v>170</v>
      </c>
      <c r="R273" t="s">
        <v>155</v>
      </c>
      <c r="S273">
        <v>5</v>
      </c>
      <c r="T273" t="s">
        <v>135</v>
      </c>
      <c r="U273">
        <v>0</v>
      </c>
      <c r="V273">
        <v>5</v>
      </c>
      <c r="W273" t="s">
        <v>135</v>
      </c>
      <c r="X273">
        <v>0</v>
      </c>
      <c r="Y273" t="s">
        <v>140</v>
      </c>
      <c r="Z273" t="s">
        <v>185</v>
      </c>
      <c r="AA273" t="s">
        <v>143</v>
      </c>
      <c r="AB273" t="s">
        <v>162</v>
      </c>
      <c r="AC273" t="s">
        <v>174</v>
      </c>
      <c r="AD273" t="s">
        <v>156</v>
      </c>
      <c r="AE273" t="s">
        <v>120</v>
      </c>
      <c r="AF273" t="s">
        <v>832</v>
      </c>
    </row>
    <row r="274" spans="1:32">
      <c r="A274" t="s">
        <v>833</v>
      </c>
      <c r="B274" s="37">
        <v>39969</v>
      </c>
      <c r="C274" s="38">
        <v>39969</v>
      </c>
      <c r="D274" s="38">
        <v>39965</v>
      </c>
      <c r="E274" s="38">
        <v>39965</v>
      </c>
      <c r="F274" s="39">
        <v>64</v>
      </c>
      <c r="G274" t="s">
        <v>21</v>
      </c>
      <c r="H274" t="s">
        <v>21</v>
      </c>
      <c r="I274">
        <v>0</v>
      </c>
      <c r="J274">
        <v>0</v>
      </c>
      <c r="K274">
        <v>0</v>
      </c>
      <c r="L274">
        <v>1</v>
      </c>
      <c r="M274">
        <v>0</v>
      </c>
      <c r="N274" t="s">
        <v>193</v>
      </c>
      <c r="O274" t="s">
        <v>213</v>
      </c>
      <c r="P274" t="s">
        <v>204</v>
      </c>
      <c r="Q274" t="s">
        <v>170</v>
      </c>
      <c r="R274" t="s">
        <v>155</v>
      </c>
      <c r="T274" t="s">
        <v>134</v>
      </c>
      <c r="U274">
        <v>1</v>
      </c>
      <c r="W274" t="s">
        <v>134</v>
      </c>
      <c r="X274">
        <v>1</v>
      </c>
      <c r="Y274" t="s">
        <v>140</v>
      </c>
      <c r="Z274" t="s">
        <v>183</v>
      </c>
      <c r="AA274" t="s">
        <v>144</v>
      </c>
      <c r="AB274" t="s">
        <v>163</v>
      </c>
      <c r="AC274" t="s">
        <v>173</v>
      </c>
      <c r="AD274" t="s">
        <v>155</v>
      </c>
      <c r="AE274" t="s">
        <v>124</v>
      </c>
      <c r="AF274" t="s">
        <v>21</v>
      </c>
    </row>
    <row r="275" spans="1:32">
      <c r="A275" t="s">
        <v>834</v>
      </c>
      <c r="B275" s="37">
        <v>40022</v>
      </c>
      <c r="C275" s="38">
        <v>40022</v>
      </c>
      <c r="D275" s="38">
        <v>40021</v>
      </c>
      <c r="E275" s="38">
        <v>39995</v>
      </c>
      <c r="F275" s="39">
        <v>117</v>
      </c>
      <c r="G275" t="s">
        <v>21</v>
      </c>
      <c r="H275" t="s">
        <v>21</v>
      </c>
      <c r="I275">
        <v>0</v>
      </c>
      <c r="J275">
        <v>0</v>
      </c>
      <c r="K275">
        <v>0</v>
      </c>
      <c r="L275">
        <v>1</v>
      </c>
      <c r="M275">
        <v>0</v>
      </c>
      <c r="N275" t="s">
        <v>196</v>
      </c>
      <c r="O275" t="s">
        <v>213</v>
      </c>
      <c r="P275" t="s">
        <v>207</v>
      </c>
      <c r="Q275" t="s">
        <v>170</v>
      </c>
      <c r="R275" t="s">
        <v>155</v>
      </c>
      <c r="S275">
        <v>5</v>
      </c>
      <c r="T275" t="s">
        <v>135</v>
      </c>
      <c r="U275">
        <v>0</v>
      </c>
      <c r="V275">
        <v>3</v>
      </c>
      <c r="W275" t="s">
        <v>137</v>
      </c>
      <c r="X275">
        <v>0</v>
      </c>
      <c r="Y275" t="s">
        <v>139</v>
      </c>
      <c r="Z275" t="s">
        <v>179</v>
      </c>
      <c r="AA275" t="s">
        <v>146</v>
      </c>
      <c r="AB275" t="s">
        <v>163</v>
      </c>
      <c r="AC275" t="s">
        <v>835</v>
      </c>
      <c r="AD275" t="s">
        <v>155</v>
      </c>
      <c r="AE275" t="s">
        <v>125</v>
      </c>
      <c r="AF275" t="s">
        <v>21</v>
      </c>
    </row>
    <row r="276" spans="1:32">
      <c r="A276" t="s">
        <v>836</v>
      </c>
      <c r="B276" s="37">
        <v>39906</v>
      </c>
      <c r="C276" s="38">
        <v>39906</v>
      </c>
      <c r="D276" s="38">
        <v>39902</v>
      </c>
      <c r="E276" s="38">
        <v>39904</v>
      </c>
      <c r="F276" s="39">
        <v>1</v>
      </c>
      <c r="G276" t="s">
        <v>21</v>
      </c>
      <c r="H276" t="s">
        <v>21</v>
      </c>
      <c r="I276">
        <v>0</v>
      </c>
      <c r="J276">
        <v>0</v>
      </c>
      <c r="K276">
        <v>0</v>
      </c>
      <c r="L276">
        <v>1</v>
      </c>
      <c r="M276">
        <v>0</v>
      </c>
      <c r="N276" t="s">
        <v>199</v>
      </c>
      <c r="O276" t="s">
        <v>213</v>
      </c>
      <c r="P276" t="s">
        <v>210</v>
      </c>
      <c r="Q276" t="s">
        <v>170</v>
      </c>
      <c r="R276" t="s">
        <v>155</v>
      </c>
      <c r="T276" t="s">
        <v>134</v>
      </c>
      <c r="U276">
        <v>1</v>
      </c>
      <c r="W276" t="s">
        <v>134</v>
      </c>
      <c r="X276">
        <v>1</v>
      </c>
      <c r="Y276" t="s">
        <v>139</v>
      </c>
      <c r="Z276" t="s">
        <v>183</v>
      </c>
      <c r="AA276" t="s">
        <v>142</v>
      </c>
      <c r="AB276" t="s">
        <v>165</v>
      </c>
      <c r="AC276" t="s">
        <v>837</v>
      </c>
      <c r="AD276" t="s">
        <v>158</v>
      </c>
      <c r="AE276" t="s">
        <v>122</v>
      </c>
      <c r="AF276" t="s">
        <v>21</v>
      </c>
    </row>
    <row r="277" spans="1:32">
      <c r="A277" t="s">
        <v>838</v>
      </c>
      <c r="B277" s="37">
        <v>40000</v>
      </c>
      <c r="C277" s="38">
        <v>40000</v>
      </c>
      <c r="D277" s="38">
        <v>40000</v>
      </c>
      <c r="E277" s="38">
        <v>39995</v>
      </c>
      <c r="F277" s="39">
        <v>95</v>
      </c>
      <c r="G277" t="s">
        <v>383</v>
      </c>
      <c r="H277" t="s">
        <v>17</v>
      </c>
      <c r="I277">
        <v>0</v>
      </c>
      <c r="J277">
        <v>0</v>
      </c>
      <c r="K277">
        <v>1</v>
      </c>
      <c r="L277">
        <v>0</v>
      </c>
      <c r="M277">
        <v>0</v>
      </c>
      <c r="N277" t="s">
        <v>193</v>
      </c>
      <c r="O277" t="s">
        <v>213</v>
      </c>
      <c r="P277" t="s">
        <v>204</v>
      </c>
      <c r="Q277" t="s">
        <v>170</v>
      </c>
      <c r="R277" t="s">
        <v>155</v>
      </c>
      <c r="T277" t="s">
        <v>134</v>
      </c>
      <c r="U277">
        <v>1</v>
      </c>
      <c r="V277">
        <v>3</v>
      </c>
      <c r="W277" t="s">
        <v>137</v>
      </c>
      <c r="X277">
        <v>0</v>
      </c>
      <c r="Y277" t="s">
        <v>140</v>
      </c>
      <c r="Z277" t="s">
        <v>181</v>
      </c>
      <c r="AA277" t="s">
        <v>144</v>
      </c>
      <c r="AB277" t="s">
        <v>162</v>
      </c>
      <c r="AC277" t="s">
        <v>175</v>
      </c>
      <c r="AD277" t="s">
        <v>155</v>
      </c>
      <c r="AE277" t="s">
        <v>129</v>
      </c>
      <c r="AF277" t="s">
        <v>21</v>
      </c>
    </row>
    <row r="278" spans="1:32">
      <c r="A278" t="s">
        <v>839</v>
      </c>
      <c r="B278" s="37">
        <v>39954</v>
      </c>
      <c r="C278" s="38">
        <v>39954</v>
      </c>
      <c r="D278" s="38">
        <v>39951</v>
      </c>
      <c r="E278" s="38">
        <v>39934</v>
      </c>
      <c r="F278" s="39">
        <v>49</v>
      </c>
      <c r="G278" t="s">
        <v>525</v>
      </c>
      <c r="H278" t="s">
        <v>17</v>
      </c>
      <c r="I278">
        <v>0</v>
      </c>
      <c r="J278">
        <v>0</v>
      </c>
      <c r="K278">
        <v>1</v>
      </c>
      <c r="L278">
        <v>0</v>
      </c>
      <c r="M278">
        <v>0</v>
      </c>
      <c r="N278" t="s">
        <v>193</v>
      </c>
      <c r="O278" t="s">
        <v>213</v>
      </c>
      <c r="P278" t="s">
        <v>204</v>
      </c>
      <c r="Q278" t="s">
        <v>170</v>
      </c>
      <c r="R278" t="s">
        <v>155</v>
      </c>
      <c r="T278" t="s">
        <v>134</v>
      </c>
      <c r="U278">
        <v>1</v>
      </c>
      <c r="W278" t="s">
        <v>134</v>
      </c>
      <c r="X278">
        <v>1</v>
      </c>
      <c r="Y278" t="s">
        <v>140</v>
      </c>
      <c r="Z278" t="s">
        <v>186</v>
      </c>
      <c r="AA278" t="s">
        <v>144</v>
      </c>
      <c r="AB278" t="s">
        <v>162</v>
      </c>
      <c r="AC278" t="s">
        <v>176</v>
      </c>
      <c r="AD278" t="s">
        <v>159</v>
      </c>
      <c r="AE278" t="s">
        <v>126</v>
      </c>
      <c r="AF278" t="s">
        <v>601</v>
      </c>
    </row>
    <row r="279" spans="1:32">
      <c r="A279" t="s">
        <v>840</v>
      </c>
      <c r="B279" s="37">
        <v>40023</v>
      </c>
      <c r="C279" s="38">
        <v>40023</v>
      </c>
      <c r="D279" s="38">
        <v>40021</v>
      </c>
      <c r="E279" s="38">
        <v>39995</v>
      </c>
      <c r="F279" s="39">
        <v>118</v>
      </c>
      <c r="G279" t="s">
        <v>21</v>
      </c>
      <c r="H279" t="s">
        <v>21</v>
      </c>
      <c r="I279">
        <v>0</v>
      </c>
      <c r="J279">
        <v>0</v>
      </c>
      <c r="K279">
        <v>0</v>
      </c>
      <c r="L279">
        <v>1</v>
      </c>
      <c r="M279">
        <v>0</v>
      </c>
      <c r="N279" t="s">
        <v>196</v>
      </c>
      <c r="O279" t="s">
        <v>213</v>
      </c>
      <c r="P279" t="s">
        <v>207</v>
      </c>
      <c r="Q279" t="s">
        <v>170</v>
      </c>
      <c r="R279" t="s">
        <v>155</v>
      </c>
      <c r="S279">
        <v>5</v>
      </c>
      <c r="T279" t="s">
        <v>135</v>
      </c>
      <c r="U279">
        <v>0</v>
      </c>
      <c r="V279">
        <v>5</v>
      </c>
      <c r="W279" t="s">
        <v>135</v>
      </c>
      <c r="X279">
        <v>0</v>
      </c>
      <c r="Y279" t="s">
        <v>139</v>
      </c>
      <c r="Z279" t="s">
        <v>187</v>
      </c>
      <c r="AA279" t="s">
        <v>143</v>
      </c>
      <c r="AB279" t="s">
        <v>162</v>
      </c>
      <c r="AC279" t="s">
        <v>175</v>
      </c>
      <c r="AD279" t="s">
        <v>155</v>
      </c>
      <c r="AE279" t="s">
        <v>571</v>
      </c>
      <c r="AF279" t="s">
        <v>21</v>
      </c>
    </row>
    <row r="280" spans="1:32">
      <c r="A280" t="s">
        <v>841</v>
      </c>
      <c r="B280" s="37">
        <v>39938</v>
      </c>
      <c r="C280" s="38">
        <v>39938</v>
      </c>
      <c r="D280" s="38">
        <v>39937</v>
      </c>
      <c r="E280" s="38">
        <v>39934</v>
      </c>
      <c r="F280" s="39">
        <v>33</v>
      </c>
      <c r="G280" t="s">
        <v>21</v>
      </c>
      <c r="H280" t="s">
        <v>21</v>
      </c>
      <c r="I280">
        <v>0</v>
      </c>
      <c r="J280">
        <v>0</v>
      </c>
      <c r="K280">
        <v>0</v>
      </c>
      <c r="L280">
        <v>1</v>
      </c>
      <c r="M280">
        <v>0</v>
      </c>
      <c r="N280" t="s">
        <v>198</v>
      </c>
      <c r="O280" t="s">
        <v>213</v>
      </c>
      <c r="P280" t="s">
        <v>208</v>
      </c>
      <c r="Q280" t="s">
        <v>170</v>
      </c>
      <c r="R280" t="s">
        <v>155</v>
      </c>
      <c r="T280" t="s">
        <v>134</v>
      </c>
      <c r="U280">
        <v>1</v>
      </c>
      <c r="W280" t="s">
        <v>134</v>
      </c>
      <c r="X280">
        <v>1</v>
      </c>
      <c r="Y280" t="s">
        <v>139</v>
      </c>
      <c r="Z280" t="s">
        <v>187</v>
      </c>
      <c r="AA280" t="s">
        <v>149</v>
      </c>
      <c r="AB280" t="s">
        <v>162</v>
      </c>
      <c r="AC280" t="s">
        <v>175</v>
      </c>
      <c r="AD280" t="s">
        <v>155</v>
      </c>
      <c r="AE280" t="s">
        <v>130</v>
      </c>
      <c r="AF280" t="s">
        <v>21</v>
      </c>
    </row>
    <row r="281" spans="1:32">
      <c r="A281" t="s">
        <v>842</v>
      </c>
      <c r="B281" s="37">
        <v>39981</v>
      </c>
      <c r="C281" s="38">
        <v>39981</v>
      </c>
      <c r="D281" s="38">
        <v>39979</v>
      </c>
      <c r="E281" s="38">
        <v>39965</v>
      </c>
      <c r="F281" s="39">
        <v>76</v>
      </c>
      <c r="G281" t="s">
        <v>21</v>
      </c>
      <c r="H281" t="s">
        <v>21</v>
      </c>
      <c r="I281">
        <v>0</v>
      </c>
      <c r="J281">
        <v>0</v>
      </c>
      <c r="K281">
        <v>0</v>
      </c>
      <c r="L281">
        <v>1</v>
      </c>
      <c r="M281">
        <v>0</v>
      </c>
      <c r="N281" t="s">
        <v>193</v>
      </c>
      <c r="O281" t="s">
        <v>213</v>
      </c>
      <c r="P281" t="s">
        <v>204</v>
      </c>
      <c r="Q281" t="s">
        <v>170</v>
      </c>
      <c r="R281" t="s">
        <v>155</v>
      </c>
      <c r="T281" t="s">
        <v>134</v>
      </c>
      <c r="U281">
        <v>1</v>
      </c>
      <c r="W281" t="s">
        <v>134</v>
      </c>
      <c r="X281">
        <v>1</v>
      </c>
      <c r="Y281" t="s">
        <v>140</v>
      </c>
      <c r="Z281" t="s">
        <v>187</v>
      </c>
      <c r="AA281" t="s">
        <v>150</v>
      </c>
      <c r="AB281" t="s">
        <v>163</v>
      </c>
      <c r="AC281" t="s">
        <v>643</v>
      </c>
      <c r="AD281" t="s">
        <v>155</v>
      </c>
      <c r="AE281" t="s">
        <v>125</v>
      </c>
      <c r="AF281" t="s">
        <v>21</v>
      </c>
    </row>
    <row r="282" spans="1:32">
      <c r="A282" t="s">
        <v>843</v>
      </c>
      <c r="B282" s="37">
        <v>39947</v>
      </c>
      <c r="C282" s="38">
        <v>39947</v>
      </c>
      <c r="D282" s="38">
        <v>39944</v>
      </c>
      <c r="E282" s="38">
        <v>39934</v>
      </c>
      <c r="F282" s="39">
        <v>42</v>
      </c>
      <c r="G282" t="s">
        <v>9</v>
      </c>
      <c r="H282" t="s">
        <v>9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194</v>
      </c>
      <c r="O282" t="s">
        <v>213</v>
      </c>
      <c r="P282" t="s">
        <v>205</v>
      </c>
      <c r="Q282" t="s">
        <v>170</v>
      </c>
      <c r="R282" t="s">
        <v>155</v>
      </c>
      <c r="T282" t="s">
        <v>134</v>
      </c>
      <c r="U282">
        <v>1</v>
      </c>
      <c r="W282" t="s">
        <v>134</v>
      </c>
      <c r="X282">
        <v>1</v>
      </c>
      <c r="Y282" t="s">
        <v>139</v>
      </c>
      <c r="Z282" t="s">
        <v>479</v>
      </c>
      <c r="AA282" t="s">
        <v>150</v>
      </c>
      <c r="AB282" t="s">
        <v>165</v>
      </c>
      <c r="AC282" t="s">
        <v>21</v>
      </c>
      <c r="AD282" t="s">
        <v>158</v>
      </c>
      <c r="AE282" t="s">
        <v>122</v>
      </c>
      <c r="AF282" t="s">
        <v>21</v>
      </c>
    </row>
    <row r="283" spans="1:32">
      <c r="A283" t="s">
        <v>844</v>
      </c>
      <c r="B283" s="37">
        <v>39910</v>
      </c>
      <c r="C283" s="38">
        <v>39910</v>
      </c>
      <c r="D283" s="38">
        <v>39909</v>
      </c>
      <c r="E283" s="38">
        <v>39904</v>
      </c>
      <c r="F283" s="39">
        <v>5</v>
      </c>
      <c r="G283" t="s">
        <v>21</v>
      </c>
      <c r="H283" t="s">
        <v>21</v>
      </c>
      <c r="I283">
        <v>0</v>
      </c>
      <c r="J283">
        <v>0</v>
      </c>
      <c r="K283">
        <v>0</v>
      </c>
      <c r="L283">
        <v>1</v>
      </c>
      <c r="M283">
        <v>0</v>
      </c>
      <c r="N283" t="s">
        <v>202</v>
      </c>
      <c r="O283" t="s">
        <v>213</v>
      </c>
      <c r="P283" t="s">
        <v>211</v>
      </c>
      <c r="Q283" t="s">
        <v>170</v>
      </c>
      <c r="R283" t="s">
        <v>155</v>
      </c>
      <c r="T283" t="s">
        <v>134</v>
      </c>
      <c r="U283">
        <v>1</v>
      </c>
      <c r="W283" t="s">
        <v>134</v>
      </c>
      <c r="X283">
        <v>1</v>
      </c>
      <c r="Y283" t="s">
        <v>139</v>
      </c>
      <c r="Z283" t="s">
        <v>190</v>
      </c>
      <c r="AA283" t="s">
        <v>145</v>
      </c>
      <c r="AB283" t="s">
        <v>162</v>
      </c>
      <c r="AC283" t="s">
        <v>174</v>
      </c>
      <c r="AD283" t="s">
        <v>156</v>
      </c>
      <c r="AE283" t="s">
        <v>120</v>
      </c>
      <c r="AF283" t="s">
        <v>845</v>
      </c>
    </row>
    <row r="284" spans="1:32">
      <c r="A284" t="s">
        <v>846</v>
      </c>
      <c r="B284" s="37">
        <v>40004</v>
      </c>
      <c r="C284" s="38">
        <v>40004</v>
      </c>
      <c r="D284" s="38">
        <v>40000</v>
      </c>
      <c r="E284" s="38">
        <v>39995</v>
      </c>
      <c r="F284" s="39">
        <v>99</v>
      </c>
      <c r="G284" t="s">
        <v>21</v>
      </c>
      <c r="H284" t="s">
        <v>21</v>
      </c>
      <c r="I284">
        <v>0</v>
      </c>
      <c r="J284">
        <v>0</v>
      </c>
      <c r="K284">
        <v>0</v>
      </c>
      <c r="L284">
        <v>1</v>
      </c>
      <c r="M284">
        <v>0</v>
      </c>
      <c r="N284" t="s">
        <v>193</v>
      </c>
      <c r="O284" t="s">
        <v>213</v>
      </c>
      <c r="P284" t="s">
        <v>204</v>
      </c>
      <c r="Q284" t="s">
        <v>170</v>
      </c>
      <c r="R284" t="s">
        <v>155</v>
      </c>
      <c r="T284" t="s">
        <v>134</v>
      </c>
      <c r="U284">
        <v>1</v>
      </c>
      <c r="V284">
        <v>3</v>
      </c>
      <c r="W284" t="s">
        <v>137</v>
      </c>
      <c r="X284">
        <v>0</v>
      </c>
      <c r="Y284" t="s">
        <v>140</v>
      </c>
      <c r="Z284" t="s">
        <v>190</v>
      </c>
      <c r="AA284" t="s">
        <v>144</v>
      </c>
      <c r="AB284" t="s">
        <v>165</v>
      </c>
      <c r="AC284" t="s">
        <v>847</v>
      </c>
      <c r="AD284" t="s">
        <v>158</v>
      </c>
      <c r="AE284" t="s">
        <v>122</v>
      </c>
      <c r="AF284" t="s">
        <v>21</v>
      </c>
    </row>
    <row r="285" spans="1:32">
      <c r="A285" t="s">
        <v>848</v>
      </c>
      <c r="B285" s="37">
        <v>39954</v>
      </c>
      <c r="C285" s="38">
        <v>39954</v>
      </c>
      <c r="D285" s="38">
        <v>39951</v>
      </c>
      <c r="E285" s="38">
        <v>39934</v>
      </c>
      <c r="F285" s="39">
        <v>49</v>
      </c>
      <c r="G285" t="s">
        <v>9</v>
      </c>
      <c r="H285" t="s">
        <v>9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193</v>
      </c>
      <c r="O285" t="s">
        <v>213</v>
      </c>
      <c r="P285" t="s">
        <v>204</v>
      </c>
      <c r="Q285" t="s">
        <v>170</v>
      </c>
      <c r="R285" t="s">
        <v>155</v>
      </c>
      <c r="T285" t="s">
        <v>134</v>
      </c>
      <c r="U285">
        <v>1</v>
      </c>
      <c r="W285" t="s">
        <v>134</v>
      </c>
      <c r="X285">
        <v>1</v>
      </c>
      <c r="Y285" t="s">
        <v>140</v>
      </c>
      <c r="Z285" t="s">
        <v>603</v>
      </c>
      <c r="AA285" t="s">
        <v>150</v>
      </c>
      <c r="AB285" t="s">
        <v>163</v>
      </c>
      <c r="AC285" t="s">
        <v>173</v>
      </c>
      <c r="AD285" t="s">
        <v>155</v>
      </c>
      <c r="AE285" t="s">
        <v>124</v>
      </c>
      <c r="AF285" t="s">
        <v>21</v>
      </c>
    </row>
    <row r="286" spans="1:32">
      <c r="A286" t="s">
        <v>849</v>
      </c>
      <c r="B286" s="37">
        <v>39933</v>
      </c>
      <c r="C286" s="38">
        <v>39933</v>
      </c>
      <c r="D286" s="38">
        <v>39930</v>
      </c>
      <c r="E286" s="38">
        <v>39904</v>
      </c>
      <c r="F286" s="39">
        <v>28</v>
      </c>
      <c r="G286" t="s">
        <v>21</v>
      </c>
      <c r="H286" t="s">
        <v>21</v>
      </c>
      <c r="I286">
        <v>0</v>
      </c>
      <c r="J286">
        <v>0</v>
      </c>
      <c r="K286">
        <v>0</v>
      </c>
      <c r="L286">
        <v>1</v>
      </c>
      <c r="M286">
        <v>0</v>
      </c>
      <c r="N286" t="s">
        <v>193</v>
      </c>
      <c r="O286" t="s">
        <v>213</v>
      </c>
      <c r="P286" t="s">
        <v>204</v>
      </c>
      <c r="Q286" t="s">
        <v>170</v>
      </c>
      <c r="R286" t="s">
        <v>155</v>
      </c>
      <c r="T286" t="s">
        <v>134</v>
      </c>
      <c r="U286">
        <v>1</v>
      </c>
      <c r="W286" t="s">
        <v>134</v>
      </c>
      <c r="X286">
        <v>1</v>
      </c>
      <c r="Y286" t="s">
        <v>140</v>
      </c>
      <c r="Z286" t="s">
        <v>181</v>
      </c>
      <c r="AA286" t="s">
        <v>143</v>
      </c>
      <c r="AB286" t="s">
        <v>162</v>
      </c>
      <c r="AC286" t="s">
        <v>174</v>
      </c>
      <c r="AD286" t="s">
        <v>159</v>
      </c>
      <c r="AE286" t="s">
        <v>123</v>
      </c>
      <c r="AF286" t="s">
        <v>123</v>
      </c>
    </row>
    <row r="287" spans="1:32">
      <c r="A287" t="s">
        <v>850</v>
      </c>
      <c r="B287" s="37">
        <v>39978</v>
      </c>
      <c r="C287" s="38">
        <v>39978</v>
      </c>
      <c r="D287" s="38">
        <v>39972</v>
      </c>
      <c r="E287" s="38">
        <v>39965</v>
      </c>
      <c r="F287" s="39">
        <v>73</v>
      </c>
      <c r="G287" t="s">
        <v>21</v>
      </c>
      <c r="H287" t="s">
        <v>21</v>
      </c>
      <c r="I287">
        <v>0</v>
      </c>
      <c r="J287">
        <v>0</v>
      </c>
      <c r="K287">
        <v>0</v>
      </c>
      <c r="L287">
        <v>1</v>
      </c>
      <c r="M287">
        <v>0</v>
      </c>
      <c r="N287" t="s">
        <v>193</v>
      </c>
      <c r="O287" t="s">
        <v>213</v>
      </c>
      <c r="P287" t="s">
        <v>204</v>
      </c>
      <c r="Q287" t="s">
        <v>170</v>
      </c>
      <c r="R287" t="s">
        <v>155</v>
      </c>
      <c r="T287" t="s">
        <v>134</v>
      </c>
      <c r="U287">
        <v>1</v>
      </c>
      <c r="W287" t="s">
        <v>134</v>
      </c>
      <c r="X287">
        <v>1</v>
      </c>
      <c r="Y287" t="s">
        <v>140</v>
      </c>
      <c r="Z287" t="s">
        <v>183</v>
      </c>
      <c r="AA287" t="s">
        <v>144</v>
      </c>
      <c r="AB287" t="s">
        <v>162</v>
      </c>
      <c r="AC287" t="s">
        <v>174</v>
      </c>
      <c r="AD287" t="s">
        <v>156</v>
      </c>
      <c r="AE287" t="s">
        <v>120</v>
      </c>
      <c r="AF287" t="s">
        <v>851</v>
      </c>
    </row>
    <row r="288" spans="1:32">
      <c r="A288" t="s">
        <v>852</v>
      </c>
      <c r="B288" s="37">
        <v>40072</v>
      </c>
      <c r="C288" s="38">
        <v>40072</v>
      </c>
      <c r="D288" s="38">
        <v>40070</v>
      </c>
      <c r="E288" s="38">
        <v>40057</v>
      </c>
      <c r="F288" s="39">
        <v>167</v>
      </c>
      <c r="G288" t="s">
        <v>496</v>
      </c>
      <c r="H288" t="s">
        <v>13</v>
      </c>
      <c r="I288">
        <v>0</v>
      </c>
      <c r="J288">
        <v>1</v>
      </c>
      <c r="K288">
        <v>0</v>
      </c>
      <c r="L288">
        <v>0</v>
      </c>
      <c r="M288">
        <v>1</v>
      </c>
      <c r="N288" t="s">
        <v>195</v>
      </c>
      <c r="O288" t="s">
        <v>213</v>
      </c>
      <c r="P288" t="s">
        <v>206</v>
      </c>
      <c r="Q288" t="s">
        <v>170</v>
      </c>
      <c r="R288" t="s">
        <v>155</v>
      </c>
      <c r="S288">
        <v>5</v>
      </c>
      <c r="T288" t="s">
        <v>135</v>
      </c>
      <c r="U288">
        <v>0</v>
      </c>
      <c r="V288">
        <v>5</v>
      </c>
      <c r="W288" t="s">
        <v>135</v>
      </c>
      <c r="X288">
        <v>0</v>
      </c>
      <c r="Y288" t="s">
        <v>139</v>
      </c>
      <c r="Z288" t="s">
        <v>591</v>
      </c>
      <c r="AA288" t="s">
        <v>142</v>
      </c>
      <c r="AB288" t="s">
        <v>162</v>
      </c>
      <c r="AC288" t="s">
        <v>176</v>
      </c>
      <c r="AD288" t="s">
        <v>159</v>
      </c>
      <c r="AE288" t="s">
        <v>126</v>
      </c>
      <c r="AF288" t="s">
        <v>601</v>
      </c>
    </row>
    <row r="289" spans="1:32">
      <c r="A289" t="s">
        <v>853</v>
      </c>
      <c r="B289" s="37">
        <v>40019</v>
      </c>
      <c r="C289" s="38">
        <v>40019</v>
      </c>
      <c r="D289" s="38">
        <v>40014</v>
      </c>
      <c r="E289" s="38">
        <v>39995</v>
      </c>
      <c r="F289" s="39">
        <v>114</v>
      </c>
      <c r="G289" t="s">
        <v>9</v>
      </c>
      <c r="H289" t="s">
        <v>9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195</v>
      </c>
      <c r="O289" t="s">
        <v>213</v>
      </c>
      <c r="P289" t="s">
        <v>206</v>
      </c>
      <c r="Q289" t="s">
        <v>170</v>
      </c>
      <c r="R289" t="s">
        <v>155</v>
      </c>
      <c r="S289">
        <v>5</v>
      </c>
      <c r="T289" t="s">
        <v>135</v>
      </c>
      <c r="U289">
        <v>0</v>
      </c>
      <c r="V289">
        <v>3</v>
      </c>
      <c r="W289" t="s">
        <v>137</v>
      </c>
      <c r="X289">
        <v>0</v>
      </c>
      <c r="Y289" t="s">
        <v>139</v>
      </c>
      <c r="Z289" t="s">
        <v>179</v>
      </c>
      <c r="AA289" t="s">
        <v>144</v>
      </c>
      <c r="AB289" t="s">
        <v>162</v>
      </c>
      <c r="AC289" t="s">
        <v>175</v>
      </c>
      <c r="AD289" t="s">
        <v>155</v>
      </c>
      <c r="AE289" t="s">
        <v>129</v>
      </c>
      <c r="AF289" t="s">
        <v>21</v>
      </c>
    </row>
    <row r="290" spans="1:32">
      <c r="A290" t="s">
        <v>854</v>
      </c>
      <c r="B290" s="37">
        <v>40008</v>
      </c>
      <c r="C290" s="38">
        <v>40008</v>
      </c>
      <c r="D290" s="38">
        <v>40007</v>
      </c>
      <c r="E290" s="38">
        <v>39995</v>
      </c>
      <c r="F290" s="39">
        <v>103</v>
      </c>
      <c r="G290" t="s">
        <v>21</v>
      </c>
      <c r="H290" t="s">
        <v>21</v>
      </c>
      <c r="I290">
        <v>0</v>
      </c>
      <c r="J290">
        <v>0</v>
      </c>
      <c r="K290">
        <v>0</v>
      </c>
      <c r="L290">
        <v>1</v>
      </c>
      <c r="M290">
        <v>0</v>
      </c>
      <c r="N290" t="s">
        <v>195</v>
      </c>
      <c r="O290" t="s">
        <v>213</v>
      </c>
      <c r="P290" t="s">
        <v>206</v>
      </c>
      <c r="Q290" t="s">
        <v>170</v>
      </c>
      <c r="R290" t="s">
        <v>155</v>
      </c>
      <c r="S290">
        <v>5</v>
      </c>
      <c r="T290" t="s">
        <v>135</v>
      </c>
      <c r="U290">
        <v>0</v>
      </c>
      <c r="V290">
        <v>5</v>
      </c>
      <c r="W290" t="s">
        <v>135</v>
      </c>
      <c r="X290">
        <v>0</v>
      </c>
      <c r="Y290" t="s">
        <v>139</v>
      </c>
      <c r="Z290" t="s">
        <v>181</v>
      </c>
      <c r="AA290" t="s">
        <v>150</v>
      </c>
      <c r="AB290" t="s">
        <v>162</v>
      </c>
      <c r="AC290" t="s">
        <v>176</v>
      </c>
      <c r="AD290" t="s">
        <v>155</v>
      </c>
      <c r="AE290" t="s">
        <v>130</v>
      </c>
      <c r="AF290" t="s">
        <v>21</v>
      </c>
    </row>
    <row r="291" spans="1:32">
      <c r="A291" t="s">
        <v>855</v>
      </c>
      <c r="B291" s="37">
        <v>39927</v>
      </c>
      <c r="C291" s="38">
        <v>39927</v>
      </c>
      <c r="D291" s="38">
        <v>39923</v>
      </c>
      <c r="E291" s="38">
        <v>39904</v>
      </c>
      <c r="F291" s="39">
        <v>22</v>
      </c>
      <c r="G291" t="s">
        <v>21</v>
      </c>
      <c r="H291" t="s">
        <v>21</v>
      </c>
      <c r="I291">
        <v>0</v>
      </c>
      <c r="J291">
        <v>0</v>
      </c>
      <c r="K291">
        <v>0</v>
      </c>
      <c r="L291">
        <v>1</v>
      </c>
      <c r="M291">
        <v>0</v>
      </c>
      <c r="N291" t="s">
        <v>201</v>
      </c>
      <c r="O291" t="s">
        <v>214</v>
      </c>
      <c r="P291" t="s">
        <v>204</v>
      </c>
      <c r="Q291" t="s">
        <v>170</v>
      </c>
      <c r="R291" t="s">
        <v>155</v>
      </c>
      <c r="T291" t="s">
        <v>134</v>
      </c>
      <c r="U291">
        <v>1</v>
      </c>
      <c r="W291" t="s">
        <v>134</v>
      </c>
      <c r="X291">
        <v>1</v>
      </c>
      <c r="Y291" t="s">
        <v>140</v>
      </c>
      <c r="Z291" t="s">
        <v>189</v>
      </c>
      <c r="AA291" t="s">
        <v>145</v>
      </c>
      <c r="AB291" t="s">
        <v>163</v>
      </c>
      <c r="AC291" t="s">
        <v>173</v>
      </c>
      <c r="AD291" t="s">
        <v>155</v>
      </c>
      <c r="AE291" t="s">
        <v>792</v>
      </c>
      <c r="AF291" t="s">
        <v>21</v>
      </c>
    </row>
    <row r="292" spans="1:32">
      <c r="A292" t="s">
        <v>856</v>
      </c>
      <c r="B292" s="37">
        <v>40004</v>
      </c>
      <c r="C292" s="38">
        <v>40004</v>
      </c>
      <c r="D292" s="38">
        <v>40000</v>
      </c>
      <c r="E292" s="38">
        <v>39995</v>
      </c>
      <c r="F292" s="39">
        <v>99</v>
      </c>
      <c r="G292" t="s">
        <v>21</v>
      </c>
      <c r="H292" t="s">
        <v>21</v>
      </c>
      <c r="I292">
        <v>0</v>
      </c>
      <c r="J292">
        <v>0</v>
      </c>
      <c r="K292">
        <v>0</v>
      </c>
      <c r="L292">
        <v>1</v>
      </c>
      <c r="M292">
        <v>0</v>
      </c>
      <c r="N292" t="s">
        <v>193</v>
      </c>
      <c r="O292" t="s">
        <v>213</v>
      </c>
      <c r="P292" t="s">
        <v>204</v>
      </c>
      <c r="Q292" t="s">
        <v>170</v>
      </c>
      <c r="R292" t="s">
        <v>155</v>
      </c>
      <c r="T292" t="s">
        <v>134</v>
      </c>
      <c r="U292">
        <v>1</v>
      </c>
      <c r="V292">
        <v>5</v>
      </c>
      <c r="W292" t="s">
        <v>135</v>
      </c>
      <c r="X292">
        <v>0</v>
      </c>
      <c r="Y292" t="s">
        <v>140</v>
      </c>
      <c r="Z292" t="s">
        <v>181</v>
      </c>
      <c r="AA292" t="s">
        <v>142</v>
      </c>
      <c r="AB292" t="s">
        <v>162</v>
      </c>
      <c r="AC292" t="s">
        <v>174</v>
      </c>
      <c r="AD292" t="s">
        <v>156</v>
      </c>
      <c r="AE292" t="s">
        <v>120</v>
      </c>
      <c r="AF292" t="s">
        <v>857</v>
      </c>
    </row>
    <row r="293" spans="1:32">
      <c r="A293" t="s">
        <v>858</v>
      </c>
      <c r="B293" s="37">
        <v>40005</v>
      </c>
      <c r="C293" s="38">
        <v>40005</v>
      </c>
      <c r="D293" s="38">
        <v>40000</v>
      </c>
      <c r="E293" s="38">
        <v>39995</v>
      </c>
      <c r="F293" s="39">
        <v>100</v>
      </c>
      <c r="G293" t="s">
        <v>21</v>
      </c>
      <c r="H293" t="s">
        <v>21</v>
      </c>
      <c r="I293">
        <v>0</v>
      </c>
      <c r="J293">
        <v>0</v>
      </c>
      <c r="K293">
        <v>0</v>
      </c>
      <c r="L293">
        <v>1</v>
      </c>
      <c r="M293">
        <v>0</v>
      </c>
      <c r="N293" t="s">
        <v>195</v>
      </c>
      <c r="O293" t="s">
        <v>213</v>
      </c>
      <c r="P293" t="s">
        <v>206</v>
      </c>
      <c r="Q293" t="s">
        <v>170</v>
      </c>
      <c r="R293" t="s">
        <v>155</v>
      </c>
      <c r="S293">
        <v>1</v>
      </c>
      <c r="T293" t="s">
        <v>136</v>
      </c>
      <c r="U293">
        <v>0</v>
      </c>
      <c r="V293">
        <v>2</v>
      </c>
      <c r="W293" t="s">
        <v>136</v>
      </c>
      <c r="X293">
        <v>0</v>
      </c>
      <c r="Y293" t="s">
        <v>139</v>
      </c>
      <c r="Z293" t="s">
        <v>179</v>
      </c>
      <c r="AA293" t="s">
        <v>149</v>
      </c>
      <c r="AB293" t="s">
        <v>162</v>
      </c>
      <c r="AC293" t="s">
        <v>459</v>
      </c>
      <c r="AD293" t="s">
        <v>155</v>
      </c>
      <c r="AE293" t="s">
        <v>130</v>
      </c>
      <c r="AF293" t="s">
        <v>21</v>
      </c>
    </row>
    <row r="294" spans="1:32">
      <c r="A294" t="s">
        <v>859</v>
      </c>
      <c r="B294" s="37">
        <v>40009</v>
      </c>
      <c r="C294" s="38">
        <v>40009</v>
      </c>
      <c r="D294" s="38">
        <v>40007</v>
      </c>
      <c r="E294" s="38">
        <v>39995</v>
      </c>
      <c r="F294" s="39">
        <v>104</v>
      </c>
      <c r="G294" t="s">
        <v>496</v>
      </c>
      <c r="H294" t="s">
        <v>13</v>
      </c>
      <c r="I294">
        <v>0</v>
      </c>
      <c r="J294">
        <v>1</v>
      </c>
      <c r="K294">
        <v>0</v>
      </c>
      <c r="L294">
        <v>0</v>
      </c>
      <c r="M294">
        <v>1</v>
      </c>
      <c r="N294" t="s">
        <v>194</v>
      </c>
      <c r="O294" t="s">
        <v>213</v>
      </c>
      <c r="P294" t="s">
        <v>205</v>
      </c>
      <c r="Q294" t="s">
        <v>170</v>
      </c>
      <c r="R294" t="s">
        <v>155</v>
      </c>
      <c r="S294">
        <v>5</v>
      </c>
      <c r="T294" t="s">
        <v>135</v>
      </c>
      <c r="U294">
        <v>0</v>
      </c>
      <c r="V294">
        <v>5</v>
      </c>
      <c r="W294" t="s">
        <v>135</v>
      </c>
      <c r="X294">
        <v>0</v>
      </c>
      <c r="Y294" t="s">
        <v>139</v>
      </c>
      <c r="Z294" t="s">
        <v>182</v>
      </c>
      <c r="AA294" t="s">
        <v>149</v>
      </c>
      <c r="AB294" t="s">
        <v>162</v>
      </c>
      <c r="AC294" t="s">
        <v>175</v>
      </c>
      <c r="AD294" t="s">
        <v>155</v>
      </c>
      <c r="AE294" t="s">
        <v>130</v>
      </c>
      <c r="AF294" t="s">
        <v>21</v>
      </c>
    </row>
    <row r="295" spans="1:32">
      <c r="A295" t="s">
        <v>860</v>
      </c>
      <c r="B295" s="37">
        <v>39994</v>
      </c>
      <c r="C295" s="38">
        <v>39994</v>
      </c>
      <c r="D295" s="38">
        <v>39993</v>
      </c>
      <c r="E295" s="38">
        <v>39965</v>
      </c>
      <c r="F295" s="39">
        <v>89</v>
      </c>
      <c r="G295" t="s">
        <v>21</v>
      </c>
      <c r="H295" t="s">
        <v>21</v>
      </c>
      <c r="I295">
        <v>0</v>
      </c>
      <c r="J295">
        <v>0</v>
      </c>
      <c r="K295">
        <v>0</v>
      </c>
      <c r="L295">
        <v>1</v>
      </c>
      <c r="M295">
        <v>0</v>
      </c>
      <c r="N295" t="s">
        <v>193</v>
      </c>
      <c r="O295" t="s">
        <v>213</v>
      </c>
      <c r="P295" t="s">
        <v>204</v>
      </c>
      <c r="Q295" t="s">
        <v>170</v>
      </c>
      <c r="R295" t="s">
        <v>155</v>
      </c>
      <c r="T295" t="s">
        <v>134</v>
      </c>
      <c r="U295">
        <v>1</v>
      </c>
      <c r="V295">
        <v>3</v>
      </c>
      <c r="W295" t="s">
        <v>137</v>
      </c>
      <c r="X295">
        <v>0</v>
      </c>
      <c r="Y295" t="s">
        <v>140</v>
      </c>
      <c r="Z295" t="s">
        <v>181</v>
      </c>
      <c r="AA295" t="s">
        <v>149</v>
      </c>
      <c r="AB295" t="s">
        <v>162</v>
      </c>
      <c r="AC295" t="s">
        <v>21</v>
      </c>
      <c r="AD295" t="s">
        <v>155</v>
      </c>
      <c r="AE295" t="s">
        <v>130</v>
      </c>
      <c r="AF295" t="s">
        <v>21</v>
      </c>
    </row>
    <row r="296" spans="1:32">
      <c r="A296" t="s">
        <v>861</v>
      </c>
      <c r="B296" s="37">
        <v>40021</v>
      </c>
      <c r="C296" s="38">
        <v>40021</v>
      </c>
      <c r="D296" s="38">
        <v>40021</v>
      </c>
      <c r="E296" s="38">
        <v>39995</v>
      </c>
      <c r="F296" s="39">
        <v>116</v>
      </c>
      <c r="G296" t="s">
        <v>21</v>
      </c>
      <c r="H296" t="s">
        <v>21</v>
      </c>
      <c r="I296">
        <v>0</v>
      </c>
      <c r="J296">
        <v>0</v>
      </c>
      <c r="K296">
        <v>0</v>
      </c>
      <c r="L296">
        <v>1</v>
      </c>
      <c r="M296">
        <v>0</v>
      </c>
      <c r="N296" t="s">
        <v>195</v>
      </c>
      <c r="O296" t="s">
        <v>213</v>
      </c>
      <c r="P296" t="s">
        <v>206</v>
      </c>
      <c r="Q296" t="s">
        <v>170</v>
      </c>
      <c r="R296" t="s">
        <v>155</v>
      </c>
      <c r="S296">
        <v>5</v>
      </c>
      <c r="T296" t="s">
        <v>135</v>
      </c>
      <c r="U296">
        <v>0</v>
      </c>
      <c r="V296">
        <v>5</v>
      </c>
      <c r="W296" t="s">
        <v>135</v>
      </c>
      <c r="X296">
        <v>0</v>
      </c>
      <c r="Y296" t="s">
        <v>139</v>
      </c>
      <c r="Z296" t="s">
        <v>576</v>
      </c>
      <c r="AA296" t="s">
        <v>142</v>
      </c>
      <c r="AB296" t="s">
        <v>162</v>
      </c>
      <c r="AC296" t="s">
        <v>174</v>
      </c>
      <c r="AD296" t="s">
        <v>157</v>
      </c>
      <c r="AE296" t="s">
        <v>130</v>
      </c>
      <c r="AF296" t="s">
        <v>437</v>
      </c>
    </row>
    <row r="297" spans="1:32">
      <c r="A297" t="s">
        <v>862</v>
      </c>
      <c r="B297" s="37">
        <v>40045</v>
      </c>
      <c r="C297" s="38">
        <v>40045</v>
      </c>
      <c r="D297" s="38">
        <v>40042</v>
      </c>
      <c r="E297" s="38">
        <v>40026</v>
      </c>
      <c r="F297" s="39">
        <v>140</v>
      </c>
      <c r="G297" t="s">
        <v>21</v>
      </c>
      <c r="H297" t="s">
        <v>21</v>
      </c>
      <c r="I297">
        <v>0</v>
      </c>
      <c r="J297">
        <v>0</v>
      </c>
      <c r="K297">
        <v>0</v>
      </c>
      <c r="L297">
        <v>1</v>
      </c>
      <c r="M297">
        <v>0</v>
      </c>
      <c r="N297" t="s">
        <v>195</v>
      </c>
      <c r="O297" t="s">
        <v>213</v>
      </c>
      <c r="P297" t="s">
        <v>206</v>
      </c>
      <c r="Q297" t="s">
        <v>170</v>
      </c>
      <c r="R297" t="s">
        <v>155</v>
      </c>
      <c r="S297">
        <v>5</v>
      </c>
      <c r="T297" t="s">
        <v>135</v>
      </c>
      <c r="U297">
        <v>0</v>
      </c>
      <c r="V297">
        <v>5</v>
      </c>
      <c r="W297" t="s">
        <v>135</v>
      </c>
      <c r="X297">
        <v>0</v>
      </c>
      <c r="Y297" t="s">
        <v>139</v>
      </c>
      <c r="Z297" t="s">
        <v>179</v>
      </c>
      <c r="AA297" t="s">
        <v>144</v>
      </c>
      <c r="AB297" t="s">
        <v>162</v>
      </c>
      <c r="AC297" t="s">
        <v>863</v>
      </c>
      <c r="AD297" t="s">
        <v>155</v>
      </c>
      <c r="AE297" t="s">
        <v>129</v>
      </c>
      <c r="AF297" t="s">
        <v>21</v>
      </c>
    </row>
    <row r="298" spans="1:32">
      <c r="A298" t="s">
        <v>864</v>
      </c>
      <c r="B298" s="37">
        <v>39961</v>
      </c>
      <c r="C298" s="38">
        <v>39961</v>
      </c>
      <c r="D298" s="38">
        <v>39958</v>
      </c>
      <c r="E298" s="38">
        <v>39934</v>
      </c>
      <c r="F298" s="39">
        <v>56</v>
      </c>
      <c r="G298" t="s">
        <v>21</v>
      </c>
      <c r="H298" t="s">
        <v>21</v>
      </c>
      <c r="I298">
        <v>0</v>
      </c>
      <c r="J298">
        <v>0</v>
      </c>
      <c r="K298">
        <v>0</v>
      </c>
      <c r="L298">
        <v>1</v>
      </c>
      <c r="M298">
        <v>0</v>
      </c>
      <c r="N298" t="s">
        <v>193</v>
      </c>
      <c r="O298" t="s">
        <v>213</v>
      </c>
      <c r="P298" t="s">
        <v>204</v>
      </c>
      <c r="Q298" t="s">
        <v>170</v>
      </c>
      <c r="R298" t="s">
        <v>155</v>
      </c>
      <c r="T298" t="s">
        <v>134</v>
      </c>
      <c r="U298">
        <v>1</v>
      </c>
      <c r="W298" t="s">
        <v>134</v>
      </c>
      <c r="X298">
        <v>1</v>
      </c>
      <c r="Y298" t="s">
        <v>140</v>
      </c>
      <c r="Z298" t="s">
        <v>181</v>
      </c>
      <c r="AA298" t="s">
        <v>149</v>
      </c>
      <c r="AB298" t="s">
        <v>165</v>
      </c>
      <c r="AC298" t="s">
        <v>21</v>
      </c>
      <c r="AD298" t="s">
        <v>158</v>
      </c>
      <c r="AE298" t="s">
        <v>122</v>
      </c>
      <c r="AF298" t="s">
        <v>21</v>
      </c>
    </row>
    <row r="299" spans="1:32">
      <c r="A299" t="s">
        <v>865</v>
      </c>
      <c r="B299" s="37">
        <v>40037</v>
      </c>
      <c r="C299" s="38">
        <v>40037</v>
      </c>
      <c r="D299" s="38">
        <v>40035</v>
      </c>
      <c r="E299" s="38">
        <v>40026</v>
      </c>
      <c r="F299" s="39">
        <v>132</v>
      </c>
      <c r="G299" t="s">
        <v>21</v>
      </c>
      <c r="H299" t="s">
        <v>21</v>
      </c>
      <c r="I299">
        <v>0</v>
      </c>
      <c r="J299">
        <v>0</v>
      </c>
      <c r="K299">
        <v>0</v>
      </c>
      <c r="L299">
        <v>1</v>
      </c>
      <c r="M299">
        <v>0</v>
      </c>
      <c r="N299" t="s">
        <v>193</v>
      </c>
      <c r="O299" t="s">
        <v>213</v>
      </c>
      <c r="P299" t="s">
        <v>204</v>
      </c>
      <c r="Q299" t="s">
        <v>170</v>
      </c>
      <c r="R299" t="s">
        <v>155</v>
      </c>
      <c r="S299">
        <v>5</v>
      </c>
      <c r="T299" t="s">
        <v>135</v>
      </c>
      <c r="U299">
        <v>0</v>
      </c>
      <c r="V299">
        <v>5</v>
      </c>
      <c r="W299" t="s">
        <v>135</v>
      </c>
      <c r="X299">
        <v>0</v>
      </c>
      <c r="Y299" t="s">
        <v>140</v>
      </c>
      <c r="Z299" t="s">
        <v>180</v>
      </c>
      <c r="AA299" t="s">
        <v>151</v>
      </c>
      <c r="AB299" t="s">
        <v>162</v>
      </c>
      <c r="AC299" t="s">
        <v>578</v>
      </c>
      <c r="AD299" t="s">
        <v>155</v>
      </c>
      <c r="AE299" t="s">
        <v>129</v>
      </c>
      <c r="AF299" t="s">
        <v>21</v>
      </c>
    </row>
    <row r="300" spans="1:32">
      <c r="A300" t="s">
        <v>866</v>
      </c>
      <c r="B300" s="37">
        <v>39970</v>
      </c>
      <c r="C300" s="38">
        <v>39970</v>
      </c>
      <c r="D300" s="38">
        <v>39965</v>
      </c>
      <c r="E300" s="38">
        <v>39965</v>
      </c>
      <c r="F300" s="39">
        <v>65</v>
      </c>
      <c r="G300" t="s">
        <v>21</v>
      </c>
      <c r="H300" t="s">
        <v>21</v>
      </c>
      <c r="I300">
        <v>0</v>
      </c>
      <c r="J300">
        <v>0</v>
      </c>
      <c r="K300">
        <v>0</v>
      </c>
      <c r="L300">
        <v>1</v>
      </c>
      <c r="M300">
        <v>0</v>
      </c>
      <c r="N300" t="s">
        <v>193</v>
      </c>
      <c r="O300" t="s">
        <v>213</v>
      </c>
      <c r="P300" t="s">
        <v>204</v>
      </c>
      <c r="Q300" t="s">
        <v>170</v>
      </c>
      <c r="R300" t="s">
        <v>155</v>
      </c>
      <c r="T300" t="s">
        <v>134</v>
      </c>
      <c r="U300">
        <v>1</v>
      </c>
      <c r="W300" t="s">
        <v>134</v>
      </c>
      <c r="X300">
        <v>1</v>
      </c>
      <c r="Y300" t="s">
        <v>140</v>
      </c>
      <c r="Z300" t="s">
        <v>810</v>
      </c>
      <c r="AA300" t="s">
        <v>145</v>
      </c>
      <c r="AB300" t="s">
        <v>162</v>
      </c>
      <c r="AC300" t="s">
        <v>867</v>
      </c>
      <c r="AD300" t="s">
        <v>156</v>
      </c>
      <c r="AE300" t="s">
        <v>120</v>
      </c>
      <c r="AF300" t="s">
        <v>868</v>
      </c>
    </row>
    <row r="301" spans="1:32">
      <c r="A301" t="s">
        <v>869</v>
      </c>
      <c r="B301" s="37">
        <v>39924</v>
      </c>
      <c r="C301" s="38">
        <v>39924</v>
      </c>
      <c r="D301" s="38">
        <v>39923</v>
      </c>
      <c r="E301" s="38">
        <v>39904</v>
      </c>
      <c r="F301" s="39">
        <v>19</v>
      </c>
      <c r="G301" t="s">
        <v>9</v>
      </c>
      <c r="H301" t="s">
        <v>9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193</v>
      </c>
      <c r="O301" t="s">
        <v>213</v>
      </c>
      <c r="P301" t="s">
        <v>204</v>
      </c>
      <c r="Q301" t="s">
        <v>170</v>
      </c>
      <c r="R301" t="s">
        <v>155</v>
      </c>
      <c r="T301" t="s">
        <v>134</v>
      </c>
      <c r="U301">
        <v>1</v>
      </c>
      <c r="W301" t="s">
        <v>134</v>
      </c>
      <c r="X301">
        <v>1</v>
      </c>
      <c r="Y301" t="s">
        <v>140</v>
      </c>
      <c r="Z301" t="s">
        <v>187</v>
      </c>
      <c r="AA301" t="s">
        <v>147</v>
      </c>
      <c r="AB301" t="s">
        <v>163</v>
      </c>
      <c r="AC301" t="s">
        <v>870</v>
      </c>
      <c r="AD301" t="s">
        <v>155</v>
      </c>
      <c r="AE301" t="s">
        <v>392</v>
      </c>
      <c r="AF301" t="s">
        <v>21</v>
      </c>
    </row>
    <row r="302" spans="1:32">
      <c r="A302" t="s">
        <v>871</v>
      </c>
      <c r="B302" s="37">
        <v>40017</v>
      </c>
      <c r="C302" s="38">
        <v>40017</v>
      </c>
      <c r="D302" s="38">
        <v>40014</v>
      </c>
      <c r="E302" s="38">
        <v>39995</v>
      </c>
      <c r="F302" s="39">
        <v>112</v>
      </c>
      <c r="G302" t="s">
        <v>21</v>
      </c>
      <c r="H302" t="s">
        <v>21</v>
      </c>
      <c r="I302">
        <v>0</v>
      </c>
      <c r="J302">
        <v>0</v>
      </c>
      <c r="K302">
        <v>0</v>
      </c>
      <c r="L302">
        <v>1</v>
      </c>
      <c r="M302">
        <v>0</v>
      </c>
      <c r="N302" t="s">
        <v>193</v>
      </c>
      <c r="O302" t="s">
        <v>213</v>
      </c>
      <c r="P302" t="s">
        <v>204</v>
      </c>
      <c r="Q302" t="s">
        <v>170</v>
      </c>
      <c r="R302" t="s">
        <v>155</v>
      </c>
      <c r="S302">
        <v>4</v>
      </c>
      <c r="T302" t="s">
        <v>137</v>
      </c>
      <c r="U302">
        <v>0</v>
      </c>
      <c r="V302">
        <v>3</v>
      </c>
      <c r="W302" t="s">
        <v>137</v>
      </c>
      <c r="X302">
        <v>0</v>
      </c>
      <c r="Y302" t="s">
        <v>140</v>
      </c>
      <c r="Z302" t="s">
        <v>179</v>
      </c>
      <c r="AA302" t="s">
        <v>146</v>
      </c>
      <c r="AB302" t="s">
        <v>162</v>
      </c>
      <c r="AC302" t="s">
        <v>567</v>
      </c>
      <c r="AD302" t="s">
        <v>155</v>
      </c>
      <c r="AE302" t="s">
        <v>130</v>
      </c>
      <c r="AF302" t="s">
        <v>21</v>
      </c>
    </row>
    <row r="303" spans="1:32">
      <c r="A303" t="s">
        <v>872</v>
      </c>
      <c r="B303" s="37">
        <v>40045</v>
      </c>
      <c r="C303" s="38">
        <v>40045</v>
      </c>
      <c r="D303" s="38">
        <v>40042</v>
      </c>
      <c r="E303" s="38">
        <v>40026</v>
      </c>
      <c r="F303" s="39">
        <v>140</v>
      </c>
      <c r="G303" t="s">
        <v>21</v>
      </c>
      <c r="H303" t="s">
        <v>21</v>
      </c>
      <c r="I303">
        <v>0</v>
      </c>
      <c r="J303">
        <v>0</v>
      </c>
      <c r="K303">
        <v>0</v>
      </c>
      <c r="L303">
        <v>1</v>
      </c>
      <c r="M303">
        <v>0</v>
      </c>
      <c r="N303" t="s">
        <v>193</v>
      </c>
      <c r="O303" t="s">
        <v>213</v>
      </c>
      <c r="P303" t="s">
        <v>204</v>
      </c>
      <c r="Q303" t="s">
        <v>170</v>
      </c>
      <c r="R303" t="s">
        <v>155</v>
      </c>
      <c r="S303">
        <v>5</v>
      </c>
      <c r="T303" t="s">
        <v>135</v>
      </c>
      <c r="U303">
        <v>0</v>
      </c>
      <c r="V303">
        <v>2</v>
      </c>
      <c r="W303" t="s">
        <v>136</v>
      </c>
      <c r="X303">
        <v>0</v>
      </c>
      <c r="Y303" t="s">
        <v>140</v>
      </c>
      <c r="Z303" t="s">
        <v>185</v>
      </c>
      <c r="AA303" t="s">
        <v>142</v>
      </c>
      <c r="AB303" t="s">
        <v>162</v>
      </c>
      <c r="AC303" t="s">
        <v>174</v>
      </c>
      <c r="AD303" t="s">
        <v>157</v>
      </c>
      <c r="AE303" t="s">
        <v>127</v>
      </c>
      <c r="AF303" t="s">
        <v>153</v>
      </c>
    </row>
    <row r="304" spans="1:32">
      <c r="A304" t="s">
        <v>873</v>
      </c>
      <c r="B304" s="37">
        <v>40032</v>
      </c>
      <c r="C304" s="38">
        <v>40032</v>
      </c>
      <c r="D304" s="38">
        <v>40028</v>
      </c>
      <c r="E304" s="38">
        <v>40026</v>
      </c>
      <c r="F304" s="39">
        <v>127</v>
      </c>
      <c r="G304" t="s">
        <v>9</v>
      </c>
      <c r="H304" t="s">
        <v>9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195</v>
      </c>
      <c r="O304" t="s">
        <v>213</v>
      </c>
      <c r="P304" t="s">
        <v>206</v>
      </c>
      <c r="Q304" t="s">
        <v>170</v>
      </c>
      <c r="R304" t="s">
        <v>155</v>
      </c>
      <c r="S304">
        <v>5</v>
      </c>
      <c r="T304" t="s">
        <v>135</v>
      </c>
      <c r="U304">
        <v>0</v>
      </c>
      <c r="V304">
        <v>5</v>
      </c>
      <c r="W304" t="s">
        <v>135</v>
      </c>
      <c r="X304">
        <v>0</v>
      </c>
      <c r="Y304" t="s">
        <v>139</v>
      </c>
      <c r="Z304" t="s">
        <v>180</v>
      </c>
      <c r="AA304" t="s">
        <v>145</v>
      </c>
      <c r="AB304" t="s">
        <v>162</v>
      </c>
      <c r="AC304" t="s">
        <v>863</v>
      </c>
      <c r="AD304" t="s">
        <v>157</v>
      </c>
      <c r="AE304" t="s">
        <v>124</v>
      </c>
      <c r="AF304" t="s">
        <v>874</v>
      </c>
    </row>
    <row r="305" spans="1:32">
      <c r="A305" t="s">
        <v>875</v>
      </c>
      <c r="B305" s="37">
        <v>40010</v>
      </c>
      <c r="C305" s="38">
        <v>40010</v>
      </c>
      <c r="D305" s="38">
        <v>40007</v>
      </c>
      <c r="E305" s="38">
        <v>39995</v>
      </c>
      <c r="F305" s="39">
        <v>105</v>
      </c>
      <c r="G305" t="s">
        <v>496</v>
      </c>
      <c r="H305" t="s">
        <v>13</v>
      </c>
      <c r="I305">
        <v>0</v>
      </c>
      <c r="J305">
        <v>1</v>
      </c>
      <c r="K305">
        <v>0</v>
      </c>
      <c r="L305">
        <v>0</v>
      </c>
      <c r="M305">
        <v>1</v>
      </c>
      <c r="N305" t="s">
        <v>193</v>
      </c>
      <c r="O305" t="s">
        <v>213</v>
      </c>
      <c r="P305" t="s">
        <v>204</v>
      </c>
      <c r="Q305" t="s">
        <v>170</v>
      </c>
      <c r="R305" t="s">
        <v>155</v>
      </c>
      <c r="S305">
        <v>5</v>
      </c>
      <c r="T305" t="s">
        <v>135</v>
      </c>
      <c r="U305">
        <v>0</v>
      </c>
      <c r="V305">
        <v>5</v>
      </c>
      <c r="W305" t="s">
        <v>135</v>
      </c>
      <c r="X305">
        <v>0</v>
      </c>
      <c r="Y305" t="s">
        <v>140</v>
      </c>
      <c r="Z305" t="s">
        <v>184</v>
      </c>
      <c r="AA305" t="s">
        <v>146</v>
      </c>
      <c r="AB305" t="s">
        <v>165</v>
      </c>
      <c r="AC305" t="s">
        <v>21</v>
      </c>
      <c r="AD305" t="s">
        <v>158</v>
      </c>
      <c r="AE305" t="s">
        <v>122</v>
      </c>
      <c r="AF305" t="s">
        <v>21</v>
      </c>
    </row>
    <row r="306" spans="1:32">
      <c r="A306" t="s">
        <v>876</v>
      </c>
      <c r="B306" s="37">
        <v>39971</v>
      </c>
      <c r="C306" s="38">
        <v>39971</v>
      </c>
      <c r="D306" s="38">
        <v>39965</v>
      </c>
      <c r="E306" s="38">
        <v>39965</v>
      </c>
      <c r="F306" s="39">
        <v>66</v>
      </c>
      <c r="G306" t="s">
        <v>21</v>
      </c>
      <c r="H306" t="s">
        <v>21</v>
      </c>
      <c r="I306">
        <v>0</v>
      </c>
      <c r="J306">
        <v>0</v>
      </c>
      <c r="K306">
        <v>0</v>
      </c>
      <c r="L306">
        <v>1</v>
      </c>
      <c r="M306">
        <v>0</v>
      </c>
      <c r="N306" t="s">
        <v>195</v>
      </c>
      <c r="O306" t="s">
        <v>213</v>
      </c>
      <c r="P306" t="s">
        <v>206</v>
      </c>
      <c r="Q306" t="s">
        <v>170</v>
      </c>
      <c r="R306" t="s">
        <v>155</v>
      </c>
      <c r="T306" t="s">
        <v>134</v>
      </c>
      <c r="U306">
        <v>1</v>
      </c>
      <c r="W306" t="s">
        <v>134</v>
      </c>
      <c r="X306">
        <v>1</v>
      </c>
      <c r="Y306" t="s">
        <v>139</v>
      </c>
      <c r="Z306" t="s">
        <v>180</v>
      </c>
      <c r="AA306" t="s">
        <v>142</v>
      </c>
      <c r="AB306" t="s">
        <v>165</v>
      </c>
      <c r="AC306" t="s">
        <v>21</v>
      </c>
      <c r="AD306" t="s">
        <v>158</v>
      </c>
      <c r="AE306" t="s">
        <v>122</v>
      </c>
      <c r="AF306" t="s">
        <v>21</v>
      </c>
    </row>
    <row r="307" spans="1:32">
      <c r="A307" t="s">
        <v>877</v>
      </c>
      <c r="B307" s="37">
        <v>40044</v>
      </c>
      <c r="C307" s="38">
        <v>40044</v>
      </c>
      <c r="D307" s="38">
        <v>40042</v>
      </c>
      <c r="E307" s="38">
        <v>40026</v>
      </c>
      <c r="F307" s="39">
        <v>139</v>
      </c>
      <c r="G307" t="s">
        <v>21</v>
      </c>
      <c r="H307" t="s">
        <v>21</v>
      </c>
      <c r="I307">
        <v>0</v>
      </c>
      <c r="J307">
        <v>0</v>
      </c>
      <c r="K307">
        <v>0</v>
      </c>
      <c r="L307">
        <v>1</v>
      </c>
      <c r="M307">
        <v>0</v>
      </c>
      <c r="N307" t="s">
        <v>193</v>
      </c>
      <c r="O307" t="s">
        <v>213</v>
      </c>
      <c r="P307" t="s">
        <v>204</v>
      </c>
      <c r="Q307" t="s">
        <v>170</v>
      </c>
      <c r="R307" t="s">
        <v>155</v>
      </c>
      <c r="S307">
        <v>5</v>
      </c>
      <c r="T307" t="s">
        <v>135</v>
      </c>
      <c r="U307">
        <v>0</v>
      </c>
      <c r="V307">
        <v>2</v>
      </c>
      <c r="W307" t="s">
        <v>136</v>
      </c>
      <c r="X307">
        <v>0</v>
      </c>
      <c r="Y307" t="s">
        <v>140</v>
      </c>
      <c r="Z307" t="s">
        <v>181</v>
      </c>
      <c r="AA307" t="s">
        <v>143</v>
      </c>
      <c r="AB307" t="s">
        <v>165</v>
      </c>
      <c r="AC307" t="s">
        <v>21</v>
      </c>
      <c r="AD307" t="s">
        <v>158</v>
      </c>
      <c r="AE307" t="s">
        <v>122</v>
      </c>
      <c r="AF307" t="s">
        <v>21</v>
      </c>
    </row>
    <row r="308" spans="1:32">
      <c r="A308" t="s">
        <v>878</v>
      </c>
      <c r="B308" s="37">
        <v>40033</v>
      </c>
      <c r="C308" s="38">
        <v>40033</v>
      </c>
      <c r="D308" s="38">
        <v>40028</v>
      </c>
      <c r="E308" s="38">
        <v>40026</v>
      </c>
      <c r="F308" s="39">
        <v>128</v>
      </c>
      <c r="G308" t="s">
        <v>21</v>
      </c>
      <c r="H308" t="s">
        <v>21</v>
      </c>
      <c r="I308">
        <v>0</v>
      </c>
      <c r="J308">
        <v>0</v>
      </c>
      <c r="K308">
        <v>0</v>
      </c>
      <c r="L308">
        <v>1</v>
      </c>
      <c r="M308">
        <v>0</v>
      </c>
      <c r="N308" t="s">
        <v>196</v>
      </c>
      <c r="O308" t="s">
        <v>213</v>
      </c>
      <c r="P308" t="s">
        <v>207</v>
      </c>
      <c r="Q308" t="s">
        <v>170</v>
      </c>
      <c r="R308" t="s">
        <v>155</v>
      </c>
      <c r="S308">
        <v>5</v>
      </c>
      <c r="T308" t="s">
        <v>135</v>
      </c>
      <c r="U308">
        <v>0</v>
      </c>
      <c r="V308">
        <v>5</v>
      </c>
      <c r="W308" t="s">
        <v>135</v>
      </c>
      <c r="X308">
        <v>0</v>
      </c>
      <c r="Y308" t="s">
        <v>139</v>
      </c>
      <c r="Z308" t="s">
        <v>180</v>
      </c>
      <c r="AA308" t="s">
        <v>146</v>
      </c>
      <c r="AB308" t="s">
        <v>162</v>
      </c>
      <c r="AC308" t="s">
        <v>619</v>
      </c>
      <c r="AD308" t="s">
        <v>159</v>
      </c>
      <c r="AE308" t="s">
        <v>123</v>
      </c>
      <c r="AF308" t="s">
        <v>123</v>
      </c>
    </row>
    <row r="309" spans="1:32">
      <c r="A309" t="s">
        <v>879</v>
      </c>
      <c r="B309" s="37">
        <v>40054</v>
      </c>
      <c r="C309" s="38">
        <v>40054</v>
      </c>
      <c r="D309" s="38">
        <v>40049</v>
      </c>
      <c r="E309" s="38">
        <v>40026</v>
      </c>
      <c r="F309" s="39">
        <v>149</v>
      </c>
      <c r="G309" t="s">
        <v>21</v>
      </c>
      <c r="H309" t="s">
        <v>21</v>
      </c>
      <c r="I309">
        <v>0</v>
      </c>
      <c r="J309">
        <v>0</v>
      </c>
      <c r="K309">
        <v>0</v>
      </c>
      <c r="L309">
        <v>1</v>
      </c>
      <c r="M309">
        <v>0</v>
      </c>
      <c r="N309" t="s">
        <v>196</v>
      </c>
      <c r="O309" t="s">
        <v>213</v>
      </c>
      <c r="P309" t="s">
        <v>207</v>
      </c>
      <c r="Q309" t="s">
        <v>170</v>
      </c>
      <c r="R309" t="s">
        <v>155</v>
      </c>
      <c r="S309">
        <v>2</v>
      </c>
      <c r="T309" t="s">
        <v>136</v>
      </c>
      <c r="U309">
        <v>0</v>
      </c>
      <c r="V309">
        <v>3</v>
      </c>
      <c r="W309" t="s">
        <v>137</v>
      </c>
      <c r="X309">
        <v>0</v>
      </c>
      <c r="Y309" t="s">
        <v>139</v>
      </c>
      <c r="Z309" t="s">
        <v>180</v>
      </c>
      <c r="AA309" t="s">
        <v>145</v>
      </c>
      <c r="AB309" t="s">
        <v>162</v>
      </c>
      <c r="AC309" t="s">
        <v>880</v>
      </c>
      <c r="AD309" t="s">
        <v>157</v>
      </c>
      <c r="AE309" t="s">
        <v>501</v>
      </c>
      <c r="AF309" t="s">
        <v>881</v>
      </c>
    </row>
    <row r="310" spans="1:32">
      <c r="A310" t="s">
        <v>882</v>
      </c>
      <c r="B310" s="37">
        <v>40016</v>
      </c>
      <c r="C310" s="38">
        <v>40016</v>
      </c>
      <c r="D310" s="38">
        <v>40014</v>
      </c>
      <c r="E310" s="38">
        <v>39995</v>
      </c>
      <c r="F310" s="39">
        <v>111</v>
      </c>
      <c r="G310" t="s">
        <v>21</v>
      </c>
      <c r="H310" t="s">
        <v>21</v>
      </c>
      <c r="I310">
        <v>0</v>
      </c>
      <c r="J310">
        <v>0</v>
      </c>
      <c r="K310">
        <v>0</v>
      </c>
      <c r="L310">
        <v>1</v>
      </c>
      <c r="M310">
        <v>0</v>
      </c>
      <c r="N310" t="s">
        <v>195</v>
      </c>
      <c r="O310" t="s">
        <v>213</v>
      </c>
      <c r="P310" t="s">
        <v>206</v>
      </c>
      <c r="Q310" t="s">
        <v>170</v>
      </c>
      <c r="R310" t="s">
        <v>155</v>
      </c>
      <c r="S310">
        <v>1</v>
      </c>
      <c r="T310" t="s">
        <v>136</v>
      </c>
      <c r="U310">
        <v>0</v>
      </c>
      <c r="V310">
        <v>5</v>
      </c>
      <c r="W310" t="s">
        <v>135</v>
      </c>
      <c r="X310">
        <v>0</v>
      </c>
      <c r="Y310" t="s">
        <v>139</v>
      </c>
      <c r="Z310" t="s">
        <v>181</v>
      </c>
      <c r="AA310" t="s">
        <v>143</v>
      </c>
      <c r="AB310" t="s">
        <v>165</v>
      </c>
      <c r="AC310" t="s">
        <v>21</v>
      </c>
      <c r="AD310" t="s">
        <v>158</v>
      </c>
      <c r="AE310" t="s">
        <v>122</v>
      </c>
      <c r="AF310" t="s">
        <v>21</v>
      </c>
    </row>
    <row r="311" spans="1:32">
      <c r="A311" t="s">
        <v>883</v>
      </c>
      <c r="B311" s="37">
        <v>39966</v>
      </c>
      <c r="C311" s="38">
        <v>39966</v>
      </c>
      <c r="D311" s="38">
        <v>39965</v>
      </c>
      <c r="E311" s="38">
        <v>39965</v>
      </c>
      <c r="F311" s="39">
        <v>61</v>
      </c>
      <c r="G311" t="s">
        <v>21</v>
      </c>
      <c r="H311" t="s">
        <v>21</v>
      </c>
      <c r="I311">
        <v>0</v>
      </c>
      <c r="J311">
        <v>0</v>
      </c>
      <c r="K311">
        <v>0</v>
      </c>
      <c r="L311">
        <v>1</v>
      </c>
      <c r="M311">
        <v>0</v>
      </c>
      <c r="N311" t="s">
        <v>193</v>
      </c>
      <c r="O311" t="s">
        <v>213</v>
      </c>
      <c r="P311" t="s">
        <v>204</v>
      </c>
      <c r="Q311" t="s">
        <v>170</v>
      </c>
      <c r="R311" t="s">
        <v>155</v>
      </c>
      <c r="T311" t="s">
        <v>134</v>
      </c>
      <c r="U311">
        <v>1</v>
      </c>
      <c r="W311" t="s">
        <v>134</v>
      </c>
      <c r="X311">
        <v>1</v>
      </c>
      <c r="Y311" t="s">
        <v>140</v>
      </c>
      <c r="Z311" t="s">
        <v>181</v>
      </c>
      <c r="AA311" t="s">
        <v>143</v>
      </c>
      <c r="AB311" t="s">
        <v>162</v>
      </c>
      <c r="AC311" t="s">
        <v>567</v>
      </c>
      <c r="AD311" t="s">
        <v>155</v>
      </c>
      <c r="AE311" t="s">
        <v>130</v>
      </c>
      <c r="AF311" t="s">
        <v>21</v>
      </c>
    </row>
    <row r="312" spans="1:32">
      <c r="A312" t="s">
        <v>884</v>
      </c>
      <c r="B312" s="37">
        <v>39915</v>
      </c>
      <c r="C312" s="38">
        <v>39915</v>
      </c>
      <c r="D312" s="38">
        <v>39909</v>
      </c>
      <c r="E312" s="38">
        <v>39904</v>
      </c>
      <c r="F312" s="39">
        <v>10</v>
      </c>
      <c r="G312" t="s">
        <v>9</v>
      </c>
      <c r="H312" t="s">
        <v>9</v>
      </c>
      <c r="I312">
        <v>1</v>
      </c>
      <c r="J312">
        <v>0</v>
      </c>
      <c r="K312">
        <v>0</v>
      </c>
      <c r="L312">
        <v>0</v>
      </c>
      <c r="M312">
        <v>1</v>
      </c>
      <c r="N312" t="s">
        <v>198</v>
      </c>
      <c r="O312" t="s">
        <v>213</v>
      </c>
      <c r="P312" t="s">
        <v>208</v>
      </c>
      <c r="Q312" t="s">
        <v>170</v>
      </c>
      <c r="R312" t="s">
        <v>155</v>
      </c>
      <c r="T312" t="s">
        <v>134</v>
      </c>
      <c r="U312">
        <v>1</v>
      </c>
      <c r="W312" t="s">
        <v>134</v>
      </c>
      <c r="X312">
        <v>1</v>
      </c>
      <c r="Y312" t="s">
        <v>139</v>
      </c>
      <c r="Z312" t="s">
        <v>603</v>
      </c>
      <c r="AA312" t="s">
        <v>147</v>
      </c>
      <c r="AB312" t="s">
        <v>162</v>
      </c>
      <c r="AC312" t="s">
        <v>619</v>
      </c>
      <c r="AD312" t="s">
        <v>157</v>
      </c>
      <c r="AE312" t="s">
        <v>124</v>
      </c>
      <c r="AF312" t="s">
        <v>885</v>
      </c>
    </row>
    <row r="313" spans="1:32">
      <c r="A313" t="s">
        <v>886</v>
      </c>
      <c r="B313" s="37">
        <v>39915</v>
      </c>
      <c r="C313" s="38">
        <v>39915</v>
      </c>
      <c r="D313" s="38">
        <v>39909</v>
      </c>
      <c r="E313" s="38">
        <v>39904</v>
      </c>
      <c r="F313" s="39">
        <v>10</v>
      </c>
      <c r="G313" t="s">
        <v>21</v>
      </c>
      <c r="H313" t="s">
        <v>21</v>
      </c>
      <c r="I313">
        <v>0</v>
      </c>
      <c r="J313">
        <v>0</v>
      </c>
      <c r="K313">
        <v>0</v>
      </c>
      <c r="L313">
        <v>1</v>
      </c>
      <c r="M313">
        <v>0</v>
      </c>
      <c r="N313" t="s">
        <v>199</v>
      </c>
      <c r="O313" t="s">
        <v>213</v>
      </c>
      <c r="P313" t="s">
        <v>210</v>
      </c>
      <c r="Q313" t="s">
        <v>170</v>
      </c>
      <c r="R313" t="s">
        <v>155</v>
      </c>
      <c r="T313" t="s">
        <v>134</v>
      </c>
      <c r="U313">
        <v>1</v>
      </c>
      <c r="W313" t="s">
        <v>134</v>
      </c>
      <c r="X313">
        <v>1</v>
      </c>
      <c r="Y313" t="s">
        <v>139</v>
      </c>
      <c r="Z313" t="s">
        <v>180</v>
      </c>
      <c r="AA313" t="s">
        <v>145</v>
      </c>
      <c r="AB313" t="s">
        <v>162</v>
      </c>
      <c r="AC313" t="s">
        <v>21</v>
      </c>
      <c r="AD313" t="s">
        <v>155</v>
      </c>
      <c r="AE313" t="s">
        <v>439</v>
      </c>
      <c r="AF313" t="s">
        <v>21</v>
      </c>
    </row>
    <row r="314" spans="1:32">
      <c r="A314" t="s">
        <v>887</v>
      </c>
      <c r="B314" s="37">
        <v>39915</v>
      </c>
      <c r="C314" s="38">
        <v>39915</v>
      </c>
      <c r="D314" s="38">
        <v>39909</v>
      </c>
      <c r="E314" s="38">
        <v>39904</v>
      </c>
      <c r="F314" s="39">
        <v>10</v>
      </c>
      <c r="G314" t="s">
        <v>21</v>
      </c>
      <c r="H314" t="s">
        <v>21</v>
      </c>
      <c r="I314">
        <v>0</v>
      </c>
      <c r="J314">
        <v>0</v>
      </c>
      <c r="K314">
        <v>0</v>
      </c>
      <c r="L314">
        <v>1</v>
      </c>
      <c r="M314">
        <v>0</v>
      </c>
      <c r="N314" t="s">
        <v>201</v>
      </c>
      <c r="O314" t="s">
        <v>214</v>
      </c>
      <c r="P314" t="s">
        <v>204</v>
      </c>
      <c r="Q314" t="s">
        <v>170</v>
      </c>
      <c r="R314" t="s">
        <v>155</v>
      </c>
      <c r="T314" t="s">
        <v>134</v>
      </c>
      <c r="U314">
        <v>1</v>
      </c>
      <c r="W314" t="s">
        <v>134</v>
      </c>
      <c r="X314">
        <v>1</v>
      </c>
      <c r="Y314" t="s">
        <v>140</v>
      </c>
      <c r="Z314" t="s">
        <v>603</v>
      </c>
      <c r="AA314" t="s">
        <v>147</v>
      </c>
      <c r="AB314" t="s">
        <v>162</v>
      </c>
      <c r="AC314" t="s">
        <v>619</v>
      </c>
      <c r="AD314" t="s">
        <v>157</v>
      </c>
      <c r="AE314" t="s">
        <v>124</v>
      </c>
      <c r="AF314" t="s">
        <v>885</v>
      </c>
    </row>
    <row r="315" spans="1:32">
      <c r="A315" t="s">
        <v>888</v>
      </c>
      <c r="B315" s="37">
        <v>39919</v>
      </c>
      <c r="C315" s="38">
        <v>39919</v>
      </c>
      <c r="D315" s="38">
        <v>39916</v>
      </c>
      <c r="E315" s="38">
        <v>39904</v>
      </c>
      <c r="F315" s="39">
        <v>14</v>
      </c>
      <c r="G315" t="s">
        <v>21</v>
      </c>
      <c r="H315" t="s">
        <v>21</v>
      </c>
      <c r="I315">
        <v>0</v>
      </c>
      <c r="J315">
        <v>0</v>
      </c>
      <c r="K315">
        <v>0</v>
      </c>
      <c r="L315">
        <v>1</v>
      </c>
      <c r="M315">
        <v>0</v>
      </c>
      <c r="N315" t="s">
        <v>202</v>
      </c>
      <c r="O315" t="s">
        <v>213</v>
      </c>
      <c r="P315" t="s">
        <v>211</v>
      </c>
      <c r="Q315" t="s">
        <v>170</v>
      </c>
      <c r="R315" t="s">
        <v>155</v>
      </c>
      <c r="T315" t="s">
        <v>134</v>
      </c>
      <c r="U315">
        <v>1</v>
      </c>
      <c r="W315" t="s">
        <v>134</v>
      </c>
      <c r="X315">
        <v>1</v>
      </c>
      <c r="Y315" t="s">
        <v>139</v>
      </c>
      <c r="Z315" t="s">
        <v>180</v>
      </c>
      <c r="AA315" t="s">
        <v>151</v>
      </c>
      <c r="AB315" t="s">
        <v>162</v>
      </c>
      <c r="AC315" t="s">
        <v>619</v>
      </c>
      <c r="AD315" t="s">
        <v>156</v>
      </c>
      <c r="AE315" t="s">
        <v>120</v>
      </c>
      <c r="AF315" t="s">
        <v>868</v>
      </c>
    </row>
    <row r="316" spans="1:32">
      <c r="A316" t="s">
        <v>889</v>
      </c>
      <c r="B316" s="37">
        <v>39922</v>
      </c>
      <c r="C316" s="38">
        <v>39922</v>
      </c>
      <c r="D316" s="38">
        <v>39916</v>
      </c>
      <c r="E316" s="38">
        <v>39904</v>
      </c>
      <c r="F316" s="39">
        <v>17</v>
      </c>
      <c r="G316" t="s">
        <v>21</v>
      </c>
      <c r="H316" t="s">
        <v>21</v>
      </c>
      <c r="I316">
        <v>0</v>
      </c>
      <c r="J316">
        <v>0</v>
      </c>
      <c r="K316">
        <v>0</v>
      </c>
      <c r="L316">
        <v>1</v>
      </c>
      <c r="M316">
        <v>0</v>
      </c>
      <c r="N316" t="s">
        <v>201</v>
      </c>
      <c r="O316" t="s">
        <v>214</v>
      </c>
      <c r="P316" t="s">
        <v>204</v>
      </c>
      <c r="Q316" t="s">
        <v>170</v>
      </c>
      <c r="R316" t="s">
        <v>155</v>
      </c>
      <c r="T316" t="s">
        <v>134</v>
      </c>
      <c r="U316">
        <v>1</v>
      </c>
      <c r="W316" t="s">
        <v>134</v>
      </c>
      <c r="X316">
        <v>1</v>
      </c>
      <c r="Y316" t="s">
        <v>140</v>
      </c>
      <c r="Z316" t="s">
        <v>189</v>
      </c>
      <c r="AA316" t="s">
        <v>147</v>
      </c>
      <c r="AB316" t="s">
        <v>162</v>
      </c>
      <c r="AC316" t="s">
        <v>890</v>
      </c>
      <c r="AD316" t="s">
        <v>157</v>
      </c>
      <c r="AE316" t="s">
        <v>406</v>
      </c>
      <c r="AF316" t="s">
        <v>891</v>
      </c>
    </row>
    <row r="317" spans="1:32">
      <c r="A317" t="s">
        <v>892</v>
      </c>
      <c r="B317" s="37">
        <v>39928</v>
      </c>
      <c r="C317" s="38">
        <v>39928</v>
      </c>
      <c r="D317" s="38">
        <v>39923</v>
      </c>
      <c r="E317" s="38">
        <v>39904</v>
      </c>
      <c r="F317" s="39">
        <v>23</v>
      </c>
      <c r="G317" t="s">
        <v>21</v>
      </c>
      <c r="H317" t="s">
        <v>21</v>
      </c>
      <c r="I317">
        <v>0</v>
      </c>
      <c r="J317">
        <v>0</v>
      </c>
      <c r="K317">
        <v>0</v>
      </c>
      <c r="L317">
        <v>1</v>
      </c>
      <c r="M317">
        <v>0</v>
      </c>
      <c r="N317" t="s">
        <v>193</v>
      </c>
      <c r="O317" t="s">
        <v>213</v>
      </c>
      <c r="P317" t="s">
        <v>204</v>
      </c>
      <c r="Q317" t="s">
        <v>170</v>
      </c>
      <c r="R317" t="s">
        <v>155</v>
      </c>
      <c r="T317" t="s">
        <v>134</v>
      </c>
      <c r="U317">
        <v>1</v>
      </c>
      <c r="W317" t="s">
        <v>134</v>
      </c>
      <c r="X317">
        <v>1</v>
      </c>
      <c r="Y317" t="s">
        <v>140</v>
      </c>
      <c r="Z317" t="s">
        <v>191</v>
      </c>
      <c r="AA317" t="s">
        <v>145</v>
      </c>
      <c r="AB317" t="s">
        <v>165</v>
      </c>
      <c r="AC317" t="s">
        <v>21</v>
      </c>
      <c r="AD317" t="s">
        <v>158</v>
      </c>
      <c r="AE317" t="s">
        <v>122</v>
      </c>
      <c r="AF317" t="s">
        <v>21</v>
      </c>
    </row>
    <row r="318" spans="1:32">
      <c r="A318" t="s">
        <v>893</v>
      </c>
      <c r="B318" s="37">
        <v>39957</v>
      </c>
      <c r="C318" s="38">
        <v>39957</v>
      </c>
      <c r="D318" s="38">
        <v>39951</v>
      </c>
      <c r="E318" s="38">
        <v>39934</v>
      </c>
      <c r="F318" s="39">
        <v>52</v>
      </c>
      <c r="G318" t="s">
        <v>21</v>
      </c>
      <c r="H318" t="s">
        <v>21</v>
      </c>
      <c r="I318">
        <v>0</v>
      </c>
      <c r="J318">
        <v>0</v>
      </c>
      <c r="K318">
        <v>0</v>
      </c>
      <c r="L318">
        <v>1</v>
      </c>
      <c r="M318">
        <v>0</v>
      </c>
      <c r="N318" t="s">
        <v>195</v>
      </c>
      <c r="O318" t="s">
        <v>213</v>
      </c>
      <c r="P318" t="s">
        <v>206</v>
      </c>
      <c r="Q318" t="s">
        <v>170</v>
      </c>
      <c r="R318" t="s">
        <v>155</v>
      </c>
      <c r="T318" t="s">
        <v>134</v>
      </c>
      <c r="U318">
        <v>1</v>
      </c>
      <c r="W318" t="s">
        <v>134</v>
      </c>
      <c r="X318">
        <v>1</v>
      </c>
      <c r="Y318" t="s">
        <v>139</v>
      </c>
      <c r="Z318" t="s">
        <v>191</v>
      </c>
      <c r="AA318" t="s">
        <v>146</v>
      </c>
      <c r="AB318" t="s">
        <v>162</v>
      </c>
      <c r="AC318" t="s">
        <v>174</v>
      </c>
      <c r="AD318" t="s">
        <v>156</v>
      </c>
      <c r="AE318" t="s">
        <v>120</v>
      </c>
      <c r="AF318" t="s">
        <v>741</v>
      </c>
    </row>
    <row r="319" spans="1:32">
      <c r="A319" t="s">
        <v>894</v>
      </c>
      <c r="B319" s="37">
        <v>40004</v>
      </c>
      <c r="C319" s="38">
        <v>40004</v>
      </c>
      <c r="D319" s="38">
        <v>40000</v>
      </c>
      <c r="E319" s="38">
        <v>39995</v>
      </c>
      <c r="F319" s="39">
        <v>99</v>
      </c>
      <c r="G319" t="s">
        <v>9</v>
      </c>
      <c r="H319" t="s">
        <v>9</v>
      </c>
      <c r="I319">
        <v>1</v>
      </c>
      <c r="J319">
        <v>0</v>
      </c>
      <c r="K319">
        <v>0</v>
      </c>
      <c r="L319">
        <v>0</v>
      </c>
      <c r="M319">
        <v>1</v>
      </c>
      <c r="N319" t="s">
        <v>193</v>
      </c>
      <c r="O319" t="s">
        <v>213</v>
      </c>
      <c r="P319" t="s">
        <v>204</v>
      </c>
      <c r="Q319" t="s">
        <v>170</v>
      </c>
      <c r="R319" t="s">
        <v>155</v>
      </c>
      <c r="T319" t="s">
        <v>134</v>
      </c>
      <c r="U319">
        <v>1</v>
      </c>
      <c r="V319">
        <v>3</v>
      </c>
      <c r="W319" t="s">
        <v>137</v>
      </c>
      <c r="X319">
        <v>0</v>
      </c>
      <c r="Y319" t="s">
        <v>140</v>
      </c>
      <c r="Z319" t="s">
        <v>179</v>
      </c>
      <c r="AA319" t="s">
        <v>143</v>
      </c>
      <c r="AB319" t="s">
        <v>162</v>
      </c>
      <c r="AC319" t="s">
        <v>619</v>
      </c>
      <c r="AD319" t="s">
        <v>156</v>
      </c>
      <c r="AE319" t="s">
        <v>120</v>
      </c>
      <c r="AF319" t="s">
        <v>895</v>
      </c>
    </row>
    <row r="320" spans="1:32">
      <c r="A320" t="s">
        <v>896</v>
      </c>
      <c r="B320" s="37">
        <v>40050</v>
      </c>
      <c r="C320" s="38">
        <v>40050</v>
      </c>
      <c r="D320" s="38">
        <v>40049</v>
      </c>
      <c r="E320" s="38">
        <v>40026</v>
      </c>
      <c r="F320" s="39">
        <v>145</v>
      </c>
      <c r="G320" t="s">
        <v>21</v>
      </c>
      <c r="H320" t="s">
        <v>21</v>
      </c>
      <c r="I320">
        <v>0</v>
      </c>
      <c r="J320">
        <v>0</v>
      </c>
      <c r="K320">
        <v>0</v>
      </c>
      <c r="L320">
        <v>1</v>
      </c>
      <c r="M320">
        <v>0</v>
      </c>
      <c r="N320" t="s">
        <v>196</v>
      </c>
      <c r="O320" t="s">
        <v>213</v>
      </c>
      <c r="P320" t="s">
        <v>207</v>
      </c>
      <c r="Q320" t="s">
        <v>170</v>
      </c>
      <c r="R320" t="s">
        <v>155</v>
      </c>
      <c r="S320">
        <v>1</v>
      </c>
      <c r="T320" t="s">
        <v>136</v>
      </c>
      <c r="U320">
        <v>0</v>
      </c>
      <c r="V320">
        <v>5</v>
      </c>
      <c r="W320" t="s">
        <v>135</v>
      </c>
      <c r="X320">
        <v>0</v>
      </c>
      <c r="Y320" t="s">
        <v>139</v>
      </c>
      <c r="Z320" t="s">
        <v>180</v>
      </c>
      <c r="AA320" t="s">
        <v>144</v>
      </c>
      <c r="AB320" t="s">
        <v>162</v>
      </c>
      <c r="AC320" t="s">
        <v>21</v>
      </c>
      <c r="AD320" t="s">
        <v>155</v>
      </c>
      <c r="AE320" t="s">
        <v>127</v>
      </c>
      <c r="AF320" t="s">
        <v>21</v>
      </c>
    </row>
    <row r="321" spans="1:32">
      <c r="A321" t="s">
        <v>897</v>
      </c>
      <c r="B321" s="37">
        <v>40065</v>
      </c>
      <c r="C321" s="38">
        <v>40065</v>
      </c>
      <c r="D321" s="38">
        <v>40063</v>
      </c>
      <c r="E321" s="38">
        <v>40057</v>
      </c>
      <c r="F321" s="39">
        <v>160</v>
      </c>
      <c r="G321" t="s">
        <v>21</v>
      </c>
      <c r="H321" t="s">
        <v>21</v>
      </c>
      <c r="I321">
        <v>0</v>
      </c>
      <c r="J321">
        <v>0</v>
      </c>
      <c r="K321">
        <v>0</v>
      </c>
      <c r="L321">
        <v>1</v>
      </c>
      <c r="M321">
        <v>0</v>
      </c>
      <c r="N321" t="s">
        <v>193</v>
      </c>
      <c r="O321" t="s">
        <v>213</v>
      </c>
      <c r="P321" t="s">
        <v>204</v>
      </c>
      <c r="Q321" t="s">
        <v>170</v>
      </c>
      <c r="R321" t="s">
        <v>155</v>
      </c>
      <c r="S321">
        <v>5</v>
      </c>
      <c r="T321" t="s">
        <v>135</v>
      </c>
      <c r="U321">
        <v>0</v>
      </c>
      <c r="V321">
        <v>3</v>
      </c>
      <c r="W321" t="s">
        <v>137</v>
      </c>
      <c r="X321">
        <v>0</v>
      </c>
      <c r="Y321" t="s">
        <v>140</v>
      </c>
      <c r="Z321" t="s">
        <v>509</v>
      </c>
      <c r="AA321" t="s">
        <v>143</v>
      </c>
      <c r="AB321" t="s">
        <v>162</v>
      </c>
      <c r="AC321" t="s">
        <v>550</v>
      </c>
      <c r="AD321" t="s">
        <v>157</v>
      </c>
      <c r="AE321" t="s">
        <v>439</v>
      </c>
      <c r="AF321" t="s">
        <v>898</v>
      </c>
    </row>
    <row r="322" spans="1:32">
      <c r="A322" t="s">
        <v>899</v>
      </c>
      <c r="B322" s="37">
        <v>40041</v>
      </c>
      <c r="C322" s="38">
        <v>40041</v>
      </c>
      <c r="D322" s="38">
        <v>40035</v>
      </c>
      <c r="E322" s="38">
        <v>40026</v>
      </c>
      <c r="F322" s="39">
        <v>136</v>
      </c>
      <c r="G322" t="s">
        <v>21</v>
      </c>
      <c r="H322" t="s">
        <v>21</v>
      </c>
      <c r="I322">
        <v>0</v>
      </c>
      <c r="J322">
        <v>0</v>
      </c>
      <c r="K322">
        <v>0</v>
      </c>
      <c r="L322">
        <v>1</v>
      </c>
      <c r="M322">
        <v>0</v>
      </c>
      <c r="N322" t="s">
        <v>193</v>
      </c>
      <c r="O322" t="s">
        <v>213</v>
      </c>
      <c r="P322" t="s">
        <v>204</v>
      </c>
      <c r="Q322" t="s">
        <v>170</v>
      </c>
      <c r="R322" t="s">
        <v>155</v>
      </c>
      <c r="S322">
        <v>5</v>
      </c>
      <c r="T322" t="s">
        <v>135</v>
      </c>
      <c r="U322">
        <v>0</v>
      </c>
      <c r="V322">
        <v>3</v>
      </c>
      <c r="W322" t="s">
        <v>137</v>
      </c>
      <c r="X322">
        <v>0</v>
      </c>
      <c r="Y322" t="s">
        <v>140</v>
      </c>
      <c r="Z322" t="s">
        <v>181</v>
      </c>
      <c r="AA322" t="s">
        <v>142</v>
      </c>
      <c r="AB322" t="s">
        <v>162</v>
      </c>
      <c r="AC322" t="s">
        <v>174</v>
      </c>
      <c r="AD322" t="s">
        <v>160</v>
      </c>
      <c r="AE322" t="s">
        <v>126</v>
      </c>
      <c r="AF322" t="s">
        <v>900</v>
      </c>
    </row>
    <row r="323" spans="1:32">
      <c r="A323" t="s">
        <v>901</v>
      </c>
      <c r="B323" s="37">
        <v>39984</v>
      </c>
      <c r="C323" s="38">
        <v>39984</v>
      </c>
      <c r="D323" s="38">
        <v>39979</v>
      </c>
      <c r="E323" s="38">
        <v>39965</v>
      </c>
      <c r="F323" s="39">
        <v>79</v>
      </c>
      <c r="G323" t="s">
        <v>525</v>
      </c>
      <c r="H323" t="s">
        <v>17</v>
      </c>
      <c r="I323">
        <v>0</v>
      </c>
      <c r="J323">
        <v>0</v>
      </c>
      <c r="K323">
        <v>1</v>
      </c>
      <c r="L323">
        <v>0</v>
      </c>
      <c r="M323">
        <v>0</v>
      </c>
      <c r="N323" t="s">
        <v>196</v>
      </c>
      <c r="O323" t="s">
        <v>213</v>
      </c>
      <c r="P323" t="s">
        <v>207</v>
      </c>
      <c r="Q323" t="s">
        <v>170</v>
      </c>
      <c r="R323" t="s">
        <v>155</v>
      </c>
      <c r="T323" t="s">
        <v>134</v>
      </c>
      <c r="U323">
        <v>1</v>
      </c>
      <c r="W323" t="s">
        <v>134</v>
      </c>
      <c r="X323">
        <v>1</v>
      </c>
      <c r="Y323" t="s">
        <v>139</v>
      </c>
      <c r="Z323" t="s">
        <v>810</v>
      </c>
      <c r="AA323" t="s">
        <v>142</v>
      </c>
      <c r="AB323" t="s">
        <v>163</v>
      </c>
      <c r="AC323" t="s">
        <v>902</v>
      </c>
      <c r="AD323" t="s">
        <v>788</v>
      </c>
      <c r="AE323" t="s">
        <v>903</v>
      </c>
      <c r="AF323" t="s">
        <v>21</v>
      </c>
    </row>
    <row r="324" spans="1:32">
      <c r="A324" t="s">
        <v>904</v>
      </c>
      <c r="B324" s="37">
        <v>39995</v>
      </c>
      <c r="C324" s="38">
        <v>39995</v>
      </c>
      <c r="D324" s="38">
        <v>39993</v>
      </c>
      <c r="E324" s="38">
        <v>39995</v>
      </c>
      <c r="F324" s="39">
        <v>90</v>
      </c>
      <c r="G324" t="s">
        <v>383</v>
      </c>
      <c r="H324" t="s">
        <v>17</v>
      </c>
      <c r="I324">
        <v>0</v>
      </c>
      <c r="J324">
        <v>0</v>
      </c>
      <c r="K324">
        <v>1</v>
      </c>
      <c r="L324">
        <v>0</v>
      </c>
      <c r="M324">
        <v>0</v>
      </c>
      <c r="N324" t="s">
        <v>196</v>
      </c>
      <c r="O324" t="s">
        <v>213</v>
      </c>
      <c r="P324" t="s">
        <v>207</v>
      </c>
      <c r="Q324" t="s">
        <v>170</v>
      </c>
      <c r="R324" t="s">
        <v>155</v>
      </c>
      <c r="T324" t="s">
        <v>134</v>
      </c>
      <c r="U324">
        <v>1</v>
      </c>
      <c r="V324">
        <v>2</v>
      </c>
      <c r="W324" t="s">
        <v>136</v>
      </c>
      <c r="X324">
        <v>0</v>
      </c>
      <c r="Y324" t="s">
        <v>139</v>
      </c>
      <c r="Z324" t="s">
        <v>179</v>
      </c>
      <c r="AA324" t="s">
        <v>142</v>
      </c>
      <c r="AB324" t="s">
        <v>162</v>
      </c>
      <c r="AC324" t="s">
        <v>175</v>
      </c>
      <c r="AD324" t="s">
        <v>155</v>
      </c>
      <c r="AE324" t="s">
        <v>130</v>
      </c>
      <c r="AF324" t="s">
        <v>21</v>
      </c>
    </row>
    <row r="325" spans="1:32">
      <c r="A325" t="s">
        <v>905</v>
      </c>
      <c r="B325" s="37">
        <v>39992</v>
      </c>
      <c r="C325" s="38">
        <v>39992</v>
      </c>
      <c r="D325" s="38">
        <v>39986</v>
      </c>
      <c r="E325" s="38">
        <v>39965</v>
      </c>
      <c r="F325" s="39">
        <v>87</v>
      </c>
      <c r="G325" t="s">
        <v>21</v>
      </c>
      <c r="H325" t="s">
        <v>21</v>
      </c>
      <c r="I325">
        <v>0</v>
      </c>
      <c r="J325">
        <v>0</v>
      </c>
      <c r="K325">
        <v>0</v>
      </c>
      <c r="L325">
        <v>1</v>
      </c>
      <c r="M325">
        <v>0</v>
      </c>
      <c r="N325" t="s">
        <v>193</v>
      </c>
      <c r="O325" t="s">
        <v>213</v>
      </c>
      <c r="P325" t="s">
        <v>204</v>
      </c>
      <c r="Q325" t="s">
        <v>170</v>
      </c>
      <c r="R325" t="s">
        <v>155</v>
      </c>
      <c r="T325" t="s">
        <v>134</v>
      </c>
      <c r="U325">
        <v>1</v>
      </c>
      <c r="V325">
        <v>5</v>
      </c>
      <c r="W325" t="s">
        <v>135</v>
      </c>
      <c r="X325">
        <v>0</v>
      </c>
      <c r="Y325" t="s">
        <v>140</v>
      </c>
      <c r="Z325" t="s">
        <v>447</v>
      </c>
      <c r="AA325" t="s">
        <v>146</v>
      </c>
      <c r="AB325" t="s">
        <v>162</v>
      </c>
      <c r="AC325" t="s">
        <v>906</v>
      </c>
      <c r="AD325" t="s">
        <v>156</v>
      </c>
      <c r="AE325" t="s">
        <v>120</v>
      </c>
      <c r="AF325" t="s">
        <v>907</v>
      </c>
    </row>
    <row r="326" spans="1:32">
      <c r="A326" t="s">
        <v>908</v>
      </c>
      <c r="B326" s="37">
        <v>40011</v>
      </c>
      <c r="C326" s="38">
        <v>40011</v>
      </c>
      <c r="D326" s="38">
        <v>40007</v>
      </c>
      <c r="E326" s="38">
        <v>39995</v>
      </c>
      <c r="F326" s="39">
        <v>106</v>
      </c>
      <c r="G326" t="s">
        <v>383</v>
      </c>
      <c r="H326" t="s">
        <v>17</v>
      </c>
      <c r="I326">
        <v>0</v>
      </c>
      <c r="J326">
        <v>0</v>
      </c>
      <c r="K326">
        <v>1</v>
      </c>
      <c r="L326">
        <v>0</v>
      </c>
      <c r="M326">
        <v>0</v>
      </c>
      <c r="N326" t="s">
        <v>196</v>
      </c>
      <c r="O326" t="s">
        <v>213</v>
      </c>
      <c r="P326" t="s">
        <v>207</v>
      </c>
      <c r="Q326" t="s">
        <v>170</v>
      </c>
      <c r="R326" t="s">
        <v>155</v>
      </c>
      <c r="S326">
        <v>5</v>
      </c>
      <c r="T326" t="s">
        <v>135</v>
      </c>
      <c r="U326">
        <v>0</v>
      </c>
      <c r="V326">
        <v>5</v>
      </c>
      <c r="W326" t="s">
        <v>135</v>
      </c>
      <c r="X326">
        <v>0</v>
      </c>
      <c r="Y326" t="s">
        <v>139</v>
      </c>
      <c r="Z326" t="s">
        <v>181</v>
      </c>
      <c r="AA326" t="s">
        <v>144</v>
      </c>
      <c r="AB326" t="s">
        <v>162</v>
      </c>
      <c r="AC326" t="s">
        <v>174</v>
      </c>
      <c r="AD326" t="s">
        <v>159</v>
      </c>
      <c r="AE326" t="s">
        <v>123</v>
      </c>
      <c r="AF326" t="s">
        <v>123</v>
      </c>
    </row>
    <row r="327" spans="1:32">
      <c r="A327" t="s">
        <v>909</v>
      </c>
      <c r="B327" s="37">
        <v>39984</v>
      </c>
      <c r="C327" s="38">
        <v>39984</v>
      </c>
      <c r="D327" s="38">
        <v>39979</v>
      </c>
      <c r="E327" s="38">
        <v>39965</v>
      </c>
      <c r="F327" s="39">
        <v>79</v>
      </c>
      <c r="G327" t="s">
        <v>21</v>
      </c>
      <c r="H327" t="s">
        <v>21</v>
      </c>
      <c r="I327">
        <v>0</v>
      </c>
      <c r="J327">
        <v>0</v>
      </c>
      <c r="K327">
        <v>0</v>
      </c>
      <c r="L327">
        <v>1</v>
      </c>
      <c r="M327">
        <v>0</v>
      </c>
      <c r="N327" t="s">
        <v>196</v>
      </c>
      <c r="O327" t="s">
        <v>213</v>
      </c>
      <c r="P327" t="s">
        <v>207</v>
      </c>
      <c r="Q327" t="s">
        <v>170</v>
      </c>
      <c r="R327" t="s">
        <v>155</v>
      </c>
      <c r="T327" t="s">
        <v>134</v>
      </c>
      <c r="U327">
        <v>1</v>
      </c>
      <c r="W327" t="s">
        <v>134</v>
      </c>
      <c r="X327">
        <v>1</v>
      </c>
      <c r="Y327" t="s">
        <v>139</v>
      </c>
      <c r="Z327" t="s">
        <v>179</v>
      </c>
      <c r="AA327" t="s">
        <v>149</v>
      </c>
      <c r="AB327" t="s">
        <v>162</v>
      </c>
      <c r="AC327" t="s">
        <v>910</v>
      </c>
      <c r="AD327" t="s">
        <v>157</v>
      </c>
      <c r="AE327" t="s">
        <v>130</v>
      </c>
      <c r="AF327" t="s">
        <v>437</v>
      </c>
    </row>
    <row r="328" spans="1:32">
      <c r="A328" t="s">
        <v>911</v>
      </c>
      <c r="B328" s="37">
        <v>39997</v>
      </c>
      <c r="C328" s="38">
        <v>39997</v>
      </c>
      <c r="D328" s="38">
        <v>39993</v>
      </c>
      <c r="E328" s="38">
        <v>39995</v>
      </c>
      <c r="F328" s="39">
        <v>92</v>
      </c>
      <c r="G328" t="s">
        <v>21</v>
      </c>
      <c r="H328" t="s">
        <v>21</v>
      </c>
      <c r="I328">
        <v>0</v>
      </c>
      <c r="J328">
        <v>0</v>
      </c>
      <c r="K328">
        <v>0</v>
      </c>
      <c r="L328">
        <v>1</v>
      </c>
      <c r="M328">
        <v>0</v>
      </c>
      <c r="N328" t="s">
        <v>193</v>
      </c>
      <c r="O328" t="s">
        <v>213</v>
      </c>
      <c r="P328" t="s">
        <v>204</v>
      </c>
      <c r="Q328" t="s">
        <v>170</v>
      </c>
      <c r="R328" t="s">
        <v>155</v>
      </c>
      <c r="T328" t="s">
        <v>134</v>
      </c>
      <c r="U328">
        <v>1</v>
      </c>
      <c r="V328">
        <v>3</v>
      </c>
      <c r="W328" t="s">
        <v>137</v>
      </c>
      <c r="X328">
        <v>0</v>
      </c>
      <c r="Y328" t="s">
        <v>140</v>
      </c>
      <c r="Z328" t="s">
        <v>180</v>
      </c>
      <c r="AA328" t="s">
        <v>143</v>
      </c>
      <c r="AB328" t="s">
        <v>162</v>
      </c>
      <c r="AC328" t="s">
        <v>21</v>
      </c>
      <c r="AD328" t="s">
        <v>160</v>
      </c>
      <c r="AE328" t="s">
        <v>726</v>
      </c>
      <c r="AF328" t="s">
        <v>912</v>
      </c>
    </row>
    <row r="329" spans="1:32">
      <c r="A329" t="s">
        <v>913</v>
      </c>
      <c r="B329" s="37">
        <v>39992</v>
      </c>
      <c r="C329" s="38">
        <v>39992</v>
      </c>
      <c r="D329" s="38">
        <v>39986</v>
      </c>
      <c r="E329" s="38">
        <v>39965</v>
      </c>
      <c r="F329" s="39">
        <v>87</v>
      </c>
      <c r="G329" t="s">
        <v>21</v>
      </c>
      <c r="H329" t="s">
        <v>21</v>
      </c>
      <c r="I329">
        <v>0</v>
      </c>
      <c r="J329">
        <v>0</v>
      </c>
      <c r="K329">
        <v>0</v>
      </c>
      <c r="L329">
        <v>1</v>
      </c>
      <c r="M329">
        <v>0</v>
      </c>
      <c r="N329" t="s">
        <v>194</v>
      </c>
      <c r="O329" t="s">
        <v>213</v>
      </c>
      <c r="P329" t="s">
        <v>205</v>
      </c>
      <c r="Q329" t="s">
        <v>170</v>
      </c>
      <c r="R329" t="s">
        <v>155</v>
      </c>
      <c r="T329" t="s">
        <v>134</v>
      </c>
      <c r="U329">
        <v>1</v>
      </c>
      <c r="V329">
        <v>3</v>
      </c>
      <c r="W329" t="s">
        <v>137</v>
      </c>
      <c r="X329">
        <v>0</v>
      </c>
      <c r="Y329" t="s">
        <v>139</v>
      </c>
      <c r="Z329" t="s">
        <v>179</v>
      </c>
      <c r="AA329" t="s">
        <v>145</v>
      </c>
      <c r="AB329" t="s">
        <v>162</v>
      </c>
      <c r="AC329" t="s">
        <v>459</v>
      </c>
      <c r="AD329" t="s">
        <v>155</v>
      </c>
      <c r="AE329" t="s">
        <v>129</v>
      </c>
      <c r="AF329" t="s">
        <v>21</v>
      </c>
    </row>
    <row r="330" spans="1:32">
      <c r="A330" t="s">
        <v>914</v>
      </c>
      <c r="B330" s="37">
        <v>40054</v>
      </c>
      <c r="C330" s="38">
        <v>40054</v>
      </c>
      <c r="D330" s="38">
        <v>40049</v>
      </c>
      <c r="E330" s="38">
        <v>40026</v>
      </c>
      <c r="F330" s="39">
        <v>149</v>
      </c>
      <c r="G330" t="s">
        <v>383</v>
      </c>
      <c r="H330" t="s">
        <v>17</v>
      </c>
      <c r="I330">
        <v>0</v>
      </c>
      <c r="J330">
        <v>0</v>
      </c>
      <c r="K330">
        <v>1</v>
      </c>
      <c r="L330">
        <v>0</v>
      </c>
      <c r="M330">
        <v>0</v>
      </c>
      <c r="N330" t="s">
        <v>196</v>
      </c>
      <c r="O330" t="s">
        <v>213</v>
      </c>
      <c r="P330" t="s">
        <v>207</v>
      </c>
      <c r="Q330" t="s">
        <v>170</v>
      </c>
      <c r="R330" t="s">
        <v>155</v>
      </c>
      <c r="S330">
        <v>5</v>
      </c>
      <c r="T330" t="s">
        <v>135</v>
      </c>
      <c r="U330">
        <v>0</v>
      </c>
      <c r="V330">
        <v>5</v>
      </c>
      <c r="W330" t="s">
        <v>135</v>
      </c>
      <c r="X330">
        <v>0</v>
      </c>
      <c r="Y330" t="s">
        <v>139</v>
      </c>
      <c r="Z330" t="s">
        <v>179</v>
      </c>
      <c r="AA330" t="s">
        <v>145</v>
      </c>
      <c r="AB330" t="s">
        <v>162</v>
      </c>
      <c r="AC330" t="s">
        <v>619</v>
      </c>
      <c r="AD330" t="s">
        <v>157</v>
      </c>
      <c r="AE330" t="s">
        <v>127</v>
      </c>
      <c r="AF330" t="s">
        <v>153</v>
      </c>
    </row>
    <row r="331" spans="1:32">
      <c r="A331" t="s">
        <v>915</v>
      </c>
      <c r="B331" s="37">
        <v>39962</v>
      </c>
      <c r="C331" s="38">
        <v>39962</v>
      </c>
      <c r="D331" s="38">
        <v>39958</v>
      </c>
      <c r="E331" s="38">
        <v>39934</v>
      </c>
      <c r="F331" s="39">
        <v>57</v>
      </c>
      <c r="G331" t="s">
        <v>380</v>
      </c>
      <c r="H331" t="s">
        <v>17</v>
      </c>
      <c r="I331">
        <v>0</v>
      </c>
      <c r="J331">
        <v>0</v>
      </c>
      <c r="K331">
        <v>1</v>
      </c>
      <c r="L331">
        <v>0</v>
      </c>
      <c r="M331">
        <v>0</v>
      </c>
      <c r="N331" t="s">
        <v>193</v>
      </c>
      <c r="O331" t="s">
        <v>213</v>
      </c>
      <c r="P331" t="s">
        <v>204</v>
      </c>
      <c r="Q331" t="s">
        <v>170</v>
      </c>
      <c r="R331" t="s">
        <v>155</v>
      </c>
      <c r="T331" t="s">
        <v>134</v>
      </c>
      <c r="U331">
        <v>1</v>
      </c>
      <c r="W331" t="s">
        <v>134</v>
      </c>
      <c r="X331">
        <v>1</v>
      </c>
      <c r="Y331" t="s">
        <v>140</v>
      </c>
      <c r="Z331" t="s">
        <v>180</v>
      </c>
      <c r="AA331" t="s">
        <v>146</v>
      </c>
      <c r="AB331" t="s">
        <v>162</v>
      </c>
      <c r="AC331" t="s">
        <v>619</v>
      </c>
      <c r="AD331" t="s">
        <v>157</v>
      </c>
      <c r="AE331" t="s">
        <v>830</v>
      </c>
      <c r="AF331" t="s">
        <v>916</v>
      </c>
    </row>
    <row r="332" spans="1:32">
      <c r="A332" t="s">
        <v>917</v>
      </c>
      <c r="B332" s="37">
        <v>40033</v>
      </c>
      <c r="C332" s="38">
        <v>40033</v>
      </c>
      <c r="D332" s="38">
        <v>40028</v>
      </c>
      <c r="E332" s="38">
        <v>40026</v>
      </c>
      <c r="F332" s="39">
        <v>128</v>
      </c>
      <c r="G332" t="s">
        <v>21</v>
      </c>
      <c r="H332" t="s">
        <v>21</v>
      </c>
      <c r="I332">
        <v>0</v>
      </c>
      <c r="J332">
        <v>0</v>
      </c>
      <c r="K332">
        <v>0</v>
      </c>
      <c r="L332">
        <v>1</v>
      </c>
      <c r="M332">
        <v>0</v>
      </c>
      <c r="N332" t="s">
        <v>197</v>
      </c>
      <c r="O332" t="s">
        <v>213</v>
      </c>
      <c r="P332" t="s">
        <v>209</v>
      </c>
      <c r="Q332" t="s">
        <v>170</v>
      </c>
      <c r="R332" t="s">
        <v>155</v>
      </c>
      <c r="S332">
        <v>5</v>
      </c>
      <c r="T332" t="s">
        <v>135</v>
      </c>
      <c r="U332">
        <v>0</v>
      </c>
      <c r="V332">
        <v>3</v>
      </c>
      <c r="W332" t="s">
        <v>137</v>
      </c>
      <c r="X332">
        <v>0</v>
      </c>
      <c r="Y332" t="s">
        <v>139</v>
      </c>
      <c r="Z332" t="s">
        <v>184</v>
      </c>
      <c r="AA332" t="s">
        <v>144</v>
      </c>
      <c r="AB332" t="s">
        <v>162</v>
      </c>
      <c r="AC332" t="s">
        <v>176</v>
      </c>
      <c r="AD332" t="s">
        <v>155</v>
      </c>
      <c r="AE332" t="s">
        <v>129</v>
      </c>
      <c r="AF332" t="s">
        <v>21</v>
      </c>
    </row>
    <row r="333" spans="1:32">
      <c r="A333" t="s">
        <v>918</v>
      </c>
      <c r="B333" s="37">
        <v>39982</v>
      </c>
      <c r="C333" s="38">
        <v>39982</v>
      </c>
      <c r="D333" s="38">
        <v>39979</v>
      </c>
      <c r="E333" s="38">
        <v>39965</v>
      </c>
      <c r="F333" s="39">
        <v>77</v>
      </c>
      <c r="G333" t="s">
        <v>21</v>
      </c>
      <c r="H333" t="s">
        <v>21</v>
      </c>
      <c r="I333">
        <v>0</v>
      </c>
      <c r="J333">
        <v>0</v>
      </c>
      <c r="K333">
        <v>0</v>
      </c>
      <c r="L333">
        <v>1</v>
      </c>
      <c r="M333">
        <v>0</v>
      </c>
      <c r="N333" t="s">
        <v>193</v>
      </c>
      <c r="O333" t="s">
        <v>213</v>
      </c>
      <c r="P333" t="s">
        <v>204</v>
      </c>
      <c r="Q333" t="s">
        <v>170</v>
      </c>
      <c r="R333" t="s">
        <v>155</v>
      </c>
      <c r="T333" t="s">
        <v>134</v>
      </c>
      <c r="U333">
        <v>1</v>
      </c>
      <c r="W333" t="s">
        <v>134</v>
      </c>
      <c r="X333">
        <v>1</v>
      </c>
      <c r="Y333" t="s">
        <v>140</v>
      </c>
      <c r="Z333" t="s">
        <v>179</v>
      </c>
      <c r="AA333" t="s">
        <v>150</v>
      </c>
      <c r="AB333" t="s">
        <v>162</v>
      </c>
      <c r="AC333" t="s">
        <v>174</v>
      </c>
      <c r="AD333" t="s">
        <v>157</v>
      </c>
      <c r="AE333" t="s">
        <v>830</v>
      </c>
      <c r="AF333" t="s">
        <v>919</v>
      </c>
    </row>
    <row r="334" spans="1:32">
      <c r="A334" t="s">
        <v>920</v>
      </c>
      <c r="B334" s="37">
        <v>39975</v>
      </c>
      <c r="C334" s="38">
        <v>39975</v>
      </c>
      <c r="D334" s="38">
        <v>39972</v>
      </c>
      <c r="E334" s="38">
        <v>39965</v>
      </c>
      <c r="F334" s="39">
        <v>70</v>
      </c>
      <c r="G334" t="s">
        <v>21</v>
      </c>
      <c r="H334" t="s">
        <v>21</v>
      </c>
      <c r="I334">
        <v>0</v>
      </c>
      <c r="J334">
        <v>0</v>
      </c>
      <c r="K334">
        <v>0</v>
      </c>
      <c r="L334">
        <v>1</v>
      </c>
      <c r="M334">
        <v>0</v>
      </c>
      <c r="N334" t="s">
        <v>193</v>
      </c>
      <c r="O334" t="s">
        <v>213</v>
      </c>
      <c r="P334" t="s">
        <v>204</v>
      </c>
      <c r="Q334" t="s">
        <v>170</v>
      </c>
      <c r="R334" t="s">
        <v>155</v>
      </c>
      <c r="T334" t="s">
        <v>134</v>
      </c>
      <c r="U334">
        <v>1</v>
      </c>
      <c r="W334" t="s">
        <v>134</v>
      </c>
      <c r="X334">
        <v>1</v>
      </c>
      <c r="Y334" t="s">
        <v>140</v>
      </c>
      <c r="Z334" t="s">
        <v>179</v>
      </c>
      <c r="AA334" t="s">
        <v>148</v>
      </c>
      <c r="AB334" t="s">
        <v>162</v>
      </c>
      <c r="AC334" t="s">
        <v>921</v>
      </c>
      <c r="AD334" t="s">
        <v>157</v>
      </c>
      <c r="AE334" t="s">
        <v>406</v>
      </c>
      <c r="AF334" t="s">
        <v>922</v>
      </c>
    </row>
    <row r="335" spans="1:32">
      <c r="A335" t="s">
        <v>923</v>
      </c>
      <c r="B335" s="37">
        <v>39933</v>
      </c>
      <c r="C335" s="38">
        <v>39933</v>
      </c>
      <c r="D335" s="38">
        <v>39930</v>
      </c>
      <c r="E335" s="38">
        <v>39904</v>
      </c>
      <c r="F335" s="39">
        <v>28</v>
      </c>
      <c r="G335" t="s">
        <v>21</v>
      </c>
      <c r="H335" t="s">
        <v>21</v>
      </c>
      <c r="I335">
        <v>0</v>
      </c>
      <c r="J335">
        <v>0</v>
      </c>
      <c r="K335">
        <v>0</v>
      </c>
      <c r="L335">
        <v>1</v>
      </c>
      <c r="M335">
        <v>0</v>
      </c>
      <c r="N335" t="s">
        <v>200</v>
      </c>
      <c r="O335" t="s">
        <v>214</v>
      </c>
      <c r="P335" t="s">
        <v>208</v>
      </c>
      <c r="Q335" t="s">
        <v>170</v>
      </c>
      <c r="R335" t="s">
        <v>155</v>
      </c>
      <c r="T335" t="s">
        <v>134</v>
      </c>
      <c r="U335">
        <v>1</v>
      </c>
      <c r="W335" t="s">
        <v>134</v>
      </c>
      <c r="X335">
        <v>1</v>
      </c>
      <c r="Y335" t="s">
        <v>139</v>
      </c>
      <c r="Z335" t="s">
        <v>182</v>
      </c>
      <c r="AA335" t="s">
        <v>147</v>
      </c>
      <c r="AB335" t="s">
        <v>162</v>
      </c>
      <c r="AC335" t="s">
        <v>619</v>
      </c>
      <c r="AD335" t="s">
        <v>160</v>
      </c>
      <c r="AE335" t="s">
        <v>484</v>
      </c>
      <c r="AF335" t="s">
        <v>924</v>
      </c>
    </row>
    <row r="336" spans="1:32">
      <c r="A336" t="s">
        <v>925</v>
      </c>
      <c r="B336" s="37">
        <v>40029</v>
      </c>
      <c r="C336" s="38">
        <v>40029</v>
      </c>
      <c r="D336" s="38">
        <v>40028</v>
      </c>
      <c r="E336" s="38">
        <v>40026</v>
      </c>
      <c r="F336" s="39">
        <v>124</v>
      </c>
      <c r="G336" t="s">
        <v>21</v>
      </c>
      <c r="H336" t="s">
        <v>21</v>
      </c>
      <c r="I336">
        <v>0</v>
      </c>
      <c r="J336">
        <v>0</v>
      </c>
      <c r="K336">
        <v>0</v>
      </c>
      <c r="L336">
        <v>1</v>
      </c>
      <c r="M336">
        <v>0</v>
      </c>
      <c r="N336" t="s">
        <v>193</v>
      </c>
      <c r="O336" t="s">
        <v>213</v>
      </c>
      <c r="P336" t="s">
        <v>204</v>
      </c>
      <c r="Q336" t="s">
        <v>170</v>
      </c>
      <c r="R336" t="s">
        <v>155</v>
      </c>
      <c r="S336">
        <v>5</v>
      </c>
      <c r="T336" t="s">
        <v>135</v>
      </c>
      <c r="U336">
        <v>0</v>
      </c>
      <c r="V336">
        <v>5</v>
      </c>
      <c r="W336" t="s">
        <v>135</v>
      </c>
      <c r="X336">
        <v>0</v>
      </c>
      <c r="Y336" t="s">
        <v>140</v>
      </c>
      <c r="Z336" t="s">
        <v>191</v>
      </c>
      <c r="AA336" t="s">
        <v>150</v>
      </c>
      <c r="AB336" t="s">
        <v>162</v>
      </c>
      <c r="AC336" t="s">
        <v>926</v>
      </c>
      <c r="AD336" t="s">
        <v>156</v>
      </c>
      <c r="AE336" t="s">
        <v>120</v>
      </c>
      <c r="AF336" t="s">
        <v>649</v>
      </c>
    </row>
    <row r="337" spans="1:32">
      <c r="A337" t="s">
        <v>927</v>
      </c>
      <c r="B337" s="37">
        <v>39934</v>
      </c>
      <c r="C337" s="38">
        <v>39934</v>
      </c>
      <c r="D337" s="38">
        <v>39930</v>
      </c>
      <c r="E337" s="38">
        <v>39934</v>
      </c>
      <c r="F337" s="39">
        <v>29</v>
      </c>
      <c r="G337" t="s">
        <v>21</v>
      </c>
      <c r="H337" t="s">
        <v>21</v>
      </c>
      <c r="I337">
        <v>0</v>
      </c>
      <c r="J337">
        <v>0</v>
      </c>
      <c r="K337">
        <v>0</v>
      </c>
      <c r="L337">
        <v>1</v>
      </c>
      <c r="M337">
        <v>0</v>
      </c>
      <c r="N337" t="s">
        <v>193</v>
      </c>
      <c r="O337" t="s">
        <v>213</v>
      </c>
      <c r="P337" t="s">
        <v>204</v>
      </c>
      <c r="Q337" t="s">
        <v>170</v>
      </c>
      <c r="R337" t="s">
        <v>155</v>
      </c>
      <c r="T337" t="s">
        <v>134</v>
      </c>
      <c r="U337">
        <v>1</v>
      </c>
      <c r="W337" t="s">
        <v>134</v>
      </c>
      <c r="X337">
        <v>1</v>
      </c>
      <c r="Y337" t="s">
        <v>140</v>
      </c>
      <c r="Z337" t="s">
        <v>180</v>
      </c>
      <c r="AA337" t="s">
        <v>142</v>
      </c>
      <c r="AB337" t="s">
        <v>162</v>
      </c>
      <c r="AC337" t="s">
        <v>176</v>
      </c>
      <c r="AD337" t="s">
        <v>155</v>
      </c>
      <c r="AE337" t="s">
        <v>130</v>
      </c>
      <c r="AF337" t="s">
        <v>21</v>
      </c>
    </row>
    <row r="338" spans="1:32">
      <c r="A338" t="s">
        <v>928</v>
      </c>
      <c r="B338" s="37">
        <v>40075</v>
      </c>
      <c r="C338" s="38">
        <v>40075</v>
      </c>
      <c r="D338" s="38">
        <v>40070</v>
      </c>
      <c r="E338" s="38">
        <v>40057</v>
      </c>
      <c r="F338" s="39">
        <v>170</v>
      </c>
      <c r="G338" t="s">
        <v>496</v>
      </c>
      <c r="H338" t="s">
        <v>13</v>
      </c>
      <c r="I338">
        <v>0</v>
      </c>
      <c r="J338">
        <v>1</v>
      </c>
      <c r="K338">
        <v>0</v>
      </c>
      <c r="L338">
        <v>0</v>
      </c>
      <c r="M338">
        <v>1</v>
      </c>
      <c r="N338" t="s">
        <v>193</v>
      </c>
      <c r="O338" t="s">
        <v>213</v>
      </c>
      <c r="P338" t="s">
        <v>204</v>
      </c>
      <c r="Q338" t="s">
        <v>170</v>
      </c>
      <c r="R338" t="s">
        <v>155</v>
      </c>
      <c r="S338">
        <v>5</v>
      </c>
      <c r="T338" t="s">
        <v>135</v>
      </c>
      <c r="U338">
        <v>0</v>
      </c>
      <c r="V338">
        <v>2</v>
      </c>
      <c r="W338" t="s">
        <v>136</v>
      </c>
      <c r="X338">
        <v>0</v>
      </c>
      <c r="Y338" t="s">
        <v>140</v>
      </c>
      <c r="Z338" t="s">
        <v>180</v>
      </c>
      <c r="AA338" t="s">
        <v>148</v>
      </c>
      <c r="AB338" t="s">
        <v>162</v>
      </c>
      <c r="AC338" t="s">
        <v>619</v>
      </c>
      <c r="AD338" t="s">
        <v>156</v>
      </c>
      <c r="AE338" t="s">
        <v>120</v>
      </c>
      <c r="AF338" t="s">
        <v>929</v>
      </c>
    </row>
    <row r="339" spans="1:32">
      <c r="A339" t="s">
        <v>930</v>
      </c>
      <c r="B339" s="37">
        <v>39926</v>
      </c>
      <c r="C339" s="38">
        <v>39926</v>
      </c>
      <c r="D339" s="38">
        <v>39923</v>
      </c>
      <c r="E339" s="38">
        <v>39904</v>
      </c>
      <c r="F339" s="39">
        <v>21</v>
      </c>
      <c r="G339" t="s">
        <v>21</v>
      </c>
      <c r="H339" t="s">
        <v>21</v>
      </c>
      <c r="I339">
        <v>0</v>
      </c>
      <c r="J339">
        <v>0</v>
      </c>
      <c r="K339">
        <v>0</v>
      </c>
      <c r="L339">
        <v>1</v>
      </c>
      <c r="M339">
        <v>0</v>
      </c>
      <c r="N339" t="s">
        <v>202</v>
      </c>
      <c r="O339" t="s">
        <v>213</v>
      </c>
      <c r="P339" t="s">
        <v>211</v>
      </c>
      <c r="Q339" t="s">
        <v>170</v>
      </c>
      <c r="R339" t="s">
        <v>155</v>
      </c>
      <c r="T339" t="s">
        <v>134</v>
      </c>
      <c r="U339">
        <v>1</v>
      </c>
      <c r="W339" t="s">
        <v>134</v>
      </c>
      <c r="X339">
        <v>1</v>
      </c>
      <c r="Y339" t="s">
        <v>139</v>
      </c>
      <c r="Z339" t="s">
        <v>181</v>
      </c>
      <c r="AA339" t="s">
        <v>147</v>
      </c>
      <c r="AB339" t="s">
        <v>165</v>
      </c>
      <c r="AC339" t="s">
        <v>931</v>
      </c>
      <c r="AD339" t="s">
        <v>158</v>
      </c>
      <c r="AE339" t="s">
        <v>122</v>
      </c>
      <c r="AF339" t="s">
        <v>21</v>
      </c>
    </row>
    <row r="340" spans="1:32">
      <c r="A340" t="s">
        <v>932</v>
      </c>
      <c r="B340" s="37">
        <v>40018</v>
      </c>
      <c r="C340" s="38">
        <v>40018</v>
      </c>
      <c r="D340" s="38">
        <v>40014</v>
      </c>
      <c r="E340" s="38">
        <v>39995</v>
      </c>
      <c r="F340" s="39">
        <v>113</v>
      </c>
      <c r="G340" t="s">
        <v>9</v>
      </c>
      <c r="H340" t="s">
        <v>9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195</v>
      </c>
      <c r="O340" t="s">
        <v>213</v>
      </c>
      <c r="P340" t="s">
        <v>206</v>
      </c>
      <c r="Q340" t="s">
        <v>170</v>
      </c>
      <c r="R340" t="s">
        <v>155</v>
      </c>
      <c r="S340">
        <v>5</v>
      </c>
      <c r="T340" t="s">
        <v>135</v>
      </c>
      <c r="U340">
        <v>0</v>
      </c>
      <c r="V340">
        <v>5</v>
      </c>
      <c r="W340" t="s">
        <v>135</v>
      </c>
      <c r="X340">
        <v>0</v>
      </c>
      <c r="Y340" t="s">
        <v>139</v>
      </c>
      <c r="Z340" t="s">
        <v>509</v>
      </c>
      <c r="AA340" t="s">
        <v>145</v>
      </c>
      <c r="AB340" t="s">
        <v>162</v>
      </c>
      <c r="AC340" t="s">
        <v>933</v>
      </c>
      <c r="AD340" t="s">
        <v>155</v>
      </c>
      <c r="AE340" t="s">
        <v>129</v>
      </c>
      <c r="AF340" t="s">
        <v>21</v>
      </c>
    </row>
    <row r="341" spans="1:32">
      <c r="A341" t="s">
        <v>934</v>
      </c>
      <c r="B341" s="37">
        <v>39925</v>
      </c>
      <c r="C341" s="38">
        <v>39925</v>
      </c>
      <c r="D341" s="38">
        <v>39923</v>
      </c>
      <c r="E341" s="38">
        <v>39904</v>
      </c>
      <c r="F341" s="39">
        <v>20</v>
      </c>
      <c r="G341" t="s">
        <v>21</v>
      </c>
      <c r="H341" t="s">
        <v>21</v>
      </c>
      <c r="I341">
        <v>0</v>
      </c>
      <c r="J341">
        <v>0</v>
      </c>
      <c r="K341">
        <v>0</v>
      </c>
      <c r="L341">
        <v>1</v>
      </c>
      <c r="M341">
        <v>0</v>
      </c>
      <c r="N341" t="s">
        <v>200</v>
      </c>
      <c r="O341" t="s">
        <v>214</v>
      </c>
      <c r="P341" t="s">
        <v>208</v>
      </c>
      <c r="Q341" t="s">
        <v>170</v>
      </c>
      <c r="R341" t="s">
        <v>155</v>
      </c>
      <c r="T341" t="s">
        <v>134</v>
      </c>
      <c r="U341">
        <v>1</v>
      </c>
      <c r="W341" t="s">
        <v>134</v>
      </c>
      <c r="X341">
        <v>1</v>
      </c>
      <c r="Y341" t="s">
        <v>139</v>
      </c>
      <c r="Z341" t="s">
        <v>183</v>
      </c>
      <c r="AA341" t="s">
        <v>142</v>
      </c>
      <c r="AB341" t="s">
        <v>162</v>
      </c>
      <c r="AC341" t="s">
        <v>935</v>
      </c>
      <c r="AD341" t="s">
        <v>155</v>
      </c>
      <c r="AE341" t="s">
        <v>127</v>
      </c>
      <c r="AF341" t="s">
        <v>21</v>
      </c>
    </row>
    <row r="342" spans="1:32">
      <c r="A342" t="s">
        <v>936</v>
      </c>
      <c r="B342" s="37">
        <v>39967</v>
      </c>
      <c r="C342" s="38">
        <v>39967</v>
      </c>
      <c r="D342" s="38">
        <v>39965</v>
      </c>
      <c r="E342" s="38">
        <v>39965</v>
      </c>
      <c r="F342" s="39">
        <v>62</v>
      </c>
      <c r="G342" t="s">
        <v>21</v>
      </c>
      <c r="H342" t="s">
        <v>21</v>
      </c>
      <c r="I342">
        <v>0</v>
      </c>
      <c r="J342">
        <v>0</v>
      </c>
      <c r="K342">
        <v>0</v>
      </c>
      <c r="L342">
        <v>1</v>
      </c>
      <c r="M342">
        <v>0</v>
      </c>
      <c r="N342" t="s">
        <v>195</v>
      </c>
      <c r="O342" t="s">
        <v>213</v>
      </c>
      <c r="P342" t="s">
        <v>206</v>
      </c>
      <c r="Q342" t="s">
        <v>170</v>
      </c>
      <c r="R342" t="s">
        <v>155</v>
      </c>
      <c r="T342" t="s">
        <v>134</v>
      </c>
      <c r="U342">
        <v>1</v>
      </c>
      <c r="W342" t="s">
        <v>134</v>
      </c>
      <c r="X342">
        <v>1</v>
      </c>
      <c r="Y342" t="s">
        <v>139</v>
      </c>
      <c r="Z342" t="s">
        <v>937</v>
      </c>
      <c r="AA342" t="s">
        <v>148</v>
      </c>
      <c r="AB342" t="s">
        <v>163</v>
      </c>
      <c r="AC342" t="s">
        <v>173</v>
      </c>
      <c r="AD342" t="s">
        <v>155</v>
      </c>
      <c r="AE342" t="s">
        <v>434</v>
      </c>
      <c r="AF342" t="s">
        <v>21</v>
      </c>
    </row>
    <row r="343" spans="1:32">
      <c r="A343" t="s">
        <v>938</v>
      </c>
      <c r="B343" s="37">
        <v>39943</v>
      </c>
      <c r="C343" s="38">
        <v>39943</v>
      </c>
      <c r="D343" s="38">
        <v>39937</v>
      </c>
      <c r="E343" s="38">
        <v>39934</v>
      </c>
      <c r="F343" s="39">
        <v>38</v>
      </c>
      <c r="G343" t="s">
        <v>21</v>
      </c>
      <c r="H343" t="s">
        <v>21</v>
      </c>
      <c r="I343">
        <v>0</v>
      </c>
      <c r="J343">
        <v>0</v>
      </c>
      <c r="K343">
        <v>0</v>
      </c>
      <c r="L343">
        <v>1</v>
      </c>
      <c r="M343">
        <v>0</v>
      </c>
      <c r="N343" t="s">
        <v>193</v>
      </c>
      <c r="O343" t="s">
        <v>213</v>
      </c>
      <c r="P343" t="s">
        <v>204</v>
      </c>
      <c r="Q343" t="s">
        <v>170</v>
      </c>
      <c r="R343" t="s">
        <v>155</v>
      </c>
      <c r="T343" t="s">
        <v>134</v>
      </c>
      <c r="U343">
        <v>1</v>
      </c>
      <c r="W343" t="s">
        <v>134</v>
      </c>
      <c r="X343">
        <v>1</v>
      </c>
      <c r="Y343" t="s">
        <v>140</v>
      </c>
      <c r="Z343" t="s">
        <v>937</v>
      </c>
      <c r="AA343" t="s">
        <v>142</v>
      </c>
      <c r="AB343" t="s">
        <v>163</v>
      </c>
      <c r="AC343" t="s">
        <v>173</v>
      </c>
      <c r="AD343" t="s">
        <v>161</v>
      </c>
      <c r="AE343" t="s">
        <v>939</v>
      </c>
      <c r="AF343" t="s">
        <v>21</v>
      </c>
    </row>
    <row r="344" spans="1:32">
      <c r="A344" t="s">
        <v>940</v>
      </c>
      <c r="B344" s="37">
        <v>39968</v>
      </c>
      <c r="C344" s="38">
        <v>39968</v>
      </c>
      <c r="D344" s="38">
        <v>39965</v>
      </c>
      <c r="E344" s="38">
        <v>39965</v>
      </c>
      <c r="F344" s="39">
        <v>63</v>
      </c>
      <c r="G344" t="s">
        <v>496</v>
      </c>
      <c r="H344" t="s">
        <v>13</v>
      </c>
      <c r="I344">
        <v>0</v>
      </c>
      <c r="J344">
        <v>1</v>
      </c>
      <c r="K344">
        <v>0</v>
      </c>
      <c r="L344">
        <v>0</v>
      </c>
      <c r="M344">
        <v>1</v>
      </c>
      <c r="N344" t="s">
        <v>194</v>
      </c>
      <c r="O344" t="s">
        <v>213</v>
      </c>
      <c r="P344" t="s">
        <v>205</v>
      </c>
      <c r="Q344" t="s">
        <v>170</v>
      </c>
      <c r="R344" t="s">
        <v>155</v>
      </c>
      <c r="T344" t="s">
        <v>134</v>
      </c>
      <c r="U344">
        <v>1</v>
      </c>
      <c r="W344" t="s">
        <v>134</v>
      </c>
      <c r="X344">
        <v>1</v>
      </c>
      <c r="Y344" t="s">
        <v>139</v>
      </c>
      <c r="Z344" t="s">
        <v>179</v>
      </c>
      <c r="AA344" t="s">
        <v>142</v>
      </c>
      <c r="AB344" t="s">
        <v>163</v>
      </c>
      <c r="AC344" t="s">
        <v>173</v>
      </c>
      <c r="AD344" t="s">
        <v>155</v>
      </c>
      <c r="AE344" t="s">
        <v>125</v>
      </c>
      <c r="AF344" t="s">
        <v>21</v>
      </c>
    </row>
    <row r="345" spans="1:32">
      <c r="A345" t="s">
        <v>941</v>
      </c>
      <c r="B345" s="37">
        <v>39945</v>
      </c>
      <c r="C345" s="38">
        <v>39945</v>
      </c>
      <c r="D345" s="38">
        <v>39944</v>
      </c>
      <c r="E345" s="38">
        <v>39934</v>
      </c>
      <c r="F345" s="39">
        <v>40</v>
      </c>
      <c r="G345" t="s">
        <v>21</v>
      </c>
      <c r="H345" t="s">
        <v>21</v>
      </c>
      <c r="I345">
        <v>0</v>
      </c>
      <c r="J345">
        <v>0</v>
      </c>
      <c r="K345">
        <v>0</v>
      </c>
      <c r="L345">
        <v>1</v>
      </c>
      <c r="M345">
        <v>0</v>
      </c>
      <c r="N345" t="s">
        <v>195</v>
      </c>
      <c r="O345" t="s">
        <v>213</v>
      </c>
      <c r="P345" t="s">
        <v>206</v>
      </c>
      <c r="Q345" t="s">
        <v>170</v>
      </c>
      <c r="R345" t="s">
        <v>155</v>
      </c>
      <c r="T345" t="s">
        <v>134</v>
      </c>
      <c r="U345">
        <v>1</v>
      </c>
      <c r="W345" t="s">
        <v>134</v>
      </c>
      <c r="X345">
        <v>1</v>
      </c>
      <c r="Y345" t="s">
        <v>139</v>
      </c>
      <c r="Z345" t="s">
        <v>591</v>
      </c>
      <c r="AA345" t="s">
        <v>148</v>
      </c>
      <c r="AB345" t="s">
        <v>162</v>
      </c>
      <c r="AC345" t="s">
        <v>174</v>
      </c>
      <c r="AD345" t="s">
        <v>156</v>
      </c>
      <c r="AE345" t="s">
        <v>120</v>
      </c>
      <c r="AF345" t="s">
        <v>942</v>
      </c>
    </row>
    <row r="346" spans="1:32">
      <c r="A346" t="s">
        <v>943</v>
      </c>
      <c r="B346" s="37">
        <v>39951</v>
      </c>
      <c r="C346" s="38">
        <v>39951</v>
      </c>
      <c r="D346" s="38">
        <v>39951</v>
      </c>
      <c r="E346" s="38">
        <v>39934</v>
      </c>
      <c r="F346" s="39">
        <v>46</v>
      </c>
      <c r="G346" t="s">
        <v>21</v>
      </c>
      <c r="H346" t="s">
        <v>21</v>
      </c>
      <c r="I346">
        <v>0</v>
      </c>
      <c r="J346">
        <v>0</v>
      </c>
      <c r="K346">
        <v>0</v>
      </c>
      <c r="L346">
        <v>1</v>
      </c>
      <c r="M346">
        <v>0</v>
      </c>
      <c r="N346" t="s">
        <v>194</v>
      </c>
      <c r="O346" t="s">
        <v>213</v>
      </c>
      <c r="P346" t="s">
        <v>205</v>
      </c>
      <c r="Q346" t="s">
        <v>170</v>
      </c>
      <c r="R346" t="s">
        <v>155</v>
      </c>
      <c r="T346" t="s">
        <v>134</v>
      </c>
      <c r="U346">
        <v>1</v>
      </c>
      <c r="W346" t="s">
        <v>134</v>
      </c>
      <c r="X346">
        <v>1</v>
      </c>
      <c r="Y346" t="s">
        <v>139</v>
      </c>
      <c r="Z346" t="s">
        <v>182</v>
      </c>
      <c r="AA346" t="s">
        <v>142</v>
      </c>
      <c r="AB346" t="s">
        <v>162</v>
      </c>
      <c r="AC346" t="s">
        <v>622</v>
      </c>
      <c r="AD346" t="s">
        <v>155</v>
      </c>
      <c r="AE346" t="s">
        <v>130</v>
      </c>
      <c r="AF346" t="s">
        <v>21</v>
      </c>
    </row>
    <row r="347" spans="1:32">
      <c r="A347" t="s">
        <v>944</v>
      </c>
      <c r="B347" s="37">
        <v>40075</v>
      </c>
      <c r="C347" s="38">
        <v>40075</v>
      </c>
      <c r="D347" s="38">
        <v>40070</v>
      </c>
      <c r="E347" s="38">
        <v>40057</v>
      </c>
      <c r="F347" s="39">
        <v>170</v>
      </c>
      <c r="G347" t="s">
        <v>21</v>
      </c>
      <c r="H347" t="s">
        <v>21</v>
      </c>
      <c r="I347">
        <v>0</v>
      </c>
      <c r="J347">
        <v>0</v>
      </c>
      <c r="K347">
        <v>0</v>
      </c>
      <c r="L347">
        <v>1</v>
      </c>
      <c r="M347">
        <v>0</v>
      </c>
      <c r="N347" t="s">
        <v>197</v>
      </c>
      <c r="O347" t="s">
        <v>213</v>
      </c>
      <c r="P347" t="s">
        <v>209</v>
      </c>
      <c r="Q347" t="s">
        <v>170</v>
      </c>
      <c r="R347" t="s">
        <v>155</v>
      </c>
      <c r="S347">
        <v>3</v>
      </c>
      <c r="T347" t="s">
        <v>137</v>
      </c>
      <c r="U347">
        <v>0</v>
      </c>
      <c r="V347">
        <v>4</v>
      </c>
      <c r="W347" t="s">
        <v>137</v>
      </c>
      <c r="X347">
        <v>0</v>
      </c>
      <c r="Y347" t="s">
        <v>139</v>
      </c>
      <c r="Z347" t="s">
        <v>178</v>
      </c>
      <c r="AA347" t="s">
        <v>146</v>
      </c>
      <c r="AB347" t="s">
        <v>163</v>
      </c>
      <c r="AC347" t="s">
        <v>945</v>
      </c>
      <c r="AD347" t="s">
        <v>155</v>
      </c>
      <c r="AE347" t="s">
        <v>128</v>
      </c>
      <c r="AF347" t="s">
        <v>21</v>
      </c>
    </row>
    <row r="348" spans="1:32">
      <c r="A348" t="s">
        <v>946</v>
      </c>
      <c r="B348" s="37">
        <v>39945</v>
      </c>
      <c r="C348" s="38">
        <v>39945</v>
      </c>
      <c r="D348" s="38">
        <v>39944</v>
      </c>
      <c r="E348" s="38">
        <v>39934</v>
      </c>
      <c r="F348" s="39">
        <v>40</v>
      </c>
      <c r="G348" t="s">
        <v>21</v>
      </c>
      <c r="H348" t="s">
        <v>21</v>
      </c>
      <c r="I348">
        <v>0</v>
      </c>
      <c r="J348">
        <v>0</v>
      </c>
      <c r="K348">
        <v>0</v>
      </c>
      <c r="L348">
        <v>1</v>
      </c>
      <c r="M348">
        <v>0</v>
      </c>
      <c r="N348" t="s">
        <v>194</v>
      </c>
      <c r="O348" t="s">
        <v>213</v>
      </c>
      <c r="P348" t="s">
        <v>205</v>
      </c>
      <c r="Q348" t="s">
        <v>170</v>
      </c>
      <c r="R348" t="s">
        <v>155</v>
      </c>
      <c r="T348" t="s">
        <v>134</v>
      </c>
      <c r="U348">
        <v>1</v>
      </c>
      <c r="W348" t="s">
        <v>134</v>
      </c>
      <c r="X348">
        <v>1</v>
      </c>
      <c r="Y348" t="s">
        <v>139</v>
      </c>
      <c r="Z348" t="s">
        <v>188</v>
      </c>
      <c r="AA348" t="s">
        <v>145</v>
      </c>
      <c r="AB348" t="s">
        <v>162</v>
      </c>
      <c r="AC348" t="s">
        <v>174</v>
      </c>
      <c r="AD348" t="s">
        <v>157</v>
      </c>
      <c r="AE348" t="s">
        <v>434</v>
      </c>
      <c r="AF348" t="s">
        <v>435</v>
      </c>
    </row>
    <row r="349" spans="1:32">
      <c r="A349" t="s">
        <v>947</v>
      </c>
      <c r="B349" s="37">
        <v>40058</v>
      </c>
      <c r="C349" s="38">
        <v>40058</v>
      </c>
      <c r="D349" s="38">
        <v>40056</v>
      </c>
      <c r="E349" s="38">
        <v>40057</v>
      </c>
      <c r="F349" s="39">
        <v>153</v>
      </c>
      <c r="G349" t="s">
        <v>21</v>
      </c>
      <c r="H349" t="s">
        <v>21</v>
      </c>
      <c r="I349">
        <v>0</v>
      </c>
      <c r="J349">
        <v>0</v>
      </c>
      <c r="K349">
        <v>0</v>
      </c>
      <c r="L349">
        <v>1</v>
      </c>
      <c r="M349">
        <v>0</v>
      </c>
      <c r="N349" t="s">
        <v>193</v>
      </c>
      <c r="O349" t="s">
        <v>213</v>
      </c>
      <c r="P349" t="s">
        <v>204</v>
      </c>
      <c r="Q349" t="s">
        <v>170</v>
      </c>
      <c r="R349" t="s">
        <v>155</v>
      </c>
      <c r="S349">
        <v>5</v>
      </c>
      <c r="T349" t="s">
        <v>135</v>
      </c>
      <c r="U349">
        <v>0</v>
      </c>
      <c r="V349">
        <v>5</v>
      </c>
      <c r="W349" t="s">
        <v>135</v>
      </c>
      <c r="X349">
        <v>0</v>
      </c>
      <c r="Y349" t="s">
        <v>140</v>
      </c>
      <c r="Z349" t="s">
        <v>179</v>
      </c>
      <c r="AA349" t="s">
        <v>145</v>
      </c>
      <c r="AB349" t="s">
        <v>165</v>
      </c>
      <c r="AC349" t="s">
        <v>948</v>
      </c>
      <c r="AD349" t="s">
        <v>158</v>
      </c>
      <c r="AE349" t="s">
        <v>122</v>
      </c>
      <c r="AF349" t="s">
        <v>21</v>
      </c>
    </row>
    <row r="350" spans="1:32">
      <c r="A350" t="s">
        <v>949</v>
      </c>
      <c r="B350" s="37">
        <v>39938</v>
      </c>
      <c r="C350" s="38">
        <v>39938</v>
      </c>
      <c r="D350" s="38">
        <v>39937</v>
      </c>
      <c r="E350" s="38">
        <v>39934</v>
      </c>
      <c r="F350" s="39">
        <v>33</v>
      </c>
      <c r="G350" t="s">
        <v>21</v>
      </c>
      <c r="H350" t="s">
        <v>21</v>
      </c>
      <c r="I350">
        <v>0</v>
      </c>
      <c r="J350">
        <v>0</v>
      </c>
      <c r="K350">
        <v>0</v>
      </c>
      <c r="L350">
        <v>1</v>
      </c>
      <c r="M350">
        <v>0</v>
      </c>
      <c r="N350" t="s">
        <v>200</v>
      </c>
      <c r="O350" t="s">
        <v>214</v>
      </c>
      <c r="P350" t="s">
        <v>208</v>
      </c>
      <c r="Q350" t="s">
        <v>170</v>
      </c>
      <c r="R350" t="s">
        <v>155</v>
      </c>
      <c r="T350" t="s">
        <v>134</v>
      </c>
      <c r="U350">
        <v>1</v>
      </c>
      <c r="W350" t="s">
        <v>134</v>
      </c>
      <c r="X350">
        <v>1</v>
      </c>
      <c r="Y350" t="s">
        <v>139</v>
      </c>
      <c r="Z350" t="s">
        <v>413</v>
      </c>
      <c r="AA350" t="s">
        <v>148</v>
      </c>
      <c r="AB350" t="s">
        <v>162</v>
      </c>
      <c r="AC350" t="s">
        <v>174</v>
      </c>
      <c r="AD350" t="s">
        <v>157</v>
      </c>
      <c r="AE350" t="s">
        <v>130</v>
      </c>
      <c r="AF350" t="s">
        <v>437</v>
      </c>
    </row>
    <row r="351" spans="1:32">
      <c r="A351" t="s">
        <v>950</v>
      </c>
      <c r="B351" s="37">
        <v>40008</v>
      </c>
      <c r="C351" s="38">
        <v>40008</v>
      </c>
      <c r="D351" s="38">
        <v>40007</v>
      </c>
      <c r="E351" s="38">
        <v>39995</v>
      </c>
      <c r="F351" s="39">
        <v>103</v>
      </c>
      <c r="G351" t="s">
        <v>383</v>
      </c>
      <c r="H351" t="s">
        <v>17</v>
      </c>
      <c r="I351">
        <v>0</v>
      </c>
      <c r="J351">
        <v>0</v>
      </c>
      <c r="K351">
        <v>1</v>
      </c>
      <c r="L351">
        <v>0</v>
      </c>
      <c r="M351">
        <v>0</v>
      </c>
      <c r="N351" t="s">
        <v>193</v>
      </c>
      <c r="O351" t="s">
        <v>213</v>
      </c>
      <c r="P351" t="s">
        <v>204</v>
      </c>
      <c r="Q351" t="s">
        <v>170</v>
      </c>
      <c r="R351" t="s">
        <v>155</v>
      </c>
      <c r="S351">
        <v>4</v>
      </c>
      <c r="T351" t="s">
        <v>137</v>
      </c>
      <c r="U351">
        <v>0</v>
      </c>
      <c r="V351">
        <v>3</v>
      </c>
      <c r="W351" t="s">
        <v>137</v>
      </c>
      <c r="X351">
        <v>0</v>
      </c>
      <c r="Y351" t="s">
        <v>140</v>
      </c>
      <c r="Z351" t="s">
        <v>603</v>
      </c>
      <c r="AA351" t="s">
        <v>150</v>
      </c>
      <c r="AB351" t="s">
        <v>162</v>
      </c>
      <c r="AC351" t="s">
        <v>174</v>
      </c>
      <c r="AD351" t="s">
        <v>157</v>
      </c>
      <c r="AE351" t="s">
        <v>434</v>
      </c>
      <c r="AF351" t="s">
        <v>435</v>
      </c>
    </row>
    <row r="352" spans="1:32">
      <c r="A352" t="s">
        <v>951</v>
      </c>
      <c r="B352" s="37">
        <v>40008</v>
      </c>
      <c r="C352" s="38">
        <v>40008</v>
      </c>
      <c r="D352" s="38">
        <v>40007</v>
      </c>
      <c r="E352" s="38">
        <v>39995</v>
      </c>
      <c r="F352" s="39">
        <v>103</v>
      </c>
      <c r="G352" t="s">
        <v>21</v>
      </c>
      <c r="H352" t="s">
        <v>21</v>
      </c>
      <c r="I352">
        <v>0</v>
      </c>
      <c r="J352">
        <v>0</v>
      </c>
      <c r="K352">
        <v>0</v>
      </c>
      <c r="L352">
        <v>1</v>
      </c>
      <c r="M352">
        <v>0</v>
      </c>
      <c r="N352" t="s">
        <v>193</v>
      </c>
      <c r="O352" t="s">
        <v>213</v>
      </c>
      <c r="P352" t="s">
        <v>204</v>
      </c>
      <c r="Q352" t="s">
        <v>170</v>
      </c>
      <c r="R352" t="s">
        <v>155</v>
      </c>
      <c r="S352">
        <v>5</v>
      </c>
      <c r="T352" t="s">
        <v>135</v>
      </c>
      <c r="U352">
        <v>0</v>
      </c>
      <c r="V352">
        <v>2</v>
      </c>
      <c r="W352" t="s">
        <v>136</v>
      </c>
      <c r="X352">
        <v>0</v>
      </c>
      <c r="Y352" t="s">
        <v>140</v>
      </c>
      <c r="Z352" t="s">
        <v>185</v>
      </c>
      <c r="AA352" t="s">
        <v>143</v>
      </c>
      <c r="AB352" t="s">
        <v>162</v>
      </c>
      <c r="AC352" t="s">
        <v>952</v>
      </c>
      <c r="AD352" t="s">
        <v>155</v>
      </c>
      <c r="AE352" t="s">
        <v>130</v>
      </c>
      <c r="AF352" t="s">
        <v>21</v>
      </c>
    </row>
    <row r="353" spans="1:32">
      <c r="A353" t="s">
        <v>953</v>
      </c>
      <c r="B353" s="37">
        <v>39973</v>
      </c>
      <c r="C353" s="38">
        <v>39973</v>
      </c>
      <c r="D353" s="38">
        <v>39972</v>
      </c>
      <c r="E353" s="38">
        <v>39965</v>
      </c>
      <c r="F353" s="39">
        <v>68</v>
      </c>
      <c r="G353" t="s">
        <v>21</v>
      </c>
      <c r="H353" t="s">
        <v>21</v>
      </c>
      <c r="I353">
        <v>0</v>
      </c>
      <c r="J353">
        <v>0</v>
      </c>
      <c r="K353">
        <v>0</v>
      </c>
      <c r="L353">
        <v>1</v>
      </c>
      <c r="M353">
        <v>0</v>
      </c>
      <c r="N353" t="s">
        <v>195</v>
      </c>
      <c r="O353" t="s">
        <v>213</v>
      </c>
      <c r="P353" t="s">
        <v>206</v>
      </c>
      <c r="Q353" t="s">
        <v>170</v>
      </c>
      <c r="R353" t="s">
        <v>155</v>
      </c>
      <c r="T353" t="s">
        <v>134</v>
      </c>
      <c r="U353">
        <v>1</v>
      </c>
      <c r="W353" t="s">
        <v>134</v>
      </c>
      <c r="X353">
        <v>1</v>
      </c>
      <c r="Y353" t="s">
        <v>139</v>
      </c>
      <c r="Z353" t="s">
        <v>178</v>
      </c>
      <c r="AA353" t="s">
        <v>143</v>
      </c>
      <c r="AB353" t="s">
        <v>162</v>
      </c>
      <c r="AC353" t="s">
        <v>174</v>
      </c>
      <c r="AD353" t="s">
        <v>160</v>
      </c>
      <c r="AE353" t="s">
        <v>126</v>
      </c>
      <c r="AF353" t="s">
        <v>665</v>
      </c>
    </row>
    <row r="354" spans="1:32">
      <c r="A354" t="s">
        <v>954</v>
      </c>
      <c r="B354" s="37">
        <v>39942</v>
      </c>
      <c r="C354" s="38">
        <v>39942</v>
      </c>
      <c r="D354" s="38">
        <v>39937</v>
      </c>
      <c r="E354" s="38">
        <v>39934</v>
      </c>
      <c r="F354" s="39">
        <v>37</v>
      </c>
      <c r="G354" t="s">
        <v>380</v>
      </c>
      <c r="H354" t="s">
        <v>17</v>
      </c>
      <c r="I354">
        <v>0</v>
      </c>
      <c r="J354">
        <v>0</v>
      </c>
      <c r="K354">
        <v>1</v>
      </c>
      <c r="L354">
        <v>0</v>
      </c>
      <c r="M354">
        <v>0</v>
      </c>
      <c r="N354" t="s">
        <v>194</v>
      </c>
      <c r="O354" t="s">
        <v>213</v>
      </c>
      <c r="P354" t="s">
        <v>205</v>
      </c>
      <c r="Q354" t="s">
        <v>170</v>
      </c>
      <c r="R354" t="s">
        <v>155</v>
      </c>
      <c r="T354" t="s">
        <v>134</v>
      </c>
      <c r="U354">
        <v>1</v>
      </c>
      <c r="W354" t="s">
        <v>134</v>
      </c>
      <c r="X354">
        <v>1</v>
      </c>
      <c r="Y354" t="s">
        <v>139</v>
      </c>
      <c r="Z354" t="s">
        <v>178</v>
      </c>
      <c r="AA354" t="s">
        <v>142</v>
      </c>
      <c r="AB354" t="s">
        <v>163</v>
      </c>
      <c r="AC354" t="s">
        <v>173</v>
      </c>
      <c r="AD354" t="s">
        <v>155</v>
      </c>
      <c r="AE354" t="s">
        <v>454</v>
      </c>
      <c r="AF354" t="s">
        <v>21</v>
      </c>
    </row>
    <row r="355" spans="1:32">
      <c r="A355" t="s">
        <v>955</v>
      </c>
      <c r="B355" s="37">
        <v>40017</v>
      </c>
      <c r="C355" s="38">
        <v>40017</v>
      </c>
      <c r="D355" s="38">
        <v>40014</v>
      </c>
      <c r="E355" s="38">
        <v>39995</v>
      </c>
      <c r="F355" s="39">
        <v>112</v>
      </c>
      <c r="G355" t="s">
        <v>21</v>
      </c>
      <c r="H355" t="s">
        <v>21</v>
      </c>
      <c r="I355">
        <v>0</v>
      </c>
      <c r="J355">
        <v>0</v>
      </c>
      <c r="K355">
        <v>0</v>
      </c>
      <c r="L355">
        <v>1</v>
      </c>
      <c r="M355">
        <v>0</v>
      </c>
      <c r="N355" t="s">
        <v>196</v>
      </c>
      <c r="O355" t="s">
        <v>213</v>
      </c>
      <c r="P355" t="s">
        <v>207</v>
      </c>
      <c r="Q355" t="s">
        <v>170</v>
      </c>
      <c r="R355" t="s">
        <v>155</v>
      </c>
      <c r="S355">
        <v>2</v>
      </c>
      <c r="T355" t="s">
        <v>136</v>
      </c>
      <c r="U355">
        <v>0</v>
      </c>
      <c r="V355">
        <v>2</v>
      </c>
      <c r="W355" t="s">
        <v>136</v>
      </c>
      <c r="X355">
        <v>0</v>
      </c>
      <c r="Y355" t="s">
        <v>139</v>
      </c>
      <c r="Z355" t="s">
        <v>178</v>
      </c>
      <c r="AA355" t="s">
        <v>144</v>
      </c>
      <c r="AB355" t="s">
        <v>163</v>
      </c>
      <c r="AC355" t="s">
        <v>173</v>
      </c>
      <c r="AD355" t="s">
        <v>155</v>
      </c>
      <c r="AE355" t="s">
        <v>956</v>
      </c>
      <c r="AF355" t="s">
        <v>21</v>
      </c>
    </row>
    <row r="356" spans="1:32">
      <c r="A356" t="s">
        <v>957</v>
      </c>
      <c r="B356" s="37">
        <v>40014</v>
      </c>
      <c r="C356" s="38">
        <v>40014</v>
      </c>
      <c r="D356" s="38">
        <v>40014</v>
      </c>
      <c r="E356" s="38">
        <v>39995</v>
      </c>
      <c r="F356" s="39">
        <v>109</v>
      </c>
      <c r="G356" t="s">
        <v>21</v>
      </c>
      <c r="H356" t="s">
        <v>21</v>
      </c>
      <c r="I356">
        <v>0</v>
      </c>
      <c r="J356">
        <v>0</v>
      </c>
      <c r="K356">
        <v>0</v>
      </c>
      <c r="L356">
        <v>1</v>
      </c>
      <c r="M356">
        <v>0</v>
      </c>
      <c r="N356" t="s">
        <v>193</v>
      </c>
      <c r="O356" t="s">
        <v>213</v>
      </c>
      <c r="P356" t="s">
        <v>204</v>
      </c>
      <c r="Q356" t="s">
        <v>170</v>
      </c>
      <c r="R356" t="s">
        <v>155</v>
      </c>
      <c r="S356">
        <v>5</v>
      </c>
      <c r="T356" t="s">
        <v>135</v>
      </c>
      <c r="U356">
        <v>0</v>
      </c>
      <c r="V356">
        <v>5</v>
      </c>
      <c r="W356" t="s">
        <v>135</v>
      </c>
      <c r="X356">
        <v>0</v>
      </c>
      <c r="Y356" t="s">
        <v>140</v>
      </c>
      <c r="Z356" t="s">
        <v>188</v>
      </c>
      <c r="AA356" t="s">
        <v>145</v>
      </c>
      <c r="AB356" t="s">
        <v>162</v>
      </c>
      <c r="AC356" t="s">
        <v>174</v>
      </c>
      <c r="AD356" t="s">
        <v>156</v>
      </c>
      <c r="AE356" t="s">
        <v>120</v>
      </c>
      <c r="AF356" t="s">
        <v>958</v>
      </c>
    </row>
    <row r="357" spans="1:32">
      <c r="A357" t="s">
        <v>959</v>
      </c>
      <c r="B357" s="37">
        <v>40058</v>
      </c>
      <c r="C357" s="38">
        <v>40058</v>
      </c>
      <c r="D357" s="38">
        <v>40056</v>
      </c>
      <c r="E357" s="38">
        <v>40057</v>
      </c>
      <c r="F357" s="39">
        <v>153</v>
      </c>
      <c r="G357" t="s">
        <v>21</v>
      </c>
      <c r="H357" t="s">
        <v>21</v>
      </c>
      <c r="I357">
        <v>0</v>
      </c>
      <c r="J357">
        <v>0</v>
      </c>
      <c r="K357">
        <v>0</v>
      </c>
      <c r="L357">
        <v>1</v>
      </c>
      <c r="M357">
        <v>0</v>
      </c>
      <c r="N357" t="s">
        <v>193</v>
      </c>
      <c r="O357" t="s">
        <v>213</v>
      </c>
      <c r="P357" t="s">
        <v>204</v>
      </c>
      <c r="Q357" t="s">
        <v>170</v>
      </c>
      <c r="R357" t="s">
        <v>155</v>
      </c>
      <c r="S357">
        <v>5</v>
      </c>
      <c r="T357" t="s">
        <v>135</v>
      </c>
      <c r="U357">
        <v>0</v>
      </c>
      <c r="V357">
        <v>4</v>
      </c>
      <c r="W357" t="s">
        <v>137</v>
      </c>
      <c r="X357">
        <v>0</v>
      </c>
      <c r="Y357" t="s">
        <v>140</v>
      </c>
      <c r="Z357" t="s">
        <v>189</v>
      </c>
      <c r="AA357" t="s">
        <v>142</v>
      </c>
      <c r="AB357" t="s">
        <v>162</v>
      </c>
      <c r="AC357" t="s">
        <v>174</v>
      </c>
      <c r="AD357" t="s">
        <v>159</v>
      </c>
      <c r="AE357" t="s">
        <v>123</v>
      </c>
      <c r="AF357" t="s">
        <v>123</v>
      </c>
    </row>
    <row r="358" spans="1:32">
      <c r="A358" t="s">
        <v>960</v>
      </c>
      <c r="B358" s="37">
        <v>39926</v>
      </c>
      <c r="C358" s="38">
        <v>39926</v>
      </c>
      <c r="D358" s="38">
        <v>39923</v>
      </c>
      <c r="E358" s="38">
        <v>39904</v>
      </c>
      <c r="F358" s="39">
        <v>21</v>
      </c>
      <c r="G358" t="s">
        <v>21</v>
      </c>
      <c r="H358" t="s">
        <v>21</v>
      </c>
      <c r="I358">
        <v>0</v>
      </c>
      <c r="J358">
        <v>0</v>
      </c>
      <c r="K358">
        <v>0</v>
      </c>
      <c r="L358">
        <v>1</v>
      </c>
      <c r="M358">
        <v>0</v>
      </c>
      <c r="N358" t="s">
        <v>202</v>
      </c>
      <c r="O358" t="s">
        <v>213</v>
      </c>
      <c r="P358" t="s">
        <v>211</v>
      </c>
      <c r="Q358" t="s">
        <v>170</v>
      </c>
      <c r="R358" t="s">
        <v>155</v>
      </c>
      <c r="T358" t="s">
        <v>134</v>
      </c>
      <c r="U358">
        <v>1</v>
      </c>
      <c r="W358" t="s">
        <v>134</v>
      </c>
      <c r="X358">
        <v>1</v>
      </c>
      <c r="Y358" t="s">
        <v>139</v>
      </c>
      <c r="Z358" t="s">
        <v>189</v>
      </c>
      <c r="AA358" t="s">
        <v>149</v>
      </c>
      <c r="AB358" t="s">
        <v>163</v>
      </c>
      <c r="AC358" t="s">
        <v>21</v>
      </c>
      <c r="AD358" t="s">
        <v>155</v>
      </c>
      <c r="AE358" t="s">
        <v>467</v>
      </c>
      <c r="AF358" t="s">
        <v>21</v>
      </c>
    </row>
    <row r="359" spans="1:32">
      <c r="A359" t="s">
        <v>961</v>
      </c>
      <c r="B359" s="37">
        <v>39924</v>
      </c>
      <c r="C359" s="38">
        <v>39924</v>
      </c>
      <c r="D359" s="38">
        <v>39923</v>
      </c>
      <c r="E359" s="38">
        <v>39904</v>
      </c>
      <c r="F359" s="39">
        <v>19</v>
      </c>
      <c r="G359" t="s">
        <v>9</v>
      </c>
      <c r="H359" t="s">
        <v>9</v>
      </c>
      <c r="I359">
        <v>1</v>
      </c>
      <c r="J359">
        <v>0</v>
      </c>
      <c r="K359">
        <v>0</v>
      </c>
      <c r="L359">
        <v>0</v>
      </c>
      <c r="M359">
        <v>1</v>
      </c>
      <c r="N359" t="s">
        <v>201</v>
      </c>
      <c r="O359" t="s">
        <v>214</v>
      </c>
      <c r="P359" t="s">
        <v>204</v>
      </c>
      <c r="Q359" t="s">
        <v>170</v>
      </c>
      <c r="R359" t="s">
        <v>155</v>
      </c>
      <c r="T359" t="s">
        <v>134</v>
      </c>
      <c r="U359">
        <v>1</v>
      </c>
      <c r="W359" t="s">
        <v>134</v>
      </c>
      <c r="X359">
        <v>1</v>
      </c>
      <c r="Y359" t="s">
        <v>140</v>
      </c>
      <c r="Z359" t="s">
        <v>509</v>
      </c>
      <c r="AA359" t="s">
        <v>145</v>
      </c>
      <c r="AB359" t="s">
        <v>163</v>
      </c>
      <c r="AC359" t="s">
        <v>173</v>
      </c>
      <c r="AD359" t="s">
        <v>155</v>
      </c>
      <c r="AE359" t="s">
        <v>962</v>
      </c>
      <c r="AF359" t="s">
        <v>21</v>
      </c>
    </row>
    <row r="360" spans="1:32">
      <c r="A360" t="s">
        <v>963</v>
      </c>
      <c r="B360" s="37">
        <v>40076</v>
      </c>
      <c r="C360" s="38">
        <v>40076</v>
      </c>
      <c r="D360" s="38">
        <v>40070</v>
      </c>
      <c r="E360" s="38">
        <v>40057</v>
      </c>
      <c r="F360" s="39">
        <v>171</v>
      </c>
      <c r="G360" t="s">
        <v>21</v>
      </c>
      <c r="H360" t="s">
        <v>21</v>
      </c>
      <c r="I360">
        <v>0</v>
      </c>
      <c r="J360">
        <v>0</v>
      </c>
      <c r="K360">
        <v>0</v>
      </c>
      <c r="L360">
        <v>1</v>
      </c>
      <c r="M360">
        <v>0</v>
      </c>
      <c r="N360" t="s">
        <v>193</v>
      </c>
      <c r="O360" t="s">
        <v>213</v>
      </c>
      <c r="P360" t="s">
        <v>204</v>
      </c>
      <c r="Q360" t="s">
        <v>170</v>
      </c>
      <c r="R360" t="s">
        <v>155</v>
      </c>
      <c r="S360">
        <v>5</v>
      </c>
      <c r="T360" t="s">
        <v>135</v>
      </c>
      <c r="U360">
        <v>0</v>
      </c>
      <c r="V360">
        <v>5</v>
      </c>
      <c r="W360" t="s">
        <v>135</v>
      </c>
      <c r="X360">
        <v>0</v>
      </c>
      <c r="Y360" t="s">
        <v>140</v>
      </c>
      <c r="Z360" t="s">
        <v>509</v>
      </c>
      <c r="AA360" t="s">
        <v>145</v>
      </c>
      <c r="AB360" t="s">
        <v>163</v>
      </c>
      <c r="AC360" t="s">
        <v>21</v>
      </c>
      <c r="AD360" t="s">
        <v>155</v>
      </c>
      <c r="AE360" t="s">
        <v>125</v>
      </c>
      <c r="AF360" t="s">
        <v>21</v>
      </c>
    </row>
    <row r="361" spans="1:32">
      <c r="A361" t="s">
        <v>964</v>
      </c>
      <c r="B361" s="37">
        <v>40080</v>
      </c>
      <c r="C361" s="38">
        <v>40080</v>
      </c>
      <c r="D361" s="38">
        <v>40077</v>
      </c>
      <c r="E361" s="38">
        <v>40057</v>
      </c>
      <c r="F361" s="39">
        <v>175</v>
      </c>
      <c r="G361" t="s">
        <v>21</v>
      </c>
      <c r="H361" t="s">
        <v>21</v>
      </c>
      <c r="I361">
        <v>0</v>
      </c>
      <c r="J361">
        <v>0</v>
      </c>
      <c r="K361">
        <v>0</v>
      </c>
      <c r="L361">
        <v>1</v>
      </c>
      <c r="M361">
        <v>0</v>
      </c>
      <c r="N361" t="s">
        <v>544</v>
      </c>
      <c r="O361" t="s">
        <v>213</v>
      </c>
      <c r="P361" t="s">
        <v>545</v>
      </c>
      <c r="Q361" t="s">
        <v>170</v>
      </c>
      <c r="R361" t="s">
        <v>155</v>
      </c>
      <c r="S361">
        <v>5</v>
      </c>
      <c r="T361" t="s">
        <v>135</v>
      </c>
      <c r="U361">
        <v>0</v>
      </c>
      <c r="V361">
        <v>5</v>
      </c>
      <c r="W361" t="s">
        <v>135</v>
      </c>
      <c r="X361">
        <v>0</v>
      </c>
      <c r="Y361" t="s">
        <v>139</v>
      </c>
      <c r="Z361" t="s">
        <v>509</v>
      </c>
      <c r="AA361" t="s">
        <v>145</v>
      </c>
      <c r="AB361" t="s">
        <v>163</v>
      </c>
      <c r="AC361" t="s">
        <v>965</v>
      </c>
      <c r="AD361" t="s">
        <v>155</v>
      </c>
      <c r="AE361" t="s">
        <v>128</v>
      </c>
      <c r="AF361" t="s">
        <v>21</v>
      </c>
    </row>
    <row r="362" spans="1:32">
      <c r="A362" t="s">
        <v>966</v>
      </c>
      <c r="B362" s="37">
        <v>40058</v>
      </c>
      <c r="C362" s="38">
        <v>40058</v>
      </c>
      <c r="D362" s="38">
        <v>40056</v>
      </c>
      <c r="E362" s="38">
        <v>40057</v>
      </c>
      <c r="F362" s="39">
        <v>153</v>
      </c>
      <c r="G362" t="s">
        <v>21</v>
      </c>
      <c r="H362" t="s">
        <v>21</v>
      </c>
      <c r="I362">
        <v>0</v>
      </c>
      <c r="J362">
        <v>0</v>
      </c>
      <c r="K362">
        <v>0</v>
      </c>
      <c r="L362">
        <v>1</v>
      </c>
      <c r="M362">
        <v>0</v>
      </c>
      <c r="N362" t="s">
        <v>544</v>
      </c>
      <c r="O362" t="s">
        <v>213</v>
      </c>
      <c r="P362" t="s">
        <v>545</v>
      </c>
      <c r="Q362" t="s">
        <v>170</v>
      </c>
      <c r="R362" t="s">
        <v>155</v>
      </c>
      <c r="S362">
        <v>5</v>
      </c>
      <c r="T362" t="s">
        <v>135</v>
      </c>
      <c r="U362">
        <v>0</v>
      </c>
      <c r="V362">
        <v>5</v>
      </c>
      <c r="W362" t="s">
        <v>135</v>
      </c>
      <c r="X362">
        <v>0</v>
      </c>
      <c r="Y362" t="s">
        <v>139</v>
      </c>
      <c r="Z362" t="s">
        <v>447</v>
      </c>
      <c r="AA362" t="s">
        <v>144</v>
      </c>
      <c r="AB362" t="s">
        <v>162</v>
      </c>
      <c r="AC362" t="s">
        <v>550</v>
      </c>
      <c r="AD362" t="s">
        <v>156</v>
      </c>
      <c r="AE362" t="s">
        <v>120</v>
      </c>
      <c r="AF362" t="s">
        <v>967</v>
      </c>
    </row>
    <row r="363" spans="1:32">
      <c r="A363" t="s">
        <v>968</v>
      </c>
      <c r="B363" s="37">
        <v>39953</v>
      </c>
      <c r="C363" s="38">
        <v>39953</v>
      </c>
      <c r="D363" s="38">
        <v>39951</v>
      </c>
      <c r="E363" s="38">
        <v>39934</v>
      </c>
      <c r="F363" s="39">
        <v>48</v>
      </c>
      <c r="G363" t="s">
        <v>21</v>
      </c>
      <c r="H363" t="s">
        <v>21</v>
      </c>
      <c r="I363">
        <v>0</v>
      </c>
      <c r="J363">
        <v>0</v>
      </c>
      <c r="K363">
        <v>0</v>
      </c>
      <c r="L363">
        <v>1</v>
      </c>
      <c r="M363">
        <v>0</v>
      </c>
      <c r="N363" t="s">
        <v>194</v>
      </c>
      <c r="O363" t="s">
        <v>213</v>
      </c>
      <c r="P363" t="s">
        <v>205</v>
      </c>
      <c r="Q363" t="s">
        <v>170</v>
      </c>
      <c r="R363" t="s">
        <v>155</v>
      </c>
      <c r="T363" t="s">
        <v>134</v>
      </c>
      <c r="U363">
        <v>1</v>
      </c>
      <c r="W363" t="s">
        <v>134</v>
      </c>
      <c r="X363">
        <v>1</v>
      </c>
      <c r="Y363" t="s">
        <v>139</v>
      </c>
      <c r="Z363" t="s">
        <v>178</v>
      </c>
      <c r="AA363" t="s">
        <v>149</v>
      </c>
      <c r="AB363" t="s">
        <v>162</v>
      </c>
      <c r="AC363" t="s">
        <v>174</v>
      </c>
      <c r="AD363" t="s">
        <v>156</v>
      </c>
      <c r="AE363" t="s">
        <v>120</v>
      </c>
      <c r="AF363" t="s">
        <v>969</v>
      </c>
    </row>
    <row r="364" spans="1:32">
      <c r="A364" t="s">
        <v>970</v>
      </c>
      <c r="B364" s="37">
        <v>40081</v>
      </c>
      <c r="C364" s="38">
        <v>40081</v>
      </c>
      <c r="D364" s="38">
        <v>40077</v>
      </c>
      <c r="E364" s="38">
        <v>40057</v>
      </c>
      <c r="F364" s="39">
        <v>176</v>
      </c>
      <c r="G364" t="s">
        <v>21</v>
      </c>
      <c r="H364" t="s">
        <v>21</v>
      </c>
      <c r="I364">
        <v>0</v>
      </c>
      <c r="J364">
        <v>0</v>
      </c>
      <c r="K364">
        <v>0</v>
      </c>
      <c r="L364">
        <v>1</v>
      </c>
      <c r="M364">
        <v>0</v>
      </c>
      <c r="N364" t="s">
        <v>197</v>
      </c>
      <c r="O364" t="s">
        <v>213</v>
      </c>
      <c r="P364" t="s">
        <v>209</v>
      </c>
      <c r="Q364" t="s">
        <v>170</v>
      </c>
      <c r="R364" t="s">
        <v>155</v>
      </c>
      <c r="S364">
        <v>3</v>
      </c>
      <c r="T364" t="s">
        <v>137</v>
      </c>
      <c r="U364">
        <v>0</v>
      </c>
      <c r="V364">
        <v>4</v>
      </c>
      <c r="W364" t="s">
        <v>137</v>
      </c>
      <c r="X364">
        <v>0</v>
      </c>
      <c r="Y364" t="s">
        <v>139</v>
      </c>
      <c r="Z364" t="s">
        <v>185</v>
      </c>
      <c r="AA364" t="s">
        <v>143</v>
      </c>
      <c r="AB364" t="s">
        <v>163</v>
      </c>
      <c r="AC364" t="s">
        <v>902</v>
      </c>
      <c r="AD364" t="s">
        <v>155</v>
      </c>
      <c r="AE364" t="s">
        <v>125</v>
      </c>
      <c r="AF364" t="s">
        <v>21</v>
      </c>
    </row>
    <row r="365" spans="1:32">
      <c r="A365" t="s">
        <v>971</v>
      </c>
      <c r="B365" s="37">
        <v>40019</v>
      </c>
      <c r="C365" s="38">
        <v>40019</v>
      </c>
      <c r="D365" s="38">
        <v>40014</v>
      </c>
      <c r="E365" s="38">
        <v>39995</v>
      </c>
      <c r="F365" s="39">
        <v>114</v>
      </c>
      <c r="G365" t="s">
        <v>21</v>
      </c>
      <c r="H365" t="s">
        <v>21</v>
      </c>
      <c r="I365">
        <v>0</v>
      </c>
      <c r="J365">
        <v>0</v>
      </c>
      <c r="K365">
        <v>0</v>
      </c>
      <c r="L365">
        <v>1</v>
      </c>
      <c r="M365">
        <v>0</v>
      </c>
      <c r="N365" t="s">
        <v>197</v>
      </c>
      <c r="O365" t="s">
        <v>213</v>
      </c>
      <c r="P365" t="s">
        <v>209</v>
      </c>
      <c r="Q365" t="s">
        <v>170</v>
      </c>
      <c r="R365" t="s">
        <v>155</v>
      </c>
      <c r="S365">
        <v>1</v>
      </c>
      <c r="T365" t="s">
        <v>136</v>
      </c>
      <c r="U365">
        <v>0</v>
      </c>
      <c r="V365">
        <v>2</v>
      </c>
      <c r="W365" t="s">
        <v>136</v>
      </c>
      <c r="X365">
        <v>0</v>
      </c>
      <c r="Y365" t="s">
        <v>139</v>
      </c>
      <c r="Z365" t="s">
        <v>185</v>
      </c>
      <c r="AA365" t="s">
        <v>143</v>
      </c>
      <c r="AB365" t="s">
        <v>162</v>
      </c>
      <c r="AC365" t="s">
        <v>550</v>
      </c>
      <c r="AD365" t="s">
        <v>160</v>
      </c>
      <c r="AE365" t="s">
        <v>126</v>
      </c>
      <c r="AF365" t="s">
        <v>685</v>
      </c>
    </row>
    <row r="366" spans="1:32">
      <c r="A366" t="s">
        <v>972</v>
      </c>
      <c r="B366" s="37">
        <v>39970</v>
      </c>
      <c r="C366" s="38">
        <v>39970</v>
      </c>
      <c r="D366" s="38">
        <v>39965</v>
      </c>
      <c r="E366" s="38">
        <v>39965</v>
      </c>
      <c r="F366" s="39">
        <v>65</v>
      </c>
      <c r="G366" t="s">
        <v>9</v>
      </c>
      <c r="H366" t="s">
        <v>9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193</v>
      </c>
      <c r="O366" t="s">
        <v>213</v>
      </c>
      <c r="P366" t="s">
        <v>204</v>
      </c>
      <c r="Q366" t="s">
        <v>170</v>
      </c>
      <c r="R366" t="s">
        <v>155</v>
      </c>
      <c r="T366" t="s">
        <v>134</v>
      </c>
      <c r="U366">
        <v>1</v>
      </c>
      <c r="W366" t="s">
        <v>134</v>
      </c>
      <c r="X366">
        <v>1</v>
      </c>
      <c r="Y366" t="s">
        <v>140</v>
      </c>
      <c r="Z366" t="s">
        <v>182</v>
      </c>
      <c r="AA366" t="s">
        <v>146</v>
      </c>
      <c r="AB366" t="s">
        <v>162</v>
      </c>
      <c r="AC366" t="s">
        <v>174</v>
      </c>
      <c r="AD366" t="s">
        <v>157</v>
      </c>
      <c r="AE366" t="s">
        <v>127</v>
      </c>
      <c r="AF366" t="s">
        <v>153</v>
      </c>
    </row>
    <row r="367" spans="1:32">
      <c r="A367" t="s">
        <v>973</v>
      </c>
      <c r="B367" s="37">
        <v>40015</v>
      </c>
      <c r="C367" s="38">
        <v>40015</v>
      </c>
      <c r="D367" s="38">
        <v>40014</v>
      </c>
      <c r="E367" s="38">
        <v>39995</v>
      </c>
      <c r="F367" s="39">
        <v>110</v>
      </c>
      <c r="G367" t="s">
        <v>21</v>
      </c>
      <c r="H367" t="s">
        <v>21</v>
      </c>
      <c r="I367">
        <v>0</v>
      </c>
      <c r="J367">
        <v>0</v>
      </c>
      <c r="K367">
        <v>0</v>
      </c>
      <c r="L367">
        <v>1</v>
      </c>
      <c r="M367">
        <v>0</v>
      </c>
      <c r="N367" t="s">
        <v>193</v>
      </c>
      <c r="O367" t="s">
        <v>213</v>
      </c>
      <c r="P367" t="s">
        <v>204</v>
      </c>
      <c r="Q367" t="s">
        <v>170</v>
      </c>
      <c r="R367" t="s">
        <v>155</v>
      </c>
      <c r="S367">
        <v>5</v>
      </c>
      <c r="T367" t="s">
        <v>135</v>
      </c>
      <c r="U367">
        <v>0</v>
      </c>
      <c r="V367">
        <v>5</v>
      </c>
      <c r="W367" t="s">
        <v>135</v>
      </c>
      <c r="X367">
        <v>0</v>
      </c>
      <c r="Y367" t="s">
        <v>140</v>
      </c>
      <c r="Z367" t="s">
        <v>178</v>
      </c>
      <c r="AA367" t="s">
        <v>148</v>
      </c>
      <c r="AB367" t="s">
        <v>163</v>
      </c>
      <c r="AC367" t="s">
        <v>974</v>
      </c>
      <c r="AD367" t="s">
        <v>155</v>
      </c>
      <c r="AE367" t="s">
        <v>125</v>
      </c>
      <c r="AF367" t="s">
        <v>21</v>
      </c>
    </row>
    <row r="368" spans="1:32">
      <c r="A368" t="s">
        <v>975</v>
      </c>
      <c r="B368" s="37">
        <v>39945</v>
      </c>
      <c r="C368" s="38">
        <v>39945</v>
      </c>
      <c r="D368" s="38">
        <v>39944</v>
      </c>
      <c r="E368" s="38">
        <v>39934</v>
      </c>
      <c r="F368" s="39">
        <v>40</v>
      </c>
      <c r="G368" t="s">
        <v>9</v>
      </c>
      <c r="H368" t="s">
        <v>9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195</v>
      </c>
      <c r="O368" t="s">
        <v>213</v>
      </c>
      <c r="P368" t="s">
        <v>206</v>
      </c>
      <c r="Q368" t="s">
        <v>170</v>
      </c>
      <c r="R368" t="s">
        <v>155</v>
      </c>
      <c r="T368" t="s">
        <v>134</v>
      </c>
      <c r="U368">
        <v>1</v>
      </c>
      <c r="W368" t="s">
        <v>134</v>
      </c>
      <c r="X368">
        <v>1</v>
      </c>
      <c r="Y368" t="s">
        <v>139</v>
      </c>
      <c r="Z368" t="s">
        <v>178</v>
      </c>
      <c r="AA368" t="s">
        <v>143</v>
      </c>
      <c r="AB368" t="s">
        <v>162</v>
      </c>
      <c r="AC368" t="s">
        <v>498</v>
      </c>
      <c r="AD368" t="s">
        <v>160</v>
      </c>
      <c r="AE368" t="s">
        <v>126</v>
      </c>
      <c r="AF368" t="s">
        <v>976</v>
      </c>
    </row>
    <row r="369" spans="1:32">
      <c r="A369" t="s">
        <v>977</v>
      </c>
      <c r="B369" s="37">
        <v>39950</v>
      </c>
      <c r="C369" s="38">
        <v>39950</v>
      </c>
      <c r="D369" s="38">
        <v>39944</v>
      </c>
      <c r="E369" s="38">
        <v>39934</v>
      </c>
      <c r="F369" s="39">
        <v>45</v>
      </c>
      <c r="G369" t="s">
        <v>21</v>
      </c>
      <c r="H369" t="s">
        <v>21</v>
      </c>
      <c r="I369">
        <v>0</v>
      </c>
      <c r="J369">
        <v>0</v>
      </c>
      <c r="K369">
        <v>0</v>
      </c>
      <c r="L369">
        <v>1</v>
      </c>
      <c r="M369">
        <v>0</v>
      </c>
      <c r="N369" t="s">
        <v>193</v>
      </c>
      <c r="O369" t="s">
        <v>213</v>
      </c>
      <c r="P369" t="s">
        <v>204</v>
      </c>
      <c r="Q369" t="s">
        <v>170</v>
      </c>
      <c r="R369" t="s">
        <v>155</v>
      </c>
      <c r="T369" t="s">
        <v>134</v>
      </c>
      <c r="U369">
        <v>1</v>
      </c>
      <c r="W369" t="s">
        <v>134</v>
      </c>
      <c r="X369">
        <v>1</v>
      </c>
      <c r="Y369" t="s">
        <v>140</v>
      </c>
      <c r="Z369" t="s">
        <v>178</v>
      </c>
      <c r="AA369" t="s">
        <v>149</v>
      </c>
      <c r="AB369" t="s">
        <v>162</v>
      </c>
      <c r="AC369" t="s">
        <v>978</v>
      </c>
      <c r="AD369" t="s">
        <v>156</v>
      </c>
      <c r="AE369" t="s">
        <v>120</v>
      </c>
      <c r="AF369" t="s">
        <v>979</v>
      </c>
    </row>
    <row r="370" spans="1:32">
      <c r="A370" t="s">
        <v>980</v>
      </c>
      <c r="B370" s="37">
        <v>40019</v>
      </c>
      <c r="C370" s="38">
        <v>40019</v>
      </c>
      <c r="D370" s="38">
        <v>40014</v>
      </c>
      <c r="E370" s="38">
        <v>39995</v>
      </c>
      <c r="F370" s="39">
        <v>114</v>
      </c>
      <c r="G370" t="s">
        <v>9</v>
      </c>
      <c r="H370" t="s">
        <v>9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197</v>
      </c>
      <c r="O370" t="s">
        <v>213</v>
      </c>
      <c r="P370" t="s">
        <v>209</v>
      </c>
      <c r="Q370" t="s">
        <v>170</v>
      </c>
      <c r="R370" t="s">
        <v>155</v>
      </c>
      <c r="S370">
        <v>5</v>
      </c>
      <c r="T370" t="s">
        <v>135</v>
      </c>
      <c r="U370">
        <v>0</v>
      </c>
      <c r="V370">
        <v>5</v>
      </c>
      <c r="W370" t="s">
        <v>135</v>
      </c>
      <c r="X370">
        <v>0</v>
      </c>
      <c r="Y370" t="s">
        <v>139</v>
      </c>
      <c r="Z370" t="s">
        <v>409</v>
      </c>
      <c r="AA370" t="s">
        <v>144</v>
      </c>
      <c r="AB370" t="s">
        <v>162</v>
      </c>
      <c r="AC370" t="s">
        <v>619</v>
      </c>
      <c r="AD370" t="s">
        <v>157</v>
      </c>
      <c r="AE370" t="s">
        <v>127</v>
      </c>
      <c r="AF370" t="s">
        <v>153</v>
      </c>
    </row>
    <row r="371" spans="1:32">
      <c r="A371" t="s">
        <v>981</v>
      </c>
      <c r="B371" s="37">
        <v>40044</v>
      </c>
      <c r="C371" s="38">
        <v>40044</v>
      </c>
      <c r="D371" s="38">
        <v>40042</v>
      </c>
      <c r="E371" s="38">
        <v>40026</v>
      </c>
      <c r="F371" s="39">
        <v>139</v>
      </c>
      <c r="G371" t="s">
        <v>21</v>
      </c>
      <c r="H371" t="s">
        <v>21</v>
      </c>
      <c r="I371">
        <v>0</v>
      </c>
      <c r="J371">
        <v>0</v>
      </c>
      <c r="K371">
        <v>0</v>
      </c>
      <c r="L371">
        <v>1</v>
      </c>
      <c r="M371">
        <v>0</v>
      </c>
      <c r="N371" t="s">
        <v>193</v>
      </c>
      <c r="O371" t="s">
        <v>213</v>
      </c>
      <c r="P371" t="s">
        <v>204</v>
      </c>
      <c r="Q371" t="s">
        <v>170</v>
      </c>
      <c r="R371" t="s">
        <v>155</v>
      </c>
      <c r="S371">
        <v>1</v>
      </c>
      <c r="T371" t="s">
        <v>136</v>
      </c>
      <c r="U371">
        <v>0</v>
      </c>
      <c r="V371">
        <v>3</v>
      </c>
      <c r="W371" t="s">
        <v>137</v>
      </c>
      <c r="X371">
        <v>0</v>
      </c>
      <c r="Y371" t="s">
        <v>140</v>
      </c>
      <c r="Z371" t="s">
        <v>178</v>
      </c>
      <c r="AA371" t="s">
        <v>148</v>
      </c>
      <c r="AB371" t="s">
        <v>162</v>
      </c>
      <c r="AC371" t="s">
        <v>619</v>
      </c>
      <c r="AD371" t="s">
        <v>159</v>
      </c>
      <c r="AE371" t="s">
        <v>123</v>
      </c>
      <c r="AF371" t="s">
        <v>123</v>
      </c>
    </row>
    <row r="372" spans="1:32">
      <c r="A372" t="s">
        <v>982</v>
      </c>
      <c r="B372" s="37">
        <v>39906</v>
      </c>
      <c r="C372" s="38">
        <v>39906</v>
      </c>
      <c r="D372" s="38">
        <v>39902</v>
      </c>
      <c r="E372" s="38">
        <v>39904</v>
      </c>
      <c r="F372" s="39">
        <v>1</v>
      </c>
      <c r="G372" t="s">
        <v>21</v>
      </c>
      <c r="H372" t="s">
        <v>21</v>
      </c>
      <c r="I372">
        <v>0</v>
      </c>
      <c r="J372">
        <v>0</v>
      </c>
      <c r="K372">
        <v>0</v>
      </c>
      <c r="L372">
        <v>1</v>
      </c>
      <c r="M372">
        <v>0</v>
      </c>
      <c r="N372" t="s">
        <v>198</v>
      </c>
      <c r="O372" t="s">
        <v>213</v>
      </c>
      <c r="P372" t="s">
        <v>208</v>
      </c>
      <c r="Q372" t="s">
        <v>170</v>
      </c>
      <c r="R372" t="s">
        <v>155</v>
      </c>
      <c r="T372" t="s">
        <v>134</v>
      </c>
      <c r="U372">
        <v>1</v>
      </c>
      <c r="W372" t="s">
        <v>134</v>
      </c>
      <c r="X372">
        <v>1</v>
      </c>
      <c r="Y372" t="s">
        <v>139</v>
      </c>
      <c r="Z372" t="s">
        <v>188</v>
      </c>
      <c r="AA372" t="s">
        <v>142</v>
      </c>
      <c r="AB372" t="s">
        <v>165</v>
      </c>
      <c r="AC372" t="s">
        <v>21</v>
      </c>
      <c r="AD372" t="s">
        <v>158</v>
      </c>
      <c r="AE372" t="s">
        <v>122</v>
      </c>
      <c r="AF372" t="s">
        <v>21</v>
      </c>
    </row>
    <row r="373" spans="1:32">
      <c r="A373" t="s">
        <v>983</v>
      </c>
      <c r="B373" s="37">
        <v>39909</v>
      </c>
      <c r="C373" s="38">
        <v>39909</v>
      </c>
      <c r="D373" s="38">
        <v>39909</v>
      </c>
      <c r="E373" s="38">
        <v>39904</v>
      </c>
      <c r="F373" s="39">
        <v>4</v>
      </c>
      <c r="G373" t="s">
        <v>21</v>
      </c>
      <c r="H373" t="s">
        <v>21</v>
      </c>
      <c r="I373">
        <v>0</v>
      </c>
      <c r="J373">
        <v>0</v>
      </c>
      <c r="K373">
        <v>0</v>
      </c>
      <c r="L373">
        <v>1</v>
      </c>
      <c r="M373">
        <v>0</v>
      </c>
      <c r="N373" t="s">
        <v>194</v>
      </c>
      <c r="O373" t="s">
        <v>213</v>
      </c>
      <c r="P373" t="s">
        <v>205</v>
      </c>
      <c r="Q373" t="s">
        <v>170</v>
      </c>
      <c r="R373" t="s">
        <v>155</v>
      </c>
      <c r="T373" t="s">
        <v>134</v>
      </c>
      <c r="U373">
        <v>1</v>
      </c>
      <c r="W373" t="s">
        <v>134</v>
      </c>
      <c r="X373">
        <v>1</v>
      </c>
      <c r="Y373" t="s">
        <v>139</v>
      </c>
      <c r="Z373" t="s">
        <v>376</v>
      </c>
      <c r="AA373" t="s">
        <v>145</v>
      </c>
      <c r="AB373" t="s">
        <v>165</v>
      </c>
      <c r="AC373" t="s">
        <v>21</v>
      </c>
      <c r="AD373" t="s">
        <v>158</v>
      </c>
      <c r="AE373" t="s">
        <v>122</v>
      </c>
      <c r="AF373" t="s">
        <v>21</v>
      </c>
    </row>
    <row r="374" spans="1:32">
      <c r="A374" t="s">
        <v>984</v>
      </c>
      <c r="B374" s="37">
        <v>39911</v>
      </c>
      <c r="C374" s="38">
        <v>39911</v>
      </c>
      <c r="D374" s="38">
        <v>39909</v>
      </c>
      <c r="E374" s="38">
        <v>39904</v>
      </c>
      <c r="F374" s="39">
        <v>6</v>
      </c>
      <c r="G374" t="s">
        <v>380</v>
      </c>
      <c r="H374" t="s">
        <v>17</v>
      </c>
      <c r="I374">
        <v>0</v>
      </c>
      <c r="J374">
        <v>0</v>
      </c>
      <c r="K374">
        <v>1</v>
      </c>
      <c r="L374">
        <v>0</v>
      </c>
      <c r="M374">
        <v>0</v>
      </c>
      <c r="N374" t="s">
        <v>194</v>
      </c>
      <c r="O374" t="s">
        <v>213</v>
      </c>
      <c r="P374" t="s">
        <v>205</v>
      </c>
      <c r="Q374" t="s">
        <v>170</v>
      </c>
      <c r="R374" t="s">
        <v>155</v>
      </c>
      <c r="T374" t="s">
        <v>134</v>
      </c>
      <c r="U374">
        <v>1</v>
      </c>
      <c r="W374" t="s">
        <v>134</v>
      </c>
      <c r="X374">
        <v>1</v>
      </c>
      <c r="Y374" t="s">
        <v>139</v>
      </c>
      <c r="Z374" t="s">
        <v>179</v>
      </c>
      <c r="AA374" t="s">
        <v>151</v>
      </c>
      <c r="AB374" t="s">
        <v>162</v>
      </c>
      <c r="AC374" t="s">
        <v>985</v>
      </c>
      <c r="AD374" t="s">
        <v>157</v>
      </c>
      <c r="AE374" t="s">
        <v>434</v>
      </c>
      <c r="AF374" t="s">
        <v>986</v>
      </c>
    </row>
    <row r="375" spans="1:32">
      <c r="A375" t="s">
        <v>987</v>
      </c>
      <c r="B375" s="37">
        <v>39915</v>
      </c>
      <c r="C375" s="38">
        <v>39915</v>
      </c>
      <c r="D375" s="38">
        <v>39909</v>
      </c>
      <c r="E375" s="38">
        <v>39904</v>
      </c>
      <c r="F375" s="39">
        <v>10</v>
      </c>
      <c r="G375" t="s">
        <v>21</v>
      </c>
      <c r="H375" t="s">
        <v>21</v>
      </c>
      <c r="I375">
        <v>0</v>
      </c>
      <c r="J375">
        <v>0</v>
      </c>
      <c r="K375">
        <v>0</v>
      </c>
      <c r="L375">
        <v>1</v>
      </c>
      <c r="M375">
        <v>0</v>
      </c>
      <c r="N375" t="s">
        <v>198</v>
      </c>
      <c r="O375" t="s">
        <v>213</v>
      </c>
      <c r="P375" t="s">
        <v>208</v>
      </c>
      <c r="Q375" t="s">
        <v>170</v>
      </c>
      <c r="R375" t="s">
        <v>155</v>
      </c>
      <c r="T375" t="s">
        <v>134</v>
      </c>
      <c r="U375">
        <v>1</v>
      </c>
      <c r="W375" t="s">
        <v>134</v>
      </c>
      <c r="X375">
        <v>1</v>
      </c>
      <c r="Y375" t="s">
        <v>139</v>
      </c>
      <c r="Z375" t="s">
        <v>185</v>
      </c>
      <c r="AA375" t="s">
        <v>142</v>
      </c>
      <c r="AB375" t="s">
        <v>162</v>
      </c>
      <c r="AC375" t="s">
        <v>619</v>
      </c>
      <c r="AD375" t="s">
        <v>156</v>
      </c>
      <c r="AE375" t="s">
        <v>120</v>
      </c>
      <c r="AF375" t="s">
        <v>988</v>
      </c>
    </row>
    <row r="376" spans="1:32">
      <c r="A376" t="s">
        <v>989</v>
      </c>
      <c r="B376" s="37">
        <v>39916</v>
      </c>
      <c r="C376" s="38">
        <v>39916</v>
      </c>
      <c r="D376" s="38">
        <v>39916</v>
      </c>
      <c r="E376" s="38">
        <v>39904</v>
      </c>
      <c r="F376" s="39">
        <v>11</v>
      </c>
      <c r="G376" t="s">
        <v>21</v>
      </c>
      <c r="H376" t="s">
        <v>21</v>
      </c>
      <c r="I376">
        <v>0</v>
      </c>
      <c r="J376">
        <v>0</v>
      </c>
      <c r="K376">
        <v>0</v>
      </c>
      <c r="L376">
        <v>1</v>
      </c>
      <c r="M376">
        <v>0</v>
      </c>
      <c r="N376" t="s">
        <v>200</v>
      </c>
      <c r="O376" t="s">
        <v>214</v>
      </c>
      <c r="P376" t="s">
        <v>208</v>
      </c>
      <c r="Q376" t="s">
        <v>170</v>
      </c>
      <c r="R376" t="s">
        <v>155</v>
      </c>
      <c r="T376" t="s">
        <v>134</v>
      </c>
      <c r="U376">
        <v>1</v>
      </c>
      <c r="W376" t="s">
        <v>134</v>
      </c>
      <c r="X376">
        <v>1</v>
      </c>
      <c r="Y376" t="s">
        <v>139</v>
      </c>
      <c r="Z376" t="s">
        <v>178</v>
      </c>
      <c r="AA376" t="s">
        <v>148</v>
      </c>
      <c r="AB376" t="s">
        <v>162</v>
      </c>
      <c r="AC376" t="s">
        <v>619</v>
      </c>
      <c r="AD376" t="s">
        <v>157</v>
      </c>
      <c r="AE376" t="s">
        <v>439</v>
      </c>
      <c r="AF376" t="s">
        <v>898</v>
      </c>
    </row>
    <row r="377" spans="1:32">
      <c r="A377" t="s">
        <v>990</v>
      </c>
      <c r="B377" s="37">
        <v>40074</v>
      </c>
      <c r="C377" s="38">
        <v>40074</v>
      </c>
      <c r="D377" s="38">
        <v>40070</v>
      </c>
      <c r="E377" s="38">
        <v>40057</v>
      </c>
      <c r="F377" s="39">
        <v>169</v>
      </c>
      <c r="G377" t="s">
        <v>21</v>
      </c>
      <c r="H377" t="s">
        <v>21</v>
      </c>
      <c r="I377">
        <v>0</v>
      </c>
      <c r="J377">
        <v>0</v>
      </c>
      <c r="K377">
        <v>0</v>
      </c>
      <c r="L377">
        <v>1</v>
      </c>
      <c r="M377">
        <v>0</v>
      </c>
      <c r="N377" t="s">
        <v>193</v>
      </c>
      <c r="O377" t="s">
        <v>213</v>
      </c>
      <c r="P377" t="s">
        <v>204</v>
      </c>
      <c r="Q377" t="s">
        <v>170</v>
      </c>
      <c r="R377" t="s">
        <v>155</v>
      </c>
      <c r="S377">
        <v>5</v>
      </c>
      <c r="T377" t="s">
        <v>135</v>
      </c>
      <c r="U377">
        <v>0</v>
      </c>
      <c r="V377">
        <v>3</v>
      </c>
      <c r="W377" t="s">
        <v>137</v>
      </c>
      <c r="X377">
        <v>0</v>
      </c>
      <c r="Y377" t="s">
        <v>140</v>
      </c>
      <c r="Z377" t="s">
        <v>178</v>
      </c>
      <c r="AA377" t="s">
        <v>144</v>
      </c>
      <c r="AB377" t="s">
        <v>162</v>
      </c>
      <c r="AC377" t="s">
        <v>550</v>
      </c>
      <c r="AD377" t="s">
        <v>156</v>
      </c>
      <c r="AE377" t="s">
        <v>120</v>
      </c>
      <c r="AF377" t="s">
        <v>991</v>
      </c>
    </row>
    <row r="378" spans="1:32">
      <c r="A378" t="s">
        <v>992</v>
      </c>
      <c r="B378" s="37">
        <v>40077</v>
      </c>
      <c r="C378" s="38">
        <v>40077</v>
      </c>
      <c r="D378" s="38">
        <v>40077</v>
      </c>
      <c r="E378" s="38">
        <v>40057</v>
      </c>
      <c r="F378" s="39">
        <v>172</v>
      </c>
      <c r="G378" t="s">
        <v>21</v>
      </c>
      <c r="H378" t="s">
        <v>21</v>
      </c>
      <c r="I378">
        <v>0</v>
      </c>
      <c r="J378">
        <v>0</v>
      </c>
      <c r="K378">
        <v>0</v>
      </c>
      <c r="L378">
        <v>1</v>
      </c>
      <c r="M378">
        <v>0</v>
      </c>
      <c r="N378" t="s">
        <v>195</v>
      </c>
      <c r="O378" t="s">
        <v>213</v>
      </c>
      <c r="P378" t="s">
        <v>206</v>
      </c>
      <c r="Q378" t="s">
        <v>170</v>
      </c>
      <c r="R378" t="s">
        <v>155</v>
      </c>
      <c r="S378">
        <v>5</v>
      </c>
      <c r="T378" t="s">
        <v>135</v>
      </c>
      <c r="U378">
        <v>0</v>
      </c>
      <c r="V378">
        <v>5</v>
      </c>
      <c r="W378" t="s">
        <v>135</v>
      </c>
      <c r="X378">
        <v>0</v>
      </c>
      <c r="Y378" t="s">
        <v>139</v>
      </c>
      <c r="Z378" t="s">
        <v>178</v>
      </c>
      <c r="AA378" t="s">
        <v>145</v>
      </c>
      <c r="AB378" t="s">
        <v>162</v>
      </c>
      <c r="AC378" t="s">
        <v>175</v>
      </c>
      <c r="AD378" t="s">
        <v>155</v>
      </c>
      <c r="AE378" t="s">
        <v>129</v>
      </c>
      <c r="AF378" t="s">
        <v>21</v>
      </c>
    </row>
    <row r="379" spans="1:32">
      <c r="A379" t="s">
        <v>993</v>
      </c>
      <c r="B379" s="37">
        <v>40001</v>
      </c>
      <c r="C379" s="38">
        <v>40001</v>
      </c>
      <c r="D379" s="38">
        <v>40000</v>
      </c>
      <c r="E379" s="38">
        <v>39995</v>
      </c>
      <c r="F379" s="39">
        <v>96</v>
      </c>
      <c r="G379" t="s">
        <v>9</v>
      </c>
      <c r="H379" t="s">
        <v>9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193</v>
      </c>
      <c r="O379" t="s">
        <v>213</v>
      </c>
      <c r="P379" t="s">
        <v>204</v>
      </c>
      <c r="Q379" t="s">
        <v>170</v>
      </c>
      <c r="R379" t="s">
        <v>155</v>
      </c>
      <c r="T379" t="s">
        <v>134</v>
      </c>
      <c r="U379">
        <v>1</v>
      </c>
      <c r="V379">
        <v>5</v>
      </c>
      <c r="W379" t="s">
        <v>135</v>
      </c>
      <c r="X379">
        <v>0</v>
      </c>
      <c r="Y379" t="s">
        <v>140</v>
      </c>
      <c r="Z379" t="s">
        <v>178</v>
      </c>
      <c r="AA379" t="s">
        <v>146</v>
      </c>
      <c r="AB379" t="s">
        <v>165</v>
      </c>
      <c r="AC379" t="s">
        <v>21</v>
      </c>
      <c r="AD379" t="s">
        <v>158</v>
      </c>
      <c r="AE379" t="s">
        <v>122</v>
      </c>
      <c r="AF379" t="s">
        <v>21</v>
      </c>
    </row>
    <row r="380" spans="1:32">
      <c r="A380" t="s">
        <v>994</v>
      </c>
      <c r="B380" s="37">
        <v>40018</v>
      </c>
      <c r="C380" s="38">
        <v>40018</v>
      </c>
      <c r="D380" s="38">
        <v>40014</v>
      </c>
      <c r="E380" s="38">
        <v>39995</v>
      </c>
      <c r="F380" s="39">
        <v>113</v>
      </c>
      <c r="G380" t="s">
        <v>21</v>
      </c>
      <c r="H380" t="s">
        <v>21</v>
      </c>
      <c r="I380">
        <v>0</v>
      </c>
      <c r="J380">
        <v>0</v>
      </c>
      <c r="K380">
        <v>0</v>
      </c>
      <c r="L380">
        <v>1</v>
      </c>
      <c r="M380">
        <v>0</v>
      </c>
      <c r="N380" t="s">
        <v>195</v>
      </c>
      <c r="O380" t="s">
        <v>213</v>
      </c>
      <c r="P380" t="s">
        <v>206</v>
      </c>
      <c r="Q380" t="s">
        <v>170</v>
      </c>
      <c r="R380" t="s">
        <v>155</v>
      </c>
      <c r="S380">
        <v>5</v>
      </c>
      <c r="T380" t="s">
        <v>135</v>
      </c>
      <c r="U380">
        <v>0</v>
      </c>
      <c r="V380">
        <v>2</v>
      </c>
      <c r="W380" t="s">
        <v>136</v>
      </c>
      <c r="X380">
        <v>0</v>
      </c>
      <c r="Y380" t="s">
        <v>139</v>
      </c>
      <c r="Z380" t="s">
        <v>185</v>
      </c>
      <c r="AA380" t="s">
        <v>150</v>
      </c>
      <c r="AB380" t="s">
        <v>162</v>
      </c>
      <c r="AC380" t="s">
        <v>174</v>
      </c>
      <c r="AD380" t="s">
        <v>156</v>
      </c>
      <c r="AE380" t="s">
        <v>120</v>
      </c>
      <c r="AF380" t="s">
        <v>995</v>
      </c>
    </row>
    <row r="381" spans="1:32">
      <c r="A381" t="s">
        <v>996</v>
      </c>
      <c r="B381" s="37">
        <v>39953</v>
      </c>
      <c r="C381" s="38">
        <v>39953</v>
      </c>
      <c r="D381" s="38">
        <v>39951</v>
      </c>
      <c r="E381" s="38">
        <v>39934</v>
      </c>
      <c r="F381" s="39">
        <v>48</v>
      </c>
      <c r="G381" t="s">
        <v>21</v>
      </c>
      <c r="H381" t="s">
        <v>21</v>
      </c>
      <c r="I381">
        <v>0</v>
      </c>
      <c r="J381">
        <v>0</v>
      </c>
      <c r="K381">
        <v>0</v>
      </c>
      <c r="L381">
        <v>1</v>
      </c>
      <c r="M381">
        <v>0</v>
      </c>
      <c r="N381" t="s">
        <v>194</v>
      </c>
      <c r="O381" t="s">
        <v>213</v>
      </c>
      <c r="P381" t="s">
        <v>205</v>
      </c>
      <c r="Q381" t="s">
        <v>170</v>
      </c>
      <c r="R381" t="s">
        <v>155</v>
      </c>
      <c r="T381" t="s">
        <v>134</v>
      </c>
      <c r="U381">
        <v>1</v>
      </c>
      <c r="W381" t="s">
        <v>134</v>
      </c>
      <c r="X381">
        <v>1</v>
      </c>
      <c r="Y381" t="s">
        <v>139</v>
      </c>
      <c r="Z381" t="s">
        <v>178</v>
      </c>
      <c r="AA381" t="s">
        <v>145</v>
      </c>
      <c r="AB381" t="s">
        <v>162</v>
      </c>
      <c r="AC381" t="s">
        <v>522</v>
      </c>
      <c r="AD381" t="s">
        <v>159</v>
      </c>
      <c r="AE381" t="s">
        <v>126</v>
      </c>
      <c r="AF381" t="s">
        <v>601</v>
      </c>
    </row>
    <row r="382" spans="1:32">
      <c r="A382" t="s">
        <v>997</v>
      </c>
      <c r="B382" s="37">
        <v>40013</v>
      </c>
      <c r="C382" s="38">
        <v>40013</v>
      </c>
      <c r="D382" s="38">
        <v>40007</v>
      </c>
      <c r="E382" s="38">
        <v>39995</v>
      </c>
      <c r="F382" s="39">
        <v>108</v>
      </c>
      <c r="G382" t="s">
        <v>21</v>
      </c>
      <c r="H382" t="s">
        <v>21</v>
      </c>
      <c r="I382">
        <v>0</v>
      </c>
      <c r="J382">
        <v>0</v>
      </c>
      <c r="K382">
        <v>0</v>
      </c>
      <c r="L382">
        <v>1</v>
      </c>
      <c r="M382">
        <v>0</v>
      </c>
      <c r="N382" t="s">
        <v>193</v>
      </c>
      <c r="O382" t="s">
        <v>213</v>
      </c>
      <c r="P382" t="s">
        <v>204</v>
      </c>
      <c r="Q382" t="s">
        <v>170</v>
      </c>
      <c r="R382" t="s">
        <v>155</v>
      </c>
      <c r="S382">
        <v>5</v>
      </c>
      <c r="T382" t="s">
        <v>135</v>
      </c>
      <c r="U382">
        <v>0</v>
      </c>
      <c r="V382">
        <v>3</v>
      </c>
      <c r="W382" t="s">
        <v>137</v>
      </c>
      <c r="X382">
        <v>0</v>
      </c>
      <c r="Y382" t="s">
        <v>140</v>
      </c>
      <c r="Z382" t="s">
        <v>178</v>
      </c>
      <c r="AA382" t="s">
        <v>142</v>
      </c>
      <c r="AB382" t="s">
        <v>162</v>
      </c>
      <c r="AC382" t="s">
        <v>921</v>
      </c>
      <c r="AD382" t="s">
        <v>156</v>
      </c>
      <c r="AE382" t="s">
        <v>120</v>
      </c>
      <c r="AF382" t="s">
        <v>998</v>
      </c>
    </row>
    <row r="383" spans="1:32">
      <c r="A383" t="s">
        <v>999</v>
      </c>
      <c r="B383" s="37">
        <v>40031</v>
      </c>
      <c r="C383" s="38">
        <v>40031</v>
      </c>
      <c r="D383" s="38">
        <v>40028</v>
      </c>
      <c r="E383" s="38">
        <v>40026</v>
      </c>
      <c r="F383" s="39">
        <v>126</v>
      </c>
      <c r="G383" t="s">
        <v>496</v>
      </c>
      <c r="H383" t="s">
        <v>13</v>
      </c>
      <c r="I383">
        <v>0</v>
      </c>
      <c r="J383">
        <v>1</v>
      </c>
      <c r="K383">
        <v>0</v>
      </c>
      <c r="L383">
        <v>0</v>
      </c>
      <c r="M383">
        <v>1</v>
      </c>
      <c r="N383" t="s">
        <v>195</v>
      </c>
      <c r="O383" t="s">
        <v>213</v>
      </c>
      <c r="P383" t="s">
        <v>206</v>
      </c>
      <c r="Q383" t="s">
        <v>170</v>
      </c>
      <c r="R383" t="s">
        <v>155</v>
      </c>
      <c r="S383">
        <v>5</v>
      </c>
      <c r="T383" t="s">
        <v>135</v>
      </c>
      <c r="U383">
        <v>0</v>
      </c>
      <c r="V383">
        <v>3</v>
      </c>
      <c r="W383" t="s">
        <v>137</v>
      </c>
      <c r="X383">
        <v>0</v>
      </c>
      <c r="Y383" t="s">
        <v>139</v>
      </c>
      <c r="Z383" t="s">
        <v>409</v>
      </c>
      <c r="AA383" t="s">
        <v>148</v>
      </c>
      <c r="AB383" t="s">
        <v>162</v>
      </c>
      <c r="AC383" t="s">
        <v>619</v>
      </c>
      <c r="AD383" t="s">
        <v>156</v>
      </c>
      <c r="AE383" t="s">
        <v>120</v>
      </c>
      <c r="AF383" t="s">
        <v>660</v>
      </c>
    </row>
    <row r="384" spans="1:32">
      <c r="A384" t="s">
        <v>1000</v>
      </c>
      <c r="B384" s="37">
        <v>40076</v>
      </c>
      <c r="C384" s="38">
        <v>40076</v>
      </c>
      <c r="D384" s="38">
        <v>40070</v>
      </c>
      <c r="E384" s="38">
        <v>40057</v>
      </c>
      <c r="F384" s="39">
        <v>171</v>
      </c>
      <c r="G384" t="s">
        <v>21</v>
      </c>
      <c r="H384" t="s">
        <v>21</v>
      </c>
      <c r="I384">
        <v>0</v>
      </c>
      <c r="J384">
        <v>0</v>
      </c>
      <c r="K384">
        <v>0</v>
      </c>
      <c r="L384">
        <v>1</v>
      </c>
      <c r="M384">
        <v>0</v>
      </c>
      <c r="N384" t="s">
        <v>197</v>
      </c>
      <c r="O384" t="s">
        <v>213</v>
      </c>
      <c r="P384" t="s">
        <v>209</v>
      </c>
      <c r="Q384" t="s">
        <v>170</v>
      </c>
      <c r="R384" t="s">
        <v>155</v>
      </c>
      <c r="S384">
        <v>4</v>
      </c>
      <c r="T384" t="s">
        <v>137</v>
      </c>
      <c r="U384">
        <v>0</v>
      </c>
      <c r="V384">
        <v>4</v>
      </c>
      <c r="W384" t="s">
        <v>137</v>
      </c>
      <c r="X384">
        <v>0</v>
      </c>
      <c r="Y384" t="s">
        <v>139</v>
      </c>
      <c r="Z384" t="s">
        <v>178</v>
      </c>
      <c r="AA384" t="s">
        <v>144</v>
      </c>
      <c r="AB384" t="s">
        <v>162</v>
      </c>
      <c r="AC384" t="s">
        <v>174</v>
      </c>
      <c r="AD384" t="s">
        <v>156</v>
      </c>
      <c r="AE384" t="s">
        <v>120</v>
      </c>
      <c r="AF384" t="s">
        <v>1001</v>
      </c>
    </row>
    <row r="385" spans="1:32">
      <c r="A385" t="s">
        <v>1002</v>
      </c>
      <c r="B385" s="37">
        <v>40042</v>
      </c>
      <c r="C385" s="38">
        <v>40042</v>
      </c>
      <c r="D385" s="38">
        <v>40042</v>
      </c>
      <c r="E385" s="38">
        <v>40026</v>
      </c>
      <c r="F385" s="39">
        <v>137</v>
      </c>
      <c r="G385" t="s">
        <v>21</v>
      </c>
      <c r="H385" t="s">
        <v>21</v>
      </c>
      <c r="I385">
        <v>0</v>
      </c>
      <c r="J385">
        <v>0</v>
      </c>
      <c r="K385">
        <v>0</v>
      </c>
      <c r="L385">
        <v>1</v>
      </c>
      <c r="M385">
        <v>0</v>
      </c>
      <c r="N385" t="s">
        <v>195</v>
      </c>
      <c r="O385" t="s">
        <v>213</v>
      </c>
      <c r="P385" t="s">
        <v>206</v>
      </c>
      <c r="Q385" t="s">
        <v>170</v>
      </c>
      <c r="R385" t="s">
        <v>155</v>
      </c>
      <c r="S385">
        <v>5</v>
      </c>
      <c r="T385" t="s">
        <v>135</v>
      </c>
      <c r="U385">
        <v>0</v>
      </c>
      <c r="V385">
        <v>4</v>
      </c>
      <c r="W385" t="s">
        <v>137</v>
      </c>
      <c r="X385">
        <v>0</v>
      </c>
      <c r="Y385" t="s">
        <v>139</v>
      </c>
      <c r="Z385" t="s">
        <v>178</v>
      </c>
      <c r="AA385" t="s">
        <v>146</v>
      </c>
      <c r="AB385" t="s">
        <v>162</v>
      </c>
      <c r="AC385" t="s">
        <v>1003</v>
      </c>
      <c r="AD385" t="s">
        <v>157</v>
      </c>
      <c r="AE385" t="s">
        <v>127</v>
      </c>
      <c r="AF385" t="s">
        <v>153</v>
      </c>
    </row>
    <row r="386" spans="1:32">
      <c r="A386" t="s">
        <v>1004</v>
      </c>
      <c r="B386" s="37">
        <v>40023</v>
      </c>
      <c r="C386" s="38">
        <v>40023</v>
      </c>
      <c r="D386" s="38">
        <v>40021</v>
      </c>
      <c r="E386" s="38">
        <v>39995</v>
      </c>
      <c r="F386" s="39">
        <v>118</v>
      </c>
      <c r="G386" t="s">
        <v>383</v>
      </c>
      <c r="H386" t="s">
        <v>17</v>
      </c>
      <c r="I386">
        <v>0</v>
      </c>
      <c r="J386">
        <v>0</v>
      </c>
      <c r="K386">
        <v>1</v>
      </c>
      <c r="L386">
        <v>0</v>
      </c>
      <c r="M386">
        <v>0</v>
      </c>
      <c r="N386" t="s">
        <v>196</v>
      </c>
      <c r="O386" t="s">
        <v>213</v>
      </c>
      <c r="P386" t="s">
        <v>207</v>
      </c>
      <c r="Q386" t="s">
        <v>170</v>
      </c>
      <c r="R386" t="s">
        <v>155</v>
      </c>
      <c r="S386">
        <v>5</v>
      </c>
      <c r="T386" t="s">
        <v>135</v>
      </c>
      <c r="U386">
        <v>0</v>
      </c>
      <c r="V386">
        <v>5</v>
      </c>
      <c r="W386" t="s">
        <v>135</v>
      </c>
      <c r="X386">
        <v>0</v>
      </c>
      <c r="Y386" t="s">
        <v>139</v>
      </c>
      <c r="Z386" t="s">
        <v>576</v>
      </c>
      <c r="AA386" t="s">
        <v>144</v>
      </c>
      <c r="AB386" t="s">
        <v>162</v>
      </c>
      <c r="AC386" t="s">
        <v>550</v>
      </c>
      <c r="AD386" t="s">
        <v>157</v>
      </c>
      <c r="AE386" t="s">
        <v>127</v>
      </c>
      <c r="AF386" t="s">
        <v>1005</v>
      </c>
    </row>
    <row r="387" spans="1:32">
      <c r="A387" t="s">
        <v>1006</v>
      </c>
      <c r="B387" s="37">
        <v>40061</v>
      </c>
      <c r="C387" s="38">
        <v>40061</v>
      </c>
      <c r="D387" s="38">
        <v>40056</v>
      </c>
      <c r="E387" s="38">
        <v>40057</v>
      </c>
      <c r="F387" s="39">
        <v>156</v>
      </c>
      <c r="G387" t="s">
        <v>21</v>
      </c>
      <c r="H387" t="s">
        <v>21</v>
      </c>
      <c r="I387">
        <v>0</v>
      </c>
      <c r="J387">
        <v>0</v>
      </c>
      <c r="K387">
        <v>0</v>
      </c>
      <c r="L387">
        <v>1</v>
      </c>
      <c r="M387">
        <v>0</v>
      </c>
      <c r="N387" t="s">
        <v>196</v>
      </c>
      <c r="O387" t="s">
        <v>213</v>
      </c>
      <c r="P387" t="s">
        <v>207</v>
      </c>
      <c r="Q387" t="s">
        <v>170</v>
      </c>
      <c r="R387" t="s">
        <v>155</v>
      </c>
      <c r="S387">
        <v>5</v>
      </c>
      <c r="T387" t="s">
        <v>135</v>
      </c>
      <c r="U387">
        <v>0</v>
      </c>
      <c r="V387">
        <v>2</v>
      </c>
      <c r="W387" t="s">
        <v>136</v>
      </c>
      <c r="X387">
        <v>0</v>
      </c>
      <c r="Y387" t="s">
        <v>139</v>
      </c>
      <c r="Z387" t="s">
        <v>576</v>
      </c>
      <c r="AA387" t="s">
        <v>144</v>
      </c>
      <c r="AB387" t="s">
        <v>162</v>
      </c>
      <c r="AC387" t="s">
        <v>1007</v>
      </c>
      <c r="AD387" t="s">
        <v>155</v>
      </c>
      <c r="AE387" t="s">
        <v>127</v>
      </c>
      <c r="AF387" t="s">
        <v>21</v>
      </c>
    </row>
    <row r="388" spans="1:32">
      <c r="A388" t="s">
        <v>1008</v>
      </c>
      <c r="B388" s="37">
        <v>39925</v>
      </c>
      <c r="C388" s="38">
        <v>39925</v>
      </c>
      <c r="D388" s="38">
        <v>39923</v>
      </c>
      <c r="E388" s="38">
        <v>39904</v>
      </c>
      <c r="F388" s="39">
        <v>20</v>
      </c>
      <c r="G388" t="s">
        <v>21</v>
      </c>
      <c r="H388" t="s">
        <v>21</v>
      </c>
      <c r="I388">
        <v>0</v>
      </c>
      <c r="J388">
        <v>0</v>
      </c>
      <c r="K388">
        <v>0</v>
      </c>
      <c r="L388">
        <v>1</v>
      </c>
      <c r="M388">
        <v>0</v>
      </c>
      <c r="N388" t="s">
        <v>200</v>
      </c>
      <c r="O388" t="s">
        <v>214</v>
      </c>
      <c r="P388" t="s">
        <v>208</v>
      </c>
      <c r="Q388" t="s">
        <v>170</v>
      </c>
      <c r="R388" t="s">
        <v>155</v>
      </c>
      <c r="T388" t="s">
        <v>134</v>
      </c>
      <c r="U388">
        <v>1</v>
      </c>
      <c r="W388" t="s">
        <v>134</v>
      </c>
      <c r="X388">
        <v>1</v>
      </c>
      <c r="Y388" t="s">
        <v>139</v>
      </c>
      <c r="Z388" t="s">
        <v>179</v>
      </c>
      <c r="AA388" t="s">
        <v>147</v>
      </c>
      <c r="AB388" t="s">
        <v>162</v>
      </c>
      <c r="AC388" t="s">
        <v>175</v>
      </c>
      <c r="AD388" t="s">
        <v>155</v>
      </c>
      <c r="AE388" t="s">
        <v>129</v>
      </c>
      <c r="AF388" t="s">
        <v>21</v>
      </c>
    </row>
    <row r="389" spans="1:32">
      <c r="A389" t="s">
        <v>1009</v>
      </c>
      <c r="B389" s="37">
        <v>39926</v>
      </c>
      <c r="C389" s="38">
        <v>39926</v>
      </c>
      <c r="D389" s="38">
        <v>39923</v>
      </c>
      <c r="E389" s="38">
        <v>39904</v>
      </c>
      <c r="F389" s="39">
        <v>21</v>
      </c>
      <c r="G389" t="s">
        <v>21</v>
      </c>
      <c r="H389" t="s">
        <v>21</v>
      </c>
      <c r="I389">
        <v>0</v>
      </c>
      <c r="J389">
        <v>0</v>
      </c>
      <c r="K389">
        <v>0</v>
      </c>
      <c r="L389">
        <v>1</v>
      </c>
      <c r="M389">
        <v>0</v>
      </c>
      <c r="N389" t="s">
        <v>193</v>
      </c>
      <c r="O389" t="s">
        <v>213</v>
      </c>
      <c r="P389" t="s">
        <v>204</v>
      </c>
      <c r="Q389" t="s">
        <v>170</v>
      </c>
      <c r="R389" t="s">
        <v>155</v>
      </c>
      <c r="T389" t="s">
        <v>134</v>
      </c>
      <c r="U389">
        <v>1</v>
      </c>
      <c r="W389" t="s">
        <v>134</v>
      </c>
      <c r="X389">
        <v>1</v>
      </c>
      <c r="Y389" t="s">
        <v>140</v>
      </c>
      <c r="Z389" t="s">
        <v>182</v>
      </c>
      <c r="AA389" t="s">
        <v>145</v>
      </c>
      <c r="AB389" t="s">
        <v>162</v>
      </c>
      <c r="AC389" t="s">
        <v>1010</v>
      </c>
      <c r="AD389" t="s">
        <v>156</v>
      </c>
      <c r="AE389" t="s">
        <v>120</v>
      </c>
      <c r="AF389" t="s">
        <v>1011</v>
      </c>
    </row>
    <row r="390" spans="1:32">
      <c r="A390" t="s">
        <v>1012</v>
      </c>
      <c r="B390" s="37">
        <v>40009</v>
      </c>
      <c r="C390" s="38">
        <v>40009</v>
      </c>
      <c r="D390" s="38">
        <v>40007</v>
      </c>
      <c r="E390" s="38">
        <v>39995</v>
      </c>
      <c r="F390" s="39">
        <v>104</v>
      </c>
      <c r="G390" t="s">
        <v>21</v>
      </c>
      <c r="H390" t="s">
        <v>21</v>
      </c>
      <c r="I390">
        <v>0</v>
      </c>
      <c r="J390">
        <v>0</v>
      </c>
      <c r="K390">
        <v>0</v>
      </c>
      <c r="L390">
        <v>1</v>
      </c>
      <c r="M390">
        <v>0</v>
      </c>
      <c r="N390" t="s">
        <v>193</v>
      </c>
      <c r="O390" t="s">
        <v>213</v>
      </c>
      <c r="P390" t="s">
        <v>204</v>
      </c>
      <c r="Q390" t="s">
        <v>170</v>
      </c>
      <c r="R390" t="s">
        <v>155</v>
      </c>
      <c r="S390">
        <v>5</v>
      </c>
      <c r="T390" t="s">
        <v>135</v>
      </c>
      <c r="U390">
        <v>0</v>
      </c>
      <c r="V390">
        <v>3</v>
      </c>
      <c r="W390" t="s">
        <v>137</v>
      </c>
      <c r="X390">
        <v>0</v>
      </c>
      <c r="Y390" t="s">
        <v>140</v>
      </c>
      <c r="Z390" t="s">
        <v>179</v>
      </c>
      <c r="AA390" t="s">
        <v>146</v>
      </c>
      <c r="AB390" t="s">
        <v>163</v>
      </c>
      <c r="AC390" t="s">
        <v>173</v>
      </c>
      <c r="AD390" t="s">
        <v>155</v>
      </c>
      <c r="AE390" t="s">
        <v>124</v>
      </c>
      <c r="AF390" t="s">
        <v>21</v>
      </c>
    </row>
    <row r="391" spans="1:32">
      <c r="A391" t="s">
        <v>1013</v>
      </c>
      <c r="B391" s="37">
        <v>39991</v>
      </c>
      <c r="C391" s="38">
        <v>39991</v>
      </c>
      <c r="D391" s="38">
        <v>39986</v>
      </c>
      <c r="E391" s="38">
        <v>39965</v>
      </c>
      <c r="F391" s="39">
        <v>86</v>
      </c>
      <c r="G391" t="s">
        <v>21</v>
      </c>
      <c r="H391" t="s">
        <v>21</v>
      </c>
      <c r="I391">
        <v>0</v>
      </c>
      <c r="J391">
        <v>0</v>
      </c>
      <c r="K391">
        <v>0</v>
      </c>
      <c r="L391">
        <v>1</v>
      </c>
      <c r="M391">
        <v>0</v>
      </c>
      <c r="N391" t="s">
        <v>196</v>
      </c>
      <c r="O391" t="s">
        <v>213</v>
      </c>
      <c r="P391" t="s">
        <v>207</v>
      </c>
      <c r="Q391" t="s">
        <v>170</v>
      </c>
      <c r="R391" t="s">
        <v>155</v>
      </c>
      <c r="T391" t="s">
        <v>134</v>
      </c>
      <c r="U391">
        <v>1</v>
      </c>
      <c r="V391">
        <v>3</v>
      </c>
      <c r="W391" t="s">
        <v>137</v>
      </c>
      <c r="X391">
        <v>0</v>
      </c>
      <c r="Y391" t="s">
        <v>139</v>
      </c>
      <c r="Z391" t="s">
        <v>179</v>
      </c>
      <c r="AA391" t="s">
        <v>146</v>
      </c>
      <c r="AB391" t="s">
        <v>162</v>
      </c>
      <c r="AC391" t="s">
        <v>175</v>
      </c>
      <c r="AD391" t="s">
        <v>155</v>
      </c>
      <c r="AE391" t="s">
        <v>130</v>
      </c>
      <c r="AF391" t="s">
        <v>21</v>
      </c>
    </row>
    <row r="392" spans="1:32">
      <c r="A392" t="s">
        <v>1014</v>
      </c>
      <c r="B392" s="37">
        <v>39934</v>
      </c>
      <c r="C392" s="38">
        <v>39934</v>
      </c>
      <c r="D392" s="38">
        <v>39930</v>
      </c>
      <c r="E392" s="38">
        <v>39934</v>
      </c>
      <c r="F392" s="39">
        <v>29</v>
      </c>
      <c r="G392" t="s">
        <v>496</v>
      </c>
      <c r="H392" t="s">
        <v>13</v>
      </c>
      <c r="I392">
        <v>0</v>
      </c>
      <c r="J392">
        <v>1</v>
      </c>
      <c r="K392">
        <v>0</v>
      </c>
      <c r="L392">
        <v>0</v>
      </c>
      <c r="M392">
        <v>1</v>
      </c>
      <c r="N392" t="s">
        <v>193</v>
      </c>
      <c r="O392" t="s">
        <v>213</v>
      </c>
      <c r="P392" t="s">
        <v>204</v>
      </c>
      <c r="Q392" t="s">
        <v>170</v>
      </c>
      <c r="R392" t="s">
        <v>155</v>
      </c>
      <c r="T392" t="s">
        <v>134</v>
      </c>
      <c r="U392">
        <v>1</v>
      </c>
      <c r="W392" t="s">
        <v>134</v>
      </c>
      <c r="X392">
        <v>1</v>
      </c>
      <c r="Y392" t="s">
        <v>140</v>
      </c>
      <c r="Z392" t="s">
        <v>186</v>
      </c>
      <c r="AA392" t="s">
        <v>145</v>
      </c>
      <c r="AB392" t="s">
        <v>163</v>
      </c>
      <c r="AC392" t="s">
        <v>173</v>
      </c>
      <c r="AD392" t="s">
        <v>155</v>
      </c>
      <c r="AE392" t="s">
        <v>124</v>
      </c>
      <c r="AF392" t="s">
        <v>21</v>
      </c>
    </row>
    <row r="393" spans="1:32">
      <c r="A393" t="s">
        <v>1015</v>
      </c>
      <c r="B393" s="37">
        <v>39999</v>
      </c>
      <c r="C393" s="38">
        <v>39999</v>
      </c>
      <c r="D393" s="38">
        <v>39993</v>
      </c>
      <c r="E393" s="38">
        <v>39995</v>
      </c>
      <c r="F393" s="39">
        <v>94</v>
      </c>
      <c r="G393" t="s">
        <v>21</v>
      </c>
      <c r="H393" t="s">
        <v>21</v>
      </c>
      <c r="I393">
        <v>0</v>
      </c>
      <c r="J393">
        <v>0</v>
      </c>
      <c r="K393">
        <v>0</v>
      </c>
      <c r="L393">
        <v>1</v>
      </c>
      <c r="M393">
        <v>0</v>
      </c>
      <c r="N393" t="s">
        <v>193</v>
      </c>
      <c r="O393" t="s">
        <v>213</v>
      </c>
      <c r="P393" t="s">
        <v>204</v>
      </c>
      <c r="Q393" t="s">
        <v>170</v>
      </c>
      <c r="R393" t="s">
        <v>155</v>
      </c>
      <c r="T393" t="s">
        <v>134</v>
      </c>
      <c r="U393">
        <v>1</v>
      </c>
      <c r="V393">
        <v>5</v>
      </c>
      <c r="W393" t="s">
        <v>135</v>
      </c>
      <c r="X393">
        <v>0</v>
      </c>
      <c r="Y393" t="s">
        <v>140</v>
      </c>
      <c r="Z393" t="s">
        <v>534</v>
      </c>
      <c r="AA393" t="s">
        <v>143</v>
      </c>
      <c r="AB393" t="s">
        <v>163</v>
      </c>
      <c r="AC393" t="s">
        <v>173</v>
      </c>
      <c r="AD393" t="s">
        <v>155</v>
      </c>
      <c r="AE393" t="s">
        <v>406</v>
      </c>
      <c r="AF393" t="s">
        <v>21</v>
      </c>
    </row>
    <row r="394" spans="1:32">
      <c r="A394" t="s">
        <v>1016</v>
      </c>
      <c r="B394" s="37">
        <v>39957</v>
      </c>
      <c r="C394" s="38">
        <v>39957</v>
      </c>
      <c r="D394" s="38">
        <v>39951</v>
      </c>
      <c r="E394" s="38">
        <v>39934</v>
      </c>
      <c r="F394" s="39">
        <v>52</v>
      </c>
      <c r="G394" t="s">
        <v>21</v>
      </c>
      <c r="H394" t="s">
        <v>21</v>
      </c>
      <c r="I394">
        <v>0</v>
      </c>
      <c r="J394">
        <v>0</v>
      </c>
      <c r="K394">
        <v>0</v>
      </c>
      <c r="L394">
        <v>1</v>
      </c>
      <c r="M394">
        <v>0</v>
      </c>
      <c r="N394" t="s">
        <v>195</v>
      </c>
      <c r="O394" t="s">
        <v>213</v>
      </c>
      <c r="P394" t="s">
        <v>206</v>
      </c>
      <c r="Q394" t="s">
        <v>170</v>
      </c>
      <c r="R394" t="s">
        <v>155</v>
      </c>
      <c r="T394" t="s">
        <v>134</v>
      </c>
      <c r="U394">
        <v>1</v>
      </c>
      <c r="W394" t="s">
        <v>134</v>
      </c>
      <c r="X394">
        <v>1</v>
      </c>
      <c r="Y394" t="s">
        <v>139</v>
      </c>
      <c r="Z394" t="s">
        <v>186</v>
      </c>
      <c r="AA394" t="s">
        <v>142</v>
      </c>
      <c r="AB394" t="s">
        <v>165</v>
      </c>
      <c r="AC394" t="s">
        <v>1017</v>
      </c>
      <c r="AD394" t="s">
        <v>158</v>
      </c>
      <c r="AE394" t="s">
        <v>122</v>
      </c>
      <c r="AF394" t="s">
        <v>21</v>
      </c>
    </row>
    <row r="395" spans="1:32">
      <c r="A395" t="s">
        <v>1018</v>
      </c>
      <c r="B395" s="37">
        <v>39965</v>
      </c>
      <c r="C395" s="38">
        <v>39965</v>
      </c>
      <c r="D395" s="38">
        <v>39965</v>
      </c>
      <c r="E395" s="38">
        <v>39965</v>
      </c>
      <c r="F395" s="39">
        <v>60</v>
      </c>
      <c r="G395" t="s">
        <v>21</v>
      </c>
      <c r="H395" t="s">
        <v>21</v>
      </c>
      <c r="I395">
        <v>0</v>
      </c>
      <c r="J395">
        <v>0</v>
      </c>
      <c r="K395">
        <v>0</v>
      </c>
      <c r="L395">
        <v>1</v>
      </c>
      <c r="M395">
        <v>0</v>
      </c>
      <c r="N395" t="s">
        <v>194</v>
      </c>
      <c r="O395" t="s">
        <v>213</v>
      </c>
      <c r="P395" t="s">
        <v>205</v>
      </c>
      <c r="Q395" t="s">
        <v>170</v>
      </c>
      <c r="R395" t="s">
        <v>155</v>
      </c>
      <c r="T395" t="s">
        <v>134</v>
      </c>
      <c r="U395">
        <v>1</v>
      </c>
      <c r="W395" t="s">
        <v>134</v>
      </c>
      <c r="X395">
        <v>1</v>
      </c>
      <c r="Y395" t="s">
        <v>139</v>
      </c>
      <c r="Z395" t="s">
        <v>191</v>
      </c>
      <c r="AA395" t="s">
        <v>143</v>
      </c>
      <c r="AB395" t="s">
        <v>163</v>
      </c>
      <c r="AC395" t="s">
        <v>1019</v>
      </c>
      <c r="AD395" t="s">
        <v>155</v>
      </c>
      <c r="AE395" t="s">
        <v>125</v>
      </c>
      <c r="AF395" t="s">
        <v>21</v>
      </c>
    </row>
    <row r="396" spans="1:32">
      <c r="A396" t="s">
        <v>1020</v>
      </c>
      <c r="B396" s="37">
        <v>39984</v>
      </c>
      <c r="C396" s="38">
        <v>39984</v>
      </c>
      <c r="D396" s="38">
        <v>39979</v>
      </c>
      <c r="E396" s="38">
        <v>39965</v>
      </c>
      <c r="F396" s="39">
        <v>79</v>
      </c>
      <c r="G396" t="s">
        <v>21</v>
      </c>
      <c r="H396" t="s">
        <v>21</v>
      </c>
      <c r="I396">
        <v>0</v>
      </c>
      <c r="J396">
        <v>0</v>
      </c>
      <c r="K396">
        <v>0</v>
      </c>
      <c r="L396">
        <v>1</v>
      </c>
      <c r="M396">
        <v>0</v>
      </c>
      <c r="N396" t="s">
        <v>194</v>
      </c>
      <c r="O396" t="s">
        <v>213</v>
      </c>
      <c r="P396" t="s">
        <v>205</v>
      </c>
      <c r="Q396" t="s">
        <v>170</v>
      </c>
      <c r="R396" t="s">
        <v>155</v>
      </c>
      <c r="T396" t="s">
        <v>134</v>
      </c>
      <c r="U396">
        <v>1</v>
      </c>
      <c r="W396" t="s">
        <v>134</v>
      </c>
      <c r="X396">
        <v>1</v>
      </c>
      <c r="Y396" t="s">
        <v>139</v>
      </c>
      <c r="Z396" t="s">
        <v>178</v>
      </c>
      <c r="AA396" t="s">
        <v>142</v>
      </c>
      <c r="AB396" t="s">
        <v>163</v>
      </c>
      <c r="AC396" t="s">
        <v>21</v>
      </c>
      <c r="AD396" t="s">
        <v>788</v>
      </c>
      <c r="AE396" t="s">
        <v>1021</v>
      </c>
      <c r="AF396" t="s">
        <v>21</v>
      </c>
    </row>
    <row r="397" spans="1:32">
      <c r="A397" t="s">
        <v>1022</v>
      </c>
      <c r="B397" s="37">
        <v>39967</v>
      </c>
      <c r="C397" s="38">
        <v>39967</v>
      </c>
      <c r="D397" s="38">
        <v>39965</v>
      </c>
      <c r="E397" s="38">
        <v>39965</v>
      </c>
      <c r="F397" s="39">
        <v>62</v>
      </c>
      <c r="G397" t="s">
        <v>21</v>
      </c>
      <c r="H397" t="s">
        <v>21</v>
      </c>
      <c r="I397">
        <v>0</v>
      </c>
      <c r="J397">
        <v>0</v>
      </c>
      <c r="K397">
        <v>0</v>
      </c>
      <c r="L397">
        <v>1</v>
      </c>
      <c r="M397">
        <v>0</v>
      </c>
      <c r="N397" t="s">
        <v>194</v>
      </c>
      <c r="O397" t="s">
        <v>213</v>
      </c>
      <c r="P397" t="s">
        <v>205</v>
      </c>
      <c r="Q397" t="s">
        <v>170</v>
      </c>
      <c r="R397" t="s">
        <v>155</v>
      </c>
      <c r="T397" t="s">
        <v>134</v>
      </c>
      <c r="U397">
        <v>1</v>
      </c>
      <c r="W397" t="s">
        <v>134</v>
      </c>
      <c r="X397">
        <v>1</v>
      </c>
      <c r="Y397" t="s">
        <v>139</v>
      </c>
      <c r="Z397" t="s">
        <v>182</v>
      </c>
      <c r="AA397" t="s">
        <v>143</v>
      </c>
      <c r="AB397" t="s">
        <v>165</v>
      </c>
      <c r="AC397" t="s">
        <v>1023</v>
      </c>
      <c r="AD397" t="s">
        <v>158</v>
      </c>
      <c r="AE397" t="s">
        <v>122</v>
      </c>
      <c r="AF397" t="s">
        <v>21</v>
      </c>
    </row>
    <row r="398" spans="1:32">
      <c r="A398" t="s">
        <v>1024</v>
      </c>
      <c r="B398" s="37">
        <v>39965</v>
      </c>
      <c r="C398" s="38">
        <v>39965</v>
      </c>
      <c r="D398" s="38">
        <v>39965</v>
      </c>
      <c r="E398" s="38">
        <v>39965</v>
      </c>
      <c r="F398" s="39">
        <v>60</v>
      </c>
      <c r="G398" t="s">
        <v>21</v>
      </c>
      <c r="H398" t="s">
        <v>21</v>
      </c>
      <c r="I398">
        <v>0</v>
      </c>
      <c r="J398">
        <v>0</v>
      </c>
      <c r="K398">
        <v>0</v>
      </c>
      <c r="L398">
        <v>1</v>
      </c>
      <c r="M398">
        <v>0</v>
      </c>
      <c r="N398" t="s">
        <v>193</v>
      </c>
      <c r="O398" t="s">
        <v>213</v>
      </c>
      <c r="P398" t="s">
        <v>204</v>
      </c>
      <c r="Q398" t="s">
        <v>170</v>
      </c>
      <c r="R398" t="s">
        <v>155</v>
      </c>
      <c r="T398" t="s">
        <v>134</v>
      </c>
      <c r="U398">
        <v>1</v>
      </c>
      <c r="W398" t="s">
        <v>134</v>
      </c>
      <c r="X398">
        <v>1</v>
      </c>
      <c r="Y398" t="s">
        <v>140</v>
      </c>
      <c r="Z398" t="s">
        <v>182</v>
      </c>
      <c r="AA398" t="s">
        <v>143</v>
      </c>
      <c r="AB398" t="s">
        <v>162</v>
      </c>
      <c r="AC398" t="s">
        <v>174</v>
      </c>
      <c r="AD398" t="s">
        <v>157</v>
      </c>
      <c r="AE398" t="s">
        <v>127</v>
      </c>
      <c r="AF398" t="s">
        <v>153</v>
      </c>
    </row>
    <row r="399" spans="1:32">
      <c r="A399" t="s">
        <v>1025</v>
      </c>
      <c r="B399" s="37">
        <v>39960</v>
      </c>
      <c r="C399" s="38">
        <v>39960</v>
      </c>
      <c r="D399" s="38">
        <v>39958</v>
      </c>
      <c r="E399" s="38">
        <v>39934</v>
      </c>
      <c r="F399" s="39">
        <v>55</v>
      </c>
      <c r="G399" t="s">
        <v>21</v>
      </c>
      <c r="H399" t="s">
        <v>21</v>
      </c>
      <c r="I399">
        <v>0</v>
      </c>
      <c r="J399">
        <v>0</v>
      </c>
      <c r="K399">
        <v>0</v>
      </c>
      <c r="L399">
        <v>1</v>
      </c>
      <c r="M399">
        <v>0</v>
      </c>
      <c r="N399" t="s">
        <v>195</v>
      </c>
      <c r="O399" t="s">
        <v>213</v>
      </c>
      <c r="P399" t="s">
        <v>206</v>
      </c>
      <c r="Q399" t="s">
        <v>170</v>
      </c>
      <c r="R399" t="s">
        <v>155</v>
      </c>
      <c r="T399" t="s">
        <v>134</v>
      </c>
      <c r="U399">
        <v>1</v>
      </c>
      <c r="W399" t="s">
        <v>134</v>
      </c>
      <c r="X399">
        <v>1</v>
      </c>
      <c r="Y399" t="s">
        <v>139</v>
      </c>
      <c r="Z399" t="s">
        <v>185</v>
      </c>
      <c r="AA399" t="s">
        <v>150</v>
      </c>
      <c r="AB399" t="s">
        <v>162</v>
      </c>
      <c r="AC399" t="s">
        <v>1026</v>
      </c>
      <c r="AD399" t="s">
        <v>156</v>
      </c>
      <c r="AE399" t="s">
        <v>120</v>
      </c>
      <c r="AF399" t="s">
        <v>1027</v>
      </c>
    </row>
    <row r="400" spans="1:32">
      <c r="A400" t="s">
        <v>1028</v>
      </c>
      <c r="B400" s="37">
        <v>39974</v>
      </c>
      <c r="C400" s="38">
        <v>39974</v>
      </c>
      <c r="D400" s="38">
        <v>39972</v>
      </c>
      <c r="E400" s="38">
        <v>39965</v>
      </c>
      <c r="F400" s="39">
        <v>69</v>
      </c>
      <c r="G400" t="s">
        <v>21</v>
      </c>
      <c r="H400" t="s">
        <v>21</v>
      </c>
      <c r="I400">
        <v>0</v>
      </c>
      <c r="J400">
        <v>0</v>
      </c>
      <c r="K400">
        <v>0</v>
      </c>
      <c r="L400">
        <v>1</v>
      </c>
      <c r="M400">
        <v>0</v>
      </c>
      <c r="N400" t="s">
        <v>195</v>
      </c>
      <c r="O400" t="s">
        <v>213</v>
      </c>
      <c r="P400" t="s">
        <v>206</v>
      </c>
      <c r="Q400" t="s">
        <v>170</v>
      </c>
      <c r="R400" t="s">
        <v>155</v>
      </c>
      <c r="T400" t="s">
        <v>134</v>
      </c>
      <c r="U400">
        <v>1</v>
      </c>
      <c r="W400" t="s">
        <v>134</v>
      </c>
      <c r="X400">
        <v>1</v>
      </c>
      <c r="Y400" t="s">
        <v>139</v>
      </c>
      <c r="Z400" t="s">
        <v>528</v>
      </c>
      <c r="AA400" t="s">
        <v>149</v>
      </c>
      <c r="AB400" t="s">
        <v>162</v>
      </c>
      <c r="AC400" t="s">
        <v>506</v>
      </c>
      <c r="AD400" t="s">
        <v>156</v>
      </c>
      <c r="AE400" t="s">
        <v>120</v>
      </c>
      <c r="AF400" t="s">
        <v>1029</v>
      </c>
    </row>
    <row r="401" spans="1:32">
      <c r="A401" t="s">
        <v>1030</v>
      </c>
      <c r="B401" s="37">
        <v>39962</v>
      </c>
      <c r="C401" s="38">
        <v>39962</v>
      </c>
      <c r="D401" s="38">
        <v>39958</v>
      </c>
      <c r="E401" s="38">
        <v>39934</v>
      </c>
      <c r="F401" s="39">
        <v>57</v>
      </c>
      <c r="G401" t="s">
        <v>21</v>
      </c>
      <c r="H401" t="s">
        <v>21</v>
      </c>
      <c r="I401">
        <v>0</v>
      </c>
      <c r="J401">
        <v>0</v>
      </c>
      <c r="K401">
        <v>0</v>
      </c>
      <c r="L401">
        <v>1</v>
      </c>
      <c r="M401">
        <v>0</v>
      </c>
      <c r="N401" t="s">
        <v>194</v>
      </c>
      <c r="O401" t="s">
        <v>213</v>
      </c>
      <c r="P401" t="s">
        <v>205</v>
      </c>
      <c r="Q401" t="s">
        <v>170</v>
      </c>
      <c r="R401" t="s">
        <v>155</v>
      </c>
      <c r="T401" t="s">
        <v>134</v>
      </c>
      <c r="U401">
        <v>1</v>
      </c>
      <c r="W401" t="s">
        <v>134</v>
      </c>
      <c r="X401">
        <v>1</v>
      </c>
      <c r="Y401" t="s">
        <v>139</v>
      </c>
      <c r="Z401" t="s">
        <v>509</v>
      </c>
      <c r="AA401" t="s">
        <v>145</v>
      </c>
      <c r="AB401" t="s">
        <v>163</v>
      </c>
      <c r="AC401" t="s">
        <v>173</v>
      </c>
      <c r="AD401" t="s">
        <v>155</v>
      </c>
      <c r="AE401" t="s">
        <v>704</v>
      </c>
      <c r="AF401" t="s">
        <v>21</v>
      </c>
    </row>
    <row r="402" spans="1:32">
      <c r="A402" t="s">
        <v>1031</v>
      </c>
      <c r="B402" s="37">
        <v>40064</v>
      </c>
      <c r="C402" s="38">
        <v>40064</v>
      </c>
      <c r="D402" s="38">
        <v>40063</v>
      </c>
      <c r="E402" s="38">
        <v>40057</v>
      </c>
      <c r="F402" s="39">
        <v>159</v>
      </c>
      <c r="G402" t="s">
        <v>383</v>
      </c>
      <c r="H402" t="s">
        <v>17</v>
      </c>
      <c r="I402">
        <v>0</v>
      </c>
      <c r="J402">
        <v>0</v>
      </c>
      <c r="K402">
        <v>1</v>
      </c>
      <c r="L402">
        <v>0</v>
      </c>
      <c r="M402">
        <v>0</v>
      </c>
      <c r="N402" t="s">
        <v>193</v>
      </c>
      <c r="O402" t="s">
        <v>213</v>
      </c>
      <c r="P402" t="s">
        <v>204</v>
      </c>
      <c r="Q402" t="s">
        <v>170</v>
      </c>
      <c r="R402" t="s">
        <v>155</v>
      </c>
      <c r="S402">
        <v>5</v>
      </c>
      <c r="T402" t="s">
        <v>135</v>
      </c>
      <c r="U402">
        <v>0</v>
      </c>
      <c r="V402">
        <v>4</v>
      </c>
      <c r="W402" t="s">
        <v>137</v>
      </c>
      <c r="X402">
        <v>0</v>
      </c>
      <c r="Y402" t="s">
        <v>140</v>
      </c>
      <c r="Z402" t="s">
        <v>528</v>
      </c>
      <c r="AA402" t="s">
        <v>146</v>
      </c>
      <c r="AB402" t="s">
        <v>163</v>
      </c>
      <c r="AC402" t="s">
        <v>1032</v>
      </c>
      <c r="AD402" t="s">
        <v>155</v>
      </c>
      <c r="AE402" t="s">
        <v>510</v>
      </c>
      <c r="AF402" t="s">
        <v>21</v>
      </c>
    </row>
    <row r="403" spans="1:32">
      <c r="A403" t="s">
        <v>1033</v>
      </c>
      <c r="B403" s="37">
        <v>40063</v>
      </c>
      <c r="C403" s="38">
        <v>40063</v>
      </c>
      <c r="D403" s="38">
        <v>40063</v>
      </c>
      <c r="E403" s="38">
        <v>40057</v>
      </c>
      <c r="F403" s="39">
        <v>158</v>
      </c>
      <c r="G403" t="s">
        <v>383</v>
      </c>
      <c r="H403" t="s">
        <v>17</v>
      </c>
      <c r="I403">
        <v>0</v>
      </c>
      <c r="J403">
        <v>0</v>
      </c>
      <c r="K403">
        <v>1</v>
      </c>
      <c r="L403">
        <v>0</v>
      </c>
      <c r="M403">
        <v>0</v>
      </c>
      <c r="N403" t="s">
        <v>195</v>
      </c>
      <c r="O403" t="s">
        <v>213</v>
      </c>
      <c r="P403" t="s">
        <v>206</v>
      </c>
      <c r="Q403" t="s">
        <v>170</v>
      </c>
      <c r="R403" t="s">
        <v>155</v>
      </c>
      <c r="S403">
        <v>1</v>
      </c>
      <c r="T403" t="s">
        <v>136</v>
      </c>
      <c r="U403">
        <v>0</v>
      </c>
      <c r="V403">
        <v>3</v>
      </c>
      <c r="W403" t="s">
        <v>137</v>
      </c>
      <c r="X403">
        <v>0</v>
      </c>
      <c r="Y403" t="s">
        <v>139</v>
      </c>
      <c r="Z403" t="s">
        <v>1034</v>
      </c>
      <c r="AA403" t="s">
        <v>142</v>
      </c>
      <c r="AB403" t="s">
        <v>162</v>
      </c>
      <c r="AC403" t="s">
        <v>175</v>
      </c>
      <c r="AD403" t="s">
        <v>125</v>
      </c>
      <c r="AE403" t="s">
        <v>628</v>
      </c>
      <c r="AF403" t="s">
        <v>629</v>
      </c>
    </row>
    <row r="404" spans="1:32">
      <c r="A404" t="s">
        <v>1035</v>
      </c>
      <c r="B404" s="37">
        <v>39988</v>
      </c>
      <c r="C404" s="38">
        <v>39988</v>
      </c>
      <c r="D404" s="38">
        <v>39986</v>
      </c>
      <c r="E404" s="38">
        <v>39965</v>
      </c>
      <c r="F404" s="39">
        <v>83</v>
      </c>
      <c r="G404" t="s">
        <v>383</v>
      </c>
      <c r="H404" t="s">
        <v>17</v>
      </c>
      <c r="I404">
        <v>0</v>
      </c>
      <c r="J404">
        <v>0</v>
      </c>
      <c r="K404">
        <v>1</v>
      </c>
      <c r="L404">
        <v>0</v>
      </c>
      <c r="M404">
        <v>0</v>
      </c>
      <c r="N404" t="s">
        <v>193</v>
      </c>
      <c r="O404" t="s">
        <v>213</v>
      </c>
      <c r="P404" t="s">
        <v>204</v>
      </c>
      <c r="Q404" t="s">
        <v>170</v>
      </c>
      <c r="R404" t="s">
        <v>155</v>
      </c>
      <c r="T404" t="s">
        <v>134</v>
      </c>
      <c r="U404">
        <v>1</v>
      </c>
      <c r="W404" t="s">
        <v>134</v>
      </c>
      <c r="X404">
        <v>1</v>
      </c>
      <c r="Y404" t="s">
        <v>140</v>
      </c>
      <c r="Z404" t="s">
        <v>1034</v>
      </c>
      <c r="AA404" t="s">
        <v>142</v>
      </c>
      <c r="AB404" t="s">
        <v>162</v>
      </c>
      <c r="AC404" t="s">
        <v>175</v>
      </c>
      <c r="AD404" t="s">
        <v>155</v>
      </c>
      <c r="AE404" t="s">
        <v>130</v>
      </c>
      <c r="AF404" t="s">
        <v>21</v>
      </c>
    </row>
    <row r="405" spans="1:32">
      <c r="A405" t="s">
        <v>1036</v>
      </c>
      <c r="B405" s="37">
        <v>40077</v>
      </c>
      <c r="C405" s="38">
        <v>40077</v>
      </c>
      <c r="D405" s="38">
        <v>40077</v>
      </c>
      <c r="E405" s="38">
        <v>40057</v>
      </c>
      <c r="F405" s="39">
        <v>172</v>
      </c>
      <c r="G405" t="s">
        <v>21</v>
      </c>
      <c r="H405" t="s">
        <v>21</v>
      </c>
      <c r="I405">
        <v>0</v>
      </c>
      <c r="J405">
        <v>0</v>
      </c>
      <c r="K405">
        <v>0</v>
      </c>
      <c r="L405">
        <v>1</v>
      </c>
      <c r="M405">
        <v>0</v>
      </c>
      <c r="N405" t="s">
        <v>193</v>
      </c>
      <c r="O405" t="s">
        <v>213</v>
      </c>
      <c r="P405" t="s">
        <v>204</v>
      </c>
      <c r="Q405" t="s">
        <v>170</v>
      </c>
      <c r="R405" t="s">
        <v>155</v>
      </c>
      <c r="S405">
        <v>5</v>
      </c>
      <c r="T405" t="s">
        <v>135</v>
      </c>
      <c r="U405">
        <v>0</v>
      </c>
      <c r="V405">
        <v>2</v>
      </c>
      <c r="W405" t="s">
        <v>136</v>
      </c>
      <c r="X405">
        <v>0</v>
      </c>
      <c r="Y405" t="s">
        <v>140</v>
      </c>
      <c r="Z405" t="s">
        <v>179</v>
      </c>
      <c r="AA405" t="s">
        <v>143</v>
      </c>
      <c r="AB405" t="s">
        <v>162</v>
      </c>
      <c r="AC405" t="s">
        <v>175</v>
      </c>
      <c r="AD405" t="s">
        <v>155</v>
      </c>
      <c r="AE405" t="s">
        <v>129</v>
      </c>
      <c r="AF405" t="s">
        <v>21</v>
      </c>
    </row>
    <row r="406" spans="1:32">
      <c r="A406" t="s">
        <v>1037</v>
      </c>
      <c r="B406" s="37">
        <v>40000</v>
      </c>
      <c r="C406" s="38">
        <v>40000</v>
      </c>
      <c r="D406" s="38">
        <v>40000</v>
      </c>
      <c r="E406" s="38">
        <v>39995</v>
      </c>
      <c r="F406" s="39">
        <v>95</v>
      </c>
      <c r="G406" t="s">
        <v>21</v>
      </c>
      <c r="H406" t="s">
        <v>21</v>
      </c>
      <c r="I406">
        <v>0</v>
      </c>
      <c r="J406">
        <v>0</v>
      </c>
      <c r="K406">
        <v>0</v>
      </c>
      <c r="L406">
        <v>1</v>
      </c>
      <c r="M406">
        <v>0</v>
      </c>
      <c r="N406" t="s">
        <v>193</v>
      </c>
      <c r="O406" t="s">
        <v>213</v>
      </c>
      <c r="P406" t="s">
        <v>204</v>
      </c>
      <c r="Q406" t="s">
        <v>170</v>
      </c>
      <c r="R406" t="s">
        <v>155</v>
      </c>
      <c r="T406" t="s">
        <v>134</v>
      </c>
      <c r="U406">
        <v>1</v>
      </c>
      <c r="V406">
        <v>5</v>
      </c>
      <c r="W406" t="s">
        <v>135</v>
      </c>
      <c r="X406">
        <v>0</v>
      </c>
      <c r="Y406" t="s">
        <v>140</v>
      </c>
      <c r="Z406" t="s">
        <v>180</v>
      </c>
      <c r="AA406" t="s">
        <v>144</v>
      </c>
      <c r="AB406" t="s">
        <v>162</v>
      </c>
      <c r="AC406" t="s">
        <v>175</v>
      </c>
      <c r="AD406" t="s">
        <v>155</v>
      </c>
      <c r="AE406" t="s">
        <v>130</v>
      </c>
      <c r="AF406" t="s">
        <v>21</v>
      </c>
    </row>
    <row r="407" spans="1:32">
      <c r="A407" t="s">
        <v>1038</v>
      </c>
      <c r="B407" s="37">
        <v>40067</v>
      </c>
      <c r="C407" s="38">
        <v>40067</v>
      </c>
      <c r="D407" s="38">
        <v>40063</v>
      </c>
      <c r="E407" s="38">
        <v>40057</v>
      </c>
      <c r="F407" s="39">
        <v>162</v>
      </c>
      <c r="G407" t="s">
        <v>21</v>
      </c>
      <c r="H407" t="s">
        <v>21</v>
      </c>
      <c r="I407">
        <v>0</v>
      </c>
      <c r="J407">
        <v>0</v>
      </c>
      <c r="K407">
        <v>0</v>
      </c>
      <c r="L407">
        <v>1</v>
      </c>
      <c r="M407">
        <v>0</v>
      </c>
      <c r="N407" t="s">
        <v>197</v>
      </c>
      <c r="O407" t="s">
        <v>213</v>
      </c>
      <c r="P407" t="s">
        <v>209</v>
      </c>
      <c r="Q407" t="s">
        <v>170</v>
      </c>
      <c r="R407" t="s">
        <v>155</v>
      </c>
      <c r="S407">
        <v>1</v>
      </c>
      <c r="T407" t="s">
        <v>136</v>
      </c>
      <c r="U407">
        <v>0</v>
      </c>
      <c r="V407">
        <v>4</v>
      </c>
      <c r="W407" t="s">
        <v>137</v>
      </c>
      <c r="X407">
        <v>0</v>
      </c>
      <c r="Y407" t="s">
        <v>139</v>
      </c>
      <c r="Z407" t="s">
        <v>180</v>
      </c>
      <c r="AA407" t="s">
        <v>150</v>
      </c>
      <c r="AB407" t="s">
        <v>162</v>
      </c>
      <c r="AC407" t="s">
        <v>174</v>
      </c>
      <c r="AD407" t="s">
        <v>159</v>
      </c>
      <c r="AE407" t="s">
        <v>123</v>
      </c>
      <c r="AF407" t="s">
        <v>123</v>
      </c>
    </row>
    <row r="408" spans="1:32">
      <c r="A408" t="s">
        <v>1039</v>
      </c>
      <c r="B408" s="37">
        <v>39945</v>
      </c>
      <c r="C408" s="38">
        <v>39945</v>
      </c>
      <c r="D408" s="38">
        <v>39944</v>
      </c>
      <c r="E408" s="38">
        <v>39934</v>
      </c>
      <c r="F408" s="39">
        <v>40</v>
      </c>
      <c r="G408" t="s">
        <v>21</v>
      </c>
      <c r="H408" t="s">
        <v>21</v>
      </c>
      <c r="I408">
        <v>0</v>
      </c>
      <c r="J408">
        <v>0</v>
      </c>
      <c r="K408">
        <v>0</v>
      </c>
      <c r="L408">
        <v>1</v>
      </c>
      <c r="M408">
        <v>0</v>
      </c>
      <c r="N408" t="s">
        <v>193</v>
      </c>
      <c r="O408" t="s">
        <v>213</v>
      </c>
      <c r="P408" t="s">
        <v>204</v>
      </c>
      <c r="Q408" t="s">
        <v>170</v>
      </c>
      <c r="R408" t="s">
        <v>155</v>
      </c>
      <c r="T408" t="s">
        <v>134</v>
      </c>
      <c r="U408">
        <v>1</v>
      </c>
      <c r="W408" t="s">
        <v>134</v>
      </c>
      <c r="X408">
        <v>1</v>
      </c>
      <c r="Y408" t="s">
        <v>140</v>
      </c>
      <c r="Z408" t="s">
        <v>182</v>
      </c>
      <c r="AA408" t="s">
        <v>149</v>
      </c>
      <c r="AB408" t="s">
        <v>163</v>
      </c>
      <c r="AC408" t="s">
        <v>173</v>
      </c>
      <c r="AD408" t="s">
        <v>155</v>
      </c>
      <c r="AE408" t="s">
        <v>125</v>
      </c>
      <c r="AF408" t="s">
        <v>21</v>
      </c>
    </row>
    <row r="409" spans="1:32">
      <c r="A409" t="s">
        <v>1040</v>
      </c>
      <c r="B409" s="37">
        <v>39911</v>
      </c>
      <c r="C409" s="38">
        <v>39911</v>
      </c>
      <c r="D409" s="38">
        <v>39909</v>
      </c>
      <c r="E409" s="38">
        <v>39904</v>
      </c>
      <c r="F409" s="39">
        <v>6</v>
      </c>
      <c r="G409" t="s">
        <v>21</v>
      </c>
      <c r="H409" t="s">
        <v>21</v>
      </c>
      <c r="I409">
        <v>0</v>
      </c>
      <c r="J409">
        <v>0</v>
      </c>
      <c r="K409">
        <v>0</v>
      </c>
      <c r="L409">
        <v>1</v>
      </c>
      <c r="M409">
        <v>0</v>
      </c>
      <c r="N409" t="s">
        <v>194</v>
      </c>
      <c r="O409" t="s">
        <v>213</v>
      </c>
      <c r="P409" t="s">
        <v>205</v>
      </c>
      <c r="Q409" t="s">
        <v>170</v>
      </c>
      <c r="R409" t="s">
        <v>155</v>
      </c>
      <c r="T409" t="s">
        <v>134</v>
      </c>
      <c r="U409">
        <v>1</v>
      </c>
      <c r="W409" t="s">
        <v>134</v>
      </c>
      <c r="X409">
        <v>1</v>
      </c>
      <c r="Y409" t="s">
        <v>139</v>
      </c>
      <c r="Z409" t="s">
        <v>180</v>
      </c>
      <c r="AA409" t="s">
        <v>145</v>
      </c>
      <c r="AB409" t="s">
        <v>162</v>
      </c>
      <c r="AC409" t="s">
        <v>174</v>
      </c>
      <c r="AD409" t="s">
        <v>156</v>
      </c>
      <c r="AE409" t="s">
        <v>120</v>
      </c>
      <c r="AF409" t="s">
        <v>851</v>
      </c>
    </row>
    <row r="410" spans="1:32">
      <c r="A410" t="s">
        <v>1041</v>
      </c>
      <c r="B410" s="37">
        <v>39980</v>
      </c>
      <c r="C410" s="38">
        <v>39980</v>
      </c>
      <c r="D410" s="38">
        <v>39979</v>
      </c>
      <c r="E410" s="38">
        <v>39965</v>
      </c>
      <c r="F410" s="39">
        <v>75</v>
      </c>
      <c r="G410" t="s">
        <v>21</v>
      </c>
      <c r="H410" t="s">
        <v>21</v>
      </c>
      <c r="I410">
        <v>0</v>
      </c>
      <c r="J410">
        <v>0</v>
      </c>
      <c r="K410">
        <v>0</v>
      </c>
      <c r="L410">
        <v>1</v>
      </c>
      <c r="M410">
        <v>0</v>
      </c>
      <c r="N410" t="s">
        <v>193</v>
      </c>
      <c r="O410" t="s">
        <v>213</v>
      </c>
      <c r="P410" t="s">
        <v>204</v>
      </c>
      <c r="Q410" t="s">
        <v>170</v>
      </c>
      <c r="R410" t="s">
        <v>155</v>
      </c>
      <c r="T410" t="s">
        <v>134</v>
      </c>
      <c r="U410">
        <v>1</v>
      </c>
      <c r="W410" t="s">
        <v>134</v>
      </c>
      <c r="X410">
        <v>1</v>
      </c>
      <c r="Y410" t="s">
        <v>140</v>
      </c>
      <c r="Z410" t="s">
        <v>391</v>
      </c>
      <c r="AA410" t="s">
        <v>142</v>
      </c>
      <c r="AB410" t="s">
        <v>163</v>
      </c>
      <c r="AC410" t="s">
        <v>1042</v>
      </c>
      <c r="AD410" t="s">
        <v>155</v>
      </c>
      <c r="AE410" t="s">
        <v>501</v>
      </c>
      <c r="AF410" t="s">
        <v>21</v>
      </c>
    </row>
    <row r="411" spans="1:32">
      <c r="A411" t="s">
        <v>1043</v>
      </c>
      <c r="B411" s="37">
        <v>40032</v>
      </c>
      <c r="C411" s="38">
        <v>40032</v>
      </c>
      <c r="D411" s="38">
        <v>40028</v>
      </c>
      <c r="E411" s="38">
        <v>40026</v>
      </c>
      <c r="F411" s="39">
        <v>127</v>
      </c>
      <c r="G411" t="s">
        <v>21</v>
      </c>
      <c r="H411" t="s">
        <v>21</v>
      </c>
      <c r="I411">
        <v>0</v>
      </c>
      <c r="J411">
        <v>0</v>
      </c>
      <c r="K411">
        <v>0</v>
      </c>
      <c r="L411">
        <v>1</v>
      </c>
      <c r="M411">
        <v>0</v>
      </c>
      <c r="N411" t="s">
        <v>195</v>
      </c>
      <c r="O411" t="s">
        <v>213</v>
      </c>
      <c r="P411" t="s">
        <v>206</v>
      </c>
      <c r="Q411" t="s">
        <v>170</v>
      </c>
      <c r="R411" t="s">
        <v>155</v>
      </c>
      <c r="S411">
        <v>1</v>
      </c>
      <c r="T411" t="s">
        <v>136</v>
      </c>
      <c r="U411">
        <v>0</v>
      </c>
      <c r="V411">
        <v>4</v>
      </c>
      <c r="W411" t="s">
        <v>137</v>
      </c>
      <c r="X411">
        <v>0</v>
      </c>
      <c r="Y411" t="s">
        <v>139</v>
      </c>
      <c r="Z411" t="s">
        <v>528</v>
      </c>
      <c r="AA411" t="s">
        <v>142</v>
      </c>
      <c r="AB411" t="s">
        <v>165</v>
      </c>
      <c r="AC411" t="s">
        <v>1044</v>
      </c>
      <c r="AD411" t="s">
        <v>158</v>
      </c>
      <c r="AE411" t="s">
        <v>122</v>
      </c>
      <c r="AF411" t="s">
        <v>21</v>
      </c>
    </row>
    <row r="412" spans="1:32">
      <c r="A412" t="s">
        <v>1045</v>
      </c>
      <c r="B412" s="37">
        <v>39933</v>
      </c>
      <c r="C412" s="38">
        <v>39933</v>
      </c>
      <c r="D412" s="38">
        <v>39930</v>
      </c>
      <c r="E412" s="38">
        <v>39904</v>
      </c>
      <c r="F412" s="39">
        <v>28</v>
      </c>
      <c r="G412" t="s">
        <v>21</v>
      </c>
      <c r="H412" t="s">
        <v>21</v>
      </c>
      <c r="I412">
        <v>0</v>
      </c>
      <c r="J412">
        <v>0</v>
      </c>
      <c r="K412">
        <v>0</v>
      </c>
      <c r="L412">
        <v>1</v>
      </c>
      <c r="M412">
        <v>0</v>
      </c>
      <c r="N412" t="s">
        <v>193</v>
      </c>
      <c r="O412" t="s">
        <v>213</v>
      </c>
      <c r="P412" t="s">
        <v>204</v>
      </c>
      <c r="Q412" t="s">
        <v>170</v>
      </c>
      <c r="R412" t="s">
        <v>155</v>
      </c>
      <c r="T412" t="s">
        <v>134</v>
      </c>
      <c r="U412">
        <v>1</v>
      </c>
      <c r="W412" t="s">
        <v>134</v>
      </c>
      <c r="X412">
        <v>1</v>
      </c>
      <c r="Y412" t="s">
        <v>140</v>
      </c>
      <c r="Z412" t="s">
        <v>534</v>
      </c>
      <c r="AA412" t="s">
        <v>145</v>
      </c>
      <c r="AB412" t="s">
        <v>162</v>
      </c>
      <c r="AC412" t="s">
        <v>175</v>
      </c>
      <c r="AD412" t="s">
        <v>159</v>
      </c>
      <c r="AE412" t="s">
        <v>126</v>
      </c>
      <c r="AF412" t="s">
        <v>601</v>
      </c>
    </row>
    <row r="413" spans="1:32">
      <c r="A413" t="s">
        <v>1046</v>
      </c>
      <c r="B413" s="37">
        <v>40082</v>
      </c>
      <c r="C413" s="38">
        <v>40082</v>
      </c>
      <c r="D413" s="38">
        <v>40077</v>
      </c>
      <c r="E413" s="38">
        <v>40057</v>
      </c>
      <c r="F413" s="39">
        <v>177</v>
      </c>
      <c r="G413" t="s">
        <v>21</v>
      </c>
      <c r="H413" t="s">
        <v>21</v>
      </c>
      <c r="I413">
        <v>0</v>
      </c>
      <c r="J413">
        <v>0</v>
      </c>
      <c r="K413">
        <v>0</v>
      </c>
      <c r="L413">
        <v>1</v>
      </c>
      <c r="M413">
        <v>0</v>
      </c>
      <c r="N413" t="s">
        <v>195</v>
      </c>
      <c r="O413" t="s">
        <v>213</v>
      </c>
      <c r="P413" t="s">
        <v>206</v>
      </c>
      <c r="Q413" t="s">
        <v>170</v>
      </c>
      <c r="R413" t="s">
        <v>155</v>
      </c>
      <c r="S413">
        <v>5</v>
      </c>
      <c r="T413" t="s">
        <v>135</v>
      </c>
      <c r="U413">
        <v>0</v>
      </c>
      <c r="V413">
        <v>3</v>
      </c>
      <c r="W413" t="s">
        <v>137</v>
      </c>
      <c r="X413">
        <v>0</v>
      </c>
      <c r="Y413" t="s">
        <v>139</v>
      </c>
      <c r="Z413" t="s">
        <v>179</v>
      </c>
      <c r="AA413" t="s">
        <v>148</v>
      </c>
      <c r="AB413" t="s">
        <v>162</v>
      </c>
      <c r="AC413" t="s">
        <v>174</v>
      </c>
      <c r="AD413" t="s">
        <v>157</v>
      </c>
      <c r="AE413" t="s">
        <v>1047</v>
      </c>
      <c r="AF413" t="s">
        <v>1048</v>
      </c>
    </row>
    <row r="414" spans="1:32">
      <c r="A414" t="s">
        <v>1049</v>
      </c>
      <c r="B414" s="37">
        <v>39922</v>
      </c>
      <c r="C414" s="38">
        <v>39922</v>
      </c>
      <c r="D414" s="38">
        <v>39916</v>
      </c>
      <c r="E414" s="38">
        <v>39904</v>
      </c>
      <c r="F414" s="39">
        <v>17</v>
      </c>
      <c r="G414" t="s">
        <v>21</v>
      </c>
      <c r="H414" t="s">
        <v>21</v>
      </c>
      <c r="I414">
        <v>0</v>
      </c>
      <c r="J414">
        <v>0</v>
      </c>
      <c r="K414">
        <v>0</v>
      </c>
      <c r="L414">
        <v>1</v>
      </c>
      <c r="M414">
        <v>0</v>
      </c>
      <c r="N414" t="s">
        <v>200</v>
      </c>
      <c r="O414" t="s">
        <v>214</v>
      </c>
      <c r="P414" t="s">
        <v>208</v>
      </c>
      <c r="Q414" t="s">
        <v>170</v>
      </c>
      <c r="R414" t="s">
        <v>155</v>
      </c>
      <c r="T414" t="s">
        <v>134</v>
      </c>
      <c r="U414">
        <v>1</v>
      </c>
      <c r="W414" t="s">
        <v>134</v>
      </c>
      <c r="X414">
        <v>1</v>
      </c>
      <c r="Y414" t="s">
        <v>139</v>
      </c>
      <c r="Z414" t="s">
        <v>447</v>
      </c>
      <c r="AA414" t="s">
        <v>147</v>
      </c>
      <c r="AB414" t="s">
        <v>162</v>
      </c>
      <c r="AC414" t="s">
        <v>174</v>
      </c>
      <c r="AD414" t="s">
        <v>156</v>
      </c>
      <c r="AE414" t="s">
        <v>120</v>
      </c>
      <c r="AF414" t="s">
        <v>427</v>
      </c>
    </row>
    <row r="415" spans="1:32">
      <c r="A415" t="s">
        <v>1050</v>
      </c>
      <c r="B415" s="37">
        <v>39980</v>
      </c>
      <c r="C415" s="38">
        <v>39980</v>
      </c>
      <c r="D415" s="38">
        <v>39979</v>
      </c>
      <c r="E415" s="38">
        <v>39965</v>
      </c>
      <c r="F415" s="39">
        <v>75</v>
      </c>
      <c r="G415" t="s">
        <v>21</v>
      </c>
      <c r="H415" t="s">
        <v>21</v>
      </c>
      <c r="I415">
        <v>0</v>
      </c>
      <c r="J415">
        <v>0</v>
      </c>
      <c r="K415">
        <v>0</v>
      </c>
      <c r="L415">
        <v>1</v>
      </c>
      <c r="M415">
        <v>0</v>
      </c>
      <c r="N415" t="s">
        <v>195</v>
      </c>
      <c r="O415" t="s">
        <v>213</v>
      </c>
      <c r="P415" t="s">
        <v>206</v>
      </c>
      <c r="Q415" t="s">
        <v>170</v>
      </c>
      <c r="R415" t="s">
        <v>155</v>
      </c>
      <c r="T415" t="s">
        <v>134</v>
      </c>
      <c r="U415">
        <v>1</v>
      </c>
      <c r="W415" t="s">
        <v>134</v>
      </c>
      <c r="X415">
        <v>1</v>
      </c>
      <c r="Y415" t="s">
        <v>139</v>
      </c>
      <c r="Z415" t="s">
        <v>186</v>
      </c>
      <c r="AA415" t="s">
        <v>148</v>
      </c>
      <c r="AB415" t="s">
        <v>163</v>
      </c>
      <c r="AC415" t="s">
        <v>173</v>
      </c>
      <c r="AD415" t="s">
        <v>155</v>
      </c>
      <c r="AE415" t="s">
        <v>130</v>
      </c>
      <c r="AF415" t="s">
        <v>21</v>
      </c>
    </row>
    <row r="416" spans="1:32">
      <c r="A416" t="s">
        <v>1051</v>
      </c>
      <c r="B416" s="37">
        <v>39980</v>
      </c>
      <c r="C416" s="38">
        <v>39980</v>
      </c>
      <c r="D416" s="38">
        <v>39979</v>
      </c>
      <c r="E416" s="38">
        <v>39965</v>
      </c>
      <c r="F416" s="39">
        <v>75</v>
      </c>
      <c r="G416" t="s">
        <v>383</v>
      </c>
      <c r="H416" t="s">
        <v>17</v>
      </c>
      <c r="I416">
        <v>0</v>
      </c>
      <c r="J416">
        <v>0</v>
      </c>
      <c r="K416">
        <v>1</v>
      </c>
      <c r="L416">
        <v>0</v>
      </c>
      <c r="M416">
        <v>0</v>
      </c>
      <c r="N416" t="s">
        <v>195</v>
      </c>
      <c r="O416" t="s">
        <v>213</v>
      </c>
      <c r="P416" t="s">
        <v>206</v>
      </c>
      <c r="Q416" t="s">
        <v>170</v>
      </c>
      <c r="R416" t="s">
        <v>155</v>
      </c>
      <c r="T416" t="s">
        <v>134</v>
      </c>
      <c r="U416">
        <v>1</v>
      </c>
      <c r="W416" t="s">
        <v>134</v>
      </c>
      <c r="X416">
        <v>1</v>
      </c>
      <c r="Y416" t="s">
        <v>139</v>
      </c>
      <c r="Z416" t="s">
        <v>182</v>
      </c>
      <c r="AA416" t="s">
        <v>143</v>
      </c>
      <c r="AB416" t="s">
        <v>163</v>
      </c>
      <c r="AC416" t="s">
        <v>173</v>
      </c>
      <c r="AD416" t="s">
        <v>155</v>
      </c>
      <c r="AE416" t="s">
        <v>130</v>
      </c>
      <c r="AF416" t="s">
        <v>21</v>
      </c>
    </row>
    <row r="417" spans="1:32">
      <c r="A417" t="s">
        <v>1052</v>
      </c>
      <c r="B417" s="37">
        <v>39972</v>
      </c>
      <c r="C417" s="38">
        <v>39972</v>
      </c>
      <c r="D417" s="38">
        <v>39972</v>
      </c>
      <c r="E417" s="38">
        <v>39965</v>
      </c>
      <c r="F417" s="39">
        <v>67</v>
      </c>
      <c r="G417" t="s">
        <v>21</v>
      </c>
      <c r="H417" t="s">
        <v>21</v>
      </c>
      <c r="I417">
        <v>0</v>
      </c>
      <c r="J417">
        <v>0</v>
      </c>
      <c r="K417">
        <v>0</v>
      </c>
      <c r="L417">
        <v>1</v>
      </c>
      <c r="M417">
        <v>0</v>
      </c>
      <c r="N417" t="s">
        <v>193</v>
      </c>
      <c r="O417" t="s">
        <v>213</v>
      </c>
      <c r="P417" t="s">
        <v>204</v>
      </c>
      <c r="Q417" t="s">
        <v>170</v>
      </c>
      <c r="R417" t="s">
        <v>155</v>
      </c>
      <c r="T417" t="s">
        <v>134</v>
      </c>
      <c r="U417">
        <v>1</v>
      </c>
      <c r="W417" t="s">
        <v>134</v>
      </c>
      <c r="X417">
        <v>1</v>
      </c>
      <c r="Y417" t="s">
        <v>140</v>
      </c>
      <c r="Z417" t="s">
        <v>178</v>
      </c>
      <c r="AA417" t="s">
        <v>143</v>
      </c>
      <c r="AB417" t="s">
        <v>165</v>
      </c>
      <c r="AC417" t="s">
        <v>589</v>
      </c>
      <c r="AD417" t="s">
        <v>158</v>
      </c>
      <c r="AE417" t="s">
        <v>122</v>
      </c>
      <c r="AF417" t="s">
        <v>21</v>
      </c>
    </row>
    <row r="418" spans="1:32">
      <c r="A418" t="s">
        <v>1053</v>
      </c>
      <c r="B418" s="37">
        <v>40039</v>
      </c>
      <c r="C418" s="38">
        <v>40039</v>
      </c>
      <c r="D418" s="38">
        <v>40035</v>
      </c>
      <c r="E418" s="38">
        <v>40026</v>
      </c>
      <c r="F418" s="39">
        <v>134</v>
      </c>
      <c r="G418" t="s">
        <v>496</v>
      </c>
      <c r="H418" t="s">
        <v>13</v>
      </c>
      <c r="I418">
        <v>0</v>
      </c>
      <c r="J418">
        <v>1</v>
      </c>
      <c r="K418">
        <v>0</v>
      </c>
      <c r="L418">
        <v>0</v>
      </c>
      <c r="M418">
        <v>1</v>
      </c>
      <c r="N418" t="s">
        <v>195</v>
      </c>
      <c r="O418" t="s">
        <v>213</v>
      </c>
      <c r="P418" t="s">
        <v>206</v>
      </c>
      <c r="Q418" t="s">
        <v>170</v>
      </c>
      <c r="R418" t="s">
        <v>155</v>
      </c>
      <c r="S418">
        <v>5</v>
      </c>
      <c r="T418" t="s">
        <v>135</v>
      </c>
      <c r="U418">
        <v>0</v>
      </c>
      <c r="V418">
        <v>5</v>
      </c>
      <c r="W418" t="s">
        <v>135</v>
      </c>
      <c r="X418">
        <v>0</v>
      </c>
      <c r="Y418" t="s">
        <v>139</v>
      </c>
      <c r="Z418" t="s">
        <v>376</v>
      </c>
      <c r="AA418" t="s">
        <v>145</v>
      </c>
      <c r="AB418" t="s">
        <v>162</v>
      </c>
      <c r="AC418" t="s">
        <v>175</v>
      </c>
      <c r="AD418" t="s">
        <v>155</v>
      </c>
      <c r="AE418" t="s">
        <v>129</v>
      </c>
      <c r="AF418" t="s">
        <v>21</v>
      </c>
    </row>
    <row r="419" spans="1:32">
      <c r="A419" t="s">
        <v>1054</v>
      </c>
      <c r="B419" s="37">
        <v>40082</v>
      </c>
      <c r="C419" s="38">
        <v>40082</v>
      </c>
      <c r="D419" s="38">
        <v>40077</v>
      </c>
      <c r="E419" s="38">
        <v>40057</v>
      </c>
      <c r="F419" s="39">
        <v>177</v>
      </c>
      <c r="G419" t="s">
        <v>21</v>
      </c>
      <c r="H419" t="s">
        <v>21</v>
      </c>
      <c r="I419">
        <v>0</v>
      </c>
      <c r="J419">
        <v>0</v>
      </c>
      <c r="K419">
        <v>0</v>
      </c>
      <c r="L419">
        <v>1</v>
      </c>
      <c r="M419">
        <v>0</v>
      </c>
      <c r="N419" t="s">
        <v>193</v>
      </c>
      <c r="O419" t="s">
        <v>213</v>
      </c>
      <c r="P419" t="s">
        <v>204</v>
      </c>
      <c r="Q419" t="s">
        <v>170</v>
      </c>
      <c r="R419" t="s">
        <v>155</v>
      </c>
      <c r="S419">
        <v>5</v>
      </c>
      <c r="T419" t="s">
        <v>135</v>
      </c>
      <c r="U419">
        <v>0</v>
      </c>
      <c r="V419">
        <v>3</v>
      </c>
      <c r="W419" t="s">
        <v>137</v>
      </c>
      <c r="X419">
        <v>0</v>
      </c>
      <c r="Y419" t="s">
        <v>140</v>
      </c>
      <c r="Z419" t="s">
        <v>184</v>
      </c>
      <c r="AA419" t="s">
        <v>149</v>
      </c>
      <c r="AB419" t="s">
        <v>162</v>
      </c>
      <c r="AC419" t="s">
        <v>174</v>
      </c>
      <c r="AD419" t="s">
        <v>1055</v>
      </c>
      <c r="AE419" t="s">
        <v>1056</v>
      </c>
      <c r="AF419" t="s">
        <v>1057</v>
      </c>
    </row>
    <row r="420" spans="1:32">
      <c r="A420" t="s">
        <v>1058</v>
      </c>
      <c r="B420" s="37">
        <v>40022</v>
      </c>
      <c r="C420" s="38">
        <v>40022</v>
      </c>
      <c r="D420" s="38">
        <v>40021</v>
      </c>
      <c r="E420" s="38">
        <v>39995</v>
      </c>
      <c r="F420" s="39">
        <v>117</v>
      </c>
      <c r="G420" t="s">
        <v>21</v>
      </c>
      <c r="H420" t="s">
        <v>21</v>
      </c>
      <c r="I420">
        <v>0</v>
      </c>
      <c r="J420">
        <v>0</v>
      </c>
      <c r="K420">
        <v>0</v>
      </c>
      <c r="L420">
        <v>1</v>
      </c>
      <c r="M420">
        <v>0</v>
      </c>
      <c r="N420" t="s">
        <v>193</v>
      </c>
      <c r="O420" t="s">
        <v>213</v>
      </c>
      <c r="P420" t="s">
        <v>204</v>
      </c>
      <c r="Q420" t="s">
        <v>170</v>
      </c>
      <c r="R420" t="s">
        <v>155</v>
      </c>
      <c r="S420">
        <v>5</v>
      </c>
      <c r="T420" t="s">
        <v>135</v>
      </c>
      <c r="U420">
        <v>0</v>
      </c>
      <c r="V420">
        <v>2</v>
      </c>
      <c r="W420" t="s">
        <v>136</v>
      </c>
      <c r="X420">
        <v>0</v>
      </c>
      <c r="Y420" t="s">
        <v>140</v>
      </c>
      <c r="Z420" t="s">
        <v>576</v>
      </c>
      <c r="AA420" t="s">
        <v>143</v>
      </c>
      <c r="AB420" t="s">
        <v>162</v>
      </c>
      <c r="AC420" t="s">
        <v>175</v>
      </c>
      <c r="AD420" t="s">
        <v>125</v>
      </c>
      <c r="AE420" t="s">
        <v>962</v>
      </c>
      <c r="AF420" t="s">
        <v>1059</v>
      </c>
    </row>
    <row r="421" spans="1:32">
      <c r="A421" t="s">
        <v>1060</v>
      </c>
      <c r="B421" s="37">
        <v>39974</v>
      </c>
      <c r="C421" s="38">
        <v>39974</v>
      </c>
      <c r="D421" s="38">
        <v>39972</v>
      </c>
      <c r="E421" s="38">
        <v>39965</v>
      </c>
      <c r="F421" s="39">
        <v>69</v>
      </c>
      <c r="G421" t="s">
        <v>383</v>
      </c>
      <c r="H421" t="s">
        <v>17</v>
      </c>
      <c r="I421">
        <v>0</v>
      </c>
      <c r="J421">
        <v>0</v>
      </c>
      <c r="K421">
        <v>1</v>
      </c>
      <c r="L421">
        <v>0</v>
      </c>
      <c r="M421">
        <v>0</v>
      </c>
      <c r="N421" t="s">
        <v>193</v>
      </c>
      <c r="O421" t="s">
        <v>213</v>
      </c>
      <c r="P421" t="s">
        <v>204</v>
      </c>
      <c r="Q421" t="s">
        <v>170</v>
      </c>
      <c r="R421" t="s">
        <v>155</v>
      </c>
      <c r="T421" t="s">
        <v>134</v>
      </c>
      <c r="U421">
        <v>1</v>
      </c>
      <c r="W421" t="s">
        <v>134</v>
      </c>
      <c r="X421">
        <v>1</v>
      </c>
      <c r="Y421" t="s">
        <v>140</v>
      </c>
      <c r="Z421" t="s">
        <v>184</v>
      </c>
      <c r="AA421" t="s">
        <v>144</v>
      </c>
      <c r="AB421" t="s">
        <v>163</v>
      </c>
      <c r="AC421" t="s">
        <v>173</v>
      </c>
      <c r="AD421" t="s">
        <v>155</v>
      </c>
      <c r="AE421" t="s">
        <v>124</v>
      </c>
      <c r="AF421" t="s">
        <v>21</v>
      </c>
    </row>
    <row r="422" spans="1:32">
      <c r="A422" t="s">
        <v>1061</v>
      </c>
      <c r="B422" s="37">
        <v>40076</v>
      </c>
      <c r="C422" s="38">
        <v>40076</v>
      </c>
      <c r="D422" s="38">
        <v>40070</v>
      </c>
      <c r="E422" s="38">
        <v>40057</v>
      </c>
      <c r="F422" s="39">
        <v>171</v>
      </c>
      <c r="G422" t="s">
        <v>21</v>
      </c>
      <c r="H422" t="s">
        <v>21</v>
      </c>
      <c r="I422">
        <v>0</v>
      </c>
      <c r="J422">
        <v>0</v>
      </c>
      <c r="K422">
        <v>0</v>
      </c>
      <c r="L422">
        <v>1</v>
      </c>
      <c r="M422">
        <v>0</v>
      </c>
      <c r="N422" t="s">
        <v>195</v>
      </c>
      <c r="O422" t="s">
        <v>213</v>
      </c>
      <c r="P422" t="s">
        <v>206</v>
      </c>
      <c r="Q422" t="s">
        <v>170</v>
      </c>
      <c r="R422" t="s">
        <v>155</v>
      </c>
      <c r="S422">
        <v>3</v>
      </c>
      <c r="T422" t="s">
        <v>137</v>
      </c>
      <c r="U422">
        <v>0</v>
      </c>
      <c r="V422">
        <v>3</v>
      </c>
      <c r="W422" t="s">
        <v>137</v>
      </c>
      <c r="X422">
        <v>0</v>
      </c>
      <c r="Y422" t="s">
        <v>139</v>
      </c>
      <c r="Z422" t="s">
        <v>179</v>
      </c>
      <c r="AA422" t="s">
        <v>143</v>
      </c>
      <c r="AB422" t="s">
        <v>162</v>
      </c>
      <c r="AC422" t="s">
        <v>175</v>
      </c>
      <c r="AD422" t="s">
        <v>155</v>
      </c>
      <c r="AE422" t="s">
        <v>129</v>
      </c>
      <c r="AF422" t="s">
        <v>21</v>
      </c>
    </row>
    <row r="423" spans="1:32">
      <c r="A423" t="s">
        <v>1062</v>
      </c>
      <c r="B423" s="37">
        <v>39934</v>
      </c>
      <c r="C423" s="38">
        <v>39934</v>
      </c>
      <c r="D423" s="38">
        <v>39930</v>
      </c>
      <c r="E423" s="38">
        <v>39934</v>
      </c>
      <c r="F423" s="39">
        <v>29</v>
      </c>
      <c r="G423" t="s">
        <v>21</v>
      </c>
      <c r="H423" t="s">
        <v>21</v>
      </c>
      <c r="I423">
        <v>0</v>
      </c>
      <c r="J423">
        <v>0</v>
      </c>
      <c r="K423">
        <v>0</v>
      </c>
      <c r="L423">
        <v>1</v>
      </c>
      <c r="M423">
        <v>0</v>
      </c>
      <c r="N423" t="s">
        <v>198</v>
      </c>
      <c r="O423" t="s">
        <v>213</v>
      </c>
      <c r="P423" t="s">
        <v>208</v>
      </c>
      <c r="Q423" t="s">
        <v>170</v>
      </c>
      <c r="R423" t="s">
        <v>155</v>
      </c>
      <c r="T423" t="s">
        <v>134</v>
      </c>
      <c r="U423">
        <v>1</v>
      </c>
      <c r="W423" t="s">
        <v>134</v>
      </c>
      <c r="X423">
        <v>1</v>
      </c>
      <c r="Y423" t="s">
        <v>139</v>
      </c>
      <c r="Z423" t="s">
        <v>179</v>
      </c>
      <c r="AA423" t="s">
        <v>143</v>
      </c>
      <c r="AB423" t="s">
        <v>162</v>
      </c>
      <c r="AC423" t="s">
        <v>459</v>
      </c>
      <c r="AD423" t="s">
        <v>155</v>
      </c>
      <c r="AE423" t="s">
        <v>130</v>
      </c>
      <c r="AF423" t="s">
        <v>21</v>
      </c>
    </row>
    <row r="424" spans="1:32">
      <c r="A424" t="s">
        <v>1063</v>
      </c>
      <c r="B424" s="37">
        <v>39959</v>
      </c>
      <c r="C424" s="38">
        <v>39959</v>
      </c>
      <c r="D424" s="38">
        <v>39958</v>
      </c>
      <c r="E424" s="38">
        <v>39934</v>
      </c>
      <c r="F424" s="39">
        <v>54</v>
      </c>
      <c r="G424" t="s">
        <v>21</v>
      </c>
      <c r="H424" t="s">
        <v>21</v>
      </c>
      <c r="I424">
        <v>0</v>
      </c>
      <c r="J424">
        <v>0</v>
      </c>
      <c r="K424">
        <v>0</v>
      </c>
      <c r="L424">
        <v>1</v>
      </c>
      <c r="M424">
        <v>0</v>
      </c>
      <c r="N424" t="s">
        <v>193</v>
      </c>
      <c r="O424" t="s">
        <v>213</v>
      </c>
      <c r="P424" t="s">
        <v>204</v>
      </c>
      <c r="Q424" t="s">
        <v>170</v>
      </c>
      <c r="R424" t="s">
        <v>155</v>
      </c>
      <c r="T424" t="s">
        <v>134</v>
      </c>
      <c r="U424">
        <v>1</v>
      </c>
      <c r="W424" t="s">
        <v>134</v>
      </c>
      <c r="X424">
        <v>1</v>
      </c>
      <c r="Y424" t="s">
        <v>140</v>
      </c>
      <c r="Z424" t="s">
        <v>179</v>
      </c>
      <c r="AA424" t="s">
        <v>150</v>
      </c>
      <c r="AB424" t="s">
        <v>162</v>
      </c>
      <c r="AC424" t="s">
        <v>573</v>
      </c>
      <c r="AD424" t="s">
        <v>155</v>
      </c>
      <c r="AE424" t="s">
        <v>129</v>
      </c>
      <c r="AF424" t="s">
        <v>21</v>
      </c>
    </row>
    <row r="425" spans="1:32">
      <c r="A425" t="s">
        <v>1064</v>
      </c>
      <c r="B425" s="37">
        <v>39982</v>
      </c>
      <c r="C425" s="38">
        <v>39982</v>
      </c>
      <c r="D425" s="38">
        <v>39979</v>
      </c>
      <c r="E425" s="38">
        <v>39965</v>
      </c>
      <c r="F425" s="39">
        <v>77</v>
      </c>
      <c r="G425" t="s">
        <v>383</v>
      </c>
      <c r="H425" t="s">
        <v>17</v>
      </c>
      <c r="I425">
        <v>0</v>
      </c>
      <c r="J425">
        <v>0</v>
      </c>
      <c r="K425">
        <v>1</v>
      </c>
      <c r="L425">
        <v>0</v>
      </c>
      <c r="M425">
        <v>0</v>
      </c>
      <c r="N425" t="s">
        <v>193</v>
      </c>
      <c r="O425" t="s">
        <v>213</v>
      </c>
      <c r="P425" t="s">
        <v>204</v>
      </c>
      <c r="Q425" t="s">
        <v>170</v>
      </c>
      <c r="R425" t="s">
        <v>155</v>
      </c>
      <c r="T425" t="s">
        <v>134</v>
      </c>
      <c r="U425">
        <v>1</v>
      </c>
      <c r="W425" t="s">
        <v>134</v>
      </c>
      <c r="X425">
        <v>1</v>
      </c>
      <c r="Y425" t="s">
        <v>140</v>
      </c>
      <c r="Z425" t="s">
        <v>181</v>
      </c>
      <c r="AA425" t="s">
        <v>148</v>
      </c>
      <c r="AB425" t="s">
        <v>163</v>
      </c>
      <c r="AC425" t="s">
        <v>173</v>
      </c>
      <c r="AD425" t="s">
        <v>155</v>
      </c>
      <c r="AE425" t="s">
        <v>130</v>
      </c>
      <c r="AF425" t="s">
        <v>21</v>
      </c>
    </row>
    <row r="426" spans="1:32">
      <c r="A426" t="s">
        <v>1065</v>
      </c>
      <c r="B426" s="37">
        <v>39916</v>
      </c>
      <c r="C426" s="38">
        <v>39916</v>
      </c>
      <c r="D426" s="38">
        <v>39916</v>
      </c>
      <c r="E426" s="38">
        <v>39904</v>
      </c>
      <c r="F426" s="39">
        <v>11</v>
      </c>
      <c r="G426" t="s">
        <v>496</v>
      </c>
      <c r="H426" t="s">
        <v>13</v>
      </c>
      <c r="I426">
        <v>0</v>
      </c>
      <c r="J426">
        <v>1</v>
      </c>
      <c r="K426">
        <v>0</v>
      </c>
      <c r="L426">
        <v>0</v>
      </c>
      <c r="M426">
        <v>1</v>
      </c>
      <c r="N426" t="s">
        <v>199</v>
      </c>
      <c r="O426" t="s">
        <v>213</v>
      </c>
      <c r="P426" t="s">
        <v>210</v>
      </c>
      <c r="Q426" t="s">
        <v>170</v>
      </c>
      <c r="R426" t="s">
        <v>155</v>
      </c>
      <c r="T426" t="s">
        <v>134</v>
      </c>
      <c r="U426">
        <v>1</v>
      </c>
      <c r="W426" t="s">
        <v>134</v>
      </c>
      <c r="X426">
        <v>1</v>
      </c>
      <c r="Y426" t="s">
        <v>139</v>
      </c>
      <c r="Z426" t="s">
        <v>178</v>
      </c>
      <c r="AA426" t="s">
        <v>147</v>
      </c>
      <c r="AB426" t="s">
        <v>165</v>
      </c>
      <c r="AC426" t="s">
        <v>614</v>
      </c>
      <c r="AD426" t="s">
        <v>158</v>
      </c>
      <c r="AE426" t="s">
        <v>122</v>
      </c>
      <c r="AF426" t="s">
        <v>21</v>
      </c>
    </row>
    <row r="427" spans="1:32">
      <c r="A427" t="s">
        <v>1066</v>
      </c>
      <c r="B427" s="37">
        <v>39965</v>
      </c>
      <c r="C427" s="38">
        <v>39965</v>
      </c>
      <c r="D427" s="38">
        <v>39965</v>
      </c>
      <c r="E427" s="38">
        <v>39965</v>
      </c>
      <c r="F427" s="39">
        <v>60</v>
      </c>
      <c r="G427" t="s">
        <v>21</v>
      </c>
      <c r="H427" t="s">
        <v>21</v>
      </c>
      <c r="I427">
        <v>0</v>
      </c>
      <c r="J427">
        <v>0</v>
      </c>
      <c r="K427">
        <v>0</v>
      </c>
      <c r="L427">
        <v>1</v>
      </c>
      <c r="M427">
        <v>0</v>
      </c>
      <c r="N427" t="s">
        <v>194</v>
      </c>
      <c r="O427" t="s">
        <v>213</v>
      </c>
      <c r="P427" t="s">
        <v>205</v>
      </c>
      <c r="Q427" t="s">
        <v>170</v>
      </c>
      <c r="R427" t="s">
        <v>155</v>
      </c>
      <c r="T427" t="s">
        <v>134</v>
      </c>
      <c r="U427">
        <v>1</v>
      </c>
      <c r="W427" t="s">
        <v>134</v>
      </c>
      <c r="X427">
        <v>1</v>
      </c>
      <c r="Y427" t="s">
        <v>139</v>
      </c>
      <c r="Z427" t="s">
        <v>187</v>
      </c>
      <c r="AA427" t="s">
        <v>145</v>
      </c>
      <c r="AB427" t="s">
        <v>165</v>
      </c>
      <c r="AC427" t="s">
        <v>1067</v>
      </c>
      <c r="AD427" t="s">
        <v>158</v>
      </c>
      <c r="AE427" t="s">
        <v>122</v>
      </c>
      <c r="AF427" t="s">
        <v>21</v>
      </c>
    </row>
    <row r="428" spans="1:32">
      <c r="A428" t="s">
        <v>1068</v>
      </c>
      <c r="B428" s="37">
        <v>39994</v>
      </c>
      <c r="C428" s="38">
        <v>39994</v>
      </c>
      <c r="D428" s="38">
        <v>39993</v>
      </c>
      <c r="E428" s="38">
        <v>39965</v>
      </c>
      <c r="F428" s="39">
        <v>89</v>
      </c>
      <c r="G428" t="s">
        <v>21</v>
      </c>
      <c r="H428" t="s">
        <v>21</v>
      </c>
      <c r="I428">
        <v>0</v>
      </c>
      <c r="J428">
        <v>0</v>
      </c>
      <c r="K428">
        <v>0</v>
      </c>
      <c r="L428">
        <v>1</v>
      </c>
      <c r="M428">
        <v>0</v>
      </c>
      <c r="N428" t="s">
        <v>197</v>
      </c>
      <c r="O428" t="s">
        <v>213</v>
      </c>
      <c r="P428" t="s">
        <v>209</v>
      </c>
      <c r="Q428" t="s">
        <v>170</v>
      </c>
      <c r="R428" t="s">
        <v>155</v>
      </c>
      <c r="T428" t="s">
        <v>134</v>
      </c>
      <c r="U428">
        <v>1</v>
      </c>
      <c r="V428">
        <v>5</v>
      </c>
      <c r="W428" t="s">
        <v>135</v>
      </c>
      <c r="X428">
        <v>0</v>
      </c>
      <c r="Y428" t="s">
        <v>139</v>
      </c>
      <c r="Z428" t="s">
        <v>184</v>
      </c>
      <c r="AA428" t="s">
        <v>144</v>
      </c>
      <c r="AB428" t="s">
        <v>163</v>
      </c>
      <c r="AC428" t="s">
        <v>415</v>
      </c>
      <c r="AD428" t="s">
        <v>155</v>
      </c>
      <c r="AE428" t="s">
        <v>125</v>
      </c>
      <c r="AF428" t="s">
        <v>21</v>
      </c>
    </row>
    <row r="429" spans="1:32">
      <c r="A429" t="s">
        <v>1069</v>
      </c>
      <c r="B429" s="37">
        <v>40036</v>
      </c>
      <c r="C429" s="38">
        <v>40036</v>
      </c>
      <c r="D429" s="38">
        <v>40035</v>
      </c>
      <c r="E429" s="38">
        <v>40026</v>
      </c>
      <c r="F429" s="39">
        <v>131</v>
      </c>
      <c r="G429" t="s">
        <v>21</v>
      </c>
      <c r="H429" t="s">
        <v>21</v>
      </c>
      <c r="I429">
        <v>0</v>
      </c>
      <c r="J429">
        <v>0</v>
      </c>
      <c r="K429">
        <v>0</v>
      </c>
      <c r="L429">
        <v>1</v>
      </c>
      <c r="M429">
        <v>0</v>
      </c>
      <c r="N429" t="s">
        <v>193</v>
      </c>
      <c r="O429" t="s">
        <v>213</v>
      </c>
      <c r="P429" t="s">
        <v>204</v>
      </c>
      <c r="Q429" t="s">
        <v>170</v>
      </c>
      <c r="R429" t="s">
        <v>155</v>
      </c>
      <c r="S429">
        <v>5</v>
      </c>
      <c r="T429" t="s">
        <v>135</v>
      </c>
      <c r="U429">
        <v>0</v>
      </c>
      <c r="V429">
        <v>3</v>
      </c>
      <c r="W429" t="s">
        <v>137</v>
      </c>
      <c r="X429">
        <v>0</v>
      </c>
      <c r="Y429" t="s">
        <v>140</v>
      </c>
      <c r="Z429" t="s">
        <v>178</v>
      </c>
      <c r="AA429" t="s">
        <v>143</v>
      </c>
      <c r="AB429" t="s">
        <v>162</v>
      </c>
      <c r="AC429" t="s">
        <v>174</v>
      </c>
      <c r="AD429" t="s">
        <v>159</v>
      </c>
      <c r="AE429" t="s">
        <v>123</v>
      </c>
      <c r="AF429" t="s">
        <v>123</v>
      </c>
    </row>
    <row r="430" spans="1:32">
      <c r="A430" t="s">
        <v>1070</v>
      </c>
      <c r="B430" s="37">
        <v>40051</v>
      </c>
      <c r="C430" s="38">
        <v>40051</v>
      </c>
      <c r="D430" s="38">
        <v>40049</v>
      </c>
      <c r="E430" s="38">
        <v>40026</v>
      </c>
      <c r="F430" s="39">
        <v>146</v>
      </c>
      <c r="G430" t="s">
        <v>9</v>
      </c>
      <c r="H430" t="s">
        <v>9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197</v>
      </c>
      <c r="O430" t="s">
        <v>213</v>
      </c>
      <c r="P430" t="s">
        <v>209</v>
      </c>
      <c r="Q430" t="s">
        <v>170</v>
      </c>
      <c r="R430" t="s">
        <v>155</v>
      </c>
      <c r="S430">
        <v>3</v>
      </c>
      <c r="T430" t="s">
        <v>137</v>
      </c>
      <c r="U430">
        <v>0</v>
      </c>
      <c r="V430">
        <v>4</v>
      </c>
      <c r="W430" t="s">
        <v>137</v>
      </c>
      <c r="X430">
        <v>0</v>
      </c>
      <c r="Y430" t="s">
        <v>139</v>
      </c>
      <c r="Z430" t="s">
        <v>384</v>
      </c>
      <c r="AA430" t="s">
        <v>146</v>
      </c>
      <c r="AB430" t="s">
        <v>162</v>
      </c>
      <c r="AC430" t="s">
        <v>174</v>
      </c>
      <c r="AD430" t="s">
        <v>160</v>
      </c>
      <c r="AE430" t="s">
        <v>126</v>
      </c>
      <c r="AF430" t="s">
        <v>1071</v>
      </c>
    </row>
    <row r="431" spans="1:32">
      <c r="A431" t="s">
        <v>1072</v>
      </c>
      <c r="B431" s="37">
        <v>39961</v>
      </c>
      <c r="C431" s="38">
        <v>39961</v>
      </c>
      <c r="D431" s="38">
        <v>39958</v>
      </c>
      <c r="E431" s="38">
        <v>39934</v>
      </c>
      <c r="F431" s="39">
        <v>56</v>
      </c>
      <c r="G431" t="s">
        <v>21</v>
      </c>
      <c r="H431" t="s">
        <v>21</v>
      </c>
      <c r="I431">
        <v>0</v>
      </c>
      <c r="J431">
        <v>0</v>
      </c>
      <c r="K431">
        <v>0</v>
      </c>
      <c r="L431">
        <v>1</v>
      </c>
      <c r="M431">
        <v>0</v>
      </c>
      <c r="N431" t="s">
        <v>194</v>
      </c>
      <c r="O431" t="s">
        <v>213</v>
      </c>
      <c r="P431" t="s">
        <v>205</v>
      </c>
      <c r="Q431" t="s">
        <v>170</v>
      </c>
      <c r="R431" t="s">
        <v>155</v>
      </c>
      <c r="T431" t="s">
        <v>134</v>
      </c>
      <c r="U431">
        <v>1</v>
      </c>
      <c r="W431" t="s">
        <v>134</v>
      </c>
      <c r="X431">
        <v>1</v>
      </c>
      <c r="Y431" t="s">
        <v>139</v>
      </c>
      <c r="Z431" t="s">
        <v>178</v>
      </c>
      <c r="AA431" t="s">
        <v>142</v>
      </c>
      <c r="AB431" t="s">
        <v>162</v>
      </c>
      <c r="AC431" t="s">
        <v>1073</v>
      </c>
      <c r="AD431" t="s">
        <v>155</v>
      </c>
      <c r="AE431" t="s">
        <v>129</v>
      </c>
      <c r="AF431" t="s">
        <v>21</v>
      </c>
    </row>
    <row r="432" spans="1:32">
      <c r="A432" t="s">
        <v>1074</v>
      </c>
      <c r="B432" s="37">
        <v>40075</v>
      </c>
      <c r="C432" s="38">
        <v>40075</v>
      </c>
      <c r="D432" s="38">
        <v>40070</v>
      </c>
      <c r="E432" s="38">
        <v>40057</v>
      </c>
      <c r="F432" s="39">
        <v>170</v>
      </c>
      <c r="G432" t="s">
        <v>496</v>
      </c>
      <c r="H432" t="s">
        <v>13</v>
      </c>
      <c r="I432">
        <v>0</v>
      </c>
      <c r="J432">
        <v>1</v>
      </c>
      <c r="K432">
        <v>0</v>
      </c>
      <c r="L432">
        <v>0</v>
      </c>
      <c r="M432">
        <v>1</v>
      </c>
      <c r="N432" t="s">
        <v>193</v>
      </c>
      <c r="O432" t="s">
        <v>213</v>
      </c>
      <c r="P432" t="s">
        <v>204</v>
      </c>
      <c r="Q432" t="s">
        <v>170</v>
      </c>
      <c r="R432" t="s">
        <v>155</v>
      </c>
      <c r="S432">
        <v>5</v>
      </c>
      <c r="T432" t="s">
        <v>135</v>
      </c>
      <c r="U432">
        <v>0</v>
      </c>
      <c r="V432">
        <v>5</v>
      </c>
      <c r="W432" t="s">
        <v>135</v>
      </c>
      <c r="X432">
        <v>0</v>
      </c>
      <c r="Y432" t="s">
        <v>140</v>
      </c>
      <c r="Z432" t="s">
        <v>179</v>
      </c>
      <c r="AA432" t="s">
        <v>148</v>
      </c>
      <c r="AB432" t="s">
        <v>162</v>
      </c>
      <c r="AC432" t="s">
        <v>174</v>
      </c>
      <c r="AD432" t="s">
        <v>157</v>
      </c>
      <c r="AE432" t="s">
        <v>1075</v>
      </c>
      <c r="AF432" t="s">
        <v>1076</v>
      </c>
    </row>
    <row r="433" spans="1:32">
      <c r="A433" t="s">
        <v>1077</v>
      </c>
      <c r="B433" s="37">
        <v>39906</v>
      </c>
      <c r="C433" s="38">
        <v>39906</v>
      </c>
      <c r="D433" s="38">
        <v>39902</v>
      </c>
      <c r="E433" s="38">
        <v>39904</v>
      </c>
      <c r="F433" s="39">
        <v>1</v>
      </c>
      <c r="G433" t="s">
        <v>21</v>
      </c>
      <c r="H433" t="s">
        <v>21</v>
      </c>
      <c r="I433">
        <v>0</v>
      </c>
      <c r="J433">
        <v>0</v>
      </c>
      <c r="K433">
        <v>0</v>
      </c>
      <c r="L433">
        <v>1</v>
      </c>
      <c r="M433">
        <v>0</v>
      </c>
      <c r="N433" t="s">
        <v>195</v>
      </c>
      <c r="O433" t="s">
        <v>213</v>
      </c>
      <c r="P433" t="s">
        <v>206</v>
      </c>
      <c r="Q433" t="s">
        <v>170</v>
      </c>
      <c r="R433" t="s">
        <v>155</v>
      </c>
      <c r="T433" t="s">
        <v>134</v>
      </c>
      <c r="U433">
        <v>1</v>
      </c>
      <c r="W433" t="s">
        <v>134</v>
      </c>
      <c r="X433">
        <v>1</v>
      </c>
      <c r="Y433" t="s">
        <v>139</v>
      </c>
      <c r="Z433" t="s">
        <v>183</v>
      </c>
      <c r="AA433" t="s">
        <v>150</v>
      </c>
      <c r="AB433" t="s">
        <v>162</v>
      </c>
      <c r="AC433" t="s">
        <v>1078</v>
      </c>
      <c r="AD433" t="s">
        <v>125</v>
      </c>
      <c r="AE433" t="s">
        <v>416</v>
      </c>
      <c r="AF433" t="s">
        <v>1079</v>
      </c>
    </row>
    <row r="434" spans="1:32">
      <c r="A434" t="s">
        <v>1080</v>
      </c>
      <c r="B434" s="37">
        <v>39973</v>
      </c>
      <c r="C434" s="38">
        <v>39973</v>
      </c>
      <c r="D434" s="38">
        <v>39972</v>
      </c>
      <c r="E434" s="38">
        <v>39965</v>
      </c>
      <c r="F434" s="39">
        <v>68</v>
      </c>
      <c r="G434" t="s">
        <v>21</v>
      </c>
      <c r="H434" t="s">
        <v>21</v>
      </c>
      <c r="I434">
        <v>0</v>
      </c>
      <c r="J434">
        <v>0</v>
      </c>
      <c r="K434">
        <v>0</v>
      </c>
      <c r="L434">
        <v>1</v>
      </c>
      <c r="M434">
        <v>0</v>
      </c>
      <c r="N434" t="s">
        <v>194</v>
      </c>
      <c r="O434" t="s">
        <v>213</v>
      </c>
      <c r="P434" t="s">
        <v>205</v>
      </c>
      <c r="Q434" t="s">
        <v>170</v>
      </c>
      <c r="R434" t="s">
        <v>155</v>
      </c>
      <c r="T434" t="s">
        <v>134</v>
      </c>
      <c r="U434">
        <v>1</v>
      </c>
      <c r="W434" t="s">
        <v>134</v>
      </c>
      <c r="X434">
        <v>1</v>
      </c>
      <c r="Y434" t="s">
        <v>139</v>
      </c>
      <c r="Z434" t="s">
        <v>409</v>
      </c>
      <c r="AA434" t="s">
        <v>145</v>
      </c>
      <c r="AB434" t="s">
        <v>163</v>
      </c>
      <c r="AC434" t="s">
        <v>173</v>
      </c>
      <c r="AD434" t="s">
        <v>155</v>
      </c>
      <c r="AE434" t="s">
        <v>125</v>
      </c>
      <c r="AF434" t="s">
        <v>21</v>
      </c>
    </row>
    <row r="435" spans="1:32">
      <c r="A435" t="s">
        <v>1081</v>
      </c>
      <c r="B435" s="37">
        <v>40069</v>
      </c>
      <c r="C435" s="38">
        <v>40069</v>
      </c>
      <c r="D435" s="38">
        <v>40063</v>
      </c>
      <c r="E435" s="38">
        <v>40057</v>
      </c>
      <c r="F435" s="39">
        <v>164</v>
      </c>
      <c r="G435" t="s">
        <v>383</v>
      </c>
      <c r="H435" t="s">
        <v>17</v>
      </c>
      <c r="I435">
        <v>0</v>
      </c>
      <c r="J435">
        <v>0</v>
      </c>
      <c r="K435">
        <v>1</v>
      </c>
      <c r="L435">
        <v>0</v>
      </c>
      <c r="M435">
        <v>0</v>
      </c>
      <c r="N435" t="s">
        <v>195</v>
      </c>
      <c r="O435" t="s">
        <v>213</v>
      </c>
      <c r="P435" t="s">
        <v>206</v>
      </c>
      <c r="Q435" t="s">
        <v>170</v>
      </c>
      <c r="R435" t="s">
        <v>155</v>
      </c>
      <c r="S435">
        <v>5</v>
      </c>
      <c r="T435" t="s">
        <v>135</v>
      </c>
      <c r="U435">
        <v>0</v>
      </c>
      <c r="V435">
        <v>3</v>
      </c>
      <c r="W435" t="s">
        <v>137</v>
      </c>
      <c r="X435">
        <v>0</v>
      </c>
      <c r="Y435" t="s">
        <v>139</v>
      </c>
      <c r="Z435" t="s">
        <v>181</v>
      </c>
      <c r="AA435" t="s">
        <v>146</v>
      </c>
      <c r="AB435" t="s">
        <v>163</v>
      </c>
      <c r="AC435" t="s">
        <v>173</v>
      </c>
      <c r="AD435" t="s">
        <v>155</v>
      </c>
      <c r="AE435" t="s">
        <v>406</v>
      </c>
      <c r="AF435" t="s">
        <v>21</v>
      </c>
    </row>
    <row r="436" spans="1:32">
      <c r="A436" t="s">
        <v>1082</v>
      </c>
      <c r="B436" s="37">
        <v>39909</v>
      </c>
      <c r="C436" s="38">
        <v>39909</v>
      </c>
      <c r="D436" s="38">
        <v>39909</v>
      </c>
      <c r="E436" s="38">
        <v>39904</v>
      </c>
      <c r="F436" s="39">
        <v>4</v>
      </c>
      <c r="G436" t="s">
        <v>21</v>
      </c>
      <c r="H436" t="s">
        <v>21</v>
      </c>
      <c r="I436">
        <v>0</v>
      </c>
      <c r="J436">
        <v>0</v>
      </c>
      <c r="K436">
        <v>0</v>
      </c>
      <c r="L436">
        <v>1</v>
      </c>
      <c r="M436">
        <v>0</v>
      </c>
      <c r="N436" t="s">
        <v>198</v>
      </c>
      <c r="O436" t="s">
        <v>213</v>
      </c>
      <c r="P436" t="s">
        <v>208</v>
      </c>
      <c r="Q436" t="s">
        <v>170</v>
      </c>
      <c r="R436" t="s">
        <v>155</v>
      </c>
      <c r="T436" t="s">
        <v>134</v>
      </c>
      <c r="U436">
        <v>1</v>
      </c>
      <c r="W436" t="s">
        <v>134</v>
      </c>
      <c r="X436">
        <v>1</v>
      </c>
      <c r="Y436" t="s">
        <v>139</v>
      </c>
      <c r="Z436" t="s">
        <v>189</v>
      </c>
      <c r="AA436" t="s">
        <v>142</v>
      </c>
      <c r="AB436" t="s">
        <v>165</v>
      </c>
      <c r="AC436" t="s">
        <v>1083</v>
      </c>
      <c r="AD436" t="s">
        <v>158</v>
      </c>
      <c r="AE436" t="s">
        <v>122</v>
      </c>
      <c r="AF436" t="s">
        <v>21</v>
      </c>
    </row>
    <row r="437" spans="1:32">
      <c r="A437" t="s">
        <v>1084</v>
      </c>
      <c r="B437" s="37">
        <v>39909</v>
      </c>
      <c r="C437" s="38">
        <v>39909</v>
      </c>
      <c r="D437" s="38">
        <v>39909</v>
      </c>
      <c r="E437" s="38">
        <v>39904</v>
      </c>
      <c r="F437" s="39">
        <v>4</v>
      </c>
      <c r="G437" t="s">
        <v>21</v>
      </c>
      <c r="H437" t="s">
        <v>21</v>
      </c>
      <c r="I437">
        <v>0</v>
      </c>
      <c r="J437">
        <v>0</v>
      </c>
      <c r="K437">
        <v>0</v>
      </c>
      <c r="L437">
        <v>1</v>
      </c>
      <c r="M437">
        <v>0</v>
      </c>
      <c r="N437" t="s">
        <v>199</v>
      </c>
      <c r="O437" t="s">
        <v>213</v>
      </c>
      <c r="P437" t="s">
        <v>210</v>
      </c>
      <c r="Q437" t="s">
        <v>170</v>
      </c>
      <c r="R437" t="s">
        <v>155</v>
      </c>
      <c r="T437" t="s">
        <v>134</v>
      </c>
      <c r="U437">
        <v>1</v>
      </c>
      <c r="W437" t="s">
        <v>134</v>
      </c>
      <c r="X437">
        <v>1</v>
      </c>
      <c r="Y437" t="s">
        <v>139</v>
      </c>
      <c r="Z437" t="s">
        <v>186</v>
      </c>
      <c r="AA437" t="s">
        <v>147</v>
      </c>
      <c r="AB437" t="s">
        <v>165</v>
      </c>
      <c r="AC437" t="s">
        <v>1085</v>
      </c>
      <c r="AD437" t="s">
        <v>158</v>
      </c>
      <c r="AE437" t="s">
        <v>122</v>
      </c>
      <c r="AF437" t="s">
        <v>21</v>
      </c>
    </row>
    <row r="438" spans="1:32">
      <c r="A438" t="s">
        <v>1086</v>
      </c>
      <c r="B438" s="37">
        <v>40015</v>
      </c>
      <c r="C438" s="38">
        <v>40015</v>
      </c>
      <c r="D438" s="38">
        <v>40014</v>
      </c>
      <c r="E438" s="38">
        <v>39995</v>
      </c>
      <c r="F438" s="39">
        <v>110</v>
      </c>
      <c r="G438" t="s">
        <v>21</v>
      </c>
      <c r="H438" t="s">
        <v>21</v>
      </c>
      <c r="I438">
        <v>0</v>
      </c>
      <c r="J438">
        <v>0</v>
      </c>
      <c r="K438">
        <v>0</v>
      </c>
      <c r="L438">
        <v>1</v>
      </c>
      <c r="M438">
        <v>0</v>
      </c>
      <c r="N438" t="s">
        <v>193</v>
      </c>
      <c r="O438" t="s">
        <v>213</v>
      </c>
      <c r="P438" t="s">
        <v>204</v>
      </c>
      <c r="Q438" t="s">
        <v>170</v>
      </c>
      <c r="R438" t="s">
        <v>155</v>
      </c>
      <c r="S438">
        <v>1</v>
      </c>
      <c r="T438" t="s">
        <v>136</v>
      </c>
      <c r="U438">
        <v>0</v>
      </c>
      <c r="V438">
        <v>2</v>
      </c>
      <c r="W438" t="s">
        <v>136</v>
      </c>
      <c r="X438">
        <v>0</v>
      </c>
      <c r="Y438" t="s">
        <v>140</v>
      </c>
      <c r="Z438" t="s">
        <v>413</v>
      </c>
      <c r="AA438" t="s">
        <v>143</v>
      </c>
      <c r="AB438" t="s">
        <v>162</v>
      </c>
      <c r="AC438" t="s">
        <v>174</v>
      </c>
      <c r="AD438" t="s">
        <v>156</v>
      </c>
      <c r="AE438" t="s">
        <v>120</v>
      </c>
      <c r="AF438" t="s">
        <v>1087</v>
      </c>
    </row>
    <row r="439" spans="1:32">
      <c r="A439" t="s">
        <v>1088</v>
      </c>
      <c r="B439" s="37">
        <v>40059</v>
      </c>
      <c r="C439" s="38">
        <v>40059</v>
      </c>
      <c r="D439" s="38">
        <v>40056</v>
      </c>
      <c r="E439" s="38">
        <v>40057</v>
      </c>
      <c r="F439" s="39">
        <v>154</v>
      </c>
      <c r="G439" t="s">
        <v>21</v>
      </c>
      <c r="H439" t="s">
        <v>21</v>
      </c>
      <c r="I439">
        <v>0</v>
      </c>
      <c r="J439">
        <v>0</v>
      </c>
      <c r="K439">
        <v>0</v>
      </c>
      <c r="L439">
        <v>1</v>
      </c>
      <c r="M439">
        <v>0</v>
      </c>
      <c r="N439" t="s">
        <v>193</v>
      </c>
      <c r="O439" t="s">
        <v>213</v>
      </c>
      <c r="P439" t="s">
        <v>204</v>
      </c>
      <c r="Q439" t="s">
        <v>170</v>
      </c>
      <c r="R439" t="s">
        <v>155</v>
      </c>
      <c r="S439">
        <v>5</v>
      </c>
      <c r="T439" t="s">
        <v>135</v>
      </c>
      <c r="U439">
        <v>0</v>
      </c>
      <c r="V439">
        <v>5</v>
      </c>
      <c r="W439" t="s">
        <v>135</v>
      </c>
      <c r="X439">
        <v>0</v>
      </c>
      <c r="Y439" t="s">
        <v>140</v>
      </c>
      <c r="Z439" t="s">
        <v>190</v>
      </c>
      <c r="AA439" t="s">
        <v>142</v>
      </c>
      <c r="AB439" t="s">
        <v>165</v>
      </c>
      <c r="AC439" t="s">
        <v>1089</v>
      </c>
      <c r="AD439" t="s">
        <v>158</v>
      </c>
      <c r="AE439" t="s">
        <v>122</v>
      </c>
      <c r="AF439" t="s">
        <v>21</v>
      </c>
    </row>
    <row r="440" spans="1:32">
      <c r="A440" t="s">
        <v>1090</v>
      </c>
      <c r="B440" s="37">
        <v>39924</v>
      </c>
      <c r="C440" s="38">
        <v>39924</v>
      </c>
      <c r="D440" s="38">
        <v>39923</v>
      </c>
      <c r="E440" s="38">
        <v>39904</v>
      </c>
      <c r="F440" s="39">
        <v>19</v>
      </c>
      <c r="G440" t="s">
        <v>21</v>
      </c>
      <c r="H440" t="s">
        <v>21</v>
      </c>
      <c r="I440">
        <v>0</v>
      </c>
      <c r="J440">
        <v>0</v>
      </c>
      <c r="K440">
        <v>0</v>
      </c>
      <c r="L440">
        <v>1</v>
      </c>
      <c r="M440">
        <v>0</v>
      </c>
      <c r="N440" t="s">
        <v>193</v>
      </c>
      <c r="O440" t="s">
        <v>213</v>
      </c>
      <c r="P440" t="s">
        <v>204</v>
      </c>
      <c r="Q440" t="s">
        <v>170</v>
      </c>
      <c r="R440" t="s">
        <v>155</v>
      </c>
      <c r="T440" t="s">
        <v>134</v>
      </c>
      <c r="U440">
        <v>1</v>
      </c>
      <c r="W440" t="s">
        <v>134</v>
      </c>
      <c r="X440">
        <v>1</v>
      </c>
      <c r="Y440" t="s">
        <v>140</v>
      </c>
      <c r="Z440" t="s">
        <v>528</v>
      </c>
      <c r="AA440" t="s">
        <v>145</v>
      </c>
      <c r="AB440" t="s">
        <v>162</v>
      </c>
      <c r="AC440" t="s">
        <v>175</v>
      </c>
      <c r="AD440" t="s">
        <v>155</v>
      </c>
      <c r="AE440" t="s">
        <v>439</v>
      </c>
      <c r="AF440" t="s">
        <v>21</v>
      </c>
    </row>
    <row r="441" spans="1:32">
      <c r="A441" t="s">
        <v>1091</v>
      </c>
      <c r="B441" s="37">
        <v>39925</v>
      </c>
      <c r="C441" s="38">
        <v>39925</v>
      </c>
      <c r="D441" s="38">
        <v>39923</v>
      </c>
      <c r="E441" s="38">
        <v>39904</v>
      </c>
      <c r="F441" s="39">
        <v>20</v>
      </c>
      <c r="G441" t="s">
        <v>380</v>
      </c>
      <c r="H441" t="s">
        <v>17</v>
      </c>
      <c r="I441">
        <v>0</v>
      </c>
      <c r="J441">
        <v>0</v>
      </c>
      <c r="K441">
        <v>1</v>
      </c>
      <c r="L441">
        <v>0</v>
      </c>
      <c r="M441">
        <v>0</v>
      </c>
      <c r="N441" t="s">
        <v>194</v>
      </c>
      <c r="O441" t="s">
        <v>213</v>
      </c>
      <c r="P441" t="s">
        <v>205</v>
      </c>
      <c r="Q441" t="s">
        <v>170</v>
      </c>
      <c r="R441" t="s">
        <v>155</v>
      </c>
      <c r="T441" t="s">
        <v>134</v>
      </c>
      <c r="U441">
        <v>1</v>
      </c>
      <c r="W441" t="s">
        <v>134</v>
      </c>
      <c r="X441">
        <v>1</v>
      </c>
      <c r="Y441" t="s">
        <v>139</v>
      </c>
      <c r="Z441" t="s">
        <v>591</v>
      </c>
      <c r="AA441" t="s">
        <v>143</v>
      </c>
      <c r="AB441" t="s">
        <v>162</v>
      </c>
      <c r="AC441" t="s">
        <v>174</v>
      </c>
      <c r="AD441" t="s">
        <v>157</v>
      </c>
      <c r="AE441" t="s">
        <v>130</v>
      </c>
      <c r="AF441" t="s">
        <v>423</v>
      </c>
    </row>
    <row r="442" spans="1:32">
      <c r="A442" t="s">
        <v>1092</v>
      </c>
      <c r="B442" s="37">
        <v>39928</v>
      </c>
      <c r="C442" s="38">
        <v>39928</v>
      </c>
      <c r="D442" s="38">
        <v>39923</v>
      </c>
      <c r="E442" s="38">
        <v>39904</v>
      </c>
      <c r="F442" s="39">
        <v>23</v>
      </c>
      <c r="G442" t="s">
        <v>21</v>
      </c>
      <c r="H442" t="s">
        <v>21</v>
      </c>
      <c r="I442">
        <v>0</v>
      </c>
      <c r="J442">
        <v>0</v>
      </c>
      <c r="K442">
        <v>0</v>
      </c>
      <c r="L442">
        <v>1</v>
      </c>
      <c r="M442">
        <v>0</v>
      </c>
      <c r="N442" t="s">
        <v>198</v>
      </c>
      <c r="O442" t="s">
        <v>213</v>
      </c>
      <c r="P442" t="s">
        <v>208</v>
      </c>
      <c r="Q442" t="s">
        <v>170</v>
      </c>
      <c r="R442" t="s">
        <v>155</v>
      </c>
      <c r="T442" t="s">
        <v>134</v>
      </c>
      <c r="U442">
        <v>1</v>
      </c>
      <c r="W442" t="s">
        <v>134</v>
      </c>
      <c r="X442">
        <v>1</v>
      </c>
      <c r="Y442" t="s">
        <v>139</v>
      </c>
      <c r="Z442" t="s">
        <v>937</v>
      </c>
      <c r="AA442" t="s">
        <v>142</v>
      </c>
      <c r="AB442" t="s">
        <v>162</v>
      </c>
      <c r="AC442" t="s">
        <v>175</v>
      </c>
      <c r="AD442" t="s">
        <v>155</v>
      </c>
      <c r="AE442" t="s">
        <v>406</v>
      </c>
      <c r="AF442" t="s">
        <v>21</v>
      </c>
    </row>
    <row r="443" spans="1:32">
      <c r="A443" t="s">
        <v>1093</v>
      </c>
      <c r="B443" s="37">
        <v>40010</v>
      </c>
      <c r="C443" s="38">
        <v>40010</v>
      </c>
      <c r="D443" s="38">
        <v>40007</v>
      </c>
      <c r="E443" s="38">
        <v>39995</v>
      </c>
      <c r="F443" s="39">
        <v>105</v>
      </c>
      <c r="G443" t="s">
        <v>383</v>
      </c>
      <c r="H443" t="s">
        <v>17</v>
      </c>
      <c r="I443">
        <v>0</v>
      </c>
      <c r="J443">
        <v>0</v>
      </c>
      <c r="K443">
        <v>1</v>
      </c>
      <c r="L443">
        <v>0</v>
      </c>
      <c r="M443">
        <v>0</v>
      </c>
      <c r="N443" t="s">
        <v>196</v>
      </c>
      <c r="O443" t="s">
        <v>213</v>
      </c>
      <c r="P443" t="s">
        <v>207</v>
      </c>
      <c r="Q443" t="s">
        <v>170</v>
      </c>
      <c r="R443" t="s">
        <v>155</v>
      </c>
      <c r="S443">
        <v>5</v>
      </c>
      <c r="T443" t="s">
        <v>135</v>
      </c>
      <c r="U443">
        <v>0</v>
      </c>
      <c r="V443">
        <v>3</v>
      </c>
      <c r="W443" t="s">
        <v>137</v>
      </c>
      <c r="X443">
        <v>0</v>
      </c>
      <c r="Y443" t="s">
        <v>139</v>
      </c>
      <c r="Z443" t="s">
        <v>528</v>
      </c>
      <c r="AA443" t="s">
        <v>142</v>
      </c>
      <c r="AB443" t="s">
        <v>162</v>
      </c>
      <c r="AC443" t="s">
        <v>174</v>
      </c>
      <c r="AD443" t="s">
        <v>157</v>
      </c>
      <c r="AE443" t="s">
        <v>434</v>
      </c>
      <c r="AF443" t="s">
        <v>435</v>
      </c>
    </row>
    <row r="444" spans="1:32">
      <c r="A444" t="s">
        <v>1094</v>
      </c>
      <c r="B444" s="37">
        <v>39952</v>
      </c>
      <c r="C444" s="38">
        <v>39952</v>
      </c>
      <c r="D444" s="38">
        <v>39951</v>
      </c>
      <c r="E444" s="38">
        <v>39934</v>
      </c>
      <c r="F444" s="39">
        <v>47</v>
      </c>
      <c r="G444" t="s">
        <v>21</v>
      </c>
      <c r="H444" t="s">
        <v>21</v>
      </c>
      <c r="I444">
        <v>0</v>
      </c>
      <c r="J444">
        <v>0</v>
      </c>
      <c r="K444">
        <v>0</v>
      </c>
      <c r="L444">
        <v>1</v>
      </c>
      <c r="M444">
        <v>0</v>
      </c>
      <c r="N444" t="s">
        <v>193</v>
      </c>
      <c r="O444" t="s">
        <v>213</v>
      </c>
      <c r="P444" t="s">
        <v>204</v>
      </c>
      <c r="Q444" t="s">
        <v>170</v>
      </c>
      <c r="R444" t="s">
        <v>155</v>
      </c>
      <c r="T444" t="s">
        <v>134</v>
      </c>
      <c r="U444">
        <v>1</v>
      </c>
      <c r="W444" t="s">
        <v>134</v>
      </c>
      <c r="X444">
        <v>1</v>
      </c>
      <c r="Y444" t="s">
        <v>140</v>
      </c>
      <c r="Z444" t="s">
        <v>179</v>
      </c>
      <c r="AA444" t="s">
        <v>147</v>
      </c>
      <c r="AB444" t="s">
        <v>163</v>
      </c>
      <c r="AC444" t="s">
        <v>173</v>
      </c>
      <c r="AD444" t="s">
        <v>155</v>
      </c>
      <c r="AE444" t="s">
        <v>454</v>
      </c>
      <c r="AF444" t="s">
        <v>21</v>
      </c>
    </row>
    <row r="445" spans="1:32">
      <c r="A445" t="s">
        <v>1095</v>
      </c>
      <c r="B445" s="37">
        <v>39946</v>
      </c>
      <c r="C445" s="38">
        <v>39946</v>
      </c>
      <c r="D445" s="38">
        <v>39944</v>
      </c>
      <c r="E445" s="38">
        <v>39934</v>
      </c>
      <c r="F445" s="39">
        <v>41</v>
      </c>
      <c r="G445" t="s">
        <v>21</v>
      </c>
      <c r="H445" t="s">
        <v>21</v>
      </c>
      <c r="I445">
        <v>0</v>
      </c>
      <c r="J445">
        <v>0</v>
      </c>
      <c r="K445">
        <v>0</v>
      </c>
      <c r="L445">
        <v>1</v>
      </c>
      <c r="M445">
        <v>0</v>
      </c>
      <c r="N445" t="s">
        <v>195</v>
      </c>
      <c r="O445" t="s">
        <v>213</v>
      </c>
      <c r="P445" t="s">
        <v>206</v>
      </c>
      <c r="Q445" t="s">
        <v>170</v>
      </c>
      <c r="R445" t="s">
        <v>155</v>
      </c>
      <c r="T445" t="s">
        <v>134</v>
      </c>
      <c r="U445">
        <v>1</v>
      </c>
      <c r="W445" t="s">
        <v>134</v>
      </c>
      <c r="X445">
        <v>1</v>
      </c>
      <c r="Y445" t="s">
        <v>139</v>
      </c>
      <c r="Z445" t="s">
        <v>182</v>
      </c>
      <c r="AA445" t="s">
        <v>143</v>
      </c>
      <c r="AB445" t="s">
        <v>163</v>
      </c>
      <c r="AC445" t="s">
        <v>173</v>
      </c>
      <c r="AD445" t="s">
        <v>155</v>
      </c>
      <c r="AE445" t="s">
        <v>692</v>
      </c>
      <c r="AF445" t="s">
        <v>21</v>
      </c>
    </row>
    <row r="446" spans="1:32">
      <c r="A446" t="s">
        <v>1096</v>
      </c>
      <c r="B446" s="37">
        <v>40053</v>
      </c>
      <c r="C446" s="38">
        <v>40053</v>
      </c>
      <c r="D446" s="38">
        <v>40049</v>
      </c>
      <c r="E446" s="38">
        <v>40026</v>
      </c>
      <c r="F446" s="39">
        <v>148</v>
      </c>
      <c r="G446" t="s">
        <v>21</v>
      </c>
      <c r="H446" t="s">
        <v>21</v>
      </c>
      <c r="I446">
        <v>0</v>
      </c>
      <c r="J446">
        <v>0</v>
      </c>
      <c r="K446">
        <v>0</v>
      </c>
      <c r="L446">
        <v>1</v>
      </c>
      <c r="M446">
        <v>0</v>
      </c>
      <c r="N446" t="s">
        <v>195</v>
      </c>
      <c r="O446" t="s">
        <v>213</v>
      </c>
      <c r="P446" t="s">
        <v>206</v>
      </c>
      <c r="Q446" t="s">
        <v>170</v>
      </c>
      <c r="R446" t="s">
        <v>155</v>
      </c>
      <c r="S446">
        <v>5</v>
      </c>
      <c r="T446" t="s">
        <v>135</v>
      </c>
      <c r="U446">
        <v>0</v>
      </c>
      <c r="V446">
        <v>5</v>
      </c>
      <c r="W446" t="s">
        <v>135</v>
      </c>
      <c r="X446">
        <v>0</v>
      </c>
      <c r="Y446" t="s">
        <v>139</v>
      </c>
      <c r="Z446" t="s">
        <v>603</v>
      </c>
      <c r="AA446" t="s">
        <v>149</v>
      </c>
      <c r="AB446" t="s">
        <v>162</v>
      </c>
      <c r="AC446" t="s">
        <v>174</v>
      </c>
      <c r="AD446" t="s">
        <v>157</v>
      </c>
      <c r="AE446" t="s">
        <v>434</v>
      </c>
      <c r="AF446" t="s">
        <v>449</v>
      </c>
    </row>
    <row r="447" spans="1:32">
      <c r="A447" t="s">
        <v>1097</v>
      </c>
      <c r="B447" s="37">
        <v>40032</v>
      </c>
      <c r="C447" s="38">
        <v>40032</v>
      </c>
      <c r="D447" s="38">
        <v>40028</v>
      </c>
      <c r="E447" s="38">
        <v>40026</v>
      </c>
      <c r="F447" s="39">
        <v>127</v>
      </c>
      <c r="G447" t="s">
        <v>21</v>
      </c>
      <c r="H447" t="s">
        <v>21</v>
      </c>
      <c r="I447">
        <v>0</v>
      </c>
      <c r="J447">
        <v>0</v>
      </c>
      <c r="K447">
        <v>0</v>
      </c>
      <c r="L447">
        <v>1</v>
      </c>
      <c r="M447">
        <v>0</v>
      </c>
      <c r="N447" t="s">
        <v>193</v>
      </c>
      <c r="O447" t="s">
        <v>213</v>
      </c>
      <c r="P447" t="s">
        <v>204</v>
      </c>
      <c r="Q447" t="s">
        <v>170</v>
      </c>
      <c r="R447" t="s">
        <v>155</v>
      </c>
      <c r="S447">
        <v>5</v>
      </c>
      <c r="T447" t="s">
        <v>135</v>
      </c>
      <c r="U447">
        <v>0</v>
      </c>
      <c r="V447">
        <v>5</v>
      </c>
      <c r="W447" t="s">
        <v>135</v>
      </c>
      <c r="X447">
        <v>0</v>
      </c>
      <c r="Y447" t="s">
        <v>140</v>
      </c>
      <c r="Z447" t="s">
        <v>1034</v>
      </c>
      <c r="AA447" t="s">
        <v>142</v>
      </c>
      <c r="AB447" t="s">
        <v>163</v>
      </c>
      <c r="AC447" t="s">
        <v>173</v>
      </c>
      <c r="AD447" t="s">
        <v>155</v>
      </c>
      <c r="AE447" t="s">
        <v>746</v>
      </c>
      <c r="AF447" t="s">
        <v>21</v>
      </c>
    </row>
    <row r="448" spans="1:32">
      <c r="A448" t="s">
        <v>1098</v>
      </c>
      <c r="B448" s="37">
        <v>39946</v>
      </c>
      <c r="C448" s="38">
        <v>39946</v>
      </c>
      <c r="D448" s="38">
        <v>39944</v>
      </c>
      <c r="E448" s="38">
        <v>39934</v>
      </c>
      <c r="F448" s="39">
        <v>41</v>
      </c>
      <c r="G448" t="s">
        <v>21</v>
      </c>
      <c r="H448" t="s">
        <v>21</v>
      </c>
      <c r="I448">
        <v>0</v>
      </c>
      <c r="J448">
        <v>0</v>
      </c>
      <c r="K448">
        <v>0</v>
      </c>
      <c r="L448">
        <v>1</v>
      </c>
      <c r="M448">
        <v>0</v>
      </c>
      <c r="N448" t="s">
        <v>194</v>
      </c>
      <c r="O448" t="s">
        <v>213</v>
      </c>
      <c r="P448" t="s">
        <v>205</v>
      </c>
      <c r="Q448" t="s">
        <v>170</v>
      </c>
      <c r="R448" t="s">
        <v>155</v>
      </c>
      <c r="T448" t="s">
        <v>134</v>
      </c>
      <c r="U448">
        <v>1</v>
      </c>
      <c r="W448" t="s">
        <v>134</v>
      </c>
      <c r="X448">
        <v>1</v>
      </c>
      <c r="Y448" t="s">
        <v>139</v>
      </c>
      <c r="Z448" t="s">
        <v>479</v>
      </c>
      <c r="AA448" t="s">
        <v>147</v>
      </c>
      <c r="AB448" t="s">
        <v>163</v>
      </c>
      <c r="AC448" t="s">
        <v>21</v>
      </c>
      <c r="AD448" t="s">
        <v>155</v>
      </c>
      <c r="AE448" t="s">
        <v>124</v>
      </c>
      <c r="AF448" t="s">
        <v>21</v>
      </c>
    </row>
    <row r="449" spans="1:32">
      <c r="A449" t="s">
        <v>1099</v>
      </c>
      <c r="B449" s="37">
        <v>39980</v>
      </c>
      <c r="C449" s="38">
        <v>39980</v>
      </c>
      <c r="D449" s="38">
        <v>39979</v>
      </c>
      <c r="E449" s="38">
        <v>39965</v>
      </c>
      <c r="F449" s="39">
        <v>75</v>
      </c>
      <c r="G449" t="s">
        <v>21</v>
      </c>
      <c r="H449" t="s">
        <v>21</v>
      </c>
      <c r="I449">
        <v>0</v>
      </c>
      <c r="J449">
        <v>0</v>
      </c>
      <c r="K449">
        <v>0</v>
      </c>
      <c r="L449">
        <v>1</v>
      </c>
      <c r="M449">
        <v>0</v>
      </c>
      <c r="N449" t="s">
        <v>195</v>
      </c>
      <c r="O449" t="s">
        <v>213</v>
      </c>
      <c r="P449" t="s">
        <v>206</v>
      </c>
      <c r="Q449" t="s">
        <v>170</v>
      </c>
      <c r="R449" t="s">
        <v>155</v>
      </c>
      <c r="T449" t="s">
        <v>134</v>
      </c>
      <c r="U449">
        <v>1</v>
      </c>
      <c r="W449" t="s">
        <v>134</v>
      </c>
      <c r="X449">
        <v>1</v>
      </c>
      <c r="Y449" t="s">
        <v>139</v>
      </c>
      <c r="Z449" t="s">
        <v>179</v>
      </c>
      <c r="AA449" t="s">
        <v>146</v>
      </c>
      <c r="AB449" t="s">
        <v>162</v>
      </c>
      <c r="AC449" t="s">
        <v>578</v>
      </c>
      <c r="AD449" t="s">
        <v>157</v>
      </c>
      <c r="AE449" t="s">
        <v>130</v>
      </c>
      <c r="AF449" t="s">
        <v>437</v>
      </c>
    </row>
    <row r="450" spans="1:32">
      <c r="A450" t="s">
        <v>1100</v>
      </c>
      <c r="B450" s="37">
        <v>40010</v>
      </c>
      <c r="C450" s="38">
        <v>40010</v>
      </c>
      <c r="D450" s="38">
        <v>40007</v>
      </c>
      <c r="E450" s="38">
        <v>39995</v>
      </c>
      <c r="F450" s="39">
        <v>105</v>
      </c>
      <c r="G450" t="s">
        <v>21</v>
      </c>
      <c r="H450" t="s">
        <v>21</v>
      </c>
      <c r="I450">
        <v>0</v>
      </c>
      <c r="J450">
        <v>0</v>
      </c>
      <c r="K450">
        <v>0</v>
      </c>
      <c r="L450">
        <v>1</v>
      </c>
      <c r="M450">
        <v>0</v>
      </c>
      <c r="N450" t="s">
        <v>194</v>
      </c>
      <c r="O450" t="s">
        <v>213</v>
      </c>
      <c r="P450" t="s">
        <v>205</v>
      </c>
      <c r="Q450" t="s">
        <v>170</v>
      </c>
      <c r="R450" t="s">
        <v>155</v>
      </c>
      <c r="S450">
        <v>2</v>
      </c>
      <c r="T450" t="s">
        <v>136</v>
      </c>
      <c r="U450">
        <v>0</v>
      </c>
      <c r="V450">
        <v>5</v>
      </c>
      <c r="W450" t="s">
        <v>135</v>
      </c>
      <c r="X450">
        <v>0</v>
      </c>
      <c r="Y450" t="s">
        <v>139</v>
      </c>
      <c r="Z450" t="s">
        <v>433</v>
      </c>
      <c r="AA450" t="s">
        <v>145</v>
      </c>
      <c r="AB450" t="s">
        <v>162</v>
      </c>
      <c r="AC450" t="s">
        <v>459</v>
      </c>
      <c r="AD450" t="s">
        <v>155</v>
      </c>
      <c r="AE450" t="s">
        <v>129</v>
      </c>
      <c r="AF450" t="s">
        <v>21</v>
      </c>
    </row>
    <row r="451" spans="1:32">
      <c r="A451" t="s">
        <v>1101</v>
      </c>
      <c r="B451" s="37">
        <v>39982</v>
      </c>
      <c r="C451" s="38">
        <v>39982</v>
      </c>
      <c r="D451" s="38">
        <v>39979</v>
      </c>
      <c r="E451" s="38">
        <v>39965</v>
      </c>
      <c r="F451" s="39">
        <v>77</v>
      </c>
      <c r="G451" t="s">
        <v>383</v>
      </c>
      <c r="H451" t="s">
        <v>17</v>
      </c>
      <c r="I451">
        <v>0</v>
      </c>
      <c r="J451">
        <v>0</v>
      </c>
      <c r="K451">
        <v>1</v>
      </c>
      <c r="L451">
        <v>0</v>
      </c>
      <c r="M451">
        <v>0</v>
      </c>
      <c r="N451" t="s">
        <v>193</v>
      </c>
      <c r="O451" t="s">
        <v>213</v>
      </c>
      <c r="P451" t="s">
        <v>204</v>
      </c>
      <c r="Q451" t="s">
        <v>170</v>
      </c>
      <c r="R451" t="s">
        <v>155</v>
      </c>
      <c r="T451" t="s">
        <v>134</v>
      </c>
      <c r="U451">
        <v>1</v>
      </c>
      <c r="W451" t="s">
        <v>134</v>
      </c>
      <c r="X451">
        <v>1</v>
      </c>
      <c r="Y451" t="s">
        <v>140</v>
      </c>
      <c r="Z451" t="s">
        <v>180</v>
      </c>
      <c r="AA451" t="s">
        <v>144</v>
      </c>
      <c r="AB451" t="s">
        <v>163</v>
      </c>
      <c r="AC451" t="s">
        <v>173</v>
      </c>
      <c r="AD451" t="s">
        <v>155</v>
      </c>
      <c r="AE451" t="s">
        <v>127</v>
      </c>
      <c r="AF451" t="s">
        <v>21</v>
      </c>
    </row>
    <row r="452" spans="1:32">
      <c r="A452" t="s">
        <v>1102</v>
      </c>
      <c r="B452" s="37">
        <v>39917</v>
      </c>
      <c r="C452" s="38">
        <v>39917</v>
      </c>
      <c r="D452" s="38">
        <v>39916</v>
      </c>
      <c r="E452" s="38">
        <v>39904</v>
      </c>
      <c r="F452" s="39">
        <v>12</v>
      </c>
      <c r="G452" t="s">
        <v>380</v>
      </c>
      <c r="H452" t="s">
        <v>17</v>
      </c>
      <c r="I452">
        <v>0</v>
      </c>
      <c r="J452">
        <v>0</v>
      </c>
      <c r="K452">
        <v>1</v>
      </c>
      <c r="L452">
        <v>0</v>
      </c>
      <c r="M452">
        <v>0</v>
      </c>
      <c r="N452" t="s">
        <v>199</v>
      </c>
      <c r="O452" t="s">
        <v>213</v>
      </c>
      <c r="P452" t="s">
        <v>210</v>
      </c>
      <c r="Q452" t="s">
        <v>170</v>
      </c>
      <c r="R452" t="s">
        <v>155</v>
      </c>
      <c r="T452" t="s">
        <v>134</v>
      </c>
      <c r="U452">
        <v>1</v>
      </c>
      <c r="W452" t="s">
        <v>134</v>
      </c>
      <c r="X452">
        <v>1</v>
      </c>
      <c r="Y452" t="s">
        <v>139</v>
      </c>
      <c r="Z452" t="s">
        <v>528</v>
      </c>
      <c r="AA452" t="s">
        <v>142</v>
      </c>
      <c r="AB452" t="s">
        <v>163</v>
      </c>
      <c r="AC452" t="s">
        <v>173</v>
      </c>
      <c r="AD452" t="s">
        <v>155</v>
      </c>
      <c r="AE452" t="s">
        <v>704</v>
      </c>
      <c r="AF452" t="s">
        <v>21</v>
      </c>
    </row>
    <row r="453" spans="1:32">
      <c r="A453" t="s">
        <v>1103</v>
      </c>
      <c r="B453" s="37">
        <v>40080</v>
      </c>
      <c r="C453" s="38">
        <v>40080</v>
      </c>
      <c r="D453" s="38">
        <v>40077</v>
      </c>
      <c r="E453" s="38">
        <v>40057</v>
      </c>
      <c r="F453" s="39">
        <v>175</v>
      </c>
      <c r="G453" t="s">
        <v>21</v>
      </c>
      <c r="H453" t="s">
        <v>21</v>
      </c>
      <c r="I453">
        <v>0</v>
      </c>
      <c r="J453">
        <v>0</v>
      </c>
      <c r="K453">
        <v>0</v>
      </c>
      <c r="L453">
        <v>1</v>
      </c>
      <c r="M453">
        <v>0</v>
      </c>
      <c r="N453" t="s">
        <v>195</v>
      </c>
      <c r="O453" t="s">
        <v>213</v>
      </c>
      <c r="P453" t="s">
        <v>206</v>
      </c>
      <c r="Q453" t="s">
        <v>170</v>
      </c>
      <c r="R453" t="s">
        <v>155</v>
      </c>
      <c r="S453">
        <v>5</v>
      </c>
      <c r="T453" t="s">
        <v>135</v>
      </c>
      <c r="U453">
        <v>0</v>
      </c>
      <c r="V453">
        <v>4</v>
      </c>
      <c r="W453" t="s">
        <v>137</v>
      </c>
      <c r="X453">
        <v>0</v>
      </c>
      <c r="Y453" t="s">
        <v>139</v>
      </c>
      <c r="Z453" t="s">
        <v>191</v>
      </c>
      <c r="AA453" t="s">
        <v>150</v>
      </c>
      <c r="AB453" t="s">
        <v>162</v>
      </c>
      <c r="AC453" t="s">
        <v>174</v>
      </c>
      <c r="AD453" t="s">
        <v>157</v>
      </c>
      <c r="AE453" t="s">
        <v>434</v>
      </c>
      <c r="AF453" t="s">
        <v>435</v>
      </c>
    </row>
    <row r="454" spans="1:32">
      <c r="A454" t="s">
        <v>1104</v>
      </c>
      <c r="B454" s="37">
        <v>40007</v>
      </c>
      <c r="C454" s="38">
        <v>40007</v>
      </c>
      <c r="D454" s="38">
        <v>40007</v>
      </c>
      <c r="E454" s="38">
        <v>39995</v>
      </c>
      <c r="F454" s="39">
        <v>102</v>
      </c>
      <c r="G454" t="s">
        <v>525</v>
      </c>
      <c r="H454" t="s">
        <v>17</v>
      </c>
      <c r="I454">
        <v>0</v>
      </c>
      <c r="J454">
        <v>0</v>
      </c>
      <c r="K454">
        <v>1</v>
      </c>
      <c r="L454">
        <v>0</v>
      </c>
      <c r="M454">
        <v>0</v>
      </c>
      <c r="N454" t="s">
        <v>194</v>
      </c>
      <c r="O454" t="s">
        <v>213</v>
      </c>
      <c r="P454" t="s">
        <v>205</v>
      </c>
      <c r="Q454" t="s">
        <v>170</v>
      </c>
      <c r="R454" t="s">
        <v>155</v>
      </c>
      <c r="S454">
        <v>5</v>
      </c>
      <c r="T454" t="s">
        <v>135</v>
      </c>
      <c r="U454">
        <v>0</v>
      </c>
      <c r="V454">
        <v>5</v>
      </c>
      <c r="W454" t="s">
        <v>135</v>
      </c>
      <c r="X454">
        <v>0</v>
      </c>
      <c r="Y454" t="s">
        <v>139</v>
      </c>
      <c r="Z454" t="s">
        <v>180</v>
      </c>
      <c r="AA454" t="s">
        <v>144</v>
      </c>
      <c r="AB454" t="s">
        <v>162</v>
      </c>
      <c r="AC454" t="s">
        <v>1105</v>
      </c>
      <c r="AD454" t="s">
        <v>155</v>
      </c>
      <c r="AE454" t="s">
        <v>130</v>
      </c>
      <c r="AF454" t="s">
        <v>21</v>
      </c>
    </row>
    <row r="455" spans="1:32">
      <c r="A455" t="s">
        <v>1106</v>
      </c>
      <c r="B455" s="37">
        <v>39937</v>
      </c>
      <c r="C455" s="38">
        <v>39937</v>
      </c>
      <c r="D455" s="38">
        <v>39937</v>
      </c>
      <c r="E455" s="38">
        <v>39934</v>
      </c>
      <c r="F455" s="39">
        <v>32</v>
      </c>
      <c r="G455" t="s">
        <v>21</v>
      </c>
      <c r="H455" t="s">
        <v>21</v>
      </c>
      <c r="I455">
        <v>0</v>
      </c>
      <c r="J455">
        <v>0</v>
      </c>
      <c r="K455">
        <v>0</v>
      </c>
      <c r="L455">
        <v>1</v>
      </c>
      <c r="M455">
        <v>0</v>
      </c>
      <c r="N455" t="s">
        <v>202</v>
      </c>
      <c r="O455" t="s">
        <v>213</v>
      </c>
      <c r="P455" t="s">
        <v>211</v>
      </c>
      <c r="Q455" t="s">
        <v>170</v>
      </c>
      <c r="R455" t="s">
        <v>155</v>
      </c>
      <c r="T455" t="s">
        <v>134</v>
      </c>
      <c r="U455">
        <v>1</v>
      </c>
      <c r="W455" t="s">
        <v>134</v>
      </c>
      <c r="X455">
        <v>1</v>
      </c>
      <c r="Y455" t="s">
        <v>139</v>
      </c>
      <c r="Z455" t="s">
        <v>178</v>
      </c>
      <c r="AA455" t="s">
        <v>145</v>
      </c>
      <c r="AB455" t="s">
        <v>163</v>
      </c>
      <c r="AC455" t="s">
        <v>173</v>
      </c>
      <c r="AD455" t="s">
        <v>155</v>
      </c>
      <c r="AE455" t="s">
        <v>406</v>
      </c>
      <c r="AF455" t="s">
        <v>21</v>
      </c>
    </row>
    <row r="456" spans="1:32">
      <c r="A456" t="s">
        <v>1107</v>
      </c>
      <c r="B456" s="37">
        <v>40056</v>
      </c>
      <c r="C456" s="38">
        <v>40056</v>
      </c>
      <c r="D456" s="38">
        <v>40056</v>
      </c>
      <c r="E456" s="38">
        <v>40026</v>
      </c>
      <c r="F456" s="39">
        <v>151</v>
      </c>
      <c r="G456" t="s">
        <v>21</v>
      </c>
      <c r="H456" t="s">
        <v>21</v>
      </c>
      <c r="I456">
        <v>0</v>
      </c>
      <c r="J456">
        <v>0</v>
      </c>
      <c r="K456">
        <v>0</v>
      </c>
      <c r="L456">
        <v>1</v>
      </c>
      <c r="M456">
        <v>0</v>
      </c>
      <c r="N456" t="s">
        <v>195</v>
      </c>
      <c r="O456" t="s">
        <v>213</v>
      </c>
      <c r="P456" t="s">
        <v>206</v>
      </c>
      <c r="Q456" t="s">
        <v>170</v>
      </c>
      <c r="R456" t="s">
        <v>155</v>
      </c>
      <c r="S456">
        <v>5</v>
      </c>
      <c r="T456" t="s">
        <v>135</v>
      </c>
      <c r="U456">
        <v>0</v>
      </c>
      <c r="V456">
        <v>5</v>
      </c>
      <c r="W456" t="s">
        <v>135</v>
      </c>
      <c r="X456">
        <v>0</v>
      </c>
      <c r="Y456" t="s">
        <v>139</v>
      </c>
      <c r="Z456" t="s">
        <v>528</v>
      </c>
      <c r="AA456" t="s">
        <v>148</v>
      </c>
      <c r="AB456" t="s">
        <v>162</v>
      </c>
      <c r="AC456" t="s">
        <v>174</v>
      </c>
      <c r="AD456" t="s">
        <v>159</v>
      </c>
      <c r="AE456" t="s">
        <v>123</v>
      </c>
      <c r="AF456" t="s">
        <v>123</v>
      </c>
    </row>
    <row r="457" spans="1:32">
      <c r="A457" t="s">
        <v>1108</v>
      </c>
      <c r="B457" s="37">
        <v>40002</v>
      </c>
      <c r="C457" s="38">
        <v>40002</v>
      </c>
      <c r="D457" s="38">
        <v>40000</v>
      </c>
      <c r="E457" s="38">
        <v>39995</v>
      </c>
      <c r="F457" s="39">
        <v>97</v>
      </c>
      <c r="G457" t="s">
        <v>21</v>
      </c>
      <c r="H457" t="s">
        <v>21</v>
      </c>
      <c r="I457">
        <v>0</v>
      </c>
      <c r="J457">
        <v>0</v>
      </c>
      <c r="K457">
        <v>0</v>
      </c>
      <c r="L457">
        <v>1</v>
      </c>
      <c r="M457">
        <v>0</v>
      </c>
      <c r="N457" t="s">
        <v>196</v>
      </c>
      <c r="O457" t="s">
        <v>213</v>
      </c>
      <c r="P457" t="s">
        <v>207</v>
      </c>
      <c r="Q457" t="s">
        <v>170</v>
      </c>
      <c r="R457" t="s">
        <v>155</v>
      </c>
      <c r="T457" t="s">
        <v>134</v>
      </c>
      <c r="U457">
        <v>1</v>
      </c>
      <c r="V457">
        <v>3</v>
      </c>
      <c r="W457" t="s">
        <v>137</v>
      </c>
      <c r="X457">
        <v>0</v>
      </c>
      <c r="Y457" t="s">
        <v>139</v>
      </c>
      <c r="Z457" t="s">
        <v>184</v>
      </c>
      <c r="AA457" t="s">
        <v>151</v>
      </c>
      <c r="AB457" t="s">
        <v>162</v>
      </c>
      <c r="AC457" t="s">
        <v>175</v>
      </c>
      <c r="AD457" t="s">
        <v>155</v>
      </c>
      <c r="AE457" t="s">
        <v>130</v>
      </c>
      <c r="AF457" t="s">
        <v>21</v>
      </c>
    </row>
    <row r="458" spans="1:32">
      <c r="A458" t="s">
        <v>1109</v>
      </c>
      <c r="B458" s="37">
        <v>39994</v>
      </c>
      <c r="C458" s="38">
        <v>39994</v>
      </c>
      <c r="D458" s="38">
        <v>39993</v>
      </c>
      <c r="E458" s="38">
        <v>39965</v>
      </c>
      <c r="F458" s="39">
        <v>89</v>
      </c>
      <c r="G458" t="s">
        <v>21</v>
      </c>
      <c r="H458" t="s">
        <v>21</v>
      </c>
      <c r="I458">
        <v>0</v>
      </c>
      <c r="J458">
        <v>0</v>
      </c>
      <c r="K458">
        <v>0</v>
      </c>
      <c r="L458">
        <v>1</v>
      </c>
      <c r="M458">
        <v>0</v>
      </c>
      <c r="N458" t="s">
        <v>193</v>
      </c>
      <c r="O458" t="s">
        <v>213</v>
      </c>
      <c r="P458" t="s">
        <v>204</v>
      </c>
      <c r="Q458" t="s">
        <v>170</v>
      </c>
      <c r="R458" t="s">
        <v>155</v>
      </c>
      <c r="T458" t="s">
        <v>134</v>
      </c>
      <c r="U458">
        <v>1</v>
      </c>
      <c r="V458">
        <v>3</v>
      </c>
      <c r="W458" t="s">
        <v>137</v>
      </c>
      <c r="X458">
        <v>0</v>
      </c>
      <c r="Y458" t="s">
        <v>140</v>
      </c>
      <c r="Z458" t="s">
        <v>179</v>
      </c>
      <c r="AA458" t="s">
        <v>142</v>
      </c>
      <c r="AB458" t="s">
        <v>162</v>
      </c>
      <c r="AC458" t="s">
        <v>622</v>
      </c>
      <c r="AD458" t="s">
        <v>155</v>
      </c>
      <c r="AE458" t="s">
        <v>130</v>
      </c>
      <c r="AF458" t="s">
        <v>21</v>
      </c>
    </row>
    <row r="459" spans="1:32">
      <c r="A459" t="s">
        <v>1110</v>
      </c>
      <c r="B459" s="37">
        <v>39944</v>
      </c>
      <c r="C459" s="38">
        <v>39944</v>
      </c>
      <c r="D459" s="38">
        <v>39944</v>
      </c>
      <c r="E459" s="38">
        <v>39934</v>
      </c>
      <c r="F459" s="39">
        <v>39</v>
      </c>
      <c r="G459" t="s">
        <v>21</v>
      </c>
      <c r="H459" t="s">
        <v>21</v>
      </c>
      <c r="I459">
        <v>0</v>
      </c>
      <c r="J459">
        <v>0</v>
      </c>
      <c r="K459">
        <v>0</v>
      </c>
      <c r="L459">
        <v>1</v>
      </c>
      <c r="M459">
        <v>0</v>
      </c>
      <c r="N459" t="s">
        <v>195</v>
      </c>
      <c r="O459" t="s">
        <v>213</v>
      </c>
      <c r="P459" t="s">
        <v>206</v>
      </c>
      <c r="Q459" t="s">
        <v>170</v>
      </c>
      <c r="R459" t="s">
        <v>155</v>
      </c>
      <c r="T459" t="s">
        <v>134</v>
      </c>
      <c r="U459">
        <v>1</v>
      </c>
      <c r="W459" t="s">
        <v>134</v>
      </c>
      <c r="X459">
        <v>1</v>
      </c>
      <c r="Y459" t="s">
        <v>139</v>
      </c>
      <c r="Z459" t="s">
        <v>190</v>
      </c>
      <c r="AA459" t="s">
        <v>147</v>
      </c>
      <c r="AB459" t="s">
        <v>163</v>
      </c>
      <c r="AC459" t="s">
        <v>173</v>
      </c>
      <c r="AD459" t="s">
        <v>155</v>
      </c>
      <c r="AE459" t="s">
        <v>1075</v>
      </c>
      <c r="AF459" t="s">
        <v>21</v>
      </c>
    </row>
    <row r="460" spans="1:32">
      <c r="A460" t="s">
        <v>1111</v>
      </c>
      <c r="B460" s="37">
        <v>39914</v>
      </c>
      <c r="C460" s="38">
        <v>39914</v>
      </c>
      <c r="D460" s="38">
        <v>39909</v>
      </c>
      <c r="E460" s="38">
        <v>39904</v>
      </c>
      <c r="F460" s="39">
        <v>9</v>
      </c>
      <c r="G460" t="s">
        <v>21</v>
      </c>
      <c r="H460" t="s">
        <v>21</v>
      </c>
      <c r="I460">
        <v>0</v>
      </c>
      <c r="J460">
        <v>0</v>
      </c>
      <c r="K460">
        <v>0</v>
      </c>
      <c r="L460">
        <v>1</v>
      </c>
      <c r="M460">
        <v>0</v>
      </c>
      <c r="N460" t="s">
        <v>200</v>
      </c>
      <c r="O460" t="s">
        <v>214</v>
      </c>
      <c r="P460" t="s">
        <v>208</v>
      </c>
      <c r="Q460" t="s">
        <v>170</v>
      </c>
      <c r="R460" t="s">
        <v>155</v>
      </c>
      <c r="T460" t="s">
        <v>134</v>
      </c>
      <c r="U460">
        <v>1</v>
      </c>
      <c r="W460" t="s">
        <v>134</v>
      </c>
      <c r="X460">
        <v>1</v>
      </c>
      <c r="Y460" t="s">
        <v>139</v>
      </c>
      <c r="Z460" t="s">
        <v>433</v>
      </c>
      <c r="AA460" t="s">
        <v>148</v>
      </c>
      <c r="AB460" t="s">
        <v>162</v>
      </c>
      <c r="AC460" t="s">
        <v>1112</v>
      </c>
      <c r="AD460" t="s">
        <v>157</v>
      </c>
      <c r="AE460" t="s">
        <v>1113</v>
      </c>
      <c r="AF460" t="s">
        <v>1114</v>
      </c>
    </row>
    <row r="461" spans="1:32">
      <c r="A461" t="s">
        <v>1115</v>
      </c>
      <c r="B461" s="37">
        <v>40015</v>
      </c>
      <c r="C461" s="38">
        <v>40015</v>
      </c>
      <c r="D461" s="38">
        <v>40014</v>
      </c>
      <c r="E461" s="38">
        <v>39995</v>
      </c>
      <c r="F461" s="39">
        <v>110</v>
      </c>
      <c r="G461" t="s">
        <v>21</v>
      </c>
      <c r="H461" t="s">
        <v>21</v>
      </c>
      <c r="I461">
        <v>0</v>
      </c>
      <c r="J461">
        <v>0</v>
      </c>
      <c r="K461">
        <v>0</v>
      </c>
      <c r="L461">
        <v>1</v>
      </c>
      <c r="M461">
        <v>0</v>
      </c>
      <c r="N461" t="s">
        <v>193</v>
      </c>
      <c r="O461" t="s">
        <v>213</v>
      </c>
      <c r="P461" t="s">
        <v>204</v>
      </c>
      <c r="Q461" t="s">
        <v>170</v>
      </c>
      <c r="R461" t="s">
        <v>155</v>
      </c>
      <c r="S461">
        <v>5</v>
      </c>
      <c r="T461" t="s">
        <v>135</v>
      </c>
      <c r="U461">
        <v>0</v>
      </c>
      <c r="V461">
        <v>2</v>
      </c>
      <c r="W461" t="s">
        <v>136</v>
      </c>
      <c r="X461">
        <v>0</v>
      </c>
      <c r="Y461" t="s">
        <v>140</v>
      </c>
      <c r="Z461" t="s">
        <v>180</v>
      </c>
      <c r="AA461" t="s">
        <v>146</v>
      </c>
      <c r="AB461" t="s">
        <v>162</v>
      </c>
      <c r="AC461" t="s">
        <v>175</v>
      </c>
      <c r="AD461" t="s">
        <v>155</v>
      </c>
      <c r="AE461" t="s">
        <v>387</v>
      </c>
      <c r="AF461" t="s">
        <v>21</v>
      </c>
    </row>
    <row r="462" spans="1:32">
      <c r="A462" t="s">
        <v>1116</v>
      </c>
      <c r="B462" s="37">
        <v>40055</v>
      </c>
      <c r="C462" s="38">
        <v>40055</v>
      </c>
      <c r="D462" s="38">
        <v>40049</v>
      </c>
      <c r="E462" s="38">
        <v>40026</v>
      </c>
      <c r="F462" s="39">
        <v>150</v>
      </c>
      <c r="G462" t="s">
        <v>525</v>
      </c>
      <c r="H462" t="s">
        <v>17</v>
      </c>
      <c r="I462">
        <v>0</v>
      </c>
      <c r="J462">
        <v>0</v>
      </c>
      <c r="K462">
        <v>1</v>
      </c>
      <c r="L462">
        <v>0</v>
      </c>
      <c r="M462">
        <v>0</v>
      </c>
      <c r="N462" t="s">
        <v>193</v>
      </c>
      <c r="O462" t="s">
        <v>213</v>
      </c>
      <c r="P462" t="s">
        <v>204</v>
      </c>
      <c r="Q462" t="s">
        <v>170</v>
      </c>
      <c r="R462" t="s">
        <v>155</v>
      </c>
      <c r="S462">
        <v>5</v>
      </c>
      <c r="T462" t="s">
        <v>135</v>
      </c>
      <c r="U462">
        <v>0</v>
      </c>
      <c r="V462">
        <v>2</v>
      </c>
      <c r="W462" t="s">
        <v>136</v>
      </c>
      <c r="X462">
        <v>0</v>
      </c>
      <c r="Y462" t="s">
        <v>140</v>
      </c>
      <c r="Z462" t="s">
        <v>179</v>
      </c>
      <c r="AA462" t="s">
        <v>143</v>
      </c>
      <c r="AB462" t="s">
        <v>162</v>
      </c>
      <c r="AC462" t="s">
        <v>175</v>
      </c>
      <c r="AD462" t="s">
        <v>155</v>
      </c>
      <c r="AE462" t="s">
        <v>129</v>
      </c>
      <c r="AF462" t="s">
        <v>21</v>
      </c>
    </row>
    <row r="463" spans="1:32">
      <c r="A463" t="s">
        <v>1117</v>
      </c>
      <c r="B463" s="37">
        <v>39966</v>
      </c>
      <c r="C463" s="38">
        <v>39966</v>
      </c>
      <c r="D463" s="38">
        <v>39965</v>
      </c>
      <c r="E463" s="38">
        <v>39965</v>
      </c>
      <c r="F463" s="39">
        <v>61</v>
      </c>
      <c r="G463" t="s">
        <v>21</v>
      </c>
      <c r="H463" t="s">
        <v>21</v>
      </c>
      <c r="I463">
        <v>0</v>
      </c>
      <c r="J463">
        <v>0</v>
      </c>
      <c r="K463">
        <v>0</v>
      </c>
      <c r="L463">
        <v>1</v>
      </c>
      <c r="M463">
        <v>0</v>
      </c>
      <c r="N463" t="s">
        <v>193</v>
      </c>
      <c r="O463" t="s">
        <v>213</v>
      </c>
      <c r="P463" t="s">
        <v>204</v>
      </c>
      <c r="Q463" t="s">
        <v>170</v>
      </c>
      <c r="R463" t="s">
        <v>155</v>
      </c>
      <c r="T463" t="s">
        <v>134</v>
      </c>
      <c r="U463">
        <v>1</v>
      </c>
      <c r="W463" t="s">
        <v>134</v>
      </c>
      <c r="X463">
        <v>1</v>
      </c>
      <c r="Y463" t="s">
        <v>140</v>
      </c>
      <c r="Z463" t="s">
        <v>189</v>
      </c>
      <c r="AA463" t="s">
        <v>143</v>
      </c>
      <c r="AB463" t="s">
        <v>162</v>
      </c>
      <c r="AC463" t="s">
        <v>174</v>
      </c>
      <c r="AD463" t="s">
        <v>156</v>
      </c>
      <c r="AE463" t="s">
        <v>120</v>
      </c>
      <c r="AF463" t="s">
        <v>715</v>
      </c>
    </row>
    <row r="464" spans="1:32">
      <c r="A464" t="s">
        <v>1118</v>
      </c>
      <c r="B464" s="37">
        <v>40019</v>
      </c>
      <c r="C464" s="38">
        <v>40019</v>
      </c>
      <c r="D464" s="38">
        <v>40014</v>
      </c>
      <c r="E464" s="38">
        <v>39995</v>
      </c>
      <c r="F464" s="39">
        <v>114</v>
      </c>
      <c r="G464" t="s">
        <v>21</v>
      </c>
      <c r="H464" t="s">
        <v>21</v>
      </c>
      <c r="I464">
        <v>0</v>
      </c>
      <c r="J464">
        <v>0</v>
      </c>
      <c r="K464">
        <v>0</v>
      </c>
      <c r="L464">
        <v>1</v>
      </c>
      <c r="M464">
        <v>0</v>
      </c>
      <c r="N464" t="s">
        <v>196</v>
      </c>
      <c r="O464" t="s">
        <v>213</v>
      </c>
      <c r="P464" t="s">
        <v>207</v>
      </c>
      <c r="Q464" t="s">
        <v>170</v>
      </c>
      <c r="R464" t="s">
        <v>155</v>
      </c>
      <c r="S464">
        <v>1</v>
      </c>
      <c r="T464" t="s">
        <v>136</v>
      </c>
      <c r="U464">
        <v>0</v>
      </c>
      <c r="V464">
        <v>5</v>
      </c>
      <c r="W464" t="s">
        <v>135</v>
      </c>
      <c r="X464">
        <v>0</v>
      </c>
      <c r="Y464" t="s">
        <v>139</v>
      </c>
      <c r="Z464" t="s">
        <v>183</v>
      </c>
      <c r="AA464" t="s">
        <v>146</v>
      </c>
      <c r="AB464" t="s">
        <v>163</v>
      </c>
      <c r="AC464" t="s">
        <v>482</v>
      </c>
      <c r="AD464" t="s">
        <v>155</v>
      </c>
      <c r="AE464" t="s">
        <v>454</v>
      </c>
      <c r="AF464" t="s">
        <v>21</v>
      </c>
    </row>
    <row r="465" spans="1:32">
      <c r="A465" t="s">
        <v>1119</v>
      </c>
      <c r="B465" s="37">
        <v>40057</v>
      </c>
      <c r="C465" s="38">
        <v>40057</v>
      </c>
      <c r="D465" s="38">
        <v>40056</v>
      </c>
      <c r="E465" s="38">
        <v>40057</v>
      </c>
      <c r="F465" s="39">
        <v>152</v>
      </c>
      <c r="G465" t="s">
        <v>496</v>
      </c>
      <c r="H465" t="s">
        <v>13</v>
      </c>
      <c r="I465">
        <v>0</v>
      </c>
      <c r="J465">
        <v>1</v>
      </c>
      <c r="K465">
        <v>0</v>
      </c>
      <c r="L465">
        <v>0</v>
      </c>
      <c r="M465">
        <v>1</v>
      </c>
      <c r="N465" t="s">
        <v>193</v>
      </c>
      <c r="O465" t="s">
        <v>213</v>
      </c>
      <c r="P465" t="s">
        <v>204</v>
      </c>
      <c r="Q465" t="s">
        <v>170</v>
      </c>
      <c r="R465" t="s">
        <v>155</v>
      </c>
      <c r="S465">
        <v>1</v>
      </c>
      <c r="T465" t="s">
        <v>136</v>
      </c>
      <c r="U465">
        <v>0</v>
      </c>
      <c r="V465">
        <v>3</v>
      </c>
      <c r="W465" t="s">
        <v>137</v>
      </c>
      <c r="X465">
        <v>0</v>
      </c>
      <c r="Y465" t="s">
        <v>140</v>
      </c>
      <c r="Z465" t="s">
        <v>509</v>
      </c>
      <c r="AA465" t="s">
        <v>146</v>
      </c>
      <c r="AB465" t="s">
        <v>163</v>
      </c>
      <c r="AC465" t="s">
        <v>902</v>
      </c>
      <c r="AD465" t="s">
        <v>155</v>
      </c>
      <c r="AE465" t="s">
        <v>124</v>
      </c>
      <c r="AF465" t="s">
        <v>21</v>
      </c>
    </row>
    <row r="466" spans="1:32">
      <c r="A466" t="s">
        <v>1120</v>
      </c>
      <c r="B466" s="37">
        <v>40019</v>
      </c>
      <c r="C466" s="38">
        <v>40019</v>
      </c>
      <c r="D466" s="38">
        <v>40014</v>
      </c>
      <c r="E466" s="38">
        <v>39995</v>
      </c>
      <c r="F466" s="39">
        <v>114</v>
      </c>
      <c r="G466" t="s">
        <v>21</v>
      </c>
      <c r="H466" t="s">
        <v>21</v>
      </c>
      <c r="I466">
        <v>0</v>
      </c>
      <c r="J466">
        <v>0</v>
      </c>
      <c r="K466">
        <v>0</v>
      </c>
      <c r="L466">
        <v>1</v>
      </c>
      <c r="M466">
        <v>0</v>
      </c>
      <c r="N466" t="s">
        <v>197</v>
      </c>
      <c r="O466" t="s">
        <v>213</v>
      </c>
      <c r="P466" t="s">
        <v>209</v>
      </c>
      <c r="Q466" t="s">
        <v>170</v>
      </c>
      <c r="R466" t="s">
        <v>155</v>
      </c>
      <c r="S466">
        <v>5</v>
      </c>
      <c r="T466" t="s">
        <v>135</v>
      </c>
      <c r="U466">
        <v>0</v>
      </c>
      <c r="V466">
        <v>5</v>
      </c>
      <c r="W466" t="s">
        <v>135</v>
      </c>
      <c r="X466">
        <v>0</v>
      </c>
      <c r="Y466" t="s">
        <v>139</v>
      </c>
      <c r="Z466" t="s">
        <v>509</v>
      </c>
      <c r="AA466" t="s">
        <v>144</v>
      </c>
      <c r="AB466" t="s">
        <v>162</v>
      </c>
      <c r="AC466" t="s">
        <v>174</v>
      </c>
      <c r="AD466" t="s">
        <v>156</v>
      </c>
      <c r="AE466" t="s">
        <v>120</v>
      </c>
      <c r="AF466" t="s">
        <v>1121</v>
      </c>
    </row>
    <row r="467" spans="1:32">
      <c r="A467" t="s">
        <v>1122</v>
      </c>
      <c r="B467" s="37">
        <v>40039</v>
      </c>
      <c r="C467" s="38">
        <v>40039</v>
      </c>
      <c r="D467" s="38">
        <v>40035</v>
      </c>
      <c r="E467" s="38">
        <v>40026</v>
      </c>
      <c r="F467" s="39">
        <v>134</v>
      </c>
      <c r="G467" t="s">
        <v>21</v>
      </c>
      <c r="H467" t="s">
        <v>21</v>
      </c>
      <c r="I467">
        <v>0</v>
      </c>
      <c r="J467">
        <v>0</v>
      </c>
      <c r="K467">
        <v>0</v>
      </c>
      <c r="L467">
        <v>1</v>
      </c>
      <c r="M467">
        <v>0</v>
      </c>
      <c r="N467" t="s">
        <v>193</v>
      </c>
      <c r="O467" t="s">
        <v>213</v>
      </c>
      <c r="P467" t="s">
        <v>204</v>
      </c>
      <c r="Q467" t="s">
        <v>170</v>
      </c>
      <c r="R467" t="s">
        <v>155</v>
      </c>
      <c r="S467">
        <v>5</v>
      </c>
      <c r="T467" t="s">
        <v>135</v>
      </c>
      <c r="U467">
        <v>0</v>
      </c>
      <c r="V467">
        <v>5</v>
      </c>
      <c r="W467" t="s">
        <v>135</v>
      </c>
      <c r="X467">
        <v>0</v>
      </c>
      <c r="Y467" t="s">
        <v>140</v>
      </c>
      <c r="Z467" t="s">
        <v>189</v>
      </c>
      <c r="AA467" t="s">
        <v>142</v>
      </c>
      <c r="AB467" t="s">
        <v>162</v>
      </c>
      <c r="AC467" t="s">
        <v>1123</v>
      </c>
      <c r="AD467" t="s">
        <v>156</v>
      </c>
      <c r="AE467" t="s">
        <v>120</v>
      </c>
      <c r="AF467" t="s">
        <v>620</v>
      </c>
    </row>
    <row r="468" spans="1:32">
      <c r="A468" t="s">
        <v>1124</v>
      </c>
      <c r="B468" s="37">
        <v>39954</v>
      </c>
      <c r="C468" s="38">
        <v>39954</v>
      </c>
      <c r="D468" s="38">
        <v>39951</v>
      </c>
      <c r="E468" s="38">
        <v>39934</v>
      </c>
      <c r="F468" s="39">
        <v>49</v>
      </c>
      <c r="G468" t="s">
        <v>21</v>
      </c>
      <c r="H468" t="s">
        <v>21</v>
      </c>
      <c r="I468">
        <v>0</v>
      </c>
      <c r="J468">
        <v>0</v>
      </c>
      <c r="K468">
        <v>0</v>
      </c>
      <c r="L468">
        <v>1</v>
      </c>
      <c r="M468">
        <v>0</v>
      </c>
      <c r="N468" t="s">
        <v>193</v>
      </c>
      <c r="O468" t="s">
        <v>213</v>
      </c>
      <c r="P468" t="s">
        <v>204</v>
      </c>
      <c r="Q468" t="s">
        <v>170</v>
      </c>
      <c r="R468" t="s">
        <v>155</v>
      </c>
      <c r="T468" t="s">
        <v>134</v>
      </c>
      <c r="U468">
        <v>1</v>
      </c>
      <c r="W468" t="s">
        <v>134</v>
      </c>
      <c r="X468">
        <v>1</v>
      </c>
      <c r="Y468" t="s">
        <v>140</v>
      </c>
      <c r="Z468" t="s">
        <v>189</v>
      </c>
      <c r="AA468" t="s">
        <v>148</v>
      </c>
      <c r="AB468" t="s">
        <v>163</v>
      </c>
      <c r="AC468" t="s">
        <v>173</v>
      </c>
      <c r="AD468" t="s">
        <v>155</v>
      </c>
      <c r="AE468" t="s">
        <v>792</v>
      </c>
      <c r="AF468" t="s">
        <v>21</v>
      </c>
    </row>
    <row r="469" spans="1:32">
      <c r="A469" t="s">
        <v>1125</v>
      </c>
      <c r="B469" s="37">
        <v>40024</v>
      </c>
      <c r="C469" s="38">
        <v>40024</v>
      </c>
      <c r="D469" s="38">
        <v>40021</v>
      </c>
      <c r="E469" s="38">
        <v>39995</v>
      </c>
      <c r="F469" s="39">
        <v>119</v>
      </c>
      <c r="G469" t="s">
        <v>21</v>
      </c>
      <c r="H469" t="s">
        <v>21</v>
      </c>
      <c r="I469">
        <v>0</v>
      </c>
      <c r="J469">
        <v>0</v>
      </c>
      <c r="K469">
        <v>0</v>
      </c>
      <c r="L469">
        <v>1</v>
      </c>
      <c r="M469">
        <v>0</v>
      </c>
      <c r="N469" t="s">
        <v>197</v>
      </c>
      <c r="O469" t="s">
        <v>213</v>
      </c>
      <c r="P469" t="s">
        <v>209</v>
      </c>
      <c r="Q469" t="s">
        <v>170</v>
      </c>
      <c r="R469" t="s">
        <v>155</v>
      </c>
      <c r="S469">
        <v>5</v>
      </c>
      <c r="T469" t="s">
        <v>135</v>
      </c>
      <c r="U469">
        <v>0</v>
      </c>
      <c r="V469">
        <v>5</v>
      </c>
      <c r="W469" t="s">
        <v>135</v>
      </c>
      <c r="X469">
        <v>0</v>
      </c>
      <c r="Y469" t="s">
        <v>139</v>
      </c>
      <c r="Z469" t="s">
        <v>189</v>
      </c>
      <c r="AA469" t="s">
        <v>143</v>
      </c>
      <c r="AB469" t="s">
        <v>162</v>
      </c>
      <c r="AC469" t="s">
        <v>176</v>
      </c>
      <c r="AD469" t="s">
        <v>159</v>
      </c>
      <c r="AE469" t="s">
        <v>126</v>
      </c>
      <c r="AF469" t="s">
        <v>601</v>
      </c>
    </row>
    <row r="470" spans="1:32">
      <c r="A470" t="s">
        <v>1126</v>
      </c>
      <c r="B470" s="37">
        <v>39994</v>
      </c>
      <c r="C470" s="38">
        <v>39994</v>
      </c>
      <c r="D470" s="38">
        <v>39993</v>
      </c>
      <c r="E470" s="38">
        <v>39965</v>
      </c>
      <c r="F470" s="39">
        <v>89</v>
      </c>
      <c r="G470" t="s">
        <v>21</v>
      </c>
      <c r="H470" t="s">
        <v>21</v>
      </c>
      <c r="I470">
        <v>0</v>
      </c>
      <c r="J470">
        <v>0</v>
      </c>
      <c r="K470">
        <v>0</v>
      </c>
      <c r="L470">
        <v>1</v>
      </c>
      <c r="M470">
        <v>0</v>
      </c>
      <c r="N470" t="s">
        <v>196</v>
      </c>
      <c r="O470" t="s">
        <v>213</v>
      </c>
      <c r="P470" t="s">
        <v>207</v>
      </c>
      <c r="Q470" t="s">
        <v>170</v>
      </c>
      <c r="R470" t="s">
        <v>155</v>
      </c>
      <c r="T470" t="s">
        <v>134</v>
      </c>
      <c r="U470">
        <v>1</v>
      </c>
      <c r="V470">
        <v>5</v>
      </c>
      <c r="W470" t="s">
        <v>135</v>
      </c>
      <c r="X470">
        <v>0</v>
      </c>
      <c r="Y470" t="s">
        <v>139</v>
      </c>
      <c r="Z470" t="s">
        <v>189</v>
      </c>
      <c r="AA470" t="s">
        <v>143</v>
      </c>
      <c r="AB470" t="s">
        <v>162</v>
      </c>
      <c r="AC470" t="s">
        <v>176</v>
      </c>
      <c r="AD470" t="s">
        <v>155</v>
      </c>
      <c r="AE470" t="s">
        <v>130</v>
      </c>
      <c r="AF470" t="s">
        <v>21</v>
      </c>
    </row>
    <row r="471" spans="1:32">
      <c r="A471" t="s">
        <v>1127</v>
      </c>
      <c r="B471" s="37">
        <v>39993</v>
      </c>
      <c r="C471" s="38">
        <v>39993</v>
      </c>
      <c r="D471" s="38">
        <v>39993</v>
      </c>
      <c r="E471" s="38">
        <v>39965</v>
      </c>
      <c r="F471" s="39">
        <v>88</v>
      </c>
      <c r="G471" t="s">
        <v>380</v>
      </c>
      <c r="H471" t="s">
        <v>17</v>
      </c>
      <c r="I471">
        <v>0</v>
      </c>
      <c r="J471">
        <v>0</v>
      </c>
      <c r="K471">
        <v>1</v>
      </c>
      <c r="L471">
        <v>0</v>
      </c>
      <c r="M471">
        <v>0</v>
      </c>
      <c r="N471" t="s">
        <v>193</v>
      </c>
      <c r="O471" t="s">
        <v>213</v>
      </c>
      <c r="P471" t="s">
        <v>204</v>
      </c>
      <c r="Q471" t="s">
        <v>170</v>
      </c>
      <c r="R471" t="s">
        <v>155</v>
      </c>
      <c r="T471" t="s">
        <v>134</v>
      </c>
      <c r="U471">
        <v>1</v>
      </c>
      <c r="V471">
        <v>2</v>
      </c>
      <c r="W471" t="s">
        <v>136</v>
      </c>
      <c r="X471">
        <v>0</v>
      </c>
      <c r="Y471" t="s">
        <v>140</v>
      </c>
      <c r="Z471" t="s">
        <v>576</v>
      </c>
      <c r="AA471" t="s">
        <v>145</v>
      </c>
      <c r="AB471" t="s">
        <v>162</v>
      </c>
      <c r="AC471" t="s">
        <v>459</v>
      </c>
      <c r="AD471" t="s">
        <v>155</v>
      </c>
      <c r="AE471" t="s">
        <v>129</v>
      </c>
      <c r="AF471" t="s">
        <v>21</v>
      </c>
    </row>
    <row r="472" spans="1:32">
      <c r="A472" t="s">
        <v>1128</v>
      </c>
      <c r="B472" s="37">
        <v>39967</v>
      </c>
      <c r="C472" s="38">
        <v>39967</v>
      </c>
      <c r="D472" s="38">
        <v>39965</v>
      </c>
      <c r="E472" s="38">
        <v>39965</v>
      </c>
      <c r="F472" s="39">
        <v>62</v>
      </c>
      <c r="G472" t="s">
        <v>21</v>
      </c>
      <c r="H472" t="s">
        <v>21</v>
      </c>
      <c r="I472">
        <v>0</v>
      </c>
      <c r="J472">
        <v>0</v>
      </c>
      <c r="K472">
        <v>0</v>
      </c>
      <c r="L472">
        <v>1</v>
      </c>
      <c r="M472">
        <v>0</v>
      </c>
      <c r="N472" t="s">
        <v>195</v>
      </c>
      <c r="O472" t="s">
        <v>213</v>
      </c>
      <c r="P472" t="s">
        <v>206</v>
      </c>
      <c r="Q472" t="s">
        <v>170</v>
      </c>
      <c r="R472" t="s">
        <v>155</v>
      </c>
      <c r="T472" t="s">
        <v>134</v>
      </c>
      <c r="U472">
        <v>1</v>
      </c>
      <c r="W472" t="s">
        <v>134</v>
      </c>
      <c r="X472">
        <v>1</v>
      </c>
      <c r="Y472" t="s">
        <v>139</v>
      </c>
      <c r="Z472" t="s">
        <v>391</v>
      </c>
      <c r="AA472" t="s">
        <v>144</v>
      </c>
      <c r="AB472" t="s">
        <v>162</v>
      </c>
      <c r="AC472" t="s">
        <v>174</v>
      </c>
      <c r="AD472" t="s">
        <v>157</v>
      </c>
      <c r="AE472" t="s">
        <v>130</v>
      </c>
      <c r="AF472" t="s">
        <v>423</v>
      </c>
    </row>
    <row r="473" spans="1:32">
      <c r="A473" t="s">
        <v>1129</v>
      </c>
      <c r="B473" s="37">
        <v>39947</v>
      </c>
      <c r="C473" s="38">
        <v>39947</v>
      </c>
      <c r="D473" s="38">
        <v>39944</v>
      </c>
      <c r="E473" s="38">
        <v>39934</v>
      </c>
      <c r="F473" s="39">
        <v>42</v>
      </c>
      <c r="G473" t="s">
        <v>21</v>
      </c>
      <c r="H473" t="s">
        <v>21</v>
      </c>
      <c r="I473">
        <v>0</v>
      </c>
      <c r="J473">
        <v>0</v>
      </c>
      <c r="K473">
        <v>0</v>
      </c>
      <c r="L473">
        <v>1</v>
      </c>
      <c r="M473">
        <v>0</v>
      </c>
      <c r="N473" t="s">
        <v>195</v>
      </c>
      <c r="O473" t="s">
        <v>213</v>
      </c>
      <c r="P473" t="s">
        <v>206</v>
      </c>
      <c r="Q473" t="s">
        <v>170</v>
      </c>
      <c r="R473" t="s">
        <v>155</v>
      </c>
      <c r="T473" t="s">
        <v>134</v>
      </c>
      <c r="U473">
        <v>1</v>
      </c>
      <c r="W473" t="s">
        <v>134</v>
      </c>
      <c r="X473">
        <v>1</v>
      </c>
      <c r="Y473" t="s">
        <v>139</v>
      </c>
      <c r="Z473" t="s">
        <v>391</v>
      </c>
      <c r="AA473" t="s">
        <v>143</v>
      </c>
      <c r="AB473" t="s">
        <v>165</v>
      </c>
      <c r="AC473" t="s">
        <v>1130</v>
      </c>
      <c r="AD473" t="s">
        <v>158</v>
      </c>
      <c r="AE473" t="s">
        <v>122</v>
      </c>
      <c r="AF473" t="s">
        <v>21</v>
      </c>
    </row>
    <row r="474" spans="1:32">
      <c r="A474" t="s">
        <v>1131</v>
      </c>
      <c r="B474" s="37">
        <v>40035</v>
      </c>
      <c r="C474" s="38">
        <v>40035</v>
      </c>
      <c r="D474" s="38">
        <v>40035</v>
      </c>
      <c r="E474" s="38">
        <v>40026</v>
      </c>
      <c r="F474" s="39">
        <v>130</v>
      </c>
      <c r="G474" t="s">
        <v>21</v>
      </c>
      <c r="H474" t="s">
        <v>21</v>
      </c>
      <c r="I474">
        <v>0</v>
      </c>
      <c r="J474">
        <v>0</v>
      </c>
      <c r="K474">
        <v>0</v>
      </c>
      <c r="L474">
        <v>1</v>
      </c>
      <c r="M474">
        <v>0</v>
      </c>
      <c r="N474" t="s">
        <v>197</v>
      </c>
      <c r="O474" t="s">
        <v>213</v>
      </c>
      <c r="P474" t="s">
        <v>209</v>
      </c>
      <c r="Q474" t="s">
        <v>170</v>
      </c>
      <c r="R474" t="s">
        <v>155</v>
      </c>
      <c r="S474">
        <v>5</v>
      </c>
      <c r="T474" t="s">
        <v>135</v>
      </c>
      <c r="U474">
        <v>0</v>
      </c>
      <c r="V474">
        <v>2</v>
      </c>
      <c r="W474" t="s">
        <v>136</v>
      </c>
      <c r="X474">
        <v>0</v>
      </c>
      <c r="Y474" t="s">
        <v>139</v>
      </c>
      <c r="Z474" t="s">
        <v>191</v>
      </c>
      <c r="AA474" t="s">
        <v>145</v>
      </c>
      <c r="AB474" t="s">
        <v>162</v>
      </c>
      <c r="AC474" t="s">
        <v>174</v>
      </c>
      <c r="AD474" t="s">
        <v>156</v>
      </c>
      <c r="AE474" t="s">
        <v>120</v>
      </c>
      <c r="AF474" t="s">
        <v>827</v>
      </c>
    </row>
    <row r="475" spans="1:32">
      <c r="A475" t="s">
        <v>1132</v>
      </c>
      <c r="B475" s="37">
        <v>39959</v>
      </c>
      <c r="C475" s="38">
        <v>39959</v>
      </c>
      <c r="D475" s="38">
        <v>39958</v>
      </c>
      <c r="E475" s="38">
        <v>39934</v>
      </c>
      <c r="F475" s="39">
        <v>54</v>
      </c>
      <c r="G475" t="s">
        <v>21</v>
      </c>
      <c r="H475" t="s">
        <v>21</v>
      </c>
      <c r="I475">
        <v>0</v>
      </c>
      <c r="J475">
        <v>0</v>
      </c>
      <c r="K475">
        <v>0</v>
      </c>
      <c r="L475">
        <v>1</v>
      </c>
      <c r="M475">
        <v>0</v>
      </c>
      <c r="N475" t="s">
        <v>195</v>
      </c>
      <c r="O475" t="s">
        <v>213</v>
      </c>
      <c r="P475" t="s">
        <v>206</v>
      </c>
      <c r="Q475" t="s">
        <v>170</v>
      </c>
      <c r="R475" t="s">
        <v>155</v>
      </c>
      <c r="T475" t="s">
        <v>134</v>
      </c>
      <c r="U475">
        <v>1</v>
      </c>
      <c r="W475" t="s">
        <v>134</v>
      </c>
      <c r="X475">
        <v>1</v>
      </c>
      <c r="Y475" t="s">
        <v>139</v>
      </c>
      <c r="Z475" t="s">
        <v>178</v>
      </c>
      <c r="AA475" t="s">
        <v>149</v>
      </c>
      <c r="AB475" t="s">
        <v>163</v>
      </c>
      <c r="AC475" t="s">
        <v>173</v>
      </c>
      <c r="AD475" t="s">
        <v>155</v>
      </c>
      <c r="AE475" t="s">
        <v>1133</v>
      </c>
      <c r="AF475" t="s">
        <v>21</v>
      </c>
    </row>
    <row r="476" spans="1:32">
      <c r="A476" t="s">
        <v>1134</v>
      </c>
      <c r="B476" s="37">
        <v>40082</v>
      </c>
      <c r="C476" s="38">
        <v>40082</v>
      </c>
      <c r="D476" s="38">
        <v>40077</v>
      </c>
      <c r="E476" s="38">
        <v>40057</v>
      </c>
      <c r="F476" s="39">
        <v>177</v>
      </c>
      <c r="G476" t="s">
        <v>21</v>
      </c>
      <c r="H476" t="s">
        <v>21</v>
      </c>
      <c r="I476">
        <v>0</v>
      </c>
      <c r="J476">
        <v>0</v>
      </c>
      <c r="K476">
        <v>0</v>
      </c>
      <c r="L476">
        <v>1</v>
      </c>
      <c r="M476">
        <v>0</v>
      </c>
      <c r="N476" t="s">
        <v>193</v>
      </c>
      <c r="O476" t="s">
        <v>213</v>
      </c>
      <c r="P476" t="s">
        <v>204</v>
      </c>
      <c r="Q476" t="s">
        <v>170</v>
      </c>
      <c r="R476" t="s">
        <v>155</v>
      </c>
      <c r="S476">
        <v>3</v>
      </c>
      <c r="T476" t="s">
        <v>137</v>
      </c>
      <c r="U476">
        <v>0</v>
      </c>
      <c r="V476">
        <v>3</v>
      </c>
      <c r="W476" t="s">
        <v>137</v>
      </c>
      <c r="X476">
        <v>0</v>
      </c>
      <c r="Y476" t="s">
        <v>140</v>
      </c>
      <c r="Z476" t="s">
        <v>185</v>
      </c>
      <c r="AA476" t="s">
        <v>144</v>
      </c>
      <c r="AB476" t="s">
        <v>163</v>
      </c>
      <c r="AC476" t="s">
        <v>173</v>
      </c>
      <c r="AD476" t="s">
        <v>155</v>
      </c>
      <c r="AE476" t="s">
        <v>128</v>
      </c>
      <c r="AF476" t="s">
        <v>21</v>
      </c>
    </row>
    <row r="477" spans="1:32">
      <c r="A477" t="s">
        <v>1135</v>
      </c>
      <c r="B477" s="37">
        <v>39939</v>
      </c>
      <c r="C477" s="38">
        <v>39939</v>
      </c>
      <c r="D477" s="38">
        <v>39937</v>
      </c>
      <c r="E477" s="38">
        <v>39934</v>
      </c>
      <c r="F477" s="39">
        <v>34</v>
      </c>
      <c r="G477" t="s">
        <v>21</v>
      </c>
      <c r="H477" t="s">
        <v>21</v>
      </c>
      <c r="I477">
        <v>0</v>
      </c>
      <c r="J477">
        <v>0</v>
      </c>
      <c r="K477">
        <v>0</v>
      </c>
      <c r="L477">
        <v>1</v>
      </c>
      <c r="M477">
        <v>0</v>
      </c>
      <c r="N477" t="s">
        <v>202</v>
      </c>
      <c r="O477" t="s">
        <v>213</v>
      </c>
      <c r="P477" t="s">
        <v>211</v>
      </c>
      <c r="Q477" t="s">
        <v>170</v>
      </c>
      <c r="R477" t="s">
        <v>155</v>
      </c>
      <c r="T477" t="s">
        <v>134</v>
      </c>
      <c r="U477">
        <v>1</v>
      </c>
      <c r="W477" t="s">
        <v>134</v>
      </c>
      <c r="X477">
        <v>1</v>
      </c>
      <c r="Y477" t="s">
        <v>139</v>
      </c>
      <c r="Z477" t="s">
        <v>179</v>
      </c>
      <c r="AA477" t="s">
        <v>147</v>
      </c>
      <c r="AB477" t="s">
        <v>163</v>
      </c>
      <c r="AC477" t="s">
        <v>173</v>
      </c>
      <c r="AD477" t="s">
        <v>155</v>
      </c>
      <c r="AE477" t="s">
        <v>434</v>
      </c>
      <c r="AF477" t="s">
        <v>21</v>
      </c>
    </row>
    <row r="478" spans="1:32">
      <c r="A478" t="s">
        <v>1136</v>
      </c>
      <c r="B478" s="37">
        <v>39988</v>
      </c>
      <c r="C478" s="38">
        <v>39988</v>
      </c>
      <c r="D478" s="38">
        <v>39986</v>
      </c>
      <c r="E478" s="38">
        <v>39965</v>
      </c>
      <c r="F478" s="39">
        <v>83</v>
      </c>
      <c r="G478" t="s">
        <v>21</v>
      </c>
      <c r="H478" t="s">
        <v>21</v>
      </c>
      <c r="I478">
        <v>0</v>
      </c>
      <c r="J478">
        <v>0</v>
      </c>
      <c r="K478">
        <v>0</v>
      </c>
      <c r="L478">
        <v>1</v>
      </c>
      <c r="M478">
        <v>0</v>
      </c>
      <c r="N478" t="s">
        <v>195</v>
      </c>
      <c r="O478" t="s">
        <v>213</v>
      </c>
      <c r="P478" t="s">
        <v>206</v>
      </c>
      <c r="Q478" t="s">
        <v>170</v>
      </c>
      <c r="R478" t="s">
        <v>155</v>
      </c>
      <c r="T478" t="s">
        <v>134</v>
      </c>
      <c r="U478">
        <v>1</v>
      </c>
      <c r="W478" t="s">
        <v>134</v>
      </c>
      <c r="X478">
        <v>1</v>
      </c>
      <c r="Y478" t="s">
        <v>139</v>
      </c>
      <c r="Z478" t="s">
        <v>188</v>
      </c>
      <c r="AA478" t="s">
        <v>149</v>
      </c>
      <c r="AB478" t="s">
        <v>162</v>
      </c>
      <c r="AC478" t="s">
        <v>459</v>
      </c>
      <c r="AD478" t="s">
        <v>155</v>
      </c>
      <c r="AE478" t="s">
        <v>129</v>
      </c>
      <c r="AF478" t="s">
        <v>21</v>
      </c>
    </row>
    <row r="479" spans="1:32">
      <c r="A479" t="s">
        <v>1137</v>
      </c>
      <c r="B479" s="37">
        <v>40029</v>
      </c>
      <c r="C479" s="38">
        <v>40029</v>
      </c>
      <c r="D479" s="38">
        <v>40028</v>
      </c>
      <c r="E479" s="38">
        <v>40026</v>
      </c>
      <c r="F479" s="39">
        <v>124</v>
      </c>
      <c r="G479" t="s">
        <v>9</v>
      </c>
      <c r="H479" t="s">
        <v>9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193</v>
      </c>
      <c r="O479" t="s">
        <v>213</v>
      </c>
      <c r="P479" t="s">
        <v>204</v>
      </c>
      <c r="Q479" t="s">
        <v>170</v>
      </c>
      <c r="R479" t="s">
        <v>155</v>
      </c>
      <c r="S479">
        <v>3</v>
      </c>
      <c r="T479" t="s">
        <v>137</v>
      </c>
      <c r="U479">
        <v>0</v>
      </c>
      <c r="V479">
        <v>2</v>
      </c>
      <c r="W479" t="s">
        <v>136</v>
      </c>
      <c r="X479">
        <v>0</v>
      </c>
      <c r="Y479" t="s">
        <v>140</v>
      </c>
      <c r="Z479" t="s">
        <v>187</v>
      </c>
      <c r="AA479" t="s">
        <v>148</v>
      </c>
      <c r="AB479" t="s">
        <v>162</v>
      </c>
      <c r="AC479" t="s">
        <v>174</v>
      </c>
      <c r="AD479" t="s">
        <v>156</v>
      </c>
      <c r="AE479" t="s">
        <v>120</v>
      </c>
      <c r="AF479" t="s">
        <v>1138</v>
      </c>
    </row>
    <row r="480" spans="1:32">
      <c r="A480" t="s">
        <v>1139</v>
      </c>
      <c r="B480" s="37">
        <v>39914</v>
      </c>
      <c r="C480" s="38">
        <v>39914</v>
      </c>
      <c r="D480" s="38">
        <v>39909</v>
      </c>
      <c r="E480" s="38">
        <v>39904</v>
      </c>
      <c r="F480" s="39">
        <v>9</v>
      </c>
      <c r="G480" t="s">
        <v>21</v>
      </c>
      <c r="H480" t="s">
        <v>21</v>
      </c>
      <c r="I480">
        <v>0</v>
      </c>
      <c r="J480">
        <v>0</v>
      </c>
      <c r="K480">
        <v>0</v>
      </c>
      <c r="L480">
        <v>1</v>
      </c>
      <c r="M480">
        <v>0</v>
      </c>
      <c r="N480" t="s">
        <v>194</v>
      </c>
      <c r="O480" t="s">
        <v>213</v>
      </c>
      <c r="P480" t="s">
        <v>205</v>
      </c>
      <c r="Q480" t="s">
        <v>170</v>
      </c>
      <c r="R480" t="s">
        <v>155</v>
      </c>
      <c r="T480" t="s">
        <v>134</v>
      </c>
      <c r="U480">
        <v>1</v>
      </c>
      <c r="W480" t="s">
        <v>134</v>
      </c>
      <c r="X480">
        <v>1</v>
      </c>
      <c r="Y480" t="s">
        <v>139</v>
      </c>
      <c r="Z480" t="s">
        <v>603</v>
      </c>
      <c r="AA480" t="s">
        <v>147</v>
      </c>
      <c r="AB480" t="s">
        <v>163</v>
      </c>
      <c r="AC480" t="s">
        <v>173</v>
      </c>
      <c r="AD480" t="s">
        <v>155</v>
      </c>
      <c r="AE480" t="s">
        <v>406</v>
      </c>
      <c r="AF480" t="s">
        <v>21</v>
      </c>
    </row>
    <row r="481" spans="1:32">
      <c r="A481" t="s">
        <v>1140</v>
      </c>
      <c r="B481" s="37">
        <v>40011</v>
      </c>
      <c r="C481" s="38">
        <v>40011</v>
      </c>
      <c r="D481" s="38">
        <v>40007</v>
      </c>
      <c r="E481" s="38">
        <v>39995</v>
      </c>
      <c r="F481" s="39">
        <v>106</v>
      </c>
      <c r="G481" t="s">
        <v>21</v>
      </c>
      <c r="H481" t="s">
        <v>21</v>
      </c>
      <c r="I481">
        <v>0</v>
      </c>
      <c r="J481">
        <v>0</v>
      </c>
      <c r="K481">
        <v>0</v>
      </c>
      <c r="L481">
        <v>1</v>
      </c>
      <c r="M481">
        <v>0</v>
      </c>
      <c r="N481" t="s">
        <v>193</v>
      </c>
      <c r="O481" t="s">
        <v>213</v>
      </c>
      <c r="P481" t="s">
        <v>204</v>
      </c>
      <c r="Q481" t="s">
        <v>170</v>
      </c>
      <c r="R481" t="s">
        <v>155</v>
      </c>
      <c r="S481">
        <v>5</v>
      </c>
      <c r="T481" t="s">
        <v>135</v>
      </c>
      <c r="U481">
        <v>0</v>
      </c>
      <c r="V481">
        <v>5</v>
      </c>
      <c r="W481" t="s">
        <v>135</v>
      </c>
      <c r="X481">
        <v>0</v>
      </c>
      <c r="Y481" t="s">
        <v>140</v>
      </c>
      <c r="Z481" t="s">
        <v>187</v>
      </c>
      <c r="AA481" t="s">
        <v>142</v>
      </c>
      <c r="AB481" t="s">
        <v>162</v>
      </c>
      <c r="AC481" t="s">
        <v>174</v>
      </c>
      <c r="AD481" t="s">
        <v>156</v>
      </c>
      <c r="AE481" t="s">
        <v>120</v>
      </c>
      <c r="AF481" t="s">
        <v>1141</v>
      </c>
    </row>
    <row r="482" spans="1:32">
      <c r="A482" t="s">
        <v>1142</v>
      </c>
      <c r="B482" s="37">
        <v>39969</v>
      </c>
      <c r="C482" s="38">
        <v>39969</v>
      </c>
      <c r="D482" s="38">
        <v>39965</v>
      </c>
      <c r="E482" s="38">
        <v>39965</v>
      </c>
      <c r="F482" s="39">
        <v>64</v>
      </c>
      <c r="G482" t="s">
        <v>380</v>
      </c>
      <c r="H482" t="s">
        <v>17</v>
      </c>
      <c r="I482">
        <v>0</v>
      </c>
      <c r="J482">
        <v>0</v>
      </c>
      <c r="K482">
        <v>1</v>
      </c>
      <c r="L482">
        <v>0</v>
      </c>
      <c r="M482">
        <v>0</v>
      </c>
      <c r="N482" t="s">
        <v>195</v>
      </c>
      <c r="O482" t="s">
        <v>213</v>
      </c>
      <c r="P482" t="s">
        <v>206</v>
      </c>
      <c r="Q482" t="s">
        <v>170</v>
      </c>
      <c r="R482" t="s">
        <v>155</v>
      </c>
      <c r="T482" t="s">
        <v>134</v>
      </c>
      <c r="U482">
        <v>1</v>
      </c>
      <c r="W482" t="s">
        <v>134</v>
      </c>
      <c r="X482">
        <v>1</v>
      </c>
      <c r="Y482" t="s">
        <v>139</v>
      </c>
      <c r="Z482" t="s">
        <v>187</v>
      </c>
      <c r="AA482" t="s">
        <v>149</v>
      </c>
      <c r="AB482" t="s">
        <v>162</v>
      </c>
      <c r="AC482" t="s">
        <v>175</v>
      </c>
      <c r="AD482" t="s">
        <v>155</v>
      </c>
      <c r="AE482" t="s">
        <v>130</v>
      </c>
      <c r="AF482" t="s">
        <v>21</v>
      </c>
    </row>
    <row r="483" spans="1:32">
      <c r="A483" t="s">
        <v>1143</v>
      </c>
      <c r="B483" s="37">
        <v>40019</v>
      </c>
      <c r="C483" s="38">
        <v>40019</v>
      </c>
      <c r="D483" s="38">
        <v>40014</v>
      </c>
      <c r="E483" s="38">
        <v>39995</v>
      </c>
      <c r="F483" s="39">
        <v>114</v>
      </c>
      <c r="G483" t="s">
        <v>21</v>
      </c>
      <c r="H483" t="s">
        <v>21</v>
      </c>
      <c r="I483">
        <v>0</v>
      </c>
      <c r="J483">
        <v>0</v>
      </c>
      <c r="K483">
        <v>0</v>
      </c>
      <c r="L483">
        <v>1</v>
      </c>
      <c r="M483">
        <v>0</v>
      </c>
      <c r="N483" t="s">
        <v>197</v>
      </c>
      <c r="O483" t="s">
        <v>213</v>
      </c>
      <c r="P483" t="s">
        <v>209</v>
      </c>
      <c r="Q483" t="s">
        <v>170</v>
      </c>
      <c r="R483" t="s">
        <v>155</v>
      </c>
      <c r="S483">
        <v>1</v>
      </c>
      <c r="T483" t="s">
        <v>136</v>
      </c>
      <c r="U483">
        <v>0</v>
      </c>
      <c r="V483">
        <v>3</v>
      </c>
      <c r="W483" t="s">
        <v>137</v>
      </c>
      <c r="X483">
        <v>0</v>
      </c>
      <c r="Y483" t="s">
        <v>139</v>
      </c>
      <c r="Z483" t="s">
        <v>384</v>
      </c>
      <c r="AA483" t="s">
        <v>145</v>
      </c>
      <c r="AB483" t="s">
        <v>162</v>
      </c>
      <c r="AC483" t="s">
        <v>21</v>
      </c>
      <c r="AD483" t="s">
        <v>155</v>
      </c>
      <c r="AE483" t="s">
        <v>130</v>
      </c>
      <c r="AF483" t="s">
        <v>21</v>
      </c>
    </row>
    <row r="484" spans="1:32">
      <c r="A484" t="s">
        <v>1144</v>
      </c>
      <c r="B484" s="37">
        <v>39975</v>
      </c>
      <c r="C484" s="38">
        <v>39975</v>
      </c>
      <c r="D484" s="38">
        <v>39972</v>
      </c>
      <c r="E484" s="38">
        <v>39965</v>
      </c>
      <c r="F484" s="39">
        <v>70</v>
      </c>
      <c r="G484" t="s">
        <v>21</v>
      </c>
      <c r="H484" t="s">
        <v>21</v>
      </c>
      <c r="I484">
        <v>0</v>
      </c>
      <c r="J484">
        <v>0</v>
      </c>
      <c r="K484">
        <v>0</v>
      </c>
      <c r="L484">
        <v>1</v>
      </c>
      <c r="M484">
        <v>0</v>
      </c>
      <c r="N484" t="s">
        <v>195</v>
      </c>
      <c r="O484" t="s">
        <v>213</v>
      </c>
      <c r="P484" t="s">
        <v>206</v>
      </c>
      <c r="Q484" t="s">
        <v>170</v>
      </c>
      <c r="R484" t="s">
        <v>155</v>
      </c>
      <c r="T484" t="s">
        <v>134</v>
      </c>
      <c r="U484">
        <v>1</v>
      </c>
      <c r="W484" t="s">
        <v>134</v>
      </c>
      <c r="X484">
        <v>1</v>
      </c>
      <c r="Y484" t="s">
        <v>139</v>
      </c>
      <c r="Z484" t="s">
        <v>179</v>
      </c>
      <c r="AA484" t="s">
        <v>150</v>
      </c>
      <c r="AB484" t="s">
        <v>162</v>
      </c>
      <c r="AC484" t="s">
        <v>567</v>
      </c>
      <c r="AD484" t="s">
        <v>155</v>
      </c>
      <c r="AE484" t="s">
        <v>130</v>
      </c>
      <c r="AF484" t="s">
        <v>21</v>
      </c>
    </row>
    <row r="485" spans="1:32">
      <c r="A485" t="s">
        <v>1145</v>
      </c>
      <c r="B485" s="37">
        <v>39980</v>
      </c>
      <c r="C485" s="38">
        <v>39980</v>
      </c>
      <c r="D485" s="38">
        <v>39979</v>
      </c>
      <c r="E485" s="38">
        <v>39965</v>
      </c>
      <c r="F485" s="39">
        <v>75</v>
      </c>
      <c r="G485" t="s">
        <v>9</v>
      </c>
      <c r="H485" t="s">
        <v>9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194</v>
      </c>
      <c r="O485" t="s">
        <v>213</v>
      </c>
      <c r="P485" t="s">
        <v>205</v>
      </c>
      <c r="Q485" t="s">
        <v>170</v>
      </c>
      <c r="R485" t="s">
        <v>155</v>
      </c>
      <c r="T485" t="s">
        <v>134</v>
      </c>
      <c r="U485">
        <v>1</v>
      </c>
      <c r="W485" t="s">
        <v>134</v>
      </c>
      <c r="X485">
        <v>1</v>
      </c>
      <c r="Y485" t="s">
        <v>139</v>
      </c>
      <c r="Z485" t="s">
        <v>182</v>
      </c>
      <c r="AA485" t="s">
        <v>146</v>
      </c>
      <c r="AB485" t="s">
        <v>163</v>
      </c>
      <c r="AC485" t="s">
        <v>173</v>
      </c>
      <c r="AD485" t="s">
        <v>155</v>
      </c>
      <c r="AE485" t="s">
        <v>454</v>
      </c>
      <c r="AF485" t="s">
        <v>21</v>
      </c>
    </row>
    <row r="486" spans="1:32">
      <c r="A486" t="s">
        <v>1146</v>
      </c>
      <c r="B486" s="37">
        <v>39979</v>
      </c>
      <c r="C486" s="38">
        <v>39979</v>
      </c>
      <c r="D486" s="38">
        <v>39979</v>
      </c>
      <c r="E486" s="38">
        <v>39965</v>
      </c>
      <c r="F486" s="39">
        <v>74</v>
      </c>
      <c r="G486" t="s">
        <v>21</v>
      </c>
      <c r="H486" t="s">
        <v>21</v>
      </c>
      <c r="I486">
        <v>0</v>
      </c>
      <c r="J486">
        <v>0</v>
      </c>
      <c r="K486">
        <v>0</v>
      </c>
      <c r="L486">
        <v>1</v>
      </c>
      <c r="M486">
        <v>0</v>
      </c>
      <c r="N486" t="s">
        <v>193</v>
      </c>
      <c r="O486" t="s">
        <v>213</v>
      </c>
      <c r="P486" t="s">
        <v>204</v>
      </c>
      <c r="Q486" t="s">
        <v>170</v>
      </c>
      <c r="R486" t="s">
        <v>155</v>
      </c>
      <c r="T486" t="s">
        <v>134</v>
      </c>
      <c r="U486">
        <v>1</v>
      </c>
      <c r="W486" t="s">
        <v>134</v>
      </c>
      <c r="X486">
        <v>1</v>
      </c>
      <c r="Y486" t="s">
        <v>140</v>
      </c>
      <c r="Z486" t="s">
        <v>187</v>
      </c>
      <c r="AA486" t="s">
        <v>143</v>
      </c>
      <c r="AB486" t="s">
        <v>162</v>
      </c>
      <c r="AC486" t="s">
        <v>597</v>
      </c>
      <c r="AD486" t="s">
        <v>160</v>
      </c>
      <c r="AE486" t="s">
        <v>726</v>
      </c>
      <c r="AF486" t="s">
        <v>1147</v>
      </c>
    </row>
    <row r="487" spans="1:32">
      <c r="A487" t="s">
        <v>1148</v>
      </c>
      <c r="B487" s="37">
        <v>39981</v>
      </c>
      <c r="C487" s="38">
        <v>39981</v>
      </c>
      <c r="D487" s="38">
        <v>39979</v>
      </c>
      <c r="E487" s="38">
        <v>39965</v>
      </c>
      <c r="F487" s="39">
        <v>76</v>
      </c>
      <c r="G487" t="s">
        <v>383</v>
      </c>
      <c r="H487" t="s">
        <v>17</v>
      </c>
      <c r="I487">
        <v>0</v>
      </c>
      <c r="J487">
        <v>0</v>
      </c>
      <c r="K487">
        <v>1</v>
      </c>
      <c r="L487">
        <v>0</v>
      </c>
      <c r="M487">
        <v>0</v>
      </c>
      <c r="N487" t="s">
        <v>196</v>
      </c>
      <c r="O487" t="s">
        <v>213</v>
      </c>
      <c r="P487" t="s">
        <v>207</v>
      </c>
      <c r="Q487" t="s">
        <v>170</v>
      </c>
      <c r="R487" t="s">
        <v>155</v>
      </c>
      <c r="T487" t="s">
        <v>134</v>
      </c>
      <c r="U487">
        <v>1</v>
      </c>
      <c r="W487" t="s">
        <v>134</v>
      </c>
      <c r="X487">
        <v>1</v>
      </c>
      <c r="Y487" t="s">
        <v>139</v>
      </c>
      <c r="Z487" t="s">
        <v>184</v>
      </c>
      <c r="AA487" t="s">
        <v>144</v>
      </c>
      <c r="AB487" t="s">
        <v>162</v>
      </c>
      <c r="AC487" t="s">
        <v>1149</v>
      </c>
      <c r="AD487" t="s">
        <v>157</v>
      </c>
      <c r="AE487" t="s">
        <v>130</v>
      </c>
      <c r="AF487" t="s">
        <v>437</v>
      </c>
    </row>
    <row r="488" spans="1:32">
      <c r="A488" t="s">
        <v>1150</v>
      </c>
      <c r="B488" s="37">
        <v>40047</v>
      </c>
      <c r="C488" s="38">
        <v>40047</v>
      </c>
      <c r="D488" s="38">
        <v>40042</v>
      </c>
      <c r="E488" s="38">
        <v>40026</v>
      </c>
      <c r="F488" s="39">
        <v>142</v>
      </c>
      <c r="G488" t="s">
        <v>21</v>
      </c>
      <c r="H488" t="s">
        <v>21</v>
      </c>
      <c r="I488">
        <v>0</v>
      </c>
      <c r="J488">
        <v>0</v>
      </c>
      <c r="K488">
        <v>0</v>
      </c>
      <c r="L488">
        <v>1</v>
      </c>
      <c r="M488">
        <v>0</v>
      </c>
      <c r="N488" t="s">
        <v>193</v>
      </c>
      <c r="O488" t="s">
        <v>213</v>
      </c>
      <c r="P488" t="s">
        <v>204</v>
      </c>
      <c r="Q488" t="s">
        <v>170</v>
      </c>
      <c r="R488" t="s">
        <v>155</v>
      </c>
      <c r="S488">
        <v>5</v>
      </c>
      <c r="T488" t="s">
        <v>135</v>
      </c>
      <c r="U488">
        <v>0</v>
      </c>
      <c r="V488">
        <v>5</v>
      </c>
      <c r="W488" t="s">
        <v>135</v>
      </c>
      <c r="X488">
        <v>0</v>
      </c>
      <c r="Y488" t="s">
        <v>140</v>
      </c>
      <c r="Z488" t="s">
        <v>181</v>
      </c>
      <c r="AA488" t="s">
        <v>145</v>
      </c>
      <c r="AB488" t="s">
        <v>163</v>
      </c>
      <c r="AC488" t="s">
        <v>173</v>
      </c>
      <c r="AD488" t="s">
        <v>155</v>
      </c>
      <c r="AE488" t="s">
        <v>128</v>
      </c>
      <c r="AF488" t="s">
        <v>21</v>
      </c>
    </row>
    <row r="489" spans="1:32">
      <c r="A489" t="s">
        <v>1151</v>
      </c>
      <c r="B489" s="37">
        <v>40050</v>
      </c>
      <c r="C489" s="38">
        <v>40050</v>
      </c>
      <c r="D489" s="38">
        <v>40049</v>
      </c>
      <c r="E489" s="38">
        <v>40026</v>
      </c>
      <c r="F489" s="39">
        <v>145</v>
      </c>
      <c r="G489" t="s">
        <v>21</v>
      </c>
      <c r="H489" t="s">
        <v>21</v>
      </c>
      <c r="I489">
        <v>0</v>
      </c>
      <c r="J489">
        <v>0</v>
      </c>
      <c r="K489">
        <v>0</v>
      </c>
      <c r="L489">
        <v>1</v>
      </c>
      <c r="M489">
        <v>0</v>
      </c>
      <c r="N489" t="s">
        <v>196</v>
      </c>
      <c r="O489" t="s">
        <v>213</v>
      </c>
      <c r="P489" t="s">
        <v>207</v>
      </c>
      <c r="Q489" t="s">
        <v>170</v>
      </c>
      <c r="R489" t="s">
        <v>155</v>
      </c>
      <c r="S489">
        <v>3</v>
      </c>
      <c r="T489" t="s">
        <v>137</v>
      </c>
      <c r="U489">
        <v>0</v>
      </c>
      <c r="V489">
        <v>3</v>
      </c>
      <c r="W489" t="s">
        <v>137</v>
      </c>
      <c r="X489">
        <v>0</v>
      </c>
      <c r="Y489" t="s">
        <v>139</v>
      </c>
      <c r="Z489" t="s">
        <v>179</v>
      </c>
      <c r="AA489" t="s">
        <v>142</v>
      </c>
      <c r="AB489" t="s">
        <v>162</v>
      </c>
      <c r="AC489" t="s">
        <v>21</v>
      </c>
      <c r="AD489" t="s">
        <v>160</v>
      </c>
      <c r="AE489" t="s">
        <v>126</v>
      </c>
      <c r="AF489" t="s">
        <v>551</v>
      </c>
    </row>
    <row r="490" spans="1:32">
      <c r="A490" t="s">
        <v>1152</v>
      </c>
      <c r="B490" s="37">
        <v>39915</v>
      </c>
      <c r="C490" s="38">
        <v>39915</v>
      </c>
      <c r="D490" s="38">
        <v>39909</v>
      </c>
      <c r="E490" s="38">
        <v>39904</v>
      </c>
      <c r="F490" s="39">
        <v>10</v>
      </c>
      <c r="G490" t="s">
        <v>21</v>
      </c>
      <c r="H490" t="s">
        <v>21</v>
      </c>
      <c r="I490">
        <v>0</v>
      </c>
      <c r="J490">
        <v>0</v>
      </c>
      <c r="K490">
        <v>0</v>
      </c>
      <c r="L490">
        <v>1</v>
      </c>
      <c r="M490">
        <v>0</v>
      </c>
      <c r="N490" t="s">
        <v>199</v>
      </c>
      <c r="O490" t="s">
        <v>213</v>
      </c>
      <c r="P490" t="s">
        <v>210</v>
      </c>
      <c r="Q490" t="s">
        <v>170</v>
      </c>
      <c r="R490" t="s">
        <v>155</v>
      </c>
      <c r="T490" t="s">
        <v>134</v>
      </c>
      <c r="U490">
        <v>1</v>
      </c>
      <c r="W490" t="s">
        <v>134</v>
      </c>
      <c r="X490">
        <v>1</v>
      </c>
      <c r="Y490" t="s">
        <v>139</v>
      </c>
      <c r="Z490" t="s">
        <v>186</v>
      </c>
      <c r="AA490" t="s">
        <v>148</v>
      </c>
      <c r="AB490" t="s">
        <v>163</v>
      </c>
      <c r="AC490" t="s">
        <v>21</v>
      </c>
      <c r="AD490" t="s">
        <v>155</v>
      </c>
      <c r="AE490" t="s">
        <v>387</v>
      </c>
      <c r="AF490" t="s">
        <v>21</v>
      </c>
    </row>
    <row r="491" spans="1:32">
      <c r="A491" t="s">
        <v>1153</v>
      </c>
      <c r="B491" s="37">
        <v>39935</v>
      </c>
      <c r="C491" s="38">
        <v>39935</v>
      </c>
      <c r="D491" s="38">
        <v>39930</v>
      </c>
      <c r="E491" s="38">
        <v>39934</v>
      </c>
      <c r="F491" s="39">
        <v>30</v>
      </c>
      <c r="G491" t="s">
        <v>21</v>
      </c>
      <c r="H491" t="s">
        <v>21</v>
      </c>
      <c r="I491">
        <v>0</v>
      </c>
      <c r="J491">
        <v>0</v>
      </c>
      <c r="K491">
        <v>0</v>
      </c>
      <c r="L491">
        <v>1</v>
      </c>
      <c r="M491">
        <v>0</v>
      </c>
      <c r="N491" t="s">
        <v>199</v>
      </c>
      <c r="O491" t="s">
        <v>213</v>
      </c>
      <c r="P491" t="s">
        <v>210</v>
      </c>
      <c r="Q491" t="s">
        <v>170</v>
      </c>
      <c r="R491" t="s">
        <v>155</v>
      </c>
      <c r="T491" t="s">
        <v>134</v>
      </c>
      <c r="U491">
        <v>1</v>
      </c>
      <c r="W491" t="s">
        <v>134</v>
      </c>
      <c r="X491">
        <v>1</v>
      </c>
      <c r="Y491" t="s">
        <v>139</v>
      </c>
      <c r="Z491" t="s">
        <v>187</v>
      </c>
      <c r="AA491" t="s">
        <v>147</v>
      </c>
      <c r="AB491" t="s">
        <v>163</v>
      </c>
      <c r="AC491" t="s">
        <v>1154</v>
      </c>
      <c r="AD491" t="s">
        <v>155</v>
      </c>
      <c r="AE491" t="s">
        <v>125</v>
      </c>
      <c r="AF491" t="s">
        <v>21</v>
      </c>
    </row>
    <row r="492" spans="1:32">
      <c r="A492" t="s">
        <v>1155</v>
      </c>
      <c r="B492" s="37">
        <v>39964</v>
      </c>
      <c r="C492" s="38">
        <v>39964</v>
      </c>
      <c r="D492" s="38">
        <v>39958</v>
      </c>
      <c r="E492" s="38">
        <v>39934</v>
      </c>
      <c r="F492" s="39">
        <v>59</v>
      </c>
      <c r="G492" t="s">
        <v>21</v>
      </c>
      <c r="H492" t="s">
        <v>21</v>
      </c>
      <c r="I492">
        <v>0</v>
      </c>
      <c r="J492">
        <v>0</v>
      </c>
      <c r="K492">
        <v>0</v>
      </c>
      <c r="L492">
        <v>1</v>
      </c>
      <c r="M492">
        <v>0</v>
      </c>
      <c r="N492" t="s">
        <v>193</v>
      </c>
      <c r="O492" t="s">
        <v>213</v>
      </c>
      <c r="P492" t="s">
        <v>204</v>
      </c>
      <c r="Q492" t="s">
        <v>170</v>
      </c>
      <c r="R492" t="s">
        <v>155</v>
      </c>
      <c r="T492" t="s">
        <v>134</v>
      </c>
      <c r="U492">
        <v>1</v>
      </c>
      <c r="W492" t="s">
        <v>134</v>
      </c>
      <c r="X492">
        <v>1</v>
      </c>
      <c r="Y492" t="s">
        <v>140</v>
      </c>
      <c r="Z492" t="s">
        <v>413</v>
      </c>
      <c r="AA492" t="s">
        <v>142</v>
      </c>
      <c r="AB492" t="s">
        <v>163</v>
      </c>
      <c r="AC492" t="s">
        <v>173</v>
      </c>
      <c r="AD492" t="s">
        <v>155</v>
      </c>
      <c r="AE492" t="s">
        <v>454</v>
      </c>
      <c r="AF492" t="s">
        <v>21</v>
      </c>
    </row>
    <row r="493" spans="1:32">
      <c r="A493" t="s">
        <v>1156</v>
      </c>
      <c r="B493" s="37">
        <v>39916</v>
      </c>
      <c r="C493" s="38">
        <v>39916</v>
      </c>
      <c r="D493" s="38">
        <v>39916</v>
      </c>
      <c r="E493" s="38">
        <v>39904</v>
      </c>
      <c r="F493" s="39">
        <v>11</v>
      </c>
      <c r="G493" t="s">
        <v>9</v>
      </c>
      <c r="H493" t="s">
        <v>9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198</v>
      </c>
      <c r="O493" t="s">
        <v>213</v>
      </c>
      <c r="P493" t="s">
        <v>208</v>
      </c>
      <c r="Q493" t="s">
        <v>170</v>
      </c>
      <c r="R493" t="s">
        <v>155</v>
      </c>
      <c r="T493" t="s">
        <v>134</v>
      </c>
      <c r="U493">
        <v>1</v>
      </c>
      <c r="W493" t="s">
        <v>134</v>
      </c>
      <c r="X493">
        <v>1</v>
      </c>
      <c r="Y493" t="s">
        <v>139</v>
      </c>
      <c r="Z493" t="s">
        <v>413</v>
      </c>
      <c r="AA493" t="s">
        <v>148</v>
      </c>
      <c r="AB493" t="s">
        <v>163</v>
      </c>
      <c r="AC493" t="s">
        <v>173</v>
      </c>
      <c r="AD493" t="s">
        <v>161</v>
      </c>
      <c r="AE493" t="s">
        <v>465</v>
      </c>
      <c r="AF493" t="s">
        <v>21</v>
      </c>
    </row>
    <row r="494" spans="1:32">
      <c r="A494" t="s">
        <v>1157</v>
      </c>
      <c r="B494" s="37">
        <v>39963</v>
      </c>
      <c r="C494" s="38">
        <v>39963</v>
      </c>
      <c r="D494" s="38">
        <v>39958</v>
      </c>
      <c r="E494" s="38">
        <v>39934</v>
      </c>
      <c r="F494" s="39">
        <v>58</v>
      </c>
      <c r="G494" t="s">
        <v>21</v>
      </c>
      <c r="H494" t="s">
        <v>21</v>
      </c>
      <c r="I494">
        <v>0</v>
      </c>
      <c r="J494">
        <v>0</v>
      </c>
      <c r="K494">
        <v>0</v>
      </c>
      <c r="L494">
        <v>1</v>
      </c>
      <c r="M494">
        <v>0</v>
      </c>
      <c r="N494" t="s">
        <v>193</v>
      </c>
      <c r="O494" t="s">
        <v>213</v>
      </c>
      <c r="P494" t="s">
        <v>204</v>
      </c>
      <c r="Q494" t="s">
        <v>170</v>
      </c>
      <c r="R494" t="s">
        <v>155</v>
      </c>
      <c r="T494" t="s">
        <v>134</v>
      </c>
      <c r="U494">
        <v>1</v>
      </c>
      <c r="W494" t="s">
        <v>134</v>
      </c>
      <c r="X494">
        <v>1</v>
      </c>
      <c r="Y494" t="s">
        <v>140</v>
      </c>
      <c r="Z494" t="s">
        <v>179</v>
      </c>
      <c r="AA494" t="s">
        <v>144</v>
      </c>
      <c r="AB494" t="s">
        <v>163</v>
      </c>
      <c r="AC494" t="s">
        <v>173</v>
      </c>
      <c r="AD494" t="s">
        <v>155</v>
      </c>
      <c r="AE494" t="s">
        <v>962</v>
      </c>
      <c r="AF494" t="s">
        <v>21</v>
      </c>
    </row>
    <row r="495" spans="1:32">
      <c r="A495" t="s">
        <v>1158</v>
      </c>
      <c r="B495" s="37">
        <v>39972</v>
      </c>
      <c r="C495" s="38">
        <v>39972</v>
      </c>
      <c r="D495" s="38">
        <v>39972</v>
      </c>
      <c r="E495" s="38">
        <v>39965</v>
      </c>
      <c r="F495" s="39">
        <v>67</v>
      </c>
      <c r="G495" t="s">
        <v>21</v>
      </c>
      <c r="H495" t="s">
        <v>21</v>
      </c>
      <c r="I495">
        <v>0</v>
      </c>
      <c r="J495">
        <v>0</v>
      </c>
      <c r="K495">
        <v>0</v>
      </c>
      <c r="L495">
        <v>1</v>
      </c>
      <c r="M495">
        <v>0</v>
      </c>
      <c r="N495" t="s">
        <v>195</v>
      </c>
      <c r="O495" t="s">
        <v>213</v>
      </c>
      <c r="P495" t="s">
        <v>206</v>
      </c>
      <c r="Q495" t="s">
        <v>170</v>
      </c>
      <c r="R495" t="s">
        <v>155</v>
      </c>
      <c r="T495" t="s">
        <v>134</v>
      </c>
      <c r="U495">
        <v>1</v>
      </c>
      <c r="W495" t="s">
        <v>134</v>
      </c>
      <c r="X495">
        <v>1</v>
      </c>
      <c r="Y495" t="s">
        <v>139</v>
      </c>
      <c r="Z495" t="s">
        <v>183</v>
      </c>
      <c r="AA495" t="s">
        <v>143</v>
      </c>
      <c r="AB495" t="s">
        <v>163</v>
      </c>
      <c r="AC495" t="s">
        <v>1159</v>
      </c>
      <c r="AD495" t="s">
        <v>155</v>
      </c>
      <c r="AE495" t="s">
        <v>129</v>
      </c>
      <c r="AF495" t="s">
        <v>21</v>
      </c>
    </row>
    <row r="496" spans="1:32">
      <c r="A496" t="s">
        <v>1160</v>
      </c>
      <c r="B496" s="37">
        <v>39982</v>
      </c>
      <c r="C496" s="38">
        <v>39982</v>
      </c>
      <c r="D496" s="38">
        <v>39979</v>
      </c>
      <c r="E496" s="38">
        <v>39965</v>
      </c>
      <c r="F496" s="39">
        <v>77</v>
      </c>
      <c r="G496" t="s">
        <v>383</v>
      </c>
      <c r="H496" t="s">
        <v>17</v>
      </c>
      <c r="I496">
        <v>0</v>
      </c>
      <c r="J496">
        <v>0</v>
      </c>
      <c r="K496">
        <v>1</v>
      </c>
      <c r="L496">
        <v>0</v>
      </c>
      <c r="M496">
        <v>0</v>
      </c>
      <c r="N496" t="s">
        <v>193</v>
      </c>
      <c r="O496" t="s">
        <v>213</v>
      </c>
      <c r="P496" t="s">
        <v>204</v>
      </c>
      <c r="Q496" t="s">
        <v>170</v>
      </c>
      <c r="R496" t="s">
        <v>155</v>
      </c>
      <c r="T496" t="s">
        <v>134</v>
      </c>
      <c r="U496">
        <v>1</v>
      </c>
      <c r="W496" t="s">
        <v>134</v>
      </c>
      <c r="X496">
        <v>1</v>
      </c>
      <c r="Y496" t="s">
        <v>140</v>
      </c>
      <c r="Z496" t="s">
        <v>433</v>
      </c>
      <c r="AA496" t="s">
        <v>142</v>
      </c>
      <c r="AB496" t="s">
        <v>163</v>
      </c>
      <c r="AC496" t="s">
        <v>21</v>
      </c>
      <c r="AD496" t="s">
        <v>155</v>
      </c>
      <c r="AE496" t="s">
        <v>130</v>
      </c>
      <c r="AF496" t="s">
        <v>21</v>
      </c>
    </row>
    <row r="497" spans="1:32">
      <c r="A497" t="s">
        <v>1161</v>
      </c>
      <c r="B497" s="37">
        <v>39944</v>
      </c>
      <c r="C497" s="38">
        <v>39944</v>
      </c>
      <c r="D497" s="38">
        <v>39944</v>
      </c>
      <c r="E497" s="38">
        <v>39934</v>
      </c>
      <c r="F497" s="39">
        <v>39</v>
      </c>
      <c r="G497" t="s">
        <v>9</v>
      </c>
      <c r="H497" t="s">
        <v>9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194</v>
      </c>
      <c r="O497" t="s">
        <v>213</v>
      </c>
      <c r="P497" t="s">
        <v>205</v>
      </c>
      <c r="Q497" t="s">
        <v>170</v>
      </c>
      <c r="R497" t="s">
        <v>155</v>
      </c>
      <c r="T497" t="s">
        <v>134</v>
      </c>
      <c r="U497">
        <v>1</v>
      </c>
      <c r="W497" t="s">
        <v>134</v>
      </c>
      <c r="X497">
        <v>1</v>
      </c>
      <c r="Y497" t="s">
        <v>139</v>
      </c>
      <c r="Z497" t="s">
        <v>178</v>
      </c>
      <c r="AA497" t="s">
        <v>142</v>
      </c>
      <c r="AB497" t="s">
        <v>163</v>
      </c>
      <c r="AC497" t="s">
        <v>173</v>
      </c>
      <c r="AD497" t="s">
        <v>155</v>
      </c>
      <c r="AE497" t="s">
        <v>124</v>
      </c>
      <c r="AF497" t="s">
        <v>21</v>
      </c>
    </row>
    <row r="498" spans="1:32">
      <c r="A498" t="s">
        <v>1162</v>
      </c>
      <c r="B498" s="37">
        <v>39978</v>
      </c>
      <c r="C498" s="38">
        <v>39978</v>
      </c>
      <c r="D498" s="38">
        <v>39972</v>
      </c>
      <c r="E498" s="38">
        <v>39965</v>
      </c>
      <c r="F498" s="39">
        <v>73</v>
      </c>
      <c r="G498" t="s">
        <v>21</v>
      </c>
      <c r="H498" t="s">
        <v>21</v>
      </c>
      <c r="I498">
        <v>0</v>
      </c>
      <c r="J498">
        <v>0</v>
      </c>
      <c r="K498">
        <v>0</v>
      </c>
      <c r="L498">
        <v>1</v>
      </c>
      <c r="M498">
        <v>0</v>
      </c>
      <c r="N498" t="s">
        <v>194</v>
      </c>
      <c r="O498" t="s">
        <v>213</v>
      </c>
      <c r="P498" t="s">
        <v>205</v>
      </c>
      <c r="Q498" t="s">
        <v>170</v>
      </c>
      <c r="R498" t="s">
        <v>155</v>
      </c>
      <c r="T498" t="s">
        <v>134</v>
      </c>
      <c r="U498">
        <v>1</v>
      </c>
      <c r="W498" t="s">
        <v>134</v>
      </c>
      <c r="X498">
        <v>1</v>
      </c>
      <c r="Y498" t="s">
        <v>139</v>
      </c>
      <c r="Z498" t="s">
        <v>937</v>
      </c>
      <c r="AA498" t="s">
        <v>143</v>
      </c>
      <c r="AB498" t="s">
        <v>163</v>
      </c>
      <c r="AC498" t="s">
        <v>173</v>
      </c>
      <c r="AD498" t="s">
        <v>155</v>
      </c>
      <c r="AE498" t="s">
        <v>387</v>
      </c>
      <c r="AF498" t="s">
        <v>21</v>
      </c>
    </row>
    <row r="499" spans="1:32">
      <c r="A499" t="s">
        <v>1163</v>
      </c>
      <c r="B499" s="37">
        <v>40024</v>
      </c>
      <c r="C499" s="38">
        <v>40024</v>
      </c>
      <c r="D499" s="38">
        <v>40021</v>
      </c>
      <c r="E499" s="38">
        <v>39995</v>
      </c>
      <c r="F499" s="39">
        <v>119</v>
      </c>
      <c r="G499" t="s">
        <v>21</v>
      </c>
      <c r="H499" t="s">
        <v>21</v>
      </c>
      <c r="I499">
        <v>0</v>
      </c>
      <c r="J499">
        <v>0</v>
      </c>
      <c r="K499">
        <v>0</v>
      </c>
      <c r="L499">
        <v>1</v>
      </c>
      <c r="M499">
        <v>0</v>
      </c>
      <c r="N499" t="s">
        <v>193</v>
      </c>
      <c r="O499" t="s">
        <v>213</v>
      </c>
      <c r="P499" t="s">
        <v>204</v>
      </c>
      <c r="Q499" t="s">
        <v>170</v>
      </c>
      <c r="R499" t="s">
        <v>155</v>
      </c>
      <c r="S499">
        <v>5</v>
      </c>
      <c r="T499" t="s">
        <v>135</v>
      </c>
      <c r="U499">
        <v>0</v>
      </c>
      <c r="V499">
        <v>3</v>
      </c>
      <c r="W499" t="s">
        <v>137</v>
      </c>
      <c r="X499">
        <v>0</v>
      </c>
      <c r="Y499" t="s">
        <v>140</v>
      </c>
      <c r="Z499" t="s">
        <v>810</v>
      </c>
      <c r="AA499" t="s">
        <v>145</v>
      </c>
      <c r="AB499" t="s">
        <v>162</v>
      </c>
      <c r="AC499" t="s">
        <v>175</v>
      </c>
      <c r="AD499" t="s">
        <v>155</v>
      </c>
      <c r="AE499" t="s">
        <v>129</v>
      </c>
      <c r="AF499" t="s">
        <v>21</v>
      </c>
    </row>
    <row r="500" spans="1:32">
      <c r="A500" t="s">
        <v>1164</v>
      </c>
      <c r="B500" s="37">
        <v>40009</v>
      </c>
      <c r="C500" s="38">
        <v>40009</v>
      </c>
      <c r="D500" s="38">
        <v>40007</v>
      </c>
      <c r="E500" s="38">
        <v>39995</v>
      </c>
      <c r="F500" s="39">
        <v>104</v>
      </c>
      <c r="G500" t="s">
        <v>21</v>
      </c>
      <c r="H500" t="s">
        <v>21</v>
      </c>
      <c r="I500">
        <v>0</v>
      </c>
      <c r="J500">
        <v>0</v>
      </c>
      <c r="K500">
        <v>0</v>
      </c>
      <c r="L500">
        <v>1</v>
      </c>
      <c r="M500">
        <v>0</v>
      </c>
      <c r="N500" t="s">
        <v>193</v>
      </c>
      <c r="O500" t="s">
        <v>213</v>
      </c>
      <c r="P500" t="s">
        <v>204</v>
      </c>
      <c r="Q500" t="s">
        <v>170</v>
      </c>
      <c r="R500" t="s">
        <v>155</v>
      </c>
      <c r="S500">
        <v>5</v>
      </c>
      <c r="T500" t="s">
        <v>135</v>
      </c>
      <c r="U500">
        <v>0</v>
      </c>
      <c r="V500">
        <v>3</v>
      </c>
      <c r="W500" t="s">
        <v>137</v>
      </c>
      <c r="X500">
        <v>0</v>
      </c>
      <c r="Y500" t="s">
        <v>140</v>
      </c>
      <c r="Z500" t="s">
        <v>184</v>
      </c>
      <c r="AA500" t="s">
        <v>142</v>
      </c>
      <c r="AB500" t="s">
        <v>162</v>
      </c>
      <c r="AC500" t="s">
        <v>175</v>
      </c>
      <c r="AD500" t="s">
        <v>155</v>
      </c>
      <c r="AE500" t="s">
        <v>129</v>
      </c>
      <c r="AF500" t="s">
        <v>21</v>
      </c>
    </row>
    <row r="501" spans="1:32">
      <c r="A501" t="s">
        <v>1165</v>
      </c>
      <c r="B501" s="37">
        <v>40034</v>
      </c>
      <c r="C501" s="38">
        <v>40034</v>
      </c>
      <c r="D501" s="38">
        <v>40028</v>
      </c>
      <c r="E501" s="38">
        <v>40026</v>
      </c>
      <c r="F501" s="39">
        <v>129</v>
      </c>
      <c r="G501" t="s">
        <v>21</v>
      </c>
      <c r="H501" t="s">
        <v>21</v>
      </c>
      <c r="I501">
        <v>0</v>
      </c>
      <c r="J501">
        <v>0</v>
      </c>
      <c r="K501">
        <v>0</v>
      </c>
      <c r="L501">
        <v>1</v>
      </c>
      <c r="M501">
        <v>0</v>
      </c>
      <c r="N501" t="s">
        <v>193</v>
      </c>
      <c r="O501" t="s">
        <v>213</v>
      </c>
      <c r="P501" t="s">
        <v>204</v>
      </c>
      <c r="Q501" t="s">
        <v>170</v>
      </c>
      <c r="R501" t="s">
        <v>155</v>
      </c>
      <c r="S501">
        <v>5</v>
      </c>
      <c r="T501" t="s">
        <v>135</v>
      </c>
      <c r="U501">
        <v>0</v>
      </c>
      <c r="V501">
        <v>2</v>
      </c>
      <c r="W501" t="s">
        <v>136</v>
      </c>
      <c r="X501">
        <v>0</v>
      </c>
      <c r="Y501" t="s">
        <v>140</v>
      </c>
      <c r="Z501" t="s">
        <v>181</v>
      </c>
      <c r="AA501" t="s">
        <v>146</v>
      </c>
      <c r="AB501" t="s">
        <v>162</v>
      </c>
      <c r="AC501" t="s">
        <v>659</v>
      </c>
      <c r="AD501" t="s">
        <v>157</v>
      </c>
      <c r="AE501" t="s">
        <v>501</v>
      </c>
      <c r="AF501" t="s">
        <v>881</v>
      </c>
    </row>
    <row r="502" spans="1:32">
      <c r="A502" t="s">
        <v>1166</v>
      </c>
      <c r="B502" s="37">
        <v>39916</v>
      </c>
      <c r="C502" s="38">
        <v>39916</v>
      </c>
      <c r="D502" s="38">
        <v>39916</v>
      </c>
      <c r="E502" s="38">
        <v>39904</v>
      </c>
      <c r="F502" s="39">
        <v>11</v>
      </c>
      <c r="G502" t="s">
        <v>21</v>
      </c>
      <c r="H502" t="s">
        <v>21</v>
      </c>
      <c r="I502">
        <v>0</v>
      </c>
      <c r="J502">
        <v>0</v>
      </c>
      <c r="K502">
        <v>0</v>
      </c>
      <c r="L502">
        <v>1</v>
      </c>
      <c r="M502">
        <v>0</v>
      </c>
      <c r="N502" t="s">
        <v>193</v>
      </c>
      <c r="O502" t="s">
        <v>213</v>
      </c>
      <c r="P502" t="s">
        <v>204</v>
      </c>
      <c r="Q502" t="s">
        <v>170</v>
      </c>
      <c r="R502" t="s">
        <v>155</v>
      </c>
      <c r="T502" t="s">
        <v>134</v>
      </c>
      <c r="U502">
        <v>1</v>
      </c>
      <c r="W502" t="s">
        <v>134</v>
      </c>
      <c r="X502">
        <v>1</v>
      </c>
      <c r="Y502" t="s">
        <v>140</v>
      </c>
      <c r="Z502" t="s">
        <v>188</v>
      </c>
      <c r="AA502" t="s">
        <v>142</v>
      </c>
      <c r="AB502" t="s">
        <v>163</v>
      </c>
      <c r="AC502" t="s">
        <v>21</v>
      </c>
      <c r="AD502" t="s">
        <v>155</v>
      </c>
      <c r="AE502" t="s">
        <v>127</v>
      </c>
      <c r="AF502" t="s">
        <v>21</v>
      </c>
    </row>
    <row r="503" spans="1:32">
      <c r="A503" t="s">
        <v>1167</v>
      </c>
      <c r="B503" s="37">
        <v>40005</v>
      </c>
      <c r="C503" s="38">
        <v>40005</v>
      </c>
      <c r="D503" s="38">
        <v>40000</v>
      </c>
      <c r="E503" s="38">
        <v>39995</v>
      </c>
      <c r="F503" s="39">
        <v>100</v>
      </c>
      <c r="G503" t="s">
        <v>21</v>
      </c>
      <c r="H503" t="s">
        <v>21</v>
      </c>
      <c r="I503">
        <v>0</v>
      </c>
      <c r="J503">
        <v>0</v>
      </c>
      <c r="K503">
        <v>0</v>
      </c>
      <c r="L503">
        <v>1</v>
      </c>
      <c r="M503">
        <v>0</v>
      </c>
      <c r="N503" t="s">
        <v>195</v>
      </c>
      <c r="O503" t="s">
        <v>213</v>
      </c>
      <c r="P503" t="s">
        <v>206</v>
      </c>
      <c r="Q503" t="s">
        <v>170</v>
      </c>
      <c r="R503" t="s">
        <v>155</v>
      </c>
      <c r="S503">
        <v>4</v>
      </c>
      <c r="T503" t="s">
        <v>137</v>
      </c>
      <c r="U503">
        <v>0</v>
      </c>
      <c r="V503">
        <v>3</v>
      </c>
      <c r="W503" t="s">
        <v>137</v>
      </c>
      <c r="X503">
        <v>0</v>
      </c>
      <c r="Y503" t="s">
        <v>139</v>
      </c>
      <c r="Z503" t="s">
        <v>182</v>
      </c>
      <c r="AA503" t="s">
        <v>144</v>
      </c>
      <c r="AB503" t="s">
        <v>162</v>
      </c>
      <c r="AC503" t="s">
        <v>1168</v>
      </c>
      <c r="AD503" t="s">
        <v>155</v>
      </c>
      <c r="AE503" t="s">
        <v>127</v>
      </c>
      <c r="AF503" t="s">
        <v>21</v>
      </c>
    </row>
    <row r="504" spans="1:32">
      <c r="A504" t="s">
        <v>1169</v>
      </c>
      <c r="B504" s="37">
        <v>39947</v>
      </c>
      <c r="C504" s="38">
        <v>39947</v>
      </c>
      <c r="D504" s="38">
        <v>39944</v>
      </c>
      <c r="E504" s="38">
        <v>39934</v>
      </c>
      <c r="F504" s="39">
        <v>42</v>
      </c>
      <c r="G504" t="s">
        <v>9</v>
      </c>
      <c r="H504" t="s">
        <v>9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194</v>
      </c>
      <c r="O504" t="s">
        <v>213</v>
      </c>
      <c r="P504" t="s">
        <v>205</v>
      </c>
      <c r="Q504" t="s">
        <v>170</v>
      </c>
      <c r="R504" t="s">
        <v>155</v>
      </c>
      <c r="T504" t="s">
        <v>134</v>
      </c>
      <c r="U504">
        <v>1</v>
      </c>
      <c r="W504" t="s">
        <v>134</v>
      </c>
      <c r="X504">
        <v>1</v>
      </c>
      <c r="Y504" t="s">
        <v>139</v>
      </c>
      <c r="Z504" t="s">
        <v>191</v>
      </c>
      <c r="AA504" t="s">
        <v>148</v>
      </c>
      <c r="AB504" t="s">
        <v>165</v>
      </c>
      <c r="AC504" t="s">
        <v>21</v>
      </c>
      <c r="AD504" t="s">
        <v>158</v>
      </c>
      <c r="AE504" t="s">
        <v>122</v>
      </c>
      <c r="AF504" t="s">
        <v>21</v>
      </c>
    </row>
    <row r="505" spans="1:32">
      <c r="A505" t="s">
        <v>1170</v>
      </c>
      <c r="B505" s="37">
        <v>40075</v>
      </c>
      <c r="C505" s="38">
        <v>40075</v>
      </c>
      <c r="D505" s="38">
        <v>40070</v>
      </c>
      <c r="E505" s="38">
        <v>40057</v>
      </c>
      <c r="F505" s="39">
        <v>170</v>
      </c>
      <c r="G505" t="s">
        <v>21</v>
      </c>
      <c r="H505" t="s">
        <v>21</v>
      </c>
      <c r="I505">
        <v>0</v>
      </c>
      <c r="J505">
        <v>0</v>
      </c>
      <c r="K505">
        <v>0</v>
      </c>
      <c r="L505">
        <v>1</v>
      </c>
      <c r="M505">
        <v>0</v>
      </c>
      <c r="N505" t="s">
        <v>193</v>
      </c>
      <c r="O505" t="s">
        <v>213</v>
      </c>
      <c r="P505" t="s">
        <v>204</v>
      </c>
      <c r="Q505" t="s">
        <v>170</v>
      </c>
      <c r="R505" t="s">
        <v>155</v>
      </c>
      <c r="S505">
        <v>5</v>
      </c>
      <c r="T505" t="s">
        <v>135</v>
      </c>
      <c r="U505">
        <v>0</v>
      </c>
      <c r="V505">
        <v>5</v>
      </c>
      <c r="W505" t="s">
        <v>135</v>
      </c>
      <c r="X505">
        <v>0</v>
      </c>
      <c r="Y505" t="s">
        <v>140</v>
      </c>
      <c r="Z505" t="s">
        <v>189</v>
      </c>
      <c r="AA505" t="s">
        <v>145</v>
      </c>
      <c r="AB505" t="s">
        <v>163</v>
      </c>
      <c r="AC505" t="s">
        <v>173</v>
      </c>
      <c r="AD505" t="s">
        <v>155</v>
      </c>
      <c r="AE505" t="s">
        <v>454</v>
      </c>
      <c r="AF505" t="s">
        <v>21</v>
      </c>
    </row>
    <row r="506" spans="1:32">
      <c r="A506" t="s">
        <v>1171</v>
      </c>
      <c r="B506" s="37">
        <v>40035</v>
      </c>
      <c r="C506" s="38">
        <v>40035</v>
      </c>
      <c r="D506" s="38">
        <v>40035</v>
      </c>
      <c r="E506" s="38">
        <v>40026</v>
      </c>
      <c r="F506" s="39">
        <v>130</v>
      </c>
      <c r="G506" t="s">
        <v>21</v>
      </c>
      <c r="H506" t="s">
        <v>21</v>
      </c>
      <c r="I506">
        <v>0</v>
      </c>
      <c r="J506">
        <v>0</v>
      </c>
      <c r="K506">
        <v>0</v>
      </c>
      <c r="L506">
        <v>1</v>
      </c>
      <c r="M506">
        <v>0</v>
      </c>
      <c r="N506" t="s">
        <v>196</v>
      </c>
      <c r="O506" t="s">
        <v>213</v>
      </c>
      <c r="P506" t="s">
        <v>207</v>
      </c>
      <c r="Q506" t="s">
        <v>170</v>
      </c>
      <c r="R506" t="s">
        <v>155</v>
      </c>
      <c r="S506">
        <v>5</v>
      </c>
      <c r="T506" t="s">
        <v>135</v>
      </c>
      <c r="U506">
        <v>0</v>
      </c>
      <c r="V506">
        <v>4</v>
      </c>
      <c r="W506" t="s">
        <v>137</v>
      </c>
      <c r="X506">
        <v>0</v>
      </c>
      <c r="Y506" t="s">
        <v>139</v>
      </c>
      <c r="Z506" t="s">
        <v>184</v>
      </c>
      <c r="AA506" t="s">
        <v>145</v>
      </c>
      <c r="AB506" t="s">
        <v>162</v>
      </c>
      <c r="AC506" t="s">
        <v>175</v>
      </c>
      <c r="AD506" t="s">
        <v>155</v>
      </c>
      <c r="AE506" t="s">
        <v>129</v>
      </c>
      <c r="AF506" t="s">
        <v>21</v>
      </c>
    </row>
    <row r="507" spans="1:32">
      <c r="A507" t="s">
        <v>1172</v>
      </c>
      <c r="B507" s="37">
        <v>40081</v>
      </c>
      <c r="C507" s="38">
        <v>40081</v>
      </c>
      <c r="D507" s="38">
        <v>40077</v>
      </c>
      <c r="E507" s="38">
        <v>40057</v>
      </c>
      <c r="F507" s="39">
        <v>176</v>
      </c>
      <c r="G507" t="s">
        <v>21</v>
      </c>
      <c r="H507" t="s">
        <v>21</v>
      </c>
      <c r="I507">
        <v>0</v>
      </c>
      <c r="J507">
        <v>0</v>
      </c>
      <c r="K507">
        <v>0</v>
      </c>
      <c r="L507">
        <v>1</v>
      </c>
      <c r="M507">
        <v>0</v>
      </c>
      <c r="N507" t="s">
        <v>197</v>
      </c>
      <c r="O507" t="s">
        <v>213</v>
      </c>
      <c r="P507" t="s">
        <v>209</v>
      </c>
      <c r="Q507" t="s">
        <v>170</v>
      </c>
      <c r="R507" t="s">
        <v>155</v>
      </c>
      <c r="S507">
        <v>5</v>
      </c>
      <c r="T507" t="s">
        <v>135</v>
      </c>
      <c r="U507">
        <v>0</v>
      </c>
      <c r="V507">
        <v>5</v>
      </c>
      <c r="W507" t="s">
        <v>135</v>
      </c>
      <c r="X507">
        <v>0</v>
      </c>
      <c r="Y507" t="s">
        <v>139</v>
      </c>
      <c r="Z507" t="s">
        <v>184</v>
      </c>
      <c r="AA507" t="s">
        <v>143</v>
      </c>
      <c r="AB507" t="s">
        <v>163</v>
      </c>
      <c r="AC507" t="s">
        <v>1173</v>
      </c>
      <c r="AD507" t="s">
        <v>155</v>
      </c>
      <c r="AE507" t="s">
        <v>128</v>
      </c>
      <c r="AF507" t="s">
        <v>21</v>
      </c>
    </row>
    <row r="508" spans="1:32">
      <c r="A508" t="s">
        <v>1174</v>
      </c>
      <c r="B508" s="37">
        <v>40000</v>
      </c>
      <c r="C508" s="38">
        <v>40000</v>
      </c>
      <c r="D508" s="38">
        <v>40000</v>
      </c>
      <c r="E508" s="38">
        <v>39995</v>
      </c>
      <c r="F508" s="39">
        <v>95</v>
      </c>
      <c r="G508" t="s">
        <v>21</v>
      </c>
      <c r="H508" t="s">
        <v>21</v>
      </c>
      <c r="I508">
        <v>0</v>
      </c>
      <c r="J508">
        <v>0</v>
      </c>
      <c r="K508">
        <v>0</v>
      </c>
      <c r="L508">
        <v>1</v>
      </c>
      <c r="M508">
        <v>0</v>
      </c>
      <c r="N508" t="s">
        <v>194</v>
      </c>
      <c r="O508" t="s">
        <v>213</v>
      </c>
      <c r="P508" t="s">
        <v>205</v>
      </c>
      <c r="Q508" t="s">
        <v>170</v>
      </c>
      <c r="R508" t="s">
        <v>155</v>
      </c>
      <c r="T508" t="s">
        <v>134</v>
      </c>
      <c r="U508">
        <v>1</v>
      </c>
      <c r="V508">
        <v>3</v>
      </c>
      <c r="W508" t="s">
        <v>137</v>
      </c>
      <c r="X508">
        <v>0</v>
      </c>
      <c r="Y508" t="s">
        <v>139</v>
      </c>
      <c r="Z508" t="s">
        <v>184</v>
      </c>
      <c r="AA508" t="s">
        <v>144</v>
      </c>
      <c r="AB508" t="s">
        <v>162</v>
      </c>
      <c r="AC508" t="s">
        <v>21</v>
      </c>
      <c r="AD508" t="s">
        <v>155</v>
      </c>
      <c r="AE508" t="s">
        <v>127</v>
      </c>
      <c r="AF508" t="s">
        <v>21</v>
      </c>
    </row>
    <row r="509" spans="1:32">
      <c r="A509" t="s">
        <v>1175</v>
      </c>
      <c r="B509" s="37">
        <v>40046</v>
      </c>
      <c r="C509" s="38">
        <v>40046</v>
      </c>
      <c r="D509" s="38">
        <v>40042</v>
      </c>
      <c r="E509" s="38">
        <v>40026</v>
      </c>
      <c r="F509" s="39">
        <v>141</v>
      </c>
      <c r="G509" t="s">
        <v>21</v>
      </c>
      <c r="H509" t="s">
        <v>21</v>
      </c>
      <c r="I509">
        <v>0</v>
      </c>
      <c r="J509">
        <v>0</v>
      </c>
      <c r="K509">
        <v>0</v>
      </c>
      <c r="L509">
        <v>1</v>
      </c>
      <c r="M509">
        <v>0</v>
      </c>
      <c r="N509" t="s">
        <v>193</v>
      </c>
      <c r="O509" t="s">
        <v>213</v>
      </c>
      <c r="P509" t="s">
        <v>204</v>
      </c>
      <c r="Q509" t="s">
        <v>170</v>
      </c>
      <c r="R509" t="s">
        <v>155</v>
      </c>
      <c r="S509">
        <v>5</v>
      </c>
      <c r="T509" t="s">
        <v>135</v>
      </c>
      <c r="U509">
        <v>0</v>
      </c>
      <c r="V509">
        <v>3</v>
      </c>
      <c r="W509" t="s">
        <v>137</v>
      </c>
      <c r="X509">
        <v>0</v>
      </c>
      <c r="Y509" t="s">
        <v>140</v>
      </c>
      <c r="Z509" t="s">
        <v>810</v>
      </c>
      <c r="AA509" t="s">
        <v>142</v>
      </c>
      <c r="AB509" t="s">
        <v>162</v>
      </c>
      <c r="AC509" t="s">
        <v>174</v>
      </c>
      <c r="AD509" t="s">
        <v>159</v>
      </c>
      <c r="AE509" t="s">
        <v>123</v>
      </c>
      <c r="AF509" t="s">
        <v>123</v>
      </c>
    </row>
    <row r="510" spans="1:32">
      <c r="A510" t="s">
        <v>1176</v>
      </c>
      <c r="B510" s="37">
        <v>40070</v>
      </c>
      <c r="C510" s="38">
        <v>40070</v>
      </c>
      <c r="D510" s="38">
        <v>40070</v>
      </c>
      <c r="E510" s="38">
        <v>40057</v>
      </c>
      <c r="F510" s="39">
        <v>165</v>
      </c>
      <c r="G510" t="s">
        <v>380</v>
      </c>
      <c r="H510" t="s">
        <v>17</v>
      </c>
      <c r="I510">
        <v>0</v>
      </c>
      <c r="J510">
        <v>0</v>
      </c>
      <c r="K510">
        <v>1</v>
      </c>
      <c r="L510">
        <v>0</v>
      </c>
      <c r="M510">
        <v>0</v>
      </c>
      <c r="N510" t="s">
        <v>193</v>
      </c>
      <c r="O510" t="s">
        <v>213</v>
      </c>
      <c r="P510" t="s">
        <v>204</v>
      </c>
      <c r="Q510" t="s">
        <v>170</v>
      </c>
      <c r="R510" t="s">
        <v>155</v>
      </c>
      <c r="S510">
        <v>1</v>
      </c>
      <c r="T510" t="s">
        <v>136</v>
      </c>
      <c r="U510">
        <v>0</v>
      </c>
      <c r="V510">
        <v>4</v>
      </c>
      <c r="W510" t="s">
        <v>137</v>
      </c>
      <c r="X510">
        <v>0</v>
      </c>
      <c r="Y510" t="s">
        <v>140</v>
      </c>
      <c r="Z510" t="s">
        <v>179</v>
      </c>
      <c r="AA510" t="s">
        <v>143</v>
      </c>
      <c r="AB510" t="s">
        <v>163</v>
      </c>
      <c r="AC510" t="s">
        <v>1042</v>
      </c>
      <c r="AD510" t="s">
        <v>155</v>
      </c>
      <c r="AE510" t="s">
        <v>128</v>
      </c>
      <c r="AF510" t="s">
        <v>21</v>
      </c>
    </row>
    <row r="511" spans="1:32">
      <c r="A511" t="s">
        <v>1177</v>
      </c>
      <c r="B511" s="37">
        <v>39962</v>
      </c>
      <c r="C511" s="38">
        <v>39962</v>
      </c>
      <c r="D511" s="38">
        <v>39958</v>
      </c>
      <c r="E511" s="38">
        <v>39934</v>
      </c>
      <c r="F511" s="39">
        <v>57</v>
      </c>
      <c r="G511" t="s">
        <v>380</v>
      </c>
      <c r="H511" t="s">
        <v>17</v>
      </c>
      <c r="I511">
        <v>0</v>
      </c>
      <c r="J511">
        <v>0</v>
      </c>
      <c r="K511">
        <v>1</v>
      </c>
      <c r="L511">
        <v>0</v>
      </c>
      <c r="M511">
        <v>0</v>
      </c>
      <c r="N511" t="s">
        <v>193</v>
      </c>
      <c r="O511" t="s">
        <v>213</v>
      </c>
      <c r="P511" t="s">
        <v>204</v>
      </c>
      <c r="Q511" t="s">
        <v>170</v>
      </c>
      <c r="R511" t="s">
        <v>155</v>
      </c>
      <c r="T511" t="s">
        <v>134</v>
      </c>
      <c r="U511">
        <v>1</v>
      </c>
      <c r="W511" t="s">
        <v>134</v>
      </c>
      <c r="X511">
        <v>1</v>
      </c>
      <c r="Y511" t="s">
        <v>140</v>
      </c>
      <c r="Z511" t="s">
        <v>187</v>
      </c>
      <c r="AA511" t="s">
        <v>146</v>
      </c>
      <c r="AB511" t="s">
        <v>162</v>
      </c>
      <c r="AC511" t="s">
        <v>175</v>
      </c>
      <c r="AD511" t="s">
        <v>159</v>
      </c>
      <c r="AE511" t="s">
        <v>126</v>
      </c>
      <c r="AF511" t="s">
        <v>601</v>
      </c>
    </row>
    <row r="512" spans="1:32">
      <c r="A512" t="s">
        <v>1178</v>
      </c>
      <c r="B512" s="37">
        <v>39919</v>
      </c>
      <c r="C512" s="38">
        <v>39919</v>
      </c>
      <c r="D512" s="38">
        <v>39916</v>
      </c>
      <c r="E512" s="38">
        <v>39904</v>
      </c>
      <c r="F512" s="39">
        <v>14</v>
      </c>
      <c r="G512" t="s">
        <v>21</v>
      </c>
      <c r="H512" t="s">
        <v>21</v>
      </c>
      <c r="I512">
        <v>0</v>
      </c>
      <c r="J512">
        <v>0</v>
      </c>
      <c r="K512">
        <v>0</v>
      </c>
      <c r="L512">
        <v>1</v>
      </c>
      <c r="M512">
        <v>0</v>
      </c>
      <c r="N512" t="s">
        <v>201</v>
      </c>
      <c r="O512" t="s">
        <v>214</v>
      </c>
      <c r="P512" t="s">
        <v>204</v>
      </c>
      <c r="Q512" t="s">
        <v>170</v>
      </c>
      <c r="R512" t="s">
        <v>155</v>
      </c>
      <c r="T512" t="s">
        <v>134</v>
      </c>
      <c r="U512">
        <v>1</v>
      </c>
      <c r="W512" t="s">
        <v>134</v>
      </c>
      <c r="X512">
        <v>1</v>
      </c>
      <c r="Y512" t="s">
        <v>140</v>
      </c>
      <c r="Z512" t="s">
        <v>810</v>
      </c>
      <c r="AA512" t="s">
        <v>147</v>
      </c>
      <c r="AB512" t="s">
        <v>165</v>
      </c>
      <c r="AC512" t="s">
        <v>21</v>
      </c>
      <c r="AD512" t="s">
        <v>158</v>
      </c>
      <c r="AE512" t="s">
        <v>122</v>
      </c>
      <c r="AF512" t="s">
        <v>21</v>
      </c>
    </row>
    <row r="513" spans="1:32">
      <c r="A513" t="s">
        <v>1179</v>
      </c>
      <c r="B513" s="37">
        <v>39955</v>
      </c>
      <c r="C513" s="38">
        <v>39955</v>
      </c>
      <c r="D513" s="38">
        <v>39951</v>
      </c>
      <c r="E513" s="38">
        <v>39934</v>
      </c>
      <c r="F513" s="39">
        <v>50</v>
      </c>
      <c r="G513" t="s">
        <v>21</v>
      </c>
      <c r="H513" t="s">
        <v>21</v>
      </c>
      <c r="I513">
        <v>0</v>
      </c>
      <c r="J513">
        <v>0</v>
      </c>
      <c r="K513">
        <v>0</v>
      </c>
      <c r="L513">
        <v>1</v>
      </c>
      <c r="M513">
        <v>0</v>
      </c>
      <c r="N513" t="s">
        <v>195</v>
      </c>
      <c r="O513" t="s">
        <v>213</v>
      </c>
      <c r="P513" t="s">
        <v>206</v>
      </c>
      <c r="Q513" t="s">
        <v>170</v>
      </c>
      <c r="R513" t="s">
        <v>155</v>
      </c>
      <c r="T513" t="s">
        <v>134</v>
      </c>
      <c r="U513">
        <v>1</v>
      </c>
      <c r="W513" t="s">
        <v>134</v>
      </c>
      <c r="X513">
        <v>1</v>
      </c>
      <c r="Y513" t="s">
        <v>139</v>
      </c>
      <c r="Z513" t="s">
        <v>182</v>
      </c>
      <c r="AA513" t="s">
        <v>142</v>
      </c>
      <c r="AB513" t="s">
        <v>162</v>
      </c>
      <c r="AC513" t="s">
        <v>21</v>
      </c>
      <c r="AD513" t="s">
        <v>155</v>
      </c>
      <c r="AE513" t="s">
        <v>130</v>
      </c>
      <c r="AF513" t="s">
        <v>21</v>
      </c>
    </row>
    <row r="514" spans="1:32">
      <c r="A514" t="s">
        <v>1180</v>
      </c>
      <c r="B514" s="37">
        <v>40038</v>
      </c>
      <c r="C514" s="38">
        <v>40038</v>
      </c>
      <c r="D514" s="38">
        <v>40035</v>
      </c>
      <c r="E514" s="38">
        <v>40026</v>
      </c>
      <c r="F514" s="39">
        <v>133</v>
      </c>
      <c r="G514" t="s">
        <v>21</v>
      </c>
      <c r="H514" t="s">
        <v>21</v>
      </c>
      <c r="I514">
        <v>0</v>
      </c>
      <c r="J514">
        <v>0</v>
      </c>
      <c r="K514">
        <v>0</v>
      </c>
      <c r="L514">
        <v>1</v>
      </c>
      <c r="M514">
        <v>0</v>
      </c>
      <c r="N514" t="s">
        <v>197</v>
      </c>
      <c r="O514" t="s">
        <v>213</v>
      </c>
      <c r="P514" t="s">
        <v>209</v>
      </c>
      <c r="Q514" t="s">
        <v>170</v>
      </c>
      <c r="R514" t="s">
        <v>155</v>
      </c>
      <c r="S514">
        <v>3</v>
      </c>
      <c r="T514" t="s">
        <v>137</v>
      </c>
      <c r="U514">
        <v>0</v>
      </c>
      <c r="V514">
        <v>3</v>
      </c>
      <c r="W514" t="s">
        <v>137</v>
      </c>
      <c r="X514">
        <v>0</v>
      </c>
      <c r="Y514" t="s">
        <v>139</v>
      </c>
      <c r="Z514" t="s">
        <v>182</v>
      </c>
      <c r="AA514" t="s">
        <v>143</v>
      </c>
      <c r="AB514" t="s">
        <v>163</v>
      </c>
      <c r="AC514" t="s">
        <v>173</v>
      </c>
      <c r="AD514" t="s">
        <v>155</v>
      </c>
      <c r="AE514" t="s">
        <v>751</v>
      </c>
      <c r="AF514" t="s">
        <v>21</v>
      </c>
    </row>
    <row r="515" spans="1:32">
      <c r="A515" t="s">
        <v>1181</v>
      </c>
      <c r="B515" s="37">
        <v>39976</v>
      </c>
      <c r="C515" s="38">
        <v>39976</v>
      </c>
      <c r="D515" s="38">
        <v>39972</v>
      </c>
      <c r="E515" s="38">
        <v>39965</v>
      </c>
      <c r="F515" s="39">
        <v>71</v>
      </c>
      <c r="G515" t="s">
        <v>383</v>
      </c>
      <c r="H515" t="s">
        <v>17</v>
      </c>
      <c r="I515">
        <v>0</v>
      </c>
      <c r="J515">
        <v>0</v>
      </c>
      <c r="K515">
        <v>1</v>
      </c>
      <c r="L515">
        <v>0</v>
      </c>
      <c r="M515">
        <v>0</v>
      </c>
      <c r="N515" t="s">
        <v>193</v>
      </c>
      <c r="O515" t="s">
        <v>213</v>
      </c>
      <c r="P515" t="s">
        <v>204</v>
      </c>
      <c r="Q515" t="s">
        <v>170</v>
      </c>
      <c r="R515" t="s">
        <v>155</v>
      </c>
      <c r="T515" t="s">
        <v>134</v>
      </c>
      <c r="U515">
        <v>1</v>
      </c>
      <c r="W515" t="s">
        <v>134</v>
      </c>
      <c r="X515">
        <v>1</v>
      </c>
      <c r="Y515" t="s">
        <v>140</v>
      </c>
      <c r="Z515" t="s">
        <v>182</v>
      </c>
      <c r="AA515" t="s">
        <v>144</v>
      </c>
      <c r="AB515" t="s">
        <v>163</v>
      </c>
      <c r="AC515" t="s">
        <v>1182</v>
      </c>
      <c r="AD515" t="s">
        <v>155</v>
      </c>
      <c r="AE515" t="s">
        <v>501</v>
      </c>
      <c r="AF515" t="s">
        <v>21</v>
      </c>
    </row>
    <row r="516" spans="1:32">
      <c r="A516" t="s">
        <v>1183</v>
      </c>
      <c r="B516" s="37">
        <v>40010</v>
      </c>
      <c r="C516" s="38">
        <v>40010</v>
      </c>
      <c r="D516" s="38">
        <v>40007</v>
      </c>
      <c r="E516" s="38">
        <v>39995</v>
      </c>
      <c r="F516" s="39">
        <v>105</v>
      </c>
      <c r="G516" t="s">
        <v>21</v>
      </c>
      <c r="H516" t="s">
        <v>21</v>
      </c>
      <c r="I516">
        <v>0</v>
      </c>
      <c r="J516">
        <v>0</v>
      </c>
      <c r="K516">
        <v>0</v>
      </c>
      <c r="L516">
        <v>1</v>
      </c>
      <c r="M516">
        <v>0</v>
      </c>
      <c r="N516" t="s">
        <v>195</v>
      </c>
      <c r="O516" t="s">
        <v>213</v>
      </c>
      <c r="P516" t="s">
        <v>206</v>
      </c>
      <c r="Q516" t="s">
        <v>170</v>
      </c>
      <c r="R516" t="s">
        <v>155</v>
      </c>
      <c r="S516">
        <v>5</v>
      </c>
      <c r="T516" t="s">
        <v>135</v>
      </c>
      <c r="U516">
        <v>0</v>
      </c>
      <c r="V516">
        <v>3</v>
      </c>
      <c r="W516" t="s">
        <v>137</v>
      </c>
      <c r="X516">
        <v>0</v>
      </c>
      <c r="Y516" t="s">
        <v>139</v>
      </c>
      <c r="Z516" t="s">
        <v>189</v>
      </c>
      <c r="AA516" t="s">
        <v>144</v>
      </c>
      <c r="AB516" t="s">
        <v>163</v>
      </c>
      <c r="AC516" t="s">
        <v>1184</v>
      </c>
      <c r="AD516" t="s">
        <v>155</v>
      </c>
      <c r="AE516" t="s">
        <v>124</v>
      </c>
      <c r="AF516" t="s">
        <v>21</v>
      </c>
    </row>
    <row r="517" spans="1:32">
      <c r="A517" t="s">
        <v>1185</v>
      </c>
      <c r="B517" s="37">
        <v>39918</v>
      </c>
      <c r="C517" s="38">
        <v>39918</v>
      </c>
      <c r="D517" s="38">
        <v>39916</v>
      </c>
      <c r="E517" s="38">
        <v>39904</v>
      </c>
      <c r="F517" s="39">
        <v>13</v>
      </c>
      <c r="G517" t="s">
        <v>21</v>
      </c>
      <c r="H517" t="s">
        <v>21</v>
      </c>
      <c r="I517">
        <v>0</v>
      </c>
      <c r="J517">
        <v>0</v>
      </c>
      <c r="K517">
        <v>0</v>
      </c>
      <c r="L517">
        <v>1</v>
      </c>
      <c r="M517">
        <v>0</v>
      </c>
      <c r="N517" t="s">
        <v>193</v>
      </c>
      <c r="O517" t="s">
        <v>213</v>
      </c>
      <c r="P517" t="s">
        <v>204</v>
      </c>
      <c r="Q517" t="s">
        <v>170</v>
      </c>
      <c r="R517" t="s">
        <v>155</v>
      </c>
      <c r="T517" t="s">
        <v>134</v>
      </c>
      <c r="U517">
        <v>1</v>
      </c>
      <c r="W517" t="s">
        <v>134</v>
      </c>
      <c r="X517">
        <v>1</v>
      </c>
      <c r="Y517" t="s">
        <v>140</v>
      </c>
      <c r="Z517" t="s">
        <v>188</v>
      </c>
      <c r="AA517" t="s">
        <v>142</v>
      </c>
      <c r="AB517" t="s">
        <v>163</v>
      </c>
      <c r="AC517" t="s">
        <v>415</v>
      </c>
      <c r="AD517" t="s">
        <v>155</v>
      </c>
      <c r="AE517" t="s">
        <v>1186</v>
      </c>
      <c r="AF517" t="s">
        <v>21</v>
      </c>
    </row>
    <row r="518" spans="1:32">
      <c r="A518" t="s">
        <v>1187</v>
      </c>
      <c r="B518" s="37">
        <v>39985</v>
      </c>
      <c r="C518" s="38">
        <v>39985</v>
      </c>
      <c r="D518" s="38">
        <v>39979</v>
      </c>
      <c r="E518" s="38">
        <v>39965</v>
      </c>
      <c r="F518" s="39">
        <v>80</v>
      </c>
      <c r="G518" t="s">
        <v>525</v>
      </c>
      <c r="H518" t="s">
        <v>17</v>
      </c>
      <c r="I518">
        <v>0</v>
      </c>
      <c r="J518">
        <v>0</v>
      </c>
      <c r="K518">
        <v>1</v>
      </c>
      <c r="L518">
        <v>0</v>
      </c>
      <c r="M518">
        <v>0</v>
      </c>
      <c r="N518" t="s">
        <v>193</v>
      </c>
      <c r="O518" t="s">
        <v>213</v>
      </c>
      <c r="P518" t="s">
        <v>204</v>
      </c>
      <c r="Q518" t="s">
        <v>170</v>
      </c>
      <c r="R518" t="s">
        <v>155</v>
      </c>
      <c r="T518" t="s">
        <v>134</v>
      </c>
      <c r="U518">
        <v>1</v>
      </c>
      <c r="W518" t="s">
        <v>134</v>
      </c>
      <c r="X518">
        <v>1</v>
      </c>
      <c r="Y518" t="s">
        <v>140</v>
      </c>
      <c r="Z518" t="s">
        <v>188</v>
      </c>
      <c r="AA518" t="s">
        <v>148</v>
      </c>
      <c r="AB518" t="s">
        <v>162</v>
      </c>
      <c r="AC518" t="s">
        <v>175</v>
      </c>
      <c r="AD518" t="s">
        <v>155</v>
      </c>
      <c r="AE518" t="s">
        <v>130</v>
      </c>
      <c r="AF518" t="s">
        <v>21</v>
      </c>
    </row>
    <row r="519" spans="1:32">
      <c r="A519" t="s">
        <v>1188</v>
      </c>
      <c r="B519" s="37">
        <v>40061</v>
      </c>
      <c r="C519" s="38">
        <v>40061</v>
      </c>
      <c r="D519" s="38">
        <v>40056</v>
      </c>
      <c r="E519" s="38">
        <v>40057</v>
      </c>
      <c r="F519" s="39">
        <v>156</v>
      </c>
      <c r="G519" t="s">
        <v>496</v>
      </c>
      <c r="H519" t="s">
        <v>13</v>
      </c>
      <c r="I519">
        <v>0</v>
      </c>
      <c r="J519">
        <v>1</v>
      </c>
      <c r="K519">
        <v>0</v>
      </c>
      <c r="L519">
        <v>0</v>
      </c>
      <c r="M519">
        <v>1</v>
      </c>
      <c r="N519" t="s">
        <v>193</v>
      </c>
      <c r="O519" t="s">
        <v>213</v>
      </c>
      <c r="P519" t="s">
        <v>204</v>
      </c>
      <c r="Q519" t="s">
        <v>170</v>
      </c>
      <c r="R519" t="s">
        <v>155</v>
      </c>
      <c r="S519">
        <v>4</v>
      </c>
      <c r="T519" t="s">
        <v>137</v>
      </c>
      <c r="U519">
        <v>0</v>
      </c>
      <c r="V519">
        <v>4</v>
      </c>
      <c r="W519" t="s">
        <v>137</v>
      </c>
      <c r="X519">
        <v>0</v>
      </c>
      <c r="Y519" t="s">
        <v>140</v>
      </c>
      <c r="Z519" t="s">
        <v>188</v>
      </c>
      <c r="AA519" t="s">
        <v>150</v>
      </c>
      <c r="AB519" t="s">
        <v>163</v>
      </c>
      <c r="AC519" t="s">
        <v>173</v>
      </c>
      <c r="AD519" t="s">
        <v>155</v>
      </c>
      <c r="AE519" t="s">
        <v>128</v>
      </c>
      <c r="AF519" t="s">
        <v>21</v>
      </c>
    </row>
    <row r="520" spans="1:32">
      <c r="A520" t="s">
        <v>1189</v>
      </c>
      <c r="B520" s="37">
        <v>39994</v>
      </c>
      <c r="C520" s="38">
        <v>39994</v>
      </c>
      <c r="D520" s="38">
        <v>39993</v>
      </c>
      <c r="E520" s="38">
        <v>39965</v>
      </c>
      <c r="F520" s="39">
        <v>89</v>
      </c>
      <c r="G520" t="s">
        <v>9</v>
      </c>
      <c r="H520" t="s">
        <v>9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193</v>
      </c>
      <c r="O520" t="s">
        <v>213</v>
      </c>
      <c r="P520" t="s">
        <v>204</v>
      </c>
      <c r="Q520" t="s">
        <v>170</v>
      </c>
      <c r="R520" t="s">
        <v>155</v>
      </c>
      <c r="T520" t="s">
        <v>134</v>
      </c>
      <c r="U520">
        <v>1</v>
      </c>
      <c r="V520">
        <v>5</v>
      </c>
      <c r="W520" t="s">
        <v>135</v>
      </c>
      <c r="X520">
        <v>0</v>
      </c>
      <c r="Y520" t="s">
        <v>140</v>
      </c>
      <c r="Z520" t="s">
        <v>183</v>
      </c>
      <c r="AA520" t="s">
        <v>143</v>
      </c>
      <c r="AB520" t="s">
        <v>163</v>
      </c>
      <c r="AC520" t="s">
        <v>415</v>
      </c>
      <c r="AD520" t="s">
        <v>155</v>
      </c>
      <c r="AE520" t="s">
        <v>125</v>
      </c>
      <c r="AF520" t="s">
        <v>21</v>
      </c>
    </row>
    <row r="521" spans="1:32">
      <c r="A521" t="s">
        <v>1190</v>
      </c>
      <c r="B521" s="37">
        <v>39956</v>
      </c>
      <c r="C521" s="38">
        <v>39956</v>
      </c>
      <c r="D521" s="38">
        <v>39951</v>
      </c>
      <c r="E521" s="38">
        <v>39934</v>
      </c>
      <c r="F521" s="39">
        <v>51</v>
      </c>
      <c r="G521" t="s">
        <v>525</v>
      </c>
      <c r="H521" t="s">
        <v>17</v>
      </c>
      <c r="I521">
        <v>0</v>
      </c>
      <c r="J521">
        <v>0</v>
      </c>
      <c r="K521">
        <v>1</v>
      </c>
      <c r="L521">
        <v>0</v>
      </c>
      <c r="M521">
        <v>0</v>
      </c>
      <c r="N521" t="s">
        <v>193</v>
      </c>
      <c r="O521" t="s">
        <v>213</v>
      </c>
      <c r="P521" t="s">
        <v>204</v>
      </c>
      <c r="Q521" t="s">
        <v>170</v>
      </c>
      <c r="R521" t="s">
        <v>155</v>
      </c>
      <c r="T521" t="s">
        <v>134</v>
      </c>
      <c r="U521">
        <v>1</v>
      </c>
      <c r="W521" t="s">
        <v>134</v>
      </c>
      <c r="X521">
        <v>1</v>
      </c>
      <c r="Y521" t="s">
        <v>140</v>
      </c>
      <c r="Z521" t="s">
        <v>183</v>
      </c>
      <c r="AA521" t="s">
        <v>144</v>
      </c>
      <c r="AB521" t="s">
        <v>163</v>
      </c>
      <c r="AC521" t="s">
        <v>1191</v>
      </c>
      <c r="AD521" t="s">
        <v>155</v>
      </c>
      <c r="AE521" t="s">
        <v>392</v>
      </c>
      <c r="AF521" t="s">
        <v>21</v>
      </c>
    </row>
    <row r="522" spans="1:32">
      <c r="A522" t="s">
        <v>1192</v>
      </c>
      <c r="B522" s="37">
        <v>40073</v>
      </c>
      <c r="C522" s="38">
        <v>40073</v>
      </c>
      <c r="D522" s="38">
        <v>40070</v>
      </c>
      <c r="E522" s="38">
        <v>40057</v>
      </c>
      <c r="F522" s="39">
        <v>168</v>
      </c>
      <c r="G522" t="s">
        <v>21</v>
      </c>
      <c r="H522" t="s">
        <v>21</v>
      </c>
      <c r="I522">
        <v>0</v>
      </c>
      <c r="J522">
        <v>0</v>
      </c>
      <c r="K522">
        <v>0</v>
      </c>
      <c r="L522">
        <v>1</v>
      </c>
      <c r="M522">
        <v>0</v>
      </c>
      <c r="N522" t="s">
        <v>193</v>
      </c>
      <c r="O522" t="s">
        <v>213</v>
      </c>
      <c r="P522" t="s">
        <v>204</v>
      </c>
      <c r="Q522" t="s">
        <v>170</v>
      </c>
      <c r="R522" t="s">
        <v>155</v>
      </c>
      <c r="S522">
        <v>5</v>
      </c>
      <c r="T522" t="s">
        <v>135</v>
      </c>
      <c r="U522">
        <v>0</v>
      </c>
      <c r="V522">
        <v>4</v>
      </c>
      <c r="W522" t="s">
        <v>137</v>
      </c>
      <c r="X522">
        <v>0</v>
      </c>
      <c r="Y522" t="s">
        <v>140</v>
      </c>
      <c r="Z522" t="s">
        <v>183</v>
      </c>
      <c r="AA522" t="s">
        <v>142</v>
      </c>
      <c r="AB522" t="s">
        <v>162</v>
      </c>
      <c r="AC522" t="s">
        <v>175</v>
      </c>
      <c r="AD522" t="s">
        <v>155</v>
      </c>
      <c r="AE522" t="s">
        <v>129</v>
      </c>
      <c r="AF522" t="s">
        <v>21</v>
      </c>
    </row>
    <row r="523" spans="1:32">
      <c r="A523" t="s">
        <v>1193</v>
      </c>
      <c r="B523" s="37">
        <v>40019</v>
      </c>
      <c r="C523" s="38">
        <v>40019</v>
      </c>
      <c r="D523" s="38">
        <v>40014</v>
      </c>
      <c r="E523" s="38">
        <v>39995</v>
      </c>
      <c r="F523" s="39">
        <v>114</v>
      </c>
      <c r="G523" t="s">
        <v>21</v>
      </c>
      <c r="H523" t="s">
        <v>21</v>
      </c>
      <c r="I523">
        <v>0</v>
      </c>
      <c r="J523">
        <v>0</v>
      </c>
      <c r="K523">
        <v>0</v>
      </c>
      <c r="L523">
        <v>1</v>
      </c>
      <c r="M523">
        <v>0</v>
      </c>
      <c r="N523" t="s">
        <v>195</v>
      </c>
      <c r="O523" t="s">
        <v>213</v>
      </c>
      <c r="P523" t="s">
        <v>206</v>
      </c>
      <c r="Q523" t="s">
        <v>170</v>
      </c>
      <c r="R523" t="s">
        <v>155</v>
      </c>
      <c r="S523">
        <v>5</v>
      </c>
      <c r="T523" t="s">
        <v>135</v>
      </c>
      <c r="U523">
        <v>0</v>
      </c>
      <c r="V523">
        <v>5</v>
      </c>
      <c r="W523" t="s">
        <v>135</v>
      </c>
      <c r="X523">
        <v>0</v>
      </c>
      <c r="Y523" t="s">
        <v>139</v>
      </c>
      <c r="Z523" t="s">
        <v>183</v>
      </c>
      <c r="AA523" t="s">
        <v>151</v>
      </c>
      <c r="AB523" t="s">
        <v>162</v>
      </c>
      <c r="AC523" t="s">
        <v>498</v>
      </c>
      <c r="AD523" t="s">
        <v>155</v>
      </c>
      <c r="AE523" t="s">
        <v>129</v>
      </c>
      <c r="AF523" t="s">
        <v>21</v>
      </c>
    </row>
    <row r="524" spans="1:32">
      <c r="A524" t="s">
        <v>1194</v>
      </c>
      <c r="B524" s="37">
        <v>39942</v>
      </c>
      <c r="C524" s="38">
        <v>39942</v>
      </c>
      <c r="D524" s="38">
        <v>39937</v>
      </c>
      <c r="E524" s="38">
        <v>39934</v>
      </c>
      <c r="F524" s="39">
        <v>37</v>
      </c>
      <c r="G524" t="s">
        <v>21</v>
      </c>
      <c r="H524" t="s">
        <v>21</v>
      </c>
      <c r="I524">
        <v>0</v>
      </c>
      <c r="J524">
        <v>0</v>
      </c>
      <c r="K524">
        <v>0</v>
      </c>
      <c r="L524">
        <v>1</v>
      </c>
      <c r="M524">
        <v>0</v>
      </c>
      <c r="N524" t="s">
        <v>195</v>
      </c>
      <c r="O524" t="s">
        <v>213</v>
      </c>
      <c r="P524" t="s">
        <v>206</v>
      </c>
      <c r="Q524" t="s">
        <v>170</v>
      </c>
      <c r="R524" t="s">
        <v>155</v>
      </c>
      <c r="T524" t="s">
        <v>134</v>
      </c>
      <c r="U524">
        <v>1</v>
      </c>
      <c r="W524" t="s">
        <v>134</v>
      </c>
      <c r="X524">
        <v>1</v>
      </c>
      <c r="Y524" t="s">
        <v>139</v>
      </c>
      <c r="Z524" t="s">
        <v>534</v>
      </c>
      <c r="AA524" t="s">
        <v>147</v>
      </c>
      <c r="AB524" t="s">
        <v>162</v>
      </c>
      <c r="AC524" t="s">
        <v>175</v>
      </c>
      <c r="AD524" t="s">
        <v>155</v>
      </c>
      <c r="AE524" t="s">
        <v>129</v>
      </c>
      <c r="AF524" t="s">
        <v>21</v>
      </c>
    </row>
    <row r="525" spans="1:32">
      <c r="A525" t="s">
        <v>1195</v>
      </c>
      <c r="B525" s="37">
        <v>40002</v>
      </c>
      <c r="C525" s="38">
        <v>40002</v>
      </c>
      <c r="D525" s="38">
        <v>40000</v>
      </c>
      <c r="E525" s="38">
        <v>39995</v>
      </c>
      <c r="F525" s="39">
        <v>97</v>
      </c>
      <c r="G525" t="s">
        <v>21</v>
      </c>
      <c r="H525" t="s">
        <v>21</v>
      </c>
      <c r="I525">
        <v>0</v>
      </c>
      <c r="J525">
        <v>0</v>
      </c>
      <c r="K525">
        <v>0</v>
      </c>
      <c r="L525">
        <v>1</v>
      </c>
      <c r="M525">
        <v>0</v>
      </c>
      <c r="N525" t="s">
        <v>193</v>
      </c>
      <c r="O525" t="s">
        <v>213</v>
      </c>
      <c r="P525" t="s">
        <v>204</v>
      </c>
      <c r="Q525" t="s">
        <v>170</v>
      </c>
      <c r="R525" t="s">
        <v>155</v>
      </c>
      <c r="T525" t="s">
        <v>134</v>
      </c>
      <c r="U525">
        <v>1</v>
      </c>
      <c r="V525">
        <v>5</v>
      </c>
      <c r="W525" t="s">
        <v>135</v>
      </c>
      <c r="X525">
        <v>0</v>
      </c>
      <c r="Y525" t="s">
        <v>140</v>
      </c>
      <c r="Z525" t="s">
        <v>183</v>
      </c>
      <c r="AA525" t="s">
        <v>144</v>
      </c>
      <c r="AB525" t="s">
        <v>162</v>
      </c>
      <c r="AC525" t="s">
        <v>1196</v>
      </c>
      <c r="AD525" t="s">
        <v>155</v>
      </c>
      <c r="AE525" t="s">
        <v>130</v>
      </c>
      <c r="AF525" t="s">
        <v>21</v>
      </c>
    </row>
    <row r="526" spans="1:32">
      <c r="A526" t="s">
        <v>1197</v>
      </c>
      <c r="B526" s="37">
        <v>39949</v>
      </c>
      <c r="C526" s="38">
        <v>39949</v>
      </c>
      <c r="D526" s="38">
        <v>39944</v>
      </c>
      <c r="E526" s="38">
        <v>39934</v>
      </c>
      <c r="F526" s="39">
        <v>44</v>
      </c>
      <c r="G526" t="s">
        <v>21</v>
      </c>
      <c r="H526" t="s">
        <v>21</v>
      </c>
      <c r="I526">
        <v>0</v>
      </c>
      <c r="J526">
        <v>0</v>
      </c>
      <c r="K526">
        <v>0</v>
      </c>
      <c r="L526">
        <v>1</v>
      </c>
      <c r="M526">
        <v>0</v>
      </c>
      <c r="N526" t="s">
        <v>194</v>
      </c>
      <c r="O526" t="s">
        <v>213</v>
      </c>
      <c r="P526" t="s">
        <v>205</v>
      </c>
      <c r="Q526" t="s">
        <v>170</v>
      </c>
      <c r="R526" t="s">
        <v>155</v>
      </c>
      <c r="T526" t="s">
        <v>134</v>
      </c>
      <c r="U526">
        <v>1</v>
      </c>
      <c r="W526" t="s">
        <v>134</v>
      </c>
      <c r="X526">
        <v>1</v>
      </c>
      <c r="Y526" t="s">
        <v>139</v>
      </c>
      <c r="Z526" t="s">
        <v>182</v>
      </c>
      <c r="AA526" t="s">
        <v>147</v>
      </c>
      <c r="AB526" t="s">
        <v>162</v>
      </c>
      <c r="AC526" t="s">
        <v>867</v>
      </c>
      <c r="AD526" t="s">
        <v>157</v>
      </c>
      <c r="AE526" t="s">
        <v>127</v>
      </c>
      <c r="AF526" t="s">
        <v>153</v>
      </c>
    </row>
    <row r="527" spans="1:32">
      <c r="A527" t="s">
        <v>1198</v>
      </c>
      <c r="B527" s="37">
        <v>40023</v>
      </c>
      <c r="C527" s="38">
        <v>40023</v>
      </c>
      <c r="D527" s="38">
        <v>40021</v>
      </c>
      <c r="E527" s="38">
        <v>39995</v>
      </c>
      <c r="F527" s="39">
        <v>118</v>
      </c>
      <c r="G527" t="s">
        <v>383</v>
      </c>
      <c r="H527" t="s">
        <v>17</v>
      </c>
      <c r="I527">
        <v>0</v>
      </c>
      <c r="J527">
        <v>0</v>
      </c>
      <c r="K527">
        <v>1</v>
      </c>
      <c r="L527">
        <v>0</v>
      </c>
      <c r="M527">
        <v>0</v>
      </c>
      <c r="N527" t="s">
        <v>195</v>
      </c>
      <c r="O527" t="s">
        <v>213</v>
      </c>
      <c r="P527" t="s">
        <v>206</v>
      </c>
      <c r="Q527" t="s">
        <v>170</v>
      </c>
      <c r="R527" t="s">
        <v>155</v>
      </c>
      <c r="S527">
        <v>4</v>
      </c>
      <c r="T527" t="s">
        <v>137</v>
      </c>
      <c r="U527">
        <v>0</v>
      </c>
      <c r="V527">
        <v>2</v>
      </c>
      <c r="W527" t="s">
        <v>136</v>
      </c>
      <c r="X527">
        <v>0</v>
      </c>
      <c r="Y527" t="s">
        <v>139</v>
      </c>
      <c r="Z527" t="s">
        <v>178</v>
      </c>
      <c r="AA527" t="s">
        <v>143</v>
      </c>
      <c r="AB527" t="s">
        <v>162</v>
      </c>
      <c r="AC527" t="s">
        <v>175</v>
      </c>
      <c r="AD527" t="s">
        <v>125</v>
      </c>
      <c r="AE527" t="s">
        <v>628</v>
      </c>
      <c r="AF527" t="s">
        <v>1199</v>
      </c>
    </row>
    <row r="528" spans="1:32">
      <c r="A528" t="s">
        <v>1200</v>
      </c>
      <c r="B528" s="37">
        <v>40004</v>
      </c>
      <c r="C528" s="38">
        <v>40004</v>
      </c>
      <c r="D528" s="38">
        <v>40000</v>
      </c>
      <c r="E528" s="38">
        <v>39995</v>
      </c>
      <c r="F528" s="39">
        <v>99</v>
      </c>
      <c r="G528" t="s">
        <v>380</v>
      </c>
      <c r="H528" t="s">
        <v>17</v>
      </c>
      <c r="I528">
        <v>0</v>
      </c>
      <c r="J528">
        <v>0</v>
      </c>
      <c r="K528">
        <v>1</v>
      </c>
      <c r="L528">
        <v>0</v>
      </c>
      <c r="M528">
        <v>0</v>
      </c>
      <c r="N528" t="s">
        <v>195</v>
      </c>
      <c r="O528" t="s">
        <v>213</v>
      </c>
      <c r="P528" t="s">
        <v>206</v>
      </c>
      <c r="Q528" t="s">
        <v>170</v>
      </c>
      <c r="R528" t="s">
        <v>155</v>
      </c>
      <c r="T528" t="s">
        <v>134</v>
      </c>
      <c r="U528">
        <v>1</v>
      </c>
      <c r="V528">
        <v>3</v>
      </c>
      <c r="W528" t="s">
        <v>137</v>
      </c>
      <c r="X528">
        <v>0</v>
      </c>
      <c r="Y528" t="s">
        <v>139</v>
      </c>
      <c r="Z528" t="s">
        <v>191</v>
      </c>
      <c r="AA528" t="s">
        <v>148</v>
      </c>
      <c r="AB528" t="s">
        <v>163</v>
      </c>
      <c r="AC528" t="s">
        <v>173</v>
      </c>
      <c r="AD528" t="s">
        <v>155</v>
      </c>
      <c r="AE528" t="s">
        <v>124</v>
      </c>
      <c r="AF528" t="s">
        <v>21</v>
      </c>
    </row>
    <row r="529" spans="1:32">
      <c r="A529" t="s">
        <v>1201</v>
      </c>
      <c r="B529" s="37">
        <v>39975</v>
      </c>
      <c r="C529" s="38">
        <v>39975</v>
      </c>
      <c r="D529" s="38">
        <v>39972</v>
      </c>
      <c r="E529" s="38">
        <v>39965</v>
      </c>
      <c r="F529" s="39">
        <v>70</v>
      </c>
      <c r="G529" t="s">
        <v>21</v>
      </c>
      <c r="H529" t="s">
        <v>21</v>
      </c>
      <c r="I529">
        <v>0</v>
      </c>
      <c r="J529">
        <v>0</v>
      </c>
      <c r="K529">
        <v>0</v>
      </c>
      <c r="L529">
        <v>1</v>
      </c>
      <c r="M529">
        <v>0</v>
      </c>
      <c r="N529" t="s">
        <v>193</v>
      </c>
      <c r="O529" t="s">
        <v>213</v>
      </c>
      <c r="P529" t="s">
        <v>204</v>
      </c>
      <c r="Q529" t="s">
        <v>170</v>
      </c>
      <c r="R529" t="s">
        <v>155</v>
      </c>
      <c r="T529" t="s">
        <v>134</v>
      </c>
      <c r="U529">
        <v>1</v>
      </c>
      <c r="W529" t="s">
        <v>134</v>
      </c>
      <c r="X529">
        <v>1</v>
      </c>
      <c r="Y529" t="s">
        <v>140</v>
      </c>
      <c r="Z529" t="s">
        <v>182</v>
      </c>
      <c r="AA529" t="s">
        <v>145</v>
      </c>
      <c r="AB529" t="s">
        <v>162</v>
      </c>
      <c r="AC529" t="s">
        <v>174</v>
      </c>
      <c r="AD529" t="s">
        <v>160</v>
      </c>
      <c r="AE529" t="s">
        <v>126</v>
      </c>
      <c r="AF529" t="s">
        <v>900</v>
      </c>
    </row>
    <row r="530" spans="1:32">
      <c r="A530" t="s">
        <v>1202</v>
      </c>
      <c r="B530" s="37">
        <v>40030</v>
      </c>
      <c r="C530" s="38">
        <v>40030</v>
      </c>
      <c r="D530" s="38">
        <v>40028</v>
      </c>
      <c r="E530" s="38">
        <v>40026</v>
      </c>
      <c r="F530" s="39">
        <v>125</v>
      </c>
      <c r="G530" t="s">
        <v>525</v>
      </c>
      <c r="H530" t="s">
        <v>17</v>
      </c>
      <c r="I530">
        <v>0</v>
      </c>
      <c r="J530">
        <v>0</v>
      </c>
      <c r="K530">
        <v>1</v>
      </c>
      <c r="L530">
        <v>0</v>
      </c>
      <c r="M530">
        <v>0</v>
      </c>
      <c r="N530" t="s">
        <v>195</v>
      </c>
      <c r="O530" t="s">
        <v>213</v>
      </c>
      <c r="P530" t="s">
        <v>206</v>
      </c>
      <c r="Q530" t="s">
        <v>170</v>
      </c>
      <c r="R530" t="s">
        <v>155</v>
      </c>
      <c r="S530">
        <v>5</v>
      </c>
      <c r="T530" t="s">
        <v>135</v>
      </c>
      <c r="U530">
        <v>0</v>
      </c>
      <c r="V530">
        <v>5</v>
      </c>
      <c r="W530" t="s">
        <v>135</v>
      </c>
      <c r="X530">
        <v>0</v>
      </c>
      <c r="Y530" t="s">
        <v>139</v>
      </c>
      <c r="Z530" t="s">
        <v>189</v>
      </c>
      <c r="AA530" t="s">
        <v>144</v>
      </c>
      <c r="AB530" t="s">
        <v>162</v>
      </c>
      <c r="AC530" t="s">
        <v>550</v>
      </c>
      <c r="AD530" t="s">
        <v>160</v>
      </c>
      <c r="AE530" t="s">
        <v>126</v>
      </c>
      <c r="AF530" t="s">
        <v>1203</v>
      </c>
    </row>
    <row r="531" spans="1:32">
      <c r="A531" t="s">
        <v>1204</v>
      </c>
      <c r="B531" s="37">
        <v>40041</v>
      </c>
      <c r="C531" s="38">
        <v>40041</v>
      </c>
      <c r="D531" s="38">
        <v>40035</v>
      </c>
      <c r="E531" s="38">
        <v>40026</v>
      </c>
      <c r="F531" s="39">
        <v>136</v>
      </c>
      <c r="G531" t="s">
        <v>21</v>
      </c>
      <c r="H531" t="s">
        <v>21</v>
      </c>
      <c r="I531">
        <v>0</v>
      </c>
      <c r="J531">
        <v>0</v>
      </c>
      <c r="K531">
        <v>0</v>
      </c>
      <c r="L531">
        <v>1</v>
      </c>
      <c r="M531">
        <v>0</v>
      </c>
      <c r="N531" t="s">
        <v>197</v>
      </c>
      <c r="O531" t="s">
        <v>213</v>
      </c>
      <c r="P531" t="s">
        <v>209</v>
      </c>
      <c r="Q531" t="s">
        <v>170</v>
      </c>
      <c r="R531" t="s">
        <v>155</v>
      </c>
      <c r="S531">
        <v>5</v>
      </c>
      <c r="T531" t="s">
        <v>135</v>
      </c>
      <c r="U531">
        <v>0</v>
      </c>
      <c r="V531">
        <v>3</v>
      </c>
      <c r="W531" t="s">
        <v>137</v>
      </c>
      <c r="X531">
        <v>0</v>
      </c>
      <c r="Y531" t="s">
        <v>139</v>
      </c>
      <c r="Z531" t="s">
        <v>189</v>
      </c>
      <c r="AA531" t="s">
        <v>146</v>
      </c>
      <c r="AB531" t="s">
        <v>163</v>
      </c>
      <c r="AC531" t="s">
        <v>173</v>
      </c>
      <c r="AD531" t="s">
        <v>161</v>
      </c>
      <c r="AE531" t="s">
        <v>416</v>
      </c>
      <c r="AF531" t="s">
        <v>21</v>
      </c>
    </row>
    <row r="532" spans="1:32">
      <c r="A532" t="s">
        <v>1205</v>
      </c>
      <c r="B532" s="37">
        <v>39944</v>
      </c>
      <c r="C532" s="38">
        <v>39944</v>
      </c>
      <c r="D532" s="38">
        <v>39944</v>
      </c>
      <c r="E532" s="38">
        <v>39934</v>
      </c>
      <c r="F532" s="39">
        <v>39</v>
      </c>
      <c r="G532" t="s">
        <v>21</v>
      </c>
      <c r="H532" t="s">
        <v>21</v>
      </c>
      <c r="I532">
        <v>0</v>
      </c>
      <c r="J532">
        <v>0</v>
      </c>
      <c r="K532">
        <v>0</v>
      </c>
      <c r="L532">
        <v>1</v>
      </c>
      <c r="M532">
        <v>0</v>
      </c>
      <c r="N532" t="s">
        <v>195</v>
      </c>
      <c r="O532" t="s">
        <v>213</v>
      </c>
      <c r="P532" t="s">
        <v>206</v>
      </c>
      <c r="Q532" t="s">
        <v>170</v>
      </c>
      <c r="R532" t="s">
        <v>155</v>
      </c>
      <c r="T532" t="s">
        <v>134</v>
      </c>
      <c r="U532">
        <v>1</v>
      </c>
      <c r="W532" t="s">
        <v>134</v>
      </c>
      <c r="X532">
        <v>1</v>
      </c>
      <c r="Y532" t="s">
        <v>139</v>
      </c>
      <c r="Z532" t="s">
        <v>189</v>
      </c>
      <c r="AA532" t="s">
        <v>142</v>
      </c>
      <c r="AB532" t="s">
        <v>163</v>
      </c>
      <c r="AC532" t="s">
        <v>1206</v>
      </c>
      <c r="AD532" t="s">
        <v>155</v>
      </c>
      <c r="AE532" t="s">
        <v>692</v>
      </c>
      <c r="AF532" t="s">
        <v>21</v>
      </c>
    </row>
    <row r="533" spans="1:32">
      <c r="A533" t="s">
        <v>1207</v>
      </c>
      <c r="B533" s="37">
        <v>40031</v>
      </c>
      <c r="C533" s="38">
        <v>40031</v>
      </c>
      <c r="D533" s="38">
        <v>40028</v>
      </c>
      <c r="E533" s="38">
        <v>40026</v>
      </c>
      <c r="F533" s="39">
        <v>126</v>
      </c>
      <c r="G533" t="s">
        <v>21</v>
      </c>
      <c r="H533" t="s">
        <v>21</v>
      </c>
      <c r="I533">
        <v>0</v>
      </c>
      <c r="J533">
        <v>0</v>
      </c>
      <c r="K533">
        <v>0</v>
      </c>
      <c r="L533">
        <v>1</v>
      </c>
      <c r="M533">
        <v>0</v>
      </c>
      <c r="N533" t="s">
        <v>193</v>
      </c>
      <c r="O533" t="s">
        <v>213</v>
      </c>
      <c r="P533" t="s">
        <v>204</v>
      </c>
      <c r="Q533" t="s">
        <v>170</v>
      </c>
      <c r="R533" t="s">
        <v>155</v>
      </c>
      <c r="S533">
        <v>3</v>
      </c>
      <c r="T533" t="s">
        <v>137</v>
      </c>
      <c r="U533">
        <v>0</v>
      </c>
      <c r="V533">
        <v>3</v>
      </c>
      <c r="W533" t="s">
        <v>137</v>
      </c>
      <c r="X533">
        <v>0</v>
      </c>
      <c r="Y533" t="s">
        <v>140</v>
      </c>
      <c r="Z533" t="s">
        <v>603</v>
      </c>
      <c r="AA533" t="s">
        <v>142</v>
      </c>
      <c r="AB533" t="s">
        <v>163</v>
      </c>
      <c r="AC533" t="s">
        <v>173</v>
      </c>
      <c r="AD533" t="s">
        <v>155</v>
      </c>
      <c r="AE533" t="s">
        <v>387</v>
      </c>
      <c r="AF533" t="s">
        <v>21</v>
      </c>
    </row>
    <row r="534" spans="1:32">
      <c r="A534" t="s">
        <v>1208</v>
      </c>
      <c r="B534" s="37">
        <v>40075</v>
      </c>
      <c r="C534" s="38">
        <v>40075</v>
      </c>
      <c r="D534" s="38">
        <v>40070</v>
      </c>
      <c r="E534" s="38">
        <v>40057</v>
      </c>
      <c r="F534" s="39">
        <v>170</v>
      </c>
      <c r="G534" t="s">
        <v>21</v>
      </c>
      <c r="H534" t="s">
        <v>21</v>
      </c>
      <c r="I534">
        <v>0</v>
      </c>
      <c r="J534">
        <v>0</v>
      </c>
      <c r="K534">
        <v>0</v>
      </c>
      <c r="L534">
        <v>1</v>
      </c>
      <c r="M534">
        <v>0</v>
      </c>
      <c r="N534" t="s">
        <v>193</v>
      </c>
      <c r="O534" t="s">
        <v>213</v>
      </c>
      <c r="P534" t="s">
        <v>204</v>
      </c>
      <c r="Q534" t="s">
        <v>170</v>
      </c>
      <c r="R534" t="s">
        <v>155</v>
      </c>
      <c r="S534">
        <v>5</v>
      </c>
      <c r="T534" t="s">
        <v>135</v>
      </c>
      <c r="U534">
        <v>0</v>
      </c>
      <c r="V534">
        <v>5</v>
      </c>
      <c r="W534" t="s">
        <v>135</v>
      </c>
      <c r="X534">
        <v>0</v>
      </c>
      <c r="Y534" t="s">
        <v>140</v>
      </c>
      <c r="Z534" t="s">
        <v>182</v>
      </c>
      <c r="AA534" t="s">
        <v>149</v>
      </c>
      <c r="AB534" t="s">
        <v>162</v>
      </c>
      <c r="AC534" t="s">
        <v>459</v>
      </c>
      <c r="AD534" t="s">
        <v>125</v>
      </c>
      <c r="AE534" t="s">
        <v>628</v>
      </c>
      <c r="AF534" t="s">
        <v>1209</v>
      </c>
    </row>
    <row r="535" spans="1:32">
      <c r="A535" t="s">
        <v>1210</v>
      </c>
      <c r="B535" s="37">
        <v>39966</v>
      </c>
      <c r="C535" s="38">
        <v>39966</v>
      </c>
      <c r="D535" s="38">
        <v>39965</v>
      </c>
      <c r="E535" s="38">
        <v>39965</v>
      </c>
      <c r="F535" s="39">
        <v>61</v>
      </c>
      <c r="G535" t="s">
        <v>21</v>
      </c>
      <c r="H535" t="s">
        <v>21</v>
      </c>
      <c r="I535">
        <v>0</v>
      </c>
      <c r="J535">
        <v>0</v>
      </c>
      <c r="K535">
        <v>0</v>
      </c>
      <c r="L535">
        <v>1</v>
      </c>
      <c r="M535">
        <v>0</v>
      </c>
      <c r="N535" t="s">
        <v>193</v>
      </c>
      <c r="O535" t="s">
        <v>213</v>
      </c>
      <c r="P535" t="s">
        <v>204</v>
      </c>
      <c r="Q535" t="s">
        <v>170</v>
      </c>
      <c r="R535" t="s">
        <v>155</v>
      </c>
      <c r="T535" t="s">
        <v>134</v>
      </c>
      <c r="U535">
        <v>1</v>
      </c>
      <c r="W535" t="s">
        <v>134</v>
      </c>
      <c r="X535">
        <v>1</v>
      </c>
      <c r="Y535" t="s">
        <v>140</v>
      </c>
      <c r="Z535" t="s">
        <v>191</v>
      </c>
      <c r="AA535" t="s">
        <v>144</v>
      </c>
      <c r="AB535" t="s">
        <v>162</v>
      </c>
      <c r="AC535" t="s">
        <v>175</v>
      </c>
      <c r="AD535" t="s">
        <v>155</v>
      </c>
      <c r="AE535" t="s">
        <v>129</v>
      </c>
      <c r="AF535" t="s">
        <v>21</v>
      </c>
    </row>
    <row r="536" spans="1:32">
      <c r="A536" t="s">
        <v>1211</v>
      </c>
      <c r="B536" s="37">
        <v>39913</v>
      </c>
      <c r="C536" s="38">
        <v>39913</v>
      </c>
      <c r="D536" s="38">
        <v>39909</v>
      </c>
      <c r="E536" s="38">
        <v>39904</v>
      </c>
      <c r="F536" s="39">
        <v>8</v>
      </c>
      <c r="G536" t="s">
        <v>21</v>
      </c>
      <c r="H536" t="s">
        <v>21</v>
      </c>
      <c r="I536">
        <v>0</v>
      </c>
      <c r="J536">
        <v>0</v>
      </c>
      <c r="K536">
        <v>0</v>
      </c>
      <c r="L536">
        <v>1</v>
      </c>
      <c r="M536">
        <v>0</v>
      </c>
      <c r="N536" t="s">
        <v>193</v>
      </c>
      <c r="O536" t="s">
        <v>213</v>
      </c>
      <c r="P536" t="s">
        <v>204</v>
      </c>
      <c r="Q536" t="s">
        <v>170</v>
      </c>
      <c r="R536" t="s">
        <v>155</v>
      </c>
      <c r="T536" t="s">
        <v>134</v>
      </c>
      <c r="U536">
        <v>1</v>
      </c>
      <c r="W536" t="s">
        <v>134</v>
      </c>
      <c r="X536">
        <v>1</v>
      </c>
      <c r="Y536" t="s">
        <v>140</v>
      </c>
      <c r="Z536" t="s">
        <v>433</v>
      </c>
      <c r="AA536" t="s">
        <v>143</v>
      </c>
      <c r="AB536" t="s">
        <v>162</v>
      </c>
      <c r="AC536" t="s">
        <v>863</v>
      </c>
      <c r="AD536" t="s">
        <v>155</v>
      </c>
      <c r="AE536" t="s">
        <v>129</v>
      </c>
      <c r="AF536" t="s">
        <v>21</v>
      </c>
    </row>
    <row r="537" spans="1:32">
      <c r="A537" t="s">
        <v>1212</v>
      </c>
      <c r="B537" s="37">
        <v>39950</v>
      </c>
      <c r="C537" s="38">
        <v>39950</v>
      </c>
      <c r="D537" s="38">
        <v>39944</v>
      </c>
      <c r="E537" s="38">
        <v>39934</v>
      </c>
      <c r="F537" s="39">
        <v>45</v>
      </c>
      <c r="G537" t="s">
        <v>21</v>
      </c>
      <c r="H537" t="s">
        <v>21</v>
      </c>
      <c r="I537">
        <v>0</v>
      </c>
      <c r="J537">
        <v>0</v>
      </c>
      <c r="K537">
        <v>0</v>
      </c>
      <c r="L537">
        <v>1</v>
      </c>
      <c r="M537">
        <v>0</v>
      </c>
      <c r="N537" t="s">
        <v>193</v>
      </c>
      <c r="O537" t="s">
        <v>213</v>
      </c>
      <c r="P537" t="s">
        <v>204</v>
      </c>
      <c r="Q537" t="s">
        <v>170</v>
      </c>
      <c r="R537" t="s">
        <v>155</v>
      </c>
      <c r="T537" t="s">
        <v>134</v>
      </c>
      <c r="U537">
        <v>1</v>
      </c>
      <c r="W537" t="s">
        <v>134</v>
      </c>
      <c r="X537">
        <v>1</v>
      </c>
      <c r="Y537" t="s">
        <v>140</v>
      </c>
      <c r="Z537" t="s">
        <v>433</v>
      </c>
      <c r="AA537" t="s">
        <v>143</v>
      </c>
      <c r="AB537" t="s">
        <v>163</v>
      </c>
      <c r="AC537" t="s">
        <v>21</v>
      </c>
      <c r="AD537" t="s">
        <v>155</v>
      </c>
      <c r="AE537" t="s">
        <v>454</v>
      </c>
      <c r="AF537" t="s">
        <v>21</v>
      </c>
    </row>
    <row r="538" spans="1:32">
      <c r="A538" t="s">
        <v>1213</v>
      </c>
      <c r="B538" s="37">
        <v>40049</v>
      </c>
      <c r="C538" s="38">
        <v>40049</v>
      </c>
      <c r="D538" s="38">
        <v>40049</v>
      </c>
      <c r="E538" s="38">
        <v>40026</v>
      </c>
      <c r="F538" s="39">
        <v>144</v>
      </c>
      <c r="G538" t="s">
        <v>21</v>
      </c>
      <c r="H538" t="s">
        <v>21</v>
      </c>
      <c r="I538">
        <v>0</v>
      </c>
      <c r="J538">
        <v>0</v>
      </c>
      <c r="K538">
        <v>0</v>
      </c>
      <c r="L538">
        <v>1</v>
      </c>
      <c r="M538">
        <v>0</v>
      </c>
      <c r="N538" t="s">
        <v>196</v>
      </c>
      <c r="O538" t="s">
        <v>213</v>
      </c>
      <c r="P538" t="s">
        <v>207</v>
      </c>
      <c r="Q538" t="s">
        <v>170</v>
      </c>
      <c r="R538" t="s">
        <v>155</v>
      </c>
      <c r="S538">
        <v>5</v>
      </c>
      <c r="T538" t="s">
        <v>135</v>
      </c>
      <c r="U538">
        <v>0</v>
      </c>
      <c r="V538">
        <v>5</v>
      </c>
      <c r="W538" t="s">
        <v>135</v>
      </c>
      <c r="X538">
        <v>0</v>
      </c>
      <c r="Y538" t="s">
        <v>139</v>
      </c>
      <c r="Z538" t="s">
        <v>180</v>
      </c>
      <c r="AA538" t="s">
        <v>149</v>
      </c>
      <c r="AB538" t="s">
        <v>163</v>
      </c>
      <c r="AC538" t="s">
        <v>173</v>
      </c>
      <c r="AD538" t="s">
        <v>155</v>
      </c>
      <c r="AE538" t="s">
        <v>387</v>
      </c>
      <c r="AF538" t="s">
        <v>21</v>
      </c>
    </row>
    <row r="539" spans="1:32">
      <c r="A539" t="s">
        <v>1214</v>
      </c>
      <c r="B539" s="37">
        <v>40036</v>
      </c>
      <c r="C539" s="38">
        <v>40036</v>
      </c>
      <c r="D539" s="38">
        <v>40035</v>
      </c>
      <c r="E539" s="38">
        <v>40026</v>
      </c>
      <c r="F539" s="39">
        <v>131</v>
      </c>
      <c r="G539" t="s">
        <v>21</v>
      </c>
      <c r="H539" t="s">
        <v>21</v>
      </c>
      <c r="I539">
        <v>0</v>
      </c>
      <c r="J539">
        <v>0</v>
      </c>
      <c r="K539">
        <v>0</v>
      </c>
      <c r="L539">
        <v>1</v>
      </c>
      <c r="M539">
        <v>0</v>
      </c>
      <c r="N539" t="s">
        <v>196</v>
      </c>
      <c r="O539" t="s">
        <v>213</v>
      </c>
      <c r="P539" t="s">
        <v>207</v>
      </c>
      <c r="Q539" t="s">
        <v>170</v>
      </c>
      <c r="R539" t="s">
        <v>155</v>
      </c>
      <c r="S539">
        <v>5</v>
      </c>
      <c r="T539" t="s">
        <v>135</v>
      </c>
      <c r="U539">
        <v>0</v>
      </c>
      <c r="V539">
        <v>4</v>
      </c>
      <c r="W539" t="s">
        <v>137</v>
      </c>
      <c r="X539">
        <v>0</v>
      </c>
      <c r="Y539" t="s">
        <v>139</v>
      </c>
      <c r="Z539" t="s">
        <v>182</v>
      </c>
      <c r="AA539" t="s">
        <v>144</v>
      </c>
      <c r="AB539" t="s">
        <v>162</v>
      </c>
      <c r="AC539" t="s">
        <v>175</v>
      </c>
      <c r="AD539" t="s">
        <v>155</v>
      </c>
      <c r="AE539" t="s">
        <v>127</v>
      </c>
      <c r="AF539" t="s">
        <v>21</v>
      </c>
    </row>
    <row r="540" spans="1:32">
      <c r="A540" t="s">
        <v>1215</v>
      </c>
      <c r="B540" s="37">
        <v>39957</v>
      </c>
      <c r="C540" s="38">
        <v>39957</v>
      </c>
      <c r="D540" s="38">
        <v>39951</v>
      </c>
      <c r="E540" s="38">
        <v>39934</v>
      </c>
      <c r="F540" s="39">
        <v>52</v>
      </c>
      <c r="G540" t="s">
        <v>21</v>
      </c>
      <c r="H540" t="s">
        <v>21</v>
      </c>
      <c r="I540">
        <v>0</v>
      </c>
      <c r="J540">
        <v>0</v>
      </c>
      <c r="K540">
        <v>0</v>
      </c>
      <c r="L540">
        <v>1</v>
      </c>
      <c r="M540">
        <v>0</v>
      </c>
      <c r="N540" t="s">
        <v>193</v>
      </c>
      <c r="O540" t="s">
        <v>213</v>
      </c>
      <c r="P540" t="s">
        <v>204</v>
      </c>
      <c r="Q540" t="s">
        <v>170</v>
      </c>
      <c r="R540" t="s">
        <v>155</v>
      </c>
      <c r="T540" t="s">
        <v>134</v>
      </c>
      <c r="U540">
        <v>1</v>
      </c>
      <c r="W540" t="s">
        <v>134</v>
      </c>
      <c r="X540">
        <v>1</v>
      </c>
      <c r="Y540" t="s">
        <v>140</v>
      </c>
      <c r="Z540" t="s">
        <v>183</v>
      </c>
      <c r="AA540" t="s">
        <v>145</v>
      </c>
      <c r="AB540" t="s">
        <v>163</v>
      </c>
      <c r="AC540" t="s">
        <v>173</v>
      </c>
      <c r="AD540" t="s">
        <v>161</v>
      </c>
      <c r="AE540" t="s">
        <v>1216</v>
      </c>
      <c r="AF540" t="s">
        <v>21</v>
      </c>
    </row>
    <row r="541" spans="1:32">
      <c r="A541" t="s">
        <v>1217</v>
      </c>
      <c r="B541" s="37">
        <v>40063</v>
      </c>
      <c r="C541" s="38">
        <v>40063</v>
      </c>
      <c r="D541" s="38">
        <v>40063</v>
      </c>
      <c r="E541" s="38">
        <v>40057</v>
      </c>
      <c r="F541" s="39">
        <v>158</v>
      </c>
      <c r="G541" t="s">
        <v>21</v>
      </c>
      <c r="H541" t="s">
        <v>21</v>
      </c>
      <c r="I541">
        <v>0</v>
      </c>
      <c r="J541">
        <v>0</v>
      </c>
      <c r="K541">
        <v>0</v>
      </c>
      <c r="L541">
        <v>1</v>
      </c>
      <c r="M541">
        <v>0</v>
      </c>
      <c r="N541" t="s">
        <v>544</v>
      </c>
      <c r="O541" t="s">
        <v>213</v>
      </c>
      <c r="P541" t="s">
        <v>545</v>
      </c>
      <c r="Q541" t="s">
        <v>170</v>
      </c>
      <c r="R541" t="s">
        <v>155</v>
      </c>
      <c r="S541">
        <v>1</v>
      </c>
      <c r="T541" t="s">
        <v>136</v>
      </c>
      <c r="U541">
        <v>0</v>
      </c>
      <c r="V541">
        <v>5</v>
      </c>
      <c r="W541" t="s">
        <v>135</v>
      </c>
      <c r="X541">
        <v>0</v>
      </c>
      <c r="Y541" t="s">
        <v>139</v>
      </c>
      <c r="Z541" t="s">
        <v>183</v>
      </c>
      <c r="AA541" t="s">
        <v>146</v>
      </c>
      <c r="AB541" t="s">
        <v>162</v>
      </c>
      <c r="AC541" t="s">
        <v>1218</v>
      </c>
      <c r="AD541" t="s">
        <v>156</v>
      </c>
      <c r="AE541" t="s">
        <v>120</v>
      </c>
      <c r="AF541" t="s">
        <v>662</v>
      </c>
    </row>
    <row r="542" spans="1:32">
      <c r="A542" t="s">
        <v>1219</v>
      </c>
      <c r="B542" s="37">
        <v>40018</v>
      </c>
      <c r="C542" s="38">
        <v>40018</v>
      </c>
      <c r="D542" s="38">
        <v>40014</v>
      </c>
      <c r="E542" s="38">
        <v>39995</v>
      </c>
      <c r="F542" s="39">
        <v>113</v>
      </c>
      <c r="G542" t="s">
        <v>21</v>
      </c>
      <c r="H542" t="s">
        <v>21</v>
      </c>
      <c r="I542">
        <v>0</v>
      </c>
      <c r="J542">
        <v>0</v>
      </c>
      <c r="K542">
        <v>0</v>
      </c>
      <c r="L542">
        <v>1</v>
      </c>
      <c r="M542">
        <v>0</v>
      </c>
      <c r="N542" t="s">
        <v>193</v>
      </c>
      <c r="O542" t="s">
        <v>213</v>
      </c>
      <c r="P542" t="s">
        <v>204</v>
      </c>
      <c r="Q542" t="s">
        <v>170</v>
      </c>
      <c r="R542" t="s">
        <v>155</v>
      </c>
      <c r="S542">
        <v>1</v>
      </c>
      <c r="T542" t="s">
        <v>136</v>
      </c>
      <c r="U542">
        <v>0</v>
      </c>
      <c r="V542">
        <v>2</v>
      </c>
      <c r="W542" t="s">
        <v>136</v>
      </c>
      <c r="X542">
        <v>0</v>
      </c>
      <c r="Y542" t="s">
        <v>140</v>
      </c>
      <c r="Z542" t="s">
        <v>182</v>
      </c>
      <c r="AA542" t="s">
        <v>143</v>
      </c>
      <c r="AB542" t="s">
        <v>163</v>
      </c>
      <c r="AC542" t="s">
        <v>1220</v>
      </c>
      <c r="AD542" t="s">
        <v>21</v>
      </c>
      <c r="AE542" t="s">
        <v>21</v>
      </c>
      <c r="AF542" t="s">
        <v>21</v>
      </c>
    </row>
    <row r="543" spans="1:32">
      <c r="A543" t="s">
        <v>1221</v>
      </c>
      <c r="B543" s="37">
        <v>40024</v>
      </c>
      <c r="C543" s="38">
        <v>40024</v>
      </c>
      <c r="D543" s="38">
        <v>40021</v>
      </c>
      <c r="E543" s="38">
        <v>39995</v>
      </c>
      <c r="F543" s="39">
        <v>119</v>
      </c>
      <c r="G543" t="s">
        <v>21</v>
      </c>
      <c r="H543" t="s">
        <v>21</v>
      </c>
      <c r="I543">
        <v>0</v>
      </c>
      <c r="J543">
        <v>0</v>
      </c>
      <c r="K543">
        <v>0</v>
      </c>
      <c r="L543">
        <v>1</v>
      </c>
      <c r="M543">
        <v>0</v>
      </c>
      <c r="N543" t="s">
        <v>193</v>
      </c>
      <c r="O543" t="s">
        <v>213</v>
      </c>
      <c r="P543" t="s">
        <v>204</v>
      </c>
      <c r="Q543" t="s">
        <v>170</v>
      </c>
      <c r="R543" t="s">
        <v>155</v>
      </c>
      <c r="S543">
        <v>5</v>
      </c>
      <c r="T543" t="s">
        <v>135</v>
      </c>
      <c r="U543">
        <v>0</v>
      </c>
      <c r="V543">
        <v>5</v>
      </c>
      <c r="W543" t="s">
        <v>135</v>
      </c>
      <c r="X543">
        <v>0</v>
      </c>
      <c r="Y543" t="s">
        <v>140</v>
      </c>
      <c r="Z543" t="s">
        <v>182</v>
      </c>
      <c r="AA543" t="s">
        <v>146</v>
      </c>
      <c r="AB543" t="s">
        <v>162</v>
      </c>
      <c r="AC543" t="s">
        <v>1218</v>
      </c>
      <c r="AD543" t="s">
        <v>157</v>
      </c>
      <c r="AE543" t="s">
        <v>571</v>
      </c>
      <c r="AF543" t="s">
        <v>1222</v>
      </c>
    </row>
    <row r="544" spans="1:32">
      <c r="A544" t="s">
        <v>1223</v>
      </c>
      <c r="B544" s="37">
        <v>39986</v>
      </c>
      <c r="C544" s="38">
        <v>39986</v>
      </c>
      <c r="D544" s="38">
        <v>39986</v>
      </c>
      <c r="E544" s="38">
        <v>39965</v>
      </c>
      <c r="F544" s="39">
        <v>81</v>
      </c>
      <c r="G544" t="s">
        <v>21</v>
      </c>
      <c r="H544" t="s">
        <v>21</v>
      </c>
      <c r="I544">
        <v>0</v>
      </c>
      <c r="J544">
        <v>0</v>
      </c>
      <c r="K544">
        <v>0</v>
      </c>
      <c r="L544">
        <v>1</v>
      </c>
      <c r="M544">
        <v>0</v>
      </c>
      <c r="N544" t="s">
        <v>193</v>
      </c>
      <c r="O544" t="s">
        <v>213</v>
      </c>
      <c r="P544" t="s">
        <v>204</v>
      </c>
      <c r="Q544" t="s">
        <v>170</v>
      </c>
      <c r="R544" t="s">
        <v>155</v>
      </c>
      <c r="T544" t="s">
        <v>134</v>
      </c>
      <c r="U544">
        <v>1</v>
      </c>
      <c r="W544" t="s">
        <v>134</v>
      </c>
      <c r="X544">
        <v>1</v>
      </c>
      <c r="Y544" t="s">
        <v>140</v>
      </c>
      <c r="Z544" t="s">
        <v>178</v>
      </c>
      <c r="AA544" t="s">
        <v>144</v>
      </c>
      <c r="AB544" t="s">
        <v>163</v>
      </c>
      <c r="AC544" t="s">
        <v>1224</v>
      </c>
      <c r="AD544" t="s">
        <v>788</v>
      </c>
      <c r="AE544" t="s">
        <v>1225</v>
      </c>
      <c r="AF544" t="s">
        <v>21</v>
      </c>
    </row>
    <row r="545" spans="1:32">
      <c r="A545" t="s">
        <v>1226</v>
      </c>
      <c r="B545" s="37">
        <v>39968</v>
      </c>
      <c r="C545" s="38">
        <v>39968</v>
      </c>
      <c r="D545" s="38">
        <v>39965</v>
      </c>
      <c r="E545" s="38">
        <v>39965</v>
      </c>
      <c r="F545" s="39">
        <v>63</v>
      </c>
      <c r="G545" t="s">
        <v>21</v>
      </c>
      <c r="H545" t="s">
        <v>21</v>
      </c>
      <c r="I545">
        <v>0</v>
      </c>
      <c r="J545">
        <v>0</v>
      </c>
      <c r="K545">
        <v>0</v>
      </c>
      <c r="L545">
        <v>1</v>
      </c>
      <c r="M545">
        <v>0</v>
      </c>
      <c r="N545" t="s">
        <v>193</v>
      </c>
      <c r="O545" t="s">
        <v>213</v>
      </c>
      <c r="P545" t="s">
        <v>204</v>
      </c>
      <c r="Q545" t="s">
        <v>170</v>
      </c>
      <c r="R545" t="s">
        <v>155</v>
      </c>
      <c r="T545" t="s">
        <v>134</v>
      </c>
      <c r="U545">
        <v>1</v>
      </c>
      <c r="W545" t="s">
        <v>134</v>
      </c>
      <c r="X545">
        <v>1</v>
      </c>
      <c r="Y545" t="s">
        <v>140</v>
      </c>
      <c r="Z545" t="s">
        <v>179</v>
      </c>
      <c r="AA545" t="s">
        <v>146</v>
      </c>
      <c r="AB545" t="s">
        <v>163</v>
      </c>
      <c r="AC545" t="s">
        <v>21</v>
      </c>
      <c r="AD545" t="s">
        <v>155</v>
      </c>
      <c r="AE545" t="s">
        <v>387</v>
      </c>
      <c r="AF545" t="s">
        <v>21</v>
      </c>
    </row>
    <row r="546" spans="1:32">
      <c r="A546" t="s">
        <v>1227</v>
      </c>
      <c r="B546" s="37">
        <v>39993</v>
      </c>
      <c r="C546" s="38">
        <v>39993</v>
      </c>
      <c r="D546" s="38">
        <v>39993</v>
      </c>
      <c r="E546" s="38">
        <v>39965</v>
      </c>
      <c r="F546" s="39">
        <v>88</v>
      </c>
      <c r="G546" t="s">
        <v>496</v>
      </c>
      <c r="H546" t="s">
        <v>13</v>
      </c>
      <c r="I546">
        <v>0</v>
      </c>
      <c r="J546">
        <v>1</v>
      </c>
      <c r="K546">
        <v>0</v>
      </c>
      <c r="L546">
        <v>0</v>
      </c>
      <c r="M546">
        <v>1</v>
      </c>
      <c r="N546" t="s">
        <v>196</v>
      </c>
      <c r="O546" t="s">
        <v>213</v>
      </c>
      <c r="P546" t="s">
        <v>207</v>
      </c>
      <c r="Q546" t="s">
        <v>170</v>
      </c>
      <c r="R546" t="s">
        <v>155</v>
      </c>
      <c r="T546" t="s">
        <v>134</v>
      </c>
      <c r="U546">
        <v>1</v>
      </c>
      <c r="V546">
        <v>5</v>
      </c>
      <c r="W546" t="s">
        <v>135</v>
      </c>
      <c r="X546">
        <v>0</v>
      </c>
      <c r="Y546" t="s">
        <v>139</v>
      </c>
      <c r="Z546" t="s">
        <v>181</v>
      </c>
      <c r="AA546" t="s">
        <v>142</v>
      </c>
      <c r="AB546" t="s">
        <v>163</v>
      </c>
      <c r="AC546" t="s">
        <v>1228</v>
      </c>
      <c r="AD546" t="s">
        <v>155</v>
      </c>
      <c r="AE546" t="s">
        <v>125</v>
      </c>
      <c r="AF546" t="s">
        <v>21</v>
      </c>
    </row>
    <row r="547" spans="1:32">
      <c r="A547" t="s">
        <v>1229</v>
      </c>
      <c r="B547" s="37">
        <v>39998</v>
      </c>
      <c r="C547" s="38">
        <v>39998</v>
      </c>
      <c r="D547" s="38">
        <v>39993</v>
      </c>
      <c r="E547" s="38">
        <v>39995</v>
      </c>
      <c r="F547" s="39">
        <v>93</v>
      </c>
      <c r="G547" t="s">
        <v>21</v>
      </c>
      <c r="H547" t="s">
        <v>21</v>
      </c>
      <c r="I547">
        <v>0</v>
      </c>
      <c r="J547">
        <v>0</v>
      </c>
      <c r="K547">
        <v>0</v>
      </c>
      <c r="L547">
        <v>1</v>
      </c>
      <c r="M547">
        <v>0</v>
      </c>
      <c r="N547" t="s">
        <v>194</v>
      </c>
      <c r="O547" t="s">
        <v>213</v>
      </c>
      <c r="P547" t="s">
        <v>205</v>
      </c>
      <c r="Q547" t="s">
        <v>170</v>
      </c>
      <c r="R547" t="s">
        <v>155</v>
      </c>
      <c r="T547" t="s">
        <v>134</v>
      </c>
      <c r="U547">
        <v>1</v>
      </c>
      <c r="V547">
        <v>2</v>
      </c>
      <c r="W547" t="s">
        <v>136</v>
      </c>
      <c r="X547">
        <v>0</v>
      </c>
      <c r="Y547" t="s">
        <v>139</v>
      </c>
      <c r="Z547" t="s">
        <v>180</v>
      </c>
      <c r="AA547" t="s">
        <v>145</v>
      </c>
      <c r="AB547" t="s">
        <v>163</v>
      </c>
      <c r="AC547" t="s">
        <v>21</v>
      </c>
      <c r="AD547" t="s">
        <v>155</v>
      </c>
      <c r="AE547" t="s">
        <v>125</v>
      </c>
      <c r="AF547" t="s">
        <v>21</v>
      </c>
    </row>
    <row r="548" spans="1:32">
      <c r="A548" t="s">
        <v>1230</v>
      </c>
      <c r="B548" s="37">
        <v>40007</v>
      </c>
      <c r="C548" s="38">
        <v>40007</v>
      </c>
      <c r="D548" s="38">
        <v>40007</v>
      </c>
      <c r="E548" s="38">
        <v>39995</v>
      </c>
      <c r="F548" s="39">
        <v>102</v>
      </c>
      <c r="G548" t="s">
        <v>525</v>
      </c>
      <c r="H548" t="s">
        <v>17</v>
      </c>
      <c r="I548">
        <v>0</v>
      </c>
      <c r="J548">
        <v>0</v>
      </c>
      <c r="K548">
        <v>1</v>
      </c>
      <c r="L548">
        <v>0</v>
      </c>
      <c r="M548">
        <v>0</v>
      </c>
      <c r="N548" t="s">
        <v>193</v>
      </c>
      <c r="O548" t="s">
        <v>213</v>
      </c>
      <c r="P548" t="s">
        <v>204</v>
      </c>
      <c r="Q548" t="s">
        <v>170</v>
      </c>
      <c r="R548" t="s">
        <v>155</v>
      </c>
      <c r="S548">
        <v>3</v>
      </c>
      <c r="T548" t="s">
        <v>137</v>
      </c>
      <c r="U548">
        <v>0</v>
      </c>
      <c r="V548">
        <v>4</v>
      </c>
      <c r="W548" t="s">
        <v>137</v>
      </c>
      <c r="X548">
        <v>0</v>
      </c>
      <c r="Y548" t="s">
        <v>140</v>
      </c>
      <c r="Z548" t="s">
        <v>178</v>
      </c>
      <c r="AA548" t="s">
        <v>144</v>
      </c>
      <c r="AB548" t="s">
        <v>162</v>
      </c>
      <c r="AC548" t="s">
        <v>1231</v>
      </c>
      <c r="AD548" t="s">
        <v>155</v>
      </c>
      <c r="AE548" t="s">
        <v>130</v>
      </c>
      <c r="AF548" t="s">
        <v>21</v>
      </c>
    </row>
    <row r="549" spans="1:32">
      <c r="A549" t="s">
        <v>1232</v>
      </c>
      <c r="B549" s="37">
        <v>40084</v>
      </c>
      <c r="C549" s="38">
        <v>40084</v>
      </c>
      <c r="D549" s="38">
        <v>40084</v>
      </c>
      <c r="E549" s="38">
        <v>40057</v>
      </c>
      <c r="F549" s="39">
        <v>179</v>
      </c>
      <c r="G549" t="s">
        <v>496</v>
      </c>
      <c r="H549" t="s">
        <v>13</v>
      </c>
      <c r="I549">
        <v>0</v>
      </c>
      <c r="J549">
        <v>1</v>
      </c>
      <c r="K549">
        <v>0</v>
      </c>
      <c r="L549">
        <v>0</v>
      </c>
      <c r="M549">
        <v>1</v>
      </c>
      <c r="N549" t="s">
        <v>544</v>
      </c>
      <c r="O549" t="s">
        <v>213</v>
      </c>
      <c r="P549" t="s">
        <v>545</v>
      </c>
      <c r="Q549" t="s">
        <v>170</v>
      </c>
      <c r="R549" t="s">
        <v>155</v>
      </c>
      <c r="S549">
        <v>5</v>
      </c>
      <c r="T549" t="s">
        <v>135</v>
      </c>
      <c r="U549">
        <v>0</v>
      </c>
      <c r="V549">
        <v>5</v>
      </c>
      <c r="W549" t="s">
        <v>135</v>
      </c>
      <c r="X549">
        <v>0</v>
      </c>
      <c r="Y549" t="s">
        <v>139</v>
      </c>
      <c r="Z549" t="s">
        <v>180</v>
      </c>
      <c r="AA549" t="s">
        <v>150</v>
      </c>
      <c r="AB549" t="s">
        <v>163</v>
      </c>
      <c r="AC549" t="s">
        <v>173</v>
      </c>
      <c r="AD549" t="s">
        <v>155</v>
      </c>
      <c r="AE549" t="s">
        <v>128</v>
      </c>
      <c r="AF549" t="s">
        <v>21</v>
      </c>
    </row>
    <row r="550" spans="1:32">
      <c r="A550" t="s">
        <v>1233</v>
      </c>
      <c r="B550" s="37">
        <v>39938</v>
      </c>
      <c r="C550" s="38">
        <v>39938</v>
      </c>
      <c r="D550" s="38">
        <v>39937</v>
      </c>
      <c r="E550" s="38">
        <v>39934</v>
      </c>
      <c r="F550" s="39">
        <v>33</v>
      </c>
      <c r="G550" t="s">
        <v>525</v>
      </c>
      <c r="H550" t="s">
        <v>17</v>
      </c>
      <c r="I550">
        <v>0</v>
      </c>
      <c r="J550">
        <v>0</v>
      </c>
      <c r="K550">
        <v>1</v>
      </c>
      <c r="L550">
        <v>0</v>
      </c>
      <c r="M550">
        <v>0</v>
      </c>
      <c r="N550" t="s">
        <v>194</v>
      </c>
      <c r="O550" t="s">
        <v>213</v>
      </c>
      <c r="P550" t="s">
        <v>205</v>
      </c>
      <c r="Q550" t="s">
        <v>170</v>
      </c>
      <c r="R550" t="s">
        <v>155</v>
      </c>
      <c r="T550" t="s">
        <v>134</v>
      </c>
      <c r="U550">
        <v>1</v>
      </c>
      <c r="W550" t="s">
        <v>134</v>
      </c>
      <c r="X550">
        <v>1</v>
      </c>
      <c r="Y550" t="s">
        <v>139</v>
      </c>
      <c r="Z550" t="s">
        <v>179</v>
      </c>
      <c r="AA550" t="s">
        <v>147</v>
      </c>
      <c r="AB550" t="s">
        <v>162</v>
      </c>
      <c r="AC550" t="s">
        <v>459</v>
      </c>
      <c r="AD550" t="s">
        <v>517</v>
      </c>
      <c r="AE550" t="s">
        <v>123</v>
      </c>
      <c r="AF550" t="s">
        <v>123</v>
      </c>
    </row>
    <row r="551" spans="1:32">
      <c r="A551" t="s">
        <v>1234</v>
      </c>
      <c r="B551" s="37">
        <v>39983</v>
      </c>
      <c r="C551" s="38">
        <v>39983</v>
      </c>
      <c r="D551" s="38">
        <v>39979</v>
      </c>
      <c r="E551" s="38">
        <v>39965</v>
      </c>
      <c r="F551" s="39">
        <v>78</v>
      </c>
      <c r="G551" t="s">
        <v>21</v>
      </c>
      <c r="H551" t="s">
        <v>21</v>
      </c>
      <c r="I551">
        <v>0</v>
      </c>
      <c r="J551">
        <v>0</v>
      </c>
      <c r="K551">
        <v>0</v>
      </c>
      <c r="L551">
        <v>1</v>
      </c>
      <c r="M551">
        <v>0</v>
      </c>
      <c r="N551" t="s">
        <v>193</v>
      </c>
      <c r="O551" t="s">
        <v>213</v>
      </c>
      <c r="P551" t="s">
        <v>204</v>
      </c>
      <c r="Q551" t="s">
        <v>170</v>
      </c>
      <c r="R551" t="s">
        <v>155</v>
      </c>
      <c r="T551" t="s">
        <v>134</v>
      </c>
      <c r="U551">
        <v>1</v>
      </c>
      <c r="W551" t="s">
        <v>134</v>
      </c>
      <c r="X551">
        <v>1</v>
      </c>
      <c r="Y551" t="s">
        <v>140</v>
      </c>
      <c r="Z551" t="s">
        <v>180</v>
      </c>
      <c r="AA551" t="s">
        <v>143</v>
      </c>
      <c r="AB551" t="s">
        <v>163</v>
      </c>
      <c r="AC551" t="s">
        <v>700</v>
      </c>
      <c r="AD551" t="s">
        <v>155</v>
      </c>
      <c r="AE551" t="s">
        <v>406</v>
      </c>
      <c r="AF551" t="s">
        <v>21</v>
      </c>
    </row>
    <row r="552" spans="1:32">
      <c r="A552" t="s">
        <v>1235</v>
      </c>
      <c r="B552" s="37">
        <v>40025</v>
      </c>
      <c r="C552" s="38">
        <v>40025</v>
      </c>
      <c r="D552" s="38">
        <v>40021</v>
      </c>
      <c r="E552" s="38">
        <v>39995</v>
      </c>
      <c r="F552" s="39">
        <v>120</v>
      </c>
      <c r="G552" t="s">
        <v>21</v>
      </c>
      <c r="H552" t="s">
        <v>21</v>
      </c>
      <c r="I552">
        <v>0</v>
      </c>
      <c r="J552">
        <v>0</v>
      </c>
      <c r="K552">
        <v>0</v>
      </c>
      <c r="L552">
        <v>1</v>
      </c>
      <c r="M552">
        <v>0</v>
      </c>
      <c r="N552" t="s">
        <v>195</v>
      </c>
      <c r="O552" t="s">
        <v>213</v>
      </c>
      <c r="P552" t="s">
        <v>206</v>
      </c>
      <c r="Q552" t="s">
        <v>170</v>
      </c>
      <c r="R552" t="s">
        <v>155</v>
      </c>
      <c r="S552">
        <v>5</v>
      </c>
      <c r="T552" t="s">
        <v>135</v>
      </c>
      <c r="U552">
        <v>0</v>
      </c>
      <c r="V552">
        <v>5</v>
      </c>
      <c r="W552" t="s">
        <v>135</v>
      </c>
      <c r="X552">
        <v>0</v>
      </c>
      <c r="Y552" t="s">
        <v>139</v>
      </c>
      <c r="Z552" t="s">
        <v>181</v>
      </c>
      <c r="AA552" t="s">
        <v>144</v>
      </c>
      <c r="AB552" t="s">
        <v>162</v>
      </c>
      <c r="AC552" t="s">
        <v>175</v>
      </c>
      <c r="AD552" t="s">
        <v>155</v>
      </c>
      <c r="AE552" t="s">
        <v>129</v>
      </c>
      <c r="AF552" t="s">
        <v>21</v>
      </c>
    </row>
    <row r="553" spans="1:32">
      <c r="A553" t="s">
        <v>1236</v>
      </c>
      <c r="B553" s="37">
        <v>40080</v>
      </c>
      <c r="C553" s="38">
        <v>40080</v>
      </c>
      <c r="D553" s="38">
        <v>40077</v>
      </c>
      <c r="E553" s="38">
        <v>40057</v>
      </c>
      <c r="F553" s="39">
        <v>175</v>
      </c>
      <c r="G553" t="s">
        <v>9</v>
      </c>
      <c r="H553" t="s">
        <v>9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193</v>
      </c>
      <c r="O553" t="s">
        <v>213</v>
      </c>
      <c r="P553" t="s">
        <v>204</v>
      </c>
      <c r="Q553" t="s">
        <v>170</v>
      </c>
      <c r="R553" t="s">
        <v>155</v>
      </c>
      <c r="S553">
        <v>3</v>
      </c>
      <c r="T553" t="s">
        <v>137</v>
      </c>
      <c r="U553">
        <v>0</v>
      </c>
      <c r="V553">
        <v>3</v>
      </c>
      <c r="W553" t="s">
        <v>137</v>
      </c>
      <c r="X553">
        <v>0</v>
      </c>
      <c r="Y553" t="s">
        <v>140</v>
      </c>
      <c r="Z553" t="s">
        <v>376</v>
      </c>
      <c r="AA553" t="s">
        <v>144</v>
      </c>
      <c r="AB553" t="s">
        <v>162</v>
      </c>
      <c r="AC553" t="s">
        <v>175</v>
      </c>
      <c r="AD553" t="s">
        <v>155</v>
      </c>
      <c r="AE553" t="s">
        <v>129</v>
      </c>
      <c r="AF553" t="s">
        <v>21</v>
      </c>
    </row>
    <row r="554" spans="1:32">
      <c r="A554" t="s">
        <v>1237</v>
      </c>
      <c r="B554" s="37">
        <v>39945</v>
      </c>
      <c r="C554" s="38">
        <v>39945</v>
      </c>
      <c r="D554" s="38">
        <v>39944</v>
      </c>
      <c r="E554" s="38">
        <v>39934</v>
      </c>
      <c r="F554" s="39">
        <v>40</v>
      </c>
      <c r="G554" t="s">
        <v>9</v>
      </c>
      <c r="H554" t="s">
        <v>9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193</v>
      </c>
      <c r="O554" t="s">
        <v>213</v>
      </c>
      <c r="P554" t="s">
        <v>204</v>
      </c>
      <c r="Q554" t="s">
        <v>170</v>
      </c>
      <c r="R554" t="s">
        <v>155</v>
      </c>
      <c r="T554" t="s">
        <v>134</v>
      </c>
      <c r="U554">
        <v>1</v>
      </c>
      <c r="W554" t="s">
        <v>134</v>
      </c>
      <c r="X554">
        <v>1</v>
      </c>
      <c r="Y554" t="s">
        <v>140</v>
      </c>
      <c r="Z554" t="s">
        <v>180</v>
      </c>
      <c r="AA554" t="s">
        <v>147</v>
      </c>
      <c r="AB554" t="s">
        <v>165</v>
      </c>
      <c r="AC554" t="s">
        <v>1238</v>
      </c>
      <c r="AD554" t="s">
        <v>158</v>
      </c>
      <c r="AE554" t="s">
        <v>122</v>
      </c>
      <c r="AF554" t="s">
        <v>21</v>
      </c>
    </row>
    <row r="555" spans="1:32">
      <c r="A555" t="s">
        <v>1239</v>
      </c>
      <c r="B555" s="37">
        <v>40041</v>
      </c>
      <c r="C555" s="38">
        <v>40041</v>
      </c>
      <c r="D555" s="38">
        <v>40035</v>
      </c>
      <c r="E555" s="38">
        <v>40026</v>
      </c>
      <c r="F555" s="39">
        <v>136</v>
      </c>
      <c r="G555" t="s">
        <v>21</v>
      </c>
      <c r="H555" t="s">
        <v>21</v>
      </c>
      <c r="I555">
        <v>0</v>
      </c>
      <c r="J555">
        <v>0</v>
      </c>
      <c r="K555">
        <v>0</v>
      </c>
      <c r="L555">
        <v>1</v>
      </c>
      <c r="M555">
        <v>0</v>
      </c>
      <c r="N555" t="s">
        <v>195</v>
      </c>
      <c r="O555" t="s">
        <v>213</v>
      </c>
      <c r="P555" t="s">
        <v>206</v>
      </c>
      <c r="Q555" t="s">
        <v>170</v>
      </c>
      <c r="R555" t="s">
        <v>155</v>
      </c>
      <c r="S555">
        <v>5</v>
      </c>
      <c r="T555" t="s">
        <v>135</v>
      </c>
      <c r="U555">
        <v>0</v>
      </c>
      <c r="V555">
        <v>3</v>
      </c>
      <c r="W555" t="s">
        <v>137</v>
      </c>
      <c r="X555">
        <v>0</v>
      </c>
      <c r="Y555" t="s">
        <v>139</v>
      </c>
      <c r="Z555" t="s">
        <v>180</v>
      </c>
      <c r="AA555" t="s">
        <v>145</v>
      </c>
      <c r="AB555" t="s">
        <v>162</v>
      </c>
      <c r="AC555" t="s">
        <v>175</v>
      </c>
      <c r="AD555" t="s">
        <v>155</v>
      </c>
      <c r="AE555" t="s">
        <v>129</v>
      </c>
      <c r="AF555" t="s">
        <v>21</v>
      </c>
    </row>
    <row r="556" spans="1:32">
      <c r="A556" t="s">
        <v>1240</v>
      </c>
      <c r="B556" s="37">
        <v>40038</v>
      </c>
      <c r="C556" s="38">
        <v>40038</v>
      </c>
      <c r="D556" s="38">
        <v>40035</v>
      </c>
      <c r="E556" s="38">
        <v>40026</v>
      </c>
      <c r="F556" s="39">
        <v>133</v>
      </c>
      <c r="G556" t="s">
        <v>21</v>
      </c>
      <c r="H556" t="s">
        <v>21</v>
      </c>
      <c r="I556">
        <v>0</v>
      </c>
      <c r="J556">
        <v>0</v>
      </c>
      <c r="K556">
        <v>0</v>
      </c>
      <c r="L556">
        <v>1</v>
      </c>
      <c r="M556">
        <v>0</v>
      </c>
      <c r="N556" t="s">
        <v>197</v>
      </c>
      <c r="O556" t="s">
        <v>213</v>
      </c>
      <c r="P556" t="s">
        <v>209</v>
      </c>
      <c r="Q556" t="s">
        <v>170</v>
      </c>
      <c r="R556" t="s">
        <v>155</v>
      </c>
      <c r="S556">
        <v>5</v>
      </c>
      <c r="T556" t="s">
        <v>135</v>
      </c>
      <c r="U556">
        <v>0</v>
      </c>
      <c r="V556">
        <v>5</v>
      </c>
      <c r="W556" t="s">
        <v>135</v>
      </c>
      <c r="X556">
        <v>0</v>
      </c>
      <c r="Y556" t="s">
        <v>139</v>
      </c>
      <c r="Z556" t="s">
        <v>384</v>
      </c>
      <c r="AA556" t="s">
        <v>145</v>
      </c>
      <c r="AB556" t="s">
        <v>162</v>
      </c>
      <c r="AC556" t="s">
        <v>1241</v>
      </c>
      <c r="AD556" t="s">
        <v>157</v>
      </c>
      <c r="AE556" t="s">
        <v>571</v>
      </c>
      <c r="AF556" t="s">
        <v>636</v>
      </c>
    </row>
    <row r="557" spans="1:32">
      <c r="A557" t="s">
        <v>1242</v>
      </c>
      <c r="B557" s="37">
        <v>40050</v>
      </c>
      <c r="C557" s="38">
        <v>40050</v>
      </c>
      <c r="D557" s="38">
        <v>40049</v>
      </c>
      <c r="E557" s="38">
        <v>40026</v>
      </c>
      <c r="F557" s="39">
        <v>145</v>
      </c>
      <c r="G557" t="s">
        <v>21</v>
      </c>
      <c r="H557" t="s">
        <v>21</v>
      </c>
      <c r="I557">
        <v>0</v>
      </c>
      <c r="J557">
        <v>0</v>
      </c>
      <c r="K557">
        <v>0</v>
      </c>
      <c r="L557">
        <v>1</v>
      </c>
      <c r="M557">
        <v>0</v>
      </c>
      <c r="N557" t="s">
        <v>195</v>
      </c>
      <c r="O557" t="s">
        <v>213</v>
      </c>
      <c r="P557" t="s">
        <v>206</v>
      </c>
      <c r="Q557" t="s">
        <v>170</v>
      </c>
      <c r="R557" t="s">
        <v>155</v>
      </c>
      <c r="S557">
        <v>5</v>
      </c>
      <c r="T557" t="s">
        <v>135</v>
      </c>
      <c r="U557">
        <v>0</v>
      </c>
      <c r="V557">
        <v>3</v>
      </c>
      <c r="W557" t="s">
        <v>137</v>
      </c>
      <c r="X557">
        <v>0</v>
      </c>
      <c r="Y557" t="s">
        <v>139</v>
      </c>
      <c r="Z557" t="s">
        <v>384</v>
      </c>
      <c r="AA557" t="s">
        <v>145</v>
      </c>
      <c r="AB557" t="s">
        <v>162</v>
      </c>
      <c r="AC557" t="s">
        <v>1241</v>
      </c>
      <c r="AD557" t="s">
        <v>157</v>
      </c>
      <c r="AE557" t="s">
        <v>571</v>
      </c>
      <c r="AF557" t="s">
        <v>636</v>
      </c>
    </row>
    <row r="558" spans="1:32">
      <c r="A558" t="s">
        <v>1243</v>
      </c>
      <c r="B558" s="37">
        <v>40054</v>
      </c>
      <c r="C558" s="38">
        <v>40054</v>
      </c>
      <c r="D558" s="38">
        <v>40049</v>
      </c>
      <c r="E558" s="38">
        <v>40026</v>
      </c>
      <c r="F558" s="39">
        <v>149</v>
      </c>
      <c r="G558" t="s">
        <v>21</v>
      </c>
      <c r="H558" t="s">
        <v>21</v>
      </c>
      <c r="I558">
        <v>0</v>
      </c>
      <c r="J558">
        <v>0</v>
      </c>
      <c r="K558">
        <v>0</v>
      </c>
      <c r="L558">
        <v>1</v>
      </c>
      <c r="M558">
        <v>0</v>
      </c>
      <c r="N558" t="s">
        <v>193</v>
      </c>
      <c r="O558" t="s">
        <v>213</v>
      </c>
      <c r="P558" t="s">
        <v>204</v>
      </c>
      <c r="Q558" t="s">
        <v>170</v>
      </c>
      <c r="R558" t="s">
        <v>155</v>
      </c>
      <c r="S558">
        <v>2</v>
      </c>
      <c r="T558" t="s">
        <v>136</v>
      </c>
      <c r="U558">
        <v>0</v>
      </c>
      <c r="V558">
        <v>3</v>
      </c>
      <c r="W558" t="s">
        <v>137</v>
      </c>
      <c r="X558">
        <v>0</v>
      </c>
      <c r="Y558" t="s">
        <v>140</v>
      </c>
      <c r="Z558" t="s">
        <v>384</v>
      </c>
      <c r="AA558" t="s">
        <v>143</v>
      </c>
      <c r="AB558" t="s">
        <v>162</v>
      </c>
      <c r="AC558" t="s">
        <v>175</v>
      </c>
      <c r="AD558" t="s">
        <v>155</v>
      </c>
      <c r="AE558" t="s">
        <v>129</v>
      </c>
      <c r="AF558" t="s">
        <v>21</v>
      </c>
    </row>
    <row r="559" spans="1:32">
      <c r="A559" t="s">
        <v>1244</v>
      </c>
      <c r="B559" s="37">
        <v>40059</v>
      </c>
      <c r="C559" s="38">
        <v>40059</v>
      </c>
      <c r="D559" s="38">
        <v>40056</v>
      </c>
      <c r="E559" s="38">
        <v>40057</v>
      </c>
      <c r="F559" s="39">
        <v>154</v>
      </c>
      <c r="G559" t="s">
        <v>525</v>
      </c>
      <c r="H559" t="s">
        <v>17</v>
      </c>
      <c r="I559">
        <v>0</v>
      </c>
      <c r="J559">
        <v>0</v>
      </c>
      <c r="K559">
        <v>1</v>
      </c>
      <c r="L559">
        <v>0</v>
      </c>
      <c r="M559">
        <v>0</v>
      </c>
      <c r="N559" t="s">
        <v>193</v>
      </c>
      <c r="O559" t="s">
        <v>213</v>
      </c>
      <c r="P559" t="s">
        <v>204</v>
      </c>
      <c r="Q559" t="s">
        <v>170</v>
      </c>
      <c r="R559" t="s">
        <v>155</v>
      </c>
      <c r="S559">
        <v>5</v>
      </c>
      <c r="T559" t="s">
        <v>135</v>
      </c>
      <c r="U559">
        <v>0</v>
      </c>
      <c r="V559">
        <v>5</v>
      </c>
      <c r="W559" t="s">
        <v>135</v>
      </c>
      <c r="X559">
        <v>0</v>
      </c>
      <c r="Y559" t="s">
        <v>140</v>
      </c>
      <c r="Z559" t="s">
        <v>179</v>
      </c>
      <c r="AA559" t="s">
        <v>144</v>
      </c>
      <c r="AB559" t="s">
        <v>162</v>
      </c>
      <c r="AC559" t="s">
        <v>21</v>
      </c>
      <c r="AD559" t="s">
        <v>155</v>
      </c>
      <c r="AE559" t="s">
        <v>127</v>
      </c>
      <c r="AF559" t="s">
        <v>21</v>
      </c>
    </row>
    <row r="560" spans="1:32">
      <c r="A560" t="s">
        <v>1245</v>
      </c>
      <c r="B560" s="37">
        <v>39935</v>
      </c>
      <c r="C560" s="38">
        <v>39935</v>
      </c>
      <c r="D560" s="38">
        <v>39930</v>
      </c>
      <c r="E560" s="38">
        <v>39934</v>
      </c>
      <c r="F560" s="39">
        <v>30</v>
      </c>
      <c r="G560" t="s">
        <v>21</v>
      </c>
      <c r="H560" t="s">
        <v>21</v>
      </c>
      <c r="I560">
        <v>0</v>
      </c>
      <c r="J560">
        <v>0</v>
      </c>
      <c r="K560">
        <v>0</v>
      </c>
      <c r="L560">
        <v>1</v>
      </c>
      <c r="M560">
        <v>0</v>
      </c>
      <c r="N560" t="s">
        <v>193</v>
      </c>
      <c r="O560" t="s">
        <v>213</v>
      </c>
      <c r="P560" t="s">
        <v>204</v>
      </c>
      <c r="Q560" t="s">
        <v>170</v>
      </c>
      <c r="R560" t="s">
        <v>155</v>
      </c>
      <c r="T560" t="s">
        <v>134</v>
      </c>
      <c r="U560">
        <v>1</v>
      </c>
      <c r="W560" t="s">
        <v>134</v>
      </c>
      <c r="X560">
        <v>1</v>
      </c>
      <c r="Y560" t="s">
        <v>140</v>
      </c>
      <c r="Z560" t="s">
        <v>179</v>
      </c>
      <c r="AA560" t="s">
        <v>145</v>
      </c>
      <c r="AB560" t="s">
        <v>163</v>
      </c>
      <c r="AC560" t="s">
        <v>173</v>
      </c>
      <c r="AD560" t="s">
        <v>155</v>
      </c>
      <c r="AE560" t="s">
        <v>125</v>
      </c>
      <c r="AF560" t="s">
        <v>21</v>
      </c>
    </row>
    <row r="561" spans="1:32">
      <c r="A561" t="s">
        <v>1246</v>
      </c>
      <c r="B561" s="37">
        <v>39952</v>
      </c>
      <c r="C561" s="38">
        <v>39952</v>
      </c>
      <c r="D561" s="38">
        <v>39951</v>
      </c>
      <c r="E561" s="38">
        <v>39934</v>
      </c>
      <c r="F561" s="39">
        <v>47</v>
      </c>
      <c r="G561" t="s">
        <v>21</v>
      </c>
      <c r="H561" t="s">
        <v>21</v>
      </c>
      <c r="I561">
        <v>0</v>
      </c>
      <c r="J561">
        <v>0</v>
      </c>
      <c r="K561">
        <v>0</v>
      </c>
      <c r="L561">
        <v>1</v>
      </c>
      <c r="M561">
        <v>0</v>
      </c>
      <c r="N561" t="s">
        <v>195</v>
      </c>
      <c r="O561" t="s">
        <v>213</v>
      </c>
      <c r="P561" t="s">
        <v>206</v>
      </c>
      <c r="Q561" t="s">
        <v>170</v>
      </c>
      <c r="R561" t="s">
        <v>155</v>
      </c>
      <c r="T561" t="s">
        <v>134</v>
      </c>
      <c r="U561">
        <v>1</v>
      </c>
      <c r="W561" t="s">
        <v>134</v>
      </c>
      <c r="X561">
        <v>1</v>
      </c>
      <c r="Y561" t="s">
        <v>139</v>
      </c>
      <c r="Z561" t="s">
        <v>187</v>
      </c>
      <c r="AA561" t="s">
        <v>142</v>
      </c>
      <c r="AB561" t="s">
        <v>162</v>
      </c>
      <c r="AC561" t="s">
        <v>175</v>
      </c>
      <c r="AD561" t="s">
        <v>155</v>
      </c>
      <c r="AE561" t="s">
        <v>129</v>
      </c>
      <c r="AF561" t="s">
        <v>21</v>
      </c>
    </row>
    <row r="562" spans="1:32">
      <c r="A562" t="s">
        <v>1247</v>
      </c>
      <c r="B562" s="37">
        <v>39911</v>
      </c>
      <c r="C562" s="38">
        <v>39911</v>
      </c>
      <c r="D562" s="38">
        <v>39909</v>
      </c>
      <c r="E562" s="38">
        <v>39904</v>
      </c>
      <c r="F562" s="39">
        <v>6</v>
      </c>
      <c r="G562" t="s">
        <v>21</v>
      </c>
      <c r="H562" t="s">
        <v>21</v>
      </c>
      <c r="I562">
        <v>0</v>
      </c>
      <c r="J562">
        <v>0</v>
      </c>
      <c r="K562">
        <v>0</v>
      </c>
      <c r="L562">
        <v>1</v>
      </c>
      <c r="M562">
        <v>0</v>
      </c>
      <c r="N562" t="s">
        <v>199</v>
      </c>
      <c r="O562" t="s">
        <v>213</v>
      </c>
      <c r="P562" t="s">
        <v>210</v>
      </c>
      <c r="Q562" t="s">
        <v>170</v>
      </c>
      <c r="R562" t="s">
        <v>155</v>
      </c>
      <c r="T562" t="s">
        <v>134</v>
      </c>
      <c r="U562">
        <v>1</v>
      </c>
      <c r="W562" t="s">
        <v>134</v>
      </c>
      <c r="X562">
        <v>1</v>
      </c>
      <c r="Y562" t="s">
        <v>139</v>
      </c>
      <c r="Z562" t="s">
        <v>179</v>
      </c>
      <c r="AA562" t="s">
        <v>149</v>
      </c>
      <c r="AB562" t="s">
        <v>163</v>
      </c>
      <c r="AC562" t="s">
        <v>173</v>
      </c>
      <c r="AD562" t="s">
        <v>155</v>
      </c>
      <c r="AE562" t="s">
        <v>501</v>
      </c>
      <c r="AF562" t="s">
        <v>21</v>
      </c>
    </row>
    <row r="563" spans="1:32">
      <c r="A563" t="s">
        <v>1248</v>
      </c>
      <c r="B563" s="37">
        <v>40010</v>
      </c>
      <c r="C563" s="38">
        <v>40010</v>
      </c>
      <c r="D563" s="38">
        <v>40007</v>
      </c>
      <c r="E563" s="38">
        <v>39995</v>
      </c>
      <c r="F563" s="39">
        <v>105</v>
      </c>
      <c r="G563" t="s">
        <v>21</v>
      </c>
      <c r="H563" t="s">
        <v>21</v>
      </c>
      <c r="I563">
        <v>0</v>
      </c>
      <c r="J563">
        <v>0</v>
      </c>
      <c r="K563">
        <v>0</v>
      </c>
      <c r="L563">
        <v>1</v>
      </c>
      <c r="M563">
        <v>0</v>
      </c>
      <c r="N563" t="s">
        <v>195</v>
      </c>
      <c r="O563" t="s">
        <v>213</v>
      </c>
      <c r="P563" t="s">
        <v>206</v>
      </c>
      <c r="Q563" t="s">
        <v>170</v>
      </c>
      <c r="R563" t="s">
        <v>155</v>
      </c>
      <c r="S563">
        <v>4</v>
      </c>
      <c r="T563" t="s">
        <v>137</v>
      </c>
      <c r="U563">
        <v>0</v>
      </c>
      <c r="V563">
        <v>3</v>
      </c>
      <c r="W563" t="s">
        <v>137</v>
      </c>
      <c r="X563">
        <v>0</v>
      </c>
      <c r="Y563" t="s">
        <v>139</v>
      </c>
      <c r="Z563" t="s">
        <v>179</v>
      </c>
      <c r="AA563" t="s">
        <v>151</v>
      </c>
      <c r="AB563" t="s">
        <v>162</v>
      </c>
      <c r="AC563" t="s">
        <v>622</v>
      </c>
      <c r="AD563" t="s">
        <v>155</v>
      </c>
      <c r="AE563" t="s">
        <v>130</v>
      </c>
      <c r="AF563" t="s">
        <v>21</v>
      </c>
    </row>
    <row r="564" spans="1:32">
      <c r="A564" t="s">
        <v>1249</v>
      </c>
      <c r="B564" s="37">
        <v>39912</v>
      </c>
      <c r="C564" s="38">
        <v>39912</v>
      </c>
      <c r="D564" s="38">
        <v>39909</v>
      </c>
      <c r="E564" s="38">
        <v>39904</v>
      </c>
      <c r="F564" s="39">
        <v>7</v>
      </c>
      <c r="G564" t="s">
        <v>380</v>
      </c>
      <c r="H564" t="s">
        <v>17</v>
      </c>
      <c r="I564">
        <v>0</v>
      </c>
      <c r="J564">
        <v>0</v>
      </c>
      <c r="K564">
        <v>1</v>
      </c>
      <c r="L564">
        <v>0</v>
      </c>
      <c r="M564">
        <v>0</v>
      </c>
      <c r="N564" t="s">
        <v>200</v>
      </c>
      <c r="O564" t="s">
        <v>214</v>
      </c>
      <c r="P564" t="s">
        <v>208</v>
      </c>
      <c r="Q564" t="s">
        <v>170</v>
      </c>
      <c r="R564" t="s">
        <v>155</v>
      </c>
      <c r="T564" t="s">
        <v>134</v>
      </c>
      <c r="U564">
        <v>1</v>
      </c>
      <c r="W564" t="s">
        <v>134</v>
      </c>
      <c r="X564">
        <v>1</v>
      </c>
      <c r="Y564" t="s">
        <v>139</v>
      </c>
      <c r="Z564" t="s">
        <v>179</v>
      </c>
      <c r="AA564" t="s">
        <v>147</v>
      </c>
      <c r="AB564" t="s">
        <v>162</v>
      </c>
      <c r="AC564" t="s">
        <v>175</v>
      </c>
      <c r="AD564" t="s">
        <v>155</v>
      </c>
      <c r="AE564" t="s">
        <v>439</v>
      </c>
      <c r="AF564" t="s">
        <v>21</v>
      </c>
    </row>
    <row r="565" spans="1:32">
      <c r="A565" t="s">
        <v>1250</v>
      </c>
      <c r="B565" s="37">
        <v>39970</v>
      </c>
      <c r="C565" s="38">
        <v>39970</v>
      </c>
      <c r="D565" s="38">
        <v>39965</v>
      </c>
      <c r="E565" s="38">
        <v>39965</v>
      </c>
      <c r="F565" s="39">
        <v>65</v>
      </c>
      <c r="G565" t="s">
        <v>9</v>
      </c>
      <c r="H565" t="s">
        <v>9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194</v>
      </c>
      <c r="O565" t="s">
        <v>213</v>
      </c>
      <c r="P565" t="s">
        <v>205</v>
      </c>
      <c r="Q565" t="s">
        <v>170</v>
      </c>
      <c r="R565" t="s">
        <v>155</v>
      </c>
      <c r="T565" t="s">
        <v>134</v>
      </c>
      <c r="U565">
        <v>1</v>
      </c>
      <c r="W565" t="s">
        <v>134</v>
      </c>
      <c r="X565">
        <v>1</v>
      </c>
      <c r="Y565" t="s">
        <v>139</v>
      </c>
      <c r="Z565" t="s">
        <v>179</v>
      </c>
      <c r="AA565" t="s">
        <v>142</v>
      </c>
      <c r="AB565" t="s">
        <v>162</v>
      </c>
      <c r="AC565" t="s">
        <v>174</v>
      </c>
      <c r="AD565" t="s">
        <v>156</v>
      </c>
      <c r="AE565" t="s">
        <v>120</v>
      </c>
      <c r="AF565" t="s">
        <v>929</v>
      </c>
    </row>
    <row r="566" spans="1:32">
      <c r="A566" t="s">
        <v>1251</v>
      </c>
      <c r="B566" s="37">
        <v>39927</v>
      </c>
      <c r="C566" s="38">
        <v>39927</v>
      </c>
      <c r="D566" s="38">
        <v>39923</v>
      </c>
      <c r="E566" s="38">
        <v>39904</v>
      </c>
      <c r="F566" s="39">
        <v>22</v>
      </c>
      <c r="G566" t="s">
        <v>496</v>
      </c>
      <c r="H566" t="s">
        <v>13</v>
      </c>
      <c r="I566">
        <v>0</v>
      </c>
      <c r="J566">
        <v>1</v>
      </c>
      <c r="K566">
        <v>0</v>
      </c>
      <c r="L566">
        <v>0</v>
      </c>
      <c r="M566">
        <v>1</v>
      </c>
      <c r="N566" t="s">
        <v>193</v>
      </c>
      <c r="O566" t="s">
        <v>213</v>
      </c>
      <c r="P566" t="s">
        <v>204</v>
      </c>
      <c r="Q566" t="s">
        <v>170</v>
      </c>
      <c r="R566" t="s">
        <v>155</v>
      </c>
      <c r="T566" t="s">
        <v>134</v>
      </c>
      <c r="U566">
        <v>1</v>
      </c>
      <c r="W566" t="s">
        <v>134</v>
      </c>
      <c r="X566">
        <v>1</v>
      </c>
      <c r="Y566" t="s">
        <v>140</v>
      </c>
      <c r="Z566" t="s">
        <v>179</v>
      </c>
      <c r="AA566" t="s">
        <v>142</v>
      </c>
      <c r="AB566" t="s">
        <v>163</v>
      </c>
      <c r="AC566" t="s">
        <v>173</v>
      </c>
      <c r="AD566" t="s">
        <v>155</v>
      </c>
      <c r="AE566" t="s">
        <v>704</v>
      </c>
      <c r="AF566" t="s">
        <v>21</v>
      </c>
    </row>
    <row r="567" spans="1:32">
      <c r="A567" t="s">
        <v>1252</v>
      </c>
      <c r="B567" s="37">
        <v>39934</v>
      </c>
      <c r="C567" s="38">
        <v>39934</v>
      </c>
      <c r="D567" s="38">
        <v>39930</v>
      </c>
      <c r="E567" s="38">
        <v>39934</v>
      </c>
      <c r="F567" s="39">
        <v>29</v>
      </c>
      <c r="G567" t="s">
        <v>21</v>
      </c>
      <c r="H567" t="s">
        <v>21</v>
      </c>
      <c r="I567">
        <v>0</v>
      </c>
      <c r="J567">
        <v>0</v>
      </c>
      <c r="K567">
        <v>0</v>
      </c>
      <c r="L567">
        <v>1</v>
      </c>
      <c r="M567">
        <v>0</v>
      </c>
      <c r="N567" t="s">
        <v>199</v>
      </c>
      <c r="O567" t="s">
        <v>213</v>
      </c>
      <c r="P567" t="s">
        <v>210</v>
      </c>
      <c r="Q567" t="s">
        <v>170</v>
      </c>
      <c r="R567" t="s">
        <v>155</v>
      </c>
      <c r="T567" t="s">
        <v>134</v>
      </c>
      <c r="U567">
        <v>1</v>
      </c>
      <c r="W567" t="s">
        <v>134</v>
      </c>
      <c r="X567">
        <v>1</v>
      </c>
      <c r="Y567" t="s">
        <v>139</v>
      </c>
      <c r="Z567" t="s">
        <v>179</v>
      </c>
      <c r="AA567" t="s">
        <v>145</v>
      </c>
      <c r="AB567" t="s">
        <v>163</v>
      </c>
      <c r="AC567" t="s">
        <v>173</v>
      </c>
      <c r="AD567" t="s">
        <v>161</v>
      </c>
      <c r="AE567" t="s">
        <v>1253</v>
      </c>
      <c r="AF567" t="s">
        <v>21</v>
      </c>
    </row>
    <row r="568" spans="1:32">
      <c r="A568" t="s">
        <v>1254</v>
      </c>
      <c r="B568" s="37">
        <v>39928</v>
      </c>
      <c r="C568" s="38">
        <v>39928</v>
      </c>
      <c r="D568" s="38">
        <v>39923</v>
      </c>
      <c r="E568" s="38">
        <v>39904</v>
      </c>
      <c r="F568" s="39">
        <v>23</v>
      </c>
      <c r="G568" t="s">
        <v>21</v>
      </c>
      <c r="H568" t="s">
        <v>21</v>
      </c>
      <c r="I568">
        <v>0</v>
      </c>
      <c r="J568">
        <v>0</v>
      </c>
      <c r="K568">
        <v>0</v>
      </c>
      <c r="L568">
        <v>1</v>
      </c>
      <c r="M568">
        <v>0</v>
      </c>
      <c r="N568" t="s">
        <v>202</v>
      </c>
      <c r="O568" t="s">
        <v>213</v>
      </c>
      <c r="P568" t="s">
        <v>211</v>
      </c>
      <c r="Q568" t="s">
        <v>170</v>
      </c>
      <c r="R568" t="s">
        <v>155</v>
      </c>
      <c r="T568" t="s">
        <v>134</v>
      </c>
      <c r="U568">
        <v>1</v>
      </c>
      <c r="W568" t="s">
        <v>134</v>
      </c>
      <c r="X568">
        <v>1</v>
      </c>
      <c r="Y568" t="s">
        <v>139</v>
      </c>
      <c r="Z568" t="s">
        <v>179</v>
      </c>
      <c r="AA568" t="s">
        <v>147</v>
      </c>
      <c r="AB568" t="s">
        <v>162</v>
      </c>
      <c r="AC568" t="s">
        <v>175</v>
      </c>
      <c r="AD568" t="s">
        <v>155</v>
      </c>
      <c r="AE568" t="s">
        <v>130</v>
      </c>
      <c r="AF568" t="s">
        <v>21</v>
      </c>
    </row>
    <row r="569" spans="1:32">
      <c r="A569" t="s">
        <v>1255</v>
      </c>
      <c r="B569" s="37">
        <v>40053</v>
      </c>
      <c r="C569" s="38">
        <v>40053</v>
      </c>
      <c r="D569" s="38">
        <v>40049</v>
      </c>
      <c r="E569" s="38">
        <v>40026</v>
      </c>
      <c r="F569" s="39">
        <v>148</v>
      </c>
      <c r="G569" t="s">
        <v>380</v>
      </c>
      <c r="H569" t="s">
        <v>17</v>
      </c>
      <c r="I569">
        <v>0</v>
      </c>
      <c r="J569">
        <v>0</v>
      </c>
      <c r="K569">
        <v>1</v>
      </c>
      <c r="L569">
        <v>0</v>
      </c>
      <c r="M569">
        <v>0</v>
      </c>
      <c r="N569" t="s">
        <v>193</v>
      </c>
      <c r="O569" t="s">
        <v>213</v>
      </c>
      <c r="P569" t="s">
        <v>204</v>
      </c>
      <c r="Q569" t="s">
        <v>170</v>
      </c>
      <c r="R569" t="s">
        <v>155</v>
      </c>
      <c r="S569">
        <v>5</v>
      </c>
      <c r="T569" t="s">
        <v>135</v>
      </c>
      <c r="U569">
        <v>0</v>
      </c>
      <c r="V569">
        <v>5</v>
      </c>
      <c r="W569" t="s">
        <v>135</v>
      </c>
      <c r="X569">
        <v>0</v>
      </c>
      <c r="Y569" t="s">
        <v>140</v>
      </c>
      <c r="Z569" t="s">
        <v>178</v>
      </c>
      <c r="AA569" t="s">
        <v>145</v>
      </c>
      <c r="AB569" t="s">
        <v>163</v>
      </c>
      <c r="AC569" t="s">
        <v>1256</v>
      </c>
      <c r="AD569" t="s">
        <v>155</v>
      </c>
      <c r="AE569" t="s">
        <v>128</v>
      </c>
      <c r="AF569" t="s">
        <v>21</v>
      </c>
    </row>
    <row r="570" spans="1:32">
      <c r="A570" t="s">
        <v>1257</v>
      </c>
      <c r="B570" s="37">
        <v>39950</v>
      </c>
      <c r="C570" s="38">
        <v>39950</v>
      </c>
      <c r="D570" s="38">
        <v>39944</v>
      </c>
      <c r="E570" s="38">
        <v>39934</v>
      </c>
      <c r="F570" s="39">
        <v>45</v>
      </c>
      <c r="G570" t="s">
        <v>21</v>
      </c>
      <c r="H570" t="s">
        <v>21</v>
      </c>
      <c r="I570">
        <v>0</v>
      </c>
      <c r="J570">
        <v>0</v>
      </c>
      <c r="K570">
        <v>0</v>
      </c>
      <c r="L570">
        <v>1</v>
      </c>
      <c r="M570">
        <v>0</v>
      </c>
      <c r="N570" t="s">
        <v>194</v>
      </c>
      <c r="O570" t="s">
        <v>213</v>
      </c>
      <c r="P570" t="s">
        <v>205</v>
      </c>
      <c r="Q570" t="s">
        <v>170</v>
      </c>
      <c r="R570" t="s">
        <v>155</v>
      </c>
      <c r="T570" t="s">
        <v>134</v>
      </c>
      <c r="U570">
        <v>1</v>
      </c>
      <c r="W570" t="s">
        <v>134</v>
      </c>
      <c r="X570">
        <v>1</v>
      </c>
      <c r="Y570" t="s">
        <v>139</v>
      </c>
      <c r="Z570" t="s">
        <v>409</v>
      </c>
      <c r="AA570" t="s">
        <v>148</v>
      </c>
      <c r="AB570" t="s">
        <v>163</v>
      </c>
      <c r="AC570" t="s">
        <v>415</v>
      </c>
      <c r="AD570" t="s">
        <v>155</v>
      </c>
      <c r="AE570" t="s">
        <v>125</v>
      </c>
      <c r="AF570" t="s">
        <v>21</v>
      </c>
    </row>
    <row r="571" spans="1:32">
      <c r="A571" t="s">
        <v>1258</v>
      </c>
      <c r="B571" s="37">
        <v>39959</v>
      </c>
      <c r="C571" s="38">
        <v>39959</v>
      </c>
      <c r="D571" s="38">
        <v>39958</v>
      </c>
      <c r="E571" s="38">
        <v>39934</v>
      </c>
      <c r="F571" s="39">
        <v>54</v>
      </c>
      <c r="G571" t="s">
        <v>21</v>
      </c>
      <c r="H571" t="s">
        <v>21</v>
      </c>
      <c r="I571">
        <v>0</v>
      </c>
      <c r="J571">
        <v>0</v>
      </c>
      <c r="K571">
        <v>0</v>
      </c>
      <c r="L571">
        <v>1</v>
      </c>
      <c r="M571">
        <v>0</v>
      </c>
      <c r="N571" t="s">
        <v>194</v>
      </c>
      <c r="O571" t="s">
        <v>213</v>
      </c>
      <c r="P571" t="s">
        <v>205</v>
      </c>
      <c r="Q571" t="s">
        <v>170</v>
      </c>
      <c r="R571" t="s">
        <v>155</v>
      </c>
      <c r="T571" t="s">
        <v>134</v>
      </c>
      <c r="U571">
        <v>1</v>
      </c>
      <c r="W571" t="s">
        <v>134</v>
      </c>
      <c r="X571">
        <v>1</v>
      </c>
      <c r="Y571" t="s">
        <v>139</v>
      </c>
      <c r="Z571" t="s">
        <v>182</v>
      </c>
      <c r="AA571" t="s">
        <v>144</v>
      </c>
      <c r="AB571" t="s">
        <v>163</v>
      </c>
      <c r="AC571" t="s">
        <v>173</v>
      </c>
      <c r="AD571" t="s">
        <v>155</v>
      </c>
      <c r="AE571" t="s">
        <v>124</v>
      </c>
      <c r="AF571" t="s">
        <v>21</v>
      </c>
    </row>
    <row r="572" spans="1:32">
      <c r="A572" t="s">
        <v>1259</v>
      </c>
      <c r="B572" s="37">
        <v>39978</v>
      </c>
      <c r="C572" s="38">
        <v>39978</v>
      </c>
      <c r="D572" s="38">
        <v>39972</v>
      </c>
      <c r="E572" s="38">
        <v>39965</v>
      </c>
      <c r="F572" s="39">
        <v>73</v>
      </c>
      <c r="G572" t="s">
        <v>21</v>
      </c>
      <c r="H572" t="s">
        <v>21</v>
      </c>
      <c r="I572">
        <v>0</v>
      </c>
      <c r="J572">
        <v>0</v>
      </c>
      <c r="K572">
        <v>0</v>
      </c>
      <c r="L572">
        <v>1</v>
      </c>
      <c r="M572">
        <v>0</v>
      </c>
      <c r="N572" t="s">
        <v>193</v>
      </c>
      <c r="O572" t="s">
        <v>213</v>
      </c>
      <c r="P572" t="s">
        <v>204</v>
      </c>
      <c r="Q572" t="s">
        <v>170</v>
      </c>
      <c r="R572" t="s">
        <v>155</v>
      </c>
      <c r="T572" t="s">
        <v>134</v>
      </c>
      <c r="U572">
        <v>1</v>
      </c>
      <c r="W572" t="s">
        <v>134</v>
      </c>
      <c r="X572">
        <v>1</v>
      </c>
      <c r="Y572" t="s">
        <v>140</v>
      </c>
      <c r="Z572" t="s">
        <v>187</v>
      </c>
      <c r="AA572" t="s">
        <v>144</v>
      </c>
      <c r="AB572" t="s">
        <v>163</v>
      </c>
      <c r="AC572" t="s">
        <v>21</v>
      </c>
      <c r="AD572" t="s">
        <v>155</v>
      </c>
      <c r="AE572" t="s">
        <v>124</v>
      </c>
      <c r="AF572" t="s">
        <v>21</v>
      </c>
    </row>
    <row r="573" spans="1:32">
      <c r="A573" t="s">
        <v>1260</v>
      </c>
      <c r="B573" s="37">
        <v>40048</v>
      </c>
      <c r="C573" s="38">
        <v>40048</v>
      </c>
      <c r="D573" s="38">
        <v>40042</v>
      </c>
      <c r="E573" s="38">
        <v>40026</v>
      </c>
      <c r="F573" s="39">
        <v>143</v>
      </c>
      <c r="G573" t="s">
        <v>21</v>
      </c>
      <c r="H573" t="s">
        <v>21</v>
      </c>
      <c r="I573">
        <v>0</v>
      </c>
      <c r="J573">
        <v>0</v>
      </c>
      <c r="K573">
        <v>0</v>
      </c>
      <c r="L573">
        <v>1</v>
      </c>
      <c r="M573">
        <v>0</v>
      </c>
      <c r="N573" t="s">
        <v>193</v>
      </c>
      <c r="O573" t="s">
        <v>213</v>
      </c>
      <c r="P573" t="s">
        <v>204</v>
      </c>
      <c r="Q573" t="s">
        <v>170</v>
      </c>
      <c r="R573" t="s">
        <v>155</v>
      </c>
      <c r="S573">
        <v>5</v>
      </c>
      <c r="T573" t="s">
        <v>135</v>
      </c>
      <c r="U573">
        <v>0</v>
      </c>
      <c r="V573">
        <v>5</v>
      </c>
      <c r="W573" t="s">
        <v>135</v>
      </c>
      <c r="X573">
        <v>0</v>
      </c>
      <c r="Y573" t="s">
        <v>140</v>
      </c>
      <c r="Z573" t="s">
        <v>184</v>
      </c>
      <c r="AA573" t="s">
        <v>144</v>
      </c>
      <c r="AB573" t="s">
        <v>165</v>
      </c>
      <c r="AC573" t="s">
        <v>21</v>
      </c>
      <c r="AD573" t="s">
        <v>158</v>
      </c>
      <c r="AE573" t="s">
        <v>122</v>
      </c>
      <c r="AF573" t="s">
        <v>21</v>
      </c>
    </row>
    <row r="574" spans="1:32">
      <c r="A574" t="s">
        <v>1261</v>
      </c>
      <c r="B574" s="37">
        <v>39974</v>
      </c>
      <c r="C574" s="38">
        <v>39974</v>
      </c>
      <c r="D574" s="38">
        <v>39972</v>
      </c>
      <c r="E574" s="38">
        <v>39965</v>
      </c>
      <c r="F574" s="39">
        <v>69</v>
      </c>
      <c r="G574" t="s">
        <v>496</v>
      </c>
      <c r="H574" t="s">
        <v>13</v>
      </c>
      <c r="I574">
        <v>0</v>
      </c>
      <c r="J574">
        <v>1</v>
      </c>
      <c r="K574">
        <v>0</v>
      </c>
      <c r="L574">
        <v>0</v>
      </c>
      <c r="M574">
        <v>1</v>
      </c>
      <c r="N574" t="s">
        <v>194</v>
      </c>
      <c r="O574" t="s">
        <v>213</v>
      </c>
      <c r="P574" t="s">
        <v>205</v>
      </c>
      <c r="Q574" t="s">
        <v>170</v>
      </c>
      <c r="R574" t="s">
        <v>155</v>
      </c>
      <c r="T574" t="s">
        <v>134</v>
      </c>
      <c r="U574">
        <v>1</v>
      </c>
      <c r="W574" t="s">
        <v>134</v>
      </c>
      <c r="X574">
        <v>1</v>
      </c>
      <c r="Y574" t="s">
        <v>139</v>
      </c>
      <c r="Z574" t="s">
        <v>178</v>
      </c>
      <c r="AA574" t="s">
        <v>145</v>
      </c>
      <c r="AB574" t="s">
        <v>163</v>
      </c>
      <c r="AC574" t="s">
        <v>173</v>
      </c>
      <c r="AD574" t="s">
        <v>155</v>
      </c>
      <c r="AE574" t="s">
        <v>1262</v>
      </c>
      <c r="AF574" t="s">
        <v>21</v>
      </c>
    </row>
    <row r="575" spans="1:32">
      <c r="A575" t="s">
        <v>1263</v>
      </c>
      <c r="B575" s="37">
        <v>40001</v>
      </c>
      <c r="C575" s="38">
        <v>40001</v>
      </c>
      <c r="D575" s="38">
        <v>40000</v>
      </c>
      <c r="E575" s="38">
        <v>39995</v>
      </c>
      <c r="F575" s="39">
        <v>96</v>
      </c>
      <c r="G575" t="s">
        <v>21</v>
      </c>
      <c r="H575" t="s">
        <v>21</v>
      </c>
      <c r="I575">
        <v>0</v>
      </c>
      <c r="J575">
        <v>0</v>
      </c>
      <c r="K575">
        <v>0</v>
      </c>
      <c r="L575">
        <v>1</v>
      </c>
      <c r="M575">
        <v>0</v>
      </c>
      <c r="N575" t="s">
        <v>193</v>
      </c>
      <c r="O575" t="s">
        <v>213</v>
      </c>
      <c r="P575" t="s">
        <v>204</v>
      </c>
      <c r="Q575" t="s">
        <v>170</v>
      </c>
      <c r="R575" t="s">
        <v>155</v>
      </c>
      <c r="T575" t="s">
        <v>134</v>
      </c>
      <c r="U575">
        <v>1</v>
      </c>
      <c r="V575">
        <v>4</v>
      </c>
      <c r="W575" t="s">
        <v>137</v>
      </c>
      <c r="X575">
        <v>0</v>
      </c>
      <c r="Y575" t="s">
        <v>140</v>
      </c>
      <c r="Z575" t="s">
        <v>409</v>
      </c>
      <c r="AA575" t="s">
        <v>144</v>
      </c>
      <c r="AB575" t="s">
        <v>163</v>
      </c>
      <c r="AC575" t="s">
        <v>173</v>
      </c>
      <c r="AD575" t="s">
        <v>155</v>
      </c>
      <c r="AE575" t="s">
        <v>439</v>
      </c>
      <c r="AF575" t="s">
        <v>21</v>
      </c>
    </row>
    <row r="576" spans="1:32">
      <c r="A576" t="s">
        <v>1264</v>
      </c>
      <c r="B576" s="37">
        <v>40077</v>
      </c>
      <c r="C576" s="38">
        <v>40077</v>
      </c>
      <c r="D576" s="38">
        <v>40077</v>
      </c>
      <c r="E576" s="38">
        <v>40057</v>
      </c>
      <c r="F576" s="39">
        <v>172</v>
      </c>
      <c r="G576" t="s">
        <v>21</v>
      </c>
      <c r="H576" t="s">
        <v>21</v>
      </c>
      <c r="I576">
        <v>0</v>
      </c>
      <c r="J576">
        <v>0</v>
      </c>
      <c r="K576">
        <v>0</v>
      </c>
      <c r="L576">
        <v>1</v>
      </c>
      <c r="M576">
        <v>0</v>
      </c>
      <c r="N576" t="s">
        <v>193</v>
      </c>
      <c r="O576" t="s">
        <v>213</v>
      </c>
      <c r="P576" t="s">
        <v>204</v>
      </c>
      <c r="Q576" t="s">
        <v>170</v>
      </c>
      <c r="R576" t="s">
        <v>155</v>
      </c>
      <c r="S576">
        <v>4</v>
      </c>
      <c r="T576" t="s">
        <v>137</v>
      </c>
      <c r="U576">
        <v>0</v>
      </c>
      <c r="V576">
        <v>3</v>
      </c>
      <c r="W576" t="s">
        <v>137</v>
      </c>
      <c r="X576">
        <v>0</v>
      </c>
      <c r="Y576" t="s">
        <v>140</v>
      </c>
      <c r="Z576" t="s">
        <v>181</v>
      </c>
      <c r="AA576" t="s">
        <v>142</v>
      </c>
      <c r="AB576" t="s">
        <v>162</v>
      </c>
      <c r="AC576" t="s">
        <v>174</v>
      </c>
      <c r="AD576" t="s">
        <v>156</v>
      </c>
      <c r="AE576" t="s">
        <v>120</v>
      </c>
      <c r="AF576" t="s">
        <v>715</v>
      </c>
    </row>
    <row r="577" spans="1:32">
      <c r="A577" t="s">
        <v>1265</v>
      </c>
      <c r="B577" s="37">
        <v>40017</v>
      </c>
      <c r="C577" s="38">
        <v>40017</v>
      </c>
      <c r="D577" s="38">
        <v>40014</v>
      </c>
      <c r="E577" s="38">
        <v>39995</v>
      </c>
      <c r="F577" s="39">
        <v>112</v>
      </c>
      <c r="G577" t="s">
        <v>21</v>
      </c>
      <c r="H577" t="s">
        <v>21</v>
      </c>
      <c r="I577">
        <v>0</v>
      </c>
      <c r="J577">
        <v>0</v>
      </c>
      <c r="K577">
        <v>0</v>
      </c>
      <c r="L577">
        <v>1</v>
      </c>
      <c r="M577">
        <v>0</v>
      </c>
      <c r="N577" t="s">
        <v>193</v>
      </c>
      <c r="O577" t="s">
        <v>213</v>
      </c>
      <c r="P577" t="s">
        <v>204</v>
      </c>
      <c r="Q577" t="s">
        <v>170</v>
      </c>
      <c r="R577" t="s">
        <v>155</v>
      </c>
      <c r="S577">
        <v>5</v>
      </c>
      <c r="T577" t="s">
        <v>135</v>
      </c>
      <c r="U577">
        <v>0</v>
      </c>
      <c r="V577">
        <v>3</v>
      </c>
      <c r="W577" t="s">
        <v>137</v>
      </c>
      <c r="X577">
        <v>0</v>
      </c>
      <c r="Y577" t="s">
        <v>140</v>
      </c>
      <c r="Z577" t="s">
        <v>187</v>
      </c>
      <c r="AA577" t="s">
        <v>145</v>
      </c>
      <c r="AB577" t="s">
        <v>162</v>
      </c>
      <c r="AC577" t="s">
        <v>175</v>
      </c>
      <c r="AD577" t="s">
        <v>155</v>
      </c>
      <c r="AE577" t="s">
        <v>129</v>
      </c>
      <c r="AF577" t="s">
        <v>21</v>
      </c>
    </row>
    <row r="578" spans="1:32">
      <c r="A578" t="s">
        <v>1266</v>
      </c>
      <c r="B578" s="37">
        <v>40006</v>
      </c>
      <c r="C578" s="38">
        <v>40006</v>
      </c>
      <c r="D578" s="38">
        <v>40000</v>
      </c>
      <c r="E578" s="38">
        <v>39995</v>
      </c>
      <c r="F578" s="39">
        <v>101</v>
      </c>
      <c r="G578" t="s">
        <v>525</v>
      </c>
      <c r="H578" t="s">
        <v>17</v>
      </c>
      <c r="I578">
        <v>0</v>
      </c>
      <c r="J578">
        <v>0</v>
      </c>
      <c r="K578">
        <v>1</v>
      </c>
      <c r="L578">
        <v>0</v>
      </c>
      <c r="M578">
        <v>0</v>
      </c>
      <c r="N578" t="s">
        <v>193</v>
      </c>
      <c r="O578" t="s">
        <v>213</v>
      </c>
      <c r="P578" t="s">
        <v>204</v>
      </c>
      <c r="Q578" t="s">
        <v>170</v>
      </c>
      <c r="R578" t="s">
        <v>155</v>
      </c>
      <c r="S578">
        <v>5</v>
      </c>
      <c r="T578" t="s">
        <v>135</v>
      </c>
      <c r="U578">
        <v>0</v>
      </c>
      <c r="V578">
        <v>5</v>
      </c>
      <c r="W578" t="s">
        <v>135</v>
      </c>
      <c r="X578">
        <v>0</v>
      </c>
      <c r="Y578" t="s">
        <v>140</v>
      </c>
      <c r="Z578" t="s">
        <v>180</v>
      </c>
      <c r="AA578" t="s">
        <v>146</v>
      </c>
      <c r="AB578" t="s">
        <v>162</v>
      </c>
      <c r="AC578" t="s">
        <v>933</v>
      </c>
      <c r="AD578" t="s">
        <v>156</v>
      </c>
      <c r="AE578" t="s">
        <v>120</v>
      </c>
      <c r="AF578" t="s">
        <v>1267</v>
      </c>
    </row>
    <row r="579" spans="1:32">
      <c r="A579" t="s">
        <v>1268</v>
      </c>
      <c r="B579" s="37">
        <v>39965</v>
      </c>
      <c r="C579" s="38">
        <v>39965</v>
      </c>
      <c r="D579" s="38">
        <v>39965</v>
      </c>
      <c r="E579" s="38">
        <v>39965</v>
      </c>
      <c r="F579" s="39">
        <v>60</v>
      </c>
      <c r="G579" t="s">
        <v>383</v>
      </c>
      <c r="H579" t="s">
        <v>17</v>
      </c>
      <c r="I579">
        <v>0</v>
      </c>
      <c r="J579">
        <v>0</v>
      </c>
      <c r="K579">
        <v>1</v>
      </c>
      <c r="L579">
        <v>0</v>
      </c>
      <c r="M579">
        <v>0</v>
      </c>
      <c r="N579" t="s">
        <v>193</v>
      </c>
      <c r="O579" t="s">
        <v>213</v>
      </c>
      <c r="P579" t="s">
        <v>204</v>
      </c>
      <c r="Q579" t="s">
        <v>170</v>
      </c>
      <c r="R579" t="s">
        <v>155</v>
      </c>
      <c r="T579" t="s">
        <v>134</v>
      </c>
      <c r="U579">
        <v>1</v>
      </c>
      <c r="W579" t="s">
        <v>134</v>
      </c>
      <c r="X579">
        <v>1</v>
      </c>
      <c r="Y579" t="s">
        <v>140</v>
      </c>
      <c r="Z579" t="s">
        <v>180</v>
      </c>
      <c r="AA579" t="s">
        <v>143</v>
      </c>
      <c r="AB579" t="s">
        <v>162</v>
      </c>
      <c r="AC579" t="s">
        <v>459</v>
      </c>
      <c r="AD579" t="s">
        <v>155</v>
      </c>
      <c r="AE579" t="s">
        <v>130</v>
      </c>
      <c r="AF579" t="s">
        <v>21</v>
      </c>
    </row>
    <row r="580" spans="1:32">
      <c r="A580" t="s">
        <v>1269</v>
      </c>
      <c r="B580" s="37">
        <v>39964</v>
      </c>
      <c r="C580" s="38">
        <v>39964</v>
      </c>
      <c r="D580" s="38">
        <v>39958</v>
      </c>
      <c r="E580" s="38">
        <v>39934</v>
      </c>
      <c r="F580" s="39">
        <v>59</v>
      </c>
      <c r="G580" t="s">
        <v>21</v>
      </c>
      <c r="H580" t="s">
        <v>21</v>
      </c>
      <c r="I580">
        <v>0</v>
      </c>
      <c r="J580">
        <v>0</v>
      </c>
      <c r="K580">
        <v>0</v>
      </c>
      <c r="L580">
        <v>1</v>
      </c>
      <c r="M580">
        <v>0</v>
      </c>
      <c r="N580" t="s">
        <v>193</v>
      </c>
      <c r="O580" t="s">
        <v>213</v>
      </c>
      <c r="P580" t="s">
        <v>204</v>
      </c>
      <c r="Q580" t="s">
        <v>170</v>
      </c>
      <c r="R580" t="s">
        <v>155</v>
      </c>
      <c r="T580" t="s">
        <v>134</v>
      </c>
      <c r="U580">
        <v>1</v>
      </c>
      <c r="W580" t="s">
        <v>134</v>
      </c>
      <c r="X580">
        <v>1</v>
      </c>
      <c r="Y580" t="s">
        <v>140</v>
      </c>
      <c r="Z580" t="s">
        <v>180</v>
      </c>
      <c r="AA580" t="s">
        <v>144</v>
      </c>
      <c r="AB580" t="s">
        <v>163</v>
      </c>
      <c r="AC580" t="s">
        <v>173</v>
      </c>
      <c r="AD580" t="s">
        <v>155</v>
      </c>
      <c r="AE580" t="s">
        <v>704</v>
      </c>
      <c r="AF580" t="s">
        <v>21</v>
      </c>
    </row>
    <row r="581" spans="1:32">
      <c r="A581" t="s">
        <v>1270</v>
      </c>
      <c r="B581" s="37">
        <v>39937</v>
      </c>
      <c r="C581" s="38">
        <v>39937</v>
      </c>
      <c r="D581" s="38">
        <v>39937</v>
      </c>
      <c r="E581" s="38">
        <v>39934</v>
      </c>
      <c r="F581" s="39">
        <v>32</v>
      </c>
      <c r="G581" t="s">
        <v>21</v>
      </c>
      <c r="H581" t="s">
        <v>21</v>
      </c>
      <c r="I581">
        <v>0</v>
      </c>
      <c r="J581">
        <v>0</v>
      </c>
      <c r="K581">
        <v>0</v>
      </c>
      <c r="L581">
        <v>1</v>
      </c>
      <c r="M581">
        <v>0</v>
      </c>
      <c r="N581" t="s">
        <v>193</v>
      </c>
      <c r="O581" t="s">
        <v>213</v>
      </c>
      <c r="P581" t="s">
        <v>204</v>
      </c>
      <c r="Q581" t="s">
        <v>170</v>
      </c>
      <c r="R581" t="s">
        <v>155</v>
      </c>
      <c r="T581" t="s">
        <v>134</v>
      </c>
      <c r="U581">
        <v>1</v>
      </c>
      <c r="W581" t="s">
        <v>134</v>
      </c>
      <c r="X581">
        <v>1</v>
      </c>
      <c r="Y581" t="s">
        <v>140</v>
      </c>
      <c r="Z581" t="s">
        <v>180</v>
      </c>
      <c r="AA581" t="s">
        <v>148</v>
      </c>
      <c r="AB581" t="s">
        <v>162</v>
      </c>
      <c r="AC581" t="s">
        <v>175</v>
      </c>
      <c r="AD581" t="s">
        <v>159</v>
      </c>
      <c r="AE581" t="s">
        <v>126</v>
      </c>
      <c r="AF581" t="s">
        <v>601</v>
      </c>
    </row>
    <row r="582" spans="1:32">
      <c r="A582" t="s">
        <v>1271</v>
      </c>
      <c r="B582" s="37">
        <v>39970</v>
      </c>
      <c r="C582" s="38">
        <v>39970</v>
      </c>
      <c r="D582" s="38">
        <v>39965</v>
      </c>
      <c r="E582" s="38">
        <v>39965</v>
      </c>
      <c r="F582" s="39">
        <v>65</v>
      </c>
      <c r="G582" t="s">
        <v>21</v>
      </c>
      <c r="H582" t="s">
        <v>21</v>
      </c>
      <c r="I582">
        <v>0</v>
      </c>
      <c r="J582">
        <v>0</v>
      </c>
      <c r="K582">
        <v>0</v>
      </c>
      <c r="L582">
        <v>1</v>
      </c>
      <c r="M582">
        <v>0</v>
      </c>
      <c r="N582" t="s">
        <v>193</v>
      </c>
      <c r="O582" t="s">
        <v>213</v>
      </c>
      <c r="P582" t="s">
        <v>204</v>
      </c>
      <c r="Q582" t="s">
        <v>170</v>
      </c>
      <c r="R582" t="s">
        <v>155</v>
      </c>
      <c r="T582" t="s">
        <v>134</v>
      </c>
      <c r="U582">
        <v>1</v>
      </c>
      <c r="W582" t="s">
        <v>134</v>
      </c>
      <c r="X582">
        <v>1</v>
      </c>
      <c r="Y582" t="s">
        <v>140</v>
      </c>
      <c r="Z582" t="s">
        <v>180</v>
      </c>
      <c r="AA582" t="s">
        <v>151</v>
      </c>
      <c r="AB582" t="s">
        <v>162</v>
      </c>
      <c r="AC582" t="s">
        <v>1272</v>
      </c>
      <c r="AD582" t="s">
        <v>156</v>
      </c>
      <c r="AE582" t="s">
        <v>120</v>
      </c>
      <c r="AF582" t="s">
        <v>1273</v>
      </c>
    </row>
    <row r="583" spans="1:32">
      <c r="A583" t="s">
        <v>1274</v>
      </c>
      <c r="B583" s="37">
        <v>39985</v>
      </c>
      <c r="C583" s="38">
        <v>39985</v>
      </c>
      <c r="D583" s="38">
        <v>39979</v>
      </c>
      <c r="E583" s="38">
        <v>39965</v>
      </c>
      <c r="F583" s="39">
        <v>80</v>
      </c>
      <c r="G583" t="s">
        <v>21</v>
      </c>
      <c r="H583" t="s">
        <v>21</v>
      </c>
      <c r="I583">
        <v>0</v>
      </c>
      <c r="J583">
        <v>0</v>
      </c>
      <c r="K583">
        <v>0</v>
      </c>
      <c r="L583">
        <v>1</v>
      </c>
      <c r="M583">
        <v>0</v>
      </c>
      <c r="N583" t="s">
        <v>196</v>
      </c>
      <c r="O583" t="s">
        <v>213</v>
      </c>
      <c r="P583" t="s">
        <v>207</v>
      </c>
      <c r="Q583" t="s">
        <v>170</v>
      </c>
      <c r="R583" t="s">
        <v>155</v>
      </c>
      <c r="T583" t="s">
        <v>134</v>
      </c>
      <c r="U583">
        <v>1</v>
      </c>
      <c r="W583" t="s">
        <v>134</v>
      </c>
      <c r="X583">
        <v>1</v>
      </c>
      <c r="Y583" t="s">
        <v>139</v>
      </c>
      <c r="Z583" t="s">
        <v>180</v>
      </c>
      <c r="AA583" t="s">
        <v>144</v>
      </c>
      <c r="AB583" t="s">
        <v>162</v>
      </c>
      <c r="AC583" t="s">
        <v>1275</v>
      </c>
      <c r="AD583" t="s">
        <v>155</v>
      </c>
      <c r="AE583" t="s">
        <v>130</v>
      </c>
      <c r="AF583" t="s">
        <v>21</v>
      </c>
    </row>
    <row r="584" spans="1:32">
      <c r="A584" t="s">
        <v>1276</v>
      </c>
      <c r="B584" s="37">
        <v>40053</v>
      </c>
      <c r="C584" s="38">
        <v>40053</v>
      </c>
      <c r="D584" s="38">
        <v>40049</v>
      </c>
      <c r="E584" s="38">
        <v>40026</v>
      </c>
      <c r="F584" s="39">
        <v>148</v>
      </c>
      <c r="G584" t="s">
        <v>21</v>
      </c>
      <c r="H584" t="s">
        <v>21</v>
      </c>
      <c r="I584">
        <v>0</v>
      </c>
      <c r="J584">
        <v>0</v>
      </c>
      <c r="K584">
        <v>0</v>
      </c>
      <c r="L584">
        <v>1</v>
      </c>
      <c r="M584">
        <v>0</v>
      </c>
      <c r="N584" t="s">
        <v>196</v>
      </c>
      <c r="O584" t="s">
        <v>213</v>
      </c>
      <c r="P584" t="s">
        <v>207</v>
      </c>
      <c r="Q584" t="s">
        <v>170</v>
      </c>
      <c r="R584" t="s">
        <v>155</v>
      </c>
      <c r="S584">
        <v>5</v>
      </c>
      <c r="T584" t="s">
        <v>135</v>
      </c>
      <c r="U584">
        <v>0</v>
      </c>
      <c r="V584">
        <v>3</v>
      </c>
      <c r="W584" t="s">
        <v>137</v>
      </c>
      <c r="X584">
        <v>0</v>
      </c>
      <c r="Y584" t="s">
        <v>139</v>
      </c>
      <c r="Z584" t="s">
        <v>180</v>
      </c>
      <c r="AA584" t="s">
        <v>146</v>
      </c>
      <c r="AB584" t="s">
        <v>162</v>
      </c>
      <c r="AC584" t="s">
        <v>176</v>
      </c>
      <c r="AD584" t="s">
        <v>155</v>
      </c>
      <c r="AE584" t="s">
        <v>129</v>
      </c>
      <c r="AF584" t="s">
        <v>21</v>
      </c>
    </row>
    <row r="585" spans="1:32">
      <c r="A585" t="s">
        <v>1277</v>
      </c>
      <c r="B585" s="37">
        <v>39945</v>
      </c>
      <c r="C585" s="38">
        <v>39945</v>
      </c>
      <c r="D585" s="38">
        <v>39944</v>
      </c>
      <c r="E585" s="38">
        <v>39934</v>
      </c>
      <c r="F585" s="39">
        <v>40</v>
      </c>
      <c r="G585" t="s">
        <v>525</v>
      </c>
      <c r="H585" t="s">
        <v>17</v>
      </c>
      <c r="I585">
        <v>0</v>
      </c>
      <c r="J585">
        <v>0</v>
      </c>
      <c r="K585">
        <v>1</v>
      </c>
      <c r="L585">
        <v>0</v>
      </c>
      <c r="M585">
        <v>0</v>
      </c>
      <c r="N585" t="s">
        <v>193</v>
      </c>
      <c r="O585" t="s">
        <v>213</v>
      </c>
      <c r="P585" t="s">
        <v>204</v>
      </c>
      <c r="Q585" t="s">
        <v>170</v>
      </c>
      <c r="R585" t="s">
        <v>155</v>
      </c>
      <c r="T585" t="s">
        <v>134</v>
      </c>
      <c r="U585">
        <v>1</v>
      </c>
      <c r="W585" t="s">
        <v>134</v>
      </c>
      <c r="X585">
        <v>1</v>
      </c>
      <c r="Y585" t="s">
        <v>140</v>
      </c>
      <c r="Z585" t="s">
        <v>180</v>
      </c>
      <c r="AA585" t="s">
        <v>143</v>
      </c>
      <c r="AB585" t="s">
        <v>162</v>
      </c>
      <c r="AC585" t="s">
        <v>573</v>
      </c>
      <c r="AD585" t="s">
        <v>155</v>
      </c>
      <c r="AE585" t="s">
        <v>1113</v>
      </c>
      <c r="AF585" t="s">
        <v>21</v>
      </c>
    </row>
    <row r="586" spans="1:32">
      <c r="A586" t="s">
        <v>1278</v>
      </c>
      <c r="B586" s="37">
        <v>40008</v>
      </c>
      <c r="C586" s="38">
        <v>40008</v>
      </c>
      <c r="D586" s="38">
        <v>40007</v>
      </c>
      <c r="E586" s="38">
        <v>39995</v>
      </c>
      <c r="F586" s="39">
        <v>103</v>
      </c>
      <c r="G586" t="s">
        <v>383</v>
      </c>
      <c r="H586" t="s">
        <v>17</v>
      </c>
      <c r="I586">
        <v>0</v>
      </c>
      <c r="J586">
        <v>0</v>
      </c>
      <c r="K586">
        <v>1</v>
      </c>
      <c r="L586">
        <v>0</v>
      </c>
      <c r="M586">
        <v>0</v>
      </c>
      <c r="N586" t="s">
        <v>193</v>
      </c>
      <c r="O586" t="s">
        <v>213</v>
      </c>
      <c r="P586" t="s">
        <v>204</v>
      </c>
      <c r="Q586" t="s">
        <v>170</v>
      </c>
      <c r="R586" t="s">
        <v>155</v>
      </c>
      <c r="S586">
        <v>5</v>
      </c>
      <c r="T586" t="s">
        <v>135</v>
      </c>
      <c r="U586">
        <v>0</v>
      </c>
      <c r="V586">
        <v>3</v>
      </c>
      <c r="W586" t="s">
        <v>137</v>
      </c>
      <c r="X586">
        <v>0</v>
      </c>
      <c r="Y586" t="s">
        <v>140</v>
      </c>
      <c r="Z586" t="s">
        <v>180</v>
      </c>
      <c r="AA586" t="s">
        <v>148</v>
      </c>
      <c r="AB586" t="s">
        <v>163</v>
      </c>
      <c r="AC586" t="s">
        <v>173</v>
      </c>
      <c r="AD586" t="s">
        <v>155</v>
      </c>
      <c r="AE586" t="s">
        <v>510</v>
      </c>
      <c r="AF586" t="s">
        <v>21</v>
      </c>
    </row>
    <row r="587" spans="1:32">
      <c r="A587" t="s">
        <v>1279</v>
      </c>
      <c r="B587" s="37">
        <v>39934</v>
      </c>
      <c r="C587" s="38">
        <v>39934</v>
      </c>
      <c r="D587" s="38">
        <v>39930</v>
      </c>
      <c r="E587" s="38">
        <v>39934</v>
      </c>
      <c r="F587" s="39">
        <v>29</v>
      </c>
      <c r="G587" t="s">
        <v>21</v>
      </c>
      <c r="H587" t="s">
        <v>21</v>
      </c>
      <c r="I587">
        <v>0</v>
      </c>
      <c r="J587">
        <v>0</v>
      </c>
      <c r="K587">
        <v>0</v>
      </c>
      <c r="L587">
        <v>1</v>
      </c>
      <c r="M587">
        <v>0</v>
      </c>
      <c r="N587" t="s">
        <v>194</v>
      </c>
      <c r="O587" t="s">
        <v>213</v>
      </c>
      <c r="P587" t="s">
        <v>205</v>
      </c>
      <c r="Q587" t="s">
        <v>170</v>
      </c>
      <c r="R587" t="s">
        <v>155</v>
      </c>
      <c r="T587" t="s">
        <v>134</v>
      </c>
      <c r="U587">
        <v>1</v>
      </c>
      <c r="W587" t="s">
        <v>134</v>
      </c>
      <c r="X587">
        <v>1</v>
      </c>
      <c r="Y587" t="s">
        <v>139</v>
      </c>
      <c r="Z587" t="s">
        <v>180</v>
      </c>
      <c r="AA587" t="s">
        <v>142</v>
      </c>
      <c r="AB587" t="s">
        <v>163</v>
      </c>
      <c r="AC587" t="s">
        <v>173</v>
      </c>
      <c r="AD587" t="s">
        <v>155</v>
      </c>
      <c r="AE587" t="s">
        <v>125</v>
      </c>
      <c r="AF587" t="s">
        <v>21</v>
      </c>
    </row>
    <row r="588" spans="1:32">
      <c r="A588" t="s">
        <v>1280</v>
      </c>
      <c r="B588" s="37">
        <v>39967</v>
      </c>
      <c r="C588" s="38">
        <v>39967</v>
      </c>
      <c r="D588" s="38">
        <v>39965</v>
      </c>
      <c r="E588" s="38">
        <v>39965</v>
      </c>
      <c r="F588" s="39">
        <v>62</v>
      </c>
      <c r="G588" t="s">
        <v>9</v>
      </c>
      <c r="H588" t="s">
        <v>9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195</v>
      </c>
      <c r="O588" t="s">
        <v>213</v>
      </c>
      <c r="P588" t="s">
        <v>206</v>
      </c>
      <c r="Q588" t="s">
        <v>170</v>
      </c>
      <c r="R588" t="s">
        <v>155</v>
      </c>
      <c r="T588" t="s">
        <v>134</v>
      </c>
      <c r="U588">
        <v>1</v>
      </c>
      <c r="W588" t="s">
        <v>134</v>
      </c>
      <c r="X588">
        <v>1</v>
      </c>
      <c r="Y588" t="s">
        <v>139</v>
      </c>
      <c r="Z588" t="s">
        <v>180</v>
      </c>
      <c r="AA588" t="s">
        <v>146</v>
      </c>
      <c r="AB588" t="s">
        <v>163</v>
      </c>
      <c r="AC588" t="s">
        <v>415</v>
      </c>
      <c r="AD588" t="s">
        <v>155</v>
      </c>
      <c r="AE588" t="s">
        <v>125</v>
      </c>
      <c r="AF588" t="s">
        <v>21</v>
      </c>
    </row>
    <row r="589" spans="1:32">
      <c r="A589" t="s">
        <v>1281</v>
      </c>
      <c r="B589" s="37">
        <v>39932</v>
      </c>
      <c r="C589" s="38">
        <v>39932</v>
      </c>
      <c r="D589" s="38">
        <v>39930</v>
      </c>
      <c r="E589" s="38">
        <v>39904</v>
      </c>
      <c r="F589" s="39">
        <v>27</v>
      </c>
      <c r="G589" t="s">
        <v>21</v>
      </c>
      <c r="H589" t="s">
        <v>21</v>
      </c>
      <c r="I589">
        <v>0</v>
      </c>
      <c r="J589">
        <v>0</v>
      </c>
      <c r="K589">
        <v>0</v>
      </c>
      <c r="L589">
        <v>1</v>
      </c>
      <c r="M589">
        <v>0</v>
      </c>
      <c r="N589" t="s">
        <v>201</v>
      </c>
      <c r="O589" t="s">
        <v>214</v>
      </c>
      <c r="P589" t="s">
        <v>204</v>
      </c>
      <c r="Q589" t="s">
        <v>170</v>
      </c>
      <c r="R589" t="s">
        <v>155</v>
      </c>
      <c r="T589" t="s">
        <v>134</v>
      </c>
      <c r="U589">
        <v>1</v>
      </c>
      <c r="W589" t="s">
        <v>134</v>
      </c>
      <c r="X589">
        <v>1</v>
      </c>
      <c r="Y589" t="s">
        <v>140</v>
      </c>
      <c r="Z589" t="s">
        <v>180</v>
      </c>
      <c r="AA589" t="s">
        <v>147</v>
      </c>
      <c r="AB589" t="s">
        <v>163</v>
      </c>
      <c r="AC589" t="s">
        <v>173</v>
      </c>
      <c r="AD589" t="s">
        <v>155</v>
      </c>
      <c r="AE589" t="s">
        <v>124</v>
      </c>
      <c r="AF589" t="s">
        <v>21</v>
      </c>
    </row>
    <row r="590" spans="1:32">
      <c r="A590" t="s">
        <v>1282</v>
      </c>
      <c r="B590" s="37">
        <v>40012</v>
      </c>
      <c r="C590" s="38">
        <v>40012</v>
      </c>
      <c r="D590" s="38">
        <v>40007</v>
      </c>
      <c r="E590" s="38">
        <v>39995</v>
      </c>
      <c r="F590" s="39">
        <v>107</v>
      </c>
      <c r="G590" t="s">
        <v>21</v>
      </c>
      <c r="H590" t="s">
        <v>21</v>
      </c>
      <c r="I590">
        <v>0</v>
      </c>
      <c r="J590">
        <v>0</v>
      </c>
      <c r="K590">
        <v>0</v>
      </c>
      <c r="L590">
        <v>1</v>
      </c>
      <c r="M590">
        <v>0</v>
      </c>
      <c r="N590" t="s">
        <v>196</v>
      </c>
      <c r="O590" t="s">
        <v>213</v>
      </c>
      <c r="P590" t="s">
        <v>207</v>
      </c>
      <c r="Q590" t="s">
        <v>170</v>
      </c>
      <c r="R590" t="s">
        <v>155</v>
      </c>
      <c r="S590">
        <v>5</v>
      </c>
      <c r="T590" t="s">
        <v>135</v>
      </c>
      <c r="U590">
        <v>0</v>
      </c>
      <c r="V590">
        <v>3</v>
      </c>
      <c r="W590" t="s">
        <v>137</v>
      </c>
      <c r="X590">
        <v>0</v>
      </c>
      <c r="Y590" t="s">
        <v>139</v>
      </c>
      <c r="Z590" t="s">
        <v>576</v>
      </c>
      <c r="AA590" t="s">
        <v>149</v>
      </c>
      <c r="AB590" t="s">
        <v>162</v>
      </c>
      <c r="AC590" t="s">
        <v>21</v>
      </c>
      <c r="AD590" t="s">
        <v>155</v>
      </c>
      <c r="AE590" t="s">
        <v>130</v>
      </c>
      <c r="AF590" t="s">
        <v>21</v>
      </c>
    </row>
    <row r="591" spans="1:32">
      <c r="A591" t="s">
        <v>1283</v>
      </c>
      <c r="B591" s="37">
        <v>39917</v>
      </c>
      <c r="C591" s="38">
        <v>39917</v>
      </c>
      <c r="D591" s="38">
        <v>39916</v>
      </c>
      <c r="E591" s="38">
        <v>39904</v>
      </c>
      <c r="F591" s="39">
        <v>12</v>
      </c>
      <c r="G591" t="s">
        <v>21</v>
      </c>
      <c r="H591" t="s">
        <v>21</v>
      </c>
      <c r="I591">
        <v>0</v>
      </c>
      <c r="J591">
        <v>0</v>
      </c>
      <c r="K591">
        <v>0</v>
      </c>
      <c r="L591">
        <v>1</v>
      </c>
      <c r="M591">
        <v>0</v>
      </c>
      <c r="N591" t="s">
        <v>201</v>
      </c>
      <c r="O591" t="s">
        <v>214</v>
      </c>
      <c r="P591" t="s">
        <v>204</v>
      </c>
      <c r="Q591" t="s">
        <v>170</v>
      </c>
      <c r="R591" t="s">
        <v>155</v>
      </c>
      <c r="T591" t="s">
        <v>134</v>
      </c>
      <c r="U591">
        <v>1</v>
      </c>
      <c r="W591" t="s">
        <v>134</v>
      </c>
      <c r="X591">
        <v>1</v>
      </c>
      <c r="Y591" t="s">
        <v>140</v>
      </c>
      <c r="Z591" t="s">
        <v>180</v>
      </c>
      <c r="AA591" t="s">
        <v>147</v>
      </c>
      <c r="AB591" t="s">
        <v>162</v>
      </c>
      <c r="AC591" t="s">
        <v>498</v>
      </c>
      <c r="AD591" t="s">
        <v>156</v>
      </c>
      <c r="AE591" t="s">
        <v>120</v>
      </c>
      <c r="AF591" t="s">
        <v>470</v>
      </c>
    </row>
    <row r="592" spans="1:32">
      <c r="A592" t="s">
        <v>1284</v>
      </c>
      <c r="B592" s="37">
        <v>40031</v>
      </c>
      <c r="C592" s="38">
        <v>40031</v>
      </c>
      <c r="D592" s="38">
        <v>40028</v>
      </c>
      <c r="E592" s="38">
        <v>40026</v>
      </c>
      <c r="F592" s="39">
        <v>126</v>
      </c>
      <c r="G592" t="s">
        <v>21</v>
      </c>
      <c r="H592" t="s">
        <v>21</v>
      </c>
      <c r="I592">
        <v>0</v>
      </c>
      <c r="J592">
        <v>0</v>
      </c>
      <c r="K592">
        <v>0</v>
      </c>
      <c r="L592">
        <v>1</v>
      </c>
      <c r="M592">
        <v>0</v>
      </c>
      <c r="N592" t="s">
        <v>195</v>
      </c>
      <c r="O592" t="s">
        <v>213</v>
      </c>
      <c r="P592" t="s">
        <v>206</v>
      </c>
      <c r="Q592" t="s">
        <v>170</v>
      </c>
      <c r="R592" t="s">
        <v>155</v>
      </c>
      <c r="S592">
        <v>5</v>
      </c>
      <c r="T592" t="s">
        <v>135</v>
      </c>
      <c r="U592">
        <v>0</v>
      </c>
      <c r="V592">
        <v>3</v>
      </c>
      <c r="W592" t="s">
        <v>137</v>
      </c>
      <c r="X592">
        <v>0</v>
      </c>
      <c r="Y592" t="s">
        <v>139</v>
      </c>
      <c r="Z592" t="s">
        <v>180</v>
      </c>
      <c r="AA592" t="s">
        <v>143</v>
      </c>
      <c r="AB592" t="s">
        <v>162</v>
      </c>
      <c r="AC592" t="s">
        <v>498</v>
      </c>
      <c r="AD592" t="s">
        <v>155</v>
      </c>
      <c r="AE592" t="s">
        <v>129</v>
      </c>
      <c r="AF592" t="s">
        <v>21</v>
      </c>
    </row>
    <row r="593" spans="1:32">
      <c r="A593" t="s">
        <v>1285</v>
      </c>
      <c r="B593" s="37">
        <v>40030</v>
      </c>
      <c r="C593" s="38">
        <v>40030</v>
      </c>
      <c r="D593" s="38">
        <v>40028</v>
      </c>
      <c r="E593" s="38">
        <v>40026</v>
      </c>
      <c r="F593" s="39">
        <v>125</v>
      </c>
      <c r="G593" t="s">
        <v>383</v>
      </c>
      <c r="H593" t="s">
        <v>17</v>
      </c>
      <c r="I593">
        <v>0</v>
      </c>
      <c r="J593">
        <v>0</v>
      </c>
      <c r="K593">
        <v>1</v>
      </c>
      <c r="L593">
        <v>0</v>
      </c>
      <c r="M593">
        <v>0</v>
      </c>
      <c r="N593" t="s">
        <v>544</v>
      </c>
      <c r="O593" t="s">
        <v>213</v>
      </c>
      <c r="P593" t="s">
        <v>545</v>
      </c>
      <c r="Q593" t="s">
        <v>170</v>
      </c>
      <c r="R593" t="s">
        <v>155</v>
      </c>
      <c r="S593">
        <v>5</v>
      </c>
      <c r="T593" t="s">
        <v>135</v>
      </c>
      <c r="U593">
        <v>0</v>
      </c>
      <c r="V593">
        <v>2</v>
      </c>
      <c r="W593" t="s">
        <v>136</v>
      </c>
      <c r="X593">
        <v>0</v>
      </c>
      <c r="Y593" t="s">
        <v>139</v>
      </c>
      <c r="Z593" t="s">
        <v>180</v>
      </c>
      <c r="AA593" t="s">
        <v>150</v>
      </c>
      <c r="AB593" t="s">
        <v>162</v>
      </c>
      <c r="AC593" t="s">
        <v>174</v>
      </c>
      <c r="AD593" t="s">
        <v>157</v>
      </c>
      <c r="AE593" t="s">
        <v>434</v>
      </c>
      <c r="AF593" t="s">
        <v>435</v>
      </c>
    </row>
    <row r="594" spans="1:32">
      <c r="A594" t="s">
        <v>1286</v>
      </c>
      <c r="B594" s="37">
        <v>39969</v>
      </c>
      <c r="C594" s="38">
        <v>39969</v>
      </c>
      <c r="D594" s="38">
        <v>39965</v>
      </c>
      <c r="E594" s="38">
        <v>39965</v>
      </c>
      <c r="F594" s="39">
        <v>64</v>
      </c>
      <c r="G594" t="s">
        <v>21</v>
      </c>
      <c r="H594" t="s">
        <v>21</v>
      </c>
      <c r="I594">
        <v>0</v>
      </c>
      <c r="J594">
        <v>0</v>
      </c>
      <c r="K594">
        <v>0</v>
      </c>
      <c r="L594">
        <v>1</v>
      </c>
      <c r="M594">
        <v>0</v>
      </c>
      <c r="N594" t="s">
        <v>195</v>
      </c>
      <c r="O594" t="s">
        <v>213</v>
      </c>
      <c r="P594" t="s">
        <v>206</v>
      </c>
      <c r="Q594" t="s">
        <v>170</v>
      </c>
      <c r="R594" t="s">
        <v>155</v>
      </c>
      <c r="T594" t="s">
        <v>134</v>
      </c>
      <c r="U594">
        <v>1</v>
      </c>
      <c r="W594" t="s">
        <v>134</v>
      </c>
      <c r="X594">
        <v>1</v>
      </c>
      <c r="Y594" t="s">
        <v>139</v>
      </c>
      <c r="Z594" t="s">
        <v>180</v>
      </c>
      <c r="AA594" t="s">
        <v>149</v>
      </c>
      <c r="AB594" t="s">
        <v>162</v>
      </c>
      <c r="AC594" t="s">
        <v>175</v>
      </c>
      <c r="AD594" t="s">
        <v>159</v>
      </c>
      <c r="AE594" t="s">
        <v>126</v>
      </c>
      <c r="AF594" t="s">
        <v>601</v>
      </c>
    </row>
    <row r="595" spans="1:32">
      <c r="A595" t="s">
        <v>1287</v>
      </c>
      <c r="B595" s="37">
        <v>40012</v>
      </c>
      <c r="C595" s="38">
        <v>40012</v>
      </c>
      <c r="D595" s="38">
        <v>40007</v>
      </c>
      <c r="E595" s="38">
        <v>39995</v>
      </c>
      <c r="F595" s="39">
        <v>107</v>
      </c>
      <c r="G595" t="s">
        <v>9</v>
      </c>
      <c r="H595" t="s">
        <v>9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193</v>
      </c>
      <c r="O595" t="s">
        <v>213</v>
      </c>
      <c r="P595" t="s">
        <v>204</v>
      </c>
      <c r="Q595" t="s">
        <v>170</v>
      </c>
      <c r="R595" t="s">
        <v>155</v>
      </c>
      <c r="S595">
        <v>5</v>
      </c>
      <c r="T595" t="s">
        <v>135</v>
      </c>
      <c r="U595">
        <v>0</v>
      </c>
      <c r="V595">
        <v>2</v>
      </c>
      <c r="W595" t="s">
        <v>136</v>
      </c>
      <c r="X595">
        <v>0</v>
      </c>
      <c r="Y595" t="s">
        <v>140</v>
      </c>
      <c r="Z595" t="s">
        <v>184</v>
      </c>
      <c r="AA595" t="s">
        <v>146</v>
      </c>
      <c r="AB595" t="s">
        <v>162</v>
      </c>
      <c r="AC595" t="s">
        <v>459</v>
      </c>
      <c r="AD595" t="s">
        <v>155</v>
      </c>
      <c r="AE595" t="s">
        <v>129</v>
      </c>
      <c r="AF595" t="s">
        <v>21</v>
      </c>
    </row>
    <row r="596" spans="1:32">
      <c r="A596" t="s">
        <v>1288</v>
      </c>
      <c r="B596" s="37">
        <v>39996</v>
      </c>
      <c r="C596" s="38">
        <v>39996</v>
      </c>
      <c r="D596" s="38">
        <v>39993</v>
      </c>
      <c r="E596" s="38">
        <v>39995</v>
      </c>
      <c r="F596" s="39">
        <v>91</v>
      </c>
      <c r="G596" t="s">
        <v>21</v>
      </c>
      <c r="H596" t="s">
        <v>21</v>
      </c>
      <c r="I596">
        <v>0</v>
      </c>
      <c r="J596">
        <v>0</v>
      </c>
      <c r="K596">
        <v>0</v>
      </c>
      <c r="L596">
        <v>1</v>
      </c>
      <c r="M596">
        <v>0</v>
      </c>
      <c r="N596" t="s">
        <v>196</v>
      </c>
      <c r="O596" t="s">
        <v>213</v>
      </c>
      <c r="P596" t="s">
        <v>207</v>
      </c>
      <c r="Q596" t="s">
        <v>170</v>
      </c>
      <c r="R596" t="s">
        <v>155</v>
      </c>
      <c r="T596" t="s">
        <v>134</v>
      </c>
      <c r="U596">
        <v>1</v>
      </c>
      <c r="W596" t="s">
        <v>134</v>
      </c>
      <c r="X596">
        <v>1</v>
      </c>
      <c r="Y596" t="s">
        <v>139</v>
      </c>
      <c r="Z596" t="s">
        <v>180</v>
      </c>
      <c r="AA596" t="s">
        <v>149</v>
      </c>
      <c r="AB596" t="s">
        <v>162</v>
      </c>
      <c r="AC596" t="s">
        <v>1289</v>
      </c>
      <c r="AD596" t="s">
        <v>155</v>
      </c>
      <c r="AE596" t="s">
        <v>127</v>
      </c>
      <c r="AF596" t="s">
        <v>21</v>
      </c>
    </row>
    <row r="597" spans="1:32">
      <c r="A597" t="s">
        <v>1290</v>
      </c>
      <c r="B597" s="37">
        <v>39930</v>
      </c>
      <c r="C597" s="38">
        <v>39930</v>
      </c>
      <c r="D597" s="38">
        <v>39930</v>
      </c>
      <c r="E597" s="38">
        <v>39904</v>
      </c>
      <c r="F597" s="39">
        <v>25</v>
      </c>
      <c r="G597" t="s">
        <v>21</v>
      </c>
      <c r="H597" t="s">
        <v>21</v>
      </c>
      <c r="I597">
        <v>0</v>
      </c>
      <c r="J597">
        <v>0</v>
      </c>
      <c r="K597">
        <v>0</v>
      </c>
      <c r="L597">
        <v>1</v>
      </c>
      <c r="M597">
        <v>0</v>
      </c>
      <c r="N597" t="s">
        <v>194</v>
      </c>
      <c r="O597" t="s">
        <v>213</v>
      </c>
      <c r="P597" t="s">
        <v>205</v>
      </c>
      <c r="Q597" t="s">
        <v>170</v>
      </c>
      <c r="R597" t="s">
        <v>155</v>
      </c>
      <c r="T597" t="s">
        <v>134</v>
      </c>
      <c r="U597">
        <v>1</v>
      </c>
      <c r="W597" t="s">
        <v>134</v>
      </c>
      <c r="X597">
        <v>1</v>
      </c>
      <c r="Y597" t="s">
        <v>139</v>
      </c>
      <c r="Z597" t="s">
        <v>180</v>
      </c>
      <c r="AA597" t="s">
        <v>150</v>
      </c>
      <c r="AB597" t="s">
        <v>162</v>
      </c>
      <c r="AC597" t="s">
        <v>174</v>
      </c>
      <c r="AD597" t="s">
        <v>157</v>
      </c>
      <c r="AE597" t="s">
        <v>434</v>
      </c>
      <c r="AF597" t="s">
        <v>1291</v>
      </c>
    </row>
    <row r="598" spans="1:32">
      <c r="A598" t="s">
        <v>1292</v>
      </c>
      <c r="B598" s="37">
        <v>39934</v>
      </c>
      <c r="C598" s="38">
        <v>39934</v>
      </c>
      <c r="D598" s="38">
        <v>39930</v>
      </c>
      <c r="E598" s="38">
        <v>39934</v>
      </c>
      <c r="F598" s="39">
        <v>29</v>
      </c>
      <c r="G598" t="s">
        <v>21</v>
      </c>
      <c r="H598" t="s">
        <v>21</v>
      </c>
      <c r="I598">
        <v>0</v>
      </c>
      <c r="J598">
        <v>0</v>
      </c>
      <c r="K598">
        <v>0</v>
      </c>
      <c r="L598">
        <v>1</v>
      </c>
      <c r="M598">
        <v>0</v>
      </c>
      <c r="N598" t="s">
        <v>202</v>
      </c>
      <c r="O598" t="s">
        <v>213</v>
      </c>
      <c r="P598" t="s">
        <v>211</v>
      </c>
      <c r="Q598" t="s">
        <v>170</v>
      </c>
      <c r="R598" t="s">
        <v>155</v>
      </c>
      <c r="T598" t="s">
        <v>134</v>
      </c>
      <c r="U598">
        <v>1</v>
      </c>
      <c r="W598" t="s">
        <v>134</v>
      </c>
      <c r="X598">
        <v>1</v>
      </c>
      <c r="Y598" t="s">
        <v>139</v>
      </c>
      <c r="Z598" t="s">
        <v>180</v>
      </c>
      <c r="AA598" t="s">
        <v>147</v>
      </c>
      <c r="AB598" t="s">
        <v>162</v>
      </c>
      <c r="AC598" t="s">
        <v>175</v>
      </c>
      <c r="AD598" t="s">
        <v>155</v>
      </c>
      <c r="AE598" t="s">
        <v>127</v>
      </c>
      <c r="AF598" t="s">
        <v>21</v>
      </c>
    </row>
    <row r="599" spans="1:32">
      <c r="A599" t="s">
        <v>1293</v>
      </c>
      <c r="B599" s="37">
        <v>39969</v>
      </c>
      <c r="C599" s="38">
        <v>39969</v>
      </c>
      <c r="D599" s="38">
        <v>39965</v>
      </c>
      <c r="E599" s="38">
        <v>39965</v>
      </c>
      <c r="F599" s="39">
        <v>64</v>
      </c>
      <c r="G599" t="s">
        <v>21</v>
      </c>
      <c r="H599" t="s">
        <v>21</v>
      </c>
      <c r="I599">
        <v>0</v>
      </c>
      <c r="J599">
        <v>0</v>
      </c>
      <c r="K599">
        <v>0</v>
      </c>
      <c r="L599">
        <v>1</v>
      </c>
      <c r="M599">
        <v>0</v>
      </c>
      <c r="N599" t="s">
        <v>193</v>
      </c>
      <c r="O599" t="s">
        <v>213</v>
      </c>
      <c r="P599" t="s">
        <v>204</v>
      </c>
      <c r="Q599" t="s">
        <v>170</v>
      </c>
      <c r="R599" t="s">
        <v>155</v>
      </c>
      <c r="T599" t="s">
        <v>134</v>
      </c>
      <c r="U599">
        <v>1</v>
      </c>
      <c r="W599" t="s">
        <v>134</v>
      </c>
      <c r="X599">
        <v>1</v>
      </c>
      <c r="Y599" t="s">
        <v>140</v>
      </c>
      <c r="Z599" t="s">
        <v>180</v>
      </c>
      <c r="AA599" t="s">
        <v>142</v>
      </c>
      <c r="AB599" t="s">
        <v>162</v>
      </c>
      <c r="AC599" t="s">
        <v>550</v>
      </c>
      <c r="AD599" t="s">
        <v>157</v>
      </c>
      <c r="AE599" t="s">
        <v>434</v>
      </c>
      <c r="AF599" t="s">
        <v>986</v>
      </c>
    </row>
    <row r="600" spans="1:32">
      <c r="A600" t="s">
        <v>1294</v>
      </c>
      <c r="B600" s="37">
        <v>40011</v>
      </c>
      <c r="C600" s="38">
        <v>40011</v>
      </c>
      <c r="D600" s="38">
        <v>40007</v>
      </c>
      <c r="E600" s="38">
        <v>39995</v>
      </c>
      <c r="F600" s="39">
        <v>106</v>
      </c>
      <c r="G600" t="s">
        <v>21</v>
      </c>
      <c r="H600" t="s">
        <v>21</v>
      </c>
      <c r="I600">
        <v>0</v>
      </c>
      <c r="J600">
        <v>0</v>
      </c>
      <c r="K600">
        <v>0</v>
      </c>
      <c r="L600">
        <v>1</v>
      </c>
      <c r="M600">
        <v>0</v>
      </c>
      <c r="N600" t="s">
        <v>196</v>
      </c>
      <c r="O600" t="s">
        <v>213</v>
      </c>
      <c r="P600" t="s">
        <v>207</v>
      </c>
      <c r="Q600" t="s">
        <v>170</v>
      </c>
      <c r="R600" t="s">
        <v>155</v>
      </c>
      <c r="S600">
        <v>5</v>
      </c>
      <c r="T600" t="s">
        <v>135</v>
      </c>
      <c r="U600">
        <v>0</v>
      </c>
      <c r="V600">
        <v>2</v>
      </c>
      <c r="W600" t="s">
        <v>136</v>
      </c>
      <c r="X600">
        <v>0</v>
      </c>
      <c r="Y600" t="s">
        <v>139</v>
      </c>
      <c r="Z600" t="s">
        <v>576</v>
      </c>
      <c r="AA600" t="s">
        <v>148</v>
      </c>
      <c r="AB600" t="s">
        <v>163</v>
      </c>
      <c r="AC600" t="s">
        <v>1295</v>
      </c>
      <c r="AD600" t="s">
        <v>155</v>
      </c>
      <c r="AE600" t="s">
        <v>128</v>
      </c>
      <c r="AF600" t="s">
        <v>21</v>
      </c>
    </row>
    <row r="601" spans="1:32">
      <c r="A601" t="s">
        <v>1296</v>
      </c>
      <c r="B601" s="37">
        <v>39941</v>
      </c>
      <c r="C601" s="38">
        <v>39941</v>
      </c>
      <c r="D601" s="38">
        <v>39937</v>
      </c>
      <c r="E601" s="38">
        <v>39934</v>
      </c>
      <c r="F601" s="39">
        <v>36</v>
      </c>
      <c r="G601" t="s">
        <v>21</v>
      </c>
      <c r="H601" t="s">
        <v>21</v>
      </c>
      <c r="I601">
        <v>0</v>
      </c>
      <c r="J601">
        <v>0</v>
      </c>
      <c r="K601">
        <v>0</v>
      </c>
      <c r="L601">
        <v>1</v>
      </c>
      <c r="M601">
        <v>0</v>
      </c>
      <c r="N601" t="s">
        <v>193</v>
      </c>
      <c r="O601" t="s">
        <v>213</v>
      </c>
      <c r="P601" t="s">
        <v>204</v>
      </c>
      <c r="Q601" t="s">
        <v>170</v>
      </c>
      <c r="R601" t="s">
        <v>155</v>
      </c>
      <c r="T601" t="s">
        <v>134</v>
      </c>
      <c r="U601">
        <v>1</v>
      </c>
      <c r="W601" t="s">
        <v>134</v>
      </c>
      <c r="X601">
        <v>1</v>
      </c>
      <c r="Y601" t="s">
        <v>140</v>
      </c>
      <c r="Z601" t="s">
        <v>528</v>
      </c>
      <c r="AA601" t="s">
        <v>147</v>
      </c>
      <c r="AB601" t="s">
        <v>162</v>
      </c>
      <c r="AC601" t="s">
        <v>459</v>
      </c>
      <c r="AD601" t="s">
        <v>155</v>
      </c>
      <c r="AE601" t="s">
        <v>130</v>
      </c>
      <c r="AF601" t="s">
        <v>21</v>
      </c>
    </row>
    <row r="602" spans="1:32">
      <c r="A602" t="s">
        <v>1297</v>
      </c>
      <c r="B602" s="37">
        <v>40075</v>
      </c>
      <c r="C602" s="38">
        <v>40075</v>
      </c>
      <c r="D602" s="38">
        <v>40070</v>
      </c>
      <c r="E602" s="38">
        <v>40057</v>
      </c>
      <c r="F602" s="39">
        <v>170</v>
      </c>
      <c r="G602" t="s">
        <v>21</v>
      </c>
      <c r="H602" t="s">
        <v>21</v>
      </c>
      <c r="I602">
        <v>0</v>
      </c>
      <c r="J602">
        <v>0</v>
      </c>
      <c r="K602">
        <v>0</v>
      </c>
      <c r="L602">
        <v>1</v>
      </c>
      <c r="M602">
        <v>0</v>
      </c>
      <c r="N602" t="s">
        <v>193</v>
      </c>
      <c r="O602" t="s">
        <v>213</v>
      </c>
      <c r="P602" t="s">
        <v>204</v>
      </c>
      <c r="Q602" t="s">
        <v>170</v>
      </c>
      <c r="R602" t="s">
        <v>155</v>
      </c>
      <c r="S602">
        <v>5</v>
      </c>
      <c r="T602" t="s">
        <v>135</v>
      </c>
      <c r="U602">
        <v>0</v>
      </c>
      <c r="V602">
        <v>3</v>
      </c>
      <c r="W602" t="s">
        <v>137</v>
      </c>
      <c r="X602">
        <v>0</v>
      </c>
      <c r="Y602" t="s">
        <v>140</v>
      </c>
      <c r="Z602" t="s">
        <v>179</v>
      </c>
      <c r="AA602" t="s">
        <v>149</v>
      </c>
      <c r="AB602" t="s">
        <v>162</v>
      </c>
      <c r="AC602" t="s">
        <v>174</v>
      </c>
      <c r="AD602" t="s">
        <v>159</v>
      </c>
      <c r="AE602" t="s">
        <v>123</v>
      </c>
      <c r="AF602" t="s">
        <v>123</v>
      </c>
    </row>
    <row r="603" spans="1:32">
      <c r="A603" t="s">
        <v>1298</v>
      </c>
      <c r="B603" s="37">
        <v>40028</v>
      </c>
      <c r="C603" s="38">
        <v>40028</v>
      </c>
      <c r="D603" s="38">
        <v>40028</v>
      </c>
      <c r="E603" s="38">
        <v>40026</v>
      </c>
      <c r="F603" s="39">
        <v>123</v>
      </c>
      <c r="G603" t="s">
        <v>380</v>
      </c>
      <c r="H603" t="s">
        <v>17</v>
      </c>
      <c r="I603">
        <v>0</v>
      </c>
      <c r="J603">
        <v>0</v>
      </c>
      <c r="K603">
        <v>1</v>
      </c>
      <c r="L603">
        <v>0</v>
      </c>
      <c r="M603">
        <v>0</v>
      </c>
      <c r="N603" t="s">
        <v>196</v>
      </c>
      <c r="O603" t="s">
        <v>213</v>
      </c>
      <c r="P603" t="s">
        <v>207</v>
      </c>
      <c r="Q603" t="s">
        <v>170</v>
      </c>
      <c r="R603" t="s">
        <v>155</v>
      </c>
      <c r="S603">
        <v>4</v>
      </c>
      <c r="T603" t="s">
        <v>137</v>
      </c>
      <c r="U603">
        <v>0</v>
      </c>
      <c r="V603">
        <v>4</v>
      </c>
      <c r="W603" t="s">
        <v>137</v>
      </c>
      <c r="X603">
        <v>0</v>
      </c>
      <c r="Y603" t="s">
        <v>139</v>
      </c>
      <c r="Z603" t="s">
        <v>409</v>
      </c>
      <c r="AA603" t="s">
        <v>146</v>
      </c>
      <c r="AB603" t="s">
        <v>163</v>
      </c>
      <c r="AC603" t="s">
        <v>173</v>
      </c>
      <c r="AD603" t="s">
        <v>155</v>
      </c>
      <c r="AE603" t="s">
        <v>128</v>
      </c>
      <c r="AF603" t="s">
        <v>21</v>
      </c>
    </row>
    <row r="604" spans="1:32">
      <c r="A604" t="s">
        <v>1299</v>
      </c>
      <c r="B604" s="37">
        <v>39981</v>
      </c>
      <c r="C604" s="38">
        <v>39981</v>
      </c>
      <c r="D604" s="38">
        <v>39979</v>
      </c>
      <c r="E604" s="38">
        <v>39965</v>
      </c>
      <c r="F604" s="39">
        <v>76</v>
      </c>
      <c r="G604" t="s">
        <v>9</v>
      </c>
      <c r="H604" t="s">
        <v>9</v>
      </c>
      <c r="I604">
        <v>1</v>
      </c>
      <c r="J604">
        <v>0</v>
      </c>
      <c r="K604">
        <v>0</v>
      </c>
      <c r="L604">
        <v>0</v>
      </c>
      <c r="M604">
        <v>1</v>
      </c>
      <c r="N604" t="s">
        <v>193</v>
      </c>
      <c r="O604" t="s">
        <v>213</v>
      </c>
      <c r="P604" t="s">
        <v>204</v>
      </c>
      <c r="Q604" t="s">
        <v>170</v>
      </c>
      <c r="R604" t="s">
        <v>155</v>
      </c>
      <c r="T604" t="s">
        <v>134</v>
      </c>
      <c r="U604">
        <v>1</v>
      </c>
      <c r="W604" t="s">
        <v>134</v>
      </c>
      <c r="X604">
        <v>1</v>
      </c>
      <c r="Y604" t="s">
        <v>140</v>
      </c>
      <c r="Z604" t="s">
        <v>409</v>
      </c>
      <c r="AA604" t="s">
        <v>146</v>
      </c>
      <c r="AB604" t="s">
        <v>163</v>
      </c>
      <c r="AC604" t="s">
        <v>173</v>
      </c>
      <c r="AD604" t="s">
        <v>155</v>
      </c>
      <c r="AE604" t="s">
        <v>128</v>
      </c>
      <c r="AF604" t="s">
        <v>21</v>
      </c>
    </row>
    <row r="605" spans="1:32">
      <c r="A605" t="s">
        <v>1300</v>
      </c>
      <c r="B605" s="37">
        <v>39963</v>
      </c>
      <c r="C605" s="38">
        <v>39963</v>
      </c>
      <c r="D605" s="38">
        <v>39958</v>
      </c>
      <c r="E605" s="38">
        <v>39934</v>
      </c>
      <c r="F605" s="39">
        <v>58</v>
      </c>
      <c r="G605" t="s">
        <v>21</v>
      </c>
      <c r="H605" t="s">
        <v>21</v>
      </c>
      <c r="I605">
        <v>0</v>
      </c>
      <c r="J605">
        <v>0</v>
      </c>
      <c r="K605">
        <v>0</v>
      </c>
      <c r="L605">
        <v>1</v>
      </c>
      <c r="M605">
        <v>0</v>
      </c>
      <c r="N605" t="s">
        <v>194</v>
      </c>
      <c r="O605" t="s">
        <v>213</v>
      </c>
      <c r="P605" t="s">
        <v>205</v>
      </c>
      <c r="Q605" t="s">
        <v>170</v>
      </c>
      <c r="R605" t="s">
        <v>155</v>
      </c>
      <c r="T605" t="s">
        <v>134</v>
      </c>
      <c r="U605">
        <v>1</v>
      </c>
      <c r="W605" t="s">
        <v>134</v>
      </c>
      <c r="X605">
        <v>1</v>
      </c>
      <c r="Y605" t="s">
        <v>139</v>
      </c>
      <c r="Z605" t="s">
        <v>178</v>
      </c>
      <c r="AA605" t="s">
        <v>150</v>
      </c>
      <c r="AB605" t="s">
        <v>162</v>
      </c>
      <c r="AC605" t="s">
        <v>431</v>
      </c>
      <c r="AD605" t="s">
        <v>155</v>
      </c>
      <c r="AE605" t="s">
        <v>130</v>
      </c>
      <c r="AF605" t="s">
        <v>21</v>
      </c>
    </row>
    <row r="606" spans="1:32">
      <c r="A606" t="s">
        <v>1301</v>
      </c>
      <c r="B606" s="37">
        <v>39945</v>
      </c>
      <c r="C606" s="38">
        <v>39945</v>
      </c>
      <c r="D606" s="38">
        <v>39944</v>
      </c>
      <c r="E606" s="38">
        <v>39934</v>
      </c>
      <c r="F606" s="39">
        <v>40</v>
      </c>
      <c r="G606" t="s">
        <v>21</v>
      </c>
      <c r="H606" t="s">
        <v>21</v>
      </c>
      <c r="I606">
        <v>0</v>
      </c>
      <c r="J606">
        <v>0</v>
      </c>
      <c r="K606">
        <v>0</v>
      </c>
      <c r="L606">
        <v>1</v>
      </c>
      <c r="M606">
        <v>0</v>
      </c>
      <c r="N606" t="s">
        <v>195</v>
      </c>
      <c r="O606" t="s">
        <v>213</v>
      </c>
      <c r="P606" t="s">
        <v>206</v>
      </c>
      <c r="Q606" t="s">
        <v>170</v>
      </c>
      <c r="R606" t="s">
        <v>155</v>
      </c>
      <c r="T606" t="s">
        <v>134</v>
      </c>
      <c r="U606">
        <v>1</v>
      </c>
      <c r="W606" t="s">
        <v>134</v>
      </c>
      <c r="X606">
        <v>1</v>
      </c>
      <c r="Y606" t="s">
        <v>139</v>
      </c>
      <c r="Z606" t="s">
        <v>528</v>
      </c>
      <c r="AA606" t="s">
        <v>147</v>
      </c>
      <c r="AB606" t="s">
        <v>163</v>
      </c>
      <c r="AC606" t="s">
        <v>173</v>
      </c>
      <c r="AD606" t="s">
        <v>155</v>
      </c>
      <c r="AE606" t="s">
        <v>1302</v>
      </c>
      <c r="AF606" t="s">
        <v>21</v>
      </c>
    </row>
    <row r="607" spans="1:32">
      <c r="A607" t="s">
        <v>1303</v>
      </c>
      <c r="B607" s="37">
        <v>39998</v>
      </c>
      <c r="C607" s="38">
        <v>39998</v>
      </c>
      <c r="D607" s="38">
        <v>39993</v>
      </c>
      <c r="E607" s="38">
        <v>39995</v>
      </c>
      <c r="F607" s="39">
        <v>93</v>
      </c>
      <c r="G607" t="s">
        <v>383</v>
      </c>
      <c r="H607" t="s">
        <v>17</v>
      </c>
      <c r="I607">
        <v>0</v>
      </c>
      <c r="J607">
        <v>0</v>
      </c>
      <c r="K607">
        <v>1</v>
      </c>
      <c r="L607">
        <v>0</v>
      </c>
      <c r="M607">
        <v>0</v>
      </c>
      <c r="N607" t="s">
        <v>193</v>
      </c>
      <c r="O607" t="s">
        <v>213</v>
      </c>
      <c r="P607" t="s">
        <v>204</v>
      </c>
      <c r="Q607" t="s">
        <v>170</v>
      </c>
      <c r="R607" t="s">
        <v>155</v>
      </c>
      <c r="T607" t="s">
        <v>134</v>
      </c>
      <c r="U607">
        <v>1</v>
      </c>
      <c r="V607">
        <v>5</v>
      </c>
      <c r="W607" t="s">
        <v>135</v>
      </c>
      <c r="X607">
        <v>0</v>
      </c>
      <c r="Y607" t="s">
        <v>140</v>
      </c>
      <c r="Z607" t="s">
        <v>528</v>
      </c>
      <c r="AA607" t="s">
        <v>150</v>
      </c>
      <c r="AB607" t="s">
        <v>163</v>
      </c>
      <c r="AC607" t="s">
        <v>173</v>
      </c>
      <c r="AD607" t="s">
        <v>155</v>
      </c>
      <c r="AE607" t="s">
        <v>510</v>
      </c>
      <c r="AF607" t="s">
        <v>21</v>
      </c>
    </row>
    <row r="608" spans="1:32">
      <c r="A608" t="s">
        <v>1304</v>
      </c>
      <c r="B608" s="37">
        <v>40063</v>
      </c>
      <c r="C608" s="38">
        <v>40063</v>
      </c>
      <c r="D608" s="38">
        <v>40063</v>
      </c>
      <c r="E608" s="38">
        <v>40057</v>
      </c>
      <c r="F608" s="39">
        <v>158</v>
      </c>
      <c r="G608" t="s">
        <v>21</v>
      </c>
      <c r="H608" t="s">
        <v>21</v>
      </c>
      <c r="I608">
        <v>0</v>
      </c>
      <c r="J608">
        <v>0</v>
      </c>
      <c r="K608">
        <v>0</v>
      </c>
      <c r="L608">
        <v>1</v>
      </c>
      <c r="M608">
        <v>0</v>
      </c>
      <c r="N608" t="s">
        <v>193</v>
      </c>
      <c r="O608" t="s">
        <v>213</v>
      </c>
      <c r="P608" t="s">
        <v>204</v>
      </c>
      <c r="Q608" t="s">
        <v>170</v>
      </c>
      <c r="R608" t="s">
        <v>155</v>
      </c>
      <c r="S608">
        <v>1</v>
      </c>
      <c r="T608" t="s">
        <v>136</v>
      </c>
      <c r="U608">
        <v>0</v>
      </c>
      <c r="V608">
        <v>4</v>
      </c>
      <c r="W608" t="s">
        <v>137</v>
      </c>
      <c r="X608">
        <v>0</v>
      </c>
      <c r="Y608" t="s">
        <v>140</v>
      </c>
      <c r="Z608" t="s">
        <v>528</v>
      </c>
      <c r="AA608" t="s">
        <v>144</v>
      </c>
      <c r="AB608" t="s">
        <v>162</v>
      </c>
      <c r="AC608" t="s">
        <v>175</v>
      </c>
      <c r="AD608" t="s">
        <v>155</v>
      </c>
      <c r="AE608" t="s">
        <v>127</v>
      </c>
      <c r="AF608" t="s">
        <v>21</v>
      </c>
    </row>
    <row r="609" spans="1:32">
      <c r="A609" t="s">
        <v>1305</v>
      </c>
      <c r="B609" s="37">
        <v>40043</v>
      </c>
      <c r="C609" s="38">
        <v>40043</v>
      </c>
      <c r="D609" s="38">
        <v>40042</v>
      </c>
      <c r="E609" s="38">
        <v>40026</v>
      </c>
      <c r="F609" s="39">
        <v>138</v>
      </c>
      <c r="G609" t="s">
        <v>21</v>
      </c>
      <c r="H609" t="s">
        <v>21</v>
      </c>
      <c r="I609">
        <v>0</v>
      </c>
      <c r="J609">
        <v>0</v>
      </c>
      <c r="K609">
        <v>0</v>
      </c>
      <c r="L609">
        <v>1</v>
      </c>
      <c r="M609">
        <v>0</v>
      </c>
      <c r="N609" t="s">
        <v>196</v>
      </c>
      <c r="O609" t="s">
        <v>213</v>
      </c>
      <c r="P609" t="s">
        <v>207</v>
      </c>
      <c r="Q609" t="s">
        <v>170</v>
      </c>
      <c r="R609" t="s">
        <v>155</v>
      </c>
      <c r="S609">
        <v>5</v>
      </c>
      <c r="T609" t="s">
        <v>135</v>
      </c>
      <c r="U609">
        <v>0</v>
      </c>
      <c r="V609">
        <v>3</v>
      </c>
      <c r="W609" t="s">
        <v>137</v>
      </c>
      <c r="X609">
        <v>0</v>
      </c>
      <c r="Y609" t="s">
        <v>139</v>
      </c>
      <c r="Z609" t="s">
        <v>184</v>
      </c>
      <c r="AA609" t="s">
        <v>148</v>
      </c>
      <c r="AB609" t="s">
        <v>163</v>
      </c>
      <c r="AC609" t="s">
        <v>173</v>
      </c>
      <c r="AD609" t="s">
        <v>155</v>
      </c>
      <c r="AE609" t="s">
        <v>510</v>
      </c>
      <c r="AF609" t="s">
        <v>21</v>
      </c>
    </row>
    <row r="610" spans="1:32">
      <c r="A610" t="s">
        <v>1306</v>
      </c>
      <c r="B610" s="37">
        <v>39987</v>
      </c>
      <c r="C610" s="38">
        <v>39987</v>
      </c>
      <c r="D610" s="38">
        <v>39986</v>
      </c>
      <c r="E610" s="38">
        <v>39965</v>
      </c>
      <c r="F610" s="39">
        <v>82</v>
      </c>
      <c r="G610" t="s">
        <v>21</v>
      </c>
      <c r="H610" t="s">
        <v>21</v>
      </c>
      <c r="I610">
        <v>0</v>
      </c>
      <c r="J610">
        <v>0</v>
      </c>
      <c r="K610">
        <v>0</v>
      </c>
      <c r="L610">
        <v>1</v>
      </c>
      <c r="M610">
        <v>0</v>
      </c>
      <c r="N610" t="s">
        <v>193</v>
      </c>
      <c r="O610" t="s">
        <v>213</v>
      </c>
      <c r="P610" t="s">
        <v>204</v>
      </c>
      <c r="Q610" t="s">
        <v>170</v>
      </c>
      <c r="R610" t="s">
        <v>155</v>
      </c>
      <c r="T610" t="s">
        <v>134</v>
      </c>
      <c r="U610">
        <v>1</v>
      </c>
      <c r="W610" t="s">
        <v>134</v>
      </c>
      <c r="X610">
        <v>1</v>
      </c>
      <c r="Y610" t="s">
        <v>140</v>
      </c>
      <c r="Z610" t="s">
        <v>180</v>
      </c>
      <c r="AA610" t="s">
        <v>148</v>
      </c>
      <c r="AB610" t="s">
        <v>162</v>
      </c>
      <c r="AC610" t="s">
        <v>459</v>
      </c>
      <c r="AD610" t="s">
        <v>155</v>
      </c>
      <c r="AE610" t="s">
        <v>130</v>
      </c>
      <c r="AF610" t="s">
        <v>21</v>
      </c>
    </row>
    <row r="611" spans="1:32">
      <c r="A611" t="s">
        <v>1307</v>
      </c>
      <c r="B611" s="37">
        <v>40074</v>
      </c>
      <c r="C611" s="38">
        <v>40074</v>
      </c>
      <c r="D611" s="38">
        <v>40070</v>
      </c>
      <c r="E611" s="38">
        <v>40057</v>
      </c>
      <c r="F611" s="39">
        <v>169</v>
      </c>
      <c r="G611" t="s">
        <v>21</v>
      </c>
      <c r="H611" t="s">
        <v>21</v>
      </c>
      <c r="I611">
        <v>0</v>
      </c>
      <c r="J611">
        <v>0</v>
      </c>
      <c r="K611">
        <v>0</v>
      </c>
      <c r="L611">
        <v>1</v>
      </c>
      <c r="M611">
        <v>0</v>
      </c>
      <c r="N611" t="s">
        <v>193</v>
      </c>
      <c r="O611" t="s">
        <v>213</v>
      </c>
      <c r="P611" t="s">
        <v>204</v>
      </c>
      <c r="Q611" t="s">
        <v>170</v>
      </c>
      <c r="R611" t="s">
        <v>155</v>
      </c>
      <c r="S611">
        <v>5</v>
      </c>
      <c r="T611" t="s">
        <v>135</v>
      </c>
      <c r="U611">
        <v>0</v>
      </c>
      <c r="V611">
        <v>5</v>
      </c>
      <c r="W611" t="s">
        <v>135</v>
      </c>
      <c r="X611">
        <v>0</v>
      </c>
      <c r="Y611" t="s">
        <v>140</v>
      </c>
      <c r="Z611" t="s">
        <v>189</v>
      </c>
      <c r="AA611" t="s">
        <v>142</v>
      </c>
      <c r="AB611" t="s">
        <v>163</v>
      </c>
      <c r="AC611" t="s">
        <v>1308</v>
      </c>
      <c r="AD611" t="s">
        <v>155</v>
      </c>
      <c r="AE611" t="s">
        <v>510</v>
      </c>
      <c r="AF611" t="s">
        <v>21</v>
      </c>
    </row>
    <row r="612" spans="1:32">
      <c r="A612" t="s">
        <v>1309</v>
      </c>
      <c r="B612" s="37">
        <v>39953</v>
      </c>
      <c r="C612" s="38">
        <v>39953</v>
      </c>
      <c r="D612" s="38">
        <v>39951</v>
      </c>
      <c r="E612" s="38">
        <v>39934</v>
      </c>
      <c r="F612" s="39">
        <v>48</v>
      </c>
      <c r="G612" t="s">
        <v>21</v>
      </c>
      <c r="H612" t="s">
        <v>21</v>
      </c>
      <c r="I612">
        <v>0</v>
      </c>
      <c r="J612">
        <v>0</v>
      </c>
      <c r="K612">
        <v>0</v>
      </c>
      <c r="L612">
        <v>1</v>
      </c>
      <c r="M612">
        <v>0</v>
      </c>
      <c r="N612" t="s">
        <v>194</v>
      </c>
      <c r="O612" t="s">
        <v>213</v>
      </c>
      <c r="P612" t="s">
        <v>205</v>
      </c>
      <c r="Q612" t="s">
        <v>170</v>
      </c>
      <c r="R612" t="s">
        <v>155</v>
      </c>
      <c r="T612" t="s">
        <v>134</v>
      </c>
      <c r="U612">
        <v>1</v>
      </c>
      <c r="W612" t="s">
        <v>134</v>
      </c>
      <c r="X612">
        <v>1</v>
      </c>
      <c r="Y612" t="s">
        <v>139</v>
      </c>
      <c r="Z612" t="s">
        <v>189</v>
      </c>
      <c r="AA612" t="s">
        <v>147</v>
      </c>
      <c r="AB612" t="s">
        <v>163</v>
      </c>
      <c r="AC612" t="s">
        <v>21</v>
      </c>
      <c r="AD612" t="s">
        <v>155</v>
      </c>
      <c r="AE612" t="s">
        <v>124</v>
      </c>
      <c r="AF612" t="s">
        <v>21</v>
      </c>
    </row>
    <row r="613" spans="1:32">
      <c r="A613" t="s">
        <v>1310</v>
      </c>
      <c r="B613" s="37">
        <v>40071</v>
      </c>
      <c r="C613" s="38">
        <v>40071</v>
      </c>
      <c r="D613" s="38">
        <v>40070</v>
      </c>
      <c r="E613" s="38">
        <v>40057</v>
      </c>
      <c r="F613" s="39">
        <v>166</v>
      </c>
      <c r="G613" t="s">
        <v>383</v>
      </c>
      <c r="H613" t="s">
        <v>17</v>
      </c>
      <c r="I613">
        <v>0</v>
      </c>
      <c r="J613">
        <v>0</v>
      </c>
      <c r="K613">
        <v>1</v>
      </c>
      <c r="L613">
        <v>0</v>
      </c>
      <c r="M613">
        <v>0</v>
      </c>
      <c r="N613" t="s">
        <v>193</v>
      </c>
      <c r="O613" t="s">
        <v>213</v>
      </c>
      <c r="P613" t="s">
        <v>204</v>
      </c>
      <c r="Q613" t="s">
        <v>170</v>
      </c>
      <c r="R613" t="s">
        <v>155</v>
      </c>
      <c r="S613">
        <v>5</v>
      </c>
      <c r="T613" t="s">
        <v>135</v>
      </c>
      <c r="U613">
        <v>0</v>
      </c>
      <c r="V613">
        <v>5</v>
      </c>
      <c r="W613" t="s">
        <v>135</v>
      </c>
      <c r="X613">
        <v>0</v>
      </c>
      <c r="Y613" t="s">
        <v>140</v>
      </c>
      <c r="Z613" t="s">
        <v>189</v>
      </c>
      <c r="AA613" t="s">
        <v>148</v>
      </c>
      <c r="AB613" t="s">
        <v>162</v>
      </c>
      <c r="AC613" t="s">
        <v>578</v>
      </c>
      <c r="AD613" t="s">
        <v>157</v>
      </c>
      <c r="AE613" t="s">
        <v>127</v>
      </c>
      <c r="AF613" t="s">
        <v>153</v>
      </c>
    </row>
    <row r="614" spans="1:32">
      <c r="A614" t="s">
        <v>1311</v>
      </c>
      <c r="B614" s="37">
        <v>40074</v>
      </c>
      <c r="C614" s="38">
        <v>40074</v>
      </c>
      <c r="D614" s="38">
        <v>40070</v>
      </c>
      <c r="E614" s="38">
        <v>40057</v>
      </c>
      <c r="F614" s="39">
        <v>169</v>
      </c>
      <c r="G614" t="s">
        <v>21</v>
      </c>
      <c r="H614" t="s">
        <v>21</v>
      </c>
      <c r="I614">
        <v>0</v>
      </c>
      <c r="J614">
        <v>0</v>
      </c>
      <c r="K614">
        <v>0</v>
      </c>
      <c r="L614">
        <v>1</v>
      </c>
      <c r="M614">
        <v>0</v>
      </c>
      <c r="N614" t="s">
        <v>544</v>
      </c>
      <c r="O614" t="s">
        <v>213</v>
      </c>
      <c r="P614" t="s">
        <v>545</v>
      </c>
      <c r="Q614" t="s">
        <v>170</v>
      </c>
      <c r="R614" t="s">
        <v>155</v>
      </c>
      <c r="S614">
        <v>2</v>
      </c>
      <c r="T614" t="s">
        <v>136</v>
      </c>
      <c r="U614">
        <v>0</v>
      </c>
      <c r="V614">
        <v>5</v>
      </c>
      <c r="W614" t="s">
        <v>135</v>
      </c>
      <c r="X614">
        <v>0</v>
      </c>
      <c r="Y614" t="s">
        <v>139</v>
      </c>
      <c r="Z614" t="s">
        <v>182</v>
      </c>
      <c r="AA614" t="s">
        <v>146</v>
      </c>
      <c r="AB614" t="s">
        <v>162</v>
      </c>
      <c r="AC614" t="s">
        <v>21</v>
      </c>
      <c r="AD614" t="s">
        <v>155</v>
      </c>
      <c r="AE614" t="s">
        <v>129</v>
      </c>
      <c r="AF614" t="s">
        <v>21</v>
      </c>
    </row>
    <row r="615" spans="1:32">
      <c r="A615" t="s">
        <v>1312</v>
      </c>
      <c r="B615" s="37">
        <v>40025</v>
      </c>
      <c r="C615" s="38">
        <v>40025</v>
      </c>
      <c r="D615" s="38">
        <v>40021</v>
      </c>
      <c r="E615" s="38">
        <v>39995</v>
      </c>
      <c r="F615" s="39">
        <v>120</v>
      </c>
      <c r="G615" t="s">
        <v>9</v>
      </c>
      <c r="H615" t="s">
        <v>9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195</v>
      </c>
      <c r="O615" t="s">
        <v>213</v>
      </c>
      <c r="P615" t="s">
        <v>206</v>
      </c>
      <c r="Q615" t="s">
        <v>170</v>
      </c>
      <c r="R615" t="s">
        <v>155</v>
      </c>
      <c r="S615">
        <v>5</v>
      </c>
      <c r="T615" t="s">
        <v>135</v>
      </c>
      <c r="U615">
        <v>0</v>
      </c>
      <c r="V615">
        <v>4</v>
      </c>
      <c r="W615" t="s">
        <v>137</v>
      </c>
      <c r="X615">
        <v>0</v>
      </c>
      <c r="Y615" t="s">
        <v>139</v>
      </c>
      <c r="Z615" t="s">
        <v>182</v>
      </c>
      <c r="AA615" t="s">
        <v>142</v>
      </c>
      <c r="AB615" t="s">
        <v>163</v>
      </c>
      <c r="AC615" t="s">
        <v>173</v>
      </c>
      <c r="AD615" t="s">
        <v>155</v>
      </c>
      <c r="AE615" t="s">
        <v>501</v>
      </c>
      <c r="AF615" t="s">
        <v>21</v>
      </c>
    </row>
    <row r="616" spans="1:32">
      <c r="A616" t="s">
        <v>1313</v>
      </c>
      <c r="B616" s="37">
        <v>39972</v>
      </c>
      <c r="C616" s="38">
        <v>39972</v>
      </c>
      <c r="D616" s="38">
        <v>39972</v>
      </c>
      <c r="E616" s="38">
        <v>39965</v>
      </c>
      <c r="F616" s="39">
        <v>67</v>
      </c>
      <c r="G616" t="s">
        <v>9</v>
      </c>
      <c r="H616" t="s">
        <v>9</v>
      </c>
      <c r="I616">
        <v>1</v>
      </c>
      <c r="J616">
        <v>0</v>
      </c>
      <c r="K616">
        <v>0</v>
      </c>
      <c r="L616">
        <v>0</v>
      </c>
      <c r="M616">
        <v>1</v>
      </c>
      <c r="N616" t="s">
        <v>193</v>
      </c>
      <c r="O616" t="s">
        <v>213</v>
      </c>
      <c r="P616" t="s">
        <v>204</v>
      </c>
      <c r="Q616" t="s">
        <v>170</v>
      </c>
      <c r="R616" t="s">
        <v>155</v>
      </c>
      <c r="T616" t="s">
        <v>134</v>
      </c>
      <c r="U616">
        <v>1</v>
      </c>
      <c r="W616" t="s">
        <v>134</v>
      </c>
      <c r="X616">
        <v>1</v>
      </c>
      <c r="Y616" t="s">
        <v>140</v>
      </c>
      <c r="Z616" t="s">
        <v>182</v>
      </c>
      <c r="AA616" t="s">
        <v>143</v>
      </c>
      <c r="AB616" t="s">
        <v>165</v>
      </c>
      <c r="AC616" t="s">
        <v>1314</v>
      </c>
      <c r="AD616" t="s">
        <v>158</v>
      </c>
      <c r="AE616" t="s">
        <v>122</v>
      </c>
      <c r="AF616" t="s">
        <v>21</v>
      </c>
    </row>
    <row r="617" spans="1:32">
      <c r="A617" t="s">
        <v>1315</v>
      </c>
      <c r="B617" s="37">
        <v>39919</v>
      </c>
      <c r="C617" s="38">
        <v>39919</v>
      </c>
      <c r="D617" s="38">
        <v>39916</v>
      </c>
      <c r="E617" s="38">
        <v>39904</v>
      </c>
      <c r="F617" s="39">
        <v>14</v>
      </c>
      <c r="G617" t="s">
        <v>9</v>
      </c>
      <c r="H617" t="s">
        <v>9</v>
      </c>
      <c r="I617">
        <v>1</v>
      </c>
      <c r="J617">
        <v>0</v>
      </c>
      <c r="K617">
        <v>0</v>
      </c>
      <c r="L617">
        <v>0</v>
      </c>
      <c r="M617">
        <v>1</v>
      </c>
      <c r="N617" t="s">
        <v>201</v>
      </c>
      <c r="O617" t="s">
        <v>214</v>
      </c>
      <c r="P617" t="s">
        <v>204</v>
      </c>
      <c r="Q617" t="s">
        <v>170</v>
      </c>
      <c r="R617" t="s">
        <v>155</v>
      </c>
      <c r="T617" t="s">
        <v>134</v>
      </c>
      <c r="U617">
        <v>1</v>
      </c>
      <c r="W617" t="s">
        <v>134</v>
      </c>
      <c r="X617">
        <v>1</v>
      </c>
      <c r="Y617" t="s">
        <v>140</v>
      </c>
      <c r="Z617" t="s">
        <v>576</v>
      </c>
      <c r="AA617" t="s">
        <v>147</v>
      </c>
      <c r="AB617" t="s">
        <v>163</v>
      </c>
      <c r="AC617" t="s">
        <v>173</v>
      </c>
      <c r="AD617" t="s">
        <v>155</v>
      </c>
      <c r="AE617" t="s">
        <v>406</v>
      </c>
      <c r="AF617" t="s">
        <v>21</v>
      </c>
    </row>
    <row r="618" spans="1:32">
      <c r="A618" t="s">
        <v>1316</v>
      </c>
      <c r="B618" s="37">
        <v>40076</v>
      </c>
      <c r="C618" s="38">
        <v>40076</v>
      </c>
      <c r="D618" s="38">
        <v>40070</v>
      </c>
      <c r="E618" s="38">
        <v>40057</v>
      </c>
      <c r="F618" s="39">
        <v>171</v>
      </c>
      <c r="G618" t="s">
        <v>21</v>
      </c>
      <c r="H618" t="s">
        <v>21</v>
      </c>
      <c r="I618">
        <v>0</v>
      </c>
      <c r="J618">
        <v>0</v>
      </c>
      <c r="K618">
        <v>0</v>
      </c>
      <c r="L618">
        <v>1</v>
      </c>
      <c r="M618">
        <v>0</v>
      </c>
      <c r="N618" t="s">
        <v>195</v>
      </c>
      <c r="O618" t="s">
        <v>213</v>
      </c>
      <c r="P618" t="s">
        <v>206</v>
      </c>
      <c r="Q618" t="s">
        <v>170</v>
      </c>
      <c r="R618" t="s">
        <v>155</v>
      </c>
      <c r="S618">
        <v>5</v>
      </c>
      <c r="T618" t="s">
        <v>135</v>
      </c>
      <c r="U618">
        <v>0</v>
      </c>
      <c r="V618">
        <v>2</v>
      </c>
      <c r="W618" t="s">
        <v>136</v>
      </c>
      <c r="X618">
        <v>0</v>
      </c>
      <c r="Y618" t="s">
        <v>139</v>
      </c>
      <c r="Z618" t="s">
        <v>433</v>
      </c>
      <c r="AA618" t="s">
        <v>144</v>
      </c>
      <c r="AB618" t="s">
        <v>162</v>
      </c>
      <c r="AC618" t="s">
        <v>1218</v>
      </c>
      <c r="AD618" t="s">
        <v>156</v>
      </c>
      <c r="AE618" t="s">
        <v>120</v>
      </c>
      <c r="AF618" t="s">
        <v>662</v>
      </c>
    </row>
    <row r="619" spans="1:32">
      <c r="A619" t="s">
        <v>1317</v>
      </c>
      <c r="B619" s="37">
        <v>40007</v>
      </c>
      <c r="C619" s="38">
        <v>40007</v>
      </c>
      <c r="D619" s="38">
        <v>40007</v>
      </c>
      <c r="E619" s="38">
        <v>39995</v>
      </c>
      <c r="F619" s="39">
        <v>102</v>
      </c>
      <c r="G619" t="s">
        <v>21</v>
      </c>
      <c r="H619" t="s">
        <v>21</v>
      </c>
      <c r="I619">
        <v>0</v>
      </c>
      <c r="J619">
        <v>0</v>
      </c>
      <c r="K619">
        <v>0</v>
      </c>
      <c r="L619">
        <v>1</v>
      </c>
      <c r="M619">
        <v>0</v>
      </c>
      <c r="N619" t="s">
        <v>193</v>
      </c>
      <c r="O619" t="s">
        <v>213</v>
      </c>
      <c r="P619" t="s">
        <v>204</v>
      </c>
      <c r="Q619" t="s">
        <v>170</v>
      </c>
      <c r="R619" t="s">
        <v>155</v>
      </c>
      <c r="S619">
        <v>1</v>
      </c>
      <c r="T619" t="s">
        <v>136</v>
      </c>
      <c r="U619">
        <v>0</v>
      </c>
      <c r="V619">
        <v>5</v>
      </c>
      <c r="W619" t="s">
        <v>135</v>
      </c>
      <c r="X619">
        <v>0</v>
      </c>
      <c r="Y619" t="s">
        <v>140</v>
      </c>
      <c r="Z619" t="s">
        <v>528</v>
      </c>
      <c r="AA619" t="s">
        <v>144</v>
      </c>
      <c r="AB619" t="s">
        <v>162</v>
      </c>
      <c r="AC619" t="s">
        <v>174</v>
      </c>
      <c r="AD619" t="s">
        <v>157</v>
      </c>
      <c r="AE619" t="s">
        <v>130</v>
      </c>
      <c r="AF619" t="s">
        <v>423</v>
      </c>
    </row>
    <row r="620" spans="1:32">
      <c r="A620" t="s">
        <v>1318</v>
      </c>
      <c r="B620" s="37">
        <v>40073</v>
      </c>
      <c r="C620" s="38">
        <v>40073</v>
      </c>
      <c r="D620" s="38">
        <v>40070</v>
      </c>
      <c r="E620" s="38">
        <v>40057</v>
      </c>
      <c r="F620" s="39">
        <v>168</v>
      </c>
      <c r="G620" t="s">
        <v>383</v>
      </c>
      <c r="H620" t="s">
        <v>17</v>
      </c>
      <c r="I620">
        <v>0</v>
      </c>
      <c r="J620">
        <v>0</v>
      </c>
      <c r="K620">
        <v>1</v>
      </c>
      <c r="L620">
        <v>0</v>
      </c>
      <c r="M620">
        <v>0</v>
      </c>
      <c r="N620" t="s">
        <v>197</v>
      </c>
      <c r="O620" t="s">
        <v>213</v>
      </c>
      <c r="P620" t="s">
        <v>209</v>
      </c>
      <c r="Q620" t="s">
        <v>170</v>
      </c>
      <c r="R620" t="s">
        <v>155</v>
      </c>
      <c r="S620">
        <v>3</v>
      </c>
      <c r="T620" t="s">
        <v>137</v>
      </c>
      <c r="U620">
        <v>0</v>
      </c>
      <c r="V620">
        <v>2</v>
      </c>
      <c r="W620" t="s">
        <v>136</v>
      </c>
      <c r="X620">
        <v>0</v>
      </c>
      <c r="Y620" t="s">
        <v>139</v>
      </c>
      <c r="Z620" t="s">
        <v>591</v>
      </c>
      <c r="AA620" t="s">
        <v>145</v>
      </c>
      <c r="AB620" t="s">
        <v>162</v>
      </c>
      <c r="AC620" t="s">
        <v>174</v>
      </c>
      <c r="AD620" t="s">
        <v>157</v>
      </c>
      <c r="AE620" t="s">
        <v>434</v>
      </c>
      <c r="AF620" t="s">
        <v>435</v>
      </c>
    </row>
    <row r="621" spans="1:32">
      <c r="A621" t="s">
        <v>1319</v>
      </c>
      <c r="B621" s="37">
        <v>40021</v>
      </c>
      <c r="C621" s="38">
        <v>40021</v>
      </c>
      <c r="D621" s="38">
        <v>40021</v>
      </c>
      <c r="E621" s="38">
        <v>39995</v>
      </c>
      <c r="F621" s="39">
        <v>116</v>
      </c>
      <c r="G621" t="s">
        <v>21</v>
      </c>
      <c r="H621" t="s">
        <v>21</v>
      </c>
      <c r="I621">
        <v>0</v>
      </c>
      <c r="J621">
        <v>0</v>
      </c>
      <c r="K621">
        <v>0</v>
      </c>
      <c r="L621">
        <v>1</v>
      </c>
      <c r="M621">
        <v>0</v>
      </c>
      <c r="N621" t="s">
        <v>195</v>
      </c>
      <c r="O621" t="s">
        <v>213</v>
      </c>
      <c r="P621" t="s">
        <v>206</v>
      </c>
      <c r="Q621" t="s">
        <v>170</v>
      </c>
      <c r="R621" t="s">
        <v>155</v>
      </c>
      <c r="S621">
        <v>5</v>
      </c>
      <c r="T621" t="s">
        <v>135</v>
      </c>
      <c r="U621">
        <v>0</v>
      </c>
      <c r="V621">
        <v>3</v>
      </c>
      <c r="W621" t="s">
        <v>137</v>
      </c>
      <c r="X621">
        <v>0</v>
      </c>
      <c r="Y621" t="s">
        <v>139</v>
      </c>
      <c r="Z621" t="s">
        <v>181</v>
      </c>
      <c r="AA621" t="s">
        <v>146</v>
      </c>
      <c r="AB621" t="s">
        <v>162</v>
      </c>
      <c r="AC621" t="s">
        <v>622</v>
      </c>
      <c r="AD621" t="s">
        <v>155</v>
      </c>
      <c r="AE621" t="s">
        <v>130</v>
      </c>
      <c r="AF621" t="s">
        <v>21</v>
      </c>
    </row>
    <row r="622" spans="1:32">
      <c r="A622" t="s">
        <v>1320</v>
      </c>
      <c r="B622" s="37">
        <v>40082</v>
      </c>
      <c r="C622" s="38">
        <v>40082</v>
      </c>
      <c r="D622" s="38">
        <v>40077</v>
      </c>
      <c r="E622" s="38">
        <v>40057</v>
      </c>
      <c r="F622" s="39">
        <v>177</v>
      </c>
      <c r="G622" t="s">
        <v>21</v>
      </c>
      <c r="H622" t="s">
        <v>21</v>
      </c>
      <c r="I622">
        <v>0</v>
      </c>
      <c r="J622">
        <v>0</v>
      </c>
      <c r="K622">
        <v>0</v>
      </c>
      <c r="L622">
        <v>1</v>
      </c>
      <c r="M622">
        <v>0</v>
      </c>
      <c r="N622" t="s">
        <v>193</v>
      </c>
      <c r="O622" t="s">
        <v>213</v>
      </c>
      <c r="P622" t="s">
        <v>204</v>
      </c>
      <c r="Q622" t="s">
        <v>170</v>
      </c>
      <c r="R622" t="s">
        <v>155</v>
      </c>
      <c r="S622">
        <v>5</v>
      </c>
      <c r="T622" t="s">
        <v>135</v>
      </c>
      <c r="U622">
        <v>0</v>
      </c>
      <c r="V622">
        <v>2</v>
      </c>
      <c r="W622" t="s">
        <v>136</v>
      </c>
      <c r="X622">
        <v>0</v>
      </c>
      <c r="Y622" t="s">
        <v>140</v>
      </c>
      <c r="Z622" t="s">
        <v>191</v>
      </c>
      <c r="AA622" t="s">
        <v>144</v>
      </c>
      <c r="AB622" t="s">
        <v>163</v>
      </c>
      <c r="AC622" t="s">
        <v>173</v>
      </c>
      <c r="AD622" t="s">
        <v>155</v>
      </c>
      <c r="AE622" t="s">
        <v>130</v>
      </c>
      <c r="AF622" t="s">
        <v>21</v>
      </c>
    </row>
    <row r="623" spans="1:32">
      <c r="A623" t="s">
        <v>1321</v>
      </c>
      <c r="B623" s="37">
        <v>39916</v>
      </c>
      <c r="C623" s="38">
        <v>39916</v>
      </c>
      <c r="D623" s="38">
        <v>39916</v>
      </c>
      <c r="E623" s="38">
        <v>39904</v>
      </c>
      <c r="F623" s="39">
        <v>11</v>
      </c>
      <c r="G623" t="s">
        <v>21</v>
      </c>
      <c r="H623" t="s">
        <v>21</v>
      </c>
      <c r="I623">
        <v>0</v>
      </c>
      <c r="J623">
        <v>0</v>
      </c>
      <c r="K623">
        <v>0</v>
      </c>
      <c r="L623">
        <v>1</v>
      </c>
      <c r="M623">
        <v>0</v>
      </c>
      <c r="N623" t="s">
        <v>199</v>
      </c>
      <c r="O623" t="s">
        <v>213</v>
      </c>
      <c r="P623" t="s">
        <v>210</v>
      </c>
      <c r="Q623" t="s">
        <v>170</v>
      </c>
      <c r="R623" t="s">
        <v>155</v>
      </c>
      <c r="T623" t="s">
        <v>134</v>
      </c>
      <c r="U623">
        <v>1</v>
      </c>
      <c r="W623" t="s">
        <v>134</v>
      </c>
      <c r="X623">
        <v>1</v>
      </c>
      <c r="Y623" t="s">
        <v>139</v>
      </c>
      <c r="Z623" t="s">
        <v>178</v>
      </c>
      <c r="AA623" t="s">
        <v>147</v>
      </c>
      <c r="AB623" t="s">
        <v>163</v>
      </c>
      <c r="AC623" t="s">
        <v>1322</v>
      </c>
      <c r="AD623" t="s">
        <v>161</v>
      </c>
      <c r="AE623" t="s">
        <v>1323</v>
      </c>
      <c r="AF623" t="s">
        <v>21</v>
      </c>
    </row>
    <row r="624" spans="1:32">
      <c r="A624" t="s">
        <v>1324</v>
      </c>
      <c r="B624" s="37">
        <v>40064</v>
      </c>
      <c r="C624" s="38">
        <v>40064</v>
      </c>
      <c r="D624" s="38">
        <v>40063</v>
      </c>
      <c r="E624" s="38">
        <v>40057</v>
      </c>
      <c r="F624" s="39">
        <v>159</v>
      </c>
      <c r="G624" t="s">
        <v>21</v>
      </c>
      <c r="H624" t="s">
        <v>21</v>
      </c>
      <c r="I624">
        <v>0</v>
      </c>
      <c r="J624">
        <v>0</v>
      </c>
      <c r="K624">
        <v>0</v>
      </c>
      <c r="L624">
        <v>1</v>
      </c>
      <c r="M624">
        <v>0</v>
      </c>
      <c r="N624" t="s">
        <v>193</v>
      </c>
      <c r="O624" t="s">
        <v>213</v>
      </c>
      <c r="P624" t="s">
        <v>204</v>
      </c>
      <c r="Q624" t="s">
        <v>170</v>
      </c>
      <c r="R624" t="s">
        <v>155</v>
      </c>
      <c r="S624">
        <v>5</v>
      </c>
      <c r="T624" t="s">
        <v>135</v>
      </c>
      <c r="U624">
        <v>0</v>
      </c>
      <c r="V624">
        <v>5</v>
      </c>
      <c r="W624" t="s">
        <v>135</v>
      </c>
      <c r="X624">
        <v>0</v>
      </c>
      <c r="Y624" t="s">
        <v>140</v>
      </c>
      <c r="Z624" t="s">
        <v>591</v>
      </c>
      <c r="AA624" t="s">
        <v>144</v>
      </c>
      <c r="AB624" t="s">
        <v>162</v>
      </c>
      <c r="AC624" t="s">
        <v>174</v>
      </c>
      <c r="AD624" t="s">
        <v>157</v>
      </c>
      <c r="AE624" t="s">
        <v>127</v>
      </c>
      <c r="AF624" t="s">
        <v>153</v>
      </c>
    </row>
    <row r="625" spans="1:32">
      <c r="A625" t="s">
        <v>1325</v>
      </c>
      <c r="B625" s="37">
        <v>40056</v>
      </c>
      <c r="C625" s="38">
        <v>40056</v>
      </c>
      <c r="D625" s="38">
        <v>40056</v>
      </c>
      <c r="E625" s="38">
        <v>40026</v>
      </c>
      <c r="F625" s="39">
        <v>151</v>
      </c>
      <c r="G625" t="s">
        <v>383</v>
      </c>
      <c r="H625" t="s">
        <v>17</v>
      </c>
      <c r="I625">
        <v>0</v>
      </c>
      <c r="J625">
        <v>0</v>
      </c>
      <c r="K625">
        <v>1</v>
      </c>
      <c r="L625">
        <v>0</v>
      </c>
      <c r="M625">
        <v>0</v>
      </c>
      <c r="N625" t="s">
        <v>193</v>
      </c>
      <c r="O625" t="s">
        <v>213</v>
      </c>
      <c r="P625" t="s">
        <v>204</v>
      </c>
      <c r="Q625" t="s">
        <v>170</v>
      </c>
      <c r="R625" t="s">
        <v>155</v>
      </c>
      <c r="S625">
        <v>5</v>
      </c>
      <c r="T625" t="s">
        <v>135</v>
      </c>
      <c r="U625">
        <v>0</v>
      </c>
      <c r="V625">
        <v>2</v>
      </c>
      <c r="W625" t="s">
        <v>136</v>
      </c>
      <c r="X625">
        <v>0</v>
      </c>
      <c r="Y625" t="s">
        <v>140</v>
      </c>
      <c r="Z625" t="s">
        <v>184</v>
      </c>
      <c r="AA625" t="s">
        <v>143</v>
      </c>
      <c r="AB625" t="s">
        <v>162</v>
      </c>
      <c r="AC625" t="s">
        <v>174</v>
      </c>
      <c r="AD625" t="s">
        <v>156</v>
      </c>
      <c r="AE625" t="s">
        <v>120</v>
      </c>
      <c r="AF625" t="s">
        <v>794</v>
      </c>
    </row>
    <row r="626" spans="1:32">
      <c r="A626" t="s">
        <v>1326</v>
      </c>
      <c r="B626" s="37">
        <v>39972</v>
      </c>
      <c r="C626" s="38">
        <v>39972</v>
      </c>
      <c r="D626" s="38">
        <v>39972</v>
      </c>
      <c r="E626" s="38">
        <v>39965</v>
      </c>
      <c r="F626" s="39">
        <v>67</v>
      </c>
      <c r="G626" t="s">
        <v>21</v>
      </c>
      <c r="H626" t="s">
        <v>21</v>
      </c>
      <c r="I626">
        <v>0</v>
      </c>
      <c r="J626">
        <v>0</v>
      </c>
      <c r="K626">
        <v>0</v>
      </c>
      <c r="L626">
        <v>1</v>
      </c>
      <c r="M626">
        <v>0</v>
      </c>
      <c r="N626" t="s">
        <v>195</v>
      </c>
      <c r="O626" t="s">
        <v>213</v>
      </c>
      <c r="P626" t="s">
        <v>206</v>
      </c>
      <c r="Q626" t="s">
        <v>170</v>
      </c>
      <c r="R626" t="s">
        <v>155</v>
      </c>
      <c r="T626" t="s">
        <v>134</v>
      </c>
      <c r="U626">
        <v>1</v>
      </c>
      <c r="W626" t="s">
        <v>134</v>
      </c>
      <c r="X626">
        <v>1</v>
      </c>
      <c r="Y626" t="s">
        <v>139</v>
      </c>
      <c r="Z626" t="s">
        <v>409</v>
      </c>
      <c r="AA626" t="s">
        <v>144</v>
      </c>
      <c r="AB626" t="s">
        <v>162</v>
      </c>
      <c r="AC626" t="s">
        <v>174</v>
      </c>
      <c r="AD626" t="s">
        <v>157</v>
      </c>
      <c r="AE626" t="s">
        <v>571</v>
      </c>
      <c r="AF626" t="s">
        <v>636</v>
      </c>
    </row>
    <row r="627" spans="1:32">
      <c r="A627" t="s">
        <v>1327</v>
      </c>
      <c r="B627" s="37">
        <v>40013</v>
      </c>
      <c r="C627" s="38">
        <v>40013</v>
      </c>
      <c r="D627" s="38">
        <v>40007</v>
      </c>
      <c r="E627" s="38">
        <v>39995</v>
      </c>
      <c r="F627" s="39">
        <v>108</v>
      </c>
      <c r="G627" t="s">
        <v>21</v>
      </c>
      <c r="H627" t="s">
        <v>21</v>
      </c>
      <c r="I627">
        <v>0</v>
      </c>
      <c r="J627">
        <v>0</v>
      </c>
      <c r="K627">
        <v>0</v>
      </c>
      <c r="L627">
        <v>1</v>
      </c>
      <c r="M627">
        <v>0</v>
      </c>
      <c r="N627" t="s">
        <v>193</v>
      </c>
      <c r="O627" t="s">
        <v>213</v>
      </c>
      <c r="P627" t="s">
        <v>204</v>
      </c>
      <c r="Q627" t="s">
        <v>170</v>
      </c>
      <c r="R627" t="s">
        <v>155</v>
      </c>
      <c r="S627">
        <v>5</v>
      </c>
      <c r="T627" t="s">
        <v>135</v>
      </c>
      <c r="U627">
        <v>0</v>
      </c>
      <c r="V627">
        <v>3</v>
      </c>
      <c r="W627" t="s">
        <v>137</v>
      </c>
      <c r="X627">
        <v>0</v>
      </c>
      <c r="Y627" t="s">
        <v>140</v>
      </c>
      <c r="Z627" t="s">
        <v>184</v>
      </c>
      <c r="AA627" t="s">
        <v>143</v>
      </c>
      <c r="AB627" t="s">
        <v>162</v>
      </c>
      <c r="AC627" t="s">
        <v>174</v>
      </c>
      <c r="AD627" t="s">
        <v>156</v>
      </c>
      <c r="AE627" t="s">
        <v>120</v>
      </c>
      <c r="AF627" t="s">
        <v>1328</v>
      </c>
    </row>
    <row r="628" spans="1:32">
      <c r="A628" t="s">
        <v>1329</v>
      </c>
      <c r="B628" s="37">
        <v>39917</v>
      </c>
      <c r="C628" s="38">
        <v>39917</v>
      </c>
      <c r="D628" s="38">
        <v>39916</v>
      </c>
      <c r="E628" s="38">
        <v>39904</v>
      </c>
      <c r="F628" s="39">
        <v>12</v>
      </c>
      <c r="G628" t="s">
        <v>21</v>
      </c>
      <c r="H628" t="s">
        <v>21</v>
      </c>
      <c r="I628">
        <v>0</v>
      </c>
      <c r="J628">
        <v>0</v>
      </c>
      <c r="K628">
        <v>0</v>
      </c>
      <c r="L628">
        <v>1</v>
      </c>
      <c r="M628">
        <v>0</v>
      </c>
      <c r="N628" t="s">
        <v>194</v>
      </c>
      <c r="O628" t="s">
        <v>213</v>
      </c>
      <c r="P628" t="s">
        <v>205</v>
      </c>
      <c r="Q628" t="s">
        <v>170</v>
      </c>
      <c r="R628" t="s">
        <v>155</v>
      </c>
      <c r="T628" t="s">
        <v>134</v>
      </c>
      <c r="U628">
        <v>1</v>
      </c>
      <c r="W628" t="s">
        <v>134</v>
      </c>
      <c r="X628">
        <v>1</v>
      </c>
      <c r="Y628" t="s">
        <v>139</v>
      </c>
      <c r="Z628" t="s">
        <v>937</v>
      </c>
      <c r="AA628" t="s">
        <v>147</v>
      </c>
      <c r="AB628" t="s">
        <v>162</v>
      </c>
      <c r="AC628" t="s">
        <v>174</v>
      </c>
      <c r="AD628" t="s">
        <v>156</v>
      </c>
      <c r="AE628" t="s">
        <v>120</v>
      </c>
      <c r="AF628" t="s">
        <v>794</v>
      </c>
    </row>
    <row r="629" spans="1:32">
      <c r="A629" t="s">
        <v>1330</v>
      </c>
      <c r="B629" s="37">
        <v>39925</v>
      </c>
      <c r="C629" s="38">
        <v>39925</v>
      </c>
      <c r="D629" s="38">
        <v>39923</v>
      </c>
      <c r="E629" s="38">
        <v>39904</v>
      </c>
      <c r="F629" s="39">
        <v>20</v>
      </c>
      <c r="G629" t="s">
        <v>21</v>
      </c>
      <c r="H629" t="s">
        <v>21</v>
      </c>
      <c r="I629">
        <v>0</v>
      </c>
      <c r="J629">
        <v>0</v>
      </c>
      <c r="K629">
        <v>0</v>
      </c>
      <c r="L629">
        <v>1</v>
      </c>
      <c r="M629">
        <v>0</v>
      </c>
      <c r="N629" t="s">
        <v>202</v>
      </c>
      <c r="O629" t="s">
        <v>213</v>
      </c>
      <c r="P629" t="s">
        <v>211</v>
      </c>
      <c r="Q629" t="s">
        <v>170</v>
      </c>
      <c r="R629" t="s">
        <v>155</v>
      </c>
      <c r="T629" t="s">
        <v>134</v>
      </c>
      <c r="U629">
        <v>1</v>
      </c>
      <c r="W629" t="s">
        <v>134</v>
      </c>
      <c r="X629">
        <v>1</v>
      </c>
      <c r="Y629" t="s">
        <v>139</v>
      </c>
      <c r="Z629" t="s">
        <v>178</v>
      </c>
      <c r="AA629" t="s">
        <v>147</v>
      </c>
      <c r="AB629" t="s">
        <v>163</v>
      </c>
      <c r="AC629" t="s">
        <v>1331</v>
      </c>
      <c r="AD629" t="s">
        <v>155</v>
      </c>
      <c r="AE629" t="s">
        <v>387</v>
      </c>
      <c r="AF629" t="s">
        <v>21</v>
      </c>
    </row>
    <row r="630" spans="1:32">
      <c r="A630" t="s">
        <v>1332</v>
      </c>
      <c r="B630" s="37">
        <v>39919</v>
      </c>
      <c r="C630" s="38">
        <v>39919</v>
      </c>
      <c r="D630" s="38">
        <v>39916</v>
      </c>
      <c r="E630" s="38">
        <v>39904</v>
      </c>
      <c r="F630" s="39">
        <v>14</v>
      </c>
      <c r="G630" t="s">
        <v>21</v>
      </c>
      <c r="H630" t="s">
        <v>21</v>
      </c>
      <c r="I630">
        <v>0</v>
      </c>
      <c r="J630">
        <v>0</v>
      </c>
      <c r="K630">
        <v>0</v>
      </c>
      <c r="L630">
        <v>1</v>
      </c>
      <c r="M630">
        <v>0</v>
      </c>
      <c r="N630" t="s">
        <v>199</v>
      </c>
      <c r="O630" t="s">
        <v>213</v>
      </c>
      <c r="P630" t="s">
        <v>210</v>
      </c>
      <c r="Q630" t="s">
        <v>170</v>
      </c>
      <c r="R630" t="s">
        <v>155</v>
      </c>
      <c r="T630" t="s">
        <v>134</v>
      </c>
      <c r="U630">
        <v>1</v>
      </c>
      <c r="W630" t="s">
        <v>134</v>
      </c>
      <c r="X630">
        <v>1</v>
      </c>
      <c r="Y630" t="s">
        <v>139</v>
      </c>
      <c r="Z630" t="s">
        <v>180</v>
      </c>
      <c r="AA630" t="s">
        <v>142</v>
      </c>
      <c r="AB630" t="s">
        <v>162</v>
      </c>
      <c r="AC630" t="s">
        <v>550</v>
      </c>
      <c r="AD630" t="s">
        <v>160</v>
      </c>
      <c r="AE630" t="s">
        <v>392</v>
      </c>
      <c r="AF630" t="s">
        <v>393</v>
      </c>
    </row>
    <row r="631" spans="1:32">
      <c r="A631" t="s">
        <v>1333</v>
      </c>
      <c r="B631" s="37">
        <v>40072</v>
      </c>
      <c r="C631" s="38">
        <v>40072</v>
      </c>
      <c r="D631" s="38">
        <v>40070</v>
      </c>
      <c r="E631" s="38">
        <v>40057</v>
      </c>
      <c r="F631" s="39">
        <v>167</v>
      </c>
      <c r="G631" t="s">
        <v>383</v>
      </c>
      <c r="H631" t="s">
        <v>17</v>
      </c>
      <c r="I631">
        <v>0</v>
      </c>
      <c r="J631">
        <v>0</v>
      </c>
      <c r="K631">
        <v>1</v>
      </c>
      <c r="L631">
        <v>0</v>
      </c>
      <c r="M631">
        <v>0</v>
      </c>
      <c r="N631" t="s">
        <v>197</v>
      </c>
      <c r="O631" t="s">
        <v>213</v>
      </c>
      <c r="P631" t="s">
        <v>209</v>
      </c>
      <c r="Q631" t="s">
        <v>170</v>
      </c>
      <c r="R631" t="s">
        <v>155</v>
      </c>
      <c r="S631">
        <v>5</v>
      </c>
      <c r="T631" t="s">
        <v>135</v>
      </c>
      <c r="U631">
        <v>0</v>
      </c>
      <c r="V631">
        <v>4</v>
      </c>
      <c r="W631" t="s">
        <v>137</v>
      </c>
      <c r="X631">
        <v>0</v>
      </c>
      <c r="Y631" t="s">
        <v>139</v>
      </c>
      <c r="Z631" t="s">
        <v>179</v>
      </c>
      <c r="AA631" t="s">
        <v>144</v>
      </c>
      <c r="AB631" t="s">
        <v>163</v>
      </c>
      <c r="AC631" t="s">
        <v>173</v>
      </c>
      <c r="AD631" t="s">
        <v>155</v>
      </c>
      <c r="AE631" t="s">
        <v>956</v>
      </c>
      <c r="AF631" t="s">
        <v>21</v>
      </c>
    </row>
    <row r="632" spans="1:32">
      <c r="A632" t="s">
        <v>1334</v>
      </c>
      <c r="B632" s="37">
        <v>39931</v>
      </c>
      <c r="C632" s="38">
        <v>39931</v>
      </c>
      <c r="D632" s="38">
        <v>39930</v>
      </c>
      <c r="E632" s="38">
        <v>39904</v>
      </c>
      <c r="F632" s="39">
        <v>26</v>
      </c>
      <c r="G632" t="s">
        <v>21</v>
      </c>
      <c r="H632" t="s">
        <v>21</v>
      </c>
      <c r="I632">
        <v>0</v>
      </c>
      <c r="J632">
        <v>0</v>
      </c>
      <c r="K632">
        <v>0</v>
      </c>
      <c r="L632">
        <v>1</v>
      </c>
      <c r="M632">
        <v>0</v>
      </c>
      <c r="N632" t="s">
        <v>194</v>
      </c>
      <c r="O632" t="s">
        <v>213</v>
      </c>
      <c r="P632" t="s">
        <v>205</v>
      </c>
      <c r="Q632" t="s">
        <v>170</v>
      </c>
      <c r="R632" t="s">
        <v>155</v>
      </c>
      <c r="T632" t="s">
        <v>134</v>
      </c>
      <c r="U632">
        <v>1</v>
      </c>
      <c r="W632" t="s">
        <v>134</v>
      </c>
      <c r="X632">
        <v>1</v>
      </c>
      <c r="Y632" t="s">
        <v>139</v>
      </c>
      <c r="Z632" t="s">
        <v>179</v>
      </c>
      <c r="AA632" t="s">
        <v>143</v>
      </c>
      <c r="AB632" t="s">
        <v>162</v>
      </c>
      <c r="AC632" t="s">
        <v>550</v>
      </c>
      <c r="AD632" t="s">
        <v>156</v>
      </c>
      <c r="AE632" t="s">
        <v>120</v>
      </c>
      <c r="AF632" t="s">
        <v>741</v>
      </c>
    </row>
    <row r="633" spans="1:32">
      <c r="A633" t="s">
        <v>1335</v>
      </c>
      <c r="B633" s="37">
        <v>39945</v>
      </c>
      <c r="C633" s="38">
        <v>39945</v>
      </c>
      <c r="D633" s="38">
        <v>39944</v>
      </c>
      <c r="E633" s="38">
        <v>39934</v>
      </c>
      <c r="F633" s="39">
        <v>40</v>
      </c>
      <c r="G633" t="s">
        <v>21</v>
      </c>
      <c r="H633" t="s">
        <v>21</v>
      </c>
      <c r="I633">
        <v>0</v>
      </c>
      <c r="J633">
        <v>0</v>
      </c>
      <c r="K633">
        <v>0</v>
      </c>
      <c r="L633">
        <v>1</v>
      </c>
      <c r="M633">
        <v>0</v>
      </c>
      <c r="N633" t="s">
        <v>195</v>
      </c>
      <c r="O633" t="s">
        <v>213</v>
      </c>
      <c r="P633" t="s">
        <v>206</v>
      </c>
      <c r="Q633" t="s">
        <v>170</v>
      </c>
      <c r="R633" t="s">
        <v>155</v>
      </c>
      <c r="T633" t="s">
        <v>134</v>
      </c>
      <c r="U633">
        <v>1</v>
      </c>
      <c r="W633" t="s">
        <v>134</v>
      </c>
      <c r="X633">
        <v>1</v>
      </c>
      <c r="Y633" t="s">
        <v>139</v>
      </c>
      <c r="Z633" t="s">
        <v>179</v>
      </c>
      <c r="AA633" t="s">
        <v>151</v>
      </c>
      <c r="AB633" t="s">
        <v>163</v>
      </c>
      <c r="AC633" t="s">
        <v>415</v>
      </c>
      <c r="AD633" t="s">
        <v>155</v>
      </c>
      <c r="AE633" t="s">
        <v>125</v>
      </c>
      <c r="AF633" t="s">
        <v>21</v>
      </c>
    </row>
    <row r="634" spans="1:32">
      <c r="A634" t="s">
        <v>1336</v>
      </c>
      <c r="B634" s="37">
        <v>39980</v>
      </c>
      <c r="C634" s="38">
        <v>39980</v>
      </c>
      <c r="D634" s="38">
        <v>39979</v>
      </c>
      <c r="E634" s="38">
        <v>39965</v>
      </c>
      <c r="F634" s="39">
        <v>75</v>
      </c>
      <c r="G634" t="s">
        <v>21</v>
      </c>
      <c r="H634" t="s">
        <v>21</v>
      </c>
      <c r="I634">
        <v>0</v>
      </c>
      <c r="J634">
        <v>0</v>
      </c>
      <c r="K634">
        <v>0</v>
      </c>
      <c r="L634">
        <v>1</v>
      </c>
      <c r="M634">
        <v>0</v>
      </c>
      <c r="N634" t="s">
        <v>193</v>
      </c>
      <c r="O634" t="s">
        <v>213</v>
      </c>
      <c r="P634" t="s">
        <v>204</v>
      </c>
      <c r="Q634" t="s">
        <v>170</v>
      </c>
      <c r="R634" t="s">
        <v>155</v>
      </c>
      <c r="T634" t="s">
        <v>134</v>
      </c>
      <c r="U634">
        <v>1</v>
      </c>
      <c r="W634" t="s">
        <v>134</v>
      </c>
      <c r="X634">
        <v>1</v>
      </c>
      <c r="Y634" t="s">
        <v>140</v>
      </c>
      <c r="Z634" t="s">
        <v>184</v>
      </c>
      <c r="AA634" t="s">
        <v>150</v>
      </c>
      <c r="AB634" t="s">
        <v>163</v>
      </c>
      <c r="AC634" t="s">
        <v>21</v>
      </c>
      <c r="AD634" t="s">
        <v>155</v>
      </c>
      <c r="AE634" t="s">
        <v>467</v>
      </c>
      <c r="AF634" t="s">
        <v>21</v>
      </c>
    </row>
    <row r="635" spans="1:32">
      <c r="A635" t="s">
        <v>1337</v>
      </c>
      <c r="B635" s="37">
        <v>40031</v>
      </c>
      <c r="C635" s="38">
        <v>40031</v>
      </c>
      <c r="D635" s="38">
        <v>40028</v>
      </c>
      <c r="E635" s="38">
        <v>40026</v>
      </c>
      <c r="F635" s="39">
        <v>126</v>
      </c>
      <c r="G635" t="s">
        <v>496</v>
      </c>
      <c r="H635" t="s">
        <v>13</v>
      </c>
      <c r="I635">
        <v>0</v>
      </c>
      <c r="J635">
        <v>1</v>
      </c>
      <c r="K635">
        <v>0</v>
      </c>
      <c r="L635">
        <v>0</v>
      </c>
      <c r="M635">
        <v>1</v>
      </c>
      <c r="N635" t="s">
        <v>193</v>
      </c>
      <c r="O635" t="s">
        <v>213</v>
      </c>
      <c r="P635" t="s">
        <v>204</v>
      </c>
      <c r="Q635" t="s">
        <v>170</v>
      </c>
      <c r="R635" t="s">
        <v>155</v>
      </c>
      <c r="S635">
        <v>5</v>
      </c>
      <c r="T635" t="s">
        <v>135</v>
      </c>
      <c r="U635">
        <v>0</v>
      </c>
      <c r="V635">
        <v>5</v>
      </c>
      <c r="W635" t="s">
        <v>135</v>
      </c>
      <c r="X635">
        <v>0</v>
      </c>
      <c r="Y635" t="s">
        <v>140</v>
      </c>
      <c r="Z635" t="s">
        <v>184</v>
      </c>
      <c r="AA635" t="s">
        <v>148</v>
      </c>
      <c r="AB635" t="s">
        <v>163</v>
      </c>
      <c r="AC635" t="s">
        <v>173</v>
      </c>
      <c r="AD635" t="s">
        <v>155</v>
      </c>
      <c r="AE635" t="s">
        <v>128</v>
      </c>
      <c r="AF635" t="s">
        <v>21</v>
      </c>
    </row>
    <row r="636" spans="1:32">
      <c r="A636" t="s">
        <v>1338</v>
      </c>
      <c r="B636" s="37">
        <v>39967</v>
      </c>
      <c r="C636" s="38">
        <v>39967</v>
      </c>
      <c r="D636" s="38">
        <v>39965</v>
      </c>
      <c r="E636" s="38">
        <v>39965</v>
      </c>
      <c r="F636" s="39">
        <v>62</v>
      </c>
      <c r="G636" t="s">
        <v>21</v>
      </c>
      <c r="H636" t="s">
        <v>21</v>
      </c>
      <c r="I636">
        <v>0</v>
      </c>
      <c r="J636">
        <v>0</v>
      </c>
      <c r="K636">
        <v>0</v>
      </c>
      <c r="L636">
        <v>1</v>
      </c>
      <c r="M636">
        <v>0</v>
      </c>
      <c r="N636" t="s">
        <v>193</v>
      </c>
      <c r="O636" t="s">
        <v>213</v>
      </c>
      <c r="P636" t="s">
        <v>204</v>
      </c>
      <c r="Q636" t="s">
        <v>170</v>
      </c>
      <c r="R636" t="s">
        <v>155</v>
      </c>
      <c r="T636" t="s">
        <v>134</v>
      </c>
      <c r="U636">
        <v>1</v>
      </c>
      <c r="W636" t="s">
        <v>134</v>
      </c>
      <c r="X636">
        <v>1</v>
      </c>
      <c r="Y636" t="s">
        <v>140</v>
      </c>
      <c r="Z636" t="s">
        <v>409</v>
      </c>
      <c r="AA636" t="s">
        <v>145</v>
      </c>
      <c r="AB636" t="s">
        <v>162</v>
      </c>
      <c r="AC636" t="s">
        <v>174</v>
      </c>
      <c r="AD636" t="s">
        <v>157</v>
      </c>
      <c r="AE636" t="s">
        <v>130</v>
      </c>
      <c r="AF636" t="s">
        <v>437</v>
      </c>
    </row>
    <row r="637" spans="1:32">
      <c r="A637" t="s">
        <v>1339</v>
      </c>
      <c r="B637" s="37">
        <v>39975</v>
      </c>
      <c r="C637" s="38">
        <v>39975</v>
      </c>
      <c r="D637" s="38">
        <v>39972</v>
      </c>
      <c r="E637" s="38">
        <v>39965</v>
      </c>
      <c r="F637" s="39">
        <v>70</v>
      </c>
      <c r="G637" t="s">
        <v>21</v>
      </c>
      <c r="H637" t="s">
        <v>21</v>
      </c>
      <c r="I637">
        <v>0</v>
      </c>
      <c r="J637">
        <v>0</v>
      </c>
      <c r="K637">
        <v>0</v>
      </c>
      <c r="L637">
        <v>1</v>
      </c>
      <c r="M637">
        <v>0</v>
      </c>
      <c r="N637" t="s">
        <v>193</v>
      </c>
      <c r="O637" t="s">
        <v>213</v>
      </c>
      <c r="P637" t="s">
        <v>204</v>
      </c>
      <c r="Q637" t="s">
        <v>170</v>
      </c>
      <c r="R637" t="s">
        <v>155</v>
      </c>
      <c r="T637" t="s">
        <v>134</v>
      </c>
      <c r="U637">
        <v>1</v>
      </c>
      <c r="W637" t="s">
        <v>134</v>
      </c>
      <c r="X637">
        <v>1</v>
      </c>
      <c r="Y637" t="s">
        <v>140</v>
      </c>
      <c r="Z637" t="s">
        <v>188</v>
      </c>
      <c r="AA637" t="s">
        <v>150</v>
      </c>
      <c r="AB637" t="s">
        <v>162</v>
      </c>
      <c r="AC637" t="s">
        <v>174</v>
      </c>
      <c r="AD637" t="s">
        <v>156</v>
      </c>
      <c r="AE637" t="s">
        <v>120</v>
      </c>
      <c r="AF637" t="s">
        <v>794</v>
      </c>
    </row>
    <row r="638" spans="1:32">
      <c r="A638" t="s">
        <v>1340</v>
      </c>
      <c r="B638" s="37">
        <v>39958</v>
      </c>
      <c r="C638" s="38">
        <v>39958</v>
      </c>
      <c r="D638" s="38">
        <v>39958</v>
      </c>
      <c r="E638" s="38">
        <v>39934</v>
      </c>
      <c r="F638" s="39">
        <v>53</v>
      </c>
      <c r="G638" t="s">
        <v>21</v>
      </c>
      <c r="H638" t="s">
        <v>21</v>
      </c>
      <c r="I638">
        <v>0</v>
      </c>
      <c r="J638">
        <v>0</v>
      </c>
      <c r="K638">
        <v>0</v>
      </c>
      <c r="L638">
        <v>1</v>
      </c>
      <c r="M638">
        <v>0</v>
      </c>
      <c r="N638" t="s">
        <v>195</v>
      </c>
      <c r="O638" t="s">
        <v>213</v>
      </c>
      <c r="P638" t="s">
        <v>206</v>
      </c>
      <c r="Q638" t="s">
        <v>170</v>
      </c>
      <c r="R638" t="s">
        <v>155</v>
      </c>
      <c r="T638" t="s">
        <v>134</v>
      </c>
      <c r="U638">
        <v>1</v>
      </c>
      <c r="W638" t="s">
        <v>134</v>
      </c>
      <c r="X638">
        <v>1</v>
      </c>
      <c r="Y638" t="s">
        <v>139</v>
      </c>
      <c r="Z638" t="s">
        <v>188</v>
      </c>
      <c r="AA638" t="s">
        <v>150</v>
      </c>
      <c r="AB638" t="s">
        <v>162</v>
      </c>
      <c r="AC638" t="s">
        <v>174</v>
      </c>
      <c r="AD638" t="s">
        <v>157</v>
      </c>
      <c r="AE638" t="s">
        <v>130</v>
      </c>
      <c r="AF638" t="s">
        <v>437</v>
      </c>
    </row>
    <row r="639" spans="1:32">
      <c r="A639" t="s">
        <v>1341</v>
      </c>
      <c r="B639" s="37">
        <v>40021</v>
      </c>
      <c r="C639" s="38">
        <v>40021</v>
      </c>
      <c r="D639" s="38">
        <v>40021</v>
      </c>
      <c r="E639" s="38">
        <v>39995</v>
      </c>
      <c r="F639" s="39">
        <v>116</v>
      </c>
      <c r="G639" t="s">
        <v>21</v>
      </c>
      <c r="H639" t="s">
        <v>21</v>
      </c>
      <c r="I639">
        <v>0</v>
      </c>
      <c r="J639">
        <v>0</v>
      </c>
      <c r="K639">
        <v>0</v>
      </c>
      <c r="L639">
        <v>1</v>
      </c>
      <c r="M639">
        <v>0</v>
      </c>
      <c r="N639" t="s">
        <v>193</v>
      </c>
      <c r="O639" t="s">
        <v>213</v>
      </c>
      <c r="P639" t="s">
        <v>204</v>
      </c>
      <c r="Q639" t="s">
        <v>170</v>
      </c>
      <c r="R639" t="s">
        <v>155</v>
      </c>
      <c r="S639">
        <v>5</v>
      </c>
      <c r="T639" t="s">
        <v>135</v>
      </c>
      <c r="U639">
        <v>0</v>
      </c>
      <c r="V639">
        <v>5</v>
      </c>
      <c r="W639" t="s">
        <v>135</v>
      </c>
      <c r="X639">
        <v>0</v>
      </c>
      <c r="Y639" t="s">
        <v>140</v>
      </c>
      <c r="Z639" t="s">
        <v>603</v>
      </c>
      <c r="AA639" t="s">
        <v>142</v>
      </c>
      <c r="AB639" t="s">
        <v>162</v>
      </c>
      <c r="AC639" t="s">
        <v>21</v>
      </c>
      <c r="AD639" t="s">
        <v>155</v>
      </c>
      <c r="AE639" t="s">
        <v>130</v>
      </c>
      <c r="AF639" t="s">
        <v>21</v>
      </c>
    </row>
    <row r="640" spans="1:32">
      <c r="A640" t="s">
        <v>1342</v>
      </c>
      <c r="B640" s="37">
        <v>40083</v>
      </c>
      <c r="C640" s="38">
        <v>40083</v>
      </c>
      <c r="D640" s="38">
        <v>40077</v>
      </c>
      <c r="E640" s="38">
        <v>40057</v>
      </c>
      <c r="F640" s="39">
        <v>178</v>
      </c>
      <c r="G640" t="s">
        <v>21</v>
      </c>
      <c r="H640" t="s">
        <v>21</v>
      </c>
      <c r="I640">
        <v>0</v>
      </c>
      <c r="J640">
        <v>0</v>
      </c>
      <c r="K640">
        <v>0</v>
      </c>
      <c r="L640">
        <v>1</v>
      </c>
      <c r="M640">
        <v>0</v>
      </c>
      <c r="N640" t="s">
        <v>196</v>
      </c>
      <c r="O640" t="s">
        <v>213</v>
      </c>
      <c r="P640" t="s">
        <v>207</v>
      </c>
      <c r="Q640" t="s">
        <v>170</v>
      </c>
      <c r="R640" t="s">
        <v>155</v>
      </c>
      <c r="S640">
        <v>5</v>
      </c>
      <c r="T640" t="s">
        <v>135</v>
      </c>
      <c r="U640">
        <v>0</v>
      </c>
      <c r="V640">
        <v>5</v>
      </c>
      <c r="W640" t="s">
        <v>135</v>
      </c>
      <c r="X640">
        <v>0</v>
      </c>
      <c r="Y640" t="s">
        <v>139</v>
      </c>
      <c r="Z640" t="s">
        <v>183</v>
      </c>
      <c r="AA640" t="s">
        <v>144</v>
      </c>
      <c r="AB640" t="s">
        <v>162</v>
      </c>
      <c r="AC640" t="s">
        <v>174</v>
      </c>
      <c r="AD640" t="s">
        <v>156</v>
      </c>
      <c r="AE640" t="s">
        <v>120</v>
      </c>
      <c r="AF640" t="s">
        <v>741</v>
      </c>
    </row>
    <row r="641" spans="1:32">
      <c r="A641" t="s">
        <v>1343</v>
      </c>
      <c r="B641" s="37">
        <v>40014</v>
      </c>
      <c r="C641" s="38">
        <v>40014</v>
      </c>
      <c r="D641" s="38">
        <v>40014</v>
      </c>
      <c r="E641" s="38">
        <v>39995</v>
      </c>
      <c r="F641" s="39">
        <v>109</v>
      </c>
      <c r="G641" t="s">
        <v>21</v>
      </c>
      <c r="H641" t="s">
        <v>21</v>
      </c>
      <c r="I641">
        <v>0</v>
      </c>
      <c r="J641">
        <v>0</v>
      </c>
      <c r="K641">
        <v>0</v>
      </c>
      <c r="L641">
        <v>1</v>
      </c>
      <c r="M641">
        <v>0</v>
      </c>
      <c r="N641" t="s">
        <v>193</v>
      </c>
      <c r="O641" t="s">
        <v>213</v>
      </c>
      <c r="P641" t="s">
        <v>204</v>
      </c>
      <c r="Q641" t="s">
        <v>170</v>
      </c>
      <c r="R641" t="s">
        <v>155</v>
      </c>
      <c r="S641">
        <v>5</v>
      </c>
      <c r="T641" t="s">
        <v>135</v>
      </c>
      <c r="U641">
        <v>0</v>
      </c>
      <c r="V641">
        <v>5</v>
      </c>
      <c r="W641" t="s">
        <v>135</v>
      </c>
      <c r="X641">
        <v>0</v>
      </c>
      <c r="Y641" t="s">
        <v>140</v>
      </c>
      <c r="Z641" t="s">
        <v>181</v>
      </c>
      <c r="AA641" t="s">
        <v>145</v>
      </c>
      <c r="AB641" t="s">
        <v>163</v>
      </c>
      <c r="AC641" t="s">
        <v>21</v>
      </c>
      <c r="AD641" t="s">
        <v>155</v>
      </c>
      <c r="AE641" t="s">
        <v>510</v>
      </c>
      <c r="AF641" t="s">
        <v>21</v>
      </c>
    </row>
    <row r="642" spans="1:32">
      <c r="A642" t="s">
        <v>1344</v>
      </c>
      <c r="B642" s="37">
        <v>39962</v>
      </c>
      <c r="C642" s="38">
        <v>39962</v>
      </c>
      <c r="D642" s="38">
        <v>39958</v>
      </c>
      <c r="E642" s="38">
        <v>39934</v>
      </c>
      <c r="F642" s="39">
        <v>57</v>
      </c>
      <c r="G642" t="s">
        <v>21</v>
      </c>
      <c r="H642" t="s">
        <v>21</v>
      </c>
      <c r="I642">
        <v>0</v>
      </c>
      <c r="J642">
        <v>0</v>
      </c>
      <c r="K642">
        <v>0</v>
      </c>
      <c r="L642">
        <v>1</v>
      </c>
      <c r="M642">
        <v>0</v>
      </c>
      <c r="N642" t="s">
        <v>195</v>
      </c>
      <c r="O642" t="s">
        <v>213</v>
      </c>
      <c r="P642" t="s">
        <v>206</v>
      </c>
      <c r="Q642" t="s">
        <v>170</v>
      </c>
      <c r="R642" t="s">
        <v>155</v>
      </c>
      <c r="T642" t="s">
        <v>134</v>
      </c>
      <c r="U642">
        <v>1</v>
      </c>
      <c r="W642" t="s">
        <v>134</v>
      </c>
      <c r="X642">
        <v>1</v>
      </c>
      <c r="Y642" t="s">
        <v>139</v>
      </c>
      <c r="Z642" t="s">
        <v>179</v>
      </c>
      <c r="AA642" t="s">
        <v>149</v>
      </c>
      <c r="AB642" t="s">
        <v>162</v>
      </c>
      <c r="AC642" t="s">
        <v>21</v>
      </c>
      <c r="AD642" t="s">
        <v>156</v>
      </c>
      <c r="AE642" t="s">
        <v>120</v>
      </c>
      <c r="AF642" t="s">
        <v>715</v>
      </c>
    </row>
    <row r="643" spans="1:32">
      <c r="A643" t="s">
        <v>1345</v>
      </c>
      <c r="B643" s="37">
        <v>39979</v>
      </c>
      <c r="C643" s="38">
        <v>39979</v>
      </c>
      <c r="D643" s="38">
        <v>39979</v>
      </c>
      <c r="E643" s="38">
        <v>39965</v>
      </c>
      <c r="F643" s="39">
        <v>74</v>
      </c>
      <c r="G643" t="s">
        <v>383</v>
      </c>
      <c r="H643" t="s">
        <v>17</v>
      </c>
      <c r="I643">
        <v>0</v>
      </c>
      <c r="J643">
        <v>0</v>
      </c>
      <c r="K643">
        <v>1</v>
      </c>
      <c r="L643">
        <v>0</v>
      </c>
      <c r="M643">
        <v>0</v>
      </c>
      <c r="N643" t="s">
        <v>193</v>
      </c>
      <c r="O643" t="s">
        <v>213</v>
      </c>
      <c r="P643" t="s">
        <v>204</v>
      </c>
      <c r="Q643" t="s">
        <v>170</v>
      </c>
      <c r="R643" t="s">
        <v>155</v>
      </c>
      <c r="T643" t="s">
        <v>134</v>
      </c>
      <c r="U643">
        <v>1</v>
      </c>
      <c r="W643" t="s">
        <v>134</v>
      </c>
      <c r="X643">
        <v>1</v>
      </c>
      <c r="Y643" t="s">
        <v>140</v>
      </c>
      <c r="Z643" t="s">
        <v>179</v>
      </c>
      <c r="AA643" t="s">
        <v>142</v>
      </c>
      <c r="AB643" t="s">
        <v>163</v>
      </c>
      <c r="AC643" t="s">
        <v>1042</v>
      </c>
      <c r="AD643" t="s">
        <v>155</v>
      </c>
      <c r="AE643" t="s">
        <v>467</v>
      </c>
      <c r="AF643" t="s">
        <v>21</v>
      </c>
    </row>
    <row r="644" spans="1:32">
      <c r="A644" t="s">
        <v>1346</v>
      </c>
      <c r="B644" s="37">
        <v>39973</v>
      </c>
      <c r="C644" s="38">
        <v>39973</v>
      </c>
      <c r="D644" s="38">
        <v>39972</v>
      </c>
      <c r="E644" s="38">
        <v>39965</v>
      </c>
      <c r="F644" s="39">
        <v>68</v>
      </c>
      <c r="G644" t="s">
        <v>383</v>
      </c>
      <c r="H644" t="s">
        <v>17</v>
      </c>
      <c r="I644">
        <v>0</v>
      </c>
      <c r="J644">
        <v>0</v>
      </c>
      <c r="K644">
        <v>1</v>
      </c>
      <c r="L644">
        <v>0</v>
      </c>
      <c r="M644">
        <v>0</v>
      </c>
      <c r="N644" t="s">
        <v>193</v>
      </c>
      <c r="O644" t="s">
        <v>213</v>
      </c>
      <c r="P644" t="s">
        <v>204</v>
      </c>
      <c r="Q644" t="s">
        <v>170</v>
      </c>
      <c r="R644" t="s">
        <v>155</v>
      </c>
      <c r="T644" t="s">
        <v>134</v>
      </c>
      <c r="U644">
        <v>1</v>
      </c>
      <c r="W644" t="s">
        <v>134</v>
      </c>
      <c r="X644">
        <v>1</v>
      </c>
      <c r="Y644" t="s">
        <v>140</v>
      </c>
      <c r="Z644" t="s">
        <v>179</v>
      </c>
      <c r="AA644" t="s">
        <v>142</v>
      </c>
      <c r="AB644" t="s">
        <v>162</v>
      </c>
      <c r="AC644" t="s">
        <v>174</v>
      </c>
      <c r="AD644" t="s">
        <v>157</v>
      </c>
      <c r="AE644" t="s">
        <v>130</v>
      </c>
      <c r="AF644" t="s">
        <v>437</v>
      </c>
    </row>
    <row r="645" spans="1:32">
      <c r="A645" t="s">
        <v>1347</v>
      </c>
      <c r="B645" s="37">
        <v>40049</v>
      </c>
      <c r="C645" s="38">
        <v>40049</v>
      </c>
      <c r="D645" s="38">
        <v>40049</v>
      </c>
      <c r="E645" s="38">
        <v>40026</v>
      </c>
      <c r="F645" s="39">
        <v>144</v>
      </c>
      <c r="G645" t="s">
        <v>21</v>
      </c>
      <c r="H645" t="s">
        <v>21</v>
      </c>
      <c r="I645">
        <v>0</v>
      </c>
      <c r="J645">
        <v>0</v>
      </c>
      <c r="K645">
        <v>0</v>
      </c>
      <c r="L645">
        <v>1</v>
      </c>
      <c r="M645">
        <v>0</v>
      </c>
      <c r="N645" t="s">
        <v>193</v>
      </c>
      <c r="O645" t="s">
        <v>213</v>
      </c>
      <c r="P645" t="s">
        <v>204</v>
      </c>
      <c r="Q645" t="s">
        <v>170</v>
      </c>
      <c r="R645" t="s">
        <v>155</v>
      </c>
      <c r="S645">
        <v>5</v>
      </c>
      <c r="T645" t="s">
        <v>135</v>
      </c>
      <c r="U645">
        <v>0</v>
      </c>
      <c r="V645">
        <v>2</v>
      </c>
      <c r="W645" t="s">
        <v>136</v>
      </c>
      <c r="X645">
        <v>0</v>
      </c>
      <c r="Y645" t="s">
        <v>140</v>
      </c>
      <c r="Z645" t="s">
        <v>179</v>
      </c>
      <c r="AA645" t="s">
        <v>143</v>
      </c>
      <c r="AB645" t="s">
        <v>162</v>
      </c>
      <c r="AC645" t="s">
        <v>174</v>
      </c>
      <c r="AD645" t="s">
        <v>157</v>
      </c>
      <c r="AE645" t="s">
        <v>434</v>
      </c>
      <c r="AF645" t="s">
        <v>449</v>
      </c>
    </row>
    <row r="646" spans="1:32">
      <c r="A646" t="s">
        <v>1348</v>
      </c>
      <c r="B646" s="37">
        <v>39978</v>
      </c>
      <c r="C646" s="38">
        <v>39978</v>
      </c>
      <c r="D646" s="38">
        <v>39972</v>
      </c>
      <c r="E646" s="38">
        <v>39965</v>
      </c>
      <c r="F646" s="39">
        <v>73</v>
      </c>
      <c r="G646" t="s">
        <v>21</v>
      </c>
      <c r="H646" t="s">
        <v>21</v>
      </c>
      <c r="I646">
        <v>0</v>
      </c>
      <c r="J646">
        <v>0</v>
      </c>
      <c r="K646">
        <v>0</v>
      </c>
      <c r="L646">
        <v>1</v>
      </c>
      <c r="M646">
        <v>0</v>
      </c>
      <c r="N646" t="s">
        <v>193</v>
      </c>
      <c r="O646" t="s">
        <v>213</v>
      </c>
      <c r="P646" t="s">
        <v>204</v>
      </c>
      <c r="Q646" t="s">
        <v>170</v>
      </c>
      <c r="R646" t="s">
        <v>155</v>
      </c>
      <c r="T646" t="s">
        <v>134</v>
      </c>
      <c r="U646">
        <v>1</v>
      </c>
      <c r="W646" t="s">
        <v>134</v>
      </c>
      <c r="X646">
        <v>1</v>
      </c>
      <c r="Y646" t="s">
        <v>140</v>
      </c>
      <c r="Z646" t="s">
        <v>179</v>
      </c>
      <c r="AA646" t="s">
        <v>148</v>
      </c>
      <c r="AB646" t="s">
        <v>163</v>
      </c>
      <c r="AC646" t="s">
        <v>1228</v>
      </c>
      <c r="AD646" t="s">
        <v>155</v>
      </c>
      <c r="AE646" t="s">
        <v>125</v>
      </c>
      <c r="AF646" t="s">
        <v>21</v>
      </c>
    </row>
    <row r="647" spans="1:32">
      <c r="A647" t="s">
        <v>1349</v>
      </c>
      <c r="B647" s="37">
        <v>39972</v>
      </c>
      <c r="C647" s="38">
        <v>39972</v>
      </c>
      <c r="D647" s="38">
        <v>39972</v>
      </c>
      <c r="E647" s="38">
        <v>39965</v>
      </c>
      <c r="F647" s="39">
        <v>67</v>
      </c>
      <c r="G647" t="s">
        <v>21</v>
      </c>
      <c r="H647" t="s">
        <v>21</v>
      </c>
      <c r="I647">
        <v>0</v>
      </c>
      <c r="J647">
        <v>0</v>
      </c>
      <c r="K647">
        <v>0</v>
      </c>
      <c r="L647">
        <v>1</v>
      </c>
      <c r="M647">
        <v>0</v>
      </c>
      <c r="N647" t="s">
        <v>193</v>
      </c>
      <c r="O647" t="s">
        <v>213</v>
      </c>
      <c r="P647" t="s">
        <v>204</v>
      </c>
      <c r="Q647" t="s">
        <v>170</v>
      </c>
      <c r="R647" t="s">
        <v>155</v>
      </c>
      <c r="T647" t="s">
        <v>134</v>
      </c>
      <c r="U647">
        <v>1</v>
      </c>
      <c r="W647" t="s">
        <v>134</v>
      </c>
      <c r="X647">
        <v>1</v>
      </c>
      <c r="Y647" t="s">
        <v>140</v>
      </c>
      <c r="Z647" t="s">
        <v>191</v>
      </c>
      <c r="AA647" t="s">
        <v>145</v>
      </c>
      <c r="AB647" t="s">
        <v>162</v>
      </c>
      <c r="AC647" t="s">
        <v>176</v>
      </c>
      <c r="AD647" t="s">
        <v>155</v>
      </c>
      <c r="AE647" t="s">
        <v>129</v>
      </c>
      <c r="AF647" t="s">
        <v>21</v>
      </c>
    </row>
    <row r="648" spans="1:32">
      <c r="A648" t="s">
        <v>1350</v>
      </c>
      <c r="B648" s="37">
        <v>39958</v>
      </c>
      <c r="C648" s="38">
        <v>39958</v>
      </c>
      <c r="D648" s="38">
        <v>39958</v>
      </c>
      <c r="E648" s="38">
        <v>39934</v>
      </c>
      <c r="F648" s="39">
        <v>53</v>
      </c>
      <c r="G648" t="s">
        <v>21</v>
      </c>
      <c r="H648" t="s">
        <v>21</v>
      </c>
      <c r="I648">
        <v>0</v>
      </c>
      <c r="J648">
        <v>0</v>
      </c>
      <c r="K648">
        <v>0</v>
      </c>
      <c r="L648">
        <v>1</v>
      </c>
      <c r="M648">
        <v>0</v>
      </c>
      <c r="N648" t="s">
        <v>193</v>
      </c>
      <c r="O648" t="s">
        <v>213</v>
      </c>
      <c r="P648" t="s">
        <v>204</v>
      </c>
      <c r="Q648" t="s">
        <v>170</v>
      </c>
      <c r="R648" t="s">
        <v>155</v>
      </c>
      <c r="T648" t="s">
        <v>134</v>
      </c>
      <c r="U648">
        <v>1</v>
      </c>
      <c r="W648" t="s">
        <v>134</v>
      </c>
      <c r="X648">
        <v>1</v>
      </c>
      <c r="Y648" t="s">
        <v>140</v>
      </c>
      <c r="Z648" t="s">
        <v>191</v>
      </c>
      <c r="AA648" t="s">
        <v>146</v>
      </c>
      <c r="AB648" t="s">
        <v>162</v>
      </c>
      <c r="AC648" t="s">
        <v>175</v>
      </c>
      <c r="AD648" t="s">
        <v>155</v>
      </c>
      <c r="AE648" t="s">
        <v>129</v>
      </c>
      <c r="AF648" t="s">
        <v>21</v>
      </c>
    </row>
    <row r="649" spans="1:32">
      <c r="A649" t="s">
        <v>1351</v>
      </c>
      <c r="B649" s="37">
        <v>39914</v>
      </c>
      <c r="C649" s="38">
        <v>39914</v>
      </c>
      <c r="D649" s="38">
        <v>39909</v>
      </c>
      <c r="E649" s="38">
        <v>39904</v>
      </c>
      <c r="F649" s="39">
        <v>9</v>
      </c>
      <c r="G649" t="s">
        <v>380</v>
      </c>
      <c r="H649" t="s">
        <v>17</v>
      </c>
      <c r="I649">
        <v>0</v>
      </c>
      <c r="J649">
        <v>0</v>
      </c>
      <c r="K649">
        <v>1</v>
      </c>
      <c r="L649">
        <v>0</v>
      </c>
      <c r="M649">
        <v>0</v>
      </c>
      <c r="N649" t="s">
        <v>202</v>
      </c>
      <c r="O649" t="s">
        <v>213</v>
      </c>
      <c r="P649" t="s">
        <v>211</v>
      </c>
      <c r="Q649" t="s">
        <v>170</v>
      </c>
      <c r="R649" t="s">
        <v>155</v>
      </c>
      <c r="T649" t="s">
        <v>134</v>
      </c>
      <c r="U649">
        <v>1</v>
      </c>
      <c r="W649" t="s">
        <v>134</v>
      </c>
      <c r="X649">
        <v>1</v>
      </c>
      <c r="Y649" t="s">
        <v>139</v>
      </c>
      <c r="Z649" t="s">
        <v>603</v>
      </c>
      <c r="AA649" t="s">
        <v>142</v>
      </c>
      <c r="AB649" t="s">
        <v>163</v>
      </c>
      <c r="AC649" t="s">
        <v>173</v>
      </c>
      <c r="AD649" t="s">
        <v>161</v>
      </c>
      <c r="AE649" t="s">
        <v>420</v>
      </c>
      <c r="AF649" t="s">
        <v>21</v>
      </c>
    </row>
    <row r="650" spans="1:32">
      <c r="A650" t="s">
        <v>1352</v>
      </c>
      <c r="B650" s="37">
        <v>39938</v>
      </c>
      <c r="C650" s="38">
        <v>39938</v>
      </c>
      <c r="D650" s="38">
        <v>39937</v>
      </c>
      <c r="E650" s="38">
        <v>39934</v>
      </c>
      <c r="F650" s="39">
        <v>33</v>
      </c>
      <c r="G650" t="s">
        <v>21</v>
      </c>
      <c r="H650" t="s">
        <v>21</v>
      </c>
      <c r="I650">
        <v>0</v>
      </c>
      <c r="J650">
        <v>0</v>
      </c>
      <c r="K650">
        <v>0</v>
      </c>
      <c r="L650">
        <v>1</v>
      </c>
      <c r="M650">
        <v>0</v>
      </c>
      <c r="N650" t="s">
        <v>199</v>
      </c>
      <c r="O650" t="s">
        <v>213</v>
      </c>
      <c r="P650" t="s">
        <v>210</v>
      </c>
      <c r="Q650" t="s">
        <v>170</v>
      </c>
      <c r="R650" t="s">
        <v>155</v>
      </c>
      <c r="T650" t="s">
        <v>134</v>
      </c>
      <c r="U650">
        <v>1</v>
      </c>
      <c r="W650" t="s">
        <v>134</v>
      </c>
      <c r="X650">
        <v>1</v>
      </c>
      <c r="Y650" t="s">
        <v>139</v>
      </c>
      <c r="Z650" t="s">
        <v>178</v>
      </c>
      <c r="AA650" t="s">
        <v>142</v>
      </c>
      <c r="AB650" t="s">
        <v>162</v>
      </c>
      <c r="AC650" t="s">
        <v>175</v>
      </c>
      <c r="AD650" t="s">
        <v>155</v>
      </c>
      <c r="AE650" t="s">
        <v>439</v>
      </c>
      <c r="AF650" t="s">
        <v>21</v>
      </c>
    </row>
    <row r="651" spans="1:32">
      <c r="A651" t="s">
        <v>1353</v>
      </c>
      <c r="B651" s="37">
        <v>39937</v>
      </c>
      <c r="C651" s="38">
        <v>39937</v>
      </c>
      <c r="D651" s="38">
        <v>39937</v>
      </c>
      <c r="E651" s="38">
        <v>39934</v>
      </c>
      <c r="F651" s="39">
        <v>32</v>
      </c>
      <c r="G651" t="s">
        <v>9</v>
      </c>
      <c r="H651" t="s">
        <v>9</v>
      </c>
      <c r="I651">
        <v>1</v>
      </c>
      <c r="J651">
        <v>0</v>
      </c>
      <c r="K651">
        <v>0</v>
      </c>
      <c r="L651">
        <v>0</v>
      </c>
      <c r="M651">
        <v>1</v>
      </c>
      <c r="N651" t="s">
        <v>200</v>
      </c>
      <c r="O651" t="s">
        <v>214</v>
      </c>
      <c r="P651" t="s">
        <v>208</v>
      </c>
      <c r="Q651" t="s">
        <v>170</v>
      </c>
      <c r="R651" t="s">
        <v>155</v>
      </c>
      <c r="T651" t="s">
        <v>134</v>
      </c>
      <c r="U651">
        <v>1</v>
      </c>
      <c r="W651" t="s">
        <v>134</v>
      </c>
      <c r="X651">
        <v>1</v>
      </c>
      <c r="Y651" t="s">
        <v>139</v>
      </c>
      <c r="Z651" t="s">
        <v>178</v>
      </c>
      <c r="AA651" t="s">
        <v>151</v>
      </c>
      <c r="AB651" t="s">
        <v>162</v>
      </c>
      <c r="AC651" t="s">
        <v>174</v>
      </c>
      <c r="AD651" t="s">
        <v>156</v>
      </c>
      <c r="AE651" t="s">
        <v>120</v>
      </c>
      <c r="AF651" t="s">
        <v>1354</v>
      </c>
    </row>
    <row r="652" spans="1:32">
      <c r="A652" t="s">
        <v>1355</v>
      </c>
      <c r="B652" s="37">
        <v>39943</v>
      </c>
      <c r="C652" s="38">
        <v>39943</v>
      </c>
      <c r="D652" s="38">
        <v>39937</v>
      </c>
      <c r="E652" s="38">
        <v>39934</v>
      </c>
      <c r="F652" s="39">
        <v>38</v>
      </c>
      <c r="G652" t="s">
        <v>21</v>
      </c>
      <c r="H652" t="s">
        <v>21</v>
      </c>
      <c r="I652">
        <v>0</v>
      </c>
      <c r="J652">
        <v>0</v>
      </c>
      <c r="K652">
        <v>0</v>
      </c>
      <c r="L652">
        <v>1</v>
      </c>
      <c r="M652">
        <v>0</v>
      </c>
      <c r="N652" t="s">
        <v>194</v>
      </c>
      <c r="O652" t="s">
        <v>213</v>
      </c>
      <c r="P652" t="s">
        <v>205</v>
      </c>
      <c r="Q652" t="s">
        <v>170</v>
      </c>
      <c r="R652" t="s">
        <v>155</v>
      </c>
      <c r="T652" t="s">
        <v>134</v>
      </c>
      <c r="U652">
        <v>1</v>
      </c>
      <c r="W652" t="s">
        <v>134</v>
      </c>
      <c r="X652">
        <v>1</v>
      </c>
      <c r="Y652" t="s">
        <v>139</v>
      </c>
      <c r="Z652" t="s">
        <v>178</v>
      </c>
      <c r="AA652" t="s">
        <v>145</v>
      </c>
      <c r="AB652" t="s">
        <v>162</v>
      </c>
      <c r="AC652" t="s">
        <v>581</v>
      </c>
      <c r="AD652" t="s">
        <v>155</v>
      </c>
      <c r="AE652" t="s">
        <v>127</v>
      </c>
      <c r="AF652" t="s">
        <v>21</v>
      </c>
    </row>
    <row r="653" spans="1:32">
      <c r="A653" t="s">
        <v>1356</v>
      </c>
      <c r="B653" s="37">
        <v>40022</v>
      </c>
      <c r="C653" s="38">
        <v>40022</v>
      </c>
      <c r="D653" s="38">
        <v>40021</v>
      </c>
      <c r="E653" s="38">
        <v>39995</v>
      </c>
      <c r="F653" s="39">
        <v>117</v>
      </c>
      <c r="G653" t="s">
        <v>21</v>
      </c>
      <c r="H653" t="s">
        <v>21</v>
      </c>
      <c r="I653">
        <v>0</v>
      </c>
      <c r="J653">
        <v>0</v>
      </c>
      <c r="K653">
        <v>0</v>
      </c>
      <c r="L653">
        <v>1</v>
      </c>
      <c r="M653">
        <v>0</v>
      </c>
      <c r="N653" t="s">
        <v>195</v>
      </c>
      <c r="O653" t="s">
        <v>213</v>
      </c>
      <c r="P653" t="s">
        <v>206</v>
      </c>
      <c r="Q653" t="s">
        <v>170</v>
      </c>
      <c r="R653" t="s">
        <v>155</v>
      </c>
      <c r="S653">
        <v>5</v>
      </c>
      <c r="T653" t="s">
        <v>135</v>
      </c>
      <c r="U653">
        <v>0</v>
      </c>
      <c r="V653">
        <v>5</v>
      </c>
      <c r="W653" t="s">
        <v>135</v>
      </c>
      <c r="X653">
        <v>0</v>
      </c>
      <c r="Y653" t="s">
        <v>139</v>
      </c>
      <c r="Z653" t="s">
        <v>180</v>
      </c>
      <c r="AA653" t="s">
        <v>145</v>
      </c>
      <c r="AB653" t="s">
        <v>162</v>
      </c>
      <c r="AC653" t="s">
        <v>176</v>
      </c>
      <c r="AD653" t="s">
        <v>125</v>
      </c>
      <c r="AE653" t="s">
        <v>1357</v>
      </c>
      <c r="AF653" t="s">
        <v>1358</v>
      </c>
    </row>
    <row r="654" spans="1:32">
      <c r="A654" t="s">
        <v>1359</v>
      </c>
      <c r="B654" s="37">
        <v>40045</v>
      </c>
      <c r="C654" s="38">
        <v>40045</v>
      </c>
      <c r="D654" s="38">
        <v>40042</v>
      </c>
      <c r="E654" s="38">
        <v>40026</v>
      </c>
      <c r="F654" s="39">
        <v>140</v>
      </c>
      <c r="G654" t="s">
        <v>383</v>
      </c>
      <c r="H654" t="s">
        <v>17</v>
      </c>
      <c r="I654">
        <v>0</v>
      </c>
      <c r="J654">
        <v>0</v>
      </c>
      <c r="K654">
        <v>1</v>
      </c>
      <c r="L654">
        <v>0</v>
      </c>
      <c r="M654">
        <v>0</v>
      </c>
      <c r="N654" t="s">
        <v>193</v>
      </c>
      <c r="O654" t="s">
        <v>213</v>
      </c>
      <c r="P654" t="s">
        <v>204</v>
      </c>
      <c r="Q654" t="s">
        <v>170</v>
      </c>
      <c r="R654" t="s">
        <v>155</v>
      </c>
      <c r="S654">
        <v>5</v>
      </c>
      <c r="T654" t="s">
        <v>135</v>
      </c>
      <c r="U654">
        <v>0</v>
      </c>
      <c r="V654">
        <v>3</v>
      </c>
      <c r="W654" t="s">
        <v>137</v>
      </c>
      <c r="X654">
        <v>0</v>
      </c>
      <c r="Y654" t="s">
        <v>140</v>
      </c>
      <c r="Z654" t="s">
        <v>180</v>
      </c>
      <c r="AA654" t="s">
        <v>146</v>
      </c>
      <c r="AB654" t="s">
        <v>162</v>
      </c>
      <c r="AC654" t="s">
        <v>174</v>
      </c>
      <c r="AD654" t="s">
        <v>157</v>
      </c>
      <c r="AE654" t="s">
        <v>434</v>
      </c>
      <c r="AF654" t="s">
        <v>435</v>
      </c>
    </row>
    <row r="655" spans="1:32">
      <c r="A655" t="s">
        <v>1360</v>
      </c>
      <c r="B655" s="37">
        <v>39978</v>
      </c>
      <c r="C655" s="38">
        <v>39978</v>
      </c>
      <c r="D655" s="38">
        <v>39972</v>
      </c>
      <c r="E655" s="38">
        <v>39965</v>
      </c>
      <c r="F655" s="39">
        <v>73</v>
      </c>
      <c r="G655" t="s">
        <v>21</v>
      </c>
      <c r="H655" t="s">
        <v>21</v>
      </c>
      <c r="I655">
        <v>0</v>
      </c>
      <c r="J655">
        <v>0</v>
      </c>
      <c r="K655">
        <v>0</v>
      </c>
      <c r="L655">
        <v>1</v>
      </c>
      <c r="M655">
        <v>0</v>
      </c>
      <c r="N655" t="s">
        <v>193</v>
      </c>
      <c r="O655" t="s">
        <v>213</v>
      </c>
      <c r="P655" t="s">
        <v>204</v>
      </c>
      <c r="Q655" t="s">
        <v>170</v>
      </c>
      <c r="R655" t="s">
        <v>155</v>
      </c>
      <c r="T655" t="s">
        <v>134</v>
      </c>
      <c r="U655">
        <v>1</v>
      </c>
      <c r="W655" t="s">
        <v>134</v>
      </c>
      <c r="X655">
        <v>1</v>
      </c>
      <c r="Y655" t="s">
        <v>140</v>
      </c>
      <c r="Z655" t="s">
        <v>180</v>
      </c>
      <c r="AA655" t="s">
        <v>145</v>
      </c>
      <c r="AB655" t="s">
        <v>163</v>
      </c>
      <c r="AC655" t="s">
        <v>415</v>
      </c>
      <c r="AD655" t="s">
        <v>155</v>
      </c>
      <c r="AE655" t="s">
        <v>125</v>
      </c>
      <c r="AF655" t="s">
        <v>21</v>
      </c>
    </row>
    <row r="656" spans="1:32">
      <c r="A656" t="s">
        <v>1361</v>
      </c>
      <c r="B656" s="37">
        <v>40014</v>
      </c>
      <c r="C656" s="38">
        <v>40014</v>
      </c>
      <c r="D656" s="38">
        <v>40014</v>
      </c>
      <c r="E656" s="38">
        <v>39995</v>
      </c>
      <c r="F656" s="39">
        <v>109</v>
      </c>
      <c r="G656" t="s">
        <v>383</v>
      </c>
      <c r="H656" t="s">
        <v>17</v>
      </c>
      <c r="I656">
        <v>0</v>
      </c>
      <c r="J656">
        <v>0</v>
      </c>
      <c r="K656">
        <v>1</v>
      </c>
      <c r="L656">
        <v>0</v>
      </c>
      <c r="M656">
        <v>0</v>
      </c>
      <c r="N656" t="s">
        <v>193</v>
      </c>
      <c r="O656" t="s">
        <v>213</v>
      </c>
      <c r="P656" t="s">
        <v>204</v>
      </c>
      <c r="Q656" t="s">
        <v>170</v>
      </c>
      <c r="R656" t="s">
        <v>155</v>
      </c>
      <c r="S656">
        <v>5</v>
      </c>
      <c r="T656" t="s">
        <v>135</v>
      </c>
      <c r="U656">
        <v>0</v>
      </c>
      <c r="V656">
        <v>5</v>
      </c>
      <c r="W656" t="s">
        <v>135</v>
      </c>
      <c r="X656">
        <v>0</v>
      </c>
      <c r="Y656" t="s">
        <v>140</v>
      </c>
      <c r="Z656" t="s">
        <v>180</v>
      </c>
      <c r="AA656" t="s">
        <v>142</v>
      </c>
      <c r="AB656" t="s">
        <v>162</v>
      </c>
      <c r="AC656" t="s">
        <v>174</v>
      </c>
      <c r="AD656" t="s">
        <v>157</v>
      </c>
      <c r="AE656" t="s">
        <v>130</v>
      </c>
      <c r="AF656" t="s">
        <v>1362</v>
      </c>
    </row>
    <row r="657" spans="1:32">
      <c r="A657" t="s">
        <v>1363</v>
      </c>
      <c r="B657" s="37">
        <v>39961</v>
      </c>
      <c r="C657" s="38">
        <v>39961</v>
      </c>
      <c r="D657" s="38">
        <v>39958</v>
      </c>
      <c r="E657" s="38">
        <v>39934</v>
      </c>
      <c r="F657" s="39">
        <v>56</v>
      </c>
      <c r="G657" t="s">
        <v>21</v>
      </c>
      <c r="H657" t="s">
        <v>21</v>
      </c>
      <c r="I657">
        <v>0</v>
      </c>
      <c r="J657">
        <v>0</v>
      </c>
      <c r="K657">
        <v>0</v>
      </c>
      <c r="L657">
        <v>1</v>
      </c>
      <c r="M657">
        <v>0</v>
      </c>
      <c r="N657" t="s">
        <v>195</v>
      </c>
      <c r="O657" t="s">
        <v>213</v>
      </c>
      <c r="P657" t="s">
        <v>206</v>
      </c>
      <c r="Q657" t="s">
        <v>170</v>
      </c>
      <c r="R657" t="s">
        <v>155</v>
      </c>
      <c r="T657" t="s">
        <v>134</v>
      </c>
      <c r="U657">
        <v>1</v>
      </c>
      <c r="W657" t="s">
        <v>134</v>
      </c>
      <c r="X657">
        <v>1</v>
      </c>
      <c r="Y657" t="s">
        <v>139</v>
      </c>
      <c r="Z657" t="s">
        <v>180</v>
      </c>
      <c r="AA657" t="s">
        <v>143</v>
      </c>
      <c r="AB657" t="s">
        <v>163</v>
      </c>
      <c r="AC657" t="s">
        <v>173</v>
      </c>
      <c r="AD657" t="s">
        <v>161</v>
      </c>
      <c r="AE657" t="s">
        <v>1364</v>
      </c>
      <c r="AF657" t="s">
        <v>21</v>
      </c>
    </row>
    <row r="658" spans="1:32">
      <c r="A658" t="s">
        <v>1365</v>
      </c>
      <c r="B658" s="37">
        <v>39962</v>
      </c>
      <c r="C658" s="38">
        <v>39962</v>
      </c>
      <c r="D658" s="38">
        <v>39958</v>
      </c>
      <c r="E658" s="38">
        <v>39934</v>
      </c>
      <c r="F658" s="39">
        <v>57</v>
      </c>
      <c r="G658" t="s">
        <v>21</v>
      </c>
      <c r="H658" t="s">
        <v>21</v>
      </c>
      <c r="I658">
        <v>0</v>
      </c>
      <c r="J658">
        <v>0</v>
      </c>
      <c r="K658">
        <v>0</v>
      </c>
      <c r="L658">
        <v>1</v>
      </c>
      <c r="M658">
        <v>0</v>
      </c>
      <c r="N658" t="s">
        <v>195</v>
      </c>
      <c r="O658" t="s">
        <v>213</v>
      </c>
      <c r="P658" t="s">
        <v>206</v>
      </c>
      <c r="Q658" t="s">
        <v>170</v>
      </c>
      <c r="R658" t="s">
        <v>155</v>
      </c>
      <c r="T658" t="s">
        <v>134</v>
      </c>
      <c r="U658">
        <v>1</v>
      </c>
      <c r="W658" t="s">
        <v>134</v>
      </c>
      <c r="X658">
        <v>1</v>
      </c>
      <c r="Y658" t="s">
        <v>139</v>
      </c>
      <c r="Z658" t="s">
        <v>180</v>
      </c>
      <c r="AA658" t="s">
        <v>148</v>
      </c>
      <c r="AB658" t="s">
        <v>162</v>
      </c>
      <c r="AC658" t="s">
        <v>175</v>
      </c>
      <c r="AD658" t="s">
        <v>155</v>
      </c>
      <c r="AE658" t="s">
        <v>130</v>
      </c>
      <c r="AF658" t="s">
        <v>21</v>
      </c>
    </row>
    <row r="659" spans="1:32">
      <c r="A659" t="s">
        <v>1366</v>
      </c>
      <c r="B659" s="37">
        <v>39972</v>
      </c>
      <c r="C659" s="38">
        <v>39972</v>
      </c>
      <c r="D659" s="38">
        <v>39972</v>
      </c>
      <c r="E659" s="38">
        <v>39965</v>
      </c>
      <c r="F659" s="39">
        <v>67</v>
      </c>
      <c r="G659" t="s">
        <v>21</v>
      </c>
      <c r="H659" t="s">
        <v>21</v>
      </c>
      <c r="I659">
        <v>0</v>
      </c>
      <c r="J659">
        <v>0</v>
      </c>
      <c r="K659">
        <v>0</v>
      </c>
      <c r="L659">
        <v>1</v>
      </c>
      <c r="M659">
        <v>0</v>
      </c>
      <c r="N659" t="s">
        <v>195</v>
      </c>
      <c r="O659" t="s">
        <v>213</v>
      </c>
      <c r="P659" t="s">
        <v>206</v>
      </c>
      <c r="Q659" t="s">
        <v>170</v>
      </c>
      <c r="R659" t="s">
        <v>155</v>
      </c>
      <c r="T659" t="s">
        <v>134</v>
      </c>
      <c r="U659">
        <v>1</v>
      </c>
      <c r="W659" t="s">
        <v>134</v>
      </c>
      <c r="X659">
        <v>1</v>
      </c>
      <c r="Y659" t="s">
        <v>139</v>
      </c>
      <c r="Z659" t="s">
        <v>180</v>
      </c>
      <c r="AA659" t="s">
        <v>143</v>
      </c>
      <c r="AB659" t="s">
        <v>162</v>
      </c>
      <c r="AC659" t="s">
        <v>174</v>
      </c>
      <c r="AD659" t="s">
        <v>157</v>
      </c>
      <c r="AE659" t="s">
        <v>130</v>
      </c>
      <c r="AF659" t="s">
        <v>437</v>
      </c>
    </row>
    <row r="660" spans="1:32">
      <c r="A660" t="s">
        <v>1367</v>
      </c>
      <c r="B660" s="37">
        <v>40003</v>
      </c>
      <c r="C660" s="38">
        <v>40003</v>
      </c>
      <c r="D660" s="38">
        <v>40000</v>
      </c>
      <c r="E660" s="38">
        <v>39995</v>
      </c>
      <c r="F660" s="39">
        <v>98</v>
      </c>
      <c r="G660" t="s">
        <v>21</v>
      </c>
      <c r="H660" t="s">
        <v>21</v>
      </c>
      <c r="I660">
        <v>0</v>
      </c>
      <c r="J660">
        <v>0</v>
      </c>
      <c r="K660">
        <v>0</v>
      </c>
      <c r="L660">
        <v>1</v>
      </c>
      <c r="M660">
        <v>0</v>
      </c>
      <c r="N660" t="s">
        <v>196</v>
      </c>
      <c r="O660" t="s">
        <v>213</v>
      </c>
      <c r="P660" t="s">
        <v>207</v>
      </c>
      <c r="Q660" t="s">
        <v>170</v>
      </c>
      <c r="R660" t="s">
        <v>155</v>
      </c>
      <c r="T660" t="s">
        <v>134</v>
      </c>
      <c r="U660">
        <v>1</v>
      </c>
      <c r="V660">
        <v>2</v>
      </c>
      <c r="W660" t="s">
        <v>136</v>
      </c>
      <c r="X660">
        <v>0</v>
      </c>
      <c r="Y660" t="s">
        <v>139</v>
      </c>
      <c r="Z660" t="s">
        <v>180</v>
      </c>
      <c r="AA660" t="s">
        <v>144</v>
      </c>
      <c r="AB660" t="s">
        <v>162</v>
      </c>
      <c r="AC660" t="s">
        <v>175</v>
      </c>
      <c r="AD660" t="s">
        <v>155</v>
      </c>
      <c r="AE660" t="s">
        <v>130</v>
      </c>
      <c r="AF660" t="s">
        <v>21</v>
      </c>
    </row>
    <row r="661" spans="1:32">
      <c r="A661" t="s">
        <v>1368</v>
      </c>
      <c r="B661" s="37">
        <v>39967</v>
      </c>
      <c r="C661" s="38">
        <v>39967</v>
      </c>
      <c r="D661" s="38">
        <v>39965</v>
      </c>
      <c r="E661" s="38">
        <v>39965</v>
      </c>
      <c r="F661" s="39">
        <v>62</v>
      </c>
      <c r="G661" t="s">
        <v>380</v>
      </c>
      <c r="H661" t="s">
        <v>17</v>
      </c>
      <c r="I661">
        <v>0</v>
      </c>
      <c r="J661">
        <v>0</v>
      </c>
      <c r="K661">
        <v>1</v>
      </c>
      <c r="L661">
        <v>0</v>
      </c>
      <c r="M661">
        <v>0</v>
      </c>
      <c r="N661" t="s">
        <v>193</v>
      </c>
      <c r="O661" t="s">
        <v>213</v>
      </c>
      <c r="P661" t="s">
        <v>204</v>
      </c>
      <c r="Q661" t="s">
        <v>170</v>
      </c>
      <c r="R661" t="s">
        <v>155</v>
      </c>
      <c r="T661" t="s">
        <v>134</v>
      </c>
      <c r="U661">
        <v>1</v>
      </c>
      <c r="W661" t="s">
        <v>134</v>
      </c>
      <c r="X661">
        <v>1</v>
      </c>
      <c r="Y661" t="s">
        <v>140</v>
      </c>
      <c r="Z661" t="s">
        <v>180</v>
      </c>
      <c r="AA661" t="s">
        <v>142</v>
      </c>
      <c r="AB661" t="s">
        <v>162</v>
      </c>
      <c r="AC661" t="s">
        <v>175</v>
      </c>
      <c r="AD661" t="s">
        <v>155</v>
      </c>
      <c r="AE661" t="s">
        <v>130</v>
      </c>
      <c r="AF661" t="s">
        <v>21</v>
      </c>
    </row>
    <row r="662" spans="1:32">
      <c r="A662" t="s">
        <v>1369</v>
      </c>
      <c r="B662" s="37">
        <v>39978</v>
      </c>
      <c r="C662" s="38">
        <v>39978</v>
      </c>
      <c r="D662" s="38">
        <v>39972</v>
      </c>
      <c r="E662" s="38">
        <v>39965</v>
      </c>
      <c r="F662" s="39">
        <v>73</v>
      </c>
      <c r="G662" t="s">
        <v>383</v>
      </c>
      <c r="H662" t="s">
        <v>17</v>
      </c>
      <c r="I662">
        <v>0</v>
      </c>
      <c r="J662">
        <v>0</v>
      </c>
      <c r="K662">
        <v>1</v>
      </c>
      <c r="L662">
        <v>0</v>
      </c>
      <c r="M662">
        <v>0</v>
      </c>
      <c r="N662" t="s">
        <v>193</v>
      </c>
      <c r="O662" t="s">
        <v>213</v>
      </c>
      <c r="P662" t="s">
        <v>204</v>
      </c>
      <c r="Q662" t="s">
        <v>170</v>
      </c>
      <c r="R662" t="s">
        <v>155</v>
      </c>
      <c r="T662" t="s">
        <v>134</v>
      </c>
      <c r="U662">
        <v>1</v>
      </c>
      <c r="W662" t="s">
        <v>134</v>
      </c>
      <c r="X662">
        <v>1</v>
      </c>
      <c r="Y662" t="s">
        <v>140</v>
      </c>
      <c r="Z662" t="s">
        <v>178</v>
      </c>
      <c r="AA662" t="s">
        <v>144</v>
      </c>
      <c r="AB662" t="s">
        <v>162</v>
      </c>
      <c r="AC662" t="s">
        <v>867</v>
      </c>
      <c r="AD662" t="s">
        <v>157</v>
      </c>
      <c r="AE662" t="s">
        <v>127</v>
      </c>
      <c r="AF662" t="s">
        <v>153</v>
      </c>
    </row>
    <row r="663" spans="1:32">
      <c r="A663" t="s">
        <v>1370</v>
      </c>
      <c r="B663" s="37">
        <v>39980</v>
      </c>
      <c r="C663" s="38">
        <v>39980</v>
      </c>
      <c r="D663" s="38">
        <v>39979</v>
      </c>
      <c r="E663" s="38">
        <v>39965</v>
      </c>
      <c r="F663" s="39">
        <v>75</v>
      </c>
      <c r="G663" t="s">
        <v>383</v>
      </c>
      <c r="H663" t="s">
        <v>17</v>
      </c>
      <c r="I663">
        <v>0</v>
      </c>
      <c r="J663">
        <v>0</v>
      </c>
      <c r="K663">
        <v>1</v>
      </c>
      <c r="L663">
        <v>0</v>
      </c>
      <c r="M663">
        <v>0</v>
      </c>
      <c r="N663" t="s">
        <v>193</v>
      </c>
      <c r="O663" t="s">
        <v>213</v>
      </c>
      <c r="P663" t="s">
        <v>204</v>
      </c>
      <c r="Q663" t="s">
        <v>170</v>
      </c>
      <c r="R663" t="s">
        <v>155</v>
      </c>
      <c r="T663" t="s">
        <v>134</v>
      </c>
      <c r="U663">
        <v>1</v>
      </c>
      <c r="W663" t="s">
        <v>134</v>
      </c>
      <c r="X663">
        <v>1</v>
      </c>
      <c r="Y663" t="s">
        <v>140</v>
      </c>
      <c r="Z663" t="s">
        <v>183</v>
      </c>
      <c r="AA663" t="s">
        <v>144</v>
      </c>
      <c r="AB663" t="s">
        <v>165</v>
      </c>
      <c r="AC663" t="s">
        <v>1371</v>
      </c>
      <c r="AD663" t="s">
        <v>158</v>
      </c>
      <c r="AE663" t="s">
        <v>122</v>
      </c>
      <c r="AF663" t="s">
        <v>21</v>
      </c>
    </row>
    <row r="664" spans="1:32">
      <c r="A664" t="s">
        <v>1372</v>
      </c>
      <c r="B664" s="37">
        <v>39947</v>
      </c>
      <c r="C664" s="38">
        <v>39947</v>
      </c>
      <c r="D664" s="38">
        <v>39944</v>
      </c>
      <c r="E664" s="38">
        <v>39934</v>
      </c>
      <c r="F664" s="39">
        <v>42</v>
      </c>
      <c r="G664" t="s">
        <v>21</v>
      </c>
      <c r="H664" t="s">
        <v>21</v>
      </c>
      <c r="I664">
        <v>0</v>
      </c>
      <c r="J664">
        <v>0</v>
      </c>
      <c r="K664">
        <v>0</v>
      </c>
      <c r="L664">
        <v>1</v>
      </c>
      <c r="M664">
        <v>0</v>
      </c>
      <c r="N664" t="s">
        <v>195</v>
      </c>
      <c r="O664" t="s">
        <v>213</v>
      </c>
      <c r="P664" t="s">
        <v>206</v>
      </c>
      <c r="Q664" t="s">
        <v>170</v>
      </c>
      <c r="R664" t="s">
        <v>155</v>
      </c>
      <c r="T664" t="s">
        <v>134</v>
      </c>
      <c r="U664">
        <v>1</v>
      </c>
      <c r="W664" t="s">
        <v>134</v>
      </c>
      <c r="X664">
        <v>1</v>
      </c>
      <c r="Y664" t="s">
        <v>139</v>
      </c>
      <c r="Z664" t="s">
        <v>180</v>
      </c>
      <c r="AA664" t="s">
        <v>145</v>
      </c>
      <c r="AB664" t="s">
        <v>163</v>
      </c>
      <c r="AC664" t="s">
        <v>1373</v>
      </c>
      <c r="AD664" t="s">
        <v>155</v>
      </c>
      <c r="AE664" t="s">
        <v>454</v>
      </c>
      <c r="AF664" t="s">
        <v>21</v>
      </c>
    </row>
    <row r="665" spans="1:32">
      <c r="A665" t="s">
        <v>1374</v>
      </c>
      <c r="B665" s="37">
        <v>39919</v>
      </c>
      <c r="C665" s="38">
        <v>39919</v>
      </c>
      <c r="D665" s="38">
        <v>39916</v>
      </c>
      <c r="E665" s="38">
        <v>39904</v>
      </c>
      <c r="F665" s="39">
        <v>14</v>
      </c>
      <c r="G665" t="s">
        <v>21</v>
      </c>
      <c r="H665" t="s">
        <v>21</v>
      </c>
      <c r="I665">
        <v>0</v>
      </c>
      <c r="J665">
        <v>0</v>
      </c>
      <c r="K665">
        <v>0</v>
      </c>
      <c r="L665">
        <v>1</v>
      </c>
      <c r="M665">
        <v>0</v>
      </c>
      <c r="N665" t="s">
        <v>201</v>
      </c>
      <c r="O665" t="s">
        <v>214</v>
      </c>
      <c r="P665" t="s">
        <v>204</v>
      </c>
      <c r="Q665" t="s">
        <v>170</v>
      </c>
      <c r="R665" t="s">
        <v>155</v>
      </c>
      <c r="T665" t="s">
        <v>134</v>
      </c>
      <c r="U665">
        <v>1</v>
      </c>
      <c r="W665" t="s">
        <v>134</v>
      </c>
      <c r="X665">
        <v>1</v>
      </c>
      <c r="Y665" t="s">
        <v>140</v>
      </c>
      <c r="Z665" t="s">
        <v>180</v>
      </c>
      <c r="AA665" t="s">
        <v>145</v>
      </c>
      <c r="AB665" t="s">
        <v>163</v>
      </c>
      <c r="AC665" t="s">
        <v>173</v>
      </c>
      <c r="AD665" t="s">
        <v>155</v>
      </c>
      <c r="AE665" t="s">
        <v>387</v>
      </c>
      <c r="AF665" t="s">
        <v>21</v>
      </c>
    </row>
    <row r="666" spans="1:32">
      <c r="A666" t="s">
        <v>1375</v>
      </c>
      <c r="B666" s="37">
        <v>40022</v>
      </c>
      <c r="C666" s="38">
        <v>40022</v>
      </c>
      <c r="D666" s="38">
        <v>40021</v>
      </c>
      <c r="E666" s="38">
        <v>39995</v>
      </c>
      <c r="F666" s="39">
        <v>117</v>
      </c>
      <c r="G666" t="s">
        <v>21</v>
      </c>
      <c r="H666" t="s">
        <v>21</v>
      </c>
      <c r="I666">
        <v>0</v>
      </c>
      <c r="J666">
        <v>0</v>
      </c>
      <c r="K666">
        <v>0</v>
      </c>
      <c r="L666">
        <v>1</v>
      </c>
      <c r="M666">
        <v>0</v>
      </c>
      <c r="N666" t="s">
        <v>193</v>
      </c>
      <c r="O666" t="s">
        <v>213</v>
      </c>
      <c r="P666" t="s">
        <v>204</v>
      </c>
      <c r="Q666" t="s">
        <v>170</v>
      </c>
      <c r="R666" t="s">
        <v>155</v>
      </c>
      <c r="S666">
        <v>5</v>
      </c>
      <c r="T666" t="s">
        <v>135</v>
      </c>
      <c r="U666">
        <v>0</v>
      </c>
      <c r="V666">
        <v>5</v>
      </c>
      <c r="W666" t="s">
        <v>135</v>
      </c>
      <c r="X666">
        <v>0</v>
      </c>
      <c r="Y666" t="s">
        <v>140</v>
      </c>
      <c r="Z666" t="s">
        <v>180</v>
      </c>
      <c r="AA666" t="s">
        <v>144</v>
      </c>
      <c r="AB666" t="s">
        <v>163</v>
      </c>
      <c r="AC666" t="s">
        <v>173</v>
      </c>
      <c r="AD666" t="s">
        <v>155</v>
      </c>
      <c r="AE666" t="s">
        <v>751</v>
      </c>
      <c r="AF666" t="s">
        <v>21</v>
      </c>
    </row>
    <row r="667" spans="1:32">
      <c r="A667" t="s">
        <v>1376</v>
      </c>
      <c r="B667" s="37">
        <v>40057</v>
      </c>
      <c r="C667" s="38">
        <v>40057</v>
      </c>
      <c r="D667" s="38">
        <v>40056</v>
      </c>
      <c r="E667" s="38">
        <v>40057</v>
      </c>
      <c r="F667" s="39">
        <v>152</v>
      </c>
      <c r="G667" t="s">
        <v>21</v>
      </c>
      <c r="H667" t="s">
        <v>21</v>
      </c>
      <c r="I667">
        <v>0</v>
      </c>
      <c r="J667">
        <v>0</v>
      </c>
      <c r="K667">
        <v>0</v>
      </c>
      <c r="L667">
        <v>1</v>
      </c>
      <c r="M667">
        <v>0</v>
      </c>
      <c r="N667" t="s">
        <v>544</v>
      </c>
      <c r="O667" t="s">
        <v>213</v>
      </c>
      <c r="P667" t="s">
        <v>545</v>
      </c>
      <c r="Q667" t="s">
        <v>170</v>
      </c>
      <c r="R667" t="s">
        <v>155</v>
      </c>
      <c r="S667">
        <v>5</v>
      </c>
      <c r="T667" t="s">
        <v>135</v>
      </c>
      <c r="U667">
        <v>0</v>
      </c>
      <c r="V667">
        <v>5</v>
      </c>
      <c r="W667" t="s">
        <v>135</v>
      </c>
      <c r="X667">
        <v>0</v>
      </c>
      <c r="Y667" t="s">
        <v>139</v>
      </c>
      <c r="Z667" t="s">
        <v>180</v>
      </c>
      <c r="AA667" t="s">
        <v>149</v>
      </c>
      <c r="AB667" t="s">
        <v>163</v>
      </c>
      <c r="AC667" t="s">
        <v>1042</v>
      </c>
      <c r="AD667" t="s">
        <v>155</v>
      </c>
      <c r="AE667" t="s">
        <v>510</v>
      </c>
      <c r="AF667" t="s">
        <v>21</v>
      </c>
    </row>
    <row r="668" spans="1:32">
      <c r="A668" t="s">
        <v>1377</v>
      </c>
      <c r="B668" s="37">
        <v>40074</v>
      </c>
      <c r="C668" s="38">
        <v>40074</v>
      </c>
      <c r="D668" s="38">
        <v>40070</v>
      </c>
      <c r="E668" s="38">
        <v>40057</v>
      </c>
      <c r="F668" s="39">
        <v>169</v>
      </c>
      <c r="G668" t="s">
        <v>21</v>
      </c>
      <c r="H668" t="s">
        <v>21</v>
      </c>
      <c r="I668">
        <v>0</v>
      </c>
      <c r="J668">
        <v>0</v>
      </c>
      <c r="K668">
        <v>0</v>
      </c>
      <c r="L668">
        <v>1</v>
      </c>
      <c r="M668">
        <v>0</v>
      </c>
      <c r="N668" t="s">
        <v>195</v>
      </c>
      <c r="O668" t="s">
        <v>213</v>
      </c>
      <c r="P668" t="s">
        <v>206</v>
      </c>
      <c r="Q668" t="s">
        <v>170</v>
      </c>
      <c r="R668" t="s">
        <v>155</v>
      </c>
      <c r="S668">
        <v>5</v>
      </c>
      <c r="T668" t="s">
        <v>135</v>
      </c>
      <c r="U668">
        <v>0</v>
      </c>
      <c r="V668">
        <v>5</v>
      </c>
      <c r="W668" t="s">
        <v>135</v>
      </c>
      <c r="X668">
        <v>0</v>
      </c>
      <c r="Y668" t="s">
        <v>139</v>
      </c>
      <c r="Z668" t="s">
        <v>180</v>
      </c>
      <c r="AA668" t="s">
        <v>142</v>
      </c>
      <c r="AB668" t="s">
        <v>162</v>
      </c>
      <c r="AC668" t="s">
        <v>176</v>
      </c>
      <c r="AD668" t="s">
        <v>155</v>
      </c>
      <c r="AE668" t="s">
        <v>129</v>
      </c>
      <c r="AF668" t="s">
        <v>21</v>
      </c>
    </row>
    <row r="669" spans="1:32">
      <c r="A669" t="s">
        <v>1378</v>
      </c>
      <c r="B669" s="37">
        <v>40004</v>
      </c>
      <c r="C669" s="38">
        <v>40004</v>
      </c>
      <c r="D669" s="38">
        <v>40000</v>
      </c>
      <c r="E669" s="38">
        <v>39995</v>
      </c>
      <c r="F669" s="39">
        <v>99</v>
      </c>
      <c r="G669" t="s">
        <v>21</v>
      </c>
      <c r="H669" t="s">
        <v>21</v>
      </c>
      <c r="I669">
        <v>0</v>
      </c>
      <c r="J669">
        <v>0</v>
      </c>
      <c r="K669">
        <v>0</v>
      </c>
      <c r="L669">
        <v>1</v>
      </c>
      <c r="M669">
        <v>0</v>
      </c>
      <c r="N669" t="s">
        <v>193</v>
      </c>
      <c r="O669" t="s">
        <v>213</v>
      </c>
      <c r="P669" t="s">
        <v>204</v>
      </c>
      <c r="Q669" t="s">
        <v>170</v>
      </c>
      <c r="R669" t="s">
        <v>155</v>
      </c>
      <c r="S669">
        <v>5</v>
      </c>
      <c r="T669" t="s">
        <v>135</v>
      </c>
      <c r="U669">
        <v>0</v>
      </c>
      <c r="V669">
        <v>5</v>
      </c>
      <c r="W669" t="s">
        <v>135</v>
      </c>
      <c r="X669">
        <v>0</v>
      </c>
      <c r="Y669" t="s">
        <v>140</v>
      </c>
      <c r="Z669" t="s">
        <v>180</v>
      </c>
      <c r="AA669" t="s">
        <v>143</v>
      </c>
      <c r="AB669" t="s">
        <v>162</v>
      </c>
      <c r="AC669" t="s">
        <v>1241</v>
      </c>
      <c r="AD669" t="s">
        <v>159</v>
      </c>
      <c r="AE669" t="s">
        <v>123</v>
      </c>
      <c r="AF669" t="s">
        <v>123</v>
      </c>
    </row>
    <row r="670" spans="1:32">
      <c r="A670" t="s">
        <v>1379</v>
      </c>
      <c r="B670" s="37">
        <v>40065</v>
      </c>
      <c r="C670" s="38">
        <v>40065</v>
      </c>
      <c r="D670" s="38">
        <v>40063</v>
      </c>
      <c r="E670" s="38">
        <v>40057</v>
      </c>
      <c r="F670" s="39">
        <v>160</v>
      </c>
      <c r="G670" t="s">
        <v>496</v>
      </c>
      <c r="H670" t="s">
        <v>13</v>
      </c>
      <c r="I670">
        <v>0</v>
      </c>
      <c r="J670">
        <v>1</v>
      </c>
      <c r="K670">
        <v>0</v>
      </c>
      <c r="L670">
        <v>0</v>
      </c>
      <c r="M670">
        <v>1</v>
      </c>
      <c r="N670" t="s">
        <v>196</v>
      </c>
      <c r="O670" t="s">
        <v>213</v>
      </c>
      <c r="P670" t="s">
        <v>207</v>
      </c>
      <c r="Q670" t="s">
        <v>170</v>
      </c>
      <c r="R670" t="s">
        <v>155</v>
      </c>
      <c r="S670">
        <v>3</v>
      </c>
      <c r="T670" t="s">
        <v>137</v>
      </c>
      <c r="U670">
        <v>0</v>
      </c>
      <c r="V670">
        <v>4</v>
      </c>
      <c r="W670" t="s">
        <v>137</v>
      </c>
      <c r="X670">
        <v>0</v>
      </c>
      <c r="Y670" t="s">
        <v>139</v>
      </c>
      <c r="Z670" t="s">
        <v>178</v>
      </c>
      <c r="AA670" t="s">
        <v>146</v>
      </c>
      <c r="AB670" t="s">
        <v>163</v>
      </c>
      <c r="AC670" t="s">
        <v>1380</v>
      </c>
      <c r="AD670" t="s">
        <v>155</v>
      </c>
      <c r="AE670" t="s">
        <v>956</v>
      </c>
      <c r="AF670" t="s">
        <v>21</v>
      </c>
    </row>
    <row r="671" spans="1:32">
      <c r="A671" t="s">
        <v>1381</v>
      </c>
      <c r="B671" s="37">
        <v>40086</v>
      </c>
      <c r="C671" s="38">
        <v>40086</v>
      </c>
      <c r="D671" s="38">
        <v>40084</v>
      </c>
      <c r="E671" s="38">
        <v>40057</v>
      </c>
      <c r="F671" s="39">
        <v>181</v>
      </c>
      <c r="G671" t="s">
        <v>570</v>
      </c>
      <c r="H671" t="s">
        <v>13</v>
      </c>
      <c r="I671">
        <v>0</v>
      </c>
      <c r="J671">
        <v>1</v>
      </c>
      <c r="K671">
        <v>0</v>
      </c>
      <c r="L671">
        <v>0</v>
      </c>
      <c r="M671">
        <v>1</v>
      </c>
      <c r="N671" t="s">
        <v>544</v>
      </c>
      <c r="O671" t="s">
        <v>213</v>
      </c>
      <c r="P671" t="s">
        <v>545</v>
      </c>
      <c r="Q671" t="s">
        <v>170</v>
      </c>
      <c r="R671" t="s">
        <v>155</v>
      </c>
      <c r="S671">
        <v>1</v>
      </c>
      <c r="T671" t="s">
        <v>136</v>
      </c>
      <c r="U671">
        <v>0</v>
      </c>
      <c r="V671">
        <v>2</v>
      </c>
      <c r="W671" t="s">
        <v>136</v>
      </c>
      <c r="X671">
        <v>0</v>
      </c>
      <c r="Y671" t="s">
        <v>139</v>
      </c>
      <c r="Z671" t="s">
        <v>178</v>
      </c>
      <c r="AA671" t="s">
        <v>146</v>
      </c>
      <c r="AB671" t="s">
        <v>163</v>
      </c>
      <c r="AC671" t="s">
        <v>173</v>
      </c>
      <c r="AD671" t="s">
        <v>155</v>
      </c>
      <c r="AE671" t="s">
        <v>128</v>
      </c>
      <c r="AF671" t="s">
        <v>21</v>
      </c>
    </row>
    <row r="672" spans="1:32">
      <c r="A672" t="s">
        <v>1382</v>
      </c>
      <c r="B672" s="37">
        <v>39954</v>
      </c>
      <c r="C672" s="38">
        <v>39954</v>
      </c>
      <c r="D672" s="38">
        <v>39951</v>
      </c>
      <c r="E672" s="38">
        <v>39934</v>
      </c>
      <c r="F672" s="39">
        <v>49</v>
      </c>
      <c r="G672" t="s">
        <v>21</v>
      </c>
      <c r="H672" t="s">
        <v>21</v>
      </c>
      <c r="I672">
        <v>0</v>
      </c>
      <c r="J672">
        <v>0</v>
      </c>
      <c r="K672">
        <v>0</v>
      </c>
      <c r="L672">
        <v>1</v>
      </c>
      <c r="M672">
        <v>0</v>
      </c>
      <c r="N672" t="s">
        <v>193</v>
      </c>
      <c r="O672" t="s">
        <v>213</v>
      </c>
      <c r="P672" t="s">
        <v>204</v>
      </c>
      <c r="Q672" t="s">
        <v>170</v>
      </c>
      <c r="R672" t="s">
        <v>155</v>
      </c>
      <c r="T672" t="s">
        <v>134</v>
      </c>
      <c r="U672">
        <v>1</v>
      </c>
      <c r="W672" t="s">
        <v>134</v>
      </c>
      <c r="X672">
        <v>1</v>
      </c>
      <c r="Y672" t="s">
        <v>140</v>
      </c>
      <c r="Z672" t="s">
        <v>433</v>
      </c>
      <c r="AA672" t="s">
        <v>145</v>
      </c>
      <c r="AB672" t="s">
        <v>162</v>
      </c>
      <c r="AC672" t="s">
        <v>174</v>
      </c>
      <c r="AD672" t="s">
        <v>157</v>
      </c>
      <c r="AE672" t="s">
        <v>127</v>
      </c>
      <c r="AF672" t="s">
        <v>153</v>
      </c>
    </row>
    <row r="673" spans="1:32">
      <c r="A673" t="s">
        <v>1383</v>
      </c>
      <c r="B673" s="37">
        <v>39993</v>
      </c>
      <c r="C673" s="38">
        <v>39993</v>
      </c>
      <c r="D673" s="38">
        <v>39993</v>
      </c>
      <c r="E673" s="38">
        <v>39965</v>
      </c>
      <c r="F673" s="39">
        <v>88</v>
      </c>
      <c r="G673" t="s">
        <v>496</v>
      </c>
      <c r="H673" t="s">
        <v>13</v>
      </c>
      <c r="I673">
        <v>0</v>
      </c>
      <c r="J673">
        <v>1</v>
      </c>
      <c r="K673">
        <v>0</v>
      </c>
      <c r="L673">
        <v>0</v>
      </c>
      <c r="M673">
        <v>1</v>
      </c>
      <c r="N673" t="s">
        <v>193</v>
      </c>
      <c r="O673" t="s">
        <v>213</v>
      </c>
      <c r="P673" t="s">
        <v>204</v>
      </c>
      <c r="Q673" t="s">
        <v>170</v>
      </c>
      <c r="R673" t="s">
        <v>155</v>
      </c>
      <c r="T673" t="s">
        <v>134</v>
      </c>
      <c r="U673">
        <v>1</v>
      </c>
      <c r="V673">
        <v>5</v>
      </c>
      <c r="W673" t="s">
        <v>135</v>
      </c>
      <c r="X673">
        <v>0</v>
      </c>
      <c r="Y673" t="s">
        <v>140</v>
      </c>
      <c r="Z673" t="s">
        <v>433</v>
      </c>
      <c r="AA673" t="s">
        <v>143</v>
      </c>
      <c r="AB673" t="s">
        <v>163</v>
      </c>
      <c r="AC673" t="s">
        <v>173</v>
      </c>
      <c r="AD673" t="s">
        <v>161</v>
      </c>
      <c r="AE673" t="s">
        <v>1384</v>
      </c>
      <c r="AF673" t="s">
        <v>21</v>
      </c>
    </row>
    <row r="674" spans="1:32">
      <c r="A674" t="s">
        <v>1385</v>
      </c>
      <c r="B674" s="37">
        <v>39970</v>
      </c>
      <c r="C674" s="38">
        <v>39970</v>
      </c>
      <c r="D674" s="38">
        <v>39965</v>
      </c>
      <c r="E674" s="38">
        <v>39965</v>
      </c>
      <c r="F674" s="39">
        <v>65</v>
      </c>
      <c r="G674" t="s">
        <v>21</v>
      </c>
      <c r="H674" t="s">
        <v>21</v>
      </c>
      <c r="I674">
        <v>0</v>
      </c>
      <c r="J674">
        <v>0</v>
      </c>
      <c r="K674">
        <v>0</v>
      </c>
      <c r="L674">
        <v>1</v>
      </c>
      <c r="M674">
        <v>0</v>
      </c>
      <c r="N674" t="s">
        <v>193</v>
      </c>
      <c r="O674" t="s">
        <v>213</v>
      </c>
      <c r="P674" t="s">
        <v>204</v>
      </c>
      <c r="Q674" t="s">
        <v>170</v>
      </c>
      <c r="R674" t="s">
        <v>155</v>
      </c>
      <c r="T674" t="s">
        <v>134</v>
      </c>
      <c r="U674">
        <v>1</v>
      </c>
      <c r="W674" t="s">
        <v>134</v>
      </c>
      <c r="X674">
        <v>1</v>
      </c>
      <c r="Y674" t="s">
        <v>140</v>
      </c>
      <c r="Z674" t="s">
        <v>433</v>
      </c>
      <c r="AA674" t="s">
        <v>146</v>
      </c>
      <c r="AB674" t="s">
        <v>162</v>
      </c>
      <c r="AC674" t="s">
        <v>174</v>
      </c>
      <c r="AD674" t="s">
        <v>157</v>
      </c>
      <c r="AE674" t="s">
        <v>127</v>
      </c>
      <c r="AF674" t="s">
        <v>153</v>
      </c>
    </row>
    <row r="675" spans="1:32">
      <c r="A675" t="s">
        <v>1386</v>
      </c>
      <c r="B675" s="37">
        <v>39915</v>
      </c>
      <c r="C675" s="38">
        <v>39915</v>
      </c>
      <c r="D675" s="38">
        <v>39909</v>
      </c>
      <c r="E675" s="38">
        <v>39904</v>
      </c>
      <c r="F675" s="39">
        <v>10</v>
      </c>
      <c r="G675" t="s">
        <v>21</v>
      </c>
      <c r="H675" t="s">
        <v>21</v>
      </c>
      <c r="I675">
        <v>0</v>
      </c>
      <c r="J675">
        <v>0</v>
      </c>
      <c r="K675">
        <v>0</v>
      </c>
      <c r="L675">
        <v>1</v>
      </c>
      <c r="M675">
        <v>0</v>
      </c>
      <c r="N675" t="s">
        <v>201</v>
      </c>
      <c r="O675" t="s">
        <v>214</v>
      </c>
      <c r="P675" t="s">
        <v>204</v>
      </c>
      <c r="Q675" t="s">
        <v>170</v>
      </c>
      <c r="R675" t="s">
        <v>155</v>
      </c>
      <c r="T675" t="s">
        <v>134</v>
      </c>
      <c r="U675">
        <v>1</v>
      </c>
      <c r="W675" t="s">
        <v>134</v>
      </c>
      <c r="X675">
        <v>1</v>
      </c>
      <c r="Y675" t="s">
        <v>140</v>
      </c>
      <c r="Z675" t="s">
        <v>178</v>
      </c>
      <c r="AA675" t="s">
        <v>147</v>
      </c>
      <c r="AB675" t="s">
        <v>162</v>
      </c>
      <c r="AC675" t="s">
        <v>175</v>
      </c>
      <c r="AD675" t="s">
        <v>155</v>
      </c>
      <c r="AE675" t="s">
        <v>127</v>
      </c>
      <c r="AF675" t="s">
        <v>21</v>
      </c>
    </row>
    <row r="676" spans="1:32">
      <c r="A676" t="s">
        <v>1387</v>
      </c>
      <c r="B676" s="37">
        <v>39923</v>
      </c>
      <c r="C676" s="38">
        <v>39923</v>
      </c>
      <c r="D676" s="38">
        <v>39923</v>
      </c>
      <c r="E676" s="38">
        <v>39904</v>
      </c>
      <c r="F676" s="39">
        <v>18</v>
      </c>
      <c r="G676" t="s">
        <v>21</v>
      </c>
      <c r="H676" t="s">
        <v>21</v>
      </c>
      <c r="I676">
        <v>0</v>
      </c>
      <c r="J676">
        <v>0</v>
      </c>
      <c r="K676">
        <v>0</v>
      </c>
      <c r="L676">
        <v>1</v>
      </c>
      <c r="M676">
        <v>0</v>
      </c>
      <c r="N676" t="s">
        <v>198</v>
      </c>
      <c r="O676" t="s">
        <v>213</v>
      </c>
      <c r="P676" t="s">
        <v>208</v>
      </c>
      <c r="Q676" t="s">
        <v>170</v>
      </c>
      <c r="R676" t="s">
        <v>155</v>
      </c>
      <c r="T676" t="s">
        <v>134</v>
      </c>
      <c r="U676">
        <v>1</v>
      </c>
      <c r="W676" t="s">
        <v>134</v>
      </c>
      <c r="X676">
        <v>1</v>
      </c>
      <c r="Y676" t="s">
        <v>139</v>
      </c>
      <c r="Z676" t="s">
        <v>178</v>
      </c>
      <c r="AA676" t="s">
        <v>143</v>
      </c>
      <c r="AB676" t="s">
        <v>163</v>
      </c>
      <c r="AC676" t="s">
        <v>1388</v>
      </c>
      <c r="AD676" t="s">
        <v>155</v>
      </c>
      <c r="AE676" t="s">
        <v>125</v>
      </c>
      <c r="AF676" t="s">
        <v>21</v>
      </c>
    </row>
    <row r="677" spans="1:32">
      <c r="A677" t="s">
        <v>1389</v>
      </c>
      <c r="B677" s="37">
        <v>40075</v>
      </c>
      <c r="C677" s="38">
        <v>40075</v>
      </c>
      <c r="D677" s="38">
        <v>40070</v>
      </c>
      <c r="E677" s="38">
        <v>40057</v>
      </c>
      <c r="F677" s="39">
        <v>170</v>
      </c>
      <c r="G677" t="s">
        <v>525</v>
      </c>
      <c r="H677" t="s">
        <v>17</v>
      </c>
      <c r="I677">
        <v>0</v>
      </c>
      <c r="J677">
        <v>0</v>
      </c>
      <c r="K677">
        <v>1</v>
      </c>
      <c r="L677">
        <v>0</v>
      </c>
      <c r="M677">
        <v>0</v>
      </c>
      <c r="N677" t="s">
        <v>197</v>
      </c>
      <c r="O677" t="s">
        <v>213</v>
      </c>
      <c r="P677" t="s">
        <v>209</v>
      </c>
      <c r="Q677" t="s">
        <v>170</v>
      </c>
      <c r="R677" t="s">
        <v>155</v>
      </c>
      <c r="S677">
        <v>5</v>
      </c>
      <c r="T677" t="s">
        <v>135</v>
      </c>
      <c r="U677">
        <v>0</v>
      </c>
      <c r="V677">
        <v>3</v>
      </c>
      <c r="W677" t="s">
        <v>137</v>
      </c>
      <c r="X677">
        <v>0</v>
      </c>
      <c r="Y677" t="s">
        <v>139</v>
      </c>
      <c r="Z677" t="s">
        <v>181</v>
      </c>
      <c r="AA677" t="s">
        <v>142</v>
      </c>
      <c r="AB677" t="s">
        <v>162</v>
      </c>
      <c r="AC677" t="s">
        <v>174</v>
      </c>
      <c r="AD677" t="s">
        <v>157</v>
      </c>
      <c r="AE677" t="s">
        <v>434</v>
      </c>
      <c r="AF677" t="s">
        <v>449</v>
      </c>
    </row>
    <row r="678" spans="1:32">
      <c r="A678" t="s">
        <v>1390</v>
      </c>
      <c r="B678" s="37">
        <v>40071</v>
      </c>
      <c r="C678" s="38">
        <v>40071</v>
      </c>
      <c r="D678" s="38">
        <v>40070</v>
      </c>
      <c r="E678" s="38">
        <v>40057</v>
      </c>
      <c r="F678" s="39">
        <v>166</v>
      </c>
      <c r="G678" t="s">
        <v>9</v>
      </c>
      <c r="H678" t="s">
        <v>9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193</v>
      </c>
      <c r="O678" t="s">
        <v>213</v>
      </c>
      <c r="P678" t="s">
        <v>204</v>
      </c>
      <c r="Q678" t="s">
        <v>170</v>
      </c>
      <c r="R678" t="s">
        <v>155</v>
      </c>
      <c r="S678">
        <v>5</v>
      </c>
      <c r="T678" t="s">
        <v>135</v>
      </c>
      <c r="U678">
        <v>0</v>
      </c>
      <c r="V678">
        <v>2</v>
      </c>
      <c r="W678" t="s">
        <v>136</v>
      </c>
      <c r="X678">
        <v>0</v>
      </c>
      <c r="Y678" t="s">
        <v>140</v>
      </c>
      <c r="Z678" t="s">
        <v>185</v>
      </c>
      <c r="AA678" t="s">
        <v>142</v>
      </c>
      <c r="AB678" t="s">
        <v>162</v>
      </c>
      <c r="AC678" t="s">
        <v>1241</v>
      </c>
      <c r="AD678" t="s">
        <v>159</v>
      </c>
      <c r="AE678" t="s">
        <v>123</v>
      </c>
      <c r="AF678" t="s">
        <v>123</v>
      </c>
    </row>
    <row r="679" spans="1:32">
      <c r="A679" t="s">
        <v>1391</v>
      </c>
      <c r="B679" s="37">
        <v>40048</v>
      </c>
      <c r="C679" s="38">
        <v>40048</v>
      </c>
      <c r="D679" s="38">
        <v>40042</v>
      </c>
      <c r="E679" s="38">
        <v>40026</v>
      </c>
      <c r="F679" s="39">
        <v>143</v>
      </c>
      <c r="G679" t="s">
        <v>21</v>
      </c>
      <c r="H679" t="s">
        <v>21</v>
      </c>
      <c r="I679">
        <v>0</v>
      </c>
      <c r="J679">
        <v>0</v>
      </c>
      <c r="K679">
        <v>0</v>
      </c>
      <c r="L679">
        <v>1</v>
      </c>
      <c r="M679">
        <v>0</v>
      </c>
      <c r="N679" t="s">
        <v>193</v>
      </c>
      <c r="O679" t="s">
        <v>213</v>
      </c>
      <c r="P679" t="s">
        <v>204</v>
      </c>
      <c r="Q679" t="s">
        <v>170</v>
      </c>
      <c r="R679" t="s">
        <v>155</v>
      </c>
      <c r="S679">
        <v>5</v>
      </c>
      <c r="T679" t="s">
        <v>135</v>
      </c>
      <c r="U679">
        <v>0</v>
      </c>
      <c r="V679">
        <v>5</v>
      </c>
      <c r="W679" t="s">
        <v>135</v>
      </c>
      <c r="X679">
        <v>0</v>
      </c>
      <c r="Y679" t="s">
        <v>140</v>
      </c>
      <c r="Z679" t="s">
        <v>185</v>
      </c>
      <c r="AA679" t="s">
        <v>148</v>
      </c>
      <c r="AB679" t="s">
        <v>162</v>
      </c>
      <c r="AC679" t="s">
        <v>174</v>
      </c>
      <c r="AD679" t="s">
        <v>156</v>
      </c>
      <c r="AE679" t="s">
        <v>120</v>
      </c>
      <c r="AF679" t="s">
        <v>1392</v>
      </c>
    </row>
    <row r="680" spans="1:32">
      <c r="A680" t="s">
        <v>1393</v>
      </c>
      <c r="B680" s="37">
        <v>40052</v>
      </c>
      <c r="C680" s="38">
        <v>40052</v>
      </c>
      <c r="D680" s="38">
        <v>40049</v>
      </c>
      <c r="E680" s="38">
        <v>40026</v>
      </c>
      <c r="F680" s="39">
        <v>147</v>
      </c>
      <c r="G680" t="s">
        <v>21</v>
      </c>
      <c r="H680" t="s">
        <v>21</v>
      </c>
      <c r="I680">
        <v>0</v>
      </c>
      <c r="J680">
        <v>0</v>
      </c>
      <c r="K680">
        <v>0</v>
      </c>
      <c r="L680">
        <v>1</v>
      </c>
      <c r="M680">
        <v>0</v>
      </c>
      <c r="N680" t="s">
        <v>195</v>
      </c>
      <c r="O680" t="s">
        <v>213</v>
      </c>
      <c r="P680" t="s">
        <v>206</v>
      </c>
      <c r="Q680" t="s">
        <v>170</v>
      </c>
      <c r="R680" t="s">
        <v>155</v>
      </c>
      <c r="S680">
        <v>5</v>
      </c>
      <c r="T680" t="s">
        <v>135</v>
      </c>
      <c r="U680">
        <v>0</v>
      </c>
      <c r="V680">
        <v>4</v>
      </c>
      <c r="W680" t="s">
        <v>137</v>
      </c>
      <c r="X680">
        <v>0</v>
      </c>
      <c r="Y680" t="s">
        <v>139</v>
      </c>
      <c r="Z680" t="s">
        <v>185</v>
      </c>
      <c r="AA680" t="s">
        <v>144</v>
      </c>
      <c r="AB680" t="s">
        <v>162</v>
      </c>
      <c r="AC680" t="s">
        <v>459</v>
      </c>
      <c r="AD680" t="s">
        <v>159</v>
      </c>
      <c r="AE680" t="s">
        <v>126</v>
      </c>
      <c r="AF680" t="s">
        <v>601</v>
      </c>
    </row>
    <row r="681" spans="1:32">
      <c r="A681" t="s">
        <v>1394</v>
      </c>
      <c r="B681" s="37">
        <v>40051</v>
      </c>
      <c r="C681" s="38">
        <v>40051</v>
      </c>
      <c r="D681" s="38">
        <v>40049</v>
      </c>
      <c r="E681" s="38">
        <v>40026</v>
      </c>
      <c r="F681" s="39">
        <v>146</v>
      </c>
      <c r="G681" t="s">
        <v>21</v>
      </c>
      <c r="H681" t="s">
        <v>21</v>
      </c>
      <c r="I681">
        <v>0</v>
      </c>
      <c r="J681">
        <v>0</v>
      </c>
      <c r="K681">
        <v>0</v>
      </c>
      <c r="L681">
        <v>1</v>
      </c>
      <c r="M681">
        <v>0</v>
      </c>
      <c r="N681" t="s">
        <v>197</v>
      </c>
      <c r="O681" t="s">
        <v>213</v>
      </c>
      <c r="P681" t="s">
        <v>209</v>
      </c>
      <c r="Q681" t="s">
        <v>170</v>
      </c>
      <c r="R681" t="s">
        <v>155</v>
      </c>
      <c r="S681">
        <v>3</v>
      </c>
      <c r="T681" t="s">
        <v>137</v>
      </c>
      <c r="U681">
        <v>0</v>
      </c>
      <c r="V681">
        <v>3</v>
      </c>
      <c r="W681" t="s">
        <v>137</v>
      </c>
      <c r="X681">
        <v>0</v>
      </c>
      <c r="Y681" t="s">
        <v>139</v>
      </c>
      <c r="Z681" t="s">
        <v>185</v>
      </c>
      <c r="AA681" t="s">
        <v>146</v>
      </c>
      <c r="AB681" t="s">
        <v>165</v>
      </c>
      <c r="AC681" t="s">
        <v>1395</v>
      </c>
      <c r="AD681" t="s">
        <v>158</v>
      </c>
      <c r="AE681" t="s">
        <v>122</v>
      </c>
      <c r="AF681" t="s">
        <v>21</v>
      </c>
    </row>
    <row r="682" spans="1:32">
      <c r="A682" t="s">
        <v>1396</v>
      </c>
      <c r="B682" s="37">
        <v>40084</v>
      </c>
      <c r="C682" s="38">
        <v>40084</v>
      </c>
      <c r="D682" s="38">
        <v>40084</v>
      </c>
      <c r="E682" s="38">
        <v>40057</v>
      </c>
      <c r="F682" s="39">
        <v>179</v>
      </c>
      <c r="G682" t="s">
        <v>21</v>
      </c>
      <c r="H682" t="s">
        <v>21</v>
      </c>
      <c r="I682">
        <v>0</v>
      </c>
      <c r="J682">
        <v>0</v>
      </c>
      <c r="K682">
        <v>0</v>
      </c>
      <c r="L682">
        <v>1</v>
      </c>
      <c r="M682">
        <v>0</v>
      </c>
      <c r="N682" t="s">
        <v>193</v>
      </c>
      <c r="O682" t="s">
        <v>213</v>
      </c>
      <c r="P682" t="s">
        <v>204</v>
      </c>
      <c r="Q682" t="s">
        <v>170</v>
      </c>
      <c r="R682" t="s">
        <v>155</v>
      </c>
      <c r="S682">
        <v>5</v>
      </c>
      <c r="T682" t="s">
        <v>135</v>
      </c>
      <c r="U682">
        <v>0</v>
      </c>
      <c r="V682">
        <v>5</v>
      </c>
      <c r="W682" t="s">
        <v>135</v>
      </c>
      <c r="X682">
        <v>0</v>
      </c>
      <c r="Y682" t="s">
        <v>140</v>
      </c>
      <c r="Z682" t="s">
        <v>433</v>
      </c>
      <c r="AA682" t="s">
        <v>145</v>
      </c>
      <c r="AB682" t="s">
        <v>162</v>
      </c>
      <c r="AC682" t="s">
        <v>619</v>
      </c>
      <c r="AD682" t="s">
        <v>1397</v>
      </c>
      <c r="AE682" t="s">
        <v>123</v>
      </c>
      <c r="AF682" t="s">
        <v>123</v>
      </c>
    </row>
    <row r="683" spans="1:32">
      <c r="A683" t="s">
        <v>1398</v>
      </c>
      <c r="B683" s="37">
        <v>40028</v>
      </c>
      <c r="C683" s="38">
        <v>40028</v>
      </c>
      <c r="D683" s="38">
        <v>40028</v>
      </c>
      <c r="E683" s="38">
        <v>40026</v>
      </c>
      <c r="F683" s="39">
        <v>123</v>
      </c>
      <c r="G683" t="s">
        <v>21</v>
      </c>
      <c r="H683" t="s">
        <v>21</v>
      </c>
      <c r="I683">
        <v>0</v>
      </c>
      <c r="J683">
        <v>0</v>
      </c>
      <c r="K683">
        <v>0</v>
      </c>
      <c r="L683">
        <v>1</v>
      </c>
      <c r="M683">
        <v>0</v>
      </c>
      <c r="N683" t="s">
        <v>193</v>
      </c>
      <c r="O683" t="s">
        <v>213</v>
      </c>
      <c r="P683" t="s">
        <v>204</v>
      </c>
      <c r="Q683" t="s">
        <v>170</v>
      </c>
      <c r="R683" t="s">
        <v>155</v>
      </c>
      <c r="S683">
        <v>5</v>
      </c>
      <c r="T683" t="s">
        <v>135</v>
      </c>
      <c r="U683">
        <v>0</v>
      </c>
      <c r="V683">
        <v>3</v>
      </c>
      <c r="W683" t="s">
        <v>137</v>
      </c>
      <c r="X683">
        <v>0</v>
      </c>
      <c r="Y683" t="s">
        <v>140</v>
      </c>
      <c r="Z683" t="s">
        <v>433</v>
      </c>
      <c r="AA683" t="s">
        <v>145</v>
      </c>
      <c r="AB683" t="s">
        <v>162</v>
      </c>
      <c r="AC683" t="s">
        <v>21</v>
      </c>
      <c r="AD683" t="s">
        <v>156</v>
      </c>
      <c r="AE683" t="s">
        <v>120</v>
      </c>
      <c r="AF683" t="s">
        <v>1399</v>
      </c>
    </row>
    <row r="684" spans="1:32">
      <c r="A684" t="s">
        <v>1400</v>
      </c>
      <c r="B684" s="37">
        <v>39930</v>
      </c>
      <c r="C684" s="38">
        <v>39930</v>
      </c>
      <c r="D684" s="38">
        <v>39930</v>
      </c>
      <c r="E684" s="38">
        <v>39904</v>
      </c>
      <c r="F684" s="39">
        <v>25</v>
      </c>
      <c r="G684" t="s">
        <v>380</v>
      </c>
      <c r="H684" t="s">
        <v>17</v>
      </c>
      <c r="I684">
        <v>0</v>
      </c>
      <c r="J684">
        <v>0</v>
      </c>
      <c r="K684">
        <v>1</v>
      </c>
      <c r="L684">
        <v>0</v>
      </c>
      <c r="M684">
        <v>0</v>
      </c>
      <c r="N684" t="s">
        <v>200</v>
      </c>
      <c r="O684" t="s">
        <v>214</v>
      </c>
      <c r="P684" t="s">
        <v>208</v>
      </c>
      <c r="Q684" t="s">
        <v>170</v>
      </c>
      <c r="R684" t="s">
        <v>155</v>
      </c>
      <c r="T684" t="s">
        <v>134</v>
      </c>
      <c r="U684">
        <v>1</v>
      </c>
      <c r="W684" t="s">
        <v>134</v>
      </c>
      <c r="X684">
        <v>1</v>
      </c>
      <c r="Y684" t="s">
        <v>139</v>
      </c>
      <c r="Z684" t="s">
        <v>179</v>
      </c>
      <c r="AA684" t="s">
        <v>147</v>
      </c>
      <c r="AB684" t="s">
        <v>163</v>
      </c>
      <c r="AC684" t="s">
        <v>173</v>
      </c>
      <c r="AD684" t="s">
        <v>155</v>
      </c>
      <c r="AE684" t="s">
        <v>792</v>
      </c>
      <c r="AF684" t="s">
        <v>21</v>
      </c>
    </row>
    <row r="685" spans="1:32">
      <c r="A685" t="s">
        <v>1401</v>
      </c>
      <c r="B685" s="37">
        <v>39959</v>
      </c>
      <c r="C685" s="38">
        <v>39959</v>
      </c>
      <c r="D685" s="38">
        <v>39958</v>
      </c>
      <c r="E685" s="38">
        <v>39934</v>
      </c>
      <c r="F685" s="39">
        <v>54</v>
      </c>
      <c r="G685" t="s">
        <v>21</v>
      </c>
      <c r="H685" t="s">
        <v>21</v>
      </c>
      <c r="I685">
        <v>0</v>
      </c>
      <c r="J685">
        <v>0</v>
      </c>
      <c r="K685">
        <v>0</v>
      </c>
      <c r="L685">
        <v>1</v>
      </c>
      <c r="M685">
        <v>0</v>
      </c>
      <c r="N685" t="s">
        <v>193</v>
      </c>
      <c r="O685" t="s">
        <v>213</v>
      </c>
      <c r="P685" t="s">
        <v>204</v>
      </c>
      <c r="Q685" t="s">
        <v>170</v>
      </c>
      <c r="R685" t="s">
        <v>155</v>
      </c>
      <c r="T685" t="s">
        <v>134</v>
      </c>
      <c r="U685">
        <v>1</v>
      </c>
      <c r="W685" t="s">
        <v>134</v>
      </c>
      <c r="X685">
        <v>1</v>
      </c>
      <c r="Y685" t="s">
        <v>140</v>
      </c>
      <c r="Z685" t="s">
        <v>181</v>
      </c>
      <c r="AA685" t="s">
        <v>142</v>
      </c>
      <c r="AB685" t="s">
        <v>162</v>
      </c>
      <c r="AC685" t="s">
        <v>175</v>
      </c>
      <c r="AD685" t="s">
        <v>155</v>
      </c>
      <c r="AE685" t="s">
        <v>129</v>
      </c>
      <c r="AF685" t="s">
        <v>21</v>
      </c>
    </row>
    <row r="686" spans="1:32">
      <c r="A686" t="s">
        <v>1402</v>
      </c>
      <c r="B686" s="37">
        <v>39911</v>
      </c>
      <c r="C686" s="38">
        <v>39911</v>
      </c>
      <c r="D686" s="38">
        <v>39909</v>
      </c>
      <c r="E686" s="38">
        <v>39904</v>
      </c>
      <c r="F686" s="39">
        <v>6</v>
      </c>
      <c r="G686" t="s">
        <v>21</v>
      </c>
      <c r="H686" t="s">
        <v>21</v>
      </c>
      <c r="I686">
        <v>0</v>
      </c>
      <c r="J686">
        <v>0</v>
      </c>
      <c r="K686">
        <v>0</v>
      </c>
      <c r="L686">
        <v>1</v>
      </c>
      <c r="M686">
        <v>0</v>
      </c>
      <c r="N686" t="s">
        <v>193</v>
      </c>
      <c r="O686" t="s">
        <v>213</v>
      </c>
      <c r="P686" t="s">
        <v>204</v>
      </c>
      <c r="Q686" t="s">
        <v>170</v>
      </c>
      <c r="R686" t="s">
        <v>155</v>
      </c>
      <c r="T686" t="s">
        <v>134</v>
      </c>
      <c r="U686">
        <v>1</v>
      </c>
      <c r="W686" t="s">
        <v>134</v>
      </c>
      <c r="X686">
        <v>1</v>
      </c>
      <c r="Y686" t="s">
        <v>140</v>
      </c>
      <c r="Z686" t="s">
        <v>180</v>
      </c>
      <c r="AA686" t="s">
        <v>147</v>
      </c>
      <c r="AB686" t="s">
        <v>162</v>
      </c>
      <c r="AC686" t="s">
        <v>429</v>
      </c>
      <c r="AD686" t="s">
        <v>155</v>
      </c>
      <c r="AE686" t="s">
        <v>130</v>
      </c>
      <c r="AF686" t="s">
        <v>21</v>
      </c>
    </row>
    <row r="687" spans="1:32">
      <c r="A687" t="s">
        <v>1403</v>
      </c>
      <c r="B687" s="37">
        <v>40038</v>
      </c>
      <c r="C687" s="38">
        <v>40038</v>
      </c>
      <c r="D687" s="38">
        <v>40035</v>
      </c>
      <c r="E687" s="38">
        <v>40026</v>
      </c>
      <c r="F687" s="39">
        <v>133</v>
      </c>
      <c r="G687" t="s">
        <v>9</v>
      </c>
      <c r="H687" t="s">
        <v>9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193</v>
      </c>
      <c r="O687" t="s">
        <v>213</v>
      </c>
      <c r="P687" t="s">
        <v>204</v>
      </c>
      <c r="Q687" t="s">
        <v>170</v>
      </c>
      <c r="R687" t="s">
        <v>155</v>
      </c>
      <c r="S687">
        <v>5</v>
      </c>
      <c r="T687" t="s">
        <v>135</v>
      </c>
      <c r="U687">
        <v>0</v>
      </c>
      <c r="V687">
        <v>5</v>
      </c>
      <c r="W687" t="s">
        <v>135</v>
      </c>
      <c r="X687">
        <v>0</v>
      </c>
      <c r="Y687" t="s">
        <v>140</v>
      </c>
      <c r="Z687" t="s">
        <v>182</v>
      </c>
      <c r="AA687" t="s">
        <v>146</v>
      </c>
      <c r="AB687" t="s">
        <v>162</v>
      </c>
      <c r="AC687" t="s">
        <v>174</v>
      </c>
      <c r="AD687" t="s">
        <v>156</v>
      </c>
      <c r="AE687" t="s">
        <v>120</v>
      </c>
      <c r="AF687" t="s">
        <v>1404</v>
      </c>
    </row>
    <row r="688" spans="1:32">
      <c r="A688" t="s">
        <v>1405</v>
      </c>
      <c r="B688" s="37">
        <v>39984</v>
      </c>
      <c r="C688" s="38">
        <v>39984</v>
      </c>
      <c r="D688" s="38">
        <v>39979</v>
      </c>
      <c r="E688" s="38">
        <v>39965</v>
      </c>
      <c r="F688" s="39">
        <v>79</v>
      </c>
      <c r="G688" t="s">
        <v>21</v>
      </c>
      <c r="H688" t="s">
        <v>21</v>
      </c>
      <c r="I688">
        <v>0</v>
      </c>
      <c r="J688">
        <v>0</v>
      </c>
      <c r="K688">
        <v>0</v>
      </c>
      <c r="L688">
        <v>1</v>
      </c>
      <c r="M688">
        <v>0</v>
      </c>
      <c r="N688" t="s">
        <v>194</v>
      </c>
      <c r="O688" t="s">
        <v>213</v>
      </c>
      <c r="P688" t="s">
        <v>205</v>
      </c>
      <c r="Q688" t="s">
        <v>170</v>
      </c>
      <c r="R688" t="s">
        <v>155</v>
      </c>
      <c r="T688" t="s">
        <v>134</v>
      </c>
      <c r="U688">
        <v>1</v>
      </c>
      <c r="W688" t="s">
        <v>134</v>
      </c>
      <c r="X688">
        <v>1</v>
      </c>
      <c r="Y688" t="s">
        <v>139</v>
      </c>
      <c r="Z688" t="s">
        <v>180</v>
      </c>
      <c r="AA688" t="s">
        <v>144</v>
      </c>
      <c r="AB688" t="s">
        <v>163</v>
      </c>
      <c r="AC688" t="s">
        <v>1406</v>
      </c>
      <c r="AD688" t="s">
        <v>788</v>
      </c>
      <c r="AE688" t="s">
        <v>1407</v>
      </c>
      <c r="AF688" t="s">
        <v>21</v>
      </c>
    </row>
    <row r="689" spans="1:32">
      <c r="A689" t="s">
        <v>1408</v>
      </c>
      <c r="B689" s="37">
        <v>39937</v>
      </c>
      <c r="C689" s="38">
        <v>39937</v>
      </c>
      <c r="D689" s="38">
        <v>39937</v>
      </c>
      <c r="E689" s="38">
        <v>39934</v>
      </c>
      <c r="F689" s="39">
        <v>32</v>
      </c>
      <c r="G689" t="s">
        <v>21</v>
      </c>
      <c r="H689" t="s">
        <v>21</v>
      </c>
      <c r="I689">
        <v>0</v>
      </c>
      <c r="J689">
        <v>0</v>
      </c>
      <c r="K689">
        <v>0</v>
      </c>
      <c r="L689">
        <v>1</v>
      </c>
      <c r="M689">
        <v>0</v>
      </c>
      <c r="N689" t="s">
        <v>193</v>
      </c>
      <c r="O689" t="s">
        <v>213</v>
      </c>
      <c r="P689" t="s">
        <v>204</v>
      </c>
      <c r="Q689" t="s">
        <v>170</v>
      </c>
      <c r="R689" t="s">
        <v>155</v>
      </c>
      <c r="T689" t="s">
        <v>134</v>
      </c>
      <c r="U689">
        <v>1</v>
      </c>
      <c r="W689" t="s">
        <v>134</v>
      </c>
      <c r="X689">
        <v>1</v>
      </c>
      <c r="Y689" t="s">
        <v>140</v>
      </c>
      <c r="Z689" t="s">
        <v>178</v>
      </c>
      <c r="AA689" t="s">
        <v>145</v>
      </c>
      <c r="AB689" t="s">
        <v>162</v>
      </c>
      <c r="AC689" t="s">
        <v>175</v>
      </c>
      <c r="AD689" t="s">
        <v>155</v>
      </c>
      <c r="AE689" t="s">
        <v>129</v>
      </c>
      <c r="AF689" t="s">
        <v>21</v>
      </c>
    </row>
    <row r="690" spans="1:32">
      <c r="A690" t="s">
        <v>1409</v>
      </c>
      <c r="B690" s="37">
        <v>40079</v>
      </c>
      <c r="C690" s="38">
        <v>40079</v>
      </c>
      <c r="D690" s="38">
        <v>40077</v>
      </c>
      <c r="E690" s="38">
        <v>40057</v>
      </c>
      <c r="F690" s="39">
        <v>174</v>
      </c>
      <c r="G690" t="s">
        <v>496</v>
      </c>
      <c r="H690" t="s">
        <v>13</v>
      </c>
      <c r="I690">
        <v>0</v>
      </c>
      <c r="J690">
        <v>1</v>
      </c>
      <c r="K690">
        <v>0</v>
      </c>
      <c r="L690">
        <v>0</v>
      </c>
      <c r="M690">
        <v>1</v>
      </c>
      <c r="N690" t="s">
        <v>544</v>
      </c>
      <c r="O690" t="s">
        <v>213</v>
      </c>
      <c r="P690" t="s">
        <v>545</v>
      </c>
      <c r="Q690" t="s">
        <v>170</v>
      </c>
      <c r="R690" t="s">
        <v>155</v>
      </c>
      <c r="S690">
        <v>5</v>
      </c>
      <c r="T690" t="s">
        <v>135</v>
      </c>
      <c r="U690">
        <v>0</v>
      </c>
      <c r="V690">
        <v>5</v>
      </c>
      <c r="W690" t="s">
        <v>135</v>
      </c>
      <c r="X690">
        <v>0</v>
      </c>
      <c r="Y690" t="s">
        <v>139</v>
      </c>
      <c r="Z690" t="s">
        <v>528</v>
      </c>
      <c r="AA690" t="s">
        <v>143</v>
      </c>
      <c r="AB690" t="s">
        <v>162</v>
      </c>
      <c r="AC690" t="s">
        <v>578</v>
      </c>
      <c r="AD690" t="s">
        <v>156</v>
      </c>
      <c r="AE690" t="s">
        <v>120</v>
      </c>
      <c r="AF690" t="s">
        <v>741</v>
      </c>
    </row>
    <row r="691" spans="1:32">
      <c r="A691" t="s">
        <v>1410</v>
      </c>
      <c r="B691" s="37">
        <v>40049</v>
      </c>
      <c r="C691" s="38">
        <v>40049</v>
      </c>
      <c r="D691" s="38">
        <v>40049</v>
      </c>
      <c r="E691" s="38">
        <v>40026</v>
      </c>
      <c r="F691" s="39">
        <v>144</v>
      </c>
      <c r="G691" t="s">
        <v>21</v>
      </c>
      <c r="H691" t="s">
        <v>21</v>
      </c>
      <c r="I691">
        <v>0</v>
      </c>
      <c r="J691">
        <v>0</v>
      </c>
      <c r="K691">
        <v>0</v>
      </c>
      <c r="L691">
        <v>1</v>
      </c>
      <c r="M691">
        <v>0</v>
      </c>
      <c r="N691" t="s">
        <v>193</v>
      </c>
      <c r="O691" t="s">
        <v>213</v>
      </c>
      <c r="P691" t="s">
        <v>204</v>
      </c>
      <c r="Q691" t="s">
        <v>170</v>
      </c>
      <c r="R691" t="s">
        <v>155</v>
      </c>
      <c r="S691">
        <v>5</v>
      </c>
      <c r="T691" t="s">
        <v>135</v>
      </c>
      <c r="U691">
        <v>0</v>
      </c>
      <c r="V691">
        <v>2</v>
      </c>
      <c r="W691" t="s">
        <v>136</v>
      </c>
      <c r="X691">
        <v>0</v>
      </c>
      <c r="Y691" t="s">
        <v>140</v>
      </c>
      <c r="Z691" t="s">
        <v>178</v>
      </c>
      <c r="AA691" t="s">
        <v>146</v>
      </c>
      <c r="AB691" t="s">
        <v>165</v>
      </c>
      <c r="AC691" t="s">
        <v>1411</v>
      </c>
      <c r="AD691" t="s">
        <v>158</v>
      </c>
      <c r="AE691" t="s">
        <v>122</v>
      </c>
      <c r="AF691" t="s">
        <v>21</v>
      </c>
    </row>
    <row r="692" spans="1:32">
      <c r="A692" t="s">
        <v>1412</v>
      </c>
      <c r="B692" s="37">
        <v>40005</v>
      </c>
      <c r="C692" s="38">
        <v>40005</v>
      </c>
      <c r="D692" s="38">
        <v>40000</v>
      </c>
      <c r="E692" s="38">
        <v>39995</v>
      </c>
      <c r="F692" s="39">
        <v>100</v>
      </c>
      <c r="G692" t="s">
        <v>21</v>
      </c>
      <c r="H692" t="s">
        <v>21</v>
      </c>
      <c r="I692">
        <v>0</v>
      </c>
      <c r="J692">
        <v>0</v>
      </c>
      <c r="K692">
        <v>0</v>
      </c>
      <c r="L692">
        <v>1</v>
      </c>
      <c r="M692">
        <v>0</v>
      </c>
      <c r="N692" t="s">
        <v>193</v>
      </c>
      <c r="O692" t="s">
        <v>213</v>
      </c>
      <c r="P692" t="s">
        <v>204</v>
      </c>
      <c r="Q692" t="s">
        <v>170</v>
      </c>
      <c r="R692" t="s">
        <v>155</v>
      </c>
      <c r="S692">
        <v>3</v>
      </c>
      <c r="T692" t="s">
        <v>137</v>
      </c>
      <c r="U692">
        <v>0</v>
      </c>
      <c r="V692">
        <v>3</v>
      </c>
      <c r="W692" t="s">
        <v>137</v>
      </c>
      <c r="X692">
        <v>0</v>
      </c>
      <c r="Y692" t="s">
        <v>140</v>
      </c>
      <c r="Z692" t="s">
        <v>191</v>
      </c>
      <c r="AA692" t="s">
        <v>144</v>
      </c>
      <c r="AB692" t="s">
        <v>162</v>
      </c>
      <c r="AC692" t="s">
        <v>1413</v>
      </c>
      <c r="AD692" t="s">
        <v>160</v>
      </c>
      <c r="AE692" t="s">
        <v>126</v>
      </c>
      <c r="AF692" t="s">
        <v>551</v>
      </c>
    </row>
    <row r="693" spans="1:32">
      <c r="A693" t="s">
        <v>1414</v>
      </c>
      <c r="B693" s="37">
        <v>39984</v>
      </c>
      <c r="C693" s="38">
        <v>39984</v>
      </c>
      <c r="D693" s="38">
        <v>39979</v>
      </c>
      <c r="E693" s="38">
        <v>39965</v>
      </c>
      <c r="F693" s="39">
        <v>79</v>
      </c>
      <c r="G693" t="s">
        <v>21</v>
      </c>
      <c r="H693" t="s">
        <v>21</v>
      </c>
      <c r="I693">
        <v>0</v>
      </c>
      <c r="J693">
        <v>0</v>
      </c>
      <c r="K693">
        <v>0</v>
      </c>
      <c r="L693">
        <v>1</v>
      </c>
      <c r="M693">
        <v>0</v>
      </c>
      <c r="N693" t="s">
        <v>195</v>
      </c>
      <c r="O693" t="s">
        <v>213</v>
      </c>
      <c r="P693" t="s">
        <v>206</v>
      </c>
      <c r="Q693" t="s">
        <v>170</v>
      </c>
      <c r="R693" t="s">
        <v>155</v>
      </c>
      <c r="T693" t="s">
        <v>134</v>
      </c>
      <c r="U693">
        <v>1</v>
      </c>
      <c r="W693" t="s">
        <v>134</v>
      </c>
      <c r="X693">
        <v>1</v>
      </c>
      <c r="Y693" t="s">
        <v>139</v>
      </c>
      <c r="Z693" t="s">
        <v>179</v>
      </c>
      <c r="AA693" t="s">
        <v>145</v>
      </c>
      <c r="AB693" t="s">
        <v>163</v>
      </c>
      <c r="AC693" t="s">
        <v>173</v>
      </c>
      <c r="AD693" t="s">
        <v>788</v>
      </c>
      <c r="AE693" t="s">
        <v>1415</v>
      </c>
      <c r="AF693" t="s">
        <v>21</v>
      </c>
    </row>
    <row r="694" spans="1:32">
      <c r="A694" t="s">
        <v>1416</v>
      </c>
      <c r="B694" s="37">
        <v>40042</v>
      </c>
      <c r="C694" s="38">
        <v>40042</v>
      </c>
      <c r="D694" s="38">
        <v>40042</v>
      </c>
      <c r="E694" s="38">
        <v>40026</v>
      </c>
      <c r="F694" s="39">
        <v>137</v>
      </c>
      <c r="G694" t="s">
        <v>21</v>
      </c>
      <c r="H694" t="s">
        <v>21</v>
      </c>
      <c r="I694">
        <v>0</v>
      </c>
      <c r="J694">
        <v>0</v>
      </c>
      <c r="K694">
        <v>0</v>
      </c>
      <c r="L694">
        <v>1</v>
      </c>
      <c r="M694">
        <v>0</v>
      </c>
      <c r="N694" t="s">
        <v>193</v>
      </c>
      <c r="O694" t="s">
        <v>213</v>
      </c>
      <c r="P694" t="s">
        <v>204</v>
      </c>
      <c r="Q694" t="s">
        <v>170</v>
      </c>
      <c r="R694" t="s">
        <v>155</v>
      </c>
      <c r="S694">
        <v>5</v>
      </c>
      <c r="T694" t="s">
        <v>135</v>
      </c>
      <c r="U694">
        <v>0</v>
      </c>
      <c r="V694">
        <v>5</v>
      </c>
      <c r="W694" t="s">
        <v>135</v>
      </c>
      <c r="X694">
        <v>0</v>
      </c>
      <c r="Y694" t="s">
        <v>140</v>
      </c>
      <c r="Z694" t="s">
        <v>190</v>
      </c>
      <c r="AA694" t="s">
        <v>142</v>
      </c>
      <c r="AB694" t="s">
        <v>163</v>
      </c>
      <c r="AC694" t="s">
        <v>902</v>
      </c>
      <c r="AD694" t="s">
        <v>155</v>
      </c>
      <c r="AE694" t="s">
        <v>125</v>
      </c>
      <c r="AF694" t="s">
        <v>21</v>
      </c>
    </row>
    <row r="695" spans="1:32">
      <c r="A695" t="s">
        <v>1417</v>
      </c>
      <c r="B695" s="37">
        <v>40017</v>
      </c>
      <c r="C695" s="38">
        <v>40017</v>
      </c>
      <c r="D695" s="38">
        <v>40014</v>
      </c>
      <c r="E695" s="38">
        <v>39995</v>
      </c>
      <c r="F695" s="39">
        <v>112</v>
      </c>
      <c r="G695" t="s">
        <v>21</v>
      </c>
      <c r="H695" t="s">
        <v>21</v>
      </c>
      <c r="I695">
        <v>0</v>
      </c>
      <c r="J695">
        <v>0</v>
      </c>
      <c r="K695">
        <v>0</v>
      </c>
      <c r="L695">
        <v>1</v>
      </c>
      <c r="M695">
        <v>0</v>
      </c>
      <c r="N695" t="s">
        <v>195</v>
      </c>
      <c r="O695" t="s">
        <v>213</v>
      </c>
      <c r="P695" t="s">
        <v>206</v>
      </c>
      <c r="Q695" t="s">
        <v>170</v>
      </c>
      <c r="R695" t="s">
        <v>155</v>
      </c>
      <c r="S695">
        <v>5</v>
      </c>
      <c r="T695" t="s">
        <v>135</v>
      </c>
      <c r="U695">
        <v>0</v>
      </c>
      <c r="V695">
        <v>2</v>
      </c>
      <c r="W695" t="s">
        <v>136</v>
      </c>
      <c r="X695">
        <v>0</v>
      </c>
      <c r="Y695" t="s">
        <v>139</v>
      </c>
      <c r="Z695" t="s">
        <v>187</v>
      </c>
      <c r="AA695" t="s">
        <v>148</v>
      </c>
      <c r="AB695" t="s">
        <v>163</v>
      </c>
      <c r="AC695" t="s">
        <v>173</v>
      </c>
      <c r="AD695" t="s">
        <v>155</v>
      </c>
      <c r="AE695" t="s">
        <v>124</v>
      </c>
      <c r="AF695" t="s">
        <v>21</v>
      </c>
    </row>
    <row r="696" spans="1:32">
      <c r="A696" t="s">
        <v>1418</v>
      </c>
      <c r="B696" s="37">
        <v>39994</v>
      </c>
      <c r="C696" s="38">
        <v>39994</v>
      </c>
      <c r="D696" s="38">
        <v>39993</v>
      </c>
      <c r="E696" s="38">
        <v>39965</v>
      </c>
      <c r="F696" s="39">
        <v>89</v>
      </c>
      <c r="G696" t="s">
        <v>21</v>
      </c>
      <c r="H696" t="s">
        <v>21</v>
      </c>
      <c r="I696">
        <v>0</v>
      </c>
      <c r="J696">
        <v>0</v>
      </c>
      <c r="K696">
        <v>0</v>
      </c>
      <c r="L696">
        <v>1</v>
      </c>
      <c r="M696">
        <v>0</v>
      </c>
      <c r="N696" t="s">
        <v>195</v>
      </c>
      <c r="O696" t="s">
        <v>213</v>
      </c>
      <c r="P696" t="s">
        <v>206</v>
      </c>
      <c r="Q696" t="s">
        <v>170</v>
      </c>
      <c r="R696" t="s">
        <v>155</v>
      </c>
      <c r="T696" t="s">
        <v>134</v>
      </c>
      <c r="U696">
        <v>1</v>
      </c>
      <c r="V696">
        <v>3</v>
      </c>
      <c r="W696" t="s">
        <v>137</v>
      </c>
      <c r="X696">
        <v>0</v>
      </c>
      <c r="Y696" t="s">
        <v>139</v>
      </c>
      <c r="Z696" t="s">
        <v>185</v>
      </c>
      <c r="AA696" t="s">
        <v>148</v>
      </c>
      <c r="AB696" t="s">
        <v>162</v>
      </c>
      <c r="AC696" t="s">
        <v>175</v>
      </c>
      <c r="AD696" t="s">
        <v>155</v>
      </c>
      <c r="AE696" t="s">
        <v>130</v>
      </c>
      <c r="AF696" t="s">
        <v>21</v>
      </c>
    </row>
    <row r="697" spans="1:32">
      <c r="A697" t="s">
        <v>1419</v>
      </c>
      <c r="B697" s="37">
        <v>40021</v>
      </c>
      <c r="C697" s="38">
        <v>40021</v>
      </c>
      <c r="D697" s="38">
        <v>40021</v>
      </c>
      <c r="E697" s="38">
        <v>39995</v>
      </c>
      <c r="F697" s="39">
        <v>116</v>
      </c>
      <c r="G697" t="s">
        <v>383</v>
      </c>
      <c r="H697" t="s">
        <v>17</v>
      </c>
      <c r="I697">
        <v>0</v>
      </c>
      <c r="J697">
        <v>0</v>
      </c>
      <c r="K697">
        <v>1</v>
      </c>
      <c r="L697">
        <v>0</v>
      </c>
      <c r="M697">
        <v>0</v>
      </c>
      <c r="N697" t="s">
        <v>193</v>
      </c>
      <c r="O697" t="s">
        <v>213</v>
      </c>
      <c r="P697" t="s">
        <v>204</v>
      </c>
      <c r="Q697" t="s">
        <v>170</v>
      </c>
      <c r="R697" t="s">
        <v>155</v>
      </c>
      <c r="S697">
        <v>3</v>
      </c>
      <c r="T697" t="s">
        <v>137</v>
      </c>
      <c r="U697">
        <v>0</v>
      </c>
      <c r="V697">
        <v>4</v>
      </c>
      <c r="W697" t="s">
        <v>137</v>
      </c>
      <c r="X697">
        <v>0</v>
      </c>
      <c r="Y697" t="s">
        <v>140</v>
      </c>
      <c r="Z697" t="s">
        <v>178</v>
      </c>
      <c r="AA697" t="s">
        <v>142</v>
      </c>
      <c r="AB697" t="s">
        <v>162</v>
      </c>
      <c r="AC697" t="s">
        <v>175</v>
      </c>
      <c r="AD697" t="s">
        <v>155</v>
      </c>
      <c r="AE697" t="s">
        <v>130</v>
      </c>
      <c r="AF697" t="s">
        <v>21</v>
      </c>
    </row>
    <row r="698" spans="1:32">
      <c r="A698" t="s">
        <v>1420</v>
      </c>
      <c r="B698" s="37">
        <v>39925</v>
      </c>
      <c r="C698" s="38">
        <v>39925</v>
      </c>
      <c r="D698" s="38">
        <v>39923</v>
      </c>
      <c r="E698" s="38">
        <v>39904</v>
      </c>
      <c r="F698" s="39">
        <v>20</v>
      </c>
      <c r="G698" t="s">
        <v>21</v>
      </c>
      <c r="H698" t="s">
        <v>21</v>
      </c>
      <c r="I698">
        <v>0</v>
      </c>
      <c r="J698">
        <v>0</v>
      </c>
      <c r="K698">
        <v>0</v>
      </c>
      <c r="L698">
        <v>1</v>
      </c>
      <c r="M698">
        <v>0</v>
      </c>
      <c r="N698" t="s">
        <v>202</v>
      </c>
      <c r="O698" t="s">
        <v>213</v>
      </c>
      <c r="P698" t="s">
        <v>211</v>
      </c>
      <c r="Q698" t="s">
        <v>170</v>
      </c>
      <c r="R698" t="s">
        <v>155</v>
      </c>
      <c r="T698" t="s">
        <v>134</v>
      </c>
      <c r="U698">
        <v>1</v>
      </c>
      <c r="W698" t="s">
        <v>134</v>
      </c>
      <c r="X698">
        <v>1</v>
      </c>
      <c r="Y698" t="s">
        <v>139</v>
      </c>
      <c r="Z698" t="s">
        <v>184</v>
      </c>
      <c r="AA698" t="s">
        <v>142</v>
      </c>
      <c r="AB698" t="s">
        <v>163</v>
      </c>
      <c r="AC698" t="s">
        <v>173</v>
      </c>
      <c r="AD698" t="s">
        <v>155</v>
      </c>
      <c r="AE698" t="s">
        <v>124</v>
      </c>
      <c r="AF698" t="s">
        <v>21</v>
      </c>
    </row>
    <row r="699" spans="1:32">
      <c r="A699" t="s">
        <v>1421</v>
      </c>
      <c r="B699" s="37">
        <v>39921</v>
      </c>
      <c r="C699" s="38">
        <v>39921</v>
      </c>
      <c r="D699" s="38">
        <v>39916</v>
      </c>
      <c r="E699" s="38">
        <v>39904</v>
      </c>
      <c r="F699" s="39">
        <v>16</v>
      </c>
      <c r="G699" t="s">
        <v>21</v>
      </c>
      <c r="H699" t="s">
        <v>21</v>
      </c>
      <c r="I699">
        <v>0</v>
      </c>
      <c r="J699">
        <v>0</v>
      </c>
      <c r="K699">
        <v>0</v>
      </c>
      <c r="L699">
        <v>1</v>
      </c>
      <c r="M699">
        <v>0</v>
      </c>
      <c r="N699" t="s">
        <v>202</v>
      </c>
      <c r="O699" t="s">
        <v>213</v>
      </c>
      <c r="P699" t="s">
        <v>211</v>
      </c>
      <c r="Q699" t="s">
        <v>170</v>
      </c>
      <c r="R699" t="s">
        <v>155</v>
      </c>
      <c r="T699" t="s">
        <v>134</v>
      </c>
      <c r="U699">
        <v>1</v>
      </c>
      <c r="W699" t="s">
        <v>134</v>
      </c>
      <c r="X699">
        <v>1</v>
      </c>
      <c r="Y699" t="s">
        <v>139</v>
      </c>
      <c r="Z699" t="s">
        <v>185</v>
      </c>
      <c r="AA699" t="s">
        <v>148</v>
      </c>
      <c r="AB699" t="s">
        <v>163</v>
      </c>
      <c r="AC699" t="s">
        <v>1422</v>
      </c>
      <c r="AD699" t="s">
        <v>155</v>
      </c>
      <c r="AE699" t="s">
        <v>692</v>
      </c>
      <c r="AF699" t="s">
        <v>21</v>
      </c>
    </row>
    <row r="700" spans="1:32">
      <c r="A700" t="s">
        <v>1423</v>
      </c>
      <c r="B700" s="37">
        <v>39924</v>
      </c>
      <c r="C700" s="38">
        <v>39924</v>
      </c>
      <c r="D700" s="38">
        <v>39923</v>
      </c>
      <c r="E700" s="38">
        <v>39904</v>
      </c>
      <c r="F700" s="39">
        <v>19</v>
      </c>
      <c r="G700" t="s">
        <v>380</v>
      </c>
      <c r="H700" t="s">
        <v>17</v>
      </c>
      <c r="I700">
        <v>0</v>
      </c>
      <c r="J700">
        <v>0</v>
      </c>
      <c r="K700">
        <v>1</v>
      </c>
      <c r="L700">
        <v>0</v>
      </c>
      <c r="M700">
        <v>0</v>
      </c>
      <c r="N700" t="s">
        <v>194</v>
      </c>
      <c r="O700" t="s">
        <v>213</v>
      </c>
      <c r="P700" t="s">
        <v>205</v>
      </c>
      <c r="Q700" t="s">
        <v>170</v>
      </c>
      <c r="R700" t="s">
        <v>155</v>
      </c>
      <c r="T700" t="s">
        <v>134</v>
      </c>
      <c r="U700">
        <v>1</v>
      </c>
      <c r="W700" t="s">
        <v>134</v>
      </c>
      <c r="X700">
        <v>1</v>
      </c>
      <c r="Y700" t="s">
        <v>139</v>
      </c>
      <c r="Z700" t="s">
        <v>509</v>
      </c>
      <c r="AA700" t="s">
        <v>143</v>
      </c>
      <c r="AB700" t="s">
        <v>163</v>
      </c>
      <c r="AC700" t="s">
        <v>21</v>
      </c>
      <c r="AD700" t="s">
        <v>155</v>
      </c>
      <c r="AE700" t="s">
        <v>125</v>
      </c>
      <c r="AF700" t="s">
        <v>21</v>
      </c>
    </row>
    <row r="701" spans="1:32">
      <c r="A701" t="s">
        <v>1424</v>
      </c>
      <c r="B701" s="37">
        <v>39971</v>
      </c>
      <c r="C701" s="38">
        <v>39971</v>
      </c>
      <c r="D701" s="38">
        <v>39965</v>
      </c>
      <c r="E701" s="38">
        <v>39965</v>
      </c>
      <c r="F701" s="39">
        <v>66</v>
      </c>
      <c r="G701" t="s">
        <v>380</v>
      </c>
      <c r="H701" t="s">
        <v>17</v>
      </c>
      <c r="I701">
        <v>0</v>
      </c>
      <c r="J701">
        <v>0</v>
      </c>
      <c r="K701">
        <v>1</v>
      </c>
      <c r="L701">
        <v>0</v>
      </c>
      <c r="M701">
        <v>0</v>
      </c>
      <c r="N701" t="s">
        <v>195</v>
      </c>
      <c r="O701" t="s">
        <v>213</v>
      </c>
      <c r="P701" t="s">
        <v>206</v>
      </c>
      <c r="Q701" t="s">
        <v>170</v>
      </c>
      <c r="R701" t="s">
        <v>155</v>
      </c>
      <c r="T701" t="s">
        <v>134</v>
      </c>
      <c r="U701">
        <v>1</v>
      </c>
      <c r="W701" t="s">
        <v>134</v>
      </c>
      <c r="X701">
        <v>1</v>
      </c>
      <c r="Y701" t="s">
        <v>139</v>
      </c>
      <c r="Z701" t="s">
        <v>509</v>
      </c>
      <c r="AA701" t="s">
        <v>142</v>
      </c>
      <c r="AB701" t="s">
        <v>162</v>
      </c>
      <c r="AC701" t="s">
        <v>1425</v>
      </c>
      <c r="AD701" t="s">
        <v>159</v>
      </c>
      <c r="AE701" t="s">
        <v>126</v>
      </c>
      <c r="AF701" t="s">
        <v>601</v>
      </c>
    </row>
    <row r="702" spans="1:32">
      <c r="A702" t="s">
        <v>1426</v>
      </c>
      <c r="B702" s="37">
        <v>40055</v>
      </c>
      <c r="C702" s="38">
        <v>40055</v>
      </c>
      <c r="D702" s="38">
        <v>40049</v>
      </c>
      <c r="E702" s="38">
        <v>40026</v>
      </c>
      <c r="F702" s="39">
        <v>150</v>
      </c>
      <c r="G702" t="s">
        <v>21</v>
      </c>
      <c r="H702" t="s">
        <v>21</v>
      </c>
      <c r="I702">
        <v>0</v>
      </c>
      <c r="J702">
        <v>0</v>
      </c>
      <c r="K702">
        <v>0</v>
      </c>
      <c r="L702">
        <v>1</v>
      </c>
      <c r="M702">
        <v>0</v>
      </c>
      <c r="N702" t="s">
        <v>193</v>
      </c>
      <c r="O702" t="s">
        <v>213</v>
      </c>
      <c r="P702" t="s">
        <v>204</v>
      </c>
      <c r="Q702" t="s">
        <v>170</v>
      </c>
      <c r="R702" t="s">
        <v>155</v>
      </c>
      <c r="S702">
        <v>5</v>
      </c>
      <c r="T702" t="s">
        <v>135</v>
      </c>
      <c r="U702">
        <v>0</v>
      </c>
      <c r="V702">
        <v>5</v>
      </c>
      <c r="W702" t="s">
        <v>135</v>
      </c>
      <c r="X702">
        <v>0</v>
      </c>
      <c r="Y702" t="s">
        <v>140</v>
      </c>
      <c r="Z702" t="s">
        <v>184</v>
      </c>
      <c r="AA702" t="s">
        <v>142</v>
      </c>
      <c r="AB702" t="s">
        <v>162</v>
      </c>
      <c r="AC702" t="s">
        <v>506</v>
      </c>
      <c r="AD702" t="s">
        <v>156</v>
      </c>
      <c r="AE702" t="s">
        <v>120</v>
      </c>
      <c r="AF702" t="s">
        <v>1427</v>
      </c>
    </row>
    <row r="703" spans="1:32">
      <c r="A703" t="s">
        <v>1428</v>
      </c>
      <c r="B703" s="37">
        <v>39962</v>
      </c>
      <c r="C703" s="38">
        <v>39962</v>
      </c>
      <c r="D703" s="38">
        <v>39958</v>
      </c>
      <c r="E703" s="38">
        <v>39934</v>
      </c>
      <c r="F703" s="39">
        <v>57</v>
      </c>
      <c r="G703" t="s">
        <v>21</v>
      </c>
      <c r="H703" t="s">
        <v>21</v>
      </c>
      <c r="I703">
        <v>0</v>
      </c>
      <c r="J703">
        <v>0</v>
      </c>
      <c r="K703">
        <v>0</v>
      </c>
      <c r="L703">
        <v>1</v>
      </c>
      <c r="M703">
        <v>0</v>
      </c>
      <c r="N703" t="s">
        <v>193</v>
      </c>
      <c r="O703" t="s">
        <v>213</v>
      </c>
      <c r="P703" t="s">
        <v>204</v>
      </c>
      <c r="Q703" t="s">
        <v>170</v>
      </c>
      <c r="R703" t="s">
        <v>155</v>
      </c>
      <c r="T703" t="s">
        <v>134</v>
      </c>
      <c r="U703">
        <v>1</v>
      </c>
      <c r="W703" t="s">
        <v>134</v>
      </c>
      <c r="X703">
        <v>1</v>
      </c>
      <c r="Y703" t="s">
        <v>140</v>
      </c>
      <c r="Z703" t="s">
        <v>189</v>
      </c>
      <c r="AA703" t="s">
        <v>150</v>
      </c>
      <c r="AB703" t="s">
        <v>163</v>
      </c>
      <c r="AC703" t="s">
        <v>1429</v>
      </c>
      <c r="AD703" t="s">
        <v>155</v>
      </c>
      <c r="AE703" t="s">
        <v>454</v>
      </c>
      <c r="AF703" t="s">
        <v>21</v>
      </c>
    </row>
    <row r="704" spans="1:32">
      <c r="A704" t="s">
        <v>1430</v>
      </c>
      <c r="B704" s="37">
        <v>39934</v>
      </c>
      <c r="C704" s="38">
        <v>39934</v>
      </c>
      <c r="D704" s="38">
        <v>39930</v>
      </c>
      <c r="E704" s="38">
        <v>39934</v>
      </c>
      <c r="F704" s="39">
        <v>29</v>
      </c>
      <c r="G704" t="s">
        <v>21</v>
      </c>
      <c r="H704" t="s">
        <v>21</v>
      </c>
      <c r="I704">
        <v>0</v>
      </c>
      <c r="J704">
        <v>0</v>
      </c>
      <c r="K704">
        <v>0</v>
      </c>
      <c r="L704">
        <v>1</v>
      </c>
      <c r="M704">
        <v>0</v>
      </c>
      <c r="N704" t="s">
        <v>194</v>
      </c>
      <c r="O704" t="s">
        <v>213</v>
      </c>
      <c r="P704" t="s">
        <v>205</v>
      </c>
      <c r="Q704" t="s">
        <v>170</v>
      </c>
      <c r="R704" t="s">
        <v>155</v>
      </c>
      <c r="T704" t="s">
        <v>134</v>
      </c>
      <c r="U704">
        <v>1</v>
      </c>
      <c r="W704" t="s">
        <v>134</v>
      </c>
      <c r="X704">
        <v>1</v>
      </c>
      <c r="Y704" t="s">
        <v>139</v>
      </c>
      <c r="Z704" t="s">
        <v>409</v>
      </c>
      <c r="AA704" t="s">
        <v>143</v>
      </c>
      <c r="AB704" t="s">
        <v>162</v>
      </c>
      <c r="AC704" t="s">
        <v>21</v>
      </c>
      <c r="AD704" t="s">
        <v>155</v>
      </c>
      <c r="AE704" t="s">
        <v>129</v>
      </c>
      <c r="AF704" t="s">
        <v>21</v>
      </c>
    </row>
    <row r="705" spans="1:32">
      <c r="A705" t="s">
        <v>1431</v>
      </c>
      <c r="B705" s="37">
        <v>39924</v>
      </c>
      <c r="C705" s="38">
        <v>39924</v>
      </c>
      <c r="D705" s="38">
        <v>39923</v>
      </c>
      <c r="E705" s="38">
        <v>39904</v>
      </c>
      <c r="F705" s="39">
        <v>19</v>
      </c>
      <c r="G705" t="s">
        <v>525</v>
      </c>
      <c r="H705" t="s">
        <v>17</v>
      </c>
      <c r="I705">
        <v>0</v>
      </c>
      <c r="J705">
        <v>0</v>
      </c>
      <c r="K705">
        <v>1</v>
      </c>
      <c r="L705">
        <v>0</v>
      </c>
      <c r="M705">
        <v>0</v>
      </c>
      <c r="N705" t="s">
        <v>194</v>
      </c>
      <c r="O705" t="s">
        <v>213</v>
      </c>
      <c r="P705" t="s">
        <v>205</v>
      </c>
      <c r="Q705" t="s">
        <v>170</v>
      </c>
      <c r="R705" t="s">
        <v>155</v>
      </c>
      <c r="T705" t="s">
        <v>134</v>
      </c>
      <c r="U705">
        <v>1</v>
      </c>
      <c r="W705" t="s">
        <v>134</v>
      </c>
      <c r="X705">
        <v>1</v>
      </c>
      <c r="Y705" t="s">
        <v>139</v>
      </c>
      <c r="Z705" t="s">
        <v>181</v>
      </c>
      <c r="AA705" t="s">
        <v>143</v>
      </c>
      <c r="AB705" t="s">
        <v>162</v>
      </c>
      <c r="AC705" t="s">
        <v>550</v>
      </c>
      <c r="AD705" t="s">
        <v>157</v>
      </c>
      <c r="AE705" t="s">
        <v>434</v>
      </c>
      <c r="AF705" t="s">
        <v>449</v>
      </c>
    </row>
    <row r="706" spans="1:32">
      <c r="A706" t="s">
        <v>1432</v>
      </c>
      <c r="B706" s="37">
        <v>40005</v>
      </c>
      <c r="C706" s="38">
        <v>40005</v>
      </c>
      <c r="D706" s="38">
        <v>40000</v>
      </c>
      <c r="E706" s="38">
        <v>39995</v>
      </c>
      <c r="F706" s="39">
        <v>100</v>
      </c>
      <c r="G706" t="s">
        <v>21</v>
      </c>
      <c r="H706" t="s">
        <v>21</v>
      </c>
      <c r="I706">
        <v>0</v>
      </c>
      <c r="J706">
        <v>0</v>
      </c>
      <c r="K706">
        <v>0</v>
      </c>
      <c r="L706">
        <v>1</v>
      </c>
      <c r="M706">
        <v>0</v>
      </c>
      <c r="N706" t="s">
        <v>193</v>
      </c>
      <c r="O706" t="s">
        <v>213</v>
      </c>
      <c r="P706" t="s">
        <v>204</v>
      </c>
      <c r="Q706" t="s">
        <v>170</v>
      </c>
      <c r="R706" t="s">
        <v>155</v>
      </c>
      <c r="S706">
        <v>2</v>
      </c>
      <c r="T706" t="s">
        <v>136</v>
      </c>
      <c r="U706">
        <v>0</v>
      </c>
      <c r="V706">
        <v>3</v>
      </c>
      <c r="W706" t="s">
        <v>137</v>
      </c>
      <c r="X706">
        <v>0</v>
      </c>
      <c r="Y706" t="s">
        <v>140</v>
      </c>
      <c r="Z706" t="s">
        <v>180</v>
      </c>
      <c r="AA706" t="s">
        <v>148</v>
      </c>
      <c r="AB706" t="s">
        <v>162</v>
      </c>
      <c r="AC706" t="s">
        <v>1231</v>
      </c>
      <c r="AD706" t="s">
        <v>155</v>
      </c>
      <c r="AE706" t="s">
        <v>130</v>
      </c>
      <c r="AF706" t="s">
        <v>21</v>
      </c>
    </row>
    <row r="707" spans="1:32">
      <c r="A707" t="s">
        <v>1433</v>
      </c>
      <c r="B707" s="37">
        <v>40014</v>
      </c>
      <c r="C707" s="38">
        <v>40014</v>
      </c>
      <c r="D707" s="38">
        <v>40014</v>
      </c>
      <c r="E707" s="38">
        <v>39995</v>
      </c>
      <c r="F707" s="39">
        <v>109</v>
      </c>
      <c r="G707" t="s">
        <v>21</v>
      </c>
      <c r="H707" t="s">
        <v>21</v>
      </c>
      <c r="I707">
        <v>0</v>
      </c>
      <c r="J707">
        <v>0</v>
      </c>
      <c r="K707">
        <v>0</v>
      </c>
      <c r="L707">
        <v>1</v>
      </c>
      <c r="M707">
        <v>0</v>
      </c>
      <c r="N707" t="s">
        <v>193</v>
      </c>
      <c r="O707" t="s">
        <v>213</v>
      </c>
      <c r="P707" t="s">
        <v>204</v>
      </c>
      <c r="Q707" t="s">
        <v>170</v>
      </c>
      <c r="R707" t="s">
        <v>155</v>
      </c>
      <c r="S707">
        <v>5</v>
      </c>
      <c r="T707" t="s">
        <v>135</v>
      </c>
      <c r="U707">
        <v>0</v>
      </c>
      <c r="V707">
        <v>2</v>
      </c>
      <c r="W707" t="s">
        <v>136</v>
      </c>
      <c r="X707">
        <v>0</v>
      </c>
      <c r="Y707" t="s">
        <v>140</v>
      </c>
      <c r="Z707" t="s">
        <v>183</v>
      </c>
      <c r="AA707" t="s">
        <v>142</v>
      </c>
      <c r="AB707" t="s">
        <v>162</v>
      </c>
      <c r="AC707" t="s">
        <v>174</v>
      </c>
      <c r="AD707" t="s">
        <v>156</v>
      </c>
      <c r="AE707" t="s">
        <v>120</v>
      </c>
      <c r="AF707" t="s">
        <v>1434</v>
      </c>
    </row>
    <row r="708" spans="1:32">
      <c r="A708" t="s">
        <v>1435</v>
      </c>
      <c r="B708" s="37">
        <v>39953</v>
      </c>
      <c r="C708" s="38">
        <v>39953</v>
      </c>
      <c r="D708" s="38">
        <v>39951</v>
      </c>
      <c r="E708" s="38">
        <v>39934</v>
      </c>
      <c r="F708" s="39">
        <v>48</v>
      </c>
      <c r="G708" t="s">
        <v>21</v>
      </c>
      <c r="H708" t="s">
        <v>21</v>
      </c>
      <c r="I708">
        <v>0</v>
      </c>
      <c r="J708">
        <v>0</v>
      </c>
      <c r="K708">
        <v>0</v>
      </c>
      <c r="L708">
        <v>1</v>
      </c>
      <c r="M708">
        <v>0</v>
      </c>
      <c r="N708" t="s">
        <v>195</v>
      </c>
      <c r="O708" t="s">
        <v>213</v>
      </c>
      <c r="P708" t="s">
        <v>206</v>
      </c>
      <c r="Q708" t="s">
        <v>170</v>
      </c>
      <c r="R708" t="s">
        <v>155</v>
      </c>
      <c r="T708" t="s">
        <v>134</v>
      </c>
      <c r="U708">
        <v>1</v>
      </c>
      <c r="W708" t="s">
        <v>134</v>
      </c>
      <c r="X708">
        <v>1</v>
      </c>
      <c r="Y708" t="s">
        <v>139</v>
      </c>
      <c r="Z708" t="s">
        <v>178</v>
      </c>
      <c r="AA708" t="s">
        <v>143</v>
      </c>
      <c r="AB708" t="s">
        <v>163</v>
      </c>
      <c r="AC708" t="s">
        <v>173</v>
      </c>
      <c r="AD708" t="s">
        <v>155</v>
      </c>
      <c r="AE708" t="s">
        <v>125</v>
      </c>
      <c r="AF708" t="s">
        <v>21</v>
      </c>
    </row>
    <row r="709" spans="1:32">
      <c r="A709" t="s">
        <v>1436</v>
      </c>
      <c r="B709" s="37">
        <v>39931</v>
      </c>
      <c r="C709" s="38">
        <v>39931</v>
      </c>
      <c r="D709" s="38">
        <v>39930</v>
      </c>
      <c r="E709" s="38">
        <v>39904</v>
      </c>
      <c r="F709" s="39">
        <v>26</v>
      </c>
      <c r="G709" t="s">
        <v>21</v>
      </c>
      <c r="H709" t="s">
        <v>21</v>
      </c>
      <c r="I709">
        <v>0</v>
      </c>
      <c r="J709">
        <v>0</v>
      </c>
      <c r="K709">
        <v>0</v>
      </c>
      <c r="L709">
        <v>1</v>
      </c>
      <c r="M709">
        <v>0</v>
      </c>
      <c r="N709" t="s">
        <v>198</v>
      </c>
      <c r="O709" t="s">
        <v>213</v>
      </c>
      <c r="P709" t="s">
        <v>208</v>
      </c>
      <c r="Q709" t="s">
        <v>170</v>
      </c>
      <c r="R709" t="s">
        <v>155</v>
      </c>
      <c r="T709" t="s">
        <v>134</v>
      </c>
      <c r="U709">
        <v>1</v>
      </c>
      <c r="W709" t="s">
        <v>134</v>
      </c>
      <c r="X709">
        <v>1</v>
      </c>
      <c r="Y709" t="s">
        <v>139</v>
      </c>
      <c r="Z709" t="s">
        <v>187</v>
      </c>
      <c r="AA709" t="s">
        <v>142</v>
      </c>
      <c r="AB709" t="s">
        <v>163</v>
      </c>
      <c r="AC709" t="s">
        <v>173</v>
      </c>
      <c r="AD709" t="s">
        <v>155</v>
      </c>
      <c r="AE709" t="s">
        <v>962</v>
      </c>
      <c r="AF709" t="s">
        <v>21</v>
      </c>
    </row>
    <row r="710" spans="1:32">
      <c r="A710" t="s">
        <v>1437</v>
      </c>
      <c r="B710" s="37">
        <v>39905</v>
      </c>
      <c r="C710" s="38">
        <v>39905</v>
      </c>
      <c r="D710" s="38">
        <v>39902</v>
      </c>
      <c r="E710" s="38">
        <v>39904</v>
      </c>
      <c r="F710" s="39">
        <v>0</v>
      </c>
      <c r="G710" t="s">
        <v>380</v>
      </c>
      <c r="H710" t="s">
        <v>17</v>
      </c>
      <c r="I710">
        <v>0</v>
      </c>
      <c r="J710">
        <v>0</v>
      </c>
      <c r="K710">
        <v>1</v>
      </c>
      <c r="L710">
        <v>0</v>
      </c>
      <c r="M710">
        <v>0</v>
      </c>
      <c r="N710" t="s">
        <v>198</v>
      </c>
      <c r="O710" t="s">
        <v>213</v>
      </c>
      <c r="P710" t="s">
        <v>208</v>
      </c>
      <c r="Q710" t="s">
        <v>170</v>
      </c>
      <c r="R710" t="s">
        <v>155</v>
      </c>
      <c r="T710" t="s">
        <v>134</v>
      </c>
      <c r="U710">
        <v>1</v>
      </c>
      <c r="W710" t="s">
        <v>134</v>
      </c>
      <c r="X710">
        <v>1</v>
      </c>
      <c r="Y710" t="s">
        <v>139</v>
      </c>
      <c r="Z710" t="s">
        <v>178</v>
      </c>
      <c r="AA710" t="s">
        <v>149</v>
      </c>
      <c r="AB710" t="s">
        <v>163</v>
      </c>
      <c r="AC710" t="s">
        <v>173</v>
      </c>
      <c r="AD710" t="s">
        <v>161</v>
      </c>
      <c r="AE710" t="s">
        <v>387</v>
      </c>
      <c r="AF710" t="s">
        <v>21</v>
      </c>
    </row>
    <row r="711" spans="1:32">
      <c r="A711" t="s">
        <v>1438</v>
      </c>
      <c r="B711" s="37">
        <v>40045</v>
      </c>
      <c r="C711" s="38">
        <v>40045</v>
      </c>
      <c r="D711" s="38">
        <v>40042</v>
      </c>
      <c r="E711" s="38">
        <v>40026</v>
      </c>
      <c r="F711" s="39">
        <v>140</v>
      </c>
      <c r="G711" t="s">
        <v>21</v>
      </c>
      <c r="H711" t="s">
        <v>21</v>
      </c>
      <c r="I711">
        <v>0</v>
      </c>
      <c r="J711">
        <v>0</v>
      </c>
      <c r="K711">
        <v>0</v>
      </c>
      <c r="L711">
        <v>1</v>
      </c>
      <c r="M711">
        <v>0</v>
      </c>
      <c r="N711" t="s">
        <v>193</v>
      </c>
      <c r="O711" t="s">
        <v>213</v>
      </c>
      <c r="P711" t="s">
        <v>204</v>
      </c>
      <c r="Q711" t="s">
        <v>170</v>
      </c>
      <c r="R711" t="s">
        <v>155</v>
      </c>
      <c r="S711">
        <v>5</v>
      </c>
      <c r="T711" t="s">
        <v>135</v>
      </c>
      <c r="U711">
        <v>0</v>
      </c>
      <c r="V711">
        <v>5</v>
      </c>
      <c r="W711" t="s">
        <v>135</v>
      </c>
      <c r="X711">
        <v>0</v>
      </c>
      <c r="Y711" t="s">
        <v>140</v>
      </c>
      <c r="Z711" t="s">
        <v>191</v>
      </c>
      <c r="AA711" t="s">
        <v>146</v>
      </c>
      <c r="AB711" t="s">
        <v>162</v>
      </c>
      <c r="AC711" t="s">
        <v>802</v>
      </c>
      <c r="AD711" t="s">
        <v>155</v>
      </c>
      <c r="AE711" t="s">
        <v>129</v>
      </c>
      <c r="AF711" t="s">
        <v>21</v>
      </c>
    </row>
    <row r="712" spans="1:32">
      <c r="A712" t="s">
        <v>1439</v>
      </c>
      <c r="B712" s="37">
        <v>39919</v>
      </c>
      <c r="C712" s="38">
        <v>39919</v>
      </c>
      <c r="D712" s="38">
        <v>39916</v>
      </c>
      <c r="E712" s="38">
        <v>39904</v>
      </c>
      <c r="F712" s="39">
        <v>14</v>
      </c>
      <c r="G712" t="s">
        <v>21</v>
      </c>
      <c r="H712" t="s">
        <v>21</v>
      </c>
      <c r="I712">
        <v>0</v>
      </c>
      <c r="J712">
        <v>0</v>
      </c>
      <c r="K712">
        <v>0</v>
      </c>
      <c r="L712">
        <v>1</v>
      </c>
      <c r="M712">
        <v>0</v>
      </c>
      <c r="N712" t="s">
        <v>193</v>
      </c>
      <c r="O712" t="s">
        <v>213</v>
      </c>
      <c r="P712" t="s">
        <v>204</v>
      </c>
      <c r="Q712" t="s">
        <v>170</v>
      </c>
      <c r="R712" t="s">
        <v>155</v>
      </c>
      <c r="T712" t="s">
        <v>134</v>
      </c>
      <c r="U712">
        <v>1</v>
      </c>
      <c r="W712" t="s">
        <v>134</v>
      </c>
      <c r="X712">
        <v>1</v>
      </c>
      <c r="Y712" t="s">
        <v>140</v>
      </c>
      <c r="Z712" t="s">
        <v>479</v>
      </c>
      <c r="AA712" t="s">
        <v>147</v>
      </c>
      <c r="AB712" t="s">
        <v>162</v>
      </c>
      <c r="AC712" t="s">
        <v>498</v>
      </c>
      <c r="AD712" t="s">
        <v>155</v>
      </c>
      <c r="AE712" t="s">
        <v>129</v>
      </c>
      <c r="AF712" t="s">
        <v>21</v>
      </c>
    </row>
    <row r="713" spans="1:32">
      <c r="A713" t="s">
        <v>1440</v>
      </c>
      <c r="B713" s="37">
        <v>39944</v>
      </c>
      <c r="C713" s="38">
        <v>39944</v>
      </c>
      <c r="D713" s="38">
        <v>39944</v>
      </c>
      <c r="E713" s="38">
        <v>39934</v>
      </c>
      <c r="F713" s="39">
        <v>39</v>
      </c>
      <c r="G713" t="s">
        <v>21</v>
      </c>
      <c r="H713" t="s">
        <v>21</v>
      </c>
      <c r="I713">
        <v>0</v>
      </c>
      <c r="J713">
        <v>0</v>
      </c>
      <c r="K713">
        <v>0</v>
      </c>
      <c r="L713">
        <v>1</v>
      </c>
      <c r="M713">
        <v>0</v>
      </c>
      <c r="N713" t="s">
        <v>193</v>
      </c>
      <c r="O713" t="s">
        <v>213</v>
      </c>
      <c r="P713" t="s">
        <v>204</v>
      </c>
      <c r="Q713" t="s">
        <v>170</v>
      </c>
      <c r="R713" t="s">
        <v>155</v>
      </c>
      <c r="T713" t="s">
        <v>134</v>
      </c>
      <c r="U713">
        <v>1</v>
      </c>
      <c r="W713" t="s">
        <v>134</v>
      </c>
      <c r="X713">
        <v>1</v>
      </c>
      <c r="Y713" t="s">
        <v>140</v>
      </c>
      <c r="Z713" t="s">
        <v>178</v>
      </c>
      <c r="AA713" t="s">
        <v>142</v>
      </c>
      <c r="AB713" t="s">
        <v>163</v>
      </c>
      <c r="AC713" t="s">
        <v>173</v>
      </c>
      <c r="AD713" t="s">
        <v>155</v>
      </c>
      <c r="AE713" t="s">
        <v>1441</v>
      </c>
      <c r="AF713" t="s">
        <v>21</v>
      </c>
    </row>
    <row r="714" spans="1:32">
      <c r="A714" t="s">
        <v>1442</v>
      </c>
      <c r="B714" s="37">
        <v>39980</v>
      </c>
      <c r="C714" s="38">
        <v>39980</v>
      </c>
      <c r="D714" s="38">
        <v>39979</v>
      </c>
      <c r="E714" s="38">
        <v>39965</v>
      </c>
      <c r="F714" s="39">
        <v>75</v>
      </c>
      <c r="G714" t="s">
        <v>9</v>
      </c>
      <c r="H714" t="s">
        <v>9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193</v>
      </c>
      <c r="O714" t="s">
        <v>213</v>
      </c>
      <c r="P714" t="s">
        <v>204</v>
      </c>
      <c r="Q714" t="s">
        <v>170</v>
      </c>
      <c r="R714" t="s">
        <v>155</v>
      </c>
      <c r="T714" t="s">
        <v>134</v>
      </c>
      <c r="U714">
        <v>1</v>
      </c>
      <c r="W714" t="s">
        <v>134</v>
      </c>
      <c r="X714">
        <v>1</v>
      </c>
      <c r="Y714" t="s">
        <v>140</v>
      </c>
      <c r="Z714" t="s">
        <v>179</v>
      </c>
      <c r="AA714" t="s">
        <v>143</v>
      </c>
      <c r="AB714" t="s">
        <v>163</v>
      </c>
      <c r="AC714" t="s">
        <v>1443</v>
      </c>
      <c r="AD714" t="s">
        <v>155</v>
      </c>
      <c r="AE714" t="s">
        <v>746</v>
      </c>
      <c r="AF714" t="s">
        <v>21</v>
      </c>
    </row>
    <row r="715" spans="1:32">
      <c r="A715" t="s">
        <v>1444</v>
      </c>
      <c r="B715" s="37">
        <v>39923</v>
      </c>
      <c r="C715" s="38">
        <v>39923</v>
      </c>
      <c r="D715" s="38">
        <v>39923</v>
      </c>
      <c r="E715" s="38">
        <v>39904</v>
      </c>
      <c r="F715" s="39">
        <v>18</v>
      </c>
      <c r="G715" t="s">
        <v>525</v>
      </c>
      <c r="H715" t="s">
        <v>17</v>
      </c>
      <c r="I715">
        <v>0</v>
      </c>
      <c r="J715">
        <v>0</v>
      </c>
      <c r="K715">
        <v>1</v>
      </c>
      <c r="L715">
        <v>0</v>
      </c>
      <c r="M715">
        <v>0</v>
      </c>
      <c r="N715" t="s">
        <v>199</v>
      </c>
      <c r="O715" t="s">
        <v>213</v>
      </c>
      <c r="P715" t="s">
        <v>210</v>
      </c>
      <c r="Q715" t="s">
        <v>170</v>
      </c>
      <c r="R715" t="s">
        <v>155</v>
      </c>
      <c r="T715" t="s">
        <v>134</v>
      </c>
      <c r="U715">
        <v>1</v>
      </c>
      <c r="W715" t="s">
        <v>134</v>
      </c>
      <c r="X715">
        <v>1</v>
      </c>
      <c r="Y715" t="s">
        <v>139</v>
      </c>
      <c r="Z715" t="s">
        <v>188</v>
      </c>
      <c r="AA715" t="s">
        <v>147</v>
      </c>
      <c r="AB715" t="s">
        <v>162</v>
      </c>
      <c r="AC715" t="s">
        <v>867</v>
      </c>
      <c r="AD715" t="s">
        <v>157</v>
      </c>
      <c r="AE715" t="s">
        <v>127</v>
      </c>
      <c r="AF715" t="s">
        <v>153</v>
      </c>
    </row>
    <row r="716" spans="1:32">
      <c r="A716" t="s">
        <v>1445</v>
      </c>
      <c r="B716" s="37">
        <v>39918</v>
      </c>
      <c r="C716" s="38">
        <v>39918</v>
      </c>
      <c r="D716" s="38">
        <v>39916</v>
      </c>
      <c r="E716" s="38">
        <v>39904</v>
      </c>
      <c r="F716" s="39">
        <v>13</v>
      </c>
      <c r="G716" t="s">
        <v>21</v>
      </c>
      <c r="H716" t="s">
        <v>21</v>
      </c>
      <c r="I716">
        <v>0</v>
      </c>
      <c r="J716">
        <v>0</v>
      </c>
      <c r="K716">
        <v>0</v>
      </c>
      <c r="L716">
        <v>1</v>
      </c>
      <c r="M716">
        <v>0</v>
      </c>
      <c r="N716" t="s">
        <v>202</v>
      </c>
      <c r="O716" t="s">
        <v>213</v>
      </c>
      <c r="P716" t="s">
        <v>211</v>
      </c>
      <c r="Q716" t="s">
        <v>170</v>
      </c>
      <c r="R716" t="s">
        <v>155</v>
      </c>
      <c r="T716" t="s">
        <v>134</v>
      </c>
      <c r="U716">
        <v>1</v>
      </c>
      <c r="W716" t="s">
        <v>134</v>
      </c>
      <c r="X716">
        <v>1</v>
      </c>
      <c r="Y716" t="s">
        <v>139</v>
      </c>
      <c r="Z716" t="s">
        <v>810</v>
      </c>
      <c r="AA716" t="s">
        <v>147</v>
      </c>
      <c r="AB716" t="s">
        <v>162</v>
      </c>
      <c r="AC716" t="s">
        <v>933</v>
      </c>
      <c r="AD716" t="s">
        <v>159</v>
      </c>
      <c r="AE716" t="s">
        <v>126</v>
      </c>
      <c r="AF716" t="s">
        <v>601</v>
      </c>
    </row>
    <row r="717" spans="1:32">
      <c r="A717" t="s">
        <v>1446</v>
      </c>
      <c r="B717" s="37">
        <v>39939</v>
      </c>
      <c r="C717" s="38">
        <v>39939</v>
      </c>
      <c r="D717" s="38">
        <v>39937</v>
      </c>
      <c r="E717" s="38">
        <v>39934</v>
      </c>
      <c r="F717" s="39">
        <v>34</v>
      </c>
      <c r="G717" t="s">
        <v>21</v>
      </c>
      <c r="H717" t="s">
        <v>21</v>
      </c>
      <c r="I717">
        <v>0</v>
      </c>
      <c r="J717">
        <v>0</v>
      </c>
      <c r="K717">
        <v>0</v>
      </c>
      <c r="L717">
        <v>1</v>
      </c>
      <c r="M717">
        <v>0</v>
      </c>
      <c r="N717" t="s">
        <v>199</v>
      </c>
      <c r="O717" t="s">
        <v>213</v>
      </c>
      <c r="P717" t="s">
        <v>210</v>
      </c>
      <c r="Q717" t="s">
        <v>170</v>
      </c>
      <c r="R717" t="s">
        <v>155</v>
      </c>
      <c r="T717" t="s">
        <v>134</v>
      </c>
      <c r="U717">
        <v>1</v>
      </c>
      <c r="W717" t="s">
        <v>134</v>
      </c>
      <c r="X717">
        <v>1</v>
      </c>
      <c r="Y717" t="s">
        <v>139</v>
      </c>
      <c r="Z717" t="s">
        <v>185</v>
      </c>
      <c r="AA717" t="s">
        <v>147</v>
      </c>
      <c r="AB717" t="s">
        <v>162</v>
      </c>
      <c r="AC717" t="s">
        <v>174</v>
      </c>
      <c r="AD717" t="s">
        <v>160</v>
      </c>
      <c r="AE717" t="s">
        <v>726</v>
      </c>
      <c r="AF717" t="s">
        <v>1447</v>
      </c>
    </row>
    <row r="718" spans="1:32">
      <c r="A718" t="s">
        <v>1448</v>
      </c>
      <c r="B718" s="37">
        <v>40036</v>
      </c>
      <c r="C718" s="38">
        <v>40036</v>
      </c>
      <c r="D718" s="38">
        <v>40035</v>
      </c>
      <c r="E718" s="38">
        <v>40026</v>
      </c>
      <c r="F718" s="39">
        <v>131</v>
      </c>
      <c r="G718" t="s">
        <v>21</v>
      </c>
      <c r="H718" t="s">
        <v>21</v>
      </c>
      <c r="I718">
        <v>0</v>
      </c>
      <c r="J718">
        <v>0</v>
      </c>
      <c r="K718">
        <v>0</v>
      </c>
      <c r="L718">
        <v>1</v>
      </c>
      <c r="M718">
        <v>0</v>
      </c>
      <c r="N718" t="s">
        <v>193</v>
      </c>
      <c r="O718" t="s">
        <v>213</v>
      </c>
      <c r="P718" t="s">
        <v>204</v>
      </c>
      <c r="Q718" t="s">
        <v>170</v>
      </c>
      <c r="R718" t="s">
        <v>155</v>
      </c>
      <c r="S718">
        <v>1</v>
      </c>
      <c r="T718" t="s">
        <v>136</v>
      </c>
      <c r="U718">
        <v>0</v>
      </c>
      <c r="V718">
        <v>4</v>
      </c>
      <c r="W718" t="s">
        <v>137</v>
      </c>
      <c r="X718">
        <v>0</v>
      </c>
      <c r="Y718" t="s">
        <v>140</v>
      </c>
      <c r="Z718" t="s">
        <v>479</v>
      </c>
      <c r="AA718" t="s">
        <v>145</v>
      </c>
      <c r="AB718" t="s">
        <v>162</v>
      </c>
      <c r="AC718" t="s">
        <v>174</v>
      </c>
      <c r="AD718" t="s">
        <v>156</v>
      </c>
      <c r="AE718" t="s">
        <v>120</v>
      </c>
      <c r="AF718" t="s">
        <v>1449</v>
      </c>
    </row>
    <row r="719" spans="1:32">
      <c r="A719" t="s">
        <v>1450</v>
      </c>
      <c r="B719" s="37">
        <v>40047</v>
      </c>
      <c r="C719" s="38">
        <v>40047</v>
      </c>
      <c r="D719" s="38">
        <v>40042</v>
      </c>
      <c r="E719" s="38">
        <v>40026</v>
      </c>
      <c r="F719" s="39">
        <v>142</v>
      </c>
      <c r="G719" t="s">
        <v>496</v>
      </c>
      <c r="H719" t="s">
        <v>13</v>
      </c>
      <c r="I719">
        <v>0</v>
      </c>
      <c r="J719">
        <v>1</v>
      </c>
      <c r="K719">
        <v>0</v>
      </c>
      <c r="L719">
        <v>0</v>
      </c>
      <c r="M719">
        <v>1</v>
      </c>
      <c r="N719" t="s">
        <v>196</v>
      </c>
      <c r="O719" t="s">
        <v>213</v>
      </c>
      <c r="P719" t="s">
        <v>207</v>
      </c>
      <c r="Q719" t="s">
        <v>170</v>
      </c>
      <c r="R719" t="s">
        <v>155</v>
      </c>
      <c r="S719">
        <v>5</v>
      </c>
      <c r="T719" t="s">
        <v>135</v>
      </c>
      <c r="U719">
        <v>0</v>
      </c>
      <c r="V719">
        <v>5</v>
      </c>
      <c r="W719" t="s">
        <v>135</v>
      </c>
      <c r="X719">
        <v>0</v>
      </c>
      <c r="Y719" t="s">
        <v>139</v>
      </c>
      <c r="Z719" t="s">
        <v>185</v>
      </c>
      <c r="AA719" t="s">
        <v>146</v>
      </c>
      <c r="AB719" t="s">
        <v>162</v>
      </c>
      <c r="AC719" t="s">
        <v>175</v>
      </c>
      <c r="AD719" t="s">
        <v>155</v>
      </c>
      <c r="AE719" t="s">
        <v>454</v>
      </c>
      <c r="AF719" t="s">
        <v>21</v>
      </c>
    </row>
    <row r="720" spans="1:32">
      <c r="A720" t="s">
        <v>1451</v>
      </c>
      <c r="B720" s="37">
        <v>39954</v>
      </c>
      <c r="C720" s="38">
        <v>39954</v>
      </c>
      <c r="D720" s="38">
        <v>39951</v>
      </c>
      <c r="E720" s="38">
        <v>39934</v>
      </c>
      <c r="F720" s="39">
        <v>49</v>
      </c>
      <c r="G720" t="s">
        <v>21</v>
      </c>
      <c r="H720" t="s">
        <v>21</v>
      </c>
      <c r="I720">
        <v>0</v>
      </c>
      <c r="J720">
        <v>0</v>
      </c>
      <c r="K720">
        <v>0</v>
      </c>
      <c r="L720">
        <v>1</v>
      </c>
      <c r="M720">
        <v>0</v>
      </c>
      <c r="N720" t="s">
        <v>193</v>
      </c>
      <c r="O720" t="s">
        <v>213</v>
      </c>
      <c r="P720" t="s">
        <v>204</v>
      </c>
      <c r="Q720" t="s">
        <v>170</v>
      </c>
      <c r="R720" t="s">
        <v>155</v>
      </c>
      <c r="T720" t="s">
        <v>134</v>
      </c>
      <c r="U720">
        <v>1</v>
      </c>
      <c r="W720" t="s">
        <v>134</v>
      </c>
      <c r="X720">
        <v>1</v>
      </c>
      <c r="Y720" t="s">
        <v>140</v>
      </c>
      <c r="Z720" t="s">
        <v>184</v>
      </c>
      <c r="AA720" t="s">
        <v>142</v>
      </c>
      <c r="AB720" t="s">
        <v>163</v>
      </c>
      <c r="AC720" t="s">
        <v>173</v>
      </c>
      <c r="AD720" t="s">
        <v>155</v>
      </c>
      <c r="AE720" t="s">
        <v>406</v>
      </c>
      <c r="AF720" t="s">
        <v>21</v>
      </c>
    </row>
    <row r="721" spans="1:32">
      <c r="A721" t="s">
        <v>1452</v>
      </c>
      <c r="B721" s="37">
        <v>39933</v>
      </c>
      <c r="C721" s="38">
        <v>39933</v>
      </c>
      <c r="D721" s="38">
        <v>39930</v>
      </c>
      <c r="E721" s="38">
        <v>39904</v>
      </c>
      <c r="F721" s="39">
        <v>28</v>
      </c>
      <c r="G721" t="s">
        <v>21</v>
      </c>
      <c r="H721" t="s">
        <v>21</v>
      </c>
      <c r="I721">
        <v>0</v>
      </c>
      <c r="J721">
        <v>0</v>
      </c>
      <c r="K721">
        <v>0</v>
      </c>
      <c r="L721">
        <v>1</v>
      </c>
      <c r="M721">
        <v>0</v>
      </c>
      <c r="N721" t="s">
        <v>198</v>
      </c>
      <c r="O721" t="s">
        <v>213</v>
      </c>
      <c r="P721" t="s">
        <v>208</v>
      </c>
      <c r="Q721" t="s">
        <v>170</v>
      </c>
      <c r="R721" t="s">
        <v>155</v>
      </c>
      <c r="T721" t="s">
        <v>134</v>
      </c>
      <c r="U721">
        <v>1</v>
      </c>
      <c r="W721" t="s">
        <v>134</v>
      </c>
      <c r="X721">
        <v>1</v>
      </c>
      <c r="Y721" t="s">
        <v>139</v>
      </c>
      <c r="Z721" t="s">
        <v>182</v>
      </c>
      <c r="AA721" t="s">
        <v>149</v>
      </c>
      <c r="AB721" t="s">
        <v>162</v>
      </c>
      <c r="AC721" t="s">
        <v>174</v>
      </c>
      <c r="AD721" t="s">
        <v>156</v>
      </c>
      <c r="AE721" t="s">
        <v>120</v>
      </c>
      <c r="AF721" t="s">
        <v>942</v>
      </c>
    </row>
    <row r="722" spans="1:32">
      <c r="A722" t="s">
        <v>1453</v>
      </c>
      <c r="B722" s="37">
        <v>39961</v>
      </c>
      <c r="C722" s="38">
        <v>39961</v>
      </c>
      <c r="D722" s="38">
        <v>39958</v>
      </c>
      <c r="E722" s="38">
        <v>39934</v>
      </c>
      <c r="F722" s="39">
        <v>56</v>
      </c>
      <c r="G722" t="s">
        <v>21</v>
      </c>
      <c r="H722" t="s">
        <v>21</v>
      </c>
      <c r="I722">
        <v>0</v>
      </c>
      <c r="J722">
        <v>0</v>
      </c>
      <c r="K722">
        <v>0</v>
      </c>
      <c r="L722">
        <v>1</v>
      </c>
      <c r="M722">
        <v>0</v>
      </c>
      <c r="N722" t="s">
        <v>193</v>
      </c>
      <c r="O722" t="s">
        <v>213</v>
      </c>
      <c r="P722" t="s">
        <v>204</v>
      </c>
      <c r="Q722" t="s">
        <v>170</v>
      </c>
      <c r="R722" t="s">
        <v>155</v>
      </c>
      <c r="T722" t="s">
        <v>134</v>
      </c>
      <c r="U722">
        <v>1</v>
      </c>
      <c r="W722" t="s">
        <v>134</v>
      </c>
      <c r="X722">
        <v>1</v>
      </c>
      <c r="Y722" t="s">
        <v>140</v>
      </c>
      <c r="Z722" t="s">
        <v>182</v>
      </c>
      <c r="AA722" t="s">
        <v>151</v>
      </c>
      <c r="AB722" t="s">
        <v>162</v>
      </c>
      <c r="AC722" t="s">
        <v>175</v>
      </c>
      <c r="AD722" t="s">
        <v>155</v>
      </c>
      <c r="AE722" t="s">
        <v>130</v>
      </c>
      <c r="AF722" t="s">
        <v>21</v>
      </c>
    </row>
    <row r="723" spans="1:32">
      <c r="A723" t="s">
        <v>1454</v>
      </c>
      <c r="B723" s="37">
        <v>39946</v>
      </c>
      <c r="C723" s="38">
        <v>39946</v>
      </c>
      <c r="D723" s="38">
        <v>39944</v>
      </c>
      <c r="E723" s="38">
        <v>39934</v>
      </c>
      <c r="F723" s="39">
        <v>41</v>
      </c>
      <c r="G723" t="s">
        <v>380</v>
      </c>
      <c r="H723" t="s">
        <v>17</v>
      </c>
      <c r="I723">
        <v>0</v>
      </c>
      <c r="J723">
        <v>0</v>
      </c>
      <c r="K723">
        <v>1</v>
      </c>
      <c r="L723">
        <v>0</v>
      </c>
      <c r="M723">
        <v>0</v>
      </c>
      <c r="N723" t="s">
        <v>193</v>
      </c>
      <c r="O723" t="s">
        <v>213</v>
      </c>
      <c r="P723" t="s">
        <v>204</v>
      </c>
      <c r="Q723" t="s">
        <v>170</v>
      </c>
      <c r="R723" t="s">
        <v>155</v>
      </c>
      <c r="T723" t="s">
        <v>134</v>
      </c>
      <c r="U723">
        <v>1</v>
      </c>
      <c r="W723" t="s">
        <v>134</v>
      </c>
      <c r="X723">
        <v>1</v>
      </c>
      <c r="Y723" t="s">
        <v>140</v>
      </c>
      <c r="Z723" t="s">
        <v>479</v>
      </c>
      <c r="AA723" t="s">
        <v>143</v>
      </c>
      <c r="AB723" t="s">
        <v>165</v>
      </c>
      <c r="AC723" t="s">
        <v>21</v>
      </c>
      <c r="AD723" t="s">
        <v>158</v>
      </c>
      <c r="AE723" t="s">
        <v>122</v>
      </c>
      <c r="AF723" t="s">
        <v>21</v>
      </c>
    </row>
    <row r="724" spans="1:32">
      <c r="A724" t="s">
        <v>1455</v>
      </c>
      <c r="B724" s="37">
        <v>39924</v>
      </c>
      <c r="C724" s="38">
        <v>39924</v>
      </c>
      <c r="D724" s="38">
        <v>39923</v>
      </c>
      <c r="E724" s="38">
        <v>39904</v>
      </c>
      <c r="F724" s="39">
        <v>19</v>
      </c>
      <c r="G724" t="s">
        <v>21</v>
      </c>
      <c r="H724" t="s">
        <v>21</v>
      </c>
      <c r="I724">
        <v>0</v>
      </c>
      <c r="J724">
        <v>0</v>
      </c>
      <c r="K724">
        <v>0</v>
      </c>
      <c r="L724">
        <v>1</v>
      </c>
      <c r="M724">
        <v>0</v>
      </c>
      <c r="N724" t="s">
        <v>194</v>
      </c>
      <c r="O724" t="s">
        <v>213</v>
      </c>
      <c r="P724" t="s">
        <v>205</v>
      </c>
      <c r="Q724" t="s">
        <v>170</v>
      </c>
      <c r="R724" t="s">
        <v>155</v>
      </c>
      <c r="T724" t="s">
        <v>134</v>
      </c>
      <c r="U724">
        <v>1</v>
      </c>
      <c r="W724" t="s">
        <v>134</v>
      </c>
      <c r="X724">
        <v>1</v>
      </c>
      <c r="Y724" t="s">
        <v>139</v>
      </c>
      <c r="Z724" t="s">
        <v>178</v>
      </c>
      <c r="AA724" t="s">
        <v>143</v>
      </c>
      <c r="AB724" t="s">
        <v>163</v>
      </c>
      <c r="AC724" t="s">
        <v>173</v>
      </c>
      <c r="AD724" t="s">
        <v>155</v>
      </c>
      <c r="AE724" t="s">
        <v>127</v>
      </c>
      <c r="AF724" t="s">
        <v>21</v>
      </c>
    </row>
    <row r="725" spans="1:32">
      <c r="A725" t="s">
        <v>1456</v>
      </c>
      <c r="B725" s="37">
        <v>39913</v>
      </c>
      <c r="C725" s="38">
        <v>39913</v>
      </c>
      <c r="D725" s="38">
        <v>39909</v>
      </c>
      <c r="E725" s="38">
        <v>39904</v>
      </c>
      <c r="F725" s="39">
        <v>8</v>
      </c>
      <c r="G725" t="s">
        <v>21</v>
      </c>
      <c r="H725" t="s">
        <v>21</v>
      </c>
      <c r="I725">
        <v>0</v>
      </c>
      <c r="J725">
        <v>0</v>
      </c>
      <c r="K725">
        <v>0</v>
      </c>
      <c r="L725">
        <v>1</v>
      </c>
      <c r="M725">
        <v>0</v>
      </c>
      <c r="N725" t="s">
        <v>198</v>
      </c>
      <c r="O725" t="s">
        <v>213</v>
      </c>
      <c r="P725" t="s">
        <v>208</v>
      </c>
      <c r="Q725" t="s">
        <v>170</v>
      </c>
      <c r="R725" t="s">
        <v>155</v>
      </c>
      <c r="T725" t="s">
        <v>134</v>
      </c>
      <c r="U725">
        <v>1</v>
      </c>
      <c r="W725" t="s">
        <v>134</v>
      </c>
      <c r="X725">
        <v>1</v>
      </c>
      <c r="Y725" t="s">
        <v>139</v>
      </c>
      <c r="Z725" t="s">
        <v>184</v>
      </c>
      <c r="AA725" t="s">
        <v>142</v>
      </c>
      <c r="AB725" t="s">
        <v>165</v>
      </c>
      <c r="AC725" t="s">
        <v>1457</v>
      </c>
      <c r="AD725" t="s">
        <v>158</v>
      </c>
      <c r="AE725" t="s">
        <v>122</v>
      </c>
      <c r="AF725" t="s">
        <v>21</v>
      </c>
    </row>
    <row r="726" spans="1:32">
      <c r="A726" t="s">
        <v>1458</v>
      </c>
      <c r="B726" s="37">
        <v>40060</v>
      </c>
      <c r="C726" s="38">
        <v>40060</v>
      </c>
      <c r="D726" s="38">
        <v>40056</v>
      </c>
      <c r="E726" s="38">
        <v>40057</v>
      </c>
      <c r="F726" s="39">
        <v>155</v>
      </c>
      <c r="G726" t="s">
        <v>21</v>
      </c>
      <c r="H726" t="s">
        <v>21</v>
      </c>
      <c r="I726">
        <v>0</v>
      </c>
      <c r="J726">
        <v>0</v>
      </c>
      <c r="K726">
        <v>0</v>
      </c>
      <c r="L726">
        <v>1</v>
      </c>
      <c r="M726">
        <v>0</v>
      </c>
      <c r="N726" t="s">
        <v>195</v>
      </c>
      <c r="O726" t="s">
        <v>213</v>
      </c>
      <c r="P726" t="s">
        <v>206</v>
      </c>
      <c r="Q726" t="s">
        <v>170</v>
      </c>
      <c r="R726" t="s">
        <v>155</v>
      </c>
      <c r="S726">
        <v>5</v>
      </c>
      <c r="T726" t="s">
        <v>135</v>
      </c>
      <c r="U726">
        <v>0</v>
      </c>
      <c r="V726">
        <v>5</v>
      </c>
      <c r="W726" t="s">
        <v>135</v>
      </c>
      <c r="X726">
        <v>0</v>
      </c>
      <c r="Y726" t="s">
        <v>139</v>
      </c>
      <c r="Z726" t="s">
        <v>178</v>
      </c>
      <c r="AA726" t="s">
        <v>142</v>
      </c>
      <c r="AB726" t="s">
        <v>162</v>
      </c>
      <c r="AC726" t="s">
        <v>175</v>
      </c>
      <c r="AD726" t="s">
        <v>155</v>
      </c>
      <c r="AE726" t="s">
        <v>129</v>
      </c>
      <c r="AF726" t="s">
        <v>21</v>
      </c>
    </row>
    <row r="727" spans="1:32">
      <c r="A727" t="s">
        <v>1459</v>
      </c>
      <c r="B727" s="37">
        <v>39949</v>
      </c>
      <c r="C727" s="38">
        <v>39949</v>
      </c>
      <c r="D727" s="38">
        <v>39944</v>
      </c>
      <c r="E727" s="38">
        <v>39934</v>
      </c>
      <c r="F727" s="39">
        <v>44</v>
      </c>
      <c r="G727" t="s">
        <v>9</v>
      </c>
      <c r="H727" t="s">
        <v>9</v>
      </c>
      <c r="I727">
        <v>1</v>
      </c>
      <c r="J727">
        <v>0</v>
      </c>
      <c r="K727">
        <v>0</v>
      </c>
      <c r="L727">
        <v>0</v>
      </c>
      <c r="M727">
        <v>1</v>
      </c>
      <c r="N727" t="s">
        <v>193</v>
      </c>
      <c r="O727" t="s">
        <v>213</v>
      </c>
      <c r="P727" t="s">
        <v>204</v>
      </c>
      <c r="Q727" t="s">
        <v>170</v>
      </c>
      <c r="R727" t="s">
        <v>155</v>
      </c>
      <c r="T727" t="s">
        <v>134</v>
      </c>
      <c r="U727">
        <v>1</v>
      </c>
      <c r="W727" t="s">
        <v>134</v>
      </c>
      <c r="X727">
        <v>1</v>
      </c>
      <c r="Y727" t="s">
        <v>140</v>
      </c>
      <c r="Z727" t="s">
        <v>179</v>
      </c>
      <c r="AA727" t="s">
        <v>148</v>
      </c>
      <c r="AB727" t="s">
        <v>163</v>
      </c>
      <c r="AC727" t="s">
        <v>21</v>
      </c>
      <c r="AD727" t="s">
        <v>155</v>
      </c>
      <c r="AE727" t="s">
        <v>125</v>
      </c>
      <c r="AF727" t="s">
        <v>21</v>
      </c>
    </row>
    <row r="728" spans="1:32">
      <c r="A728" t="s">
        <v>1460</v>
      </c>
      <c r="B728" s="37">
        <v>39959</v>
      </c>
      <c r="C728" s="38">
        <v>39959</v>
      </c>
      <c r="D728" s="38">
        <v>39958</v>
      </c>
      <c r="E728" s="38">
        <v>39934</v>
      </c>
      <c r="F728" s="39">
        <v>54</v>
      </c>
      <c r="G728" t="s">
        <v>21</v>
      </c>
      <c r="H728" t="s">
        <v>21</v>
      </c>
      <c r="I728">
        <v>0</v>
      </c>
      <c r="J728">
        <v>0</v>
      </c>
      <c r="K728">
        <v>0</v>
      </c>
      <c r="L728">
        <v>1</v>
      </c>
      <c r="M728">
        <v>0</v>
      </c>
      <c r="N728" t="s">
        <v>194</v>
      </c>
      <c r="O728" t="s">
        <v>213</v>
      </c>
      <c r="P728" t="s">
        <v>205</v>
      </c>
      <c r="Q728" t="s">
        <v>170</v>
      </c>
      <c r="R728" t="s">
        <v>155</v>
      </c>
      <c r="T728" t="s">
        <v>134</v>
      </c>
      <c r="U728">
        <v>1</v>
      </c>
      <c r="W728" t="s">
        <v>134</v>
      </c>
      <c r="X728">
        <v>1</v>
      </c>
      <c r="Y728" t="s">
        <v>139</v>
      </c>
      <c r="Z728" t="s">
        <v>182</v>
      </c>
      <c r="AA728" t="s">
        <v>144</v>
      </c>
      <c r="AB728" t="s">
        <v>163</v>
      </c>
      <c r="AC728" t="s">
        <v>21</v>
      </c>
      <c r="AD728" t="s">
        <v>155</v>
      </c>
      <c r="AE728" t="s">
        <v>439</v>
      </c>
      <c r="AF728" t="s">
        <v>21</v>
      </c>
    </row>
    <row r="729" spans="1:32">
      <c r="A729" t="s">
        <v>1461</v>
      </c>
      <c r="B729" s="37">
        <v>40045</v>
      </c>
      <c r="C729" s="38">
        <v>40045</v>
      </c>
      <c r="D729" s="38">
        <v>40042</v>
      </c>
      <c r="E729" s="38">
        <v>40026</v>
      </c>
      <c r="F729" s="39">
        <v>140</v>
      </c>
      <c r="G729" t="s">
        <v>21</v>
      </c>
      <c r="H729" t="s">
        <v>21</v>
      </c>
      <c r="I729">
        <v>0</v>
      </c>
      <c r="J729">
        <v>0</v>
      </c>
      <c r="K729">
        <v>0</v>
      </c>
      <c r="L729">
        <v>1</v>
      </c>
      <c r="M729">
        <v>0</v>
      </c>
      <c r="N729" t="s">
        <v>193</v>
      </c>
      <c r="O729" t="s">
        <v>213</v>
      </c>
      <c r="P729" t="s">
        <v>204</v>
      </c>
      <c r="Q729" t="s">
        <v>170</v>
      </c>
      <c r="R729" t="s">
        <v>155</v>
      </c>
      <c r="S729">
        <v>5</v>
      </c>
      <c r="T729" t="s">
        <v>135</v>
      </c>
      <c r="U729">
        <v>0</v>
      </c>
      <c r="V729">
        <v>3</v>
      </c>
      <c r="W729" t="s">
        <v>137</v>
      </c>
      <c r="X729">
        <v>0</v>
      </c>
      <c r="Y729" t="s">
        <v>140</v>
      </c>
      <c r="Z729" t="s">
        <v>182</v>
      </c>
      <c r="AA729" t="s">
        <v>145</v>
      </c>
      <c r="AB729" t="s">
        <v>163</v>
      </c>
      <c r="AC729" t="s">
        <v>173</v>
      </c>
      <c r="AD729" t="s">
        <v>155</v>
      </c>
      <c r="AE729" t="s">
        <v>127</v>
      </c>
      <c r="AF729" t="s">
        <v>21</v>
      </c>
    </row>
    <row r="730" spans="1:32">
      <c r="A730" t="s">
        <v>1462</v>
      </c>
      <c r="B730" s="37">
        <v>39925</v>
      </c>
      <c r="C730" s="38">
        <v>39925</v>
      </c>
      <c r="D730" s="38">
        <v>39923</v>
      </c>
      <c r="E730" s="38">
        <v>39904</v>
      </c>
      <c r="F730" s="39">
        <v>20</v>
      </c>
      <c r="G730" t="s">
        <v>21</v>
      </c>
      <c r="H730" t="s">
        <v>21</v>
      </c>
      <c r="I730">
        <v>0</v>
      </c>
      <c r="J730">
        <v>0</v>
      </c>
      <c r="K730">
        <v>0</v>
      </c>
      <c r="L730">
        <v>1</v>
      </c>
      <c r="M730">
        <v>0</v>
      </c>
      <c r="N730" t="s">
        <v>193</v>
      </c>
      <c r="O730" t="s">
        <v>213</v>
      </c>
      <c r="P730" t="s">
        <v>204</v>
      </c>
      <c r="Q730" t="s">
        <v>170</v>
      </c>
      <c r="R730" t="s">
        <v>155</v>
      </c>
      <c r="T730" t="s">
        <v>134</v>
      </c>
      <c r="U730">
        <v>1</v>
      </c>
      <c r="W730" t="s">
        <v>134</v>
      </c>
      <c r="X730">
        <v>1</v>
      </c>
      <c r="Y730" t="s">
        <v>140</v>
      </c>
      <c r="Z730" t="s">
        <v>182</v>
      </c>
      <c r="AA730" t="s">
        <v>143</v>
      </c>
      <c r="AB730" t="s">
        <v>162</v>
      </c>
      <c r="AC730" t="s">
        <v>175</v>
      </c>
      <c r="AD730" t="s">
        <v>155</v>
      </c>
      <c r="AE730" t="s">
        <v>130</v>
      </c>
      <c r="AF730" t="s">
        <v>21</v>
      </c>
    </row>
    <row r="731" spans="1:32">
      <c r="A731" t="s">
        <v>1463</v>
      </c>
      <c r="B731" s="37">
        <v>39917</v>
      </c>
      <c r="C731" s="38">
        <v>39917</v>
      </c>
      <c r="D731" s="38">
        <v>39916</v>
      </c>
      <c r="E731" s="38">
        <v>39904</v>
      </c>
      <c r="F731" s="39">
        <v>12</v>
      </c>
      <c r="G731" t="s">
        <v>21</v>
      </c>
      <c r="H731" t="s">
        <v>21</v>
      </c>
      <c r="I731">
        <v>0</v>
      </c>
      <c r="J731">
        <v>0</v>
      </c>
      <c r="K731">
        <v>0</v>
      </c>
      <c r="L731">
        <v>1</v>
      </c>
      <c r="M731">
        <v>0</v>
      </c>
      <c r="N731" t="s">
        <v>193</v>
      </c>
      <c r="O731" t="s">
        <v>213</v>
      </c>
      <c r="P731" t="s">
        <v>204</v>
      </c>
      <c r="Q731" t="s">
        <v>170</v>
      </c>
      <c r="R731" t="s">
        <v>155</v>
      </c>
      <c r="T731" t="s">
        <v>134</v>
      </c>
      <c r="U731">
        <v>1</v>
      </c>
      <c r="W731" t="s">
        <v>134</v>
      </c>
      <c r="X731">
        <v>1</v>
      </c>
      <c r="Y731" t="s">
        <v>140</v>
      </c>
      <c r="Z731" t="s">
        <v>190</v>
      </c>
      <c r="AA731" t="s">
        <v>147</v>
      </c>
      <c r="AB731" t="s">
        <v>162</v>
      </c>
      <c r="AC731" t="s">
        <v>174</v>
      </c>
      <c r="AD731" t="s">
        <v>156</v>
      </c>
      <c r="AE731" t="s">
        <v>120</v>
      </c>
      <c r="AF731" t="s">
        <v>1464</v>
      </c>
    </row>
    <row r="732" spans="1:32">
      <c r="A732" t="s">
        <v>1465</v>
      </c>
      <c r="B732" s="37">
        <v>40031</v>
      </c>
      <c r="C732" s="38">
        <v>40031</v>
      </c>
      <c r="D732" s="38">
        <v>40028</v>
      </c>
      <c r="E732" s="38">
        <v>40026</v>
      </c>
      <c r="F732" s="39">
        <v>126</v>
      </c>
      <c r="G732" t="s">
        <v>496</v>
      </c>
      <c r="H732" t="s">
        <v>13</v>
      </c>
      <c r="I732">
        <v>0</v>
      </c>
      <c r="J732">
        <v>1</v>
      </c>
      <c r="K732">
        <v>0</v>
      </c>
      <c r="L732">
        <v>0</v>
      </c>
      <c r="M732">
        <v>1</v>
      </c>
      <c r="N732" t="s">
        <v>193</v>
      </c>
      <c r="O732" t="s">
        <v>213</v>
      </c>
      <c r="P732" t="s">
        <v>204</v>
      </c>
      <c r="Q732" t="s">
        <v>170</v>
      </c>
      <c r="R732" t="s">
        <v>155</v>
      </c>
      <c r="S732">
        <v>5</v>
      </c>
      <c r="T732" t="s">
        <v>135</v>
      </c>
      <c r="U732">
        <v>0</v>
      </c>
      <c r="V732">
        <v>4</v>
      </c>
      <c r="W732" t="s">
        <v>137</v>
      </c>
      <c r="X732">
        <v>0</v>
      </c>
      <c r="Y732" t="s">
        <v>140</v>
      </c>
      <c r="Z732" t="s">
        <v>180</v>
      </c>
      <c r="AA732" t="s">
        <v>143</v>
      </c>
      <c r="AB732" t="s">
        <v>163</v>
      </c>
      <c r="AC732" t="s">
        <v>173</v>
      </c>
      <c r="AD732" t="s">
        <v>155</v>
      </c>
      <c r="AE732" t="s">
        <v>962</v>
      </c>
      <c r="AF732" t="s">
        <v>21</v>
      </c>
    </row>
    <row r="733" spans="1:32">
      <c r="A733" t="s">
        <v>1466</v>
      </c>
      <c r="B733" s="37">
        <v>39949</v>
      </c>
      <c r="C733" s="38">
        <v>39949</v>
      </c>
      <c r="D733" s="38">
        <v>39944</v>
      </c>
      <c r="E733" s="38">
        <v>39934</v>
      </c>
      <c r="F733" s="39">
        <v>44</v>
      </c>
      <c r="G733" t="s">
        <v>21</v>
      </c>
      <c r="H733" t="s">
        <v>21</v>
      </c>
      <c r="I733">
        <v>0</v>
      </c>
      <c r="J733">
        <v>0</v>
      </c>
      <c r="K733">
        <v>0</v>
      </c>
      <c r="L733">
        <v>1</v>
      </c>
      <c r="M733">
        <v>0</v>
      </c>
      <c r="N733" t="s">
        <v>195</v>
      </c>
      <c r="O733" t="s">
        <v>213</v>
      </c>
      <c r="P733" t="s">
        <v>206</v>
      </c>
      <c r="Q733" t="s">
        <v>170</v>
      </c>
      <c r="R733" t="s">
        <v>155</v>
      </c>
      <c r="T733" t="s">
        <v>134</v>
      </c>
      <c r="U733">
        <v>1</v>
      </c>
      <c r="W733" t="s">
        <v>134</v>
      </c>
      <c r="X733">
        <v>1</v>
      </c>
      <c r="Y733" t="s">
        <v>139</v>
      </c>
      <c r="Z733" t="s">
        <v>180</v>
      </c>
      <c r="AA733" t="s">
        <v>148</v>
      </c>
      <c r="AB733" t="s">
        <v>162</v>
      </c>
      <c r="AC733" t="s">
        <v>175</v>
      </c>
      <c r="AD733" t="s">
        <v>125</v>
      </c>
      <c r="AE733" t="s">
        <v>628</v>
      </c>
      <c r="AF733" t="s">
        <v>1209</v>
      </c>
    </row>
    <row r="734" spans="1:32">
      <c r="A734" t="s">
        <v>1467</v>
      </c>
      <c r="B734" s="37">
        <v>40079</v>
      </c>
      <c r="C734" s="38">
        <v>40079</v>
      </c>
      <c r="D734" s="38">
        <v>40077</v>
      </c>
      <c r="E734" s="38">
        <v>40057</v>
      </c>
      <c r="F734" s="39">
        <v>174</v>
      </c>
      <c r="G734" t="s">
        <v>21</v>
      </c>
      <c r="H734" t="s">
        <v>21</v>
      </c>
      <c r="I734">
        <v>0</v>
      </c>
      <c r="J734">
        <v>0</v>
      </c>
      <c r="K734">
        <v>0</v>
      </c>
      <c r="L734">
        <v>1</v>
      </c>
      <c r="M734">
        <v>0</v>
      </c>
      <c r="N734" t="s">
        <v>193</v>
      </c>
      <c r="O734" t="s">
        <v>213</v>
      </c>
      <c r="P734" t="s">
        <v>204</v>
      </c>
      <c r="Q734" t="s">
        <v>170</v>
      </c>
      <c r="R734" t="s">
        <v>155</v>
      </c>
      <c r="S734">
        <v>5</v>
      </c>
      <c r="T734" t="s">
        <v>135</v>
      </c>
      <c r="U734">
        <v>0</v>
      </c>
      <c r="V734">
        <v>5</v>
      </c>
      <c r="W734" t="s">
        <v>135</v>
      </c>
      <c r="X734">
        <v>0</v>
      </c>
      <c r="Y734" t="s">
        <v>140</v>
      </c>
      <c r="Z734" t="s">
        <v>182</v>
      </c>
      <c r="AA734" t="s">
        <v>146</v>
      </c>
      <c r="AB734" t="s">
        <v>165</v>
      </c>
      <c r="AC734" t="s">
        <v>1468</v>
      </c>
      <c r="AD734" t="s">
        <v>158</v>
      </c>
      <c r="AE734" t="s">
        <v>123</v>
      </c>
      <c r="AF734" t="s">
        <v>21</v>
      </c>
    </row>
    <row r="735" spans="1:32">
      <c r="A735" t="s">
        <v>1469</v>
      </c>
      <c r="B735" s="37">
        <v>40034</v>
      </c>
      <c r="C735" s="38">
        <v>40034</v>
      </c>
      <c r="D735" s="38">
        <v>40028</v>
      </c>
      <c r="E735" s="38">
        <v>40026</v>
      </c>
      <c r="F735" s="39">
        <v>129</v>
      </c>
      <c r="G735" t="s">
        <v>21</v>
      </c>
      <c r="H735" t="s">
        <v>21</v>
      </c>
      <c r="I735">
        <v>0</v>
      </c>
      <c r="J735">
        <v>0</v>
      </c>
      <c r="K735">
        <v>0</v>
      </c>
      <c r="L735">
        <v>1</v>
      </c>
      <c r="M735">
        <v>0</v>
      </c>
      <c r="N735" t="s">
        <v>193</v>
      </c>
      <c r="O735" t="s">
        <v>213</v>
      </c>
      <c r="P735" t="s">
        <v>204</v>
      </c>
      <c r="Q735" t="s">
        <v>170</v>
      </c>
      <c r="R735" t="s">
        <v>155</v>
      </c>
      <c r="S735">
        <v>5</v>
      </c>
      <c r="T735" t="s">
        <v>135</v>
      </c>
      <c r="U735">
        <v>0</v>
      </c>
      <c r="V735">
        <v>5</v>
      </c>
      <c r="W735" t="s">
        <v>135</v>
      </c>
      <c r="X735">
        <v>0</v>
      </c>
      <c r="Y735" t="s">
        <v>140</v>
      </c>
      <c r="Z735" t="s">
        <v>184</v>
      </c>
      <c r="AA735" t="s">
        <v>150</v>
      </c>
      <c r="AB735" t="s">
        <v>162</v>
      </c>
      <c r="AC735" t="s">
        <v>429</v>
      </c>
      <c r="AD735" t="s">
        <v>155</v>
      </c>
      <c r="AE735" t="s">
        <v>129</v>
      </c>
      <c r="AF735" t="s">
        <v>21</v>
      </c>
    </row>
    <row r="736" spans="1:32">
      <c r="A736" t="s">
        <v>1470</v>
      </c>
      <c r="B736" s="37">
        <v>39964</v>
      </c>
      <c r="C736" s="38">
        <v>39964</v>
      </c>
      <c r="D736" s="38">
        <v>39958</v>
      </c>
      <c r="E736" s="38">
        <v>39934</v>
      </c>
      <c r="F736" s="39">
        <v>59</v>
      </c>
      <c r="G736" t="s">
        <v>21</v>
      </c>
      <c r="H736" t="s">
        <v>21</v>
      </c>
      <c r="I736">
        <v>0</v>
      </c>
      <c r="J736">
        <v>0</v>
      </c>
      <c r="K736">
        <v>0</v>
      </c>
      <c r="L736">
        <v>1</v>
      </c>
      <c r="M736">
        <v>0</v>
      </c>
      <c r="N736" t="s">
        <v>195</v>
      </c>
      <c r="O736" t="s">
        <v>213</v>
      </c>
      <c r="P736" t="s">
        <v>206</v>
      </c>
      <c r="Q736" t="s">
        <v>170</v>
      </c>
      <c r="R736" t="s">
        <v>155</v>
      </c>
      <c r="T736" t="s">
        <v>134</v>
      </c>
      <c r="U736">
        <v>1</v>
      </c>
      <c r="W736" t="s">
        <v>134</v>
      </c>
      <c r="X736">
        <v>1</v>
      </c>
      <c r="Y736" t="s">
        <v>139</v>
      </c>
      <c r="Z736" t="s">
        <v>180</v>
      </c>
      <c r="AA736" t="s">
        <v>144</v>
      </c>
      <c r="AB736" t="s">
        <v>162</v>
      </c>
      <c r="AC736" t="s">
        <v>619</v>
      </c>
      <c r="AD736" t="s">
        <v>159</v>
      </c>
      <c r="AE736" t="s">
        <v>123</v>
      </c>
      <c r="AF736" t="s">
        <v>123</v>
      </c>
    </row>
    <row r="737" spans="1:32">
      <c r="A737" t="s">
        <v>1471</v>
      </c>
      <c r="B737" s="37">
        <v>40033</v>
      </c>
      <c r="C737" s="38">
        <v>40033</v>
      </c>
      <c r="D737" s="38">
        <v>40028</v>
      </c>
      <c r="E737" s="38">
        <v>40026</v>
      </c>
      <c r="F737" s="39">
        <v>128</v>
      </c>
      <c r="G737" t="s">
        <v>21</v>
      </c>
      <c r="H737" t="s">
        <v>21</v>
      </c>
      <c r="I737">
        <v>0</v>
      </c>
      <c r="J737">
        <v>0</v>
      </c>
      <c r="K737">
        <v>0</v>
      </c>
      <c r="L737">
        <v>1</v>
      </c>
      <c r="M737">
        <v>0</v>
      </c>
      <c r="N737" t="s">
        <v>193</v>
      </c>
      <c r="O737" t="s">
        <v>213</v>
      </c>
      <c r="P737" t="s">
        <v>204</v>
      </c>
      <c r="Q737" t="s">
        <v>170</v>
      </c>
      <c r="R737" t="s">
        <v>155</v>
      </c>
      <c r="S737">
        <v>1</v>
      </c>
      <c r="T737" t="s">
        <v>136</v>
      </c>
      <c r="U737">
        <v>0</v>
      </c>
      <c r="V737">
        <v>4</v>
      </c>
      <c r="W737" t="s">
        <v>137</v>
      </c>
      <c r="X737">
        <v>0</v>
      </c>
      <c r="Y737" t="s">
        <v>140</v>
      </c>
      <c r="Z737" t="s">
        <v>190</v>
      </c>
      <c r="AA737" t="s">
        <v>142</v>
      </c>
      <c r="AB737" t="s">
        <v>162</v>
      </c>
      <c r="AC737" t="s">
        <v>1472</v>
      </c>
      <c r="AD737" t="s">
        <v>161</v>
      </c>
      <c r="AE737" t="s">
        <v>1473</v>
      </c>
      <c r="AF737" t="s">
        <v>21</v>
      </c>
    </row>
    <row r="738" spans="1:32">
      <c r="A738" t="s">
        <v>1474</v>
      </c>
      <c r="B738" s="37">
        <v>39906</v>
      </c>
      <c r="C738" s="38">
        <v>39906</v>
      </c>
      <c r="D738" s="38">
        <v>39902</v>
      </c>
      <c r="E738" s="38">
        <v>39904</v>
      </c>
      <c r="F738" s="39">
        <v>1</v>
      </c>
      <c r="G738" t="s">
        <v>21</v>
      </c>
      <c r="H738" t="s">
        <v>21</v>
      </c>
      <c r="I738">
        <v>0</v>
      </c>
      <c r="J738">
        <v>0</v>
      </c>
      <c r="K738">
        <v>0</v>
      </c>
      <c r="L738">
        <v>1</v>
      </c>
      <c r="M738">
        <v>0</v>
      </c>
      <c r="N738" t="s">
        <v>198</v>
      </c>
      <c r="O738" t="s">
        <v>213</v>
      </c>
      <c r="P738" t="s">
        <v>208</v>
      </c>
      <c r="Q738" t="s">
        <v>170</v>
      </c>
      <c r="R738" t="s">
        <v>155</v>
      </c>
      <c r="T738" t="s">
        <v>134</v>
      </c>
      <c r="U738">
        <v>1</v>
      </c>
      <c r="W738" t="s">
        <v>134</v>
      </c>
      <c r="X738">
        <v>1</v>
      </c>
      <c r="Y738" t="s">
        <v>139</v>
      </c>
      <c r="Z738" t="s">
        <v>181</v>
      </c>
      <c r="AA738" t="s">
        <v>148</v>
      </c>
      <c r="AB738" t="s">
        <v>165</v>
      </c>
      <c r="AC738" t="s">
        <v>21</v>
      </c>
      <c r="AD738" t="s">
        <v>158</v>
      </c>
      <c r="AE738" t="s">
        <v>122</v>
      </c>
      <c r="AF738" t="s">
        <v>21</v>
      </c>
    </row>
    <row r="739" spans="1:32">
      <c r="A739" t="s">
        <v>1475</v>
      </c>
      <c r="B739" s="37">
        <v>39917</v>
      </c>
      <c r="C739" s="38">
        <v>39917</v>
      </c>
      <c r="D739" s="38">
        <v>39916</v>
      </c>
      <c r="E739" s="38">
        <v>39904</v>
      </c>
      <c r="F739" s="39">
        <v>12</v>
      </c>
      <c r="G739" t="s">
        <v>21</v>
      </c>
      <c r="H739" t="s">
        <v>21</v>
      </c>
      <c r="I739">
        <v>0</v>
      </c>
      <c r="J739">
        <v>0</v>
      </c>
      <c r="K739">
        <v>0</v>
      </c>
      <c r="L739">
        <v>1</v>
      </c>
      <c r="M739">
        <v>0</v>
      </c>
      <c r="N739" t="s">
        <v>193</v>
      </c>
      <c r="O739" t="s">
        <v>213</v>
      </c>
      <c r="P739" t="s">
        <v>204</v>
      </c>
      <c r="Q739" t="s">
        <v>170</v>
      </c>
      <c r="R739" t="s">
        <v>155</v>
      </c>
      <c r="T739" t="s">
        <v>134</v>
      </c>
      <c r="U739">
        <v>1</v>
      </c>
      <c r="W739" t="s">
        <v>134</v>
      </c>
      <c r="X739">
        <v>1</v>
      </c>
      <c r="Y739" t="s">
        <v>140</v>
      </c>
      <c r="Z739" t="s">
        <v>186</v>
      </c>
      <c r="AA739" t="s">
        <v>143</v>
      </c>
      <c r="AB739" t="s">
        <v>162</v>
      </c>
      <c r="AC739" t="s">
        <v>910</v>
      </c>
      <c r="AD739" t="s">
        <v>156</v>
      </c>
      <c r="AE739" t="s">
        <v>120</v>
      </c>
      <c r="AF739" t="s">
        <v>488</v>
      </c>
    </row>
    <row r="740" spans="1:32">
      <c r="A740" t="s">
        <v>1476</v>
      </c>
      <c r="B740" s="37">
        <v>39921</v>
      </c>
      <c r="C740" s="38">
        <v>39921</v>
      </c>
      <c r="D740" s="38">
        <v>39916</v>
      </c>
      <c r="E740" s="38">
        <v>39904</v>
      </c>
      <c r="F740" s="39">
        <v>16</v>
      </c>
      <c r="G740" t="s">
        <v>9</v>
      </c>
      <c r="H740" t="s">
        <v>9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198</v>
      </c>
      <c r="O740" t="s">
        <v>213</v>
      </c>
      <c r="P740" t="s">
        <v>208</v>
      </c>
      <c r="Q740" t="s">
        <v>170</v>
      </c>
      <c r="R740" t="s">
        <v>155</v>
      </c>
      <c r="T740" t="s">
        <v>134</v>
      </c>
      <c r="U740">
        <v>1</v>
      </c>
      <c r="W740" t="s">
        <v>134</v>
      </c>
      <c r="X740">
        <v>1</v>
      </c>
      <c r="Y740" t="s">
        <v>139</v>
      </c>
      <c r="Z740" t="s">
        <v>188</v>
      </c>
      <c r="AA740" t="s">
        <v>149</v>
      </c>
      <c r="AB740" t="s">
        <v>162</v>
      </c>
      <c r="AC740" t="s">
        <v>176</v>
      </c>
      <c r="AD740" t="s">
        <v>155</v>
      </c>
      <c r="AE740" t="s">
        <v>129</v>
      </c>
      <c r="AF740" t="s">
        <v>21</v>
      </c>
    </row>
    <row r="741" spans="1:32">
      <c r="A741" t="s">
        <v>1477</v>
      </c>
      <c r="B741" s="37">
        <v>40083</v>
      </c>
      <c r="C741" s="38">
        <v>40083</v>
      </c>
      <c r="D741" s="38">
        <v>40077</v>
      </c>
      <c r="E741" s="38">
        <v>40057</v>
      </c>
      <c r="F741" s="39">
        <v>178</v>
      </c>
      <c r="G741" t="s">
        <v>21</v>
      </c>
      <c r="H741" t="s">
        <v>21</v>
      </c>
      <c r="I741">
        <v>0</v>
      </c>
      <c r="J741">
        <v>0</v>
      </c>
      <c r="K741">
        <v>0</v>
      </c>
      <c r="L741">
        <v>1</v>
      </c>
      <c r="M741">
        <v>0</v>
      </c>
      <c r="N741" t="s">
        <v>195</v>
      </c>
      <c r="O741" t="s">
        <v>213</v>
      </c>
      <c r="P741" t="s">
        <v>206</v>
      </c>
      <c r="Q741" t="s">
        <v>170</v>
      </c>
      <c r="R741" t="s">
        <v>155</v>
      </c>
      <c r="S741">
        <v>5</v>
      </c>
      <c r="T741" t="s">
        <v>135</v>
      </c>
      <c r="U741">
        <v>0</v>
      </c>
      <c r="V741">
        <v>5</v>
      </c>
      <c r="W741" t="s">
        <v>135</v>
      </c>
      <c r="X741">
        <v>0</v>
      </c>
      <c r="Y741" t="s">
        <v>139</v>
      </c>
      <c r="Z741" t="s">
        <v>184</v>
      </c>
      <c r="AA741" t="s">
        <v>145</v>
      </c>
      <c r="AB741" t="s">
        <v>162</v>
      </c>
      <c r="AC741" t="s">
        <v>619</v>
      </c>
      <c r="AD741" t="s">
        <v>398</v>
      </c>
      <c r="AE741" t="s">
        <v>123</v>
      </c>
      <c r="AF741" t="s">
        <v>123</v>
      </c>
    </row>
    <row r="742" spans="1:32">
      <c r="A742" t="s">
        <v>1478</v>
      </c>
      <c r="B742" s="37">
        <v>39974</v>
      </c>
      <c r="C742" s="38">
        <v>39974</v>
      </c>
      <c r="D742" s="38">
        <v>39972</v>
      </c>
      <c r="E742" s="38">
        <v>39965</v>
      </c>
      <c r="F742" s="39">
        <v>69</v>
      </c>
      <c r="G742" t="s">
        <v>496</v>
      </c>
      <c r="H742" t="s">
        <v>13</v>
      </c>
      <c r="I742">
        <v>0</v>
      </c>
      <c r="J742">
        <v>1</v>
      </c>
      <c r="K742">
        <v>0</v>
      </c>
      <c r="L742">
        <v>0</v>
      </c>
      <c r="M742">
        <v>1</v>
      </c>
      <c r="N742" t="s">
        <v>193</v>
      </c>
      <c r="O742" t="s">
        <v>213</v>
      </c>
      <c r="P742" t="s">
        <v>204</v>
      </c>
      <c r="Q742" t="s">
        <v>170</v>
      </c>
      <c r="R742" t="s">
        <v>155</v>
      </c>
      <c r="T742" t="s">
        <v>134</v>
      </c>
      <c r="U742">
        <v>1</v>
      </c>
      <c r="W742" t="s">
        <v>134</v>
      </c>
      <c r="X742">
        <v>1</v>
      </c>
      <c r="Y742" t="s">
        <v>140</v>
      </c>
      <c r="Z742" t="s">
        <v>181</v>
      </c>
      <c r="AA742" t="s">
        <v>143</v>
      </c>
      <c r="AB742" t="s">
        <v>162</v>
      </c>
      <c r="AC742" t="s">
        <v>619</v>
      </c>
      <c r="AD742" t="s">
        <v>156</v>
      </c>
      <c r="AE742" t="s">
        <v>120</v>
      </c>
      <c r="AF742" t="s">
        <v>1479</v>
      </c>
    </row>
    <row r="743" spans="1:32">
      <c r="A743" t="s">
        <v>1480</v>
      </c>
      <c r="B743" s="37">
        <v>39987</v>
      </c>
      <c r="C743" s="38">
        <v>39987</v>
      </c>
      <c r="D743" s="38">
        <v>39986</v>
      </c>
      <c r="E743" s="38">
        <v>39965</v>
      </c>
      <c r="F743" s="39">
        <v>82</v>
      </c>
      <c r="G743" t="s">
        <v>21</v>
      </c>
      <c r="H743" t="s">
        <v>21</v>
      </c>
      <c r="I743">
        <v>0</v>
      </c>
      <c r="J743">
        <v>0</v>
      </c>
      <c r="K743">
        <v>0</v>
      </c>
      <c r="L743">
        <v>1</v>
      </c>
      <c r="M743">
        <v>0</v>
      </c>
      <c r="N743" t="s">
        <v>196</v>
      </c>
      <c r="O743" t="s">
        <v>213</v>
      </c>
      <c r="P743" t="s">
        <v>207</v>
      </c>
      <c r="Q743" t="s">
        <v>170</v>
      </c>
      <c r="R743" t="s">
        <v>155</v>
      </c>
      <c r="T743" t="s">
        <v>134</v>
      </c>
      <c r="U743">
        <v>1</v>
      </c>
      <c r="W743" t="s">
        <v>134</v>
      </c>
      <c r="X743">
        <v>1</v>
      </c>
      <c r="Y743" t="s">
        <v>139</v>
      </c>
      <c r="Z743" t="s">
        <v>180</v>
      </c>
      <c r="AA743" t="s">
        <v>144</v>
      </c>
      <c r="AB743" t="s">
        <v>162</v>
      </c>
      <c r="AC743" t="s">
        <v>619</v>
      </c>
      <c r="AD743" t="s">
        <v>156</v>
      </c>
      <c r="AE743" t="s">
        <v>120</v>
      </c>
      <c r="AF743" t="s">
        <v>1481</v>
      </c>
    </row>
    <row r="744" spans="1:32">
      <c r="A744" t="s">
        <v>1482</v>
      </c>
      <c r="B744" s="37">
        <v>40005</v>
      </c>
      <c r="C744" s="38">
        <v>40005</v>
      </c>
      <c r="D744" s="38">
        <v>40000</v>
      </c>
      <c r="E744" s="38">
        <v>39995</v>
      </c>
      <c r="F744" s="39">
        <v>100</v>
      </c>
      <c r="G744" t="s">
        <v>21</v>
      </c>
      <c r="H744" t="s">
        <v>21</v>
      </c>
      <c r="I744">
        <v>0</v>
      </c>
      <c r="J744">
        <v>0</v>
      </c>
      <c r="K744">
        <v>0</v>
      </c>
      <c r="L744">
        <v>1</v>
      </c>
      <c r="M744">
        <v>0</v>
      </c>
      <c r="N744" t="s">
        <v>194</v>
      </c>
      <c r="O744" t="s">
        <v>213</v>
      </c>
      <c r="P744" t="s">
        <v>205</v>
      </c>
      <c r="Q744" t="s">
        <v>170</v>
      </c>
      <c r="R744" t="s">
        <v>155</v>
      </c>
      <c r="S744">
        <v>5</v>
      </c>
      <c r="T744" t="s">
        <v>135</v>
      </c>
      <c r="U744">
        <v>0</v>
      </c>
      <c r="V744">
        <v>4</v>
      </c>
      <c r="W744" t="s">
        <v>137</v>
      </c>
      <c r="X744">
        <v>0</v>
      </c>
      <c r="Y744" t="s">
        <v>139</v>
      </c>
      <c r="Z744" t="s">
        <v>181</v>
      </c>
      <c r="AA744" t="s">
        <v>144</v>
      </c>
      <c r="AB744" t="s">
        <v>162</v>
      </c>
      <c r="AC744" t="s">
        <v>619</v>
      </c>
      <c r="AD744" t="s">
        <v>157</v>
      </c>
      <c r="AE744" t="s">
        <v>124</v>
      </c>
      <c r="AF744" t="s">
        <v>1483</v>
      </c>
    </row>
    <row r="745" spans="1:32">
      <c r="A745" t="s">
        <v>1484</v>
      </c>
      <c r="B745" s="37">
        <v>39967</v>
      </c>
      <c r="C745" s="38">
        <v>39967</v>
      </c>
      <c r="D745" s="38">
        <v>39965</v>
      </c>
      <c r="E745" s="38">
        <v>39965</v>
      </c>
      <c r="F745" s="39">
        <v>62</v>
      </c>
      <c r="G745" t="s">
        <v>525</v>
      </c>
      <c r="H745" t="s">
        <v>17</v>
      </c>
      <c r="I745">
        <v>0</v>
      </c>
      <c r="J745">
        <v>0</v>
      </c>
      <c r="K745">
        <v>1</v>
      </c>
      <c r="L745">
        <v>0</v>
      </c>
      <c r="M745">
        <v>0</v>
      </c>
      <c r="N745" t="s">
        <v>193</v>
      </c>
      <c r="O745" t="s">
        <v>213</v>
      </c>
      <c r="P745" t="s">
        <v>204</v>
      </c>
      <c r="Q745" t="s">
        <v>170</v>
      </c>
      <c r="R745" t="s">
        <v>155</v>
      </c>
      <c r="T745" t="s">
        <v>134</v>
      </c>
      <c r="U745">
        <v>1</v>
      </c>
      <c r="W745" t="s">
        <v>134</v>
      </c>
      <c r="X745">
        <v>1</v>
      </c>
      <c r="Y745" t="s">
        <v>140</v>
      </c>
      <c r="Z745" t="s">
        <v>180</v>
      </c>
      <c r="AA745" t="s">
        <v>146</v>
      </c>
      <c r="AB745" t="s">
        <v>162</v>
      </c>
      <c r="AC745" t="s">
        <v>619</v>
      </c>
      <c r="AD745" t="s">
        <v>157</v>
      </c>
      <c r="AE745" t="s">
        <v>127</v>
      </c>
      <c r="AF745" t="s">
        <v>153</v>
      </c>
    </row>
    <row r="746" spans="1:32">
      <c r="A746" t="s">
        <v>1485</v>
      </c>
      <c r="B746" s="37">
        <v>40021</v>
      </c>
      <c r="C746" s="38">
        <v>40021</v>
      </c>
      <c r="D746" s="38">
        <v>40021</v>
      </c>
      <c r="E746" s="38">
        <v>39995</v>
      </c>
      <c r="F746" s="39">
        <v>116</v>
      </c>
      <c r="G746" t="s">
        <v>496</v>
      </c>
      <c r="H746" t="s">
        <v>13</v>
      </c>
      <c r="I746">
        <v>0</v>
      </c>
      <c r="J746">
        <v>1</v>
      </c>
      <c r="K746">
        <v>0</v>
      </c>
      <c r="L746">
        <v>0</v>
      </c>
      <c r="M746">
        <v>1</v>
      </c>
      <c r="N746" t="s">
        <v>193</v>
      </c>
      <c r="O746" t="s">
        <v>213</v>
      </c>
      <c r="P746" t="s">
        <v>204</v>
      </c>
      <c r="Q746" t="s">
        <v>170</v>
      </c>
      <c r="R746" t="s">
        <v>155</v>
      </c>
      <c r="S746">
        <v>2</v>
      </c>
      <c r="T746" t="s">
        <v>136</v>
      </c>
      <c r="U746">
        <v>0</v>
      </c>
      <c r="V746">
        <v>5</v>
      </c>
      <c r="W746" t="s">
        <v>135</v>
      </c>
      <c r="X746">
        <v>0</v>
      </c>
      <c r="Y746" t="s">
        <v>140</v>
      </c>
      <c r="Z746" t="s">
        <v>180</v>
      </c>
      <c r="AA746" t="s">
        <v>143</v>
      </c>
      <c r="AB746" t="s">
        <v>162</v>
      </c>
      <c r="AC746" t="s">
        <v>578</v>
      </c>
      <c r="AD746" t="s">
        <v>157</v>
      </c>
      <c r="AE746" t="s">
        <v>130</v>
      </c>
      <c r="AF746" t="s">
        <v>437</v>
      </c>
    </row>
    <row r="747" spans="1:32">
      <c r="A747" t="s">
        <v>1486</v>
      </c>
      <c r="B747" s="37">
        <v>39982</v>
      </c>
      <c r="C747" s="38">
        <v>39982</v>
      </c>
      <c r="D747" s="38">
        <v>39979</v>
      </c>
      <c r="E747" s="38">
        <v>39965</v>
      </c>
      <c r="F747" s="39">
        <v>77</v>
      </c>
      <c r="G747" t="s">
        <v>21</v>
      </c>
      <c r="H747" t="s">
        <v>21</v>
      </c>
      <c r="I747">
        <v>0</v>
      </c>
      <c r="J747">
        <v>0</v>
      </c>
      <c r="K747">
        <v>0</v>
      </c>
      <c r="L747">
        <v>1</v>
      </c>
      <c r="M747">
        <v>0</v>
      </c>
      <c r="N747" t="s">
        <v>193</v>
      </c>
      <c r="O747" t="s">
        <v>213</v>
      </c>
      <c r="P747" t="s">
        <v>204</v>
      </c>
      <c r="Q747" t="s">
        <v>170</v>
      </c>
      <c r="R747" t="s">
        <v>155</v>
      </c>
      <c r="T747" t="s">
        <v>134</v>
      </c>
      <c r="U747">
        <v>1</v>
      </c>
      <c r="W747" t="s">
        <v>134</v>
      </c>
      <c r="X747">
        <v>1</v>
      </c>
      <c r="Y747" t="s">
        <v>140</v>
      </c>
      <c r="Z747" t="s">
        <v>181</v>
      </c>
      <c r="AA747" t="s">
        <v>142</v>
      </c>
      <c r="AB747" t="s">
        <v>162</v>
      </c>
      <c r="AC747" t="s">
        <v>619</v>
      </c>
      <c r="AD747" t="s">
        <v>156</v>
      </c>
      <c r="AE747" t="s">
        <v>120</v>
      </c>
      <c r="AF747" t="s">
        <v>1001</v>
      </c>
    </row>
    <row r="748" spans="1:32">
      <c r="A748" t="s">
        <v>1487</v>
      </c>
      <c r="B748" s="37">
        <v>39960</v>
      </c>
      <c r="C748" s="38">
        <v>39960</v>
      </c>
      <c r="D748" s="38">
        <v>39958</v>
      </c>
      <c r="E748" s="38">
        <v>39934</v>
      </c>
      <c r="F748" s="39">
        <v>55</v>
      </c>
      <c r="G748" t="s">
        <v>21</v>
      </c>
      <c r="H748" t="s">
        <v>21</v>
      </c>
      <c r="I748">
        <v>0</v>
      </c>
      <c r="J748">
        <v>0</v>
      </c>
      <c r="K748">
        <v>0</v>
      </c>
      <c r="L748">
        <v>1</v>
      </c>
      <c r="M748">
        <v>0</v>
      </c>
      <c r="N748" t="s">
        <v>193</v>
      </c>
      <c r="O748" t="s">
        <v>213</v>
      </c>
      <c r="P748" t="s">
        <v>204</v>
      </c>
      <c r="Q748" t="s">
        <v>170</v>
      </c>
      <c r="R748" t="s">
        <v>155</v>
      </c>
      <c r="T748" t="s">
        <v>134</v>
      </c>
      <c r="U748">
        <v>1</v>
      </c>
      <c r="W748" t="s">
        <v>134</v>
      </c>
      <c r="X748">
        <v>1</v>
      </c>
      <c r="Y748" t="s">
        <v>140</v>
      </c>
      <c r="Z748" t="s">
        <v>180</v>
      </c>
      <c r="AA748" t="s">
        <v>149</v>
      </c>
      <c r="AB748" t="s">
        <v>162</v>
      </c>
      <c r="AC748" t="s">
        <v>175</v>
      </c>
      <c r="AD748" t="s">
        <v>155</v>
      </c>
      <c r="AE748" t="s">
        <v>1262</v>
      </c>
      <c r="AF748" t="s">
        <v>21</v>
      </c>
    </row>
    <row r="749" spans="1:32">
      <c r="A749" t="s">
        <v>1488</v>
      </c>
      <c r="B749" s="37">
        <v>40005</v>
      </c>
      <c r="C749" s="38">
        <v>40005</v>
      </c>
      <c r="D749" s="38">
        <v>40000</v>
      </c>
      <c r="E749" s="38">
        <v>39995</v>
      </c>
      <c r="F749" s="39">
        <v>100</v>
      </c>
      <c r="G749" t="s">
        <v>9</v>
      </c>
      <c r="H749" t="s">
        <v>9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193</v>
      </c>
      <c r="O749" t="s">
        <v>213</v>
      </c>
      <c r="P749" t="s">
        <v>204</v>
      </c>
      <c r="Q749" t="s">
        <v>170</v>
      </c>
      <c r="R749" t="s">
        <v>155</v>
      </c>
      <c r="S749">
        <v>1</v>
      </c>
      <c r="T749" t="s">
        <v>136</v>
      </c>
      <c r="U749">
        <v>0</v>
      </c>
      <c r="V749">
        <v>3</v>
      </c>
      <c r="W749" t="s">
        <v>137</v>
      </c>
      <c r="X749">
        <v>0</v>
      </c>
      <c r="Y749" t="s">
        <v>140</v>
      </c>
      <c r="Z749" t="s">
        <v>189</v>
      </c>
      <c r="AA749" t="s">
        <v>142</v>
      </c>
      <c r="AB749" t="s">
        <v>162</v>
      </c>
      <c r="AC749" t="s">
        <v>619</v>
      </c>
      <c r="AD749" t="s">
        <v>159</v>
      </c>
      <c r="AE749" t="s">
        <v>123</v>
      </c>
      <c r="AF749" t="s">
        <v>123</v>
      </c>
    </row>
    <row r="750" spans="1:32">
      <c r="A750" t="s">
        <v>1489</v>
      </c>
      <c r="B750" s="37">
        <v>39956</v>
      </c>
      <c r="C750" s="38">
        <v>39956</v>
      </c>
      <c r="D750" s="38">
        <v>39951</v>
      </c>
      <c r="E750" s="38">
        <v>39934</v>
      </c>
      <c r="F750" s="39">
        <v>51</v>
      </c>
      <c r="G750" t="s">
        <v>21</v>
      </c>
      <c r="H750" t="s">
        <v>21</v>
      </c>
      <c r="I750">
        <v>0</v>
      </c>
      <c r="J750">
        <v>0</v>
      </c>
      <c r="K750">
        <v>0</v>
      </c>
      <c r="L750">
        <v>1</v>
      </c>
      <c r="M750">
        <v>0</v>
      </c>
      <c r="N750" t="s">
        <v>194</v>
      </c>
      <c r="O750" t="s">
        <v>213</v>
      </c>
      <c r="P750" t="s">
        <v>205</v>
      </c>
      <c r="Q750" t="s">
        <v>170</v>
      </c>
      <c r="R750" t="s">
        <v>155</v>
      </c>
      <c r="T750" t="s">
        <v>134</v>
      </c>
      <c r="U750">
        <v>1</v>
      </c>
      <c r="W750" t="s">
        <v>134</v>
      </c>
      <c r="X750">
        <v>1</v>
      </c>
      <c r="Y750" t="s">
        <v>139</v>
      </c>
      <c r="Z750" t="s">
        <v>180</v>
      </c>
      <c r="AA750" t="s">
        <v>145</v>
      </c>
      <c r="AB750" t="s">
        <v>162</v>
      </c>
      <c r="AC750" t="s">
        <v>1490</v>
      </c>
      <c r="AD750" t="s">
        <v>157</v>
      </c>
      <c r="AE750" t="s">
        <v>130</v>
      </c>
      <c r="AF750" t="s">
        <v>423</v>
      </c>
    </row>
    <row r="751" spans="1:32">
      <c r="A751" t="s">
        <v>1491</v>
      </c>
      <c r="B751" s="37">
        <v>39964</v>
      </c>
      <c r="C751" s="38">
        <v>39964</v>
      </c>
      <c r="D751" s="38">
        <v>39958</v>
      </c>
      <c r="E751" s="38">
        <v>39934</v>
      </c>
      <c r="F751" s="39">
        <v>59</v>
      </c>
      <c r="G751" t="s">
        <v>21</v>
      </c>
      <c r="H751" t="s">
        <v>21</v>
      </c>
      <c r="I751">
        <v>0</v>
      </c>
      <c r="J751">
        <v>0</v>
      </c>
      <c r="K751">
        <v>0</v>
      </c>
      <c r="L751">
        <v>1</v>
      </c>
      <c r="M751">
        <v>0</v>
      </c>
      <c r="N751" t="s">
        <v>195</v>
      </c>
      <c r="O751" t="s">
        <v>213</v>
      </c>
      <c r="P751" t="s">
        <v>206</v>
      </c>
      <c r="Q751" t="s">
        <v>170</v>
      </c>
      <c r="R751" t="s">
        <v>155</v>
      </c>
      <c r="T751" t="s">
        <v>134</v>
      </c>
      <c r="U751">
        <v>1</v>
      </c>
      <c r="W751" t="s">
        <v>134</v>
      </c>
      <c r="X751">
        <v>1</v>
      </c>
      <c r="Y751" t="s">
        <v>139</v>
      </c>
      <c r="Z751" t="s">
        <v>179</v>
      </c>
      <c r="AA751" t="s">
        <v>146</v>
      </c>
      <c r="AB751" t="s">
        <v>162</v>
      </c>
      <c r="AC751" t="s">
        <v>175</v>
      </c>
      <c r="AD751" t="s">
        <v>155</v>
      </c>
      <c r="AE751" t="s">
        <v>129</v>
      </c>
      <c r="AF751" t="s">
        <v>21</v>
      </c>
    </row>
    <row r="752" spans="1:32">
      <c r="A752" t="s">
        <v>1492</v>
      </c>
      <c r="B752" s="37">
        <v>40022</v>
      </c>
      <c r="C752" s="38">
        <v>40022</v>
      </c>
      <c r="D752" s="38">
        <v>40021</v>
      </c>
      <c r="E752" s="38">
        <v>39995</v>
      </c>
      <c r="F752" s="39">
        <v>117</v>
      </c>
      <c r="G752" t="s">
        <v>21</v>
      </c>
      <c r="H752" t="s">
        <v>21</v>
      </c>
      <c r="I752">
        <v>0</v>
      </c>
      <c r="J752">
        <v>0</v>
      </c>
      <c r="K752">
        <v>0</v>
      </c>
      <c r="L752">
        <v>1</v>
      </c>
      <c r="M752">
        <v>0</v>
      </c>
      <c r="N752" t="s">
        <v>193</v>
      </c>
      <c r="O752" t="s">
        <v>213</v>
      </c>
      <c r="P752" t="s">
        <v>204</v>
      </c>
      <c r="Q752" t="s">
        <v>170</v>
      </c>
      <c r="R752" t="s">
        <v>155</v>
      </c>
      <c r="S752">
        <v>5</v>
      </c>
      <c r="T752" t="s">
        <v>135</v>
      </c>
      <c r="U752">
        <v>0</v>
      </c>
      <c r="V752">
        <v>5</v>
      </c>
      <c r="W752" t="s">
        <v>135</v>
      </c>
      <c r="X752">
        <v>0</v>
      </c>
      <c r="Y752" t="s">
        <v>140</v>
      </c>
      <c r="Z752" t="s">
        <v>191</v>
      </c>
      <c r="AA752" t="s">
        <v>143</v>
      </c>
      <c r="AB752" t="s">
        <v>162</v>
      </c>
      <c r="AC752" t="s">
        <v>619</v>
      </c>
      <c r="AD752" t="s">
        <v>160</v>
      </c>
      <c r="AE752" t="s">
        <v>126</v>
      </c>
      <c r="AF752" t="s">
        <v>1493</v>
      </c>
    </row>
    <row r="753" spans="1:32">
      <c r="A753" t="s">
        <v>1494</v>
      </c>
      <c r="B753" s="37">
        <v>39954</v>
      </c>
      <c r="C753" s="38">
        <v>39954</v>
      </c>
      <c r="D753" s="38">
        <v>39951</v>
      </c>
      <c r="E753" s="38">
        <v>39934</v>
      </c>
      <c r="F753" s="39">
        <v>49</v>
      </c>
      <c r="G753" t="s">
        <v>21</v>
      </c>
      <c r="H753" t="s">
        <v>21</v>
      </c>
      <c r="I753">
        <v>0</v>
      </c>
      <c r="J753">
        <v>0</v>
      </c>
      <c r="K753">
        <v>0</v>
      </c>
      <c r="L753">
        <v>1</v>
      </c>
      <c r="M753">
        <v>0</v>
      </c>
      <c r="N753" t="s">
        <v>193</v>
      </c>
      <c r="O753" t="s">
        <v>213</v>
      </c>
      <c r="P753" t="s">
        <v>204</v>
      </c>
      <c r="Q753" t="s">
        <v>170</v>
      </c>
      <c r="R753" t="s">
        <v>155</v>
      </c>
      <c r="T753" t="s">
        <v>134</v>
      </c>
      <c r="U753">
        <v>1</v>
      </c>
      <c r="W753" t="s">
        <v>134</v>
      </c>
      <c r="X753">
        <v>1</v>
      </c>
      <c r="Y753" t="s">
        <v>140</v>
      </c>
      <c r="Z753" t="s">
        <v>534</v>
      </c>
      <c r="AA753" t="s">
        <v>143</v>
      </c>
      <c r="AB753" t="s">
        <v>162</v>
      </c>
      <c r="AC753" t="s">
        <v>619</v>
      </c>
      <c r="AD753" t="s">
        <v>157</v>
      </c>
      <c r="AE753" t="s">
        <v>130</v>
      </c>
      <c r="AF753" t="s">
        <v>423</v>
      </c>
    </row>
    <row r="754" spans="1:32">
      <c r="A754" t="s">
        <v>1495</v>
      </c>
      <c r="B754" s="37">
        <v>39999</v>
      </c>
      <c r="C754" s="38">
        <v>39999</v>
      </c>
      <c r="D754" s="38">
        <v>39993</v>
      </c>
      <c r="E754" s="38">
        <v>39995</v>
      </c>
      <c r="F754" s="39">
        <v>94</v>
      </c>
      <c r="G754" t="s">
        <v>21</v>
      </c>
      <c r="H754" t="s">
        <v>21</v>
      </c>
      <c r="I754">
        <v>0</v>
      </c>
      <c r="J754">
        <v>0</v>
      </c>
      <c r="K754">
        <v>0</v>
      </c>
      <c r="L754">
        <v>1</v>
      </c>
      <c r="M754">
        <v>0</v>
      </c>
      <c r="N754" t="s">
        <v>194</v>
      </c>
      <c r="O754" t="s">
        <v>213</v>
      </c>
      <c r="P754" t="s">
        <v>205</v>
      </c>
      <c r="Q754" t="s">
        <v>170</v>
      </c>
      <c r="R754" t="s">
        <v>155</v>
      </c>
      <c r="T754" t="s">
        <v>134</v>
      </c>
      <c r="U754">
        <v>1</v>
      </c>
      <c r="V754">
        <v>4</v>
      </c>
      <c r="W754" t="s">
        <v>137</v>
      </c>
      <c r="X754">
        <v>0</v>
      </c>
      <c r="Y754" t="s">
        <v>139</v>
      </c>
      <c r="Z754" t="s">
        <v>181</v>
      </c>
      <c r="AA754" t="s">
        <v>145</v>
      </c>
      <c r="AB754" t="s">
        <v>162</v>
      </c>
      <c r="AC754" t="s">
        <v>176</v>
      </c>
      <c r="AD754" t="s">
        <v>155</v>
      </c>
      <c r="AE754" t="s">
        <v>130</v>
      </c>
      <c r="AF754" t="s">
        <v>21</v>
      </c>
    </row>
    <row r="755" spans="1:32">
      <c r="A755" t="s">
        <v>1496</v>
      </c>
      <c r="B755" s="37">
        <v>40055</v>
      </c>
      <c r="C755" s="38">
        <v>40055</v>
      </c>
      <c r="D755" s="38">
        <v>40049</v>
      </c>
      <c r="E755" s="38">
        <v>40026</v>
      </c>
      <c r="F755" s="39">
        <v>150</v>
      </c>
      <c r="G755" t="s">
        <v>380</v>
      </c>
      <c r="H755" t="s">
        <v>17</v>
      </c>
      <c r="I755">
        <v>0</v>
      </c>
      <c r="J755">
        <v>0</v>
      </c>
      <c r="K755">
        <v>1</v>
      </c>
      <c r="L755">
        <v>0</v>
      </c>
      <c r="M755">
        <v>0</v>
      </c>
      <c r="N755" t="s">
        <v>197</v>
      </c>
      <c r="O755" t="s">
        <v>213</v>
      </c>
      <c r="P755" t="s">
        <v>209</v>
      </c>
      <c r="Q755" t="s">
        <v>170</v>
      </c>
      <c r="R755" t="s">
        <v>155</v>
      </c>
      <c r="S755">
        <v>5</v>
      </c>
      <c r="T755" t="s">
        <v>135</v>
      </c>
      <c r="U755">
        <v>0</v>
      </c>
      <c r="V755">
        <v>5</v>
      </c>
      <c r="W755" t="s">
        <v>135</v>
      </c>
      <c r="X755">
        <v>0</v>
      </c>
      <c r="Y755" t="s">
        <v>139</v>
      </c>
      <c r="Z755" t="s">
        <v>180</v>
      </c>
      <c r="AA755" t="s">
        <v>144</v>
      </c>
      <c r="AB755" t="s">
        <v>162</v>
      </c>
      <c r="AC755" t="s">
        <v>176</v>
      </c>
      <c r="AD755" t="s">
        <v>125</v>
      </c>
      <c r="AE755" t="s">
        <v>125</v>
      </c>
      <c r="AF755" t="s">
        <v>1497</v>
      </c>
    </row>
    <row r="756" spans="1:32">
      <c r="A756" t="s">
        <v>1498</v>
      </c>
      <c r="B756" s="37">
        <v>39963</v>
      </c>
      <c r="C756" s="38">
        <v>39963</v>
      </c>
      <c r="D756" s="38">
        <v>39958</v>
      </c>
      <c r="E756" s="38">
        <v>39934</v>
      </c>
      <c r="F756" s="39">
        <v>58</v>
      </c>
      <c r="G756" t="s">
        <v>380</v>
      </c>
      <c r="H756" t="s">
        <v>17</v>
      </c>
      <c r="I756">
        <v>0</v>
      </c>
      <c r="J756">
        <v>0</v>
      </c>
      <c r="K756">
        <v>1</v>
      </c>
      <c r="L756">
        <v>0</v>
      </c>
      <c r="M756">
        <v>0</v>
      </c>
      <c r="N756" t="s">
        <v>193</v>
      </c>
      <c r="O756" t="s">
        <v>213</v>
      </c>
      <c r="P756" t="s">
        <v>204</v>
      </c>
      <c r="Q756" t="s">
        <v>170</v>
      </c>
      <c r="R756" t="s">
        <v>155</v>
      </c>
      <c r="T756" t="s">
        <v>134</v>
      </c>
      <c r="U756">
        <v>1</v>
      </c>
      <c r="W756" t="s">
        <v>134</v>
      </c>
      <c r="X756">
        <v>1</v>
      </c>
      <c r="Y756" t="s">
        <v>140</v>
      </c>
      <c r="Z756" t="s">
        <v>184</v>
      </c>
      <c r="AA756" t="s">
        <v>145</v>
      </c>
      <c r="AB756" t="s">
        <v>162</v>
      </c>
      <c r="AC756" t="s">
        <v>619</v>
      </c>
      <c r="AD756" t="s">
        <v>156</v>
      </c>
      <c r="AE756" t="s">
        <v>120</v>
      </c>
      <c r="AF756" t="s">
        <v>1499</v>
      </c>
    </row>
    <row r="757" spans="1:32">
      <c r="A757" t="s">
        <v>1500</v>
      </c>
      <c r="B757" s="37">
        <v>40037</v>
      </c>
      <c r="C757" s="38">
        <v>40037</v>
      </c>
      <c r="D757" s="38">
        <v>40035</v>
      </c>
      <c r="E757" s="38">
        <v>40026</v>
      </c>
      <c r="F757" s="39">
        <v>132</v>
      </c>
      <c r="G757" t="s">
        <v>21</v>
      </c>
      <c r="H757" t="s">
        <v>21</v>
      </c>
      <c r="I757">
        <v>0</v>
      </c>
      <c r="J757">
        <v>0</v>
      </c>
      <c r="K757">
        <v>0</v>
      </c>
      <c r="L757">
        <v>1</v>
      </c>
      <c r="M757">
        <v>0</v>
      </c>
      <c r="N757" t="s">
        <v>193</v>
      </c>
      <c r="O757" t="s">
        <v>213</v>
      </c>
      <c r="P757" t="s">
        <v>204</v>
      </c>
      <c r="Q757" t="s">
        <v>170</v>
      </c>
      <c r="R757" t="s">
        <v>155</v>
      </c>
      <c r="S757">
        <v>5</v>
      </c>
      <c r="T757" t="s">
        <v>135</v>
      </c>
      <c r="U757">
        <v>0</v>
      </c>
      <c r="V757">
        <v>4</v>
      </c>
      <c r="W757" t="s">
        <v>137</v>
      </c>
      <c r="X757">
        <v>0</v>
      </c>
      <c r="Y757" t="s">
        <v>140</v>
      </c>
      <c r="Z757" t="s">
        <v>180</v>
      </c>
      <c r="AA757" t="s">
        <v>149</v>
      </c>
      <c r="AB757" t="s">
        <v>162</v>
      </c>
      <c r="AC757" t="s">
        <v>619</v>
      </c>
      <c r="AD757" t="s">
        <v>159</v>
      </c>
      <c r="AE757" t="s">
        <v>123</v>
      </c>
      <c r="AF757" t="s">
        <v>123</v>
      </c>
    </row>
    <row r="758" spans="1:32">
      <c r="A758" t="s">
        <v>1501</v>
      </c>
      <c r="B758" s="37">
        <v>40015</v>
      </c>
      <c r="C758" s="38">
        <v>40015</v>
      </c>
      <c r="D758" s="38">
        <v>40014</v>
      </c>
      <c r="E758" s="38">
        <v>39995</v>
      </c>
      <c r="F758" s="39">
        <v>110</v>
      </c>
      <c r="G758" t="s">
        <v>21</v>
      </c>
      <c r="H758" t="s">
        <v>21</v>
      </c>
      <c r="I758">
        <v>0</v>
      </c>
      <c r="J758">
        <v>0</v>
      </c>
      <c r="K758">
        <v>0</v>
      </c>
      <c r="L758">
        <v>1</v>
      </c>
      <c r="M758">
        <v>0</v>
      </c>
      <c r="N758" t="s">
        <v>195</v>
      </c>
      <c r="O758" t="s">
        <v>213</v>
      </c>
      <c r="P758" t="s">
        <v>206</v>
      </c>
      <c r="Q758" t="s">
        <v>170</v>
      </c>
      <c r="R758" t="s">
        <v>155</v>
      </c>
      <c r="S758">
        <v>5</v>
      </c>
      <c r="T758" t="s">
        <v>135</v>
      </c>
      <c r="U758">
        <v>0</v>
      </c>
      <c r="V758">
        <v>3</v>
      </c>
      <c r="W758" t="s">
        <v>137</v>
      </c>
      <c r="X758">
        <v>0</v>
      </c>
      <c r="Y758" t="s">
        <v>139</v>
      </c>
      <c r="Z758" t="s">
        <v>180</v>
      </c>
      <c r="AA758" t="s">
        <v>144</v>
      </c>
      <c r="AB758" t="s">
        <v>162</v>
      </c>
      <c r="AC758" t="s">
        <v>578</v>
      </c>
      <c r="AD758" t="s">
        <v>157</v>
      </c>
      <c r="AE758" t="s">
        <v>127</v>
      </c>
      <c r="AF758" t="s">
        <v>153</v>
      </c>
    </row>
    <row r="759" spans="1:32">
      <c r="A759" t="s">
        <v>1502</v>
      </c>
      <c r="B759" s="37">
        <v>40005</v>
      </c>
      <c r="C759" s="38">
        <v>40005</v>
      </c>
      <c r="D759" s="38">
        <v>40000</v>
      </c>
      <c r="E759" s="38">
        <v>39995</v>
      </c>
      <c r="F759" s="39">
        <v>100</v>
      </c>
      <c r="G759" t="s">
        <v>21</v>
      </c>
      <c r="H759" t="s">
        <v>21</v>
      </c>
      <c r="I759">
        <v>0</v>
      </c>
      <c r="J759">
        <v>0</v>
      </c>
      <c r="K759">
        <v>0</v>
      </c>
      <c r="L759">
        <v>1</v>
      </c>
      <c r="M759">
        <v>0</v>
      </c>
      <c r="N759" t="s">
        <v>193</v>
      </c>
      <c r="O759" t="s">
        <v>213</v>
      </c>
      <c r="P759" t="s">
        <v>204</v>
      </c>
      <c r="Q759" t="s">
        <v>170</v>
      </c>
      <c r="R759" t="s">
        <v>155</v>
      </c>
      <c r="S759">
        <v>5</v>
      </c>
      <c r="T759" t="s">
        <v>135</v>
      </c>
      <c r="U759">
        <v>0</v>
      </c>
      <c r="V759">
        <v>3</v>
      </c>
      <c r="W759" t="s">
        <v>137</v>
      </c>
      <c r="X759">
        <v>0</v>
      </c>
      <c r="Y759" t="s">
        <v>140</v>
      </c>
      <c r="Z759" t="s">
        <v>183</v>
      </c>
      <c r="AA759" t="s">
        <v>144</v>
      </c>
      <c r="AB759" t="s">
        <v>162</v>
      </c>
      <c r="AC759" t="s">
        <v>619</v>
      </c>
      <c r="AD759" t="s">
        <v>156</v>
      </c>
      <c r="AE759" t="s">
        <v>120</v>
      </c>
      <c r="AF759" t="s">
        <v>857</v>
      </c>
    </row>
    <row r="760" spans="1:32">
      <c r="A760" t="s">
        <v>1503</v>
      </c>
      <c r="B760" s="37">
        <v>39988</v>
      </c>
      <c r="C760" s="38">
        <v>39988</v>
      </c>
      <c r="D760" s="38">
        <v>39986</v>
      </c>
      <c r="E760" s="38">
        <v>39965</v>
      </c>
      <c r="F760" s="39">
        <v>83</v>
      </c>
      <c r="G760" t="s">
        <v>21</v>
      </c>
      <c r="H760" t="s">
        <v>21</v>
      </c>
      <c r="I760">
        <v>0</v>
      </c>
      <c r="J760">
        <v>0</v>
      </c>
      <c r="K760">
        <v>0</v>
      </c>
      <c r="L760">
        <v>1</v>
      </c>
      <c r="M760">
        <v>0</v>
      </c>
      <c r="N760" t="s">
        <v>196</v>
      </c>
      <c r="O760" t="s">
        <v>213</v>
      </c>
      <c r="P760" t="s">
        <v>207</v>
      </c>
      <c r="Q760" t="s">
        <v>170</v>
      </c>
      <c r="R760" t="s">
        <v>155</v>
      </c>
      <c r="T760" t="s">
        <v>134</v>
      </c>
      <c r="U760">
        <v>1</v>
      </c>
      <c r="W760" t="s">
        <v>134</v>
      </c>
      <c r="X760">
        <v>1</v>
      </c>
      <c r="Y760" t="s">
        <v>139</v>
      </c>
      <c r="Z760" t="s">
        <v>186</v>
      </c>
      <c r="AA760" t="s">
        <v>142</v>
      </c>
      <c r="AB760" t="s">
        <v>162</v>
      </c>
      <c r="AC760" t="s">
        <v>619</v>
      </c>
      <c r="AD760" t="s">
        <v>159</v>
      </c>
      <c r="AE760" t="s">
        <v>123</v>
      </c>
      <c r="AF760" t="s">
        <v>123</v>
      </c>
    </row>
    <row r="761" spans="1:32">
      <c r="A761" t="s">
        <v>1504</v>
      </c>
      <c r="B761" s="37">
        <v>40073</v>
      </c>
      <c r="C761" s="38">
        <v>40073</v>
      </c>
      <c r="D761" s="38">
        <v>40070</v>
      </c>
      <c r="E761" s="38">
        <v>40057</v>
      </c>
      <c r="F761" s="39">
        <v>168</v>
      </c>
      <c r="G761" t="s">
        <v>21</v>
      </c>
      <c r="H761" t="s">
        <v>21</v>
      </c>
      <c r="I761">
        <v>0</v>
      </c>
      <c r="J761">
        <v>0</v>
      </c>
      <c r="K761">
        <v>0</v>
      </c>
      <c r="L761">
        <v>1</v>
      </c>
      <c r="M761">
        <v>0</v>
      </c>
      <c r="N761" t="s">
        <v>195</v>
      </c>
      <c r="O761" t="s">
        <v>213</v>
      </c>
      <c r="P761" t="s">
        <v>206</v>
      </c>
      <c r="Q761" t="s">
        <v>170</v>
      </c>
      <c r="R761" t="s">
        <v>155</v>
      </c>
      <c r="S761">
        <v>5</v>
      </c>
      <c r="T761" t="s">
        <v>135</v>
      </c>
      <c r="U761">
        <v>0</v>
      </c>
      <c r="V761">
        <v>5</v>
      </c>
      <c r="W761" t="s">
        <v>135</v>
      </c>
      <c r="X761">
        <v>0</v>
      </c>
      <c r="Y761" t="s">
        <v>139</v>
      </c>
      <c r="Z761" t="s">
        <v>180</v>
      </c>
      <c r="AA761" t="s">
        <v>146</v>
      </c>
      <c r="AB761" t="s">
        <v>162</v>
      </c>
      <c r="AC761" t="s">
        <v>921</v>
      </c>
      <c r="AD761" t="s">
        <v>156</v>
      </c>
      <c r="AE761" t="s">
        <v>120</v>
      </c>
      <c r="AF761" t="s">
        <v>1057</v>
      </c>
    </row>
    <row r="762" spans="1:32">
      <c r="A762" t="s">
        <v>1505</v>
      </c>
      <c r="B762" s="37">
        <v>39939</v>
      </c>
      <c r="C762" s="38">
        <v>39939</v>
      </c>
      <c r="D762" s="38">
        <v>39937</v>
      </c>
      <c r="E762" s="38">
        <v>39934</v>
      </c>
      <c r="F762" s="39">
        <v>34</v>
      </c>
      <c r="G762" t="s">
        <v>21</v>
      </c>
      <c r="H762" t="s">
        <v>21</v>
      </c>
      <c r="I762">
        <v>0</v>
      </c>
      <c r="J762">
        <v>0</v>
      </c>
      <c r="K762">
        <v>0</v>
      </c>
      <c r="L762">
        <v>1</v>
      </c>
      <c r="M762">
        <v>0</v>
      </c>
      <c r="N762" t="s">
        <v>202</v>
      </c>
      <c r="O762" t="s">
        <v>213</v>
      </c>
      <c r="P762" t="s">
        <v>211</v>
      </c>
      <c r="Q762" t="s">
        <v>170</v>
      </c>
      <c r="R762" t="s">
        <v>155</v>
      </c>
      <c r="T762" t="s">
        <v>134</v>
      </c>
      <c r="U762">
        <v>1</v>
      </c>
      <c r="W762" t="s">
        <v>134</v>
      </c>
      <c r="X762">
        <v>1</v>
      </c>
      <c r="Y762" t="s">
        <v>139</v>
      </c>
      <c r="Z762" t="s">
        <v>180</v>
      </c>
      <c r="AA762" t="s">
        <v>147</v>
      </c>
      <c r="AB762" t="s">
        <v>162</v>
      </c>
      <c r="AC762" t="s">
        <v>619</v>
      </c>
      <c r="AD762" t="s">
        <v>157</v>
      </c>
      <c r="AE762" t="s">
        <v>127</v>
      </c>
      <c r="AF762" t="s">
        <v>153</v>
      </c>
    </row>
    <row r="763" spans="1:32">
      <c r="A763" t="s">
        <v>1506</v>
      </c>
      <c r="B763" s="37">
        <v>39944</v>
      </c>
      <c r="C763" s="38">
        <v>39944</v>
      </c>
      <c r="D763" s="38">
        <v>39944</v>
      </c>
      <c r="E763" s="38">
        <v>39934</v>
      </c>
      <c r="F763" s="39">
        <v>39</v>
      </c>
      <c r="G763" t="s">
        <v>21</v>
      </c>
      <c r="H763" t="s">
        <v>21</v>
      </c>
      <c r="I763">
        <v>0</v>
      </c>
      <c r="J763">
        <v>0</v>
      </c>
      <c r="K763">
        <v>0</v>
      </c>
      <c r="L763">
        <v>1</v>
      </c>
      <c r="M763">
        <v>0</v>
      </c>
      <c r="N763" t="s">
        <v>194</v>
      </c>
      <c r="O763" t="s">
        <v>213</v>
      </c>
      <c r="P763" t="s">
        <v>205</v>
      </c>
      <c r="Q763" t="s">
        <v>170</v>
      </c>
      <c r="R763" t="s">
        <v>155</v>
      </c>
      <c r="T763" t="s">
        <v>134</v>
      </c>
      <c r="U763">
        <v>1</v>
      </c>
      <c r="W763" t="s">
        <v>134</v>
      </c>
      <c r="X763">
        <v>1</v>
      </c>
      <c r="Y763" t="s">
        <v>139</v>
      </c>
      <c r="Z763" t="s">
        <v>181</v>
      </c>
      <c r="AA763" t="s">
        <v>149</v>
      </c>
      <c r="AB763" t="s">
        <v>162</v>
      </c>
      <c r="AC763" t="s">
        <v>176</v>
      </c>
      <c r="AD763" t="s">
        <v>159</v>
      </c>
      <c r="AE763" t="s">
        <v>126</v>
      </c>
      <c r="AF763" t="s">
        <v>601</v>
      </c>
    </row>
    <row r="764" spans="1:32">
      <c r="A764" t="s">
        <v>1507</v>
      </c>
      <c r="B764" s="37">
        <v>40046</v>
      </c>
      <c r="C764" s="38">
        <v>40046</v>
      </c>
      <c r="D764" s="38">
        <v>40042</v>
      </c>
      <c r="E764" s="38">
        <v>40026</v>
      </c>
      <c r="F764" s="39">
        <v>141</v>
      </c>
      <c r="G764" t="s">
        <v>21</v>
      </c>
      <c r="H764" t="s">
        <v>21</v>
      </c>
      <c r="I764">
        <v>0</v>
      </c>
      <c r="J764">
        <v>0</v>
      </c>
      <c r="K764">
        <v>0</v>
      </c>
      <c r="L764">
        <v>1</v>
      </c>
      <c r="M764">
        <v>0</v>
      </c>
      <c r="N764" t="s">
        <v>544</v>
      </c>
      <c r="O764" t="s">
        <v>213</v>
      </c>
      <c r="P764" t="s">
        <v>545</v>
      </c>
      <c r="Q764" t="s">
        <v>170</v>
      </c>
      <c r="R764" t="s">
        <v>155</v>
      </c>
      <c r="S764">
        <v>5</v>
      </c>
      <c r="T764" t="s">
        <v>135</v>
      </c>
      <c r="U764">
        <v>0</v>
      </c>
      <c r="V764">
        <v>5</v>
      </c>
      <c r="W764" t="s">
        <v>135</v>
      </c>
      <c r="X764">
        <v>0</v>
      </c>
      <c r="Y764" t="s">
        <v>139</v>
      </c>
      <c r="Z764" t="s">
        <v>183</v>
      </c>
      <c r="AA764" t="s">
        <v>142</v>
      </c>
      <c r="AB764" t="s">
        <v>162</v>
      </c>
      <c r="AC764" t="s">
        <v>619</v>
      </c>
      <c r="AD764" t="s">
        <v>156</v>
      </c>
      <c r="AE764" t="s">
        <v>120</v>
      </c>
      <c r="AF764" t="s">
        <v>1508</v>
      </c>
    </row>
    <row r="765" spans="1:32">
      <c r="A765" t="s">
        <v>1509</v>
      </c>
      <c r="B765" s="37">
        <v>40025</v>
      </c>
      <c r="C765" s="38">
        <v>40025</v>
      </c>
      <c r="D765" s="38">
        <v>40021</v>
      </c>
      <c r="E765" s="38">
        <v>39995</v>
      </c>
      <c r="F765" s="39">
        <v>120</v>
      </c>
      <c r="G765" t="s">
        <v>21</v>
      </c>
      <c r="H765" t="s">
        <v>21</v>
      </c>
      <c r="I765">
        <v>0</v>
      </c>
      <c r="J765">
        <v>0</v>
      </c>
      <c r="K765">
        <v>0</v>
      </c>
      <c r="L765">
        <v>1</v>
      </c>
      <c r="M765">
        <v>0</v>
      </c>
      <c r="N765" t="s">
        <v>195</v>
      </c>
      <c r="O765" t="s">
        <v>213</v>
      </c>
      <c r="P765" t="s">
        <v>206</v>
      </c>
      <c r="Q765" t="s">
        <v>170</v>
      </c>
      <c r="R765" t="s">
        <v>155</v>
      </c>
      <c r="S765">
        <v>5</v>
      </c>
      <c r="T765" t="s">
        <v>135</v>
      </c>
      <c r="U765">
        <v>0</v>
      </c>
      <c r="V765">
        <v>5</v>
      </c>
      <c r="W765" t="s">
        <v>135</v>
      </c>
      <c r="X765">
        <v>0</v>
      </c>
      <c r="Y765" t="s">
        <v>139</v>
      </c>
      <c r="Z765" t="s">
        <v>180</v>
      </c>
      <c r="AA765" t="s">
        <v>148</v>
      </c>
      <c r="AB765" t="s">
        <v>162</v>
      </c>
      <c r="AC765" t="s">
        <v>21</v>
      </c>
      <c r="AD765" t="s">
        <v>156</v>
      </c>
      <c r="AE765" t="s">
        <v>120</v>
      </c>
      <c r="AF765" t="s">
        <v>1510</v>
      </c>
    </row>
    <row r="766" spans="1:32">
      <c r="A766" t="s">
        <v>1511</v>
      </c>
      <c r="B766" s="37">
        <v>39989</v>
      </c>
      <c r="C766" s="38">
        <v>39989</v>
      </c>
      <c r="D766" s="38">
        <v>39986</v>
      </c>
      <c r="E766" s="38">
        <v>39965</v>
      </c>
      <c r="F766" s="39">
        <v>84</v>
      </c>
      <c r="G766" t="s">
        <v>21</v>
      </c>
      <c r="H766" t="s">
        <v>21</v>
      </c>
      <c r="I766">
        <v>0</v>
      </c>
      <c r="J766">
        <v>0</v>
      </c>
      <c r="K766">
        <v>0</v>
      </c>
      <c r="L766">
        <v>1</v>
      </c>
      <c r="M766">
        <v>0</v>
      </c>
      <c r="N766" t="s">
        <v>196</v>
      </c>
      <c r="O766" t="s">
        <v>213</v>
      </c>
      <c r="P766" t="s">
        <v>207</v>
      </c>
      <c r="Q766" t="s">
        <v>170</v>
      </c>
      <c r="R766" t="s">
        <v>155</v>
      </c>
      <c r="T766" t="s">
        <v>134</v>
      </c>
      <c r="U766">
        <v>1</v>
      </c>
      <c r="W766" t="s">
        <v>134</v>
      </c>
      <c r="X766">
        <v>1</v>
      </c>
      <c r="Y766" t="s">
        <v>139</v>
      </c>
      <c r="Z766" t="s">
        <v>528</v>
      </c>
      <c r="AA766" t="s">
        <v>142</v>
      </c>
      <c r="AB766" t="s">
        <v>163</v>
      </c>
      <c r="AC766" t="s">
        <v>173</v>
      </c>
      <c r="AD766" t="s">
        <v>788</v>
      </c>
      <c r="AE766" t="s">
        <v>1512</v>
      </c>
      <c r="AF766" t="s">
        <v>21</v>
      </c>
    </row>
    <row r="767" spans="1:32">
      <c r="A767" t="s">
        <v>1513</v>
      </c>
      <c r="B767" s="37">
        <v>39977</v>
      </c>
      <c r="C767" s="38">
        <v>39977</v>
      </c>
      <c r="D767" s="38">
        <v>39972</v>
      </c>
      <c r="E767" s="38">
        <v>39965</v>
      </c>
      <c r="F767" s="39">
        <v>72</v>
      </c>
      <c r="G767" t="s">
        <v>21</v>
      </c>
      <c r="H767" t="s">
        <v>21</v>
      </c>
      <c r="I767">
        <v>0</v>
      </c>
      <c r="J767">
        <v>0</v>
      </c>
      <c r="K767">
        <v>0</v>
      </c>
      <c r="L767">
        <v>1</v>
      </c>
      <c r="M767">
        <v>0</v>
      </c>
      <c r="N767" t="s">
        <v>193</v>
      </c>
      <c r="O767" t="s">
        <v>213</v>
      </c>
      <c r="P767" t="s">
        <v>204</v>
      </c>
      <c r="Q767" t="s">
        <v>170</v>
      </c>
      <c r="R767" t="s">
        <v>155</v>
      </c>
      <c r="T767" t="s">
        <v>134</v>
      </c>
      <c r="U767">
        <v>1</v>
      </c>
      <c r="W767" t="s">
        <v>134</v>
      </c>
      <c r="X767">
        <v>1</v>
      </c>
      <c r="Y767" t="s">
        <v>140</v>
      </c>
      <c r="Z767" t="s">
        <v>180</v>
      </c>
      <c r="AA767" t="s">
        <v>146</v>
      </c>
      <c r="AB767" t="s">
        <v>163</v>
      </c>
      <c r="AC767" t="s">
        <v>1184</v>
      </c>
      <c r="AD767" t="s">
        <v>161</v>
      </c>
      <c r="AE767" t="s">
        <v>571</v>
      </c>
      <c r="AF767" t="s">
        <v>21</v>
      </c>
    </row>
    <row r="768" spans="1:32">
      <c r="A768" t="s">
        <v>1514</v>
      </c>
      <c r="B768" s="37">
        <v>40086</v>
      </c>
      <c r="C768" s="38">
        <v>40086</v>
      </c>
      <c r="D768" s="38">
        <v>40084</v>
      </c>
      <c r="E768" s="38">
        <v>40057</v>
      </c>
      <c r="F768" s="39">
        <v>181</v>
      </c>
      <c r="G768" t="s">
        <v>21</v>
      </c>
      <c r="H768" t="s">
        <v>21</v>
      </c>
      <c r="I768">
        <v>0</v>
      </c>
      <c r="J768">
        <v>0</v>
      </c>
      <c r="K768">
        <v>0</v>
      </c>
      <c r="L768">
        <v>1</v>
      </c>
      <c r="M768">
        <v>0</v>
      </c>
      <c r="N768" t="s">
        <v>195</v>
      </c>
      <c r="O768" t="s">
        <v>213</v>
      </c>
      <c r="P768" t="s">
        <v>206</v>
      </c>
      <c r="Q768" t="s">
        <v>170</v>
      </c>
      <c r="R768" t="s">
        <v>155</v>
      </c>
      <c r="S768">
        <v>5</v>
      </c>
      <c r="T768" t="s">
        <v>135</v>
      </c>
      <c r="U768">
        <v>0</v>
      </c>
      <c r="V768">
        <v>5</v>
      </c>
      <c r="W768" t="s">
        <v>135</v>
      </c>
      <c r="X768">
        <v>0</v>
      </c>
      <c r="Y768" t="s">
        <v>139</v>
      </c>
      <c r="Z768" t="s">
        <v>180</v>
      </c>
      <c r="AA768" t="s">
        <v>145</v>
      </c>
      <c r="AB768" t="s">
        <v>162</v>
      </c>
      <c r="AC768" t="s">
        <v>176</v>
      </c>
      <c r="AD768" t="s">
        <v>155</v>
      </c>
      <c r="AE768" t="s">
        <v>129</v>
      </c>
      <c r="AF768" t="s">
        <v>21</v>
      </c>
    </row>
    <row r="769" spans="1:32">
      <c r="A769" t="s">
        <v>1515</v>
      </c>
      <c r="B769" s="37">
        <v>40013</v>
      </c>
      <c r="C769" s="38">
        <v>40013</v>
      </c>
      <c r="D769" s="38">
        <v>40007</v>
      </c>
      <c r="E769" s="38">
        <v>39995</v>
      </c>
      <c r="F769" s="39">
        <v>108</v>
      </c>
      <c r="G769" t="s">
        <v>21</v>
      </c>
      <c r="H769" t="s">
        <v>21</v>
      </c>
      <c r="I769">
        <v>0</v>
      </c>
      <c r="J769">
        <v>0</v>
      </c>
      <c r="K769">
        <v>0</v>
      </c>
      <c r="L769">
        <v>1</v>
      </c>
      <c r="M769">
        <v>0</v>
      </c>
      <c r="N769" t="s">
        <v>194</v>
      </c>
      <c r="O769" t="s">
        <v>213</v>
      </c>
      <c r="P769" t="s">
        <v>205</v>
      </c>
      <c r="Q769" t="s">
        <v>170</v>
      </c>
      <c r="R769" t="s">
        <v>155</v>
      </c>
      <c r="S769">
        <v>5</v>
      </c>
      <c r="T769" t="s">
        <v>135</v>
      </c>
      <c r="U769">
        <v>0</v>
      </c>
      <c r="V769">
        <v>2</v>
      </c>
      <c r="W769" t="s">
        <v>136</v>
      </c>
      <c r="X769">
        <v>0</v>
      </c>
      <c r="Y769" t="s">
        <v>139</v>
      </c>
      <c r="Z769" t="s">
        <v>509</v>
      </c>
      <c r="AA769" t="s">
        <v>143</v>
      </c>
      <c r="AB769" t="s">
        <v>163</v>
      </c>
      <c r="AC769" t="s">
        <v>1443</v>
      </c>
      <c r="AD769" t="s">
        <v>155</v>
      </c>
      <c r="AE769" t="s">
        <v>125</v>
      </c>
      <c r="AF769" t="s">
        <v>21</v>
      </c>
    </row>
    <row r="770" spans="1:32">
      <c r="A770" t="s">
        <v>1516</v>
      </c>
      <c r="B770" s="37">
        <v>39964</v>
      </c>
      <c r="C770" s="38">
        <v>39964</v>
      </c>
      <c r="D770" s="38">
        <v>39958</v>
      </c>
      <c r="E770" s="38">
        <v>39934</v>
      </c>
      <c r="F770" s="39">
        <v>59</v>
      </c>
      <c r="G770" t="s">
        <v>21</v>
      </c>
      <c r="H770" t="s">
        <v>21</v>
      </c>
      <c r="I770">
        <v>0</v>
      </c>
      <c r="J770">
        <v>0</v>
      </c>
      <c r="K770">
        <v>0</v>
      </c>
      <c r="L770">
        <v>1</v>
      </c>
      <c r="M770">
        <v>0</v>
      </c>
      <c r="N770" t="s">
        <v>193</v>
      </c>
      <c r="O770" t="s">
        <v>213</v>
      </c>
      <c r="P770" t="s">
        <v>204</v>
      </c>
      <c r="Q770" t="s">
        <v>170</v>
      </c>
      <c r="R770" t="s">
        <v>155</v>
      </c>
      <c r="T770" t="s">
        <v>134</v>
      </c>
      <c r="U770">
        <v>1</v>
      </c>
      <c r="W770" t="s">
        <v>134</v>
      </c>
      <c r="X770">
        <v>1</v>
      </c>
      <c r="Y770" t="s">
        <v>140</v>
      </c>
      <c r="Z770" t="s">
        <v>179</v>
      </c>
      <c r="AA770" t="s">
        <v>143</v>
      </c>
      <c r="AB770" t="s">
        <v>163</v>
      </c>
      <c r="AC770" t="s">
        <v>1443</v>
      </c>
      <c r="AD770" t="s">
        <v>155</v>
      </c>
      <c r="AE770" t="s">
        <v>130</v>
      </c>
      <c r="AF770" t="s">
        <v>21</v>
      </c>
    </row>
    <row r="771" spans="1:32">
      <c r="A771" t="s">
        <v>1517</v>
      </c>
      <c r="B771" s="37">
        <v>40074</v>
      </c>
      <c r="C771" s="38">
        <v>40074</v>
      </c>
      <c r="D771" s="38">
        <v>40070</v>
      </c>
      <c r="E771" s="38">
        <v>40057</v>
      </c>
      <c r="F771" s="39">
        <v>169</v>
      </c>
      <c r="G771" t="s">
        <v>383</v>
      </c>
      <c r="H771" t="s">
        <v>17</v>
      </c>
      <c r="I771">
        <v>0</v>
      </c>
      <c r="J771">
        <v>0</v>
      </c>
      <c r="K771">
        <v>1</v>
      </c>
      <c r="L771">
        <v>0</v>
      </c>
      <c r="M771">
        <v>0</v>
      </c>
      <c r="N771" t="s">
        <v>193</v>
      </c>
      <c r="O771" t="s">
        <v>213</v>
      </c>
      <c r="P771" t="s">
        <v>204</v>
      </c>
      <c r="Q771" t="s">
        <v>170</v>
      </c>
      <c r="R771" t="s">
        <v>155</v>
      </c>
      <c r="S771">
        <v>5</v>
      </c>
      <c r="T771" t="s">
        <v>135</v>
      </c>
      <c r="U771">
        <v>0</v>
      </c>
      <c r="V771">
        <v>5</v>
      </c>
      <c r="W771" t="s">
        <v>135</v>
      </c>
      <c r="X771">
        <v>0</v>
      </c>
      <c r="Y771" t="s">
        <v>140</v>
      </c>
      <c r="Z771" t="s">
        <v>187</v>
      </c>
      <c r="AA771" t="s">
        <v>144</v>
      </c>
      <c r="AB771" t="s">
        <v>162</v>
      </c>
      <c r="AC771" t="s">
        <v>174</v>
      </c>
      <c r="AD771" t="s">
        <v>157</v>
      </c>
      <c r="AE771" t="s">
        <v>434</v>
      </c>
      <c r="AF771" t="s">
        <v>435</v>
      </c>
    </row>
    <row r="772" spans="1:32">
      <c r="A772" t="s">
        <v>1518</v>
      </c>
      <c r="B772" s="37">
        <v>39979</v>
      </c>
      <c r="C772" s="38">
        <v>39979</v>
      </c>
      <c r="D772" s="38">
        <v>39979</v>
      </c>
      <c r="E772" s="38">
        <v>39965</v>
      </c>
      <c r="F772" s="39">
        <v>74</v>
      </c>
      <c r="G772" t="s">
        <v>21</v>
      </c>
      <c r="H772" t="s">
        <v>21</v>
      </c>
      <c r="I772">
        <v>0</v>
      </c>
      <c r="J772">
        <v>0</v>
      </c>
      <c r="K772">
        <v>0</v>
      </c>
      <c r="L772">
        <v>1</v>
      </c>
      <c r="M772">
        <v>0</v>
      </c>
      <c r="N772" t="s">
        <v>194</v>
      </c>
      <c r="O772" t="s">
        <v>213</v>
      </c>
      <c r="P772" t="s">
        <v>205</v>
      </c>
      <c r="Q772" t="s">
        <v>170</v>
      </c>
      <c r="R772" t="s">
        <v>155</v>
      </c>
      <c r="T772" t="s">
        <v>134</v>
      </c>
      <c r="U772">
        <v>1</v>
      </c>
      <c r="W772" t="s">
        <v>134</v>
      </c>
      <c r="X772">
        <v>1</v>
      </c>
      <c r="Y772" t="s">
        <v>139</v>
      </c>
      <c r="Z772" t="s">
        <v>184</v>
      </c>
      <c r="AA772" t="s">
        <v>148</v>
      </c>
      <c r="AB772" t="s">
        <v>162</v>
      </c>
      <c r="AC772" t="s">
        <v>175</v>
      </c>
      <c r="AD772" t="s">
        <v>159</v>
      </c>
      <c r="AE772" t="s">
        <v>126</v>
      </c>
      <c r="AF772" t="s">
        <v>601</v>
      </c>
    </row>
    <row r="773" spans="1:32">
      <c r="A773" t="s">
        <v>1519</v>
      </c>
      <c r="B773" s="37">
        <v>39921</v>
      </c>
      <c r="C773" s="38">
        <v>39921</v>
      </c>
      <c r="D773" s="38">
        <v>39916</v>
      </c>
      <c r="E773" s="38">
        <v>39904</v>
      </c>
      <c r="F773" s="39">
        <v>16</v>
      </c>
      <c r="G773" t="s">
        <v>21</v>
      </c>
      <c r="H773" t="s">
        <v>21</v>
      </c>
      <c r="I773">
        <v>0</v>
      </c>
      <c r="J773">
        <v>0</v>
      </c>
      <c r="K773">
        <v>0</v>
      </c>
      <c r="L773">
        <v>1</v>
      </c>
      <c r="M773">
        <v>0</v>
      </c>
      <c r="N773" t="s">
        <v>194</v>
      </c>
      <c r="O773" t="s">
        <v>213</v>
      </c>
      <c r="P773" t="s">
        <v>205</v>
      </c>
      <c r="Q773" t="s">
        <v>170</v>
      </c>
      <c r="R773" t="s">
        <v>155</v>
      </c>
      <c r="T773" t="s">
        <v>134</v>
      </c>
      <c r="U773">
        <v>1</v>
      </c>
      <c r="W773" t="s">
        <v>134</v>
      </c>
      <c r="X773">
        <v>1</v>
      </c>
      <c r="Y773" t="s">
        <v>139</v>
      </c>
      <c r="Z773" t="s">
        <v>603</v>
      </c>
      <c r="AA773" t="s">
        <v>147</v>
      </c>
      <c r="AB773" t="s">
        <v>165</v>
      </c>
      <c r="AC773" t="s">
        <v>1520</v>
      </c>
      <c r="AD773" t="s">
        <v>158</v>
      </c>
      <c r="AE773" t="s">
        <v>122</v>
      </c>
      <c r="AF773" t="s">
        <v>21</v>
      </c>
    </row>
    <row r="774" spans="1:32">
      <c r="A774" t="s">
        <v>1521</v>
      </c>
      <c r="B774" s="37">
        <v>39975</v>
      </c>
      <c r="C774" s="38">
        <v>39975</v>
      </c>
      <c r="D774" s="38">
        <v>39972</v>
      </c>
      <c r="E774" s="38">
        <v>39965</v>
      </c>
      <c r="F774" s="39">
        <v>70</v>
      </c>
      <c r="G774" t="s">
        <v>380</v>
      </c>
      <c r="H774" t="s">
        <v>17</v>
      </c>
      <c r="I774">
        <v>0</v>
      </c>
      <c r="J774">
        <v>0</v>
      </c>
      <c r="K774">
        <v>1</v>
      </c>
      <c r="L774">
        <v>0</v>
      </c>
      <c r="M774">
        <v>0</v>
      </c>
      <c r="N774" t="s">
        <v>194</v>
      </c>
      <c r="O774" t="s">
        <v>213</v>
      </c>
      <c r="P774" t="s">
        <v>205</v>
      </c>
      <c r="Q774" t="s">
        <v>170</v>
      </c>
      <c r="R774" t="s">
        <v>155</v>
      </c>
      <c r="T774" t="s">
        <v>134</v>
      </c>
      <c r="U774">
        <v>1</v>
      </c>
      <c r="W774" t="s">
        <v>134</v>
      </c>
      <c r="X774">
        <v>1</v>
      </c>
      <c r="Y774" t="s">
        <v>139</v>
      </c>
      <c r="Z774" t="s">
        <v>178</v>
      </c>
      <c r="AA774" t="s">
        <v>144</v>
      </c>
      <c r="AB774" t="s">
        <v>162</v>
      </c>
      <c r="AC774" t="s">
        <v>175</v>
      </c>
      <c r="AD774" t="s">
        <v>155</v>
      </c>
      <c r="AE774" t="s">
        <v>127</v>
      </c>
      <c r="AF774" t="s">
        <v>21</v>
      </c>
    </row>
    <row r="775" spans="1:32">
      <c r="A775" t="s">
        <v>1522</v>
      </c>
      <c r="B775" s="37">
        <v>40069</v>
      </c>
      <c r="C775" s="38">
        <v>40069</v>
      </c>
      <c r="D775" s="38">
        <v>40063</v>
      </c>
      <c r="E775" s="38">
        <v>40057</v>
      </c>
      <c r="F775" s="39">
        <v>164</v>
      </c>
      <c r="G775" t="s">
        <v>380</v>
      </c>
      <c r="H775" t="s">
        <v>17</v>
      </c>
      <c r="I775">
        <v>0</v>
      </c>
      <c r="J775">
        <v>0</v>
      </c>
      <c r="K775">
        <v>1</v>
      </c>
      <c r="L775">
        <v>0</v>
      </c>
      <c r="M775">
        <v>0</v>
      </c>
      <c r="N775" t="s">
        <v>193</v>
      </c>
      <c r="O775" t="s">
        <v>213</v>
      </c>
      <c r="P775" t="s">
        <v>204</v>
      </c>
      <c r="Q775" t="s">
        <v>170</v>
      </c>
      <c r="R775" t="s">
        <v>155</v>
      </c>
      <c r="S775">
        <v>5</v>
      </c>
      <c r="T775" t="s">
        <v>135</v>
      </c>
      <c r="U775">
        <v>0</v>
      </c>
      <c r="V775">
        <v>3</v>
      </c>
      <c r="W775" t="s">
        <v>137</v>
      </c>
      <c r="X775">
        <v>0</v>
      </c>
      <c r="Y775" t="s">
        <v>140</v>
      </c>
      <c r="Z775" t="s">
        <v>409</v>
      </c>
      <c r="AA775" t="s">
        <v>148</v>
      </c>
      <c r="AB775" t="s">
        <v>163</v>
      </c>
      <c r="AC775" t="s">
        <v>173</v>
      </c>
      <c r="AD775" t="s">
        <v>155</v>
      </c>
      <c r="AE775" t="s">
        <v>128</v>
      </c>
      <c r="AF775" t="s">
        <v>21</v>
      </c>
    </row>
    <row r="776" spans="1:32">
      <c r="A776" t="s">
        <v>1523</v>
      </c>
      <c r="B776" s="37">
        <v>39945</v>
      </c>
      <c r="C776" s="38">
        <v>39945</v>
      </c>
      <c r="D776" s="38">
        <v>39944</v>
      </c>
      <c r="E776" s="38">
        <v>39934</v>
      </c>
      <c r="F776" s="39">
        <v>40</v>
      </c>
      <c r="G776" t="s">
        <v>21</v>
      </c>
      <c r="H776" t="s">
        <v>21</v>
      </c>
      <c r="I776">
        <v>0</v>
      </c>
      <c r="J776">
        <v>0</v>
      </c>
      <c r="K776">
        <v>0</v>
      </c>
      <c r="L776">
        <v>1</v>
      </c>
      <c r="M776">
        <v>0</v>
      </c>
      <c r="N776" t="s">
        <v>194</v>
      </c>
      <c r="O776" t="s">
        <v>213</v>
      </c>
      <c r="P776" t="s">
        <v>205</v>
      </c>
      <c r="Q776" t="s">
        <v>170</v>
      </c>
      <c r="R776" t="s">
        <v>155</v>
      </c>
      <c r="T776" t="s">
        <v>134</v>
      </c>
      <c r="U776">
        <v>1</v>
      </c>
      <c r="W776" t="s">
        <v>134</v>
      </c>
      <c r="X776">
        <v>1</v>
      </c>
      <c r="Y776" t="s">
        <v>139</v>
      </c>
      <c r="Z776" t="s">
        <v>187</v>
      </c>
      <c r="AA776" t="s">
        <v>147</v>
      </c>
      <c r="AB776" t="s">
        <v>162</v>
      </c>
      <c r="AC776" t="s">
        <v>175</v>
      </c>
      <c r="AD776" t="s">
        <v>155</v>
      </c>
      <c r="AE776" t="s">
        <v>439</v>
      </c>
      <c r="AF776" t="s">
        <v>21</v>
      </c>
    </row>
    <row r="777" spans="1:32">
      <c r="A777" t="s">
        <v>1524</v>
      </c>
      <c r="B777" s="37">
        <v>40038</v>
      </c>
      <c r="C777" s="38">
        <v>40038</v>
      </c>
      <c r="D777" s="38">
        <v>40035</v>
      </c>
      <c r="E777" s="38">
        <v>40026</v>
      </c>
      <c r="F777" s="39">
        <v>133</v>
      </c>
      <c r="G777" t="s">
        <v>496</v>
      </c>
      <c r="H777" t="s">
        <v>13</v>
      </c>
      <c r="I777">
        <v>0</v>
      </c>
      <c r="J777">
        <v>1</v>
      </c>
      <c r="K777">
        <v>0</v>
      </c>
      <c r="L777">
        <v>0</v>
      </c>
      <c r="M777">
        <v>1</v>
      </c>
      <c r="N777" t="s">
        <v>193</v>
      </c>
      <c r="O777" t="s">
        <v>213</v>
      </c>
      <c r="P777" t="s">
        <v>204</v>
      </c>
      <c r="Q777" t="s">
        <v>170</v>
      </c>
      <c r="R777" t="s">
        <v>155</v>
      </c>
      <c r="S777">
        <v>5</v>
      </c>
      <c r="T777" t="s">
        <v>135</v>
      </c>
      <c r="U777">
        <v>0</v>
      </c>
      <c r="V777">
        <v>5</v>
      </c>
      <c r="W777" t="s">
        <v>135</v>
      </c>
      <c r="X777">
        <v>0</v>
      </c>
      <c r="Y777" t="s">
        <v>140</v>
      </c>
      <c r="Z777" t="s">
        <v>187</v>
      </c>
      <c r="AA777" t="s">
        <v>143</v>
      </c>
      <c r="AB777" t="s">
        <v>163</v>
      </c>
      <c r="AC777" t="s">
        <v>173</v>
      </c>
      <c r="AD777" t="s">
        <v>155</v>
      </c>
      <c r="AE777" t="s">
        <v>501</v>
      </c>
      <c r="AF777" t="s">
        <v>21</v>
      </c>
    </row>
    <row r="778" spans="1:32">
      <c r="A778" t="s">
        <v>1525</v>
      </c>
      <c r="B778" s="37">
        <v>39959</v>
      </c>
      <c r="C778" s="38">
        <v>39959</v>
      </c>
      <c r="D778" s="38">
        <v>39958</v>
      </c>
      <c r="E778" s="38">
        <v>39934</v>
      </c>
      <c r="F778" s="39">
        <v>54</v>
      </c>
      <c r="G778" t="s">
        <v>21</v>
      </c>
      <c r="H778" t="s">
        <v>21</v>
      </c>
      <c r="I778">
        <v>0</v>
      </c>
      <c r="J778">
        <v>0</v>
      </c>
      <c r="K778">
        <v>0</v>
      </c>
      <c r="L778">
        <v>1</v>
      </c>
      <c r="M778">
        <v>0</v>
      </c>
      <c r="N778" t="s">
        <v>193</v>
      </c>
      <c r="O778" t="s">
        <v>213</v>
      </c>
      <c r="P778" t="s">
        <v>204</v>
      </c>
      <c r="Q778" t="s">
        <v>170</v>
      </c>
      <c r="R778" t="s">
        <v>155</v>
      </c>
      <c r="T778" t="s">
        <v>134</v>
      </c>
      <c r="U778">
        <v>1</v>
      </c>
      <c r="W778" t="s">
        <v>134</v>
      </c>
      <c r="X778">
        <v>1</v>
      </c>
      <c r="Y778" t="s">
        <v>140</v>
      </c>
      <c r="Z778" t="s">
        <v>178</v>
      </c>
      <c r="AA778" t="s">
        <v>145</v>
      </c>
      <c r="AB778" t="s">
        <v>162</v>
      </c>
      <c r="AC778" t="s">
        <v>175</v>
      </c>
      <c r="AD778" t="s">
        <v>159</v>
      </c>
      <c r="AE778" t="s">
        <v>126</v>
      </c>
      <c r="AF778" t="s">
        <v>601</v>
      </c>
    </row>
    <row r="779" spans="1:32">
      <c r="A779" t="s">
        <v>1526</v>
      </c>
      <c r="B779" s="37">
        <v>40050</v>
      </c>
      <c r="C779" s="38">
        <v>40050</v>
      </c>
      <c r="D779" s="38">
        <v>40049</v>
      </c>
      <c r="E779" s="38">
        <v>40026</v>
      </c>
      <c r="F779" s="39">
        <v>145</v>
      </c>
      <c r="G779" t="s">
        <v>21</v>
      </c>
      <c r="H779" t="s">
        <v>21</v>
      </c>
      <c r="I779">
        <v>0</v>
      </c>
      <c r="J779">
        <v>0</v>
      </c>
      <c r="K779">
        <v>0</v>
      </c>
      <c r="L779">
        <v>1</v>
      </c>
      <c r="M779">
        <v>0</v>
      </c>
      <c r="N779" t="s">
        <v>195</v>
      </c>
      <c r="O779" t="s">
        <v>213</v>
      </c>
      <c r="P779" t="s">
        <v>206</v>
      </c>
      <c r="Q779" t="s">
        <v>170</v>
      </c>
      <c r="R779" t="s">
        <v>155</v>
      </c>
      <c r="S779">
        <v>2</v>
      </c>
      <c r="T779" t="s">
        <v>136</v>
      </c>
      <c r="U779">
        <v>0</v>
      </c>
      <c r="V779">
        <v>5</v>
      </c>
      <c r="W779" t="s">
        <v>135</v>
      </c>
      <c r="X779">
        <v>0</v>
      </c>
      <c r="Y779" t="s">
        <v>139</v>
      </c>
      <c r="Z779" t="s">
        <v>179</v>
      </c>
      <c r="AA779" t="s">
        <v>142</v>
      </c>
      <c r="AB779" t="s">
        <v>162</v>
      </c>
      <c r="AC779" t="s">
        <v>459</v>
      </c>
      <c r="AD779" t="s">
        <v>125</v>
      </c>
      <c r="AE779" t="s">
        <v>125</v>
      </c>
      <c r="AF779" t="s">
        <v>1527</v>
      </c>
    </row>
    <row r="780" spans="1:32">
      <c r="A780" t="s">
        <v>1528</v>
      </c>
      <c r="B780" s="37">
        <v>40017</v>
      </c>
      <c r="C780" s="38">
        <v>40017</v>
      </c>
      <c r="D780" s="38">
        <v>40014</v>
      </c>
      <c r="E780" s="38">
        <v>39995</v>
      </c>
      <c r="F780" s="39">
        <v>112</v>
      </c>
      <c r="G780" t="s">
        <v>21</v>
      </c>
      <c r="H780" t="s">
        <v>21</v>
      </c>
      <c r="I780">
        <v>0</v>
      </c>
      <c r="J780">
        <v>0</v>
      </c>
      <c r="K780">
        <v>0</v>
      </c>
      <c r="L780">
        <v>1</v>
      </c>
      <c r="M780">
        <v>0</v>
      </c>
      <c r="N780" t="s">
        <v>193</v>
      </c>
      <c r="O780" t="s">
        <v>213</v>
      </c>
      <c r="P780" t="s">
        <v>204</v>
      </c>
      <c r="Q780" t="s">
        <v>170</v>
      </c>
      <c r="R780" t="s">
        <v>155</v>
      </c>
      <c r="S780">
        <v>3</v>
      </c>
      <c r="T780" t="s">
        <v>137</v>
      </c>
      <c r="U780">
        <v>0</v>
      </c>
      <c r="V780">
        <v>4</v>
      </c>
      <c r="W780" t="s">
        <v>137</v>
      </c>
      <c r="X780">
        <v>0</v>
      </c>
      <c r="Y780" t="s">
        <v>140</v>
      </c>
      <c r="Z780" t="s">
        <v>179</v>
      </c>
      <c r="AA780" t="s">
        <v>145</v>
      </c>
      <c r="AB780" t="s">
        <v>162</v>
      </c>
      <c r="AC780" t="s">
        <v>459</v>
      </c>
      <c r="AD780" t="s">
        <v>155</v>
      </c>
      <c r="AE780" t="s">
        <v>130</v>
      </c>
      <c r="AF780" t="s">
        <v>21</v>
      </c>
    </row>
    <row r="781" spans="1:32">
      <c r="A781" t="s">
        <v>1529</v>
      </c>
      <c r="B781" s="37">
        <v>39984</v>
      </c>
      <c r="C781" s="38">
        <v>39984</v>
      </c>
      <c r="D781" s="38">
        <v>39979</v>
      </c>
      <c r="E781" s="38">
        <v>39965</v>
      </c>
      <c r="F781" s="39">
        <v>79</v>
      </c>
      <c r="G781" t="s">
        <v>383</v>
      </c>
      <c r="H781" t="s">
        <v>17</v>
      </c>
      <c r="I781">
        <v>0</v>
      </c>
      <c r="J781">
        <v>0</v>
      </c>
      <c r="K781">
        <v>1</v>
      </c>
      <c r="L781">
        <v>0</v>
      </c>
      <c r="M781">
        <v>0</v>
      </c>
      <c r="N781" t="s">
        <v>195</v>
      </c>
      <c r="O781" t="s">
        <v>213</v>
      </c>
      <c r="P781" t="s">
        <v>206</v>
      </c>
      <c r="Q781" t="s">
        <v>170</v>
      </c>
      <c r="R781" t="s">
        <v>155</v>
      </c>
      <c r="T781" t="s">
        <v>134</v>
      </c>
      <c r="U781">
        <v>1</v>
      </c>
      <c r="W781" t="s">
        <v>134</v>
      </c>
      <c r="X781">
        <v>1</v>
      </c>
      <c r="Y781" t="s">
        <v>139</v>
      </c>
      <c r="Z781" t="s">
        <v>189</v>
      </c>
      <c r="AA781" t="s">
        <v>144</v>
      </c>
      <c r="AB781" t="s">
        <v>162</v>
      </c>
      <c r="AC781" t="s">
        <v>550</v>
      </c>
      <c r="AD781" t="s">
        <v>157</v>
      </c>
      <c r="AE781" t="s">
        <v>434</v>
      </c>
      <c r="AF781" t="s">
        <v>435</v>
      </c>
    </row>
    <row r="782" spans="1:32">
      <c r="A782" t="s">
        <v>1530</v>
      </c>
      <c r="B782" s="37">
        <v>40016</v>
      </c>
      <c r="C782" s="38">
        <v>40016</v>
      </c>
      <c r="D782" s="38">
        <v>40014</v>
      </c>
      <c r="E782" s="38">
        <v>39995</v>
      </c>
      <c r="F782" s="39">
        <v>111</v>
      </c>
      <c r="G782" t="s">
        <v>383</v>
      </c>
      <c r="H782" t="s">
        <v>17</v>
      </c>
      <c r="I782">
        <v>0</v>
      </c>
      <c r="J782">
        <v>0</v>
      </c>
      <c r="K782">
        <v>1</v>
      </c>
      <c r="L782">
        <v>0</v>
      </c>
      <c r="M782">
        <v>0</v>
      </c>
      <c r="N782" t="s">
        <v>193</v>
      </c>
      <c r="O782" t="s">
        <v>213</v>
      </c>
      <c r="P782" t="s">
        <v>204</v>
      </c>
      <c r="Q782" t="s">
        <v>170</v>
      </c>
      <c r="R782" t="s">
        <v>155</v>
      </c>
      <c r="S782">
        <v>5</v>
      </c>
      <c r="T782" t="s">
        <v>135</v>
      </c>
      <c r="U782">
        <v>0</v>
      </c>
      <c r="V782">
        <v>4</v>
      </c>
      <c r="W782" t="s">
        <v>137</v>
      </c>
      <c r="X782">
        <v>0</v>
      </c>
      <c r="Y782" t="s">
        <v>140</v>
      </c>
      <c r="Z782" t="s">
        <v>180</v>
      </c>
      <c r="AA782" t="s">
        <v>148</v>
      </c>
      <c r="AB782" t="s">
        <v>162</v>
      </c>
      <c r="AC782" t="s">
        <v>597</v>
      </c>
      <c r="AD782" t="s">
        <v>155</v>
      </c>
      <c r="AE782" t="s">
        <v>130</v>
      </c>
      <c r="AF782" t="s">
        <v>21</v>
      </c>
    </row>
    <row r="783" spans="1:32">
      <c r="A783" t="s">
        <v>1531</v>
      </c>
      <c r="B783" s="37">
        <v>40053</v>
      </c>
      <c r="C783" s="38">
        <v>40053</v>
      </c>
      <c r="D783" s="38">
        <v>40049</v>
      </c>
      <c r="E783" s="38">
        <v>40026</v>
      </c>
      <c r="F783" s="39">
        <v>148</v>
      </c>
      <c r="G783" t="s">
        <v>21</v>
      </c>
      <c r="H783" t="s">
        <v>21</v>
      </c>
      <c r="I783">
        <v>0</v>
      </c>
      <c r="J783">
        <v>0</v>
      </c>
      <c r="K783">
        <v>0</v>
      </c>
      <c r="L783">
        <v>1</v>
      </c>
      <c r="M783">
        <v>0</v>
      </c>
      <c r="N783" t="s">
        <v>195</v>
      </c>
      <c r="O783" t="s">
        <v>213</v>
      </c>
      <c r="P783" t="s">
        <v>206</v>
      </c>
      <c r="Q783" t="s">
        <v>170</v>
      </c>
      <c r="R783" t="s">
        <v>155</v>
      </c>
      <c r="S783">
        <v>5</v>
      </c>
      <c r="T783" t="s">
        <v>135</v>
      </c>
      <c r="U783">
        <v>0</v>
      </c>
      <c r="V783">
        <v>5</v>
      </c>
      <c r="W783" t="s">
        <v>135</v>
      </c>
      <c r="X783">
        <v>0</v>
      </c>
      <c r="Y783" t="s">
        <v>139</v>
      </c>
      <c r="Z783" t="s">
        <v>810</v>
      </c>
      <c r="AA783" t="s">
        <v>144</v>
      </c>
      <c r="AB783" t="s">
        <v>163</v>
      </c>
      <c r="AC783" t="s">
        <v>173</v>
      </c>
      <c r="AD783" t="s">
        <v>155</v>
      </c>
      <c r="AE783" t="s">
        <v>128</v>
      </c>
      <c r="AF783" t="s">
        <v>21</v>
      </c>
    </row>
    <row r="784" spans="1:32">
      <c r="A784" t="s">
        <v>1532</v>
      </c>
      <c r="B784" s="37">
        <v>39932</v>
      </c>
      <c r="C784" s="38">
        <v>39932</v>
      </c>
      <c r="D784" s="38">
        <v>39930</v>
      </c>
      <c r="E784" s="38">
        <v>39904</v>
      </c>
      <c r="F784" s="39">
        <v>27</v>
      </c>
      <c r="G784" t="s">
        <v>21</v>
      </c>
      <c r="H784" t="s">
        <v>21</v>
      </c>
      <c r="I784">
        <v>0</v>
      </c>
      <c r="J784">
        <v>0</v>
      </c>
      <c r="K784">
        <v>0</v>
      </c>
      <c r="L784">
        <v>1</v>
      </c>
      <c r="M784">
        <v>0</v>
      </c>
      <c r="N784" t="s">
        <v>193</v>
      </c>
      <c r="O784" t="s">
        <v>213</v>
      </c>
      <c r="P784" t="s">
        <v>204</v>
      </c>
      <c r="Q784" t="s">
        <v>170</v>
      </c>
      <c r="R784" t="s">
        <v>155</v>
      </c>
      <c r="T784" t="s">
        <v>134</v>
      </c>
      <c r="U784">
        <v>1</v>
      </c>
      <c r="W784" t="s">
        <v>134</v>
      </c>
      <c r="X784">
        <v>1</v>
      </c>
      <c r="Y784" t="s">
        <v>140</v>
      </c>
      <c r="Z784" t="s">
        <v>179</v>
      </c>
      <c r="AA784" t="s">
        <v>145</v>
      </c>
      <c r="AB784" t="s">
        <v>162</v>
      </c>
      <c r="AC784" t="s">
        <v>174</v>
      </c>
      <c r="AD784" t="s">
        <v>157</v>
      </c>
      <c r="AE784" t="s">
        <v>130</v>
      </c>
      <c r="AF784" t="s">
        <v>437</v>
      </c>
    </row>
    <row r="785" spans="1:32">
      <c r="A785" t="s">
        <v>1533</v>
      </c>
      <c r="B785" s="37">
        <v>40003</v>
      </c>
      <c r="C785" s="38">
        <v>40003</v>
      </c>
      <c r="D785" s="38">
        <v>40000</v>
      </c>
      <c r="E785" s="38">
        <v>39995</v>
      </c>
      <c r="F785" s="39">
        <v>98</v>
      </c>
      <c r="G785" t="s">
        <v>21</v>
      </c>
      <c r="H785" t="s">
        <v>21</v>
      </c>
      <c r="I785">
        <v>0</v>
      </c>
      <c r="J785">
        <v>0</v>
      </c>
      <c r="K785">
        <v>0</v>
      </c>
      <c r="L785">
        <v>1</v>
      </c>
      <c r="M785">
        <v>0</v>
      </c>
      <c r="N785" t="s">
        <v>193</v>
      </c>
      <c r="O785" t="s">
        <v>213</v>
      </c>
      <c r="P785" t="s">
        <v>204</v>
      </c>
      <c r="Q785" t="s">
        <v>170</v>
      </c>
      <c r="R785" t="s">
        <v>155</v>
      </c>
      <c r="T785" t="s">
        <v>134</v>
      </c>
      <c r="U785">
        <v>1</v>
      </c>
      <c r="W785" t="s">
        <v>134</v>
      </c>
      <c r="X785">
        <v>1</v>
      </c>
      <c r="Y785" t="s">
        <v>140</v>
      </c>
      <c r="Z785" t="s">
        <v>179</v>
      </c>
      <c r="AA785" t="s">
        <v>142</v>
      </c>
      <c r="AB785" t="s">
        <v>162</v>
      </c>
      <c r="AC785" t="s">
        <v>21</v>
      </c>
      <c r="AD785" t="s">
        <v>156</v>
      </c>
      <c r="AE785" t="s">
        <v>120</v>
      </c>
      <c r="AF785" t="s">
        <v>1534</v>
      </c>
    </row>
    <row r="786" spans="1:32">
      <c r="A786" t="s">
        <v>1535</v>
      </c>
      <c r="B786" s="37">
        <v>39920</v>
      </c>
      <c r="C786" s="38">
        <v>39920</v>
      </c>
      <c r="D786" s="38">
        <v>39916</v>
      </c>
      <c r="E786" s="38">
        <v>39904</v>
      </c>
      <c r="F786" s="39">
        <v>15</v>
      </c>
      <c r="G786" t="s">
        <v>21</v>
      </c>
      <c r="H786" t="s">
        <v>21</v>
      </c>
      <c r="I786">
        <v>0</v>
      </c>
      <c r="J786">
        <v>0</v>
      </c>
      <c r="K786">
        <v>0</v>
      </c>
      <c r="L786">
        <v>1</v>
      </c>
      <c r="M786">
        <v>0</v>
      </c>
      <c r="N786" t="s">
        <v>199</v>
      </c>
      <c r="O786" t="s">
        <v>213</v>
      </c>
      <c r="P786" t="s">
        <v>210</v>
      </c>
      <c r="Q786" t="s">
        <v>170</v>
      </c>
      <c r="R786" t="s">
        <v>155</v>
      </c>
      <c r="T786" t="s">
        <v>134</v>
      </c>
      <c r="U786">
        <v>1</v>
      </c>
      <c r="W786" t="s">
        <v>134</v>
      </c>
      <c r="X786">
        <v>1</v>
      </c>
      <c r="Y786" t="s">
        <v>139</v>
      </c>
      <c r="Z786" t="s">
        <v>179</v>
      </c>
      <c r="AA786" t="s">
        <v>143</v>
      </c>
      <c r="AB786" t="s">
        <v>162</v>
      </c>
      <c r="AC786" t="s">
        <v>429</v>
      </c>
      <c r="AD786" t="s">
        <v>155</v>
      </c>
      <c r="AE786" t="s">
        <v>439</v>
      </c>
      <c r="AF786" t="s">
        <v>21</v>
      </c>
    </row>
    <row r="787" spans="1:32">
      <c r="A787" t="s">
        <v>1536</v>
      </c>
      <c r="B787" s="37">
        <v>40052</v>
      </c>
      <c r="C787" s="38">
        <v>40052</v>
      </c>
      <c r="D787" s="38">
        <v>40049</v>
      </c>
      <c r="E787" s="38">
        <v>40026</v>
      </c>
      <c r="F787" s="39">
        <v>147</v>
      </c>
      <c r="G787" t="s">
        <v>21</v>
      </c>
      <c r="H787" t="s">
        <v>21</v>
      </c>
      <c r="I787">
        <v>0</v>
      </c>
      <c r="J787">
        <v>0</v>
      </c>
      <c r="K787">
        <v>0</v>
      </c>
      <c r="L787">
        <v>1</v>
      </c>
      <c r="M787">
        <v>0</v>
      </c>
      <c r="N787" t="s">
        <v>195</v>
      </c>
      <c r="O787" t="s">
        <v>213</v>
      </c>
      <c r="P787" t="s">
        <v>206</v>
      </c>
      <c r="Q787" t="s">
        <v>170</v>
      </c>
      <c r="R787" t="s">
        <v>155</v>
      </c>
      <c r="S787">
        <v>5</v>
      </c>
      <c r="T787" t="s">
        <v>135</v>
      </c>
      <c r="U787">
        <v>0</v>
      </c>
      <c r="V787">
        <v>5</v>
      </c>
      <c r="W787" t="s">
        <v>135</v>
      </c>
      <c r="X787">
        <v>0</v>
      </c>
      <c r="Y787" t="s">
        <v>139</v>
      </c>
      <c r="Z787" t="s">
        <v>509</v>
      </c>
      <c r="AA787" t="s">
        <v>148</v>
      </c>
      <c r="AB787" t="s">
        <v>163</v>
      </c>
      <c r="AC787" t="s">
        <v>173</v>
      </c>
      <c r="AD787" t="s">
        <v>155</v>
      </c>
      <c r="AE787" t="s">
        <v>501</v>
      </c>
      <c r="AF787" t="s">
        <v>21</v>
      </c>
    </row>
    <row r="788" spans="1:32">
      <c r="A788" t="s">
        <v>1537</v>
      </c>
      <c r="B788" s="37">
        <v>39994</v>
      </c>
      <c r="C788" s="38">
        <v>39994</v>
      </c>
      <c r="D788" s="38">
        <v>39993</v>
      </c>
      <c r="E788" s="38">
        <v>39965</v>
      </c>
      <c r="F788" s="39">
        <v>89</v>
      </c>
      <c r="G788" t="s">
        <v>21</v>
      </c>
      <c r="H788" t="s">
        <v>21</v>
      </c>
      <c r="I788">
        <v>0</v>
      </c>
      <c r="J788">
        <v>0</v>
      </c>
      <c r="K788">
        <v>0</v>
      </c>
      <c r="L788">
        <v>1</v>
      </c>
      <c r="M788">
        <v>0</v>
      </c>
      <c r="N788" t="s">
        <v>193</v>
      </c>
      <c r="O788" t="s">
        <v>213</v>
      </c>
      <c r="P788" t="s">
        <v>204</v>
      </c>
      <c r="Q788" t="s">
        <v>170</v>
      </c>
      <c r="R788" t="s">
        <v>155</v>
      </c>
      <c r="T788" t="s">
        <v>134</v>
      </c>
      <c r="U788">
        <v>1</v>
      </c>
      <c r="V788">
        <v>5</v>
      </c>
      <c r="W788" t="s">
        <v>135</v>
      </c>
      <c r="X788">
        <v>0</v>
      </c>
      <c r="Y788" t="s">
        <v>140</v>
      </c>
      <c r="Z788" t="s">
        <v>180</v>
      </c>
      <c r="AA788" t="s">
        <v>143</v>
      </c>
      <c r="AB788" t="s">
        <v>162</v>
      </c>
      <c r="AC788" t="s">
        <v>21</v>
      </c>
      <c r="AD788" t="s">
        <v>157</v>
      </c>
      <c r="AE788" t="s">
        <v>124</v>
      </c>
      <c r="AF788" t="s">
        <v>885</v>
      </c>
    </row>
    <row r="789" spans="1:32">
      <c r="A789" t="s">
        <v>1538</v>
      </c>
      <c r="B789" s="37">
        <v>39991</v>
      </c>
      <c r="C789" s="38">
        <v>39991</v>
      </c>
      <c r="D789" s="38">
        <v>39986</v>
      </c>
      <c r="E789" s="38">
        <v>39965</v>
      </c>
      <c r="F789" s="39">
        <v>86</v>
      </c>
      <c r="G789" t="s">
        <v>21</v>
      </c>
      <c r="H789" t="s">
        <v>21</v>
      </c>
      <c r="I789">
        <v>0</v>
      </c>
      <c r="J789">
        <v>0</v>
      </c>
      <c r="K789">
        <v>0</v>
      </c>
      <c r="L789">
        <v>1</v>
      </c>
      <c r="M789">
        <v>0</v>
      </c>
      <c r="N789" t="s">
        <v>196</v>
      </c>
      <c r="O789" t="s">
        <v>213</v>
      </c>
      <c r="P789" t="s">
        <v>207</v>
      </c>
      <c r="Q789" t="s">
        <v>170</v>
      </c>
      <c r="R789" t="s">
        <v>155</v>
      </c>
      <c r="T789" t="s">
        <v>134</v>
      </c>
      <c r="U789">
        <v>1</v>
      </c>
      <c r="V789">
        <v>2</v>
      </c>
      <c r="W789" t="s">
        <v>136</v>
      </c>
      <c r="X789">
        <v>0</v>
      </c>
      <c r="Y789" t="s">
        <v>139</v>
      </c>
      <c r="Z789" t="s">
        <v>181</v>
      </c>
      <c r="AA789" t="s">
        <v>143</v>
      </c>
      <c r="AB789" t="s">
        <v>162</v>
      </c>
      <c r="AC789" t="s">
        <v>581</v>
      </c>
      <c r="AD789" t="s">
        <v>155</v>
      </c>
      <c r="AE789" t="s">
        <v>129</v>
      </c>
      <c r="AF789" t="s">
        <v>21</v>
      </c>
    </row>
    <row r="790" spans="1:32">
      <c r="A790" t="s">
        <v>1539</v>
      </c>
      <c r="B790" s="37">
        <v>39989</v>
      </c>
      <c r="C790" s="38">
        <v>39989</v>
      </c>
      <c r="D790" s="38">
        <v>39986</v>
      </c>
      <c r="E790" s="38">
        <v>39965</v>
      </c>
      <c r="F790" s="39">
        <v>84</v>
      </c>
      <c r="G790" t="s">
        <v>525</v>
      </c>
      <c r="H790" t="s">
        <v>17</v>
      </c>
      <c r="I790">
        <v>0</v>
      </c>
      <c r="J790">
        <v>0</v>
      </c>
      <c r="K790">
        <v>1</v>
      </c>
      <c r="L790">
        <v>0</v>
      </c>
      <c r="M790">
        <v>0</v>
      </c>
      <c r="N790" t="s">
        <v>193</v>
      </c>
      <c r="O790" t="s">
        <v>213</v>
      </c>
      <c r="P790" t="s">
        <v>204</v>
      </c>
      <c r="Q790" t="s">
        <v>170</v>
      </c>
      <c r="R790" t="s">
        <v>155</v>
      </c>
      <c r="T790" t="s">
        <v>134</v>
      </c>
      <c r="U790">
        <v>1</v>
      </c>
      <c r="W790" t="s">
        <v>134</v>
      </c>
      <c r="X790">
        <v>1</v>
      </c>
      <c r="Y790" t="s">
        <v>140</v>
      </c>
      <c r="Z790" t="s">
        <v>576</v>
      </c>
      <c r="AA790" t="s">
        <v>150</v>
      </c>
      <c r="AB790" t="s">
        <v>165</v>
      </c>
      <c r="AC790" t="s">
        <v>589</v>
      </c>
      <c r="AD790" t="s">
        <v>158</v>
      </c>
      <c r="AE790" t="s">
        <v>122</v>
      </c>
      <c r="AF790" t="s">
        <v>21</v>
      </c>
    </row>
    <row r="791" spans="1:32">
      <c r="A791" t="s">
        <v>1540</v>
      </c>
      <c r="B791" s="37">
        <v>39981</v>
      </c>
      <c r="C791" s="38">
        <v>39981</v>
      </c>
      <c r="D791" s="38">
        <v>39979</v>
      </c>
      <c r="E791" s="38">
        <v>39965</v>
      </c>
      <c r="F791" s="39">
        <v>76</v>
      </c>
      <c r="G791" t="s">
        <v>21</v>
      </c>
      <c r="H791" t="s">
        <v>21</v>
      </c>
      <c r="I791">
        <v>0</v>
      </c>
      <c r="J791">
        <v>0</v>
      </c>
      <c r="K791">
        <v>0</v>
      </c>
      <c r="L791">
        <v>1</v>
      </c>
      <c r="M791">
        <v>0</v>
      </c>
      <c r="N791" t="s">
        <v>194</v>
      </c>
      <c r="O791" t="s">
        <v>213</v>
      </c>
      <c r="P791" t="s">
        <v>205</v>
      </c>
      <c r="Q791" t="s">
        <v>170</v>
      </c>
      <c r="R791" t="s">
        <v>155</v>
      </c>
      <c r="T791" t="s">
        <v>134</v>
      </c>
      <c r="U791">
        <v>1</v>
      </c>
      <c r="W791" t="s">
        <v>134</v>
      </c>
      <c r="X791">
        <v>1</v>
      </c>
      <c r="Y791" t="s">
        <v>139</v>
      </c>
      <c r="Z791" t="s">
        <v>186</v>
      </c>
      <c r="AA791" t="s">
        <v>146</v>
      </c>
      <c r="AB791" t="s">
        <v>163</v>
      </c>
      <c r="AC791" t="s">
        <v>173</v>
      </c>
      <c r="AD791" t="s">
        <v>155</v>
      </c>
      <c r="AE791" t="s">
        <v>124</v>
      </c>
      <c r="AF791" t="s">
        <v>21</v>
      </c>
    </row>
    <row r="792" spans="1:32">
      <c r="A792" t="s">
        <v>1541</v>
      </c>
      <c r="B792" s="37">
        <v>39951</v>
      </c>
      <c r="C792" s="38">
        <v>39951</v>
      </c>
      <c r="D792" s="38">
        <v>39951</v>
      </c>
      <c r="E792" s="38">
        <v>39934</v>
      </c>
      <c r="F792" s="39">
        <v>46</v>
      </c>
      <c r="G792" t="s">
        <v>21</v>
      </c>
      <c r="H792" t="s">
        <v>21</v>
      </c>
      <c r="I792">
        <v>0</v>
      </c>
      <c r="J792">
        <v>0</v>
      </c>
      <c r="K792">
        <v>0</v>
      </c>
      <c r="L792">
        <v>1</v>
      </c>
      <c r="M792">
        <v>0</v>
      </c>
      <c r="N792" t="s">
        <v>194</v>
      </c>
      <c r="O792" t="s">
        <v>213</v>
      </c>
      <c r="P792" t="s">
        <v>205</v>
      </c>
      <c r="Q792" t="s">
        <v>170</v>
      </c>
      <c r="R792" t="s">
        <v>155</v>
      </c>
      <c r="T792" t="s">
        <v>134</v>
      </c>
      <c r="U792">
        <v>1</v>
      </c>
      <c r="W792" t="s">
        <v>134</v>
      </c>
      <c r="X792">
        <v>1</v>
      </c>
      <c r="Y792" t="s">
        <v>139</v>
      </c>
      <c r="Z792" t="s">
        <v>178</v>
      </c>
      <c r="AA792" t="s">
        <v>147</v>
      </c>
      <c r="AB792" t="s">
        <v>163</v>
      </c>
      <c r="AC792" t="s">
        <v>173</v>
      </c>
      <c r="AD792" t="s">
        <v>155</v>
      </c>
      <c r="AE792" t="s">
        <v>439</v>
      </c>
      <c r="AF792" t="s">
        <v>21</v>
      </c>
    </row>
    <row r="793" spans="1:32">
      <c r="A793" t="s">
        <v>1542</v>
      </c>
      <c r="B793" s="37">
        <v>40072</v>
      </c>
      <c r="C793" s="38">
        <v>40072</v>
      </c>
      <c r="D793" s="38">
        <v>40070</v>
      </c>
      <c r="E793" s="38">
        <v>40057</v>
      </c>
      <c r="F793" s="39">
        <v>167</v>
      </c>
      <c r="G793" t="s">
        <v>383</v>
      </c>
      <c r="H793" t="s">
        <v>17</v>
      </c>
      <c r="I793">
        <v>0</v>
      </c>
      <c r="J793">
        <v>0</v>
      </c>
      <c r="K793">
        <v>1</v>
      </c>
      <c r="L793">
        <v>0</v>
      </c>
      <c r="M793">
        <v>0</v>
      </c>
      <c r="N793" t="s">
        <v>193</v>
      </c>
      <c r="O793" t="s">
        <v>213</v>
      </c>
      <c r="P793" t="s">
        <v>204</v>
      </c>
      <c r="Q793" t="s">
        <v>170</v>
      </c>
      <c r="R793" t="s">
        <v>155</v>
      </c>
      <c r="S793">
        <v>5</v>
      </c>
      <c r="T793" t="s">
        <v>135</v>
      </c>
      <c r="U793">
        <v>0</v>
      </c>
      <c r="V793">
        <v>3</v>
      </c>
      <c r="W793" t="s">
        <v>137</v>
      </c>
      <c r="X793">
        <v>0</v>
      </c>
      <c r="Y793" t="s">
        <v>140</v>
      </c>
      <c r="Z793" t="s">
        <v>447</v>
      </c>
      <c r="AA793" t="s">
        <v>146</v>
      </c>
      <c r="AB793" t="s">
        <v>165</v>
      </c>
      <c r="AC793" t="s">
        <v>1543</v>
      </c>
      <c r="AD793" t="s">
        <v>158</v>
      </c>
      <c r="AE793" t="s">
        <v>122</v>
      </c>
      <c r="AF793" t="s">
        <v>21</v>
      </c>
    </row>
    <row r="794" spans="1:32">
      <c r="A794" t="s">
        <v>1544</v>
      </c>
      <c r="B794" s="37">
        <v>40011</v>
      </c>
      <c r="C794" s="38">
        <v>40011</v>
      </c>
      <c r="D794" s="38">
        <v>40007</v>
      </c>
      <c r="E794" s="38">
        <v>39995</v>
      </c>
      <c r="F794" s="39">
        <v>106</v>
      </c>
      <c r="G794" t="s">
        <v>21</v>
      </c>
      <c r="H794" t="s">
        <v>21</v>
      </c>
      <c r="I794">
        <v>0</v>
      </c>
      <c r="J794">
        <v>0</v>
      </c>
      <c r="K794">
        <v>0</v>
      </c>
      <c r="L794">
        <v>1</v>
      </c>
      <c r="M794">
        <v>0</v>
      </c>
      <c r="N794" t="s">
        <v>193</v>
      </c>
      <c r="O794" t="s">
        <v>213</v>
      </c>
      <c r="P794" t="s">
        <v>204</v>
      </c>
      <c r="Q794" t="s">
        <v>170</v>
      </c>
      <c r="R794" t="s">
        <v>155</v>
      </c>
      <c r="S794">
        <v>5</v>
      </c>
      <c r="T794" t="s">
        <v>135</v>
      </c>
      <c r="U794">
        <v>0</v>
      </c>
      <c r="V794">
        <v>5</v>
      </c>
      <c r="W794" t="s">
        <v>135</v>
      </c>
      <c r="X794">
        <v>0</v>
      </c>
      <c r="Y794" t="s">
        <v>140</v>
      </c>
      <c r="Z794" t="s">
        <v>182</v>
      </c>
      <c r="AA794" t="s">
        <v>143</v>
      </c>
      <c r="AB794" t="s">
        <v>162</v>
      </c>
      <c r="AC794" t="s">
        <v>174</v>
      </c>
      <c r="AD794" t="s">
        <v>156</v>
      </c>
      <c r="AE794" t="s">
        <v>120</v>
      </c>
      <c r="AF794" t="s">
        <v>1001</v>
      </c>
    </row>
    <row r="795" spans="1:32">
      <c r="A795" t="s">
        <v>1545</v>
      </c>
      <c r="B795" s="37">
        <v>39963</v>
      </c>
      <c r="C795" s="38">
        <v>39963</v>
      </c>
      <c r="D795" s="38">
        <v>39958</v>
      </c>
      <c r="E795" s="38">
        <v>39934</v>
      </c>
      <c r="F795" s="39">
        <v>58</v>
      </c>
      <c r="G795" t="s">
        <v>21</v>
      </c>
      <c r="H795" t="s">
        <v>21</v>
      </c>
      <c r="I795">
        <v>0</v>
      </c>
      <c r="J795">
        <v>0</v>
      </c>
      <c r="K795">
        <v>0</v>
      </c>
      <c r="L795">
        <v>1</v>
      </c>
      <c r="M795">
        <v>0</v>
      </c>
      <c r="N795" t="s">
        <v>195</v>
      </c>
      <c r="O795" t="s">
        <v>213</v>
      </c>
      <c r="P795" t="s">
        <v>206</v>
      </c>
      <c r="Q795" t="s">
        <v>170</v>
      </c>
      <c r="R795" t="s">
        <v>155</v>
      </c>
      <c r="T795" t="s">
        <v>134</v>
      </c>
      <c r="U795">
        <v>1</v>
      </c>
      <c r="W795" t="s">
        <v>134</v>
      </c>
      <c r="X795">
        <v>1</v>
      </c>
      <c r="Y795" t="s">
        <v>139</v>
      </c>
      <c r="Z795" t="s">
        <v>188</v>
      </c>
      <c r="AA795" t="s">
        <v>151</v>
      </c>
      <c r="AB795" t="s">
        <v>163</v>
      </c>
      <c r="AC795" t="s">
        <v>1546</v>
      </c>
      <c r="AD795" t="s">
        <v>155</v>
      </c>
      <c r="AE795" t="s">
        <v>670</v>
      </c>
      <c r="AF795" t="s">
        <v>21</v>
      </c>
    </row>
    <row r="796" spans="1:32">
      <c r="A796" t="s">
        <v>1547</v>
      </c>
      <c r="B796" s="37">
        <v>40015</v>
      </c>
      <c r="C796" s="38">
        <v>40015</v>
      </c>
      <c r="D796" s="38">
        <v>40014</v>
      </c>
      <c r="E796" s="38">
        <v>39995</v>
      </c>
      <c r="F796" s="39">
        <v>110</v>
      </c>
      <c r="G796" t="s">
        <v>21</v>
      </c>
      <c r="H796" t="s">
        <v>21</v>
      </c>
      <c r="I796">
        <v>0</v>
      </c>
      <c r="J796">
        <v>0</v>
      </c>
      <c r="K796">
        <v>0</v>
      </c>
      <c r="L796">
        <v>1</v>
      </c>
      <c r="M796">
        <v>0</v>
      </c>
      <c r="N796" t="s">
        <v>194</v>
      </c>
      <c r="O796" t="s">
        <v>213</v>
      </c>
      <c r="P796" t="s">
        <v>205</v>
      </c>
      <c r="Q796" t="s">
        <v>170</v>
      </c>
      <c r="R796" t="s">
        <v>155</v>
      </c>
      <c r="S796">
        <v>5</v>
      </c>
      <c r="T796" t="s">
        <v>135</v>
      </c>
      <c r="U796">
        <v>0</v>
      </c>
      <c r="V796">
        <v>5</v>
      </c>
      <c r="W796" t="s">
        <v>135</v>
      </c>
      <c r="X796">
        <v>0</v>
      </c>
      <c r="Y796" t="s">
        <v>139</v>
      </c>
      <c r="Z796" t="s">
        <v>184</v>
      </c>
      <c r="AA796" t="s">
        <v>144</v>
      </c>
      <c r="AB796" t="s">
        <v>163</v>
      </c>
      <c r="AC796" t="s">
        <v>1548</v>
      </c>
      <c r="AD796" t="s">
        <v>155</v>
      </c>
      <c r="AE796" t="s">
        <v>406</v>
      </c>
      <c r="AF796" t="s">
        <v>21</v>
      </c>
    </row>
    <row r="797" spans="1:32">
      <c r="A797" t="s">
        <v>1549</v>
      </c>
      <c r="B797" s="37">
        <v>40040</v>
      </c>
      <c r="C797" s="38">
        <v>40040</v>
      </c>
      <c r="D797" s="38">
        <v>40035</v>
      </c>
      <c r="E797" s="38">
        <v>40026</v>
      </c>
      <c r="F797" s="39">
        <v>135</v>
      </c>
      <c r="G797" t="s">
        <v>21</v>
      </c>
      <c r="H797" t="s">
        <v>21</v>
      </c>
      <c r="I797">
        <v>0</v>
      </c>
      <c r="J797">
        <v>0</v>
      </c>
      <c r="K797">
        <v>0</v>
      </c>
      <c r="L797">
        <v>1</v>
      </c>
      <c r="M797">
        <v>0</v>
      </c>
      <c r="N797" t="s">
        <v>197</v>
      </c>
      <c r="O797" t="s">
        <v>213</v>
      </c>
      <c r="P797" t="s">
        <v>209</v>
      </c>
      <c r="Q797" t="s">
        <v>170</v>
      </c>
      <c r="R797" t="s">
        <v>155</v>
      </c>
      <c r="S797">
        <v>5</v>
      </c>
      <c r="T797" t="s">
        <v>135</v>
      </c>
      <c r="U797">
        <v>0</v>
      </c>
      <c r="V797">
        <v>5</v>
      </c>
      <c r="W797" t="s">
        <v>135</v>
      </c>
      <c r="X797">
        <v>0</v>
      </c>
      <c r="Y797" t="s">
        <v>139</v>
      </c>
      <c r="Z797" t="s">
        <v>189</v>
      </c>
      <c r="AA797" t="s">
        <v>142</v>
      </c>
      <c r="AB797" t="s">
        <v>162</v>
      </c>
      <c r="AC797" t="s">
        <v>1550</v>
      </c>
      <c r="AD797" t="s">
        <v>157</v>
      </c>
      <c r="AE797" t="s">
        <v>571</v>
      </c>
      <c r="AF797" t="s">
        <v>1551</v>
      </c>
    </row>
    <row r="798" spans="1:32">
      <c r="A798" t="s">
        <v>1552</v>
      </c>
      <c r="B798" s="37">
        <v>39934</v>
      </c>
      <c r="C798" s="38">
        <v>39934</v>
      </c>
      <c r="D798" s="38">
        <v>39930</v>
      </c>
      <c r="E798" s="38">
        <v>39934</v>
      </c>
      <c r="F798" s="39">
        <v>29</v>
      </c>
      <c r="G798" t="s">
        <v>21</v>
      </c>
      <c r="H798" t="s">
        <v>21</v>
      </c>
      <c r="I798">
        <v>0</v>
      </c>
      <c r="J798">
        <v>0</v>
      </c>
      <c r="K798">
        <v>0</v>
      </c>
      <c r="L798">
        <v>1</v>
      </c>
      <c r="M798">
        <v>0</v>
      </c>
      <c r="N798" t="s">
        <v>198</v>
      </c>
      <c r="O798" t="s">
        <v>213</v>
      </c>
      <c r="P798" t="s">
        <v>208</v>
      </c>
      <c r="Q798" t="s">
        <v>170</v>
      </c>
      <c r="R798" t="s">
        <v>155</v>
      </c>
      <c r="T798" t="s">
        <v>134</v>
      </c>
      <c r="U798">
        <v>1</v>
      </c>
      <c r="W798" t="s">
        <v>134</v>
      </c>
      <c r="X798">
        <v>1</v>
      </c>
      <c r="Y798" t="s">
        <v>139</v>
      </c>
      <c r="Z798" t="s">
        <v>184</v>
      </c>
      <c r="AA798" t="s">
        <v>142</v>
      </c>
      <c r="AB798" t="s">
        <v>162</v>
      </c>
      <c r="AC798" t="s">
        <v>1553</v>
      </c>
      <c r="AD798" t="s">
        <v>155</v>
      </c>
      <c r="AE798" t="s">
        <v>129</v>
      </c>
      <c r="AF798" t="s">
        <v>21</v>
      </c>
    </row>
    <row r="799" spans="1:32">
      <c r="A799" t="s">
        <v>1554</v>
      </c>
      <c r="B799" s="37">
        <v>39906</v>
      </c>
      <c r="C799" s="38">
        <v>39906</v>
      </c>
      <c r="D799" s="38">
        <v>39902</v>
      </c>
      <c r="E799" s="38">
        <v>39904</v>
      </c>
      <c r="F799" s="39">
        <v>1</v>
      </c>
      <c r="G799" t="s">
        <v>21</v>
      </c>
      <c r="H799" t="s">
        <v>21</v>
      </c>
      <c r="I799">
        <v>0</v>
      </c>
      <c r="J799">
        <v>0</v>
      </c>
      <c r="K799">
        <v>0</v>
      </c>
      <c r="L799">
        <v>1</v>
      </c>
      <c r="M799">
        <v>0</v>
      </c>
      <c r="N799" t="s">
        <v>194</v>
      </c>
      <c r="O799" t="s">
        <v>213</v>
      </c>
      <c r="P799" t="s">
        <v>205</v>
      </c>
      <c r="Q799" t="s">
        <v>170</v>
      </c>
      <c r="R799" t="s">
        <v>155</v>
      </c>
      <c r="T799" t="s">
        <v>134</v>
      </c>
      <c r="U799">
        <v>1</v>
      </c>
      <c r="W799" t="s">
        <v>134</v>
      </c>
      <c r="X799">
        <v>1</v>
      </c>
      <c r="Y799" t="s">
        <v>139</v>
      </c>
      <c r="Z799" t="s">
        <v>185</v>
      </c>
      <c r="AA799" t="s">
        <v>151</v>
      </c>
      <c r="AB799" t="s">
        <v>163</v>
      </c>
      <c r="AC799" t="s">
        <v>1042</v>
      </c>
      <c r="AD799" t="s">
        <v>155</v>
      </c>
      <c r="AE799" t="s">
        <v>125</v>
      </c>
      <c r="AF799" t="s">
        <v>21</v>
      </c>
    </row>
    <row r="800" spans="1:32">
      <c r="A800" t="s">
        <v>1555</v>
      </c>
      <c r="B800" s="37">
        <v>39968</v>
      </c>
      <c r="C800" s="38">
        <v>39968</v>
      </c>
      <c r="D800" s="38">
        <v>39965</v>
      </c>
      <c r="E800" s="38">
        <v>39965</v>
      </c>
      <c r="F800" s="39">
        <v>63</v>
      </c>
      <c r="G800" t="s">
        <v>383</v>
      </c>
      <c r="H800" t="s">
        <v>17</v>
      </c>
      <c r="I800">
        <v>0</v>
      </c>
      <c r="J800">
        <v>0</v>
      </c>
      <c r="K800">
        <v>1</v>
      </c>
      <c r="L800">
        <v>0</v>
      </c>
      <c r="M800">
        <v>0</v>
      </c>
      <c r="N800" t="s">
        <v>193</v>
      </c>
      <c r="O800" t="s">
        <v>213</v>
      </c>
      <c r="P800" t="s">
        <v>204</v>
      </c>
      <c r="Q800" t="s">
        <v>170</v>
      </c>
      <c r="R800" t="s">
        <v>155</v>
      </c>
      <c r="T800" t="s">
        <v>134</v>
      </c>
      <c r="U800">
        <v>1</v>
      </c>
      <c r="W800" t="s">
        <v>134</v>
      </c>
      <c r="X800">
        <v>1</v>
      </c>
      <c r="Y800" t="s">
        <v>140</v>
      </c>
      <c r="Z800" t="s">
        <v>190</v>
      </c>
      <c r="AA800" t="s">
        <v>144</v>
      </c>
      <c r="AB800" t="s">
        <v>162</v>
      </c>
      <c r="AC800" t="s">
        <v>550</v>
      </c>
      <c r="AD800" t="s">
        <v>157</v>
      </c>
      <c r="AE800" t="s">
        <v>130</v>
      </c>
      <c r="AF800" t="s">
        <v>423</v>
      </c>
    </row>
    <row r="801" spans="1:32">
      <c r="A801" t="s">
        <v>1556</v>
      </c>
      <c r="B801" s="37">
        <v>40008</v>
      </c>
      <c r="C801" s="38">
        <v>40008</v>
      </c>
      <c r="D801" s="38">
        <v>40007</v>
      </c>
      <c r="E801" s="38">
        <v>39995</v>
      </c>
      <c r="F801" s="39">
        <v>103</v>
      </c>
      <c r="G801" t="s">
        <v>21</v>
      </c>
      <c r="H801" t="s">
        <v>21</v>
      </c>
      <c r="I801">
        <v>0</v>
      </c>
      <c r="J801">
        <v>0</v>
      </c>
      <c r="K801">
        <v>0</v>
      </c>
      <c r="L801">
        <v>1</v>
      </c>
      <c r="M801">
        <v>0</v>
      </c>
      <c r="N801" t="s">
        <v>193</v>
      </c>
      <c r="O801" t="s">
        <v>213</v>
      </c>
      <c r="P801" t="s">
        <v>204</v>
      </c>
      <c r="Q801" t="s">
        <v>170</v>
      </c>
      <c r="R801" t="s">
        <v>155</v>
      </c>
      <c r="T801" t="s">
        <v>134</v>
      </c>
      <c r="U801">
        <v>1</v>
      </c>
      <c r="W801" t="s">
        <v>134</v>
      </c>
      <c r="X801">
        <v>1</v>
      </c>
      <c r="Y801" t="s">
        <v>140</v>
      </c>
      <c r="Z801" t="s">
        <v>190</v>
      </c>
      <c r="AA801" t="s">
        <v>148</v>
      </c>
      <c r="AB801" t="s">
        <v>162</v>
      </c>
      <c r="AC801" t="s">
        <v>1557</v>
      </c>
      <c r="AD801" t="s">
        <v>155</v>
      </c>
      <c r="AE801" t="s">
        <v>129</v>
      </c>
      <c r="AF801" t="s">
        <v>21</v>
      </c>
    </row>
    <row r="802" spans="1:32">
      <c r="A802" t="s">
        <v>1558</v>
      </c>
      <c r="B802" s="37">
        <v>40018</v>
      </c>
      <c r="C802" s="38">
        <v>40018</v>
      </c>
      <c r="D802" s="38">
        <v>40014</v>
      </c>
      <c r="E802" s="38">
        <v>39995</v>
      </c>
      <c r="F802" s="39">
        <v>113</v>
      </c>
      <c r="G802" t="s">
        <v>21</v>
      </c>
      <c r="H802" t="s">
        <v>21</v>
      </c>
      <c r="I802">
        <v>0</v>
      </c>
      <c r="J802">
        <v>0</v>
      </c>
      <c r="K802">
        <v>0</v>
      </c>
      <c r="L802">
        <v>1</v>
      </c>
      <c r="M802">
        <v>0</v>
      </c>
      <c r="N802" t="s">
        <v>197</v>
      </c>
      <c r="O802" t="s">
        <v>213</v>
      </c>
      <c r="P802" t="s">
        <v>209</v>
      </c>
      <c r="Q802" t="s">
        <v>170</v>
      </c>
      <c r="R802" t="s">
        <v>155</v>
      </c>
      <c r="S802">
        <v>5</v>
      </c>
      <c r="T802" t="s">
        <v>135</v>
      </c>
      <c r="U802">
        <v>0</v>
      </c>
      <c r="V802">
        <v>5</v>
      </c>
      <c r="W802" t="s">
        <v>135</v>
      </c>
      <c r="X802">
        <v>0</v>
      </c>
      <c r="Y802" t="s">
        <v>139</v>
      </c>
      <c r="Z802" t="s">
        <v>190</v>
      </c>
      <c r="AA802" t="s">
        <v>146</v>
      </c>
      <c r="AB802" t="s">
        <v>163</v>
      </c>
      <c r="AC802" t="s">
        <v>173</v>
      </c>
      <c r="AD802" t="s">
        <v>155</v>
      </c>
      <c r="AE802" t="s">
        <v>124</v>
      </c>
      <c r="AF802" t="s">
        <v>21</v>
      </c>
    </row>
    <row r="803" spans="1:32">
      <c r="A803" t="s">
        <v>1559</v>
      </c>
      <c r="B803" s="37">
        <v>40038</v>
      </c>
      <c r="C803" s="38">
        <v>40038</v>
      </c>
      <c r="D803" s="38">
        <v>40035</v>
      </c>
      <c r="E803" s="38">
        <v>40026</v>
      </c>
      <c r="F803" s="39">
        <v>133</v>
      </c>
      <c r="G803" t="s">
        <v>21</v>
      </c>
      <c r="H803" t="s">
        <v>21</v>
      </c>
      <c r="I803">
        <v>0</v>
      </c>
      <c r="J803">
        <v>0</v>
      </c>
      <c r="K803">
        <v>0</v>
      </c>
      <c r="L803">
        <v>1</v>
      </c>
      <c r="M803">
        <v>0</v>
      </c>
      <c r="N803" t="s">
        <v>196</v>
      </c>
      <c r="O803" t="s">
        <v>213</v>
      </c>
      <c r="P803" t="s">
        <v>207</v>
      </c>
      <c r="Q803" t="s">
        <v>170</v>
      </c>
      <c r="R803" t="s">
        <v>155</v>
      </c>
      <c r="S803">
        <v>4</v>
      </c>
      <c r="T803" t="s">
        <v>137</v>
      </c>
      <c r="U803">
        <v>0</v>
      </c>
      <c r="V803">
        <v>3</v>
      </c>
      <c r="W803" t="s">
        <v>137</v>
      </c>
      <c r="X803">
        <v>0</v>
      </c>
      <c r="Y803" t="s">
        <v>139</v>
      </c>
      <c r="Z803" t="s">
        <v>384</v>
      </c>
      <c r="AA803" t="s">
        <v>145</v>
      </c>
      <c r="AB803" t="s">
        <v>162</v>
      </c>
      <c r="AC803" t="s">
        <v>175</v>
      </c>
      <c r="AD803" t="s">
        <v>155</v>
      </c>
      <c r="AE803" t="s">
        <v>1302</v>
      </c>
      <c r="AF803" t="s">
        <v>21</v>
      </c>
    </row>
    <row r="804" spans="1:32">
      <c r="A804" t="s">
        <v>1560</v>
      </c>
      <c r="B804" s="37">
        <v>40044</v>
      </c>
      <c r="C804" s="38">
        <v>40044</v>
      </c>
      <c r="D804" s="38">
        <v>40042</v>
      </c>
      <c r="E804" s="38">
        <v>40026</v>
      </c>
      <c r="F804" s="39">
        <v>139</v>
      </c>
      <c r="G804" t="s">
        <v>496</v>
      </c>
      <c r="H804" t="s">
        <v>13</v>
      </c>
      <c r="I804">
        <v>0</v>
      </c>
      <c r="J804">
        <v>1</v>
      </c>
      <c r="K804">
        <v>0</v>
      </c>
      <c r="L804">
        <v>0</v>
      </c>
      <c r="M804">
        <v>1</v>
      </c>
      <c r="N804" t="s">
        <v>195</v>
      </c>
      <c r="O804" t="s">
        <v>213</v>
      </c>
      <c r="P804" t="s">
        <v>206</v>
      </c>
      <c r="Q804" t="s">
        <v>170</v>
      </c>
      <c r="R804" t="s">
        <v>155</v>
      </c>
      <c r="S804">
        <v>5</v>
      </c>
      <c r="T804" t="s">
        <v>135</v>
      </c>
      <c r="U804">
        <v>0</v>
      </c>
      <c r="V804">
        <v>3</v>
      </c>
      <c r="W804" t="s">
        <v>137</v>
      </c>
      <c r="X804">
        <v>0</v>
      </c>
      <c r="Y804" t="s">
        <v>139</v>
      </c>
      <c r="Z804" t="s">
        <v>528</v>
      </c>
      <c r="AA804" t="s">
        <v>143</v>
      </c>
      <c r="AB804" t="s">
        <v>162</v>
      </c>
      <c r="AC804" t="s">
        <v>506</v>
      </c>
      <c r="AD804" t="s">
        <v>156</v>
      </c>
      <c r="AE804" t="s">
        <v>120</v>
      </c>
      <c r="AF804" t="s">
        <v>1001</v>
      </c>
    </row>
    <row r="805" spans="1:32">
      <c r="A805" t="s">
        <v>1561</v>
      </c>
      <c r="B805" s="37">
        <v>40076</v>
      </c>
      <c r="C805" s="38">
        <v>40076</v>
      </c>
      <c r="D805" s="38">
        <v>40070</v>
      </c>
      <c r="E805" s="38">
        <v>40057</v>
      </c>
      <c r="F805" s="39">
        <v>171</v>
      </c>
      <c r="G805" t="s">
        <v>21</v>
      </c>
      <c r="H805" t="s">
        <v>21</v>
      </c>
      <c r="I805">
        <v>0</v>
      </c>
      <c r="J805">
        <v>0</v>
      </c>
      <c r="K805">
        <v>0</v>
      </c>
      <c r="L805">
        <v>1</v>
      </c>
      <c r="M805">
        <v>0</v>
      </c>
      <c r="N805" t="s">
        <v>197</v>
      </c>
      <c r="O805" t="s">
        <v>213</v>
      </c>
      <c r="P805" t="s">
        <v>209</v>
      </c>
      <c r="Q805" t="s">
        <v>170</v>
      </c>
      <c r="R805" t="s">
        <v>155</v>
      </c>
      <c r="S805">
        <v>3</v>
      </c>
      <c r="T805" t="s">
        <v>137</v>
      </c>
      <c r="U805">
        <v>0</v>
      </c>
      <c r="V805">
        <v>3</v>
      </c>
      <c r="W805" t="s">
        <v>137</v>
      </c>
      <c r="X805">
        <v>0</v>
      </c>
      <c r="Y805" t="s">
        <v>139</v>
      </c>
      <c r="Z805" t="s">
        <v>178</v>
      </c>
      <c r="AA805" t="s">
        <v>144</v>
      </c>
      <c r="AB805" t="s">
        <v>163</v>
      </c>
      <c r="AC805" t="s">
        <v>173</v>
      </c>
      <c r="AD805" t="s">
        <v>155</v>
      </c>
      <c r="AE805" t="s">
        <v>128</v>
      </c>
      <c r="AF805" t="s">
        <v>21</v>
      </c>
    </row>
    <row r="806" spans="1:32">
      <c r="A806" t="s">
        <v>1562</v>
      </c>
      <c r="B806" s="37">
        <v>39938</v>
      </c>
      <c r="C806" s="38">
        <v>39938</v>
      </c>
      <c r="D806" s="38">
        <v>39937</v>
      </c>
      <c r="E806" s="38">
        <v>39934</v>
      </c>
      <c r="F806" s="39">
        <v>33</v>
      </c>
      <c r="G806" t="s">
        <v>21</v>
      </c>
      <c r="H806" t="s">
        <v>21</v>
      </c>
      <c r="I806">
        <v>0</v>
      </c>
      <c r="J806">
        <v>0</v>
      </c>
      <c r="K806">
        <v>0</v>
      </c>
      <c r="L806">
        <v>1</v>
      </c>
      <c r="M806">
        <v>0</v>
      </c>
      <c r="N806" t="s">
        <v>194</v>
      </c>
      <c r="O806" t="s">
        <v>213</v>
      </c>
      <c r="P806" t="s">
        <v>205</v>
      </c>
      <c r="Q806" t="s">
        <v>170</v>
      </c>
      <c r="R806" t="s">
        <v>155</v>
      </c>
      <c r="T806" t="s">
        <v>134</v>
      </c>
      <c r="U806">
        <v>1</v>
      </c>
      <c r="W806" t="s">
        <v>134</v>
      </c>
      <c r="X806">
        <v>1</v>
      </c>
      <c r="Y806" t="s">
        <v>139</v>
      </c>
      <c r="Z806" t="s">
        <v>181</v>
      </c>
      <c r="AA806" t="s">
        <v>145</v>
      </c>
      <c r="AB806" t="s">
        <v>163</v>
      </c>
      <c r="AC806" t="s">
        <v>415</v>
      </c>
      <c r="AD806" t="s">
        <v>155</v>
      </c>
      <c r="AE806" t="s">
        <v>125</v>
      </c>
      <c r="AF806" t="s">
        <v>21</v>
      </c>
    </row>
    <row r="807" spans="1:32">
      <c r="A807" t="s">
        <v>1563</v>
      </c>
      <c r="B807" s="37">
        <v>40022</v>
      </c>
      <c r="C807" s="38">
        <v>40022</v>
      </c>
      <c r="D807" s="38">
        <v>40021</v>
      </c>
      <c r="E807" s="38">
        <v>39995</v>
      </c>
      <c r="F807" s="39">
        <v>117</v>
      </c>
      <c r="G807" t="s">
        <v>21</v>
      </c>
      <c r="H807" t="s">
        <v>21</v>
      </c>
      <c r="I807">
        <v>0</v>
      </c>
      <c r="J807">
        <v>0</v>
      </c>
      <c r="K807">
        <v>0</v>
      </c>
      <c r="L807">
        <v>1</v>
      </c>
      <c r="M807">
        <v>0</v>
      </c>
      <c r="N807" t="s">
        <v>195</v>
      </c>
      <c r="O807" t="s">
        <v>213</v>
      </c>
      <c r="P807" t="s">
        <v>206</v>
      </c>
      <c r="Q807" t="s">
        <v>170</v>
      </c>
      <c r="R807" t="s">
        <v>155</v>
      </c>
      <c r="S807">
        <v>5</v>
      </c>
      <c r="T807" t="s">
        <v>135</v>
      </c>
      <c r="U807">
        <v>0</v>
      </c>
      <c r="V807">
        <v>4</v>
      </c>
      <c r="W807" t="s">
        <v>137</v>
      </c>
      <c r="X807">
        <v>0</v>
      </c>
      <c r="Y807" t="s">
        <v>139</v>
      </c>
      <c r="Z807" t="s">
        <v>181</v>
      </c>
      <c r="AA807" t="s">
        <v>151</v>
      </c>
      <c r="AB807" t="s">
        <v>162</v>
      </c>
      <c r="AC807" t="s">
        <v>175</v>
      </c>
      <c r="AD807" t="s">
        <v>155</v>
      </c>
      <c r="AE807" t="s">
        <v>130</v>
      </c>
      <c r="AF807" t="s">
        <v>21</v>
      </c>
    </row>
    <row r="808" spans="1:32">
      <c r="A808" t="s">
        <v>1564</v>
      </c>
      <c r="B808" s="37">
        <v>39960</v>
      </c>
      <c r="C808" s="38">
        <v>39960</v>
      </c>
      <c r="D808" s="38">
        <v>39958</v>
      </c>
      <c r="E808" s="38">
        <v>39934</v>
      </c>
      <c r="F808" s="39">
        <v>55</v>
      </c>
      <c r="G808" t="s">
        <v>21</v>
      </c>
      <c r="H808" t="s">
        <v>21</v>
      </c>
      <c r="I808">
        <v>0</v>
      </c>
      <c r="J808">
        <v>0</v>
      </c>
      <c r="K808">
        <v>0</v>
      </c>
      <c r="L808">
        <v>1</v>
      </c>
      <c r="M808">
        <v>0</v>
      </c>
      <c r="N808" t="s">
        <v>194</v>
      </c>
      <c r="O808" t="s">
        <v>213</v>
      </c>
      <c r="P808" t="s">
        <v>205</v>
      </c>
      <c r="Q808" t="s">
        <v>170</v>
      </c>
      <c r="R808" t="s">
        <v>155</v>
      </c>
      <c r="T808" t="s">
        <v>134</v>
      </c>
      <c r="U808">
        <v>1</v>
      </c>
      <c r="W808" t="s">
        <v>134</v>
      </c>
      <c r="X808">
        <v>1</v>
      </c>
      <c r="Y808" t="s">
        <v>139</v>
      </c>
      <c r="Z808" t="s">
        <v>180</v>
      </c>
      <c r="AA808" t="s">
        <v>144</v>
      </c>
      <c r="AB808" t="s">
        <v>162</v>
      </c>
      <c r="AC808" t="s">
        <v>1565</v>
      </c>
      <c r="AD808" t="s">
        <v>155</v>
      </c>
      <c r="AE808" t="s">
        <v>830</v>
      </c>
      <c r="AF808" t="s">
        <v>21</v>
      </c>
    </row>
    <row r="809" spans="1:32">
      <c r="A809" t="s">
        <v>1566</v>
      </c>
      <c r="B809" s="37">
        <v>39997</v>
      </c>
      <c r="C809" s="38">
        <v>39997</v>
      </c>
      <c r="D809" s="38">
        <v>39993</v>
      </c>
      <c r="E809" s="38">
        <v>39995</v>
      </c>
      <c r="F809" s="39">
        <v>92</v>
      </c>
      <c r="G809" t="s">
        <v>21</v>
      </c>
      <c r="H809" t="s">
        <v>21</v>
      </c>
      <c r="I809">
        <v>0</v>
      </c>
      <c r="J809">
        <v>0</v>
      </c>
      <c r="K809">
        <v>0</v>
      </c>
      <c r="L809">
        <v>1</v>
      </c>
      <c r="M809">
        <v>0</v>
      </c>
      <c r="N809" t="s">
        <v>193</v>
      </c>
      <c r="O809" t="s">
        <v>213</v>
      </c>
      <c r="P809" t="s">
        <v>204</v>
      </c>
      <c r="Q809" t="s">
        <v>170</v>
      </c>
      <c r="R809" t="s">
        <v>155</v>
      </c>
      <c r="T809" t="s">
        <v>134</v>
      </c>
      <c r="U809">
        <v>1</v>
      </c>
      <c r="V809">
        <v>2</v>
      </c>
      <c r="W809" t="s">
        <v>136</v>
      </c>
      <c r="X809">
        <v>0</v>
      </c>
      <c r="Y809" t="s">
        <v>140</v>
      </c>
      <c r="Z809" t="s">
        <v>186</v>
      </c>
      <c r="AA809" t="s">
        <v>145</v>
      </c>
      <c r="AB809" t="s">
        <v>162</v>
      </c>
      <c r="AC809" t="s">
        <v>175</v>
      </c>
      <c r="AD809" t="s">
        <v>155</v>
      </c>
      <c r="AE809" t="s">
        <v>129</v>
      </c>
      <c r="AF809" t="s">
        <v>21</v>
      </c>
    </row>
    <row r="810" spans="1:32">
      <c r="A810" t="s">
        <v>1567</v>
      </c>
      <c r="B810" s="37">
        <v>39931</v>
      </c>
      <c r="C810" s="38">
        <v>39931</v>
      </c>
      <c r="D810" s="38">
        <v>39930</v>
      </c>
      <c r="E810" s="38">
        <v>39904</v>
      </c>
      <c r="F810" s="39">
        <v>26</v>
      </c>
      <c r="G810" t="s">
        <v>21</v>
      </c>
      <c r="H810" t="s">
        <v>21</v>
      </c>
      <c r="I810">
        <v>0</v>
      </c>
      <c r="J810">
        <v>0</v>
      </c>
      <c r="K810">
        <v>0</v>
      </c>
      <c r="L810">
        <v>1</v>
      </c>
      <c r="M810">
        <v>0</v>
      </c>
      <c r="N810" t="s">
        <v>202</v>
      </c>
      <c r="O810" t="s">
        <v>213</v>
      </c>
      <c r="P810" t="s">
        <v>211</v>
      </c>
      <c r="Q810" t="s">
        <v>170</v>
      </c>
      <c r="R810" t="s">
        <v>155</v>
      </c>
      <c r="T810" t="s">
        <v>134</v>
      </c>
      <c r="U810">
        <v>1</v>
      </c>
      <c r="W810" t="s">
        <v>134</v>
      </c>
      <c r="X810">
        <v>1</v>
      </c>
      <c r="Y810" t="s">
        <v>139</v>
      </c>
      <c r="Z810" t="s">
        <v>509</v>
      </c>
      <c r="AA810" t="s">
        <v>142</v>
      </c>
      <c r="AB810" t="s">
        <v>162</v>
      </c>
      <c r="AC810" t="s">
        <v>174</v>
      </c>
      <c r="AD810" t="s">
        <v>156</v>
      </c>
      <c r="AE810" t="s">
        <v>120</v>
      </c>
      <c r="AF810" t="s">
        <v>1568</v>
      </c>
    </row>
    <row r="811" spans="1:32">
      <c r="A811" t="s">
        <v>1569</v>
      </c>
      <c r="B811" s="37">
        <v>40001</v>
      </c>
      <c r="C811" s="38">
        <v>40001</v>
      </c>
      <c r="D811" s="38">
        <v>40000</v>
      </c>
      <c r="E811" s="38">
        <v>39995</v>
      </c>
      <c r="F811" s="39">
        <v>96</v>
      </c>
      <c r="G811" t="s">
        <v>21</v>
      </c>
      <c r="H811" t="s">
        <v>21</v>
      </c>
      <c r="I811">
        <v>0</v>
      </c>
      <c r="J811">
        <v>0</v>
      </c>
      <c r="K811">
        <v>0</v>
      </c>
      <c r="L811">
        <v>1</v>
      </c>
      <c r="M811">
        <v>0</v>
      </c>
      <c r="N811" t="s">
        <v>193</v>
      </c>
      <c r="O811" t="s">
        <v>213</v>
      </c>
      <c r="P811" t="s">
        <v>204</v>
      </c>
      <c r="Q811" t="s">
        <v>170</v>
      </c>
      <c r="R811" t="s">
        <v>155</v>
      </c>
      <c r="T811" t="s">
        <v>134</v>
      </c>
      <c r="U811">
        <v>1</v>
      </c>
      <c r="V811">
        <v>5</v>
      </c>
      <c r="W811" t="s">
        <v>135</v>
      </c>
      <c r="X811">
        <v>0</v>
      </c>
      <c r="Y811" t="s">
        <v>140</v>
      </c>
      <c r="Z811" t="s">
        <v>181</v>
      </c>
      <c r="AA811" t="s">
        <v>142</v>
      </c>
      <c r="AB811" t="s">
        <v>162</v>
      </c>
      <c r="AC811" t="s">
        <v>175</v>
      </c>
      <c r="AD811" t="s">
        <v>155</v>
      </c>
      <c r="AE811" t="s">
        <v>129</v>
      </c>
      <c r="AF811" t="s">
        <v>21</v>
      </c>
    </row>
    <row r="812" spans="1:32">
      <c r="A812" t="s">
        <v>1570</v>
      </c>
      <c r="B812" s="37">
        <v>39946</v>
      </c>
      <c r="C812" s="38">
        <v>39946</v>
      </c>
      <c r="D812" s="38">
        <v>39944</v>
      </c>
      <c r="E812" s="38">
        <v>39934</v>
      </c>
      <c r="F812" s="39">
        <v>41</v>
      </c>
      <c r="G812" t="s">
        <v>21</v>
      </c>
      <c r="H812" t="s">
        <v>21</v>
      </c>
      <c r="I812">
        <v>0</v>
      </c>
      <c r="J812">
        <v>0</v>
      </c>
      <c r="K812">
        <v>0</v>
      </c>
      <c r="L812">
        <v>1</v>
      </c>
      <c r="M812">
        <v>0</v>
      </c>
      <c r="N812" t="s">
        <v>195</v>
      </c>
      <c r="O812" t="s">
        <v>213</v>
      </c>
      <c r="P812" t="s">
        <v>206</v>
      </c>
      <c r="Q812" t="s">
        <v>170</v>
      </c>
      <c r="R812" t="s">
        <v>155</v>
      </c>
      <c r="T812" t="s">
        <v>134</v>
      </c>
      <c r="U812">
        <v>1</v>
      </c>
      <c r="W812" t="s">
        <v>134</v>
      </c>
      <c r="X812">
        <v>1</v>
      </c>
      <c r="Y812" t="s">
        <v>139</v>
      </c>
      <c r="Z812" t="s">
        <v>188</v>
      </c>
      <c r="AA812" t="s">
        <v>142</v>
      </c>
      <c r="AB812" t="s">
        <v>162</v>
      </c>
      <c r="AC812" t="s">
        <v>567</v>
      </c>
      <c r="AD812" t="s">
        <v>155</v>
      </c>
      <c r="AE812" t="s">
        <v>130</v>
      </c>
      <c r="AF812" t="s">
        <v>21</v>
      </c>
    </row>
    <row r="813" spans="1:32">
      <c r="A813" t="s">
        <v>1571</v>
      </c>
      <c r="B813" s="37">
        <v>39966</v>
      </c>
      <c r="C813" s="38">
        <v>39966</v>
      </c>
      <c r="D813" s="38">
        <v>39965</v>
      </c>
      <c r="E813" s="38">
        <v>39965</v>
      </c>
      <c r="F813" s="39">
        <v>61</v>
      </c>
      <c r="G813" t="s">
        <v>9</v>
      </c>
      <c r="H813" t="s">
        <v>9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193</v>
      </c>
      <c r="O813" t="s">
        <v>213</v>
      </c>
      <c r="P813" t="s">
        <v>204</v>
      </c>
      <c r="Q813" t="s">
        <v>170</v>
      </c>
      <c r="R813" t="s">
        <v>155</v>
      </c>
      <c r="T813" t="s">
        <v>134</v>
      </c>
      <c r="U813">
        <v>1</v>
      </c>
      <c r="W813" t="s">
        <v>134</v>
      </c>
      <c r="X813">
        <v>1</v>
      </c>
      <c r="Y813" t="s">
        <v>140</v>
      </c>
      <c r="Z813" t="s">
        <v>179</v>
      </c>
      <c r="AA813" t="s">
        <v>142</v>
      </c>
      <c r="AB813" t="s">
        <v>162</v>
      </c>
      <c r="AC813" t="s">
        <v>1572</v>
      </c>
      <c r="AD813" t="s">
        <v>156</v>
      </c>
      <c r="AE813" t="s">
        <v>120</v>
      </c>
      <c r="AF813" t="s">
        <v>715</v>
      </c>
    </row>
    <row r="814" spans="1:32">
      <c r="A814" t="s">
        <v>1573</v>
      </c>
      <c r="B814" s="37">
        <v>39975</v>
      </c>
      <c r="C814" s="38">
        <v>39975</v>
      </c>
      <c r="D814" s="38">
        <v>39972</v>
      </c>
      <c r="E814" s="38">
        <v>39965</v>
      </c>
      <c r="F814" s="39">
        <v>70</v>
      </c>
      <c r="G814" t="s">
        <v>496</v>
      </c>
      <c r="H814" t="s">
        <v>13</v>
      </c>
      <c r="I814">
        <v>0</v>
      </c>
      <c r="J814">
        <v>1</v>
      </c>
      <c r="K814">
        <v>0</v>
      </c>
      <c r="L814">
        <v>0</v>
      </c>
      <c r="M814">
        <v>1</v>
      </c>
      <c r="N814" t="s">
        <v>193</v>
      </c>
      <c r="O814" t="s">
        <v>213</v>
      </c>
      <c r="P814" t="s">
        <v>204</v>
      </c>
      <c r="Q814" t="s">
        <v>170</v>
      </c>
      <c r="R814" t="s">
        <v>155</v>
      </c>
      <c r="T814" t="s">
        <v>134</v>
      </c>
      <c r="U814">
        <v>1</v>
      </c>
      <c r="W814" t="s">
        <v>134</v>
      </c>
      <c r="X814">
        <v>1</v>
      </c>
      <c r="Y814" t="s">
        <v>140</v>
      </c>
      <c r="Z814" t="s">
        <v>190</v>
      </c>
      <c r="AA814" t="s">
        <v>144</v>
      </c>
      <c r="AB814" t="s">
        <v>163</v>
      </c>
      <c r="AC814" t="s">
        <v>1574</v>
      </c>
      <c r="AD814" t="s">
        <v>155</v>
      </c>
      <c r="AE814" t="s">
        <v>670</v>
      </c>
      <c r="AF814" t="s">
        <v>21</v>
      </c>
    </row>
    <row r="815" spans="1:32">
      <c r="A815" t="s">
        <v>1575</v>
      </c>
      <c r="B815" s="37">
        <v>40023</v>
      </c>
      <c r="C815" s="38">
        <v>40023</v>
      </c>
      <c r="D815" s="38">
        <v>40021</v>
      </c>
      <c r="E815" s="38">
        <v>39995</v>
      </c>
      <c r="F815" s="39">
        <v>118</v>
      </c>
      <c r="G815" t="s">
        <v>21</v>
      </c>
      <c r="H815" t="s">
        <v>21</v>
      </c>
      <c r="I815">
        <v>0</v>
      </c>
      <c r="J815">
        <v>0</v>
      </c>
      <c r="K815">
        <v>0</v>
      </c>
      <c r="L815">
        <v>1</v>
      </c>
      <c r="M815">
        <v>0</v>
      </c>
      <c r="N815" t="s">
        <v>193</v>
      </c>
      <c r="O815" t="s">
        <v>213</v>
      </c>
      <c r="P815" t="s">
        <v>204</v>
      </c>
      <c r="Q815" t="s">
        <v>170</v>
      </c>
      <c r="R815" t="s">
        <v>155</v>
      </c>
      <c r="S815">
        <v>5</v>
      </c>
      <c r="T815" t="s">
        <v>135</v>
      </c>
      <c r="U815">
        <v>0</v>
      </c>
      <c r="V815">
        <v>2</v>
      </c>
      <c r="W815" t="s">
        <v>136</v>
      </c>
      <c r="X815">
        <v>0</v>
      </c>
      <c r="Y815" t="s">
        <v>140</v>
      </c>
      <c r="Z815" t="s">
        <v>181</v>
      </c>
      <c r="AA815" t="s">
        <v>145</v>
      </c>
      <c r="AB815" t="s">
        <v>162</v>
      </c>
      <c r="AC815" t="s">
        <v>397</v>
      </c>
      <c r="AD815" t="s">
        <v>155</v>
      </c>
      <c r="AE815" t="s">
        <v>129</v>
      </c>
      <c r="AF815" t="s">
        <v>21</v>
      </c>
    </row>
    <row r="816" spans="1:32">
      <c r="A816" t="s">
        <v>1576</v>
      </c>
      <c r="B816" s="37">
        <v>39926</v>
      </c>
      <c r="C816" s="38">
        <v>39926</v>
      </c>
      <c r="D816" s="38">
        <v>39923</v>
      </c>
      <c r="E816" s="38">
        <v>39904</v>
      </c>
      <c r="F816" s="39">
        <v>21</v>
      </c>
      <c r="G816" t="s">
        <v>21</v>
      </c>
      <c r="H816" t="s">
        <v>21</v>
      </c>
      <c r="I816">
        <v>0</v>
      </c>
      <c r="J816">
        <v>0</v>
      </c>
      <c r="K816">
        <v>0</v>
      </c>
      <c r="L816">
        <v>1</v>
      </c>
      <c r="M816">
        <v>0</v>
      </c>
      <c r="N816" t="s">
        <v>194</v>
      </c>
      <c r="O816" t="s">
        <v>213</v>
      </c>
      <c r="P816" t="s">
        <v>205</v>
      </c>
      <c r="Q816" t="s">
        <v>170</v>
      </c>
      <c r="R816" t="s">
        <v>155</v>
      </c>
      <c r="T816" t="s">
        <v>134</v>
      </c>
      <c r="U816">
        <v>1</v>
      </c>
      <c r="W816" t="s">
        <v>134</v>
      </c>
      <c r="X816">
        <v>1</v>
      </c>
      <c r="Y816" t="s">
        <v>139</v>
      </c>
      <c r="Z816" t="s">
        <v>180</v>
      </c>
      <c r="AA816" t="s">
        <v>151</v>
      </c>
      <c r="AB816" t="s">
        <v>162</v>
      </c>
      <c r="AC816" t="s">
        <v>174</v>
      </c>
      <c r="AD816" t="s">
        <v>156</v>
      </c>
      <c r="AE816" t="s">
        <v>120</v>
      </c>
      <c r="AF816" t="s">
        <v>676</v>
      </c>
    </row>
    <row r="817" spans="1:32">
      <c r="A817" t="s">
        <v>1577</v>
      </c>
      <c r="B817" s="37">
        <v>39945</v>
      </c>
      <c r="C817" s="38">
        <v>39945</v>
      </c>
      <c r="D817" s="38">
        <v>39944</v>
      </c>
      <c r="E817" s="38">
        <v>39934</v>
      </c>
      <c r="F817" s="39">
        <v>40</v>
      </c>
      <c r="G817" t="s">
        <v>380</v>
      </c>
      <c r="H817" t="s">
        <v>17</v>
      </c>
      <c r="I817">
        <v>0</v>
      </c>
      <c r="J817">
        <v>0</v>
      </c>
      <c r="K817">
        <v>1</v>
      </c>
      <c r="L817">
        <v>0</v>
      </c>
      <c r="M817">
        <v>0</v>
      </c>
      <c r="N817" t="s">
        <v>195</v>
      </c>
      <c r="O817" t="s">
        <v>213</v>
      </c>
      <c r="P817" t="s">
        <v>206</v>
      </c>
      <c r="Q817" t="s">
        <v>170</v>
      </c>
      <c r="R817" t="s">
        <v>155</v>
      </c>
      <c r="T817" t="s">
        <v>134</v>
      </c>
      <c r="U817">
        <v>1</v>
      </c>
      <c r="W817" t="s">
        <v>134</v>
      </c>
      <c r="X817">
        <v>1</v>
      </c>
      <c r="Y817" t="s">
        <v>139</v>
      </c>
      <c r="Z817" t="s">
        <v>181</v>
      </c>
      <c r="AA817" t="s">
        <v>142</v>
      </c>
      <c r="AB817" t="s">
        <v>162</v>
      </c>
      <c r="AC817" t="s">
        <v>174</v>
      </c>
      <c r="AD817" t="s">
        <v>156</v>
      </c>
      <c r="AE817" t="s">
        <v>120</v>
      </c>
      <c r="AF817" t="s">
        <v>676</v>
      </c>
    </row>
    <row r="818" spans="1:32">
      <c r="A818" t="s">
        <v>1578</v>
      </c>
      <c r="B818" s="37">
        <v>39991</v>
      </c>
      <c r="C818" s="38">
        <v>39991</v>
      </c>
      <c r="D818" s="38">
        <v>39986</v>
      </c>
      <c r="E818" s="38">
        <v>39965</v>
      </c>
      <c r="F818" s="39">
        <v>86</v>
      </c>
      <c r="G818" t="s">
        <v>383</v>
      </c>
      <c r="H818" t="s">
        <v>17</v>
      </c>
      <c r="I818">
        <v>0</v>
      </c>
      <c r="J818">
        <v>0</v>
      </c>
      <c r="K818">
        <v>1</v>
      </c>
      <c r="L818">
        <v>0</v>
      </c>
      <c r="M818">
        <v>0</v>
      </c>
      <c r="N818" t="s">
        <v>193</v>
      </c>
      <c r="O818" t="s">
        <v>213</v>
      </c>
      <c r="P818" t="s">
        <v>204</v>
      </c>
      <c r="Q818" t="s">
        <v>170</v>
      </c>
      <c r="R818" t="s">
        <v>155</v>
      </c>
      <c r="T818" t="s">
        <v>134</v>
      </c>
      <c r="U818">
        <v>1</v>
      </c>
      <c r="V818">
        <v>4</v>
      </c>
      <c r="W818" t="s">
        <v>137</v>
      </c>
      <c r="X818">
        <v>0</v>
      </c>
      <c r="Y818" t="s">
        <v>140</v>
      </c>
      <c r="Z818" t="s">
        <v>409</v>
      </c>
      <c r="AA818" t="s">
        <v>142</v>
      </c>
      <c r="AB818" t="s">
        <v>163</v>
      </c>
      <c r="AC818" t="s">
        <v>173</v>
      </c>
      <c r="AD818" t="s">
        <v>155</v>
      </c>
      <c r="AE818" t="s">
        <v>670</v>
      </c>
      <c r="AF818" t="s">
        <v>21</v>
      </c>
    </row>
    <row r="819" spans="1:32">
      <c r="A819" t="s">
        <v>1579</v>
      </c>
      <c r="B819" s="37">
        <v>39962</v>
      </c>
      <c r="C819" s="38">
        <v>39962</v>
      </c>
      <c r="D819" s="38">
        <v>39958</v>
      </c>
      <c r="E819" s="38">
        <v>39934</v>
      </c>
      <c r="F819" s="39">
        <v>57</v>
      </c>
      <c r="G819" t="s">
        <v>21</v>
      </c>
      <c r="H819" t="s">
        <v>21</v>
      </c>
      <c r="I819">
        <v>0</v>
      </c>
      <c r="J819">
        <v>0</v>
      </c>
      <c r="K819">
        <v>0</v>
      </c>
      <c r="L819">
        <v>1</v>
      </c>
      <c r="M819">
        <v>0</v>
      </c>
      <c r="N819" t="s">
        <v>193</v>
      </c>
      <c r="O819" t="s">
        <v>213</v>
      </c>
      <c r="P819" t="s">
        <v>204</v>
      </c>
      <c r="Q819" t="s">
        <v>170</v>
      </c>
      <c r="R819" t="s">
        <v>155</v>
      </c>
      <c r="T819" t="s">
        <v>134</v>
      </c>
      <c r="U819">
        <v>1</v>
      </c>
      <c r="W819" t="s">
        <v>134</v>
      </c>
      <c r="X819">
        <v>1</v>
      </c>
      <c r="Y819" t="s">
        <v>140</v>
      </c>
      <c r="Z819" t="s">
        <v>181</v>
      </c>
      <c r="AA819" t="s">
        <v>149</v>
      </c>
      <c r="AB819" t="s">
        <v>162</v>
      </c>
      <c r="AC819" t="s">
        <v>429</v>
      </c>
      <c r="AD819" t="s">
        <v>159</v>
      </c>
      <c r="AE819" t="s">
        <v>126</v>
      </c>
      <c r="AF819" t="s">
        <v>601</v>
      </c>
    </row>
    <row r="820" spans="1:32">
      <c r="A820" t="s">
        <v>1580</v>
      </c>
      <c r="B820" s="37">
        <v>39974</v>
      </c>
      <c r="C820" s="38">
        <v>39974</v>
      </c>
      <c r="D820" s="38">
        <v>39972</v>
      </c>
      <c r="E820" s="38">
        <v>39965</v>
      </c>
      <c r="F820" s="39">
        <v>69</v>
      </c>
      <c r="G820" t="s">
        <v>21</v>
      </c>
      <c r="H820" t="s">
        <v>21</v>
      </c>
      <c r="I820">
        <v>0</v>
      </c>
      <c r="J820">
        <v>0</v>
      </c>
      <c r="K820">
        <v>0</v>
      </c>
      <c r="L820">
        <v>1</v>
      </c>
      <c r="M820">
        <v>0</v>
      </c>
      <c r="N820" t="s">
        <v>195</v>
      </c>
      <c r="O820" t="s">
        <v>213</v>
      </c>
      <c r="P820" t="s">
        <v>206</v>
      </c>
      <c r="Q820" t="s">
        <v>170</v>
      </c>
      <c r="R820" t="s">
        <v>155</v>
      </c>
      <c r="T820" t="s">
        <v>134</v>
      </c>
      <c r="U820">
        <v>1</v>
      </c>
      <c r="W820" t="s">
        <v>134</v>
      </c>
      <c r="X820">
        <v>1</v>
      </c>
      <c r="Y820" t="s">
        <v>139</v>
      </c>
      <c r="Z820" t="s">
        <v>186</v>
      </c>
      <c r="AA820" t="s">
        <v>142</v>
      </c>
      <c r="AB820" t="s">
        <v>162</v>
      </c>
      <c r="AC820" t="s">
        <v>175</v>
      </c>
      <c r="AD820" t="s">
        <v>155</v>
      </c>
      <c r="AE820" t="s">
        <v>129</v>
      </c>
      <c r="AF820" t="s">
        <v>21</v>
      </c>
    </row>
    <row r="821" spans="1:32">
      <c r="A821" t="s">
        <v>1581</v>
      </c>
      <c r="B821" s="37">
        <v>39908</v>
      </c>
      <c r="C821" s="38">
        <v>39908</v>
      </c>
      <c r="D821" s="38">
        <v>39902</v>
      </c>
      <c r="E821" s="38">
        <v>39904</v>
      </c>
      <c r="F821" s="39">
        <v>3</v>
      </c>
      <c r="G821" t="s">
        <v>21</v>
      </c>
      <c r="H821" t="s">
        <v>21</v>
      </c>
      <c r="I821">
        <v>0</v>
      </c>
      <c r="J821">
        <v>0</v>
      </c>
      <c r="K821">
        <v>0</v>
      </c>
      <c r="L821">
        <v>1</v>
      </c>
      <c r="M821">
        <v>0</v>
      </c>
      <c r="N821" t="s">
        <v>194</v>
      </c>
      <c r="O821" t="s">
        <v>213</v>
      </c>
      <c r="P821" t="s">
        <v>205</v>
      </c>
      <c r="Q821" t="s">
        <v>170</v>
      </c>
      <c r="R821" t="s">
        <v>155</v>
      </c>
      <c r="T821" t="s">
        <v>134</v>
      </c>
      <c r="U821">
        <v>1</v>
      </c>
      <c r="W821" t="s">
        <v>134</v>
      </c>
      <c r="X821">
        <v>1</v>
      </c>
      <c r="Y821" t="s">
        <v>139</v>
      </c>
      <c r="Z821" t="s">
        <v>191</v>
      </c>
      <c r="AA821" t="s">
        <v>143</v>
      </c>
      <c r="AB821" t="s">
        <v>165</v>
      </c>
      <c r="AC821" t="s">
        <v>1582</v>
      </c>
      <c r="AD821" t="s">
        <v>158</v>
      </c>
      <c r="AE821" t="s">
        <v>122</v>
      </c>
      <c r="AF821" t="s">
        <v>21</v>
      </c>
    </row>
    <row r="822" spans="1:32">
      <c r="A822" t="s">
        <v>1583</v>
      </c>
      <c r="B822" s="37">
        <v>39993</v>
      </c>
      <c r="C822" s="38">
        <v>39993</v>
      </c>
      <c r="D822" s="38">
        <v>39993</v>
      </c>
      <c r="E822" s="38">
        <v>39965</v>
      </c>
      <c r="F822" s="39">
        <v>88</v>
      </c>
      <c r="G822" t="s">
        <v>21</v>
      </c>
      <c r="H822" t="s">
        <v>21</v>
      </c>
      <c r="I822">
        <v>0</v>
      </c>
      <c r="J822">
        <v>0</v>
      </c>
      <c r="K822">
        <v>0</v>
      </c>
      <c r="L822">
        <v>1</v>
      </c>
      <c r="M822">
        <v>0</v>
      </c>
      <c r="N822" t="s">
        <v>196</v>
      </c>
      <c r="O822" t="s">
        <v>213</v>
      </c>
      <c r="P822" t="s">
        <v>207</v>
      </c>
      <c r="Q822" t="s">
        <v>170</v>
      </c>
      <c r="R822" t="s">
        <v>155</v>
      </c>
      <c r="T822" t="s">
        <v>134</v>
      </c>
      <c r="U822">
        <v>1</v>
      </c>
      <c r="V822">
        <v>4</v>
      </c>
      <c r="W822" t="s">
        <v>137</v>
      </c>
      <c r="X822">
        <v>0</v>
      </c>
      <c r="Y822" t="s">
        <v>139</v>
      </c>
      <c r="Z822" t="s">
        <v>179</v>
      </c>
      <c r="AA822" t="s">
        <v>151</v>
      </c>
      <c r="AB822" t="s">
        <v>163</v>
      </c>
      <c r="AC822" t="s">
        <v>173</v>
      </c>
      <c r="AD822" t="s">
        <v>155</v>
      </c>
      <c r="AE822" t="s">
        <v>406</v>
      </c>
      <c r="AF822" t="s">
        <v>21</v>
      </c>
    </row>
    <row r="823" spans="1:32">
      <c r="A823" t="s">
        <v>1584</v>
      </c>
      <c r="B823" s="37">
        <v>39927</v>
      </c>
      <c r="C823" s="38">
        <v>39927</v>
      </c>
      <c r="D823" s="38">
        <v>39923</v>
      </c>
      <c r="E823" s="38">
        <v>39904</v>
      </c>
      <c r="F823" s="39">
        <v>22</v>
      </c>
      <c r="G823" t="s">
        <v>21</v>
      </c>
      <c r="H823" t="s">
        <v>21</v>
      </c>
      <c r="I823">
        <v>0</v>
      </c>
      <c r="J823">
        <v>0</v>
      </c>
      <c r="K823">
        <v>0</v>
      </c>
      <c r="L823">
        <v>1</v>
      </c>
      <c r="M823">
        <v>0</v>
      </c>
      <c r="N823" t="s">
        <v>201</v>
      </c>
      <c r="O823" t="s">
        <v>214</v>
      </c>
      <c r="P823" t="s">
        <v>204</v>
      </c>
      <c r="Q823" t="s">
        <v>170</v>
      </c>
      <c r="R823" t="s">
        <v>155</v>
      </c>
      <c r="T823" t="s">
        <v>134</v>
      </c>
      <c r="U823">
        <v>1</v>
      </c>
      <c r="W823" t="s">
        <v>134</v>
      </c>
      <c r="X823">
        <v>1</v>
      </c>
      <c r="Y823" t="s">
        <v>140</v>
      </c>
      <c r="Z823" t="s">
        <v>391</v>
      </c>
      <c r="AA823" t="s">
        <v>151</v>
      </c>
      <c r="AB823" t="s">
        <v>162</v>
      </c>
      <c r="AC823" t="s">
        <v>174</v>
      </c>
      <c r="AD823" t="s">
        <v>157</v>
      </c>
      <c r="AE823" t="s">
        <v>130</v>
      </c>
      <c r="AF823" t="s">
        <v>437</v>
      </c>
    </row>
    <row r="824" spans="1:32">
      <c r="A824" t="s">
        <v>1585</v>
      </c>
      <c r="B824" s="37">
        <v>39974</v>
      </c>
      <c r="C824" s="38">
        <v>39974</v>
      </c>
      <c r="D824" s="38">
        <v>39972</v>
      </c>
      <c r="E824" s="38">
        <v>39965</v>
      </c>
      <c r="F824" s="39">
        <v>69</v>
      </c>
      <c r="G824" t="s">
        <v>21</v>
      </c>
      <c r="H824" t="s">
        <v>21</v>
      </c>
      <c r="I824">
        <v>0</v>
      </c>
      <c r="J824">
        <v>0</v>
      </c>
      <c r="K824">
        <v>0</v>
      </c>
      <c r="L824">
        <v>1</v>
      </c>
      <c r="M824">
        <v>0</v>
      </c>
      <c r="N824" t="s">
        <v>193</v>
      </c>
      <c r="O824" t="s">
        <v>213</v>
      </c>
      <c r="P824" t="s">
        <v>204</v>
      </c>
      <c r="Q824" t="s">
        <v>170</v>
      </c>
      <c r="R824" t="s">
        <v>155</v>
      </c>
      <c r="T824" t="s">
        <v>134</v>
      </c>
      <c r="U824">
        <v>1</v>
      </c>
      <c r="W824" t="s">
        <v>134</v>
      </c>
      <c r="X824">
        <v>1</v>
      </c>
      <c r="Y824" t="s">
        <v>140</v>
      </c>
      <c r="Z824" t="s">
        <v>184</v>
      </c>
      <c r="AA824" t="s">
        <v>143</v>
      </c>
      <c r="AB824" t="s">
        <v>162</v>
      </c>
      <c r="AC824" t="s">
        <v>21</v>
      </c>
      <c r="AD824" t="s">
        <v>155</v>
      </c>
      <c r="AE824" t="s">
        <v>129</v>
      </c>
      <c r="AF824" t="s">
        <v>21</v>
      </c>
    </row>
    <row r="825" spans="1:32">
      <c r="A825" t="s">
        <v>1586</v>
      </c>
      <c r="B825" s="37">
        <v>39948</v>
      </c>
      <c r="C825" s="38">
        <v>39948</v>
      </c>
      <c r="D825" s="38">
        <v>39944</v>
      </c>
      <c r="E825" s="38">
        <v>39934</v>
      </c>
      <c r="F825" s="39">
        <v>43</v>
      </c>
      <c r="G825" t="s">
        <v>380</v>
      </c>
      <c r="H825" t="s">
        <v>17</v>
      </c>
      <c r="I825">
        <v>0</v>
      </c>
      <c r="J825">
        <v>0</v>
      </c>
      <c r="K825">
        <v>1</v>
      </c>
      <c r="L825">
        <v>0</v>
      </c>
      <c r="M825">
        <v>0</v>
      </c>
      <c r="N825" t="s">
        <v>195</v>
      </c>
      <c r="O825" t="s">
        <v>213</v>
      </c>
      <c r="P825" t="s">
        <v>206</v>
      </c>
      <c r="Q825" t="s">
        <v>170</v>
      </c>
      <c r="R825" t="s">
        <v>155</v>
      </c>
      <c r="T825" t="s">
        <v>134</v>
      </c>
      <c r="U825">
        <v>1</v>
      </c>
      <c r="W825" t="s">
        <v>134</v>
      </c>
      <c r="X825">
        <v>1</v>
      </c>
      <c r="Y825" t="s">
        <v>139</v>
      </c>
      <c r="Z825" t="s">
        <v>185</v>
      </c>
      <c r="AA825" t="s">
        <v>142</v>
      </c>
      <c r="AB825" t="s">
        <v>162</v>
      </c>
      <c r="AC825" t="s">
        <v>21</v>
      </c>
      <c r="AD825" t="s">
        <v>155</v>
      </c>
      <c r="AE825" t="s">
        <v>127</v>
      </c>
      <c r="AF825" t="s">
        <v>21</v>
      </c>
    </row>
    <row r="826" spans="1:32">
      <c r="A826" t="s">
        <v>1587</v>
      </c>
      <c r="B826" s="37">
        <v>39970</v>
      </c>
      <c r="C826" s="38">
        <v>39970</v>
      </c>
      <c r="D826" s="38">
        <v>39965</v>
      </c>
      <c r="E826" s="38">
        <v>39965</v>
      </c>
      <c r="F826" s="39">
        <v>65</v>
      </c>
      <c r="G826" t="s">
        <v>21</v>
      </c>
      <c r="H826" t="s">
        <v>21</v>
      </c>
      <c r="I826">
        <v>0</v>
      </c>
      <c r="J826">
        <v>0</v>
      </c>
      <c r="K826">
        <v>0</v>
      </c>
      <c r="L826">
        <v>1</v>
      </c>
      <c r="M826">
        <v>0</v>
      </c>
      <c r="N826" t="s">
        <v>195</v>
      </c>
      <c r="O826" t="s">
        <v>213</v>
      </c>
      <c r="P826" t="s">
        <v>206</v>
      </c>
      <c r="Q826" t="s">
        <v>170</v>
      </c>
      <c r="R826" t="s">
        <v>155</v>
      </c>
      <c r="T826" t="s">
        <v>134</v>
      </c>
      <c r="U826">
        <v>1</v>
      </c>
      <c r="W826" t="s">
        <v>134</v>
      </c>
      <c r="X826">
        <v>1</v>
      </c>
      <c r="Y826" t="s">
        <v>139</v>
      </c>
      <c r="Z826" t="s">
        <v>183</v>
      </c>
      <c r="AA826" t="s">
        <v>142</v>
      </c>
      <c r="AB826" t="s">
        <v>162</v>
      </c>
      <c r="AC826" t="s">
        <v>459</v>
      </c>
      <c r="AD826" t="s">
        <v>155</v>
      </c>
      <c r="AE826" t="s">
        <v>130</v>
      </c>
      <c r="AF826" t="s">
        <v>21</v>
      </c>
    </row>
    <row r="827" spans="1:32">
      <c r="A827" t="s">
        <v>1588</v>
      </c>
      <c r="B827" s="37">
        <v>40032</v>
      </c>
      <c r="C827" s="38">
        <v>40032</v>
      </c>
      <c r="D827" s="38">
        <v>40028</v>
      </c>
      <c r="E827" s="38">
        <v>40026</v>
      </c>
      <c r="F827" s="39">
        <v>127</v>
      </c>
      <c r="G827" t="s">
        <v>9</v>
      </c>
      <c r="H827" t="s">
        <v>9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193</v>
      </c>
      <c r="O827" t="s">
        <v>213</v>
      </c>
      <c r="P827" t="s">
        <v>204</v>
      </c>
      <c r="Q827" t="s">
        <v>170</v>
      </c>
      <c r="R827" t="s">
        <v>155</v>
      </c>
      <c r="S827">
        <v>5</v>
      </c>
      <c r="T827" t="s">
        <v>135</v>
      </c>
      <c r="U827">
        <v>0</v>
      </c>
      <c r="V827">
        <v>3</v>
      </c>
      <c r="W827" t="s">
        <v>137</v>
      </c>
      <c r="X827">
        <v>0</v>
      </c>
      <c r="Y827" t="s">
        <v>140</v>
      </c>
      <c r="Z827" t="s">
        <v>181</v>
      </c>
      <c r="AA827" t="s">
        <v>145</v>
      </c>
      <c r="AB827" t="s">
        <v>162</v>
      </c>
      <c r="AC827" t="s">
        <v>21</v>
      </c>
      <c r="AD827" t="s">
        <v>155</v>
      </c>
      <c r="AE827" t="s">
        <v>1302</v>
      </c>
      <c r="AF827" t="s">
        <v>21</v>
      </c>
    </row>
    <row r="828" spans="1:32">
      <c r="A828" t="s">
        <v>1589</v>
      </c>
      <c r="B828" s="37">
        <v>39987</v>
      </c>
      <c r="C828" s="38">
        <v>39987</v>
      </c>
      <c r="D828" s="38">
        <v>39986</v>
      </c>
      <c r="E828" s="38">
        <v>39965</v>
      </c>
      <c r="F828" s="39">
        <v>82</v>
      </c>
      <c r="G828" t="s">
        <v>9</v>
      </c>
      <c r="H828" t="s">
        <v>9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193</v>
      </c>
      <c r="O828" t="s">
        <v>213</v>
      </c>
      <c r="P828" t="s">
        <v>204</v>
      </c>
      <c r="Q828" t="s">
        <v>170</v>
      </c>
      <c r="R828" t="s">
        <v>155</v>
      </c>
      <c r="T828" t="s">
        <v>134</v>
      </c>
      <c r="U828">
        <v>1</v>
      </c>
      <c r="W828" t="s">
        <v>134</v>
      </c>
      <c r="X828">
        <v>1</v>
      </c>
      <c r="Y828" t="s">
        <v>140</v>
      </c>
      <c r="Z828" t="s">
        <v>178</v>
      </c>
      <c r="AA828" t="s">
        <v>144</v>
      </c>
      <c r="AB828" t="s">
        <v>163</v>
      </c>
      <c r="AC828" t="s">
        <v>173</v>
      </c>
      <c r="AD828" t="s">
        <v>1590</v>
      </c>
      <c r="AE828" t="s">
        <v>1591</v>
      </c>
      <c r="AF828" t="s">
        <v>21</v>
      </c>
    </row>
    <row r="829" spans="1:32">
      <c r="A829" t="s">
        <v>1592</v>
      </c>
      <c r="B829" s="37">
        <v>39968</v>
      </c>
      <c r="C829" s="38">
        <v>39968</v>
      </c>
      <c r="D829" s="38">
        <v>39965</v>
      </c>
      <c r="E829" s="38">
        <v>39965</v>
      </c>
      <c r="F829" s="39">
        <v>63</v>
      </c>
      <c r="G829" t="s">
        <v>21</v>
      </c>
      <c r="H829" t="s">
        <v>21</v>
      </c>
      <c r="I829">
        <v>0</v>
      </c>
      <c r="J829">
        <v>0</v>
      </c>
      <c r="K829">
        <v>0</v>
      </c>
      <c r="L829">
        <v>1</v>
      </c>
      <c r="M829">
        <v>0</v>
      </c>
      <c r="N829" t="s">
        <v>193</v>
      </c>
      <c r="O829" t="s">
        <v>213</v>
      </c>
      <c r="P829" t="s">
        <v>204</v>
      </c>
      <c r="Q829" t="s">
        <v>170</v>
      </c>
      <c r="R829" t="s">
        <v>155</v>
      </c>
      <c r="T829" t="s">
        <v>134</v>
      </c>
      <c r="U829">
        <v>1</v>
      </c>
      <c r="W829" t="s">
        <v>134</v>
      </c>
      <c r="X829">
        <v>1</v>
      </c>
      <c r="Y829" t="s">
        <v>140</v>
      </c>
      <c r="Z829" t="s">
        <v>179</v>
      </c>
      <c r="AA829" t="s">
        <v>144</v>
      </c>
      <c r="AB829" t="s">
        <v>165</v>
      </c>
      <c r="AC829" t="s">
        <v>589</v>
      </c>
      <c r="AD829" t="s">
        <v>158</v>
      </c>
      <c r="AE829" t="s">
        <v>122</v>
      </c>
      <c r="AF829" t="s">
        <v>21</v>
      </c>
    </row>
    <row r="830" spans="1:32">
      <c r="A830" t="s">
        <v>1593</v>
      </c>
      <c r="B830" s="37">
        <v>40021</v>
      </c>
      <c r="C830" s="38">
        <v>40021</v>
      </c>
      <c r="D830" s="38">
        <v>40021</v>
      </c>
      <c r="E830" s="38">
        <v>39995</v>
      </c>
      <c r="F830" s="39">
        <v>116</v>
      </c>
      <c r="G830" t="s">
        <v>496</v>
      </c>
      <c r="H830" t="s">
        <v>13</v>
      </c>
      <c r="I830">
        <v>0</v>
      </c>
      <c r="J830">
        <v>1</v>
      </c>
      <c r="K830">
        <v>0</v>
      </c>
      <c r="L830">
        <v>0</v>
      </c>
      <c r="M830">
        <v>1</v>
      </c>
      <c r="N830" t="s">
        <v>193</v>
      </c>
      <c r="O830" t="s">
        <v>213</v>
      </c>
      <c r="P830" t="s">
        <v>204</v>
      </c>
      <c r="Q830" t="s">
        <v>170</v>
      </c>
      <c r="R830" t="s">
        <v>155</v>
      </c>
      <c r="S830">
        <v>5</v>
      </c>
      <c r="T830" t="s">
        <v>135</v>
      </c>
      <c r="U830">
        <v>0</v>
      </c>
      <c r="V830">
        <v>5</v>
      </c>
      <c r="W830" t="s">
        <v>135</v>
      </c>
      <c r="X830">
        <v>0</v>
      </c>
      <c r="Y830" t="s">
        <v>140</v>
      </c>
      <c r="Z830" t="s">
        <v>178</v>
      </c>
      <c r="AA830" t="s">
        <v>142</v>
      </c>
      <c r="AB830" t="s">
        <v>163</v>
      </c>
      <c r="AC830" t="s">
        <v>415</v>
      </c>
      <c r="AD830" t="s">
        <v>155</v>
      </c>
      <c r="AE830" t="s">
        <v>125</v>
      </c>
      <c r="AF830" t="s">
        <v>21</v>
      </c>
    </row>
    <row r="831" spans="1:32">
      <c r="A831" t="s">
        <v>1594</v>
      </c>
      <c r="B831" s="37">
        <v>40037</v>
      </c>
      <c r="C831" s="38">
        <v>40037</v>
      </c>
      <c r="D831" s="38">
        <v>40035</v>
      </c>
      <c r="E831" s="38">
        <v>40026</v>
      </c>
      <c r="F831" s="39">
        <v>132</v>
      </c>
      <c r="G831" t="s">
        <v>21</v>
      </c>
      <c r="H831" t="s">
        <v>21</v>
      </c>
      <c r="I831">
        <v>0</v>
      </c>
      <c r="J831">
        <v>0</v>
      </c>
      <c r="K831">
        <v>0</v>
      </c>
      <c r="L831">
        <v>1</v>
      </c>
      <c r="M831">
        <v>0</v>
      </c>
      <c r="N831" t="s">
        <v>193</v>
      </c>
      <c r="O831" t="s">
        <v>213</v>
      </c>
      <c r="P831" t="s">
        <v>204</v>
      </c>
      <c r="Q831" t="s">
        <v>170</v>
      </c>
      <c r="R831" t="s">
        <v>155</v>
      </c>
      <c r="S831">
        <v>5</v>
      </c>
      <c r="T831" t="s">
        <v>135</v>
      </c>
      <c r="U831">
        <v>0</v>
      </c>
      <c r="V831">
        <v>3</v>
      </c>
      <c r="W831" t="s">
        <v>137</v>
      </c>
      <c r="X831">
        <v>0</v>
      </c>
      <c r="Y831" t="s">
        <v>140</v>
      </c>
      <c r="Z831" t="s">
        <v>179</v>
      </c>
      <c r="AA831" t="s">
        <v>146</v>
      </c>
      <c r="AB831" t="s">
        <v>162</v>
      </c>
      <c r="AC831" t="s">
        <v>175</v>
      </c>
      <c r="AD831" t="s">
        <v>155</v>
      </c>
      <c r="AE831" t="s">
        <v>129</v>
      </c>
      <c r="AF831" t="s">
        <v>21</v>
      </c>
    </row>
    <row r="832" spans="1:32">
      <c r="A832" t="s">
        <v>1595</v>
      </c>
      <c r="B832" s="37">
        <v>39995</v>
      </c>
      <c r="C832" s="38">
        <v>39995</v>
      </c>
      <c r="D832" s="38">
        <v>39993</v>
      </c>
      <c r="E832" s="38">
        <v>39995</v>
      </c>
      <c r="F832" s="39">
        <v>90</v>
      </c>
      <c r="G832" t="s">
        <v>383</v>
      </c>
      <c r="H832" t="s">
        <v>17</v>
      </c>
      <c r="I832">
        <v>0</v>
      </c>
      <c r="J832">
        <v>0</v>
      </c>
      <c r="K832">
        <v>1</v>
      </c>
      <c r="L832">
        <v>0</v>
      </c>
      <c r="M832">
        <v>0</v>
      </c>
      <c r="N832" t="s">
        <v>195</v>
      </c>
      <c r="O832" t="s">
        <v>213</v>
      </c>
      <c r="P832" t="s">
        <v>206</v>
      </c>
      <c r="Q832" t="s">
        <v>170</v>
      </c>
      <c r="R832" t="s">
        <v>155</v>
      </c>
      <c r="T832" t="s">
        <v>134</v>
      </c>
      <c r="U832">
        <v>1</v>
      </c>
      <c r="V832">
        <v>3</v>
      </c>
      <c r="W832" t="s">
        <v>137</v>
      </c>
      <c r="X832">
        <v>0</v>
      </c>
      <c r="Y832" t="s">
        <v>139</v>
      </c>
      <c r="Z832" t="s">
        <v>603</v>
      </c>
      <c r="AA832" t="s">
        <v>144</v>
      </c>
      <c r="AB832" t="s">
        <v>165</v>
      </c>
      <c r="AC832" t="s">
        <v>589</v>
      </c>
      <c r="AD832" t="s">
        <v>158</v>
      </c>
      <c r="AE832" t="s">
        <v>122</v>
      </c>
      <c r="AF832" t="s">
        <v>21</v>
      </c>
    </row>
    <row r="833" spans="1:32">
      <c r="A833" t="s">
        <v>1596</v>
      </c>
      <c r="B833" s="37">
        <v>39962</v>
      </c>
      <c r="C833" s="38">
        <v>39962</v>
      </c>
      <c r="D833" s="38">
        <v>39958</v>
      </c>
      <c r="E833" s="38">
        <v>39934</v>
      </c>
      <c r="F833" s="39">
        <v>57</v>
      </c>
      <c r="G833" t="s">
        <v>21</v>
      </c>
      <c r="H833" t="s">
        <v>21</v>
      </c>
      <c r="I833">
        <v>0</v>
      </c>
      <c r="J833">
        <v>0</v>
      </c>
      <c r="K833">
        <v>0</v>
      </c>
      <c r="L833">
        <v>1</v>
      </c>
      <c r="M833">
        <v>0</v>
      </c>
      <c r="N833" t="s">
        <v>195</v>
      </c>
      <c r="O833" t="s">
        <v>213</v>
      </c>
      <c r="P833" t="s">
        <v>206</v>
      </c>
      <c r="Q833" t="s">
        <v>170</v>
      </c>
      <c r="R833" t="s">
        <v>155</v>
      </c>
      <c r="T833" t="s">
        <v>134</v>
      </c>
      <c r="U833">
        <v>1</v>
      </c>
      <c r="W833" t="s">
        <v>134</v>
      </c>
      <c r="X833">
        <v>1</v>
      </c>
      <c r="Y833" t="s">
        <v>139</v>
      </c>
      <c r="Z833" t="s">
        <v>180</v>
      </c>
      <c r="AA833" t="s">
        <v>148</v>
      </c>
      <c r="AB833" t="s">
        <v>162</v>
      </c>
      <c r="AC833" t="s">
        <v>567</v>
      </c>
      <c r="AD833" t="s">
        <v>155</v>
      </c>
      <c r="AE833" t="s">
        <v>130</v>
      </c>
      <c r="AF833" t="s">
        <v>21</v>
      </c>
    </row>
    <row r="834" spans="1:32">
      <c r="A834" t="s">
        <v>1597</v>
      </c>
      <c r="B834" s="37">
        <v>40031</v>
      </c>
      <c r="C834" s="38">
        <v>40031</v>
      </c>
      <c r="D834" s="38">
        <v>40028</v>
      </c>
      <c r="E834" s="38">
        <v>40026</v>
      </c>
      <c r="F834" s="39">
        <v>126</v>
      </c>
      <c r="G834" t="s">
        <v>383</v>
      </c>
      <c r="H834" t="s">
        <v>17</v>
      </c>
      <c r="I834">
        <v>0</v>
      </c>
      <c r="J834">
        <v>0</v>
      </c>
      <c r="K834">
        <v>1</v>
      </c>
      <c r="L834">
        <v>0</v>
      </c>
      <c r="M834">
        <v>0</v>
      </c>
      <c r="N834" t="s">
        <v>193</v>
      </c>
      <c r="O834" t="s">
        <v>213</v>
      </c>
      <c r="P834" t="s">
        <v>204</v>
      </c>
      <c r="Q834" t="s">
        <v>170</v>
      </c>
      <c r="R834" t="s">
        <v>155</v>
      </c>
      <c r="S834">
        <v>5</v>
      </c>
      <c r="T834" t="s">
        <v>135</v>
      </c>
      <c r="U834">
        <v>0</v>
      </c>
      <c r="V834">
        <v>5</v>
      </c>
      <c r="W834" t="s">
        <v>135</v>
      </c>
      <c r="X834">
        <v>0</v>
      </c>
      <c r="Y834" t="s">
        <v>140</v>
      </c>
      <c r="Z834" t="s">
        <v>189</v>
      </c>
      <c r="AA834" t="s">
        <v>145</v>
      </c>
      <c r="AB834" t="s">
        <v>162</v>
      </c>
      <c r="AC834" t="s">
        <v>175</v>
      </c>
      <c r="AD834" t="s">
        <v>155</v>
      </c>
      <c r="AE834" t="s">
        <v>129</v>
      </c>
      <c r="AF834" t="s">
        <v>21</v>
      </c>
    </row>
    <row r="835" spans="1:32">
      <c r="A835" t="s">
        <v>1598</v>
      </c>
      <c r="B835" s="37">
        <v>39910</v>
      </c>
      <c r="C835" s="38">
        <v>39910</v>
      </c>
      <c r="D835" s="38">
        <v>39909</v>
      </c>
      <c r="E835" s="38">
        <v>39904</v>
      </c>
      <c r="F835" s="39">
        <v>5</v>
      </c>
      <c r="G835" t="s">
        <v>21</v>
      </c>
      <c r="H835" t="s">
        <v>21</v>
      </c>
      <c r="I835">
        <v>0</v>
      </c>
      <c r="J835">
        <v>0</v>
      </c>
      <c r="K835">
        <v>0</v>
      </c>
      <c r="L835">
        <v>1</v>
      </c>
      <c r="M835">
        <v>0</v>
      </c>
      <c r="N835" t="s">
        <v>199</v>
      </c>
      <c r="O835" t="s">
        <v>213</v>
      </c>
      <c r="P835" t="s">
        <v>210</v>
      </c>
      <c r="Q835" t="s">
        <v>170</v>
      </c>
      <c r="R835" t="s">
        <v>155</v>
      </c>
      <c r="T835" t="s">
        <v>134</v>
      </c>
      <c r="U835">
        <v>1</v>
      </c>
      <c r="W835" t="s">
        <v>134</v>
      </c>
      <c r="X835">
        <v>1</v>
      </c>
      <c r="Y835" t="s">
        <v>139</v>
      </c>
      <c r="Z835" t="s">
        <v>181</v>
      </c>
      <c r="AA835" t="s">
        <v>147</v>
      </c>
      <c r="AB835" t="s">
        <v>163</v>
      </c>
      <c r="AC835" t="s">
        <v>173</v>
      </c>
      <c r="AD835" t="s">
        <v>155</v>
      </c>
      <c r="AE835" t="s">
        <v>392</v>
      </c>
      <c r="AF835" t="s">
        <v>21</v>
      </c>
    </row>
    <row r="836" spans="1:32">
      <c r="A836" t="s">
        <v>1599</v>
      </c>
      <c r="B836" s="37">
        <v>40051</v>
      </c>
      <c r="C836" s="38">
        <v>40051</v>
      </c>
      <c r="D836" s="38">
        <v>40049</v>
      </c>
      <c r="E836" s="38">
        <v>40026</v>
      </c>
      <c r="F836" s="39">
        <v>146</v>
      </c>
      <c r="G836" t="s">
        <v>383</v>
      </c>
      <c r="H836" t="s">
        <v>17</v>
      </c>
      <c r="I836">
        <v>0</v>
      </c>
      <c r="J836">
        <v>0</v>
      </c>
      <c r="K836">
        <v>1</v>
      </c>
      <c r="L836">
        <v>0</v>
      </c>
      <c r="M836">
        <v>0</v>
      </c>
      <c r="N836" t="s">
        <v>195</v>
      </c>
      <c r="O836" t="s">
        <v>213</v>
      </c>
      <c r="P836" t="s">
        <v>206</v>
      </c>
      <c r="Q836" t="s">
        <v>170</v>
      </c>
      <c r="R836" t="s">
        <v>155</v>
      </c>
      <c r="S836">
        <v>5</v>
      </c>
      <c r="T836" t="s">
        <v>135</v>
      </c>
      <c r="U836">
        <v>0</v>
      </c>
      <c r="V836">
        <v>3</v>
      </c>
      <c r="W836" t="s">
        <v>137</v>
      </c>
      <c r="X836">
        <v>0</v>
      </c>
      <c r="Y836" t="s">
        <v>139</v>
      </c>
      <c r="Z836" t="s">
        <v>181</v>
      </c>
      <c r="AA836" t="s">
        <v>142</v>
      </c>
      <c r="AB836" t="s">
        <v>163</v>
      </c>
      <c r="AC836" t="s">
        <v>173</v>
      </c>
      <c r="AD836" t="s">
        <v>155</v>
      </c>
      <c r="AE836" t="s">
        <v>510</v>
      </c>
      <c r="AF836" t="s">
        <v>21</v>
      </c>
    </row>
    <row r="837" spans="1:32">
      <c r="A837" t="s">
        <v>1600</v>
      </c>
      <c r="B837" s="37">
        <v>40041</v>
      </c>
      <c r="C837" s="38">
        <v>40041</v>
      </c>
      <c r="D837" s="38">
        <v>40035</v>
      </c>
      <c r="E837" s="38">
        <v>40026</v>
      </c>
      <c r="F837" s="39">
        <v>136</v>
      </c>
      <c r="G837" t="s">
        <v>21</v>
      </c>
      <c r="H837" t="s">
        <v>21</v>
      </c>
      <c r="I837">
        <v>0</v>
      </c>
      <c r="J837">
        <v>0</v>
      </c>
      <c r="K837">
        <v>0</v>
      </c>
      <c r="L837">
        <v>1</v>
      </c>
      <c r="M837">
        <v>0</v>
      </c>
      <c r="N837" t="s">
        <v>195</v>
      </c>
      <c r="O837" t="s">
        <v>213</v>
      </c>
      <c r="P837" t="s">
        <v>206</v>
      </c>
      <c r="Q837" t="s">
        <v>170</v>
      </c>
      <c r="R837" t="s">
        <v>155</v>
      </c>
      <c r="S837">
        <v>5</v>
      </c>
      <c r="T837" t="s">
        <v>135</v>
      </c>
      <c r="U837">
        <v>0</v>
      </c>
      <c r="V837">
        <v>3</v>
      </c>
      <c r="W837" t="s">
        <v>137</v>
      </c>
      <c r="X837">
        <v>0</v>
      </c>
      <c r="Y837" t="s">
        <v>139</v>
      </c>
      <c r="Z837" t="s">
        <v>181</v>
      </c>
      <c r="AA837" t="s">
        <v>145</v>
      </c>
      <c r="AB837" t="s">
        <v>162</v>
      </c>
      <c r="AC837" t="s">
        <v>175</v>
      </c>
      <c r="AD837" t="s">
        <v>155</v>
      </c>
      <c r="AE837" t="s">
        <v>129</v>
      </c>
      <c r="AF837" t="s">
        <v>21</v>
      </c>
    </row>
    <row r="838" spans="1:32">
      <c r="A838" t="s">
        <v>1601</v>
      </c>
      <c r="B838" s="37">
        <v>39913</v>
      </c>
      <c r="C838" s="38">
        <v>39913</v>
      </c>
      <c r="D838" s="38">
        <v>39909</v>
      </c>
      <c r="E838" s="38">
        <v>39904</v>
      </c>
      <c r="F838" s="39">
        <v>8</v>
      </c>
      <c r="G838" t="s">
        <v>21</v>
      </c>
      <c r="H838" t="s">
        <v>21</v>
      </c>
      <c r="I838">
        <v>0</v>
      </c>
      <c r="J838">
        <v>0</v>
      </c>
      <c r="K838">
        <v>0</v>
      </c>
      <c r="L838">
        <v>1</v>
      </c>
      <c r="M838">
        <v>0</v>
      </c>
      <c r="N838" t="s">
        <v>198</v>
      </c>
      <c r="O838" t="s">
        <v>213</v>
      </c>
      <c r="P838" t="s">
        <v>208</v>
      </c>
      <c r="Q838" t="s">
        <v>170</v>
      </c>
      <c r="R838" t="s">
        <v>155</v>
      </c>
      <c r="T838" t="s">
        <v>134</v>
      </c>
      <c r="U838">
        <v>1</v>
      </c>
      <c r="W838" t="s">
        <v>134</v>
      </c>
      <c r="X838">
        <v>1</v>
      </c>
      <c r="Y838" t="s">
        <v>139</v>
      </c>
      <c r="Z838" t="s">
        <v>181</v>
      </c>
      <c r="AA838" t="s">
        <v>148</v>
      </c>
      <c r="AB838" t="s">
        <v>162</v>
      </c>
      <c r="AC838" t="s">
        <v>175</v>
      </c>
      <c r="AD838" t="s">
        <v>155</v>
      </c>
      <c r="AE838" t="s">
        <v>130</v>
      </c>
      <c r="AF838" t="s">
        <v>21</v>
      </c>
    </row>
    <row r="839" spans="1:32">
      <c r="A839" t="s">
        <v>1602</v>
      </c>
      <c r="B839" s="37">
        <v>40057</v>
      </c>
      <c r="C839" s="38">
        <v>40057</v>
      </c>
      <c r="D839" s="38">
        <v>40056</v>
      </c>
      <c r="E839" s="38">
        <v>40057</v>
      </c>
      <c r="F839" s="39">
        <v>152</v>
      </c>
      <c r="G839" t="s">
        <v>21</v>
      </c>
      <c r="H839" t="s">
        <v>21</v>
      </c>
      <c r="I839">
        <v>0</v>
      </c>
      <c r="J839">
        <v>0</v>
      </c>
      <c r="K839">
        <v>0</v>
      </c>
      <c r="L839">
        <v>1</v>
      </c>
      <c r="M839">
        <v>0</v>
      </c>
      <c r="N839" t="s">
        <v>195</v>
      </c>
      <c r="O839" t="s">
        <v>213</v>
      </c>
      <c r="P839" t="s">
        <v>206</v>
      </c>
      <c r="Q839" t="s">
        <v>170</v>
      </c>
      <c r="R839" t="s">
        <v>155</v>
      </c>
      <c r="S839">
        <v>5</v>
      </c>
      <c r="T839" t="s">
        <v>135</v>
      </c>
      <c r="U839">
        <v>0</v>
      </c>
      <c r="V839">
        <v>5</v>
      </c>
      <c r="W839" t="s">
        <v>135</v>
      </c>
      <c r="X839">
        <v>0</v>
      </c>
      <c r="Y839" t="s">
        <v>139</v>
      </c>
      <c r="Z839" t="s">
        <v>181</v>
      </c>
      <c r="AA839" t="s">
        <v>146</v>
      </c>
      <c r="AB839" t="s">
        <v>162</v>
      </c>
      <c r="AC839" t="s">
        <v>175</v>
      </c>
      <c r="AD839" t="s">
        <v>125</v>
      </c>
      <c r="AE839" t="s">
        <v>670</v>
      </c>
      <c r="AF839" t="s">
        <v>671</v>
      </c>
    </row>
    <row r="840" spans="1:32">
      <c r="A840" t="s">
        <v>1603</v>
      </c>
      <c r="B840" s="37">
        <v>39981</v>
      </c>
      <c r="C840" s="38">
        <v>39981</v>
      </c>
      <c r="D840" s="38">
        <v>39979</v>
      </c>
      <c r="E840" s="38">
        <v>39965</v>
      </c>
      <c r="F840" s="39">
        <v>76</v>
      </c>
      <c r="G840" t="s">
        <v>383</v>
      </c>
      <c r="H840" t="s">
        <v>17</v>
      </c>
      <c r="I840">
        <v>0</v>
      </c>
      <c r="J840">
        <v>0</v>
      </c>
      <c r="K840">
        <v>1</v>
      </c>
      <c r="L840">
        <v>0</v>
      </c>
      <c r="M840">
        <v>0</v>
      </c>
      <c r="N840" t="s">
        <v>194</v>
      </c>
      <c r="O840" t="s">
        <v>213</v>
      </c>
      <c r="P840" t="s">
        <v>205</v>
      </c>
      <c r="Q840" t="s">
        <v>170</v>
      </c>
      <c r="R840" t="s">
        <v>155</v>
      </c>
      <c r="T840" t="s">
        <v>134</v>
      </c>
      <c r="U840">
        <v>1</v>
      </c>
      <c r="W840" t="s">
        <v>134</v>
      </c>
      <c r="X840">
        <v>1</v>
      </c>
      <c r="Y840" t="s">
        <v>139</v>
      </c>
      <c r="Z840" t="s">
        <v>181</v>
      </c>
      <c r="AA840" t="s">
        <v>142</v>
      </c>
      <c r="AB840" t="s">
        <v>163</v>
      </c>
      <c r="AC840" t="s">
        <v>173</v>
      </c>
      <c r="AD840" t="s">
        <v>155</v>
      </c>
      <c r="AE840" t="s">
        <v>130</v>
      </c>
      <c r="AF840" t="s">
        <v>21</v>
      </c>
    </row>
    <row r="841" spans="1:32">
      <c r="A841" t="s">
        <v>1604</v>
      </c>
      <c r="B841" s="37">
        <v>39976</v>
      </c>
      <c r="C841" s="38">
        <v>39976</v>
      </c>
      <c r="D841" s="38">
        <v>39972</v>
      </c>
      <c r="E841" s="38">
        <v>39965</v>
      </c>
      <c r="F841" s="39">
        <v>71</v>
      </c>
      <c r="G841" t="s">
        <v>21</v>
      </c>
      <c r="H841" t="s">
        <v>21</v>
      </c>
      <c r="I841">
        <v>0</v>
      </c>
      <c r="J841">
        <v>0</v>
      </c>
      <c r="K841">
        <v>0</v>
      </c>
      <c r="L841">
        <v>1</v>
      </c>
      <c r="M841">
        <v>0</v>
      </c>
      <c r="N841" t="s">
        <v>193</v>
      </c>
      <c r="O841" t="s">
        <v>213</v>
      </c>
      <c r="P841" t="s">
        <v>204</v>
      </c>
      <c r="Q841" t="s">
        <v>170</v>
      </c>
      <c r="R841" t="s">
        <v>155</v>
      </c>
      <c r="T841" t="s">
        <v>134</v>
      </c>
      <c r="U841">
        <v>1</v>
      </c>
      <c r="W841" t="s">
        <v>134</v>
      </c>
      <c r="X841">
        <v>1</v>
      </c>
      <c r="Y841" t="s">
        <v>140</v>
      </c>
      <c r="Z841" t="s">
        <v>181</v>
      </c>
      <c r="AA841" t="s">
        <v>148</v>
      </c>
      <c r="AB841" t="s">
        <v>162</v>
      </c>
      <c r="AC841" t="s">
        <v>174</v>
      </c>
      <c r="AD841" t="s">
        <v>156</v>
      </c>
      <c r="AE841" t="s">
        <v>120</v>
      </c>
      <c r="AF841" t="s">
        <v>1605</v>
      </c>
    </row>
    <row r="842" spans="1:32">
      <c r="A842" t="s">
        <v>1606</v>
      </c>
      <c r="B842" s="37">
        <v>40063</v>
      </c>
      <c r="C842" s="38">
        <v>40063</v>
      </c>
      <c r="D842" s="38">
        <v>40063</v>
      </c>
      <c r="E842" s="38">
        <v>40057</v>
      </c>
      <c r="F842" s="39">
        <v>158</v>
      </c>
      <c r="G842" t="s">
        <v>496</v>
      </c>
      <c r="H842" t="s">
        <v>13</v>
      </c>
      <c r="I842">
        <v>0</v>
      </c>
      <c r="J842">
        <v>1</v>
      </c>
      <c r="K842">
        <v>0</v>
      </c>
      <c r="L842">
        <v>0</v>
      </c>
      <c r="M842">
        <v>1</v>
      </c>
      <c r="N842" t="s">
        <v>193</v>
      </c>
      <c r="O842" t="s">
        <v>213</v>
      </c>
      <c r="P842" t="s">
        <v>204</v>
      </c>
      <c r="Q842" t="s">
        <v>170</v>
      </c>
      <c r="R842" t="s">
        <v>155</v>
      </c>
      <c r="S842">
        <v>1</v>
      </c>
      <c r="T842" t="s">
        <v>136</v>
      </c>
      <c r="U842">
        <v>0</v>
      </c>
      <c r="V842">
        <v>5</v>
      </c>
      <c r="W842" t="s">
        <v>135</v>
      </c>
      <c r="X842">
        <v>0</v>
      </c>
      <c r="Y842" t="s">
        <v>140</v>
      </c>
      <c r="Z842" t="s">
        <v>181</v>
      </c>
      <c r="AA842" t="s">
        <v>144</v>
      </c>
      <c r="AB842" t="s">
        <v>162</v>
      </c>
      <c r="AC842" t="s">
        <v>1607</v>
      </c>
      <c r="AD842" t="s">
        <v>157</v>
      </c>
      <c r="AE842" t="s">
        <v>127</v>
      </c>
      <c r="AF842" t="s">
        <v>153</v>
      </c>
    </row>
    <row r="843" spans="1:32">
      <c r="A843" t="s">
        <v>1608</v>
      </c>
      <c r="B843" s="37">
        <v>40019</v>
      </c>
      <c r="C843" s="38">
        <v>40019</v>
      </c>
      <c r="D843" s="38">
        <v>40014</v>
      </c>
      <c r="E843" s="38">
        <v>39995</v>
      </c>
      <c r="F843" s="39">
        <v>114</v>
      </c>
      <c r="G843" t="s">
        <v>9</v>
      </c>
      <c r="H843" t="s">
        <v>9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193</v>
      </c>
      <c r="O843" t="s">
        <v>213</v>
      </c>
      <c r="P843" t="s">
        <v>204</v>
      </c>
      <c r="Q843" t="s">
        <v>170</v>
      </c>
      <c r="R843" t="s">
        <v>155</v>
      </c>
      <c r="S843">
        <v>5</v>
      </c>
      <c r="T843" t="s">
        <v>135</v>
      </c>
      <c r="U843">
        <v>0</v>
      </c>
      <c r="V843">
        <v>3</v>
      </c>
      <c r="W843" t="s">
        <v>137</v>
      </c>
      <c r="X843">
        <v>0</v>
      </c>
      <c r="Y843" t="s">
        <v>140</v>
      </c>
      <c r="Z843" t="s">
        <v>181</v>
      </c>
      <c r="AA843" t="s">
        <v>146</v>
      </c>
      <c r="AB843" t="s">
        <v>162</v>
      </c>
      <c r="AC843" t="s">
        <v>1609</v>
      </c>
      <c r="AD843" t="s">
        <v>157</v>
      </c>
      <c r="AE843" t="s">
        <v>830</v>
      </c>
      <c r="AF843" t="s">
        <v>1610</v>
      </c>
    </row>
    <row r="844" spans="1:32">
      <c r="A844" t="s">
        <v>1611</v>
      </c>
      <c r="B844" s="37">
        <v>39982</v>
      </c>
      <c r="C844" s="38">
        <v>39982</v>
      </c>
      <c r="D844" s="38">
        <v>39979</v>
      </c>
      <c r="E844" s="38">
        <v>39965</v>
      </c>
      <c r="F844" s="39">
        <v>77</v>
      </c>
      <c r="G844" t="s">
        <v>21</v>
      </c>
      <c r="H844" t="s">
        <v>21</v>
      </c>
      <c r="I844">
        <v>0</v>
      </c>
      <c r="J844">
        <v>0</v>
      </c>
      <c r="K844">
        <v>0</v>
      </c>
      <c r="L844">
        <v>1</v>
      </c>
      <c r="M844">
        <v>0</v>
      </c>
      <c r="N844" t="s">
        <v>193</v>
      </c>
      <c r="O844" t="s">
        <v>213</v>
      </c>
      <c r="P844" t="s">
        <v>204</v>
      </c>
      <c r="Q844" t="s">
        <v>170</v>
      </c>
      <c r="R844" t="s">
        <v>155</v>
      </c>
      <c r="T844" t="s">
        <v>134</v>
      </c>
      <c r="U844">
        <v>1</v>
      </c>
      <c r="W844" t="s">
        <v>134</v>
      </c>
      <c r="X844">
        <v>1</v>
      </c>
      <c r="Y844" t="s">
        <v>140</v>
      </c>
      <c r="Z844" t="s">
        <v>181</v>
      </c>
      <c r="AA844" t="s">
        <v>144</v>
      </c>
      <c r="AB844" t="s">
        <v>163</v>
      </c>
      <c r="AC844" t="s">
        <v>173</v>
      </c>
      <c r="AD844" t="s">
        <v>155</v>
      </c>
      <c r="AE844" t="s">
        <v>454</v>
      </c>
      <c r="AF844" t="s">
        <v>21</v>
      </c>
    </row>
    <row r="845" spans="1:32">
      <c r="A845" t="s">
        <v>1612</v>
      </c>
      <c r="B845" s="37">
        <v>39945</v>
      </c>
      <c r="C845" s="38">
        <v>39945</v>
      </c>
      <c r="D845" s="38">
        <v>39944</v>
      </c>
      <c r="E845" s="38">
        <v>39934</v>
      </c>
      <c r="F845" s="39">
        <v>40</v>
      </c>
      <c r="G845" t="s">
        <v>21</v>
      </c>
      <c r="H845" t="s">
        <v>21</v>
      </c>
      <c r="I845">
        <v>0</v>
      </c>
      <c r="J845">
        <v>0</v>
      </c>
      <c r="K845">
        <v>0</v>
      </c>
      <c r="L845">
        <v>1</v>
      </c>
      <c r="M845">
        <v>0</v>
      </c>
      <c r="N845" t="s">
        <v>193</v>
      </c>
      <c r="O845" t="s">
        <v>213</v>
      </c>
      <c r="P845" t="s">
        <v>204</v>
      </c>
      <c r="Q845" t="s">
        <v>170</v>
      </c>
      <c r="R845" t="s">
        <v>155</v>
      </c>
      <c r="T845" t="s">
        <v>134</v>
      </c>
      <c r="U845">
        <v>1</v>
      </c>
      <c r="W845" t="s">
        <v>134</v>
      </c>
      <c r="X845">
        <v>1</v>
      </c>
      <c r="Y845" t="s">
        <v>140</v>
      </c>
      <c r="Z845" t="s">
        <v>187</v>
      </c>
      <c r="AA845" t="s">
        <v>142</v>
      </c>
      <c r="AB845" t="s">
        <v>162</v>
      </c>
      <c r="AC845" t="s">
        <v>174</v>
      </c>
      <c r="AD845" t="s">
        <v>156</v>
      </c>
      <c r="AE845" t="s">
        <v>120</v>
      </c>
      <c r="AF845" t="s">
        <v>1613</v>
      </c>
    </row>
    <row r="846" spans="1:32">
      <c r="A846" t="s">
        <v>1614</v>
      </c>
      <c r="B846" s="37">
        <v>40022</v>
      </c>
      <c r="C846" s="38">
        <v>40022</v>
      </c>
      <c r="D846" s="38">
        <v>40021</v>
      </c>
      <c r="E846" s="38">
        <v>39995</v>
      </c>
      <c r="F846" s="39">
        <v>117</v>
      </c>
      <c r="G846" t="s">
        <v>525</v>
      </c>
      <c r="H846" t="s">
        <v>17</v>
      </c>
      <c r="I846">
        <v>0</v>
      </c>
      <c r="J846">
        <v>0</v>
      </c>
      <c r="K846">
        <v>1</v>
      </c>
      <c r="L846">
        <v>0</v>
      </c>
      <c r="M846">
        <v>0</v>
      </c>
      <c r="N846" t="s">
        <v>195</v>
      </c>
      <c r="O846" t="s">
        <v>213</v>
      </c>
      <c r="P846" t="s">
        <v>206</v>
      </c>
      <c r="Q846" t="s">
        <v>170</v>
      </c>
      <c r="R846" t="s">
        <v>155</v>
      </c>
      <c r="S846">
        <v>4</v>
      </c>
      <c r="T846" t="s">
        <v>137</v>
      </c>
      <c r="U846">
        <v>0</v>
      </c>
      <c r="V846">
        <v>5</v>
      </c>
      <c r="W846" t="s">
        <v>135</v>
      </c>
      <c r="X846">
        <v>0</v>
      </c>
      <c r="Y846" t="s">
        <v>139</v>
      </c>
      <c r="Z846" t="s">
        <v>187</v>
      </c>
      <c r="AA846" t="s">
        <v>144</v>
      </c>
      <c r="AB846" t="s">
        <v>163</v>
      </c>
      <c r="AC846" t="s">
        <v>1615</v>
      </c>
      <c r="AD846" t="s">
        <v>155</v>
      </c>
      <c r="AE846" t="s">
        <v>387</v>
      </c>
      <c r="AF846" t="s">
        <v>21</v>
      </c>
    </row>
    <row r="847" spans="1:32">
      <c r="A847" t="s">
        <v>1616</v>
      </c>
      <c r="B847" s="37">
        <v>39930</v>
      </c>
      <c r="C847" s="38">
        <v>39930</v>
      </c>
      <c r="D847" s="38">
        <v>39930</v>
      </c>
      <c r="E847" s="38">
        <v>39904</v>
      </c>
      <c r="F847" s="39">
        <v>25</v>
      </c>
      <c r="G847" t="s">
        <v>380</v>
      </c>
      <c r="H847" t="s">
        <v>17</v>
      </c>
      <c r="I847">
        <v>0</v>
      </c>
      <c r="J847">
        <v>0</v>
      </c>
      <c r="K847">
        <v>1</v>
      </c>
      <c r="L847">
        <v>0</v>
      </c>
      <c r="M847">
        <v>0</v>
      </c>
      <c r="N847" t="s">
        <v>201</v>
      </c>
      <c r="O847" t="s">
        <v>214</v>
      </c>
      <c r="P847" t="s">
        <v>204</v>
      </c>
      <c r="Q847" t="s">
        <v>170</v>
      </c>
      <c r="R847" t="s">
        <v>155</v>
      </c>
      <c r="T847" t="s">
        <v>134</v>
      </c>
      <c r="U847">
        <v>1</v>
      </c>
      <c r="W847" t="s">
        <v>134</v>
      </c>
      <c r="X847">
        <v>1</v>
      </c>
      <c r="Y847" t="s">
        <v>140</v>
      </c>
      <c r="Z847" t="s">
        <v>181</v>
      </c>
      <c r="AA847" t="s">
        <v>142</v>
      </c>
      <c r="AB847" t="s">
        <v>162</v>
      </c>
      <c r="AC847" t="s">
        <v>174</v>
      </c>
      <c r="AD847" t="s">
        <v>160</v>
      </c>
      <c r="AE847" t="s">
        <v>484</v>
      </c>
      <c r="AF847" t="s">
        <v>924</v>
      </c>
    </row>
    <row r="848" spans="1:32">
      <c r="A848" t="s">
        <v>1617</v>
      </c>
      <c r="B848" s="37">
        <v>39951</v>
      </c>
      <c r="C848" s="38">
        <v>39951</v>
      </c>
      <c r="D848" s="38">
        <v>39951</v>
      </c>
      <c r="E848" s="38">
        <v>39934</v>
      </c>
      <c r="F848" s="39">
        <v>46</v>
      </c>
      <c r="G848" t="s">
        <v>21</v>
      </c>
      <c r="H848" t="s">
        <v>21</v>
      </c>
      <c r="I848">
        <v>0</v>
      </c>
      <c r="J848">
        <v>0</v>
      </c>
      <c r="K848">
        <v>0</v>
      </c>
      <c r="L848">
        <v>1</v>
      </c>
      <c r="M848">
        <v>0</v>
      </c>
      <c r="N848" t="s">
        <v>195</v>
      </c>
      <c r="O848" t="s">
        <v>213</v>
      </c>
      <c r="P848" t="s">
        <v>206</v>
      </c>
      <c r="Q848" t="s">
        <v>170</v>
      </c>
      <c r="R848" t="s">
        <v>155</v>
      </c>
      <c r="T848" t="s">
        <v>134</v>
      </c>
      <c r="U848">
        <v>1</v>
      </c>
      <c r="W848" t="s">
        <v>134</v>
      </c>
      <c r="X848">
        <v>1</v>
      </c>
      <c r="Y848" t="s">
        <v>139</v>
      </c>
      <c r="Z848" t="s">
        <v>181</v>
      </c>
      <c r="AA848" t="s">
        <v>148</v>
      </c>
      <c r="AB848" t="s">
        <v>165</v>
      </c>
      <c r="AC848" t="s">
        <v>1618</v>
      </c>
      <c r="AD848" t="s">
        <v>158</v>
      </c>
      <c r="AE848" t="s">
        <v>122</v>
      </c>
      <c r="AF848" t="s">
        <v>21</v>
      </c>
    </row>
    <row r="849" spans="1:32">
      <c r="A849" t="s">
        <v>1619</v>
      </c>
      <c r="B849" s="37">
        <v>39973</v>
      </c>
      <c r="C849" s="38">
        <v>39973</v>
      </c>
      <c r="D849" s="38">
        <v>39972</v>
      </c>
      <c r="E849" s="38">
        <v>39965</v>
      </c>
      <c r="F849" s="39">
        <v>68</v>
      </c>
      <c r="G849" t="s">
        <v>380</v>
      </c>
      <c r="H849" t="s">
        <v>17</v>
      </c>
      <c r="I849">
        <v>0</v>
      </c>
      <c r="J849">
        <v>0</v>
      </c>
      <c r="K849">
        <v>1</v>
      </c>
      <c r="L849">
        <v>0</v>
      </c>
      <c r="M849">
        <v>0</v>
      </c>
      <c r="N849" t="s">
        <v>195</v>
      </c>
      <c r="O849" t="s">
        <v>213</v>
      </c>
      <c r="P849" t="s">
        <v>206</v>
      </c>
      <c r="Q849" t="s">
        <v>170</v>
      </c>
      <c r="R849" t="s">
        <v>155</v>
      </c>
      <c r="T849" t="s">
        <v>134</v>
      </c>
      <c r="U849">
        <v>1</v>
      </c>
      <c r="W849" t="s">
        <v>134</v>
      </c>
      <c r="X849">
        <v>1</v>
      </c>
      <c r="Y849" t="s">
        <v>139</v>
      </c>
      <c r="Z849" t="s">
        <v>182</v>
      </c>
      <c r="AA849" t="s">
        <v>142</v>
      </c>
      <c r="AB849" t="s">
        <v>163</v>
      </c>
      <c r="AC849" t="s">
        <v>21</v>
      </c>
      <c r="AD849" t="s">
        <v>155</v>
      </c>
      <c r="AE849" t="s">
        <v>387</v>
      </c>
      <c r="AF849" t="s">
        <v>21</v>
      </c>
    </row>
    <row r="850" spans="1:32">
      <c r="A850" t="s">
        <v>1620</v>
      </c>
      <c r="B850" s="37">
        <v>39994</v>
      </c>
      <c r="C850" s="38">
        <v>39994</v>
      </c>
      <c r="D850" s="38">
        <v>39993</v>
      </c>
      <c r="E850" s="38">
        <v>39965</v>
      </c>
      <c r="F850" s="39">
        <v>89</v>
      </c>
      <c r="G850" t="s">
        <v>21</v>
      </c>
      <c r="H850" t="s">
        <v>21</v>
      </c>
      <c r="I850">
        <v>0</v>
      </c>
      <c r="J850">
        <v>0</v>
      </c>
      <c r="K850">
        <v>0</v>
      </c>
      <c r="L850">
        <v>1</v>
      </c>
      <c r="M850">
        <v>0</v>
      </c>
      <c r="N850" t="s">
        <v>193</v>
      </c>
      <c r="O850" t="s">
        <v>213</v>
      </c>
      <c r="P850" t="s">
        <v>204</v>
      </c>
      <c r="Q850" t="s">
        <v>170</v>
      </c>
      <c r="R850" t="s">
        <v>155</v>
      </c>
      <c r="T850" t="s">
        <v>134</v>
      </c>
      <c r="U850">
        <v>1</v>
      </c>
      <c r="V850">
        <v>5</v>
      </c>
      <c r="W850" t="s">
        <v>135</v>
      </c>
      <c r="X850">
        <v>0</v>
      </c>
      <c r="Y850" t="s">
        <v>140</v>
      </c>
      <c r="Z850" t="s">
        <v>179</v>
      </c>
      <c r="AA850" t="s">
        <v>143</v>
      </c>
      <c r="AB850" t="s">
        <v>162</v>
      </c>
      <c r="AC850" t="s">
        <v>175</v>
      </c>
      <c r="AD850" t="s">
        <v>155</v>
      </c>
      <c r="AE850" t="s">
        <v>130</v>
      </c>
      <c r="AF850" t="s">
        <v>21</v>
      </c>
    </row>
    <row r="851" spans="1:32">
      <c r="A851" t="s">
        <v>1621</v>
      </c>
      <c r="B851" s="37">
        <v>40071</v>
      </c>
      <c r="C851" s="38">
        <v>40071</v>
      </c>
      <c r="D851" s="38">
        <v>40070</v>
      </c>
      <c r="E851" s="38">
        <v>40057</v>
      </c>
      <c r="F851" s="39">
        <v>166</v>
      </c>
      <c r="G851" t="s">
        <v>21</v>
      </c>
      <c r="H851" t="s">
        <v>21</v>
      </c>
      <c r="I851">
        <v>0</v>
      </c>
      <c r="J851">
        <v>0</v>
      </c>
      <c r="K851">
        <v>0</v>
      </c>
      <c r="L851">
        <v>1</v>
      </c>
      <c r="M851">
        <v>0</v>
      </c>
      <c r="N851" t="s">
        <v>193</v>
      </c>
      <c r="O851" t="s">
        <v>213</v>
      </c>
      <c r="P851" t="s">
        <v>204</v>
      </c>
      <c r="Q851" t="s">
        <v>170</v>
      </c>
      <c r="R851" t="s">
        <v>155</v>
      </c>
      <c r="S851">
        <v>5</v>
      </c>
      <c r="T851" t="s">
        <v>135</v>
      </c>
      <c r="U851">
        <v>0</v>
      </c>
      <c r="V851">
        <v>5</v>
      </c>
      <c r="W851" t="s">
        <v>135</v>
      </c>
      <c r="X851">
        <v>0</v>
      </c>
      <c r="Y851" t="s">
        <v>140</v>
      </c>
      <c r="Z851" t="s">
        <v>179</v>
      </c>
      <c r="AA851" t="s">
        <v>145</v>
      </c>
      <c r="AB851" t="s">
        <v>163</v>
      </c>
      <c r="AC851" t="s">
        <v>173</v>
      </c>
      <c r="AD851" t="s">
        <v>161</v>
      </c>
      <c r="AE851" t="s">
        <v>1622</v>
      </c>
      <c r="AF851" t="s">
        <v>21</v>
      </c>
    </row>
    <row r="852" spans="1:32">
      <c r="A852" t="s">
        <v>1623</v>
      </c>
      <c r="B852" s="37">
        <v>40036</v>
      </c>
      <c r="C852" s="38">
        <v>40036</v>
      </c>
      <c r="D852" s="38">
        <v>40035</v>
      </c>
      <c r="E852" s="38">
        <v>40026</v>
      </c>
      <c r="F852" s="39">
        <v>131</v>
      </c>
      <c r="G852" t="s">
        <v>21</v>
      </c>
      <c r="H852" t="s">
        <v>21</v>
      </c>
      <c r="I852">
        <v>0</v>
      </c>
      <c r="J852">
        <v>0</v>
      </c>
      <c r="K852">
        <v>0</v>
      </c>
      <c r="L852">
        <v>1</v>
      </c>
      <c r="M852">
        <v>0</v>
      </c>
      <c r="N852" t="s">
        <v>197</v>
      </c>
      <c r="O852" t="s">
        <v>213</v>
      </c>
      <c r="P852" t="s">
        <v>209</v>
      </c>
      <c r="Q852" t="s">
        <v>170</v>
      </c>
      <c r="R852" t="s">
        <v>155</v>
      </c>
      <c r="S852">
        <v>3</v>
      </c>
      <c r="T852" t="s">
        <v>137</v>
      </c>
      <c r="U852">
        <v>0</v>
      </c>
      <c r="V852">
        <v>3</v>
      </c>
      <c r="W852" t="s">
        <v>137</v>
      </c>
      <c r="X852">
        <v>0</v>
      </c>
      <c r="Y852" t="s">
        <v>139</v>
      </c>
      <c r="Z852" t="s">
        <v>179</v>
      </c>
      <c r="AA852" t="s">
        <v>144</v>
      </c>
      <c r="AB852" t="s">
        <v>162</v>
      </c>
      <c r="AC852" t="s">
        <v>1624</v>
      </c>
      <c r="AD852" t="s">
        <v>155</v>
      </c>
      <c r="AE852" t="s">
        <v>129</v>
      </c>
      <c r="AF852" t="s">
        <v>21</v>
      </c>
    </row>
    <row r="853" spans="1:32">
      <c r="A853" t="s">
        <v>1625</v>
      </c>
      <c r="B853" s="37">
        <v>39932</v>
      </c>
      <c r="C853" s="38">
        <v>39932</v>
      </c>
      <c r="D853" s="38">
        <v>39930</v>
      </c>
      <c r="E853" s="38">
        <v>39904</v>
      </c>
      <c r="F853" s="39">
        <v>27</v>
      </c>
      <c r="G853" t="s">
        <v>21</v>
      </c>
      <c r="H853" t="s">
        <v>21</v>
      </c>
      <c r="I853">
        <v>0</v>
      </c>
      <c r="J853">
        <v>0</v>
      </c>
      <c r="K853">
        <v>0</v>
      </c>
      <c r="L853">
        <v>1</v>
      </c>
      <c r="M853">
        <v>0</v>
      </c>
      <c r="N853" t="s">
        <v>201</v>
      </c>
      <c r="O853" t="s">
        <v>214</v>
      </c>
      <c r="P853" t="s">
        <v>204</v>
      </c>
      <c r="Q853" t="s">
        <v>170</v>
      </c>
      <c r="R853" t="s">
        <v>155</v>
      </c>
      <c r="T853" t="s">
        <v>134</v>
      </c>
      <c r="U853">
        <v>1</v>
      </c>
      <c r="W853" t="s">
        <v>134</v>
      </c>
      <c r="X853">
        <v>1</v>
      </c>
      <c r="Y853" t="s">
        <v>140</v>
      </c>
      <c r="Z853" t="s">
        <v>189</v>
      </c>
      <c r="AA853" t="s">
        <v>147</v>
      </c>
      <c r="AB853" t="s">
        <v>162</v>
      </c>
      <c r="AC853" t="s">
        <v>175</v>
      </c>
      <c r="AD853" t="s">
        <v>155</v>
      </c>
      <c r="AE853" t="s">
        <v>129</v>
      </c>
      <c r="AF853" t="s">
        <v>21</v>
      </c>
    </row>
    <row r="854" spans="1:32">
      <c r="A854" t="s">
        <v>1626</v>
      </c>
      <c r="B854" s="37">
        <v>39918</v>
      </c>
      <c r="C854" s="38">
        <v>39918</v>
      </c>
      <c r="D854" s="38">
        <v>39916</v>
      </c>
      <c r="E854" s="38">
        <v>39904</v>
      </c>
      <c r="F854" s="39">
        <v>13</v>
      </c>
      <c r="G854" t="s">
        <v>21</v>
      </c>
      <c r="H854" t="s">
        <v>21</v>
      </c>
      <c r="I854">
        <v>0</v>
      </c>
      <c r="J854">
        <v>0</v>
      </c>
      <c r="K854">
        <v>0</v>
      </c>
      <c r="L854">
        <v>1</v>
      </c>
      <c r="M854">
        <v>0</v>
      </c>
      <c r="N854" t="s">
        <v>201</v>
      </c>
      <c r="O854" t="s">
        <v>214</v>
      </c>
      <c r="P854" t="s">
        <v>204</v>
      </c>
      <c r="Q854" t="s">
        <v>170</v>
      </c>
      <c r="R854" t="s">
        <v>155</v>
      </c>
      <c r="T854" t="s">
        <v>134</v>
      </c>
      <c r="U854">
        <v>1</v>
      </c>
      <c r="W854" t="s">
        <v>134</v>
      </c>
      <c r="X854">
        <v>1</v>
      </c>
      <c r="Y854" t="s">
        <v>140</v>
      </c>
      <c r="Z854" t="s">
        <v>603</v>
      </c>
      <c r="AA854" t="s">
        <v>147</v>
      </c>
      <c r="AB854" t="s">
        <v>162</v>
      </c>
      <c r="AC854" t="s">
        <v>1627</v>
      </c>
      <c r="AD854" t="s">
        <v>156</v>
      </c>
      <c r="AE854" t="s">
        <v>120</v>
      </c>
      <c r="AF854" t="s">
        <v>942</v>
      </c>
    </row>
    <row r="855" spans="1:32">
      <c r="A855" t="s">
        <v>1628</v>
      </c>
      <c r="B855" s="37">
        <v>39970</v>
      </c>
      <c r="C855" s="38">
        <v>39970</v>
      </c>
      <c r="D855" s="38">
        <v>39965</v>
      </c>
      <c r="E855" s="38">
        <v>39965</v>
      </c>
      <c r="F855" s="39">
        <v>65</v>
      </c>
      <c r="G855" t="s">
        <v>21</v>
      </c>
      <c r="H855" t="s">
        <v>21</v>
      </c>
      <c r="I855">
        <v>0</v>
      </c>
      <c r="J855">
        <v>0</v>
      </c>
      <c r="K855">
        <v>0</v>
      </c>
      <c r="L855">
        <v>1</v>
      </c>
      <c r="M855">
        <v>0</v>
      </c>
      <c r="N855" t="s">
        <v>193</v>
      </c>
      <c r="O855" t="s">
        <v>213</v>
      </c>
      <c r="P855" t="s">
        <v>204</v>
      </c>
      <c r="Q855" t="s">
        <v>170</v>
      </c>
      <c r="R855" t="s">
        <v>155</v>
      </c>
      <c r="T855" t="s">
        <v>134</v>
      </c>
      <c r="U855">
        <v>1</v>
      </c>
      <c r="W855" t="s">
        <v>134</v>
      </c>
      <c r="X855">
        <v>1</v>
      </c>
      <c r="Y855" t="s">
        <v>140</v>
      </c>
      <c r="Z855" t="s">
        <v>179</v>
      </c>
      <c r="AA855" t="s">
        <v>150</v>
      </c>
      <c r="AB855" t="s">
        <v>162</v>
      </c>
      <c r="AC855" t="s">
        <v>174</v>
      </c>
      <c r="AD855" t="s">
        <v>156</v>
      </c>
      <c r="AE855" t="s">
        <v>120</v>
      </c>
      <c r="AF855" t="s">
        <v>741</v>
      </c>
    </row>
    <row r="856" spans="1:32">
      <c r="A856" t="s">
        <v>1629</v>
      </c>
      <c r="B856" s="37">
        <v>39956</v>
      </c>
      <c r="C856" s="38">
        <v>39956</v>
      </c>
      <c r="D856" s="38">
        <v>39951</v>
      </c>
      <c r="E856" s="38">
        <v>39934</v>
      </c>
      <c r="F856" s="39">
        <v>51</v>
      </c>
      <c r="G856" t="s">
        <v>21</v>
      </c>
      <c r="H856" t="s">
        <v>21</v>
      </c>
      <c r="I856">
        <v>0</v>
      </c>
      <c r="J856">
        <v>0</v>
      </c>
      <c r="K856">
        <v>0</v>
      </c>
      <c r="L856">
        <v>1</v>
      </c>
      <c r="M856">
        <v>0</v>
      </c>
      <c r="N856" t="s">
        <v>194</v>
      </c>
      <c r="O856" t="s">
        <v>213</v>
      </c>
      <c r="P856" t="s">
        <v>205</v>
      </c>
      <c r="Q856" t="s">
        <v>170</v>
      </c>
      <c r="R856" t="s">
        <v>155</v>
      </c>
      <c r="T856" t="s">
        <v>134</v>
      </c>
      <c r="U856">
        <v>1</v>
      </c>
      <c r="W856" t="s">
        <v>134</v>
      </c>
      <c r="X856">
        <v>1</v>
      </c>
      <c r="Y856" t="s">
        <v>139</v>
      </c>
      <c r="Z856" t="s">
        <v>603</v>
      </c>
      <c r="AA856" t="s">
        <v>148</v>
      </c>
      <c r="AB856" t="s">
        <v>163</v>
      </c>
      <c r="AC856" t="s">
        <v>415</v>
      </c>
      <c r="AD856" t="s">
        <v>155</v>
      </c>
      <c r="AE856" t="s">
        <v>125</v>
      </c>
      <c r="AF856" t="s">
        <v>21</v>
      </c>
    </row>
    <row r="857" spans="1:32">
      <c r="A857" t="s">
        <v>1630</v>
      </c>
      <c r="B857" s="37">
        <v>40036</v>
      </c>
      <c r="C857" s="38">
        <v>40036</v>
      </c>
      <c r="D857" s="38">
        <v>40035</v>
      </c>
      <c r="E857" s="38">
        <v>40026</v>
      </c>
      <c r="F857" s="39">
        <v>131</v>
      </c>
      <c r="G857" t="s">
        <v>21</v>
      </c>
      <c r="H857" t="s">
        <v>21</v>
      </c>
      <c r="I857">
        <v>0</v>
      </c>
      <c r="J857">
        <v>0</v>
      </c>
      <c r="K857">
        <v>0</v>
      </c>
      <c r="L857">
        <v>1</v>
      </c>
      <c r="M857">
        <v>0</v>
      </c>
      <c r="N857" t="s">
        <v>193</v>
      </c>
      <c r="O857" t="s">
        <v>213</v>
      </c>
      <c r="P857" t="s">
        <v>204</v>
      </c>
      <c r="Q857" t="s">
        <v>170</v>
      </c>
      <c r="R857" t="s">
        <v>155</v>
      </c>
      <c r="S857">
        <v>1</v>
      </c>
      <c r="T857" t="s">
        <v>136</v>
      </c>
      <c r="U857">
        <v>0</v>
      </c>
      <c r="V857">
        <v>5</v>
      </c>
      <c r="W857" t="s">
        <v>135</v>
      </c>
      <c r="X857">
        <v>0</v>
      </c>
      <c r="Y857" t="s">
        <v>140</v>
      </c>
      <c r="Z857" t="s">
        <v>603</v>
      </c>
      <c r="AA857" t="s">
        <v>142</v>
      </c>
      <c r="AB857" t="s">
        <v>163</v>
      </c>
      <c r="AC857" t="s">
        <v>173</v>
      </c>
      <c r="AD857" t="s">
        <v>155</v>
      </c>
      <c r="AE857" t="s">
        <v>125</v>
      </c>
      <c r="AF857" t="s">
        <v>21</v>
      </c>
    </row>
    <row r="858" spans="1:32">
      <c r="A858" t="s">
        <v>1631</v>
      </c>
      <c r="B858" s="37">
        <v>39951</v>
      </c>
      <c r="C858" s="38">
        <v>39951</v>
      </c>
      <c r="D858" s="38">
        <v>39951</v>
      </c>
      <c r="E858" s="38">
        <v>39934</v>
      </c>
      <c r="F858" s="39">
        <v>46</v>
      </c>
      <c r="G858" t="s">
        <v>21</v>
      </c>
      <c r="H858" t="s">
        <v>21</v>
      </c>
      <c r="I858">
        <v>0</v>
      </c>
      <c r="J858">
        <v>0</v>
      </c>
      <c r="K858">
        <v>0</v>
      </c>
      <c r="L858">
        <v>1</v>
      </c>
      <c r="M858">
        <v>0</v>
      </c>
      <c r="N858" t="s">
        <v>193</v>
      </c>
      <c r="O858" t="s">
        <v>213</v>
      </c>
      <c r="P858" t="s">
        <v>204</v>
      </c>
      <c r="Q858" t="s">
        <v>170</v>
      </c>
      <c r="R858" t="s">
        <v>155</v>
      </c>
      <c r="T858" t="s">
        <v>134</v>
      </c>
      <c r="U858">
        <v>1</v>
      </c>
      <c r="W858" t="s">
        <v>134</v>
      </c>
      <c r="X858">
        <v>1</v>
      </c>
      <c r="Y858" t="s">
        <v>140</v>
      </c>
      <c r="Z858" t="s">
        <v>181</v>
      </c>
      <c r="AA858" t="s">
        <v>148</v>
      </c>
      <c r="AB858" t="s">
        <v>162</v>
      </c>
      <c r="AC858" t="s">
        <v>174</v>
      </c>
      <c r="AD858" t="s">
        <v>157</v>
      </c>
      <c r="AE858" t="s">
        <v>406</v>
      </c>
      <c r="AF858" t="s">
        <v>922</v>
      </c>
    </row>
    <row r="859" spans="1:32">
      <c r="A859" t="s">
        <v>1632</v>
      </c>
      <c r="B859" s="37">
        <v>39966</v>
      </c>
      <c r="C859" s="38">
        <v>39966</v>
      </c>
      <c r="D859" s="38">
        <v>39965</v>
      </c>
      <c r="E859" s="38">
        <v>39965</v>
      </c>
      <c r="F859" s="39">
        <v>61</v>
      </c>
      <c r="G859" t="s">
        <v>21</v>
      </c>
      <c r="H859" t="s">
        <v>21</v>
      </c>
      <c r="I859">
        <v>0</v>
      </c>
      <c r="J859">
        <v>0</v>
      </c>
      <c r="K859">
        <v>0</v>
      </c>
      <c r="L859">
        <v>1</v>
      </c>
      <c r="M859">
        <v>0</v>
      </c>
      <c r="N859" t="s">
        <v>195</v>
      </c>
      <c r="O859" t="s">
        <v>213</v>
      </c>
      <c r="P859" t="s">
        <v>206</v>
      </c>
      <c r="Q859" t="s">
        <v>170</v>
      </c>
      <c r="R859" t="s">
        <v>155</v>
      </c>
      <c r="T859" t="s">
        <v>134</v>
      </c>
      <c r="U859">
        <v>1</v>
      </c>
      <c r="W859" t="s">
        <v>134</v>
      </c>
      <c r="X859">
        <v>1</v>
      </c>
      <c r="Y859" t="s">
        <v>139</v>
      </c>
      <c r="Z859" t="s">
        <v>181</v>
      </c>
      <c r="AA859" t="s">
        <v>142</v>
      </c>
      <c r="AB859" t="s">
        <v>162</v>
      </c>
      <c r="AC859" t="s">
        <v>867</v>
      </c>
      <c r="AD859" t="s">
        <v>157</v>
      </c>
      <c r="AE859" t="s">
        <v>127</v>
      </c>
      <c r="AF859" t="s">
        <v>153</v>
      </c>
    </row>
    <row r="860" spans="1:32">
      <c r="A860" t="s">
        <v>1633</v>
      </c>
      <c r="B860" s="37">
        <v>39907</v>
      </c>
      <c r="C860" s="38">
        <v>39907</v>
      </c>
      <c r="D860" s="38">
        <v>39902</v>
      </c>
      <c r="E860" s="38">
        <v>39904</v>
      </c>
      <c r="F860" s="39">
        <v>2</v>
      </c>
      <c r="G860" t="s">
        <v>496</v>
      </c>
      <c r="H860" t="s">
        <v>13</v>
      </c>
      <c r="I860">
        <v>0</v>
      </c>
      <c r="J860">
        <v>1</v>
      </c>
      <c r="K860">
        <v>0</v>
      </c>
      <c r="L860">
        <v>0</v>
      </c>
      <c r="M860">
        <v>1</v>
      </c>
      <c r="N860" t="s">
        <v>194</v>
      </c>
      <c r="O860" t="s">
        <v>213</v>
      </c>
      <c r="P860" t="s">
        <v>205</v>
      </c>
      <c r="Q860" t="s">
        <v>170</v>
      </c>
      <c r="R860" t="s">
        <v>155</v>
      </c>
      <c r="T860" t="s">
        <v>134</v>
      </c>
      <c r="U860">
        <v>1</v>
      </c>
      <c r="W860" t="s">
        <v>134</v>
      </c>
      <c r="X860">
        <v>1</v>
      </c>
      <c r="Y860" t="s">
        <v>139</v>
      </c>
      <c r="Z860" t="s">
        <v>181</v>
      </c>
      <c r="AA860" t="s">
        <v>145</v>
      </c>
      <c r="AB860" t="s">
        <v>163</v>
      </c>
      <c r="AC860" t="s">
        <v>1634</v>
      </c>
      <c r="AD860" t="s">
        <v>155</v>
      </c>
      <c r="AE860" t="s">
        <v>125</v>
      </c>
      <c r="AF860" t="s">
        <v>21</v>
      </c>
    </row>
    <row r="861" spans="1:32">
      <c r="A861" t="s">
        <v>1635</v>
      </c>
      <c r="B861" s="37">
        <v>40081</v>
      </c>
      <c r="C861" s="38">
        <v>40081</v>
      </c>
      <c r="D861" s="38">
        <v>40077</v>
      </c>
      <c r="E861" s="38">
        <v>40057</v>
      </c>
      <c r="F861" s="39">
        <v>176</v>
      </c>
      <c r="G861" t="s">
        <v>21</v>
      </c>
      <c r="H861" t="s">
        <v>21</v>
      </c>
      <c r="I861">
        <v>0</v>
      </c>
      <c r="J861">
        <v>0</v>
      </c>
      <c r="K861">
        <v>0</v>
      </c>
      <c r="L861">
        <v>1</v>
      </c>
      <c r="M861">
        <v>0</v>
      </c>
      <c r="N861" t="s">
        <v>197</v>
      </c>
      <c r="O861" t="s">
        <v>213</v>
      </c>
      <c r="P861" t="s">
        <v>209</v>
      </c>
      <c r="Q861" t="s">
        <v>170</v>
      </c>
      <c r="R861" t="s">
        <v>155</v>
      </c>
      <c r="S861">
        <v>4</v>
      </c>
      <c r="T861" t="s">
        <v>137</v>
      </c>
      <c r="U861">
        <v>0</v>
      </c>
      <c r="V861">
        <v>2</v>
      </c>
      <c r="W861" t="s">
        <v>136</v>
      </c>
      <c r="X861">
        <v>0</v>
      </c>
      <c r="Y861" t="s">
        <v>139</v>
      </c>
      <c r="Z861" t="s">
        <v>181</v>
      </c>
      <c r="AA861" t="s">
        <v>144</v>
      </c>
      <c r="AB861" t="s">
        <v>163</v>
      </c>
      <c r="AC861" t="s">
        <v>1308</v>
      </c>
      <c r="AD861" t="s">
        <v>155</v>
      </c>
      <c r="AE861" t="s">
        <v>510</v>
      </c>
      <c r="AF861" t="s">
        <v>21</v>
      </c>
    </row>
    <row r="862" spans="1:32">
      <c r="A862" t="s">
        <v>1636</v>
      </c>
      <c r="B862" s="37">
        <v>39993</v>
      </c>
      <c r="C862" s="38">
        <v>39993</v>
      </c>
      <c r="D862" s="38">
        <v>39993</v>
      </c>
      <c r="E862" s="38">
        <v>39965</v>
      </c>
      <c r="F862" s="39">
        <v>88</v>
      </c>
      <c r="G862" t="s">
        <v>380</v>
      </c>
      <c r="H862" t="s">
        <v>17</v>
      </c>
      <c r="I862">
        <v>0</v>
      </c>
      <c r="J862">
        <v>0</v>
      </c>
      <c r="K862">
        <v>1</v>
      </c>
      <c r="L862">
        <v>0</v>
      </c>
      <c r="M862">
        <v>0</v>
      </c>
      <c r="N862" t="s">
        <v>196</v>
      </c>
      <c r="O862" t="s">
        <v>213</v>
      </c>
      <c r="P862" t="s">
        <v>207</v>
      </c>
      <c r="Q862" t="s">
        <v>170</v>
      </c>
      <c r="R862" t="s">
        <v>155</v>
      </c>
      <c r="T862" t="s">
        <v>134</v>
      </c>
      <c r="U862">
        <v>1</v>
      </c>
      <c r="V862">
        <v>4</v>
      </c>
      <c r="W862" t="s">
        <v>137</v>
      </c>
      <c r="X862">
        <v>0</v>
      </c>
      <c r="Y862" t="s">
        <v>139</v>
      </c>
      <c r="Z862" t="s">
        <v>190</v>
      </c>
      <c r="AA862" t="s">
        <v>148</v>
      </c>
      <c r="AB862" t="s">
        <v>163</v>
      </c>
      <c r="AC862" t="s">
        <v>173</v>
      </c>
      <c r="AD862" t="s">
        <v>155</v>
      </c>
      <c r="AE862" t="s">
        <v>510</v>
      </c>
      <c r="AF862" t="s">
        <v>21</v>
      </c>
    </row>
    <row r="863" spans="1:32">
      <c r="A863" t="s">
        <v>1637</v>
      </c>
      <c r="B863" s="37">
        <v>40022</v>
      </c>
      <c r="C863" s="38">
        <v>40022</v>
      </c>
      <c r="D863" s="38">
        <v>40021</v>
      </c>
      <c r="E863" s="38">
        <v>39995</v>
      </c>
      <c r="F863" s="39">
        <v>117</v>
      </c>
      <c r="G863" t="s">
        <v>21</v>
      </c>
      <c r="H863" t="s">
        <v>21</v>
      </c>
      <c r="I863">
        <v>0</v>
      </c>
      <c r="J863">
        <v>0</v>
      </c>
      <c r="K863">
        <v>0</v>
      </c>
      <c r="L863">
        <v>1</v>
      </c>
      <c r="M863">
        <v>0</v>
      </c>
      <c r="N863" t="s">
        <v>195</v>
      </c>
      <c r="O863" t="s">
        <v>213</v>
      </c>
      <c r="P863" t="s">
        <v>206</v>
      </c>
      <c r="Q863" t="s">
        <v>170</v>
      </c>
      <c r="R863" t="s">
        <v>155</v>
      </c>
      <c r="S863">
        <v>3</v>
      </c>
      <c r="T863" t="s">
        <v>137</v>
      </c>
      <c r="U863">
        <v>0</v>
      </c>
      <c r="V863">
        <v>2</v>
      </c>
      <c r="W863" t="s">
        <v>136</v>
      </c>
      <c r="X863">
        <v>0</v>
      </c>
      <c r="Y863" t="s">
        <v>139</v>
      </c>
      <c r="Z863" t="s">
        <v>181</v>
      </c>
      <c r="AA863" t="s">
        <v>144</v>
      </c>
      <c r="AB863" t="s">
        <v>162</v>
      </c>
      <c r="AC863" t="s">
        <v>429</v>
      </c>
      <c r="AD863" t="s">
        <v>159</v>
      </c>
      <c r="AE863" t="s">
        <v>126</v>
      </c>
      <c r="AF863" t="s">
        <v>601</v>
      </c>
    </row>
    <row r="864" spans="1:32">
      <c r="A864" t="s">
        <v>1638</v>
      </c>
      <c r="B864" s="37">
        <v>39920</v>
      </c>
      <c r="C864" s="38">
        <v>39920</v>
      </c>
      <c r="D864" s="38">
        <v>39916</v>
      </c>
      <c r="E864" s="38">
        <v>39904</v>
      </c>
      <c r="F864" s="39">
        <v>15</v>
      </c>
      <c r="G864" t="s">
        <v>21</v>
      </c>
      <c r="H864" t="s">
        <v>21</v>
      </c>
      <c r="I864">
        <v>0</v>
      </c>
      <c r="J864">
        <v>0</v>
      </c>
      <c r="K864">
        <v>0</v>
      </c>
      <c r="L864">
        <v>1</v>
      </c>
      <c r="M864">
        <v>0</v>
      </c>
      <c r="N864" t="s">
        <v>193</v>
      </c>
      <c r="O864" t="s">
        <v>213</v>
      </c>
      <c r="P864" t="s">
        <v>204</v>
      </c>
      <c r="Q864" t="s">
        <v>170</v>
      </c>
      <c r="R864" t="s">
        <v>155</v>
      </c>
      <c r="T864" t="s">
        <v>134</v>
      </c>
      <c r="U864">
        <v>1</v>
      </c>
      <c r="W864" t="s">
        <v>134</v>
      </c>
      <c r="X864">
        <v>1</v>
      </c>
      <c r="Y864" t="s">
        <v>140</v>
      </c>
      <c r="Z864" t="s">
        <v>181</v>
      </c>
      <c r="AA864" t="s">
        <v>143</v>
      </c>
      <c r="AB864" t="s">
        <v>163</v>
      </c>
      <c r="AC864" t="s">
        <v>415</v>
      </c>
      <c r="AD864" t="s">
        <v>155</v>
      </c>
      <c r="AE864" t="s">
        <v>125</v>
      </c>
      <c r="AF864" t="s">
        <v>21</v>
      </c>
    </row>
    <row r="865" spans="1:32">
      <c r="A865" t="s">
        <v>1639</v>
      </c>
      <c r="B865" s="37">
        <v>39925</v>
      </c>
      <c r="C865" s="38">
        <v>39925</v>
      </c>
      <c r="D865" s="38">
        <v>39923</v>
      </c>
      <c r="E865" s="38">
        <v>39904</v>
      </c>
      <c r="F865" s="39">
        <v>20</v>
      </c>
      <c r="G865" t="s">
        <v>21</v>
      </c>
      <c r="H865" t="s">
        <v>21</v>
      </c>
      <c r="I865">
        <v>0</v>
      </c>
      <c r="J865">
        <v>0</v>
      </c>
      <c r="K865">
        <v>0</v>
      </c>
      <c r="L865">
        <v>1</v>
      </c>
      <c r="M865">
        <v>0</v>
      </c>
      <c r="N865" t="s">
        <v>193</v>
      </c>
      <c r="O865" t="s">
        <v>213</v>
      </c>
      <c r="P865" t="s">
        <v>204</v>
      </c>
      <c r="Q865" t="s">
        <v>170</v>
      </c>
      <c r="R865" t="s">
        <v>155</v>
      </c>
      <c r="T865" t="s">
        <v>134</v>
      </c>
      <c r="U865">
        <v>1</v>
      </c>
      <c r="W865" t="s">
        <v>134</v>
      </c>
      <c r="X865">
        <v>1</v>
      </c>
      <c r="Y865" t="s">
        <v>140</v>
      </c>
      <c r="Z865" t="s">
        <v>179</v>
      </c>
      <c r="AA865" t="s">
        <v>147</v>
      </c>
      <c r="AB865" t="s">
        <v>162</v>
      </c>
      <c r="AC865" t="s">
        <v>174</v>
      </c>
      <c r="AD865" t="s">
        <v>156</v>
      </c>
      <c r="AE865" t="s">
        <v>120</v>
      </c>
      <c r="AF865" t="s">
        <v>470</v>
      </c>
    </row>
    <row r="866" spans="1:32">
      <c r="A866" t="s">
        <v>1640</v>
      </c>
      <c r="B866" s="37">
        <v>39993</v>
      </c>
      <c r="C866" s="38">
        <v>39993</v>
      </c>
      <c r="D866" s="38">
        <v>39993</v>
      </c>
      <c r="E866" s="38">
        <v>39965</v>
      </c>
      <c r="F866" s="39">
        <v>88</v>
      </c>
      <c r="G866" t="s">
        <v>21</v>
      </c>
      <c r="H866" t="s">
        <v>21</v>
      </c>
      <c r="I866">
        <v>0</v>
      </c>
      <c r="J866">
        <v>0</v>
      </c>
      <c r="K866">
        <v>0</v>
      </c>
      <c r="L866">
        <v>1</v>
      </c>
      <c r="M866">
        <v>0</v>
      </c>
      <c r="N866" t="s">
        <v>196</v>
      </c>
      <c r="O866" t="s">
        <v>213</v>
      </c>
      <c r="P866" t="s">
        <v>207</v>
      </c>
      <c r="Q866" t="s">
        <v>170</v>
      </c>
      <c r="R866" t="s">
        <v>155</v>
      </c>
      <c r="T866" t="s">
        <v>134</v>
      </c>
      <c r="U866">
        <v>1</v>
      </c>
      <c r="V866">
        <v>4</v>
      </c>
      <c r="W866" t="s">
        <v>137</v>
      </c>
      <c r="X866">
        <v>0</v>
      </c>
      <c r="Y866" t="s">
        <v>139</v>
      </c>
      <c r="Z866" t="s">
        <v>509</v>
      </c>
      <c r="AA866" t="s">
        <v>151</v>
      </c>
      <c r="AB866" t="s">
        <v>163</v>
      </c>
      <c r="AC866" t="s">
        <v>173</v>
      </c>
      <c r="AD866" t="s">
        <v>161</v>
      </c>
      <c r="AE866" t="s">
        <v>465</v>
      </c>
      <c r="AF866" t="s">
        <v>21</v>
      </c>
    </row>
    <row r="867" spans="1:32">
      <c r="A867" t="s">
        <v>1641</v>
      </c>
      <c r="B867" s="37">
        <v>39908</v>
      </c>
      <c r="C867" s="38">
        <v>39908</v>
      </c>
      <c r="D867" s="38">
        <v>39902</v>
      </c>
      <c r="E867" s="38">
        <v>39904</v>
      </c>
      <c r="F867" s="39">
        <v>3</v>
      </c>
      <c r="G867" t="s">
        <v>380</v>
      </c>
      <c r="H867" t="s">
        <v>17</v>
      </c>
      <c r="I867">
        <v>0</v>
      </c>
      <c r="J867">
        <v>0</v>
      </c>
      <c r="K867">
        <v>1</v>
      </c>
      <c r="L867">
        <v>0</v>
      </c>
      <c r="M867">
        <v>0</v>
      </c>
      <c r="N867" t="s">
        <v>193</v>
      </c>
      <c r="O867" t="s">
        <v>213</v>
      </c>
      <c r="P867" t="s">
        <v>204</v>
      </c>
      <c r="Q867" t="s">
        <v>170</v>
      </c>
      <c r="R867" t="s">
        <v>155</v>
      </c>
      <c r="T867" t="s">
        <v>134</v>
      </c>
      <c r="U867">
        <v>1</v>
      </c>
      <c r="W867" t="s">
        <v>134</v>
      </c>
      <c r="X867">
        <v>1</v>
      </c>
      <c r="Y867" t="s">
        <v>140</v>
      </c>
      <c r="Z867" t="s">
        <v>413</v>
      </c>
      <c r="AA867" t="s">
        <v>145</v>
      </c>
      <c r="AB867" t="s">
        <v>163</v>
      </c>
      <c r="AC867" t="s">
        <v>173</v>
      </c>
      <c r="AD867" t="s">
        <v>155</v>
      </c>
      <c r="AE867" t="s">
        <v>792</v>
      </c>
      <c r="AF867" t="s">
        <v>21</v>
      </c>
    </row>
    <row r="868" spans="1:32">
      <c r="A868" t="s">
        <v>1642</v>
      </c>
      <c r="B868" s="37">
        <v>39979</v>
      </c>
      <c r="C868" s="38">
        <v>39979</v>
      </c>
      <c r="D868" s="38">
        <v>39979</v>
      </c>
      <c r="E868" s="38">
        <v>39965</v>
      </c>
      <c r="F868" s="39">
        <v>74</v>
      </c>
      <c r="G868" t="s">
        <v>21</v>
      </c>
      <c r="H868" t="s">
        <v>21</v>
      </c>
      <c r="I868">
        <v>0</v>
      </c>
      <c r="J868">
        <v>0</v>
      </c>
      <c r="K868">
        <v>0</v>
      </c>
      <c r="L868">
        <v>1</v>
      </c>
      <c r="M868">
        <v>0</v>
      </c>
      <c r="N868" t="s">
        <v>195</v>
      </c>
      <c r="O868" t="s">
        <v>213</v>
      </c>
      <c r="P868" t="s">
        <v>206</v>
      </c>
      <c r="Q868" t="s">
        <v>170</v>
      </c>
      <c r="R868" t="s">
        <v>155</v>
      </c>
      <c r="T868" t="s">
        <v>134</v>
      </c>
      <c r="U868">
        <v>1</v>
      </c>
      <c r="W868" t="s">
        <v>134</v>
      </c>
      <c r="X868">
        <v>1</v>
      </c>
      <c r="Y868" t="s">
        <v>139</v>
      </c>
      <c r="Z868" t="s">
        <v>179</v>
      </c>
      <c r="AA868" t="s">
        <v>142</v>
      </c>
      <c r="AB868" t="s">
        <v>162</v>
      </c>
      <c r="AC868" t="s">
        <v>175</v>
      </c>
      <c r="AD868" t="s">
        <v>155</v>
      </c>
      <c r="AE868" t="s">
        <v>130</v>
      </c>
      <c r="AF868" t="s">
        <v>21</v>
      </c>
    </row>
    <row r="869" spans="1:32">
      <c r="A869" t="s">
        <v>1643</v>
      </c>
      <c r="B869" s="37">
        <v>40086</v>
      </c>
      <c r="C869" s="38">
        <v>40086</v>
      </c>
      <c r="D869" s="38">
        <v>40084</v>
      </c>
      <c r="E869" s="38">
        <v>40057</v>
      </c>
      <c r="F869" s="39">
        <v>181</v>
      </c>
      <c r="G869" t="s">
        <v>21</v>
      </c>
      <c r="H869" t="s">
        <v>21</v>
      </c>
      <c r="I869">
        <v>0</v>
      </c>
      <c r="J869">
        <v>0</v>
      </c>
      <c r="K869">
        <v>0</v>
      </c>
      <c r="L869">
        <v>1</v>
      </c>
      <c r="M869">
        <v>0</v>
      </c>
      <c r="N869" t="s">
        <v>196</v>
      </c>
      <c r="O869" t="s">
        <v>213</v>
      </c>
      <c r="P869" t="s">
        <v>207</v>
      </c>
      <c r="Q869" t="s">
        <v>170</v>
      </c>
      <c r="R869" t="s">
        <v>155</v>
      </c>
      <c r="S869">
        <v>3</v>
      </c>
      <c r="T869" t="s">
        <v>137</v>
      </c>
      <c r="U869">
        <v>0</v>
      </c>
      <c r="V869">
        <v>3</v>
      </c>
      <c r="W869" t="s">
        <v>137</v>
      </c>
      <c r="X869">
        <v>0</v>
      </c>
      <c r="Y869" t="s">
        <v>139</v>
      </c>
      <c r="Z869" t="s">
        <v>591</v>
      </c>
      <c r="AA869" t="s">
        <v>142</v>
      </c>
      <c r="AB869" t="s">
        <v>163</v>
      </c>
      <c r="AC869" t="s">
        <v>173</v>
      </c>
      <c r="AD869" t="s">
        <v>155</v>
      </c>
      <c r="AE869" t="s">
        <v>956</v>
      </c>
      <c r="AF869" t="s">
        <v>21</v>
      </c>
    </row>
    <row r="870" spans="1:32">
      <c r="A870" t="s">
        <v>1644</v>
      </c>
      <c r="B870" s="37">
        <v>39957</v>
      </c>
      <c r="C870" s="38">
        <v>39957</v>
      </c>
      <c r="D870" s="38">
        <v>39951</v>
      </c>
      <c r="E870" s="38">
        <v>39934</v>
      </c>
      <c r="F870" s="39">
        <v>52</v>
      </c>
      <c r="G870" t="s">
        <v>21</v>
      </c>
      <c r="H870" t="s">
        <v>21</v>
      </c>
      <c r="I870">
        <v>0</v>
      </c>
      <c r="J870">
        <v>0</v>
      </c>
      <c r="K870">
        <v>0</v>
      </c>
      <c r="L870">
        <v>1</v>
      </c>
      <c r="M870">
        <v>0</v>
      </c>
      <c r="N870" t="s">
        <v>195</v>
      </c>
      <c r="O870" t="s">
        <v>213</v>
      </c>
      <c r="P870" t="s">
        <v>206</v>
      </c>
      <c r="Q870" t="s">
        <v>170</v>
      </c>
      <c r="R870" t="s">
        <v>155</v>
      </c>
      <c r="T870" t="s">
        <v>134</v>
      </c>
      <c r="U870">
        <v>1</v>
      </c>
      <c r="W870" t="s">
        <v>134</v>
      </c>
      <c r="X870">
        <v>1</v>
      </c>
      <c r="Y870" t="s">
        <v>139</v>
      </c>
      <c r="Z870" t="s">
        <v>409</v>
      </c>
      <c r="AA870" t="s">
        <v>148</v>
      </c>
      <c r="AB870" t="s">
        <v>162</v>
      </c>
      <c r="AC870" t="s">
        <v>459</v>
      </c>
      <c r="AD870" t="s">
        <v>155</v>
      </c>
      <c r="AE870" t="s">
        <v>130</v>
      </c>
      <c r="AF870" t="s">
        <v>21</v>
      </c>
    </row>
    <row r="871" spans="1:32">
      <c r="A871" t="s">
        <v>1645</v>
      </c>
      <c r="B871" s="37">
        <v>39930</v>
      </c>
      <c r="C871" s="38">
        <v>39930</v>
      </c>
      <c r="D871" s="38">
        <v>39930</v>
      </c>
      <c r="E871" s="38">
        <v>39904</v>
      </c>
      <c r="F871" s="39">
        <v>25</v>
      </c>
      <c r="G871" t="s">
        <v>9</v>
      </c>
      <c r="H871" t="s">
        <v>9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198</v>
      </c>
      <c r="O871" t="s">
        <v>213</v>
      </c>
      <c r="P871" t="s">
        <v>208</v>
      </c>
      <c r="Q871" t="s">
        <v>170</v>
      </c>
      <c r="R871" t="s">
        <v>155</v>
      </c>
      <c r="T871" t="s">
        <v>134</v>
      </c>
      <c r="U871">
        <v>1</v>
      </c>
      <c r="W871" t="s">
        <v>134</v>
      </c>
      <c r="X871">
        <v>1</v>
      </c>
      <c r="Y871" t="s">
        <v>139</v>
      </c>
      <c r="Z871" t="s">
        <v>178</v>
      </c>
      <c r="AA871" t="s">
        <v>145</v>
      </c>
      <c r="AB871" t="s">
        <v>162</v>
      </c>
      <c r="AC871" t="s">
        <v>174</v>
      </c>
      <c r="AD871" t="s">
        <v>156</v>
      </c>
      <c r="AE871" t="s">
        <v>120</v>
      </c>
      <c r="AF871" t="s">
        <v>1646</v>
      </c>
    </row>
    <row r="872" spans="1:32">
      <c r="A872" t="s">
        <v>1647</v>
      </c>
      <c r="B872" s="37">
        <v>40043</v>
      </c>
      <c r="C872" s="38">
        <v>40043</v>
      </c>
      <c r="D872" s="38">
        <v>40042</v>
      </c>
      <c r="E872" s="38">
        <v>40026</v>
      </c>
      <c r="F872" s="39">
        <v>138</v>
      </c>
      <c r="G872" t="s">
        <v>21</v>
      </c>
      <c r="H872" t="s">
        <v>21</v>
      </c>
      <c r="I872">
        <v>0</v>
      </c>
      <c r="J872">
        <v>0</v>
      </c>
      <c r="K872">
        <v>0</v>
      </c>
      <c r="L872">
        <v>1</v>
      </c>
      <c r="M872">
        <v>0</v>
      </c>
      <c r="N872" t="s">
        <v>193</v>
      </c>
      <c r="O872" t="s">
        <v>213</v>
      </c>
      <c r="P872" t="s">
        <v>204</v>
      </c>
      <c r="Q872" t="s">
        <v>170</v>
      </c>
      <c r="R872" t="s">
        <v>155</v>
      </c>
      <c r="S872">
        <v>5</v>
      </c>
      <c r="T872" t="s">
        <v>135</v>
      </c>
      <c r="U872">
        <v>0</v>
      </c>
      <c r="V872">
        <v>3</v>
      </c>
      <c r="W872" t="s">
        <v>137</v>
      </c>
      <c r="X872">
        <v>0</v>
      </c>
      <c r="Y872" t="s">
        <v>140</v>
      </c>
      <c r="Z872" t="s">
        <v>189</v>
      </c>
      <c r="AA872" t="s">
        <v>143</v>
      </c>
      <c r="AB872" t="s">
        <v>162</v>
      </c>
      <c r="AC872" t="s">
        <v>459</v>
      </c>
      <c r="AD872" t="s">
        <v>159</v>
      </c>
      <c r="AE872" t="s">
        <v>126</v>
      </c>
      <c r="AF872" t="s">
        <v>601</v>
      </c>
    </row>
    <row r="873" spans="1:32">
      <c r="A873" t="s">
        <v>1648</v>
      </c>
      <c r="B873" s="37">
        <v>39981</v>
      </c>
      <c r="C873" s="38">
        <v>39981</v>
      </c>
      <c r="D873" s="38">
        <v>39979</v>
      </c>
      <c r="E873" s="38">
        <v>39965</v>
      </c>
      <c r="F873" s="39">
        <v>76</v>
      </c>
      <c r="G873" t="s">
        <v>21</v>
      </c>
      <c r="H873" t="s">
        <v>21</v>
      </c>
      <c r="I873">
        <v>0</v>
      </c>
      <c r="J873">
        <v>0</v>
      </c>
      <c r="K873">
        <v>0</v>
      </c>
      <c r="L873">
        <v>1</v>
      </c>
      <c r="M873">
        <v>0</v>
      </c>
      <c r="N873" t="s">
        <v>193</v>
      </c>
      <c r="O873" t="s">
        <v>213</v>
      </c>
      <c r="P873" t="s">
        <v>204</v>
      </c>
      <c r="Q873" t="s">
        <v>170</v>
      </c>
      <c r="R873" t="s">
        <v>155</v>
      </c>
      <c r="T873" t="s">
        <v>134</v>
      </c>
      <c r="U873">
        <v>1</v>
      </c>
      <c r="W873" t="s">
        <v>134</v>
      </c>
      <c r="X873">
        <v>1</v>
      </c>
      <c r="Y873" t="s">
        <v>140</v>
      </c>
      <c r="Z873" t="s">
        <v>178</v>
      </c>
      <c r="AA873" t="s">
        <v>146</v>
      </c>
      <c r="AB873" t="s">
        <v>162</v>
      </c>
      <c r="AC873" t="s">
        <v>459</v>
      </c>
      <c r="AD873" t="s">
        <v>155</v>
      </c>
      <c r="AE873" t="s">
        <v>130</v>
      </c>
      <c r="AF873" t="s">
        <v>21</v>
      </c>
    </row>
    <row r="874" spans="1:32">
      <c r="A874" t="s">
        <v>1649</v>
      </c>
      <c r="B874" s="37">
        <v>39927</v>
      </c>
      <c r="C874" s="38">
        <v>39927</v>
      </c>
      <c r="D874" s="38">
        <v>39923</v>
      </c>
      <c r="E874" s="38">
        <v>39904</v>
      </c>
      <c r="F874" s="39">
        <v>22</v>
      </c>
      <c r="G874" t="s">
        <v>380</v>
      </c>
      <c r="H874" t="s">
        <v>17</v>
      </c>
      <c r="I874">
        <v>0</v>
      </c>
      <c r="J874">
        <v>0</v>
      </c>
      <c r="K874">
        <v>1</v>
      </c>
      <c r="L874">
        <v>0</v>
      </c>
      <c r="M874">
        <v>0</v>
      </c>
      <c r="N874" t="s">
        <v>198</v>
      </c>
      <c r="O874" t="s">
        <v>213</v>
      </c>
      <c r="P874" t="s">
        <v>208</v>
      </c>
      <c r="Q874" t="s">
        <v>170</v>
      </c>
      <c r="R874" t="s">
        <v>155</v>
      </c>
      <c r="T874" t="s">
        <v>134</v>
      </c>
      <c r="U874">
        <v>1</v>
      </c>
      <c r="W874" t="s">
        <v>134</v>
      </c>
      <c r="X874">
        <v>1</v>
      </c>
      <c r="Y874" t="s">
        <v>139</v>
      </c>
      <c r="Z874" t="s">
        <v>180</v>
      </c>
      <c r="AA874" t="s">
        <v>151</v>
      </c>
      <c r="AB874" t="s">
        <v>163</v>
      </c>
      <c r="AC874" t="s">
        <v>1650</v>
      </c>
      <c r="AD874" t="s">
        <v>155</v>
      </c>
      <c r="AE874" t="s">
        <v>124</v>
      </c>
      <c r="AF874" t="s">
        <v>21</v>
      </c>
    </row>
    <row r="875" spans="1:32">
      <c r="A875" t="s">
        <v>1651</v>
      </c>
      <c r="B875" s="37">
        <v>40010</v>
      </c>
      <c r="C875" s="38">
        <v>40010</v>
      </c>
      <c r="D875" s="38">
        <v>40007</v>
      </c>
      <c r="E875" s="38">
        <v>39995</v>
      </c>
      <c r="F875" s="39">
        <v>105</v>
      </c>
      <c r="G875" t="s">
        <v>21</v>
      </c>
      <c r="H875" t="s">
        <v>21</v>
      </c>
      <c r="I875">
        <v>0</v>
      </c>
      <c r="J875">
        <v>0</v>
      </c>
      <c r="K875">
        <v>0</v>
      </c>
      <c r="L875">
        <v>1</v>
      </c>
      <c r="M875">
        <v>0</v>
      </c>
      <c r="N875" t="s">
        <v>194</v>
      </c>
      <c r="O875" t="s">
        <v>213</v>
      </c>
      <c r="P875" t="s">
        <v>205</v>
      </c>
      <c r="Q875" t="s">
        <v>170</v>
      </c>
      <c r="R875" t="s">
        <v>155</v>
      </c>
      <c r="S875">
        <v>5</v>
      </c>
      <c r="T875" t="s">
        <v>135</v>
      </c>
      <c r="U875">
        <v>0</v>
      </c>
      <c r="V875">
        <v>5</v>
      </c>
      <c r="W875" t="s">
        <v>135</v>
      </c>
      <c r="X875">
        <v>0</v>
      </c>
      <c r="Y875" t="s">
        <v>139</v>
      </c>
      <c r="Z875" t="s">
        <v>190</v>
      </c>
      <c r="AA875" t="s">
        <v>146</v>
      </c>
      <c r="AB875" t="s">
        <v>163</v>
      </c>
      <c r="AC875" t="s">
        <v>173</v>
      </c>
      <c r="AD875" t="s">
        <v>155</v>
      </c>
      <c r="AE875" t="s">
        <v>124</v>
      </c>
      <c r="AF875" t="s">
        <v>21</v>
      </c>
    </row>
    <row r="876" spans="1:32">
      <c r="A876" t="s">
        <v>1652</v>
      </c>
      <c r="B876" s="37">
        <v>40024</v>
      </c>
      <c r="C876" s="38">
        <v>40024</v>
      </c>
      <c r="D876" s="38">
        <v>40021</v>
      </c>
      <c r="E876" s="38">
        <v>39995</v>
      </c>
      <c r="F876" s="39">
        <v>119</v>
      </c>
      <c r="G876" t="s">
        <v>525</v>
      </c>
      <c r="H876" t="s">
        <v>17</v>
      </c>
      <c r="I876">
        <v>0</v>
      </c>
      <c r="J876">
        <v>0</v>
      </c>
      <c r="K876">
        <v>1</v>
      </c>
      <c r="L876">
        <v>0</v>
      </c>
      <c r="M876">
        <v>0</v>
      </c>
      <c r="N876" t="s">
        <v>193</v>
      </c>
      <c r="O876" t="s">
        <v>213</v>
      </c>
      <c r="P876" t="s">
        <v>204</v>
      </c>
      <c r="Q876" t="s">
        <v>170</v>
      </c>
      <c r="R876" t="s">
        <v>155</v>
      </c>
      <c r="S876">
        <v>5</v>
      </c>
      <c r="T876" t="s">
        <v>135</v>
      </c>
      <c r="U876">
        <v>0</v>
      </c>
      <c r="V876">
        <v>5</v>
      </c>
      <c r="W876" t="s">
        <v>135</v>
      </c>
      <c r="X876">
        <v>0</v>
      </c>
      <c r="Y876" t="s">
        <v>140</v>
      </c>
      <c r="Z876" t="s">
        <v>190</v>
      </c>
      <c r="AA876" t="s">
        <v>142</v>
      </c>
      <c r="AB876" t="s">
        <v>163</v>
      </c>
      <c r="AC876" t="s">
        <v>173</v>
      </c>
      <c r="AD876" t="s">
        <v>155</v>
      </c>
      <c r="AE876" t="s">
        <v>125</v>
      </c>
      <c r="AF876" t="s">
        <v>21</v>
      </c>
    </row>
    <row r="877" spans="1:32">
      <c r="A877" t="s">
        <v>1653</v>
      </c>
      <c r="B877" s="37">
        <v>39973</v>
      </c>
      <c r="C877" s="38">
        <v>39973</v>
      </c>
      <c r="D877" s="38">
        <v>39972</v>
      </c>
      <c r="E877" s="38">
        <v>39965</v>
      </c>
      <c r="F877" s="39">
        <v>68</v>
      </c>
      <c r="G877" t="s">
        <v>21</v>
      </c>
      <c r="H877" t="s">
        <v>21</v>
      </c>
      <c r="I877">
        <v>0</v>
      </c>
      <c r="J877">
        <v>0</v>
      </c>
      <c r="K877">
        <v>0</v>
      </c>
      <c r="L877">
        <v>1</v>
      </c>
      <c r="M877">
        <v>0</v>
      </c>
      <c r="N877" t="s">
        <v>194</v>
      </c>
      <c r="O877" t="s">
        <v>213</v>
      </c>
      <c r="P877" t="s">
        <v>205</v>
      </c>
      <c r="Q877" t="s">
        <v>170</v>
      </c>
      <c r="R877" t="s">
        <v>155</v>
      </c>
      <c r="T877" t="s">
        <v>134</v>
      </c>
      <c r="U877">
        <v>1</v>
      </c>
      <c r="W877" t="s">
        <v>134</v>
      </c>
      <c r="X877">
        <v>1</v>
      </c>
      <c r="Y877" t="s">
        <v>139</v>
      </c>
      <c r="Z877" t="s">
        <v>509</v>
      </c>
      <c r="AA877" t="s">
        <v>142</v>
      </c>
      <c r="AB877" t="s">
        <v>162</v>
      </c>
      <c r="AC877" t="s">
        <v>622</v>
      </c>
      <c r="AD877" t="s">
        <v>155</v>
      </c>
      <c r="AE877" t="s">
        <v>130</v>
      </c>
      <c r="AF877" t="s">
        <v>21</v>
      </c>
    </row>
    <row r="878" spans="1:32">
      <c r="A878" t="s">
        <v>1654</v>
      </c>
      <c r="B878" s="37">
        <v>40076</v>
      </c>
      <c r="C878" s="38">
        <v>40076</v>
      </c>
      <c r="D878" s="38">
        <v>40070</v>
      </c>
      <c r="E878" s="38">
        <v>40057</v>
      </c>
      <c r="F878" s="39">
        <v>171</v>
      </c>
      <c r="G878" t="s">
        <v>21</v>
      </c>
      <c r="H878" t="s">
        <v>21</v>
      </c>
      <c r="I878">
        <v>0</v>
      </c>
      <c r="J878">
        <v>0</v>
      </c>
      <c r="K878">
        <v>0</v>
      </c>
      <c r="L878">
        <v>1</v>
      </c>
      <c r="M878">
        <v>0</v>
      </c>
      <c r="N878" t="s">
        <v>196</v>
      </c>
      <c r="O878" t="s">
        <v>213</v>
      </c>
      <c r="P878" t="s">
        <v>207</v>
      </c>
      <c r="Q878" t="s">
        <v>170</v>
      </c>
      <c r="R878" t="s">
        <v>155</v>
      </c>
      <c r="S878">
        <v>5</v>
      </c>
      <c r="T878" t="s">
        <v>135</v>
      </c>
      <c r="U878">
        <v>0</v>
      </c>
      <c r="V878">
        <v>5</v>
      </c>
      <c r="W878" t="s">
        <v>135</v>
      </c>
      <c r="X878">
        <v>0</v>
      </c>
      <c r="Y878" t="s">
        <v>139</v>
      </c>
      <c r="Z878" t="s">
        <v>576</v>
      </c>
      <c r="AA878" t="s">
        <v>146</v>
      </c>
      <c r="AB878" t="s">
        <v>162</v>
      </c>
      <c r="AC878" t="s">
        <v>174</v>
      </c>
      <c r="AD878" t="s">
        <v>156</v>
      </c>
      <c r="AE878" t="s">
        <v>120</v>
      </c>
      <c r="AF878" t="s">
        <v>794</v>
      </c>
    </row>
    <row r="879" spans="1:32">
      <c r="A879" t="s">
        <v>1655</v>
      </c>
      <c r="B879" s="37">
        <v>39934</v>
      </c>
      <c r="C879" s="38">
        <v>39934</v>
      </c>
      <c r="D879" s="38">
        <v>39930</v>
      </c>
      <c r="E879" s="38">
        <v>39934</v>
      </c>
      <c r="F879" s="39">
        <v>29</v>
      </c>
      <c r="G879" t="s">
        <v>21</v>
      </c>
      <c r="H879" t="s">
        <v>21</v>
      </c>
      <c r="I879">
        <v>0</v>
      </c>
      <c r="J879">
        <v>0</v>
      </c>
      <c r="K879">
        <v>0</v>
      </c>
      <c r="L879">
        <v>1</v>
      </c>
      <c r="M879">
        <v>0</v>
      </c>
      <c r="N879" t="s">
        <v>198</v>
      </c>
      <c r="O879" t="s">
        <v>213</v>
      </c>
      <c r="P879" t="s">
        <v>208</v>
      </c>
      <c r="Q879" t="s">
        <v>170</v>
      </c>
      <c r="R879" t="s">
        <v>155</v>
      </c>
      <c r="T879" t="s">
        <v>134</v>
      </c>
      <c r="U879">
        <v>1</v>
      </c>
      <c r="W879" t="s">
        <v>134</v>
      </c>
      <c r="X879">
        <v>1</v>
      </c>
      <c r="Y879" t="s">
        <v>139</v>
      </c>
      <c r="Z879" t="s">
        <v>178</v>
      </c>
      <c r="AA879" t="s">
        <v>147</v>
      </c>
      <c r="AB879" t="s">
        <v>163</v>
      </c>
      <c r="AC879" t="s">
        <v>173</v>
      </c>
      <c r="AD879" t="s">
        <v>155</v>
      </c>
      <c r="AE879" t="s">
        <v>439</v>
      </c>
      <c r="AF879" t="s">
        <v>21</v>
      </c>
    </row>
    <row r="880" spans="1:32">
      <c r="A880" t="s">
        <v>1656</v>
      </c>
      <c r="B880" s="37">
        <v>40016</v>
      </c>
      <c r="C880" s="38">
        <v>40016</v>
      </c>
      <c r="D880" s="38">
        <v>40014</v>
      </c>
      <c r="E880" s="38">
        <v>39995</v>
      </c>
      <c r="F880" s="39">
        <v>111</v>
      </c>
      <c r="G880" t="s">
        <v>21</v>
      </c>
      <c r="H880" t="s">
        <v>21</v>
      </c>
      <c r="I880">
        <v>0</v>
      </c>
      <c r="J880">
        <v>0</v>
      </c>
      <c r="K880">
        <v>0</v>
      </c>
      <c r="L880">
        <v>1</v>
      </c>
      <c r="M880">
        <v>0</v>
      </c>
      <c r="N880" t="s">
        <v>194</v>
      </c>
      <c r="O880" t="s">
        <v>213</v>
      </c>
      <c r="P880" t="s">
        <v>205</v>
      </c>
      <c r="Q880" t="s">
        <v>170</v>
      </c>
      <c r="R880" t="s">
        <v>155</v>
      </c>
      <c r="S880">
        <v>5</v>
      </c>
      <c r="T880" t="s">
        <v>135</v>
      </c>
      <c r="U880">
        <v>0</v>
      </c>
      <c r="V880">
        <v>5</v>
      </c>
      <c r="W880" t="s">
        <v>135</v>
      </c>
      <c r="X880">
        <v>0</v>
      </c>
      <c r="Y880" t="s">
        <v>139</v>
      </c>
      <c r="Z880" t="s">
        <v>183</v>
      </c>
      <c r="AA880" t="s">
        <v>144</v>
      </c>
      <c r="AB880" t="s">
        <v>162</v>
      </c>
      <c r="AC880" t="s">
        <v>175</v>
      </c>
      <c r="AD880" t="s">
        <v>155</v>
      </c>
      <c r="AE880" t="s">
        <v>129</v>
      </c>
      <c r="AF880" t="s">
        <v>21</v>
      </c>
    </row>
    <row r="881" spans="1:32">
      <c r="A881" t="s">
        <v>1657</v>
      </c>
      <c r="B881" s="37">
        <v>39950</v>
      </c>
      <c r="C881" s="38">
        <v>39950</v>
      </c>
      <c r="D881" s="38">
        <v>39944</v>
      </c>
      <c r="E881" s="38">
        <v>39934</v>
      </c>
      <c r="F881" s="39">
        <v>45</v>
      </c>
      <c r="G881" t="s">
        <v>21</v>
      </c>
      <c r="H881" t="s">
        <v>21</v>
      </c>
      <c r="I881">
        <v>0</v>
      </c>
      <c r="J881">
        <v>0</v>
      </c>
      <c r="K881">
        <v>0</v>
      </c>
      <c r="L881">
        <v>1</v>
      </c>
      <c r="M881">
        <v>0</v>
      </c>
      <c r="N881" t="s">
        <v>195</v>
      </c>
      <c r="O881" t="s">
        <v>213</v>
      </c>
      <c r="P881" t="s">
        <v>206</v>
      </c>
      <c r="Q881" t="s">
        <v>170</v>
      </c>
      <c r="R881" t="s">
        <v>155</v>
      </c>
      <c r="T881" t="s">
        <v>134</v>
      </c>
      <c r="U881">
        <v>1</v>
      </c>
      <c r="W881" t="s">
        <v>134</v>
      </c>
      <c r="X881">
        <v>1</v>
      </c>
      <c r="Y881" t="s">
        <v>139</v>
      </c>
      <c r="Z881" t="s">
        <v>181</v>
      </c>
      <c r="AA881" t="s">
        <v>147</v>
      </c>
      <c r="AB881" t="s">
        <v>162</v>
      </c>
      <c r="AC881" t="s">
        <v>174</v>
      </c>
      <c r="AD881" t="s">
        <v>157</v>
      </c>
      <c r="AE881" t="s">
        <v>127</v>
      </c>
      <c r="AF881" t="s">
        <v>153</v>
      </c>
    </row>
    <row r="882" spans="1:32">
      <c r="A882" t="s">
        <v>1658</v>
      </c>
      <c r="B882" s="37">
        <v>39929</v>
      </c>
      <c r="C882" s="38">
        <v>39929</v>
      </c>
      <c r="D882" s="38">
        <v>39923</v>
      </c>
      <c r="E882" s="38">
        <v>39904</v>
      </c>
      <c r="F882" s="39">
        <v>24</v>
      </c>
      <c r="G882" t="s">
        <v>21</v>
      </c>
      <c r="H882" t="s">
        <v>21</v>
      </c>
      <c r="I882">
        <v>0</v>
      </c>
      <c r="J882">
        <v>0</v>
      </c>
      <c r="K882">
        <v>0</v>
      </c>
      <c r="L882">
        <v>1</v>
      </c>
      <c r="M882">
        <v>0</v>
      </c>
      <c r="N882" t="s">
        <v>202</v>
      </c>
      <c r="O882" t="s">
        <v>213</v>
      </c>
      <c r="P882" t="s">
        <v>211</v>
      </c>
      <c r="Q882" t="s">
        <v>170</v>
      </c>
      <c r="R882" t="s">
        <v>155</v>
      </c>
      <c r="T882" t="s">
        <v>134</v>
      </c>
      <c r="U882">
        <v>1</v>
      </c>
      <c r="W882" t="s">
        <v>134</v>
      </c>
      <c r="X882">
        <v>1</v>
      </c>
      <c r="Y882" t="s">
        <v>139</v>
      </c>
      <c r="Z882" t="s">
        <v>181</v>
      </c>
      <c r="AA882" t="s">
        <v>143</v>
      </c>
      <c r="AB882" t="s">
        <v>162</v>
      </c>
      <c r="AC882" t="s">
        <v>174</v>
      </c>
      <c r="AD882" t="s">
        <v>160</v>
      </c>
      <c r="AE882" t="s">
        <v>126</v>
      </c>
      <c r="AF882" t="s">
        <v>665</v>
      </c>
    </row>
    <row r="883" spans="1:32">
      <c r="A883" t="s">
        <v>1659</v>
      </c>
      <c r="B883" s="37">
        <v>39951</v>
      </c>
      <c r="C883" s="38">
        <v>39951</v>
      </c>
      <c r="D883" s="38">
        <v>39951</v>
      </c>
      <c r="E883" s="38">
        <v>39934</v>
      </c>
      <c r="F883" s="39">
        <v>46</v>
      </c>
      <c r="G883" t="s">
        <v>21</v>
      </c>
      <c r="H883" t="s">
        <v>21</v>
      </c>
      <c r="I883">
        <v>0</v>
      </c>
      <c r="J883">
        <v>0</v>
      </c>
      <c r="K883">
        <v>0</v>
      </c>
      <c r="L883">
        <v>1</v>
      </c>
      <c r="M883">
        <v>0</v>
      </c>
      <c r="N883" t="s">
        <v>195</v>
      </c>
      <c r="O883" t="s">
        <v>213</v>
      </c>
      <c r="P883" t="s">
        <v>206</v>
      </c>
      <c r="Q883" t="s">
        <v>170</v>
      </c>
      <c r="R883" t="s">
        <v>155</v>
      </c>
      <c r="T883" t="s">
        <v>134</v>
      </c>
      <c r="U883">
        <v>1</v>
      </c>
      <c r="W883" t="s">
        <v>134</v>
      </c>
      <c r="X883">
        <v>1</v>
      </c>
      <c r="Y883" t="s">
        <v>139</v>
      </c>
      <c r="Z883" t="s">
        <v>181</v>
      </c>
      <c r="AA883" t="s">
        <v>142</v>
      </c>
      <c r="AB883" t="s">
        <v>163</v>
      </c>
      <c r="AC883" t="s">
        <v>415</v>
      </c>
      <c r="AD883" t="s">
        <v>155</v>
      </c>
      <c r="AE883" t="s">
        <v>125</v>
      </c>
      <c r="AF883" t="s">
        <v>21</v>
      </c>
    </row>
    <row r="884" spans="1:32">
      <c r="A884" t="s">
        <v>1660</v>
      </c>
      <c r="B884" s="37">
        <v>39946</v>
      </c>
      <c r="C884" s="38">
        <v>39946</v>
      </c>
      <c r="D884" s="38">
        <v>39944</v>
      </c>
      <c r="E884" s="38">
        <v>39934</v>
      </c>
      <c r="F884" s="39">
        <v>41</v>
      </c>
      <c r="G884" t="s">
        <v>21</v>
      </c>
      <c r="H884" t="s">
        <v>21</v>
      </c>
      <c r="I884">
        <v>0</v>
      </c>
      <c r="J884">
        <v>0</v>
      </c>
      <c r="K884">
        <v>0</v>
      </c>
      <c r="L884">
        <v>1</v>
      </c>
      <c r="M884">
        <v>0</v>
      </c>
      <c r="N884" t="s">
        <v>194</v>
      </c>
      <c r="O884" t="s">
        <v>213</v>
      </c>
      <c r="P884" t="s">
        <v>205</v>
      </c>
      <c r="Q884" t="s">
        <v>170</v>
      </c>
      <c r="R884" t="s">
        <v>155</v>
      </c>
      <c r="T884" t="s">
        <v>134</v>
      </c>
      <c r="U884">
        <v>1</v>
      </c>
      <c r="W884" t="s">
        <v>134</v>
      </c>
      <c r="X884">
        <v>1</v>
      </c>
      <c r="Y884" t="s">
        <v>139</v>
      </c>
      <c r="Z884" t="s">
        <v>184</v>
      </c>
      <c r="AA884" t="s">
        <v>147</v>
      </c>
      <c r="AB884" t="s">
        <v>162</v>
      </c>
      <c r="AC884" t="s">
        <v>175</v>
      </c>
      <c r="AD884" t="s">
        <v>159</v>
      </c>
      <c r="AE884" t="s">
        <v>126</v>
      </c>
      <c r="AF884" t="s">
        <v>601</v>
      </c>
    </row>
    <row r="885" spans="1:32">
      <c r="A885" t="s">
        <v>1661</v>
      </c>
      <c r="B885" s="37">
        <v>39972</v>
      </c>
      <c r="C885" s="38">
        <v>39972</v>
      </c>
      <c r="D885" s="38">
        <v>39972</v>
      </c>
      <c r="E885" s="38">
        <v>39965</v>
      </c>
      <c r="F885" s="39">
        <v>67</v>
      </c>
      <c r="G885" t="s">
        <v>21</v>
      </c>
      <c r="H885" t="s">
        <v>21</v>
      </c>
      <c r="I885">
        <v>0</v>
      </c>
      <c r="J885">
        <v>0</v>
      </c>
      <c r="K885">
        <v>0</v>
      </c>
      <c r="L885">
        <v>1</v>
      </c>
      <c r="M885">
        <v>0</v>
      </c>
      <c r="N885" t="s">
        <v>193</v>
      </c>
      <c r="O885" t="s">
        <v>213</v>
      </c>
      <c r="P885" t="s">
        <v>204</v>
      </c>
      <c r="Q885" t="s">
        <v>170</v>
      </c>
      <c r="R885" t="s">
        <v>155</v>
      </c>
      <c r="T885" t="s">
        <v>134</v>
      </c>
      <c r="U885">
        <v>1</v>
      </c>
      <c r="W885" t="s">
        <v>134</v>
      </c>
      <c r="X885">
        <v>1</v>
      </c>
      <c r="Y885" t="s">
        <v>140</v>
      </c>
      <c r="Z885" t="s">
        <v>184</v>
      </c>
      <c r="AA885" t="s">
        <v>142</v>
      </c>
      <c r="AB885" t="s">
        <v>163</v>
      </c>
      <c r="AC885" t="s">
        <v>1662</v>
      </c>
      <c r="AD885" t="s">
        <v>155</v>
      </c>
      <c r="AE885" t="s">
        <v>124</v>
      </c>
      <c r="AF885" t="s">
        <v>21</v>
      </c>
    </row>
    <row r="886" spans="1:32">
      <c r="A886" t="s">
        <v>1663</v>
      </c>
      <c r="B886" s="37">
        <v>39916</v>
      </c>
      <c r="C886" s="38">
        <v>39916</v>
      </c>
      <c r="D886" s="38">
        <v>39916</v>
      </c>
      <c r="E886" s="38">
        <v>39904</v>
      </c>
      <c r="F886" s="39">
        <v>11</v>
      </c>
      <c r="G886" t="s">
        <v>496</v>
      </c>
      <c r="H886" t="s">
        <v>13</v>
      </c>
      <c r="I886">
        <v>0</v>
      </c>
      <c r="J886">
        <v>1</v>
      </c>
      <c r="K886">
        <v>0</v>
      </c>
      <c r="L886">
        <v>0</v>
      </c>
      <c r="M886">
        <v>1</v>
      </c>
      <c r="N886" t="s">
        <v>200</v>
      </c>
      <c r="O886" t="s">
        <v>214</v>
      </c>
      <c r="P886" t="s">
        <v>208</v>
      </c>
      <c r="Q886" t="s">
        <v>170</v>
      </c>
      <c r="R886" t="s">
        <v>155</v>
      </c>
      <c r="T886" t="s">
        <v>134</v>
      </c>
      <c r="U886">
        <v>1</v>
      </c>
      <c r="W886" t="s">
        <v>134</v>
      </c>
      <c r="X886">
        <v>1</v>
      </c>
      <c r="Y886" t="s">
        <v>139</v>
      </c>
      <c r="Z886" t="s">
        <v>433</v>
      </c>
      <c r="AA886" t="s">
        <v>147</v>
      </c>
      <c r="AB886" t="s">
        <v>162</v>
      </c>
      <c r="AC886" t="s">
        <v>174</v>
      </c>
      <c r="AD886" t="s">
        <v>157</v>
      </c>
      <c r="AE886" t="s">
        <v>127</v>
      </c>
      <c r="AF886" t="s">
        <v>153</v>
      </c>
    </row>
    <row r="887" spans="1:32">
      <c r="A887" t="s">
        <v>1664</v>
      </c>
      <c r="B887" s="37">
        <v>39943</v>
      </c>
      <c r="C887" s="38">
        <v>39943</v>
      </c>
      <c r="D887" s="38">
        <v>39937</v>
      </c>
      <c r="E887" s="38">
        <v>39934</v>
      </c>
      <c r="F887" s="39">
        <v>38</v>
      </c>
      <c r="G887" t="s">
        <v>525</v>
      </c>
      <c r="H887" t="s">
        <v>17</v>
      </c>
      <c r="I887">
        <v>0</v>
      </c>
      <c r="J887">
        <v>0</v>
      </c>
      <c r="K887">
        <v>1</v>
      </c>
      <c r="L887">
        <v>0</v>
      </c>
      <c r="M887">
        <v>0</v>
      </c>
      <c r="N887" t="s">
        <v>193</v>
      </c>
      <c r="O887" t="s">
        <v>213</v>
      </c>
      <c r="P887" t="s">
        <v>204</v>
      </c>
      <c r="Q887" t="s">
        <v>170</v>
      </c>
      <c r="R887" t="s">
        <v>155</v>
      </c>
      <c r="T887" t="s">
        <v>134</v>
      </c>
      <c r="U887">
        <v>1</v>
      </c>
      <c r="W887" t="s">
        <v>134</v>
      </c>
      <c r="X887">
        <v>1</v>
      </c>
      <c r="Y887" t="s">
        <v>140</v>
      </c>
      <c r="Z887" t="s">
        <v>433</v>
      </c>
      <c r="AA887" t="s">
        <v>149</v>
      </c>
      <c r="AB887" t="s">
        <v>163</v>
      </c>
      <c r="AC887" t="s">
        <v>173</v>
      </c>
      <c r="AD887" t="s">
        <v>155</v>
      </c>
      <c r="AE887" t="s">
        <v>125</v>
      </c>
      <c r="AF887" t="s">
        <v>21</v>
      </c>
    </row>
    <row r="888" spans="1:32">
      <c r="A888" t="s">
        <v>1665</v>
      </c>
      <c r="B888" s="37">
        <v>39910</v>
      </c>
      <c r="C888" s="38">
        <v>39910</v>
      </c>
      <c r="D888" s="38">
        <v>39909</v>
      </c>
      <c r="E888" s="38">
        <v>39904</v>
      </c>
      <c r="F888" s="39">
        <v>5</v>
      </c>
      <c r="G888" t="s">
        <v>9</v>
      </c>
      <c r="H888" t="s">
        <v>9</v>
      </c>
      <c r="I888">
        <v>1</v>
      </c>
      <c r="J888">
        <v>0</v>
      </c>
      <c r="K888">
        <v>0</v>
      </c>
      <c r="L888">
        <v>0</v>
      </c>
      <c r="M888">
        <v>1</v>
      </c>
      <c r="N888" t="s">
        <v>198</v>
      </c>
      <c r="O888" t="s">
        <v>213</v>
      </c>
      <c r="P888" t="s">
        <v>208</v>
      </c>
      <c r="Q888" t="s">
        <v>170</v>
      </c>
      <c r="R888" t="s">
        <v>155</v>
      </c>
      <c r="T888" t="s">
        <v>134</v>
      </c>
      <c r="U888">
        <v>1</v>
      </c>
      <c r="W888" t="s">
        <v>134</v>
      </c>
      <c r="X888">
        <v>1</v>
      </c>
      <c r="Y888" t="s">
        <v>139</v>
      </c>
      <c r="Z888" t="s">
        <v>528</v>
      </c>
      <c r="AA888" t="s">
        <v>147</v>
      </c>
      <c r="AB888" t="s">
        <v>162</v>
      </c>
      <c r="AC888" t="s">
        <v>498</v>
      </c>
      <c r="AD888" t="s">
        <v>157</v>
      </c>
      <c r="AE888" t="s">
        <v>127</v>
      </c>
      <c r="AF888" t="s">
        <v>153</v>
      </c>
    </row>
    <row r="889" spans="1:32">
      <c r="A889" t="s">
        <v>1666</v>
      </c>
      <c r="B889" s="37">
        <v>39913</v>
      </c>
      <c r="C889" s="38">
        <v>39913</v>
      </c>
      <c r="D889" s="38">
        <v>39909</v>
      </c>
      <c r="E889" s="38">
        <v>39904</v>
      </c>
      <c r="F889" s="39">
        <v>8</v>
      </c>
      <c r="G889" t="s">
        <v>21</v>
      </c>
      <c r="H889" t="s">
        <v>21</v>
      </c>
      <c r="I889">
        <v>0</v>
      </c>
      <c r="J889">
        <v>0</v>
      </c>
      <c r="K889">
        <v>0</v>
      </c>
      <c r="L889">
        <v>1</v>
      </c>
      <c r="M889">
        <v>0</v>
      </c>
      <c r="N889" t="s">
        <v>201</v>
      </c>
      <c r="O889" t="s">
        <v>214</v>
      </c>
      <c r="P889" t="s">
        <v>204</v>
      </c>
      <c r="Q889" t="s">
        <v>170</v>
      </c>
      <c r="R889" t="s">
        <v>155</v>
      </c>
      <c r="T889" t="s">
        <v>134</v>
      </c>
      <c r="U889">
        <v>1</v>
      </c>
      <c r="W889" t="s">
        <v>134</v>
      </c>
      <c r="X889">
        <v>1</v>
      </c>
      <c r="Y889" t="s">
        <v>140</v>
      </c>
      <c r="Z889" t="s">
        <v>528</v>
      </c>
      <c r="AA889" t="s">
        <v>147</v>
      </c>
      <c r="AB889" t="s">
        <v>165</v>
      </c>
      <c r="AC889" t="s">
        <v>1667</v>
      </c>
      <c r="AD889" t="s">
        <v>158</v>
      </c>
      <c r="AE889" t="s">
        <v>122</v>
      </c>
      <c r="AF889" t="s">
        <v>21</v>
      </c>
    </row>
    <row r="890" spans="1:32">
      <c r="A890" t="s">
        <v>1668</v>
      </c>
      <c r="B890" s="37">
        <v>39994</v>
      </c>
      <c r="C890" s="38">
        <v>39994</v>
      </c>
      <c r="D890" s="38">
        <v>39993</v>
      </c>
      <c r="E890" s="38">
        <v>39965</v>
      </c>
      <c r="F890" s="39">
        <v>89</v>
      </c>
      <c r="G890" t="s">
        <v>9</v>
      </c>
      <c r="H890" t="s">
        <v>9</v>
      </c>
      <c r="I890">
        <v>1</v>
      </c>
      <c r="J890">
        <v>0</v>
      </c>
      <c r="K890">
        <v>0</v>
      </c>
      <c r="L890">
        <v>0</v>
      </c>
      <c r="M890">
        <v>1</v>
      </c>
      <c r="N890" t="s">
        <v>193</v>
      </c>
      <c r="O890" t="s">
        <v>213</v>
      </c>
      <c r="P890" t="s">
        <v>204</v>
      </c>
      <c r="Q890" t="s">
        <v>170</v>
      </c>
      <c r="R890" t="s">
        <v>155</v>
      </c>
      <c r="T890" t="s">
        <v>134</v>
      </c>
      <c r="U890">
        <v>1</v>
      </c>
      <c r="V890">
        <v>5</v>
      </c>
      <c r="W890" t="s">
        <v>135</v>
      </c>
      <c r="X890">
        <v>0</v>
      </c>
      <c r="Y890" t="s">
        <v>140</v>
      </c>
      <c r="Z890" t="s">
        <v>188</v>
      </c>
      <c r="AA890" t="s">
        <v>150</v>
      </c>
      <c r="AB890" t="s">
        <v>163</v>
      </c>
      <c r="AC890" t="s">
        <v>415</v>
      </c>
      <c r="AD890" t="s">
        <v>155</v>
      </c>
      <c r="AE890" t="s">
        <v>125</v>
      </c>
      <c r="AF890" t="s">
        <v>21</v>
      </c>
    </row>
    <row r="891" spans="1:32">
      <c r="A891" t="s">
        <v>1669</v>
      </c>
      <c r="B891" s="37">
        <v>39979</v>
      </c>
      <c r="C891" s="38">
        <v>39979</v>
      </c>
      <c r="D891" s="38">
        <v>39979</v>
      </c>
      <c r="E891" s="38">
        <v>39965</v>
      </c>
      <c r="F891" s="39">
        <v>74</v>
      </c>
      <c r="G891" t="s">
        <v>9</v>
      </c>
      <c r="H891" t="s">
        <v>9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195</v>
      </c>
      <c r="O891" t="s">
        <v>213</v>
      </c>
      <c r="P891" t="s">
        <v>206</v>
      </c>
      <c r="Q891" t="s">
        <v>170</v>
      </c>
      <c r="R891" t="s">
        <v>155</v>
      </c>
      <c r="T891" t="s">
        <v>134</v>
      </c>
      <c r="U891">
        <v>1</v>
      </c>
      <c r="W891" t="s">
        <v>134</v>
      </c>
      <c r="X891">
        <v>1</v>
      </c>
      <c r="Y891" t="s">
        <v>139</v>
      </c>
      <c r="Z891" t="s">
        <v>810</v>
      </c>
      <c r="AA891" t="s">
        <v>142</v>
      </c>
      <c r="AB891" t="s">
        <v>165</v>
      </c>
      <c r="AC891" t="s">
        <v>589</v>
      </c>
      <c r="AD891" t="s">
        <v>158</v>
      </c>
      <c r="AE891" t="s">
        <v>122</v>
      </c>
      <c r="AF891" t="s">
        <v>21</v>
      </c>
    </row>
    <row r="892" spans="1:32">
      <c r="A892" t="s">
        <v>1670</v>
      </c>
      <c r="B892" s="37">
        <v>39928</v>
      </c>
      <c r="C892" s="38">
        <v>39928</v>
      </c>
      <c r="D892" s="38">
        <v>39923</v>
      </c>
      <c r="E892" s="38">
        <v>39904</v>
      </c>
      <c r="F892" s="39">
        <v>23</v>
      </c>
      <c r="G892" t="s">
        <v>21</v>
      </c>
      <c r="H892" t="s">
        <v>21</v>
      </c>
      <c r="I892">
        <v>0</v>
      </c>
      <c r="J892">
        <v>0</v>
      </c>
      <c r="K892">
        <v>0</v>
      </c>
      <c r="L892">
        <v>1</v>
      </c>
      <c r="M892">
        <v>0</v>
      </c>
      <c r="N892" t="s">
        <v>198</v>
      </c>
      <c r="O892" t="s">
        <v>213</v>
      </c>
      <c r="P892" t="s">
        <v>208</v>
      </c>
      <c r="Q892" t="s">
        <v>170</v>
      </c>
      <c r="R892" t="s">
        <v>155</v>
      </c>
      <c r="T892" t="s">
        <v>134</v>
      </c>
      <c r="U892">
        <v>1</v>
      </c>
      <c r="W892" t="s">
        <v>134</v>
      </c>
      <c r="X892">
        <v>1</v>
      </c>
      <c r="Y892" t="s">
        <v>139</v>
      </c>
      <c r="Z892" t="s">
        <v>184</v>
      </c>
      <c r="AA892" t="s">
        <v>147</v>
      </c>
      <c r="AB892" t="s">
        <v>163</v>
      </c>
      <c r="AC892" t="s">
        <v>415</v>
      </c>
      <c r="AD892" t="s">
        <v>155</v>
      </c>
      <c r="AE892" t="s">
        <v>125</v>
      </c>
      <c r="AF892" t="s">
        <v>21</v>
      </c>
    </row>
    <row r="893" spans="1:32">
      <c r="A893" t="s">
        <v>1671</v>
      </c>
      <c r="B893" s="37">
        <v>40081</v>
      </c>
      <c r="C893" s="38">
        <v>40081</v>
      </c>
      <c r="D893" s="38">
        <v>40077</v>
      </c>
      <c r="E893" s="38">
        <v>40057</v>
      </c>
      <c r="F893" s="39">
        <v>176</v>
      </c>
      <c r="G893" t="s">
        <v>21</v>
      </c>
      <c r="H893" t="s">
        <v>21</v>
      </c>
      <c r="I893">
        <v>0</v>
      </c>
      <c r="J893">
        <v>0</v>
      </c>
      <c r="K893">
        <v>0</v>
      </c>
      <c r="L893">
        <v>1</v>
      </c>
      <c r="M893">
        <v>0</v>
      </c>
      <c r="N893" t="s">
        <v>193</v>
      </c>
      <c r="O893" t="s">
        <v>213</v>
      </c>
      <c r="P893" t="s">
        <v>204</v>
      </c>
      <c r="Q893" t="s">
        <v>170</v>
      </c>
      <c r="R893" t="s">
        <v>155</v>
      </c>
      <c r="S893">
        <v>5</v>
      </c>
      <c r="T893" t="s">
        <v>135</v>
      </c>
      <c r="U893">
        <v>0</v>
      </c>
      <c r="V893">
        <v>5</v>
      </c>
      <c r="W893" t="s">
        <v>135</v>
      </c>
      <c r="X893">
        <v>0</v>
      </c>
      <c r="Y893" t="s">
        <v>140</v>
      </c>
      <c r="Z893" t="s">
        <v>187</v>
      </c>
      <c r="AA893" t="s">
        <v>144</v>
      </c>
      <c r="AB893" t="s">
        <v>163</v>
      </c>
      <c r="AC893" t="s">
        <v>173</v>
      </c>
      <c r="AD893" t="s">
        <v>155</v>
      </c>
      <c r="AE893" t="s">
        <v>128</v>
      </c>
      <c r="AF893" t="s">
        <v>21</v>
      </c>
    </row>
    <row r="894" spans="1:32">
      <c r="A894" t="s">
        <v>1672</v>
      </c>
      <c r="B894" s="37">
        <v>40035</v>
      </c>
      <c r="C894" s="38">
        <v>40035</v>
      </c>
      <c r="D894" s="38">
        <v>40035</v>
      </c>
      <c r="E894" s="38">
        <v>40026</v>
      </c>
      <c r="F894" s="39">
        <v>130</v>
      </c>
      <c r="G894" t="s">
        <v>21</v>
      </c>
      <c r="H894" t="s">
        <v>21</v>
      </c>
      <c r="I894">
        <v>0</v>
      </c>
      <c r="J894">
        <v>0</v>
      </c>
      <c r="K894">
        <v>0</v>
      </c>
      <c r="L894">
        <v>1</v>
      </c>
      <c r="M894">
        <v>0</v>
      </c>
      <c r="N894" t="s">
        <v>193</v>
      </c>
      <c r="O894" t="s">
        <v>213</v>
      </c>
      <c r="P894" t="s">
        <v>204</v>
      </c>
      <c r="Q894" t="s">
        <v>170</v>
      </c>
      <c r="R894" t="s">
        <v>155</v>
      </c>
      <c r="S894">
        <v>5</v>
      </c>
      <c r="T894" t="s">
        <v>135</v>
      </c>
      <c r="U894">
        <v>0</v>
      </c>
      <c r="V894">
        <v>5</v>
      </c>
      <c r="W894" t="s">
        <v>135</v>
      </c>
      <c r="X894">
        <v>0</v>
      </c>
      <c r="Y894" t="s">
        <v>140</v>
      </c>
      <c r="Z894" t="s">
        <v>178</v>
      </c>
      <c r="AA894" t="s">
        <v>142</v>
      </c>
      <c r="AB894" t="s">
        <v>162</v>
      </c>
      <c r="AC894" t="s">
        <v>459</v>
      </c>
      <c r="AD894" t="s">
        <v>155</v>
      </c>
      <c r="AE894" t="s">
        <v>129</v>
      </c>
      <c r="AF894" t="s">
        <v>21</v>
      </c>
    </row>
    <row r="895" spans="1:32">
      <c r="A895" t="s">
        <v>1673</v>
      </c>
      <c r="B895" s="37">
        <v>39993</v>
      </c>
      <c r="C895" s="38">
        <v>39993</v>
      </c>
      <c r="D895" s="38">
        <v>39993</v>
      </c>
      <c r="E895" s="38">
        <v>39965</v>
      </c>
      <c r="F895" s="39">
        <v>88</v>
      </c>
      <c r="G895" t="s">
        <v>21</v>
      </c>
      <c r="H895" t="s">
        <v>21</v>
      </c>
      <c r="I895">
        <v>0</v>
      </c>
      <c r="J895">
        <v>0</v>
      </c>
      <c r="K895">
        <v>0</v>
      </c>
      <c r="L895">
        <v>1</v>
      </c>
      <c r="M895">
        <v>0</v>
      </c>
      <c r="N895" t="s">
        <v>193</v>
      </c>
      <c r="O895" t="s">
        <v>213</v>
      </c>
      <c r="P895" t="s">
        <v>204</v>
      </c>
      <c r="Q895" t="s">
        <v>170</v>
      </c>
      <c r="R895" t="s">
        <v>155</v>
      </c>
      <c r="T895" t="s">
        <v>134</v>
      </c>
      <c r="U895">
        <v>1</v>
      </c>
      <c r="V895">
        <v>5</v>
      </c>
      <c r="W895" t="s">
        <v>135</v>
      </c>
      <c r="X895">
        <v>0</v>
      </c>
      <c r="Y895" t="s">
        <v>140</v>
      </c>
      <c r="Z895" t="s">
        <v>179</v>
      </c>
      <c r="AA895" t="s">
        <v>148</v>
      </c>
      <c r="AB895" t="s">
        <v>162</v>
      </c>
      <c r="AC895" t="s">
        <v>174</v>
      </c>
      <c r="AD895" t="s">
        <v>156</v>
      </c>
      <c r="AE895" t="s">
        <v>120</v>
      </c>
      <c r="AF895" t="s">
        <v>715</v>
      </c>
    </row>
    <row r="896" spans="1:32">
      <c r="A896" t="s">
        <v>1674</v>
      </c>
      <c r="B896" s="37">
        <v>40040</v>
      </c>
      <c r="C896" s="38">
        <v>40040</v>
      </c>
      <c r="D896" s="38">
        <v>40035</v>
      </c>
      <c r="E896" s="38">
        <v>40026</v>
      </c>
      <c r="F896" s="39">
        <v>135</v>
      </c>
      <c r="G896" t="s">
        <v>9</v>
      </c>
      <c r="H896" t="s">
        <v>9</v>
      </c>
      <c r="I896">
        <v>1</v>
      </c>
      <c r="J896">
        <v>0</v>
      </c>
      <c r="K896">
        <v>0</v>
      </c>
      <c r="L896">
        <v>0</v>
      </c>
      <c r="M896">
        <v>1</v>
      </c>
      <c r="N896" t="s">
        <v>197</v>
      </c>
      <c r="O896" t="s">
        <v>213</v>
      </c>
      <c r="P896" t="s">
        <v>209</v>
      </c>
      <c r="Q896" t="s">
        <v>170</v>
      </c>
      <c r="R896" t="s">
        <v>155</v>
      </c>
      <c r="S896">
        <v>5</v>
      </c>
      <c r="T896" t="s">
        <v>135</v>
      </c>
      <c r="U896">
        <v>0</v>
      </c>
      <c r="V896">
        <v>3</v>
      </c>
      <c r="W896" t="s">
        <v>137</v>
      </c>
      <c r="X896">
        <v>0</v>
      </c>
      <c r="Y896" t="s">
        <v>139</v>
      </c>
      <c r="Z896" t="s">
        <v>179</v>
      </c>
      <c r="AA896" t="s">
        <v>145</v>
      </c>
      <c r="AB896" t="s">
        <v>165</v>
      </c>
      <c r="AC896" t="s">
        <v>1675</v>
      </c>
      <c r="AD896" t="s">
        <v>158</v>
      </c>
      <c r="AE896" t="s">
        <v>122</v>
      </c>
      <c r="AF896" t="s">
        <v>21</v>
      </c>
    </row>
    <row r="897" spans="1:32">
      <c r="A897" t="s">
        <v>1676</v>
      </c>
      <c r="B897" s="37">
        <v>39964</v>
      </c>
      <c r="C897" s="38">
        <v>39964</v>
      </c>
      <c r="D897" s="38">
        <v>39958</v>
      </c>
      <c r="E897" s="38">
        <v>39934</v>
      </c>
      <c r="F897" s="39">
        <v>59</v>
      </c>
      <c r="G897" t="s">
        <v>21</v>
      </c>
      <c r="H897" t="s">
        <v>21</v>
      </c>
      <c r="I897">
        <v>0</v>
      </c>
      <c r="J897">
        <v>0</v>
      </c>
      <c r="K897">
        <v>0</v>
      </c>
      <c r="L897">
        <v>1</v>
      </c>
      <c r="M897">
        <v>0</v>
      </c>
      <c r="N897" t="s">
        <v>193</v>
      </c>
      <c r="O897" t="s">
        <v>213</v>
      </c>
      <c r="P897" t="s">
        <v>204</v>
      </c>
      <c r="Q897" t="s">
        <v>170</v>
      </c>
      <c r="R897" t="s">
        <v>155</v>
      </c>
      <c r="T897" t="s">
        <v>134</v>
      </c>
      <c r="U897">
        <v>1</v>
      </c>
      <c r="W897" t="s">
        <v>134</v>
      </c>
      <c r="X897">
        <v>1</v>
      </c>
      <c r="Y897" t="s">
        <v>140</v>
      </c>
      <c r="Z897" t="s">
        <v>183</v>
      </c>
      <c r="AA897" t="s">
        <v>146</v>
      </c>
      <c r="AB897" t="s">
        <v>163</v>
      </c>
      <c r="AC897" t="s">
        <v>173</v>
      </c>
      <c r="AD897" t="s">
        <v>155</v>
      </c>
      <c r="AE897" t="s">
        <v>670</v>
      </c>
      <c r="AF897" t="s">
        <v>21</v>
      </c>
    </row>
    <row r="898" spans="1:32">
      <c r="A898" t="s">
        <v>1677</v>
      </c>
      <c r="B898" s="37">
        <v>39962</v>
      </c>
      <c r="C898" s="38">
        <v>39962</v>
      </c>
      <c r="D898" s="38">
        <v>39958</v>
      </c>
      <c r="E898" s="38">
        <v>39934</v>
      </c>
      <c r="F898" s="39">
        <v>57</v>
      </c>
      <c r="G898" t="s">
        <v>21</v>
      </c>
      <c r="H898" t="s">
        <v>21</v>
      </c>
      <c r="I898">
        <v>0</v>
      </c>
      <c r="J898">
        <v>0</v>
      </c>
      <c r="K898">
        <v>0</v>
      </c>
      <c r="L898">
        <v>1</v>
      </c>
      <c r="M898">
        <v>0</v>
      </c>
      <c r="N898" t="s">
        <v>194</v>
      </c>
      <c r="O898" t="s">
        <v>213</v>
      </c>
      <c r="P898" t="s">
        <v>205</v>
      </c>
      <c r="Q898" t="s">
        <v>170</v>
      </c>
      <c r="R898" t="s">
        <v>155</v>
      </c>
      <c r="T898" t="s">
        <v>134</v>
      </c>
      <c r="U898">
        <v>1</v>
      </c>
      <c r="W898" t="s">
        <v>134</v>
      </c>
      <c r="X898">
        <v>1</v>
      </c>
      <c r="Y898" t="s">
        <v>139</v>
      </c>
      <c r="Z898" t="s">
        <v>528</v>
      </c>
      <c r="AA898" t="s">
        <v>143</v>
      </c>
      <c r="AB898" t="s">
        <v>163</v>
      </c>
      <c r="AC898" t="s">
        <v>21</v>
      </c>
      <c r="AD898" t="s">
        <v>155</v>
      </c>
      <c r="AE898" t="s">
        <v>124</v>
      </c>
      <c r="AF898" t="s">
        <v>21</v>
      </c>
    </row>
    <row r="899" spans="1:32">
      <c r="A899" t="s">
        <v>1678</v>
      </c>
      <c r="B899" s="37">
        <v>39972</v>
      </c>
      <c r="C899" s="38">
        <v>39972</v>
      </c>
      <c r="D899" s="38">
        <v>39972</v>
      </c>
      <c r="E899" s="38">
        <v>39965</v>
      </c>
      <c r="F899" s="39">
        <v>67</v>
      </c>
      <c r="G899" t="s">
        <v>21</v>
      </c>
      <c r="H899" t="s">
        <v>21</v>
      </c>
      <c r="I899">
        <v>0</v>
      </c>
      <c r="J899">
        <v>0</v>
      </c>
      <c r="K899">
        <v>0</v>
      </c>
      <c r="L899">
        <v>1</v>
      </c>
      <c r="M899">
        <v>0</v>
      </c>
      <c r="N899" t="s">
        <v>193</v>
      </c>
      <c r="O899" t="s">
        <v>213</v>
      </c>
      <c r="P899" t="s">
        <v>204</v>
      </c>
      <c r="Q899" t="s">
        <v>170</v>
      </c>
      <c r="R899" t="s">
        <v>155</v>
      </c>
      <c r="T899" t="s">
        <v>134</v>
      </c>
      <c r="U899">
        <v>1</v>
      </c>
      <c r="W899" t="s">
        <v>134</v>
      </c>
      <c r="X899">
        <v>1</v>
      </c>
      <c r="Y899" t="s">
        <v>140</v>
      </c>
      <c r="Z899" t="s">
        <v>184</v>
      </c>
      <c r="AA899" t="s">
        <v>145</v>
      </c>
      <c r="AB899" t="s">
        <v>163</v>
      </c>
      <c r="AC899" t="s">
        <v>1679</v>
      </c>
      <c r="AD899" t="s">
        <v>161</v>
      </c>
      <c r="AE899" t="s">
        <v>404</v>
      </c>
      <c r="AF899" t="s">
        <v>21</v>
      </c>
    </row>
    <row r="900" spans="1:32">
      <c r="A900" t="s">
        <v>1680</v>
      </c>
      <c r="B900" s="37">
        <v>40009</v>
      </c>
      <c r="C900" s="38">
        <v>40009</v>
      </c>
      <c r="D900" s="38">
        <v>40007</v>
      </c>
      <c r="E900" s="38">
        <v>39995</v>
      </c>
      <c r="F900" s="39">
        <v>104</v>
      </c>
      <c r="G900" t="s">
        <v>380</v>
      </c>
      <c r="H900" t="s">
        <v>17</v>
      </c>
      <c r="I900">
        <v>0</v>
      </c>
      <c r="J900">
        <v>0</v>
      </c>
      <c r="K900">
        <v>1</v>
      </c>
      <c r="L900">
        <v>0</v>
      </c>
      <c r="M900">
        <v>0</v>
      </c>
      <c r="N900" t="s">
        <v>194</v>
      </c>
      <c r="O900" t="s">
        <v>213</v>
      </c>
      <c r="P900" t="s">
        <v>205</v>
      </c>
      <c r="Q900" t="s">
        <v>170</v>
      </c>
      <c r="R900" t="s">
        <v>155</v>
      </c>
      <c r="S900">
        <v>2</v>
      </c>
      <c r="T900" t="s">
        <v>136</v>
      </c>
      <c r="U900">
        <v>0</v>
      </c>
      <c r="V900">
        <v>3</v>
      </c>
      <c r="W900" t="s">
        <v>137</v>
      </c>
      <c r="X900">
        <v>0</v>
      </c>
      <c r="Y900" t="s">
        <v>139</v>
      </c>
      <c r="Z900" t="s">
        <v>433</v>
      </c>
      <c r="AA900" t="s">
        <v>146</v>
      </c>
      <c r="AB900" t="s">
        <v>162</v>
      </c>
      <c r="AC900" t="s">
        <v>175</v>
      </c>
      <c r="AD900" t="s">
        <v>155</v>
      </c>
      <c r="AE900" t="s">
        <v>130</v>
      </c>
      <c r="AF900" t="s">
        <v>21</v>
      </c>
    </row>
    <row r="901" spans="1:32">
      <c r="A901" t="s">
        <v>1681</v>
      </c>
      <c r="B901" s="37">
        <v>40004</v>
      </c>
      <c r="C901" s="38">
        <v>40004</v>
      </c>
      <c r="D901" s="38">
        <v>40000</v>
      </c>
      <c r="E901" s="38">
        <v>39995</v>
      </c>
      <c r="F901" s="39">
        <v>99</v>
      </c>
      <c r="G901" t="s">
        <v>21</v>
      </c>
      <c r="H901" t="s">
        <v>21</v>
      </c>
      <c r="I901">
        <v>0</v>
      </c>
      <c r="J901">
        <v>0</v>
      </c>
      <c r="K901">
        <v>0</v>
      </c>
      <c r="L901">
        <v>1</v>
      </c>
      <c r="M901">
        <v>0</v>
      </c>
      <c r="N901" t="s">
        <v>193</v>
      </c>
      <c r="O901" t="s">
        <v>213</v>
      </c>
      <c r="P901" t="s">
        <v>204</v>
      </c>
      <c r="Q901" t="s">
        <v>170</v>
      </c>
      <c r="R901" t="s">
        <v>155</v>
      </c>
      <c r="S901">
        <v>1</v>
      </c>
      <c r="T901" t="s">
        <v>136</v>
      </c>
      <c r="U901">
        <v>0</v>
      </c>
      <c r="V901">
        <v>5</v>
      </c>
      <c r="W901" t="s">
        <v>135</v>
      </c>
      <c r="X901">
        <v>0</v>
      </c>
      <c r="Y901" t="s">
        <v>140</v>
      </c>
      <c r="Z901" t="s">
        <v>181</v>
      </c>
      <c r="AA901" t="s">
        <v>144</v>
      </c>
      <c r="AB901" t="s">
        <v>162</v>
      </c>
      <c r="AC901" t="s">
        <v>21</v>
      </c>
      <c r="AD901" t="s">
        <v>161</v>
      </c>
      <c r="AE901" t="s">
        <v>571</v>
      </c>
      <c r="AF901" t="s">
        <v>21</v>
      </c>
    </row>
    <row r="902" spans="1:32">
      <c r="A902" t="s">
        <v>1682</v>
      </c>
      <c r="B902" s="37">
        <v>39972</v>
      </c>
      <c r="C902" s="38">
        <v>39972</v>
      </c>
      <c r="D902" s="38">
        <v>39972</v>
      </c>
      <c r="E902" s="38">
        <v>39965</v>
      </c>
      <c r="F902" s="39">
        <v>67</v>
      </c>
      <c r="G902" t="s">
        <v>380</v>
      </c>
      <c r="H902" t="s">
        <v>17</v>
      </c>
      <c r="I902">
        <v>0</v>
      </c>
      <c r="J902">
        <v>0</v>
      </c>
      <c r="K902">
        <v>1</v>
      </c>
      <c r="L902">
        <v>0</v>
      </c>
      <c r="M902">
        <v>0</v>
      </c>
      <c r="N902" t="s">
        <v>194</v>
      </c>
      <c r="O902" t="s">
        <v>213</v>
      </c>
      <c r="P902" t="s">
        <v>205</v>
      </c>
      <c r="Q902" t="s">
        <v>170</v>
      </c>
      <c r="R902" t="s">
        <v>155</v>
      </c>
      <c r="T902" t="s">
        <v>134</v>
      </c>
      <c r="U902">
        <v>1</v>
      </c>
      <c r="W902" t="s">
        <v>134</v>
      </c>
      <c r="X902">
        <v>1</v>
      </c>
      <c r="Y902" t="s">
        <v>139</v>
      </c>
      <c r="Z902" t="s">
        <v>181</v>
      </c>
      <c r="AA902" t="s">
        <v>143</v>
      </c>
      <c r="AB902" t="s">
        <v>163</v>
      </c>
      <c r="AC902" t="s">
        <v>1683</v>
      </c>
      <c r="AD902" t="s">
        <v>155</v>
      </c>
      <c r="AE902" t="s">
        <v>387</v>
      </c>
      <c r="AF902" t="s">
        <v>21</v>
      </c>
    </row>
    <row r="903" spans="1:32">
      <c r="A903" t="s">
        <v>1684</v>
      </c>
      <c r="B903" s="37">
        <v>40039</v>
      </c>
      <c r="C903" s="38">
        <v>40039</v>
      </c>
      <c r="D903" s="38">
        <v>40035</v>
      </c>
      <c r="E903" s="38">
        <v>40026</v>
      </c>
      <c r="F903" s="39">
        <v>134</v>
      </c>
      <c r="G903" t="s">
        <v>21</v>
      </c>
      <c r="H903" t="s">
        <v>21</v>
      </c>
      <c r="I903">
        <v>0</v>
      </c>
      <c r="J903">
        <v>0</v>
      </c>
      <c r="K903">
        <v>0</v>
      </c>
      <c r="L903">
        <v>1</v>
      </c>
      <c r="M903">
        <v>0</v>
      </c>
      <c r="N903" t="s">
        <v>193</v>
      </c>
      <c r="O903" t="s">
        <v>213</v>
      </c>
      <c r="P903" t="s">
        <v>204</v>
      </c>
      <c r="Q903" t="s">
        <v>170</v>
      </c>
      <c r="R903" t="s">
        <v>155</v>
      </c>
      <c r="S903">
        <v>5</v>
      </c>
      <c r="T903" t="s">
        <v>135</v>
      </c>
      <c r="U903">
        <v>0</v>
      </c>
      <c r="V903">
        <v>5</v>
      </c>
      <c r="W903" t="s">
        <v>135</v>
      </c>
      <c r="X903">
        <v>0</v>
      </c>
      <c r="Y903" t="s">
        <v>140</v>
      </c>
      <c r="Z903" t="s">
        <v>181</v>
      </c>
      <c r="AA903" t="s">
        <v>146</v>
      </c>
      <c r="AB903" t="s">
        <v>165</v>
      </c>
      <c r="AC903" t="s">
        <v>1685</v>
      </c>
      <c r="AD903" t="s">
        <v>158</v>
      </c>
      <c r="AE903" t="s">
        <v>122</v>
      </c>
      <c r="AF903" t="s">
        <v>21</v>
      </c>
    </row>
    <row r="904" spans="1:32">
      <c r="A904" t="s">
        <v>1686</v>
      </c>
      <c r="B904" s="37">
        <v>40061</v>
      </c>
      <c r="C904" s="38">
        <v>40061</v>
      </c>
      <c r="D904" s="38">
        <v>40056</v>
      </c>
      <c r="E904" s="38">
        <v>40057</v>
      </c>
      <c r="F904" s="39">
        <v>156</v>
      </c>
      <c r="G904" t="s">
        <v>496</v>
      </c>
      <c r="H904" t="s">
        <v>13</v>
      </c>
      <c r="I904">
        <v>0</v>
      </c>
      <c r="J904">
        <v>1</v>
      </c>
      <c r="K904">
        <v>0</v>
      </c>
      <c r="L904">
        <v>0</v>
      </c>
      <c r="M904">
        <v>1</v>
      </c>
      <c r="N904" t="s">
        <v>544</v>
      </c>
      <c r="O904" t="s">
        <v>213</v>
      </c>
      <c r="P904" t="s">
        <v>545</v>
      </c>
      <c r="Q904" t="s">
        <v>170</v>
      </c>
      <c r="R904" t="s">
        <v>155</v>
      </c>
      <c r="S904">
        <v>5</v>
      </c>
      <c r="T904" t="s">
        <v>135</v>
      </c>
      <c r="U904">
        <v>0</v>
      </c>
      <c r="V904">
        <v>3</v>
      </c>
      <c r="W904" t="s">
        <v>137</v>
      </c>
      <c r="X904">
        <v>0</v>
      </c>
      <c r="Y904" t="s">
        <v>139</v>
      </c>
      <c r="Z904" t="s">
        <v>528</v>
      </c>
      <c r="AA904" t="s">
        <v>148</v>
      </c>
      <c r="AB904" t="s">
        <v>165</v>
      </c>
      <c r="AC904" t="s">
        <v>589</v>
      </c>
      <c r="AD904" t="s">
        <v>158</v>
      </c>
      <c r="AE904" t="s">
        <v>122</v>
      </c>
      <c r="AF904" t="s">
        <v>21</v>
      </c>
    </row>
    <row r="905" spans="1:32">
      <c r="A905" t="s">
        <v>1687</v>
      </c>
      <c r="B905" s="37">
        <v>40079</v>
      </c>
      <c r="C905" s="38">
        <v>40079</v>
      </c>
      <c r="D905" s="38">
        <v>40077</v>
      </c>
      <c r="E905" s="38">
        <v>40057</v>
      </c>
      <c r="F905" s="39">
        <v>174</v>
      </c>
      <c r="G905" t="s">
        <v>21</v>
      </c>
      <c r="H905" t="s">
        <v>21</v>
      </c>
      <c r="I905">
        <v>0</v>
      </c>
      <c r="J905">
        <v>0</v>
      </c>
      <c r="K905">
        <v>0</v>
      </c>
      <c r="L905">
        <v>1</v>
      </c>
      <c r="M905">
        <v>0</v>
      </c>
      <c r="N905" t="s">
        <v>193</v>
      </c>
      <c r="O905" t="s">
        <v>213</v>
      </c>
      <c r="P905" t="s">
        <v>204</v>
      </c>
      <c r="Q905" t="s">
        <v>170</v>
      </c>
      <c r="R905" t="s">
        <v>155</v>
      </c>
      <c r="S905">
        <v>5</v>
      </c>
      <c r="T905" t="s">
        <v>135</v>
      </c>
      <c r="U905">
        <v>0</v>
      </c>
      <c r="V905">
        <v>3</v>
      </c>
      <c r="W905" t="s">
        <v>137</v>
      </c>
      <c r="X905">
        <v>0</v>
      </c>
      <c r="Y905" t="s">
        <v>140</v>
      </c>
      <c r="Z905" t="s">
        <v>384</v>
      </c>
      <c r="AA905" t="s">
        <v>150</v>
      </c>
      <c r="AB905" t="s">
        <v>162</v>
      </c>
      <c r="AC905" t="s">
        <v>174</v>
      </c>
      <c r="AD905" t="s">
        <v>159</v>
      </c>
      <c r="AE905" t="s">
        <v>123</v>
      </c>
      <c r="AF905" t="s">
        <v>123</v>
      </c>
    </row>
    <row r="906" spans="1:32">
      <c r="A906" t="s">
        <v>1688</v>
      </c>
      <c r="B906" s="37">
        <v>39930</v>
      </c>
      <c r="C906" s="38">
        <v>39930</v>
      </c>
      <c r="D906" s="38">
        <v>39930</v>
      </c>
      <c r="E906" s="38">
        <v>39904</v>
      </c>
      <c r="F906" s="39">
        <v>25</v>
      </c>
      <c r="G906" t="s">
        <v>380</v>
      </c>
      <c r="H906" t="s">
        <v>17</v>
      </c>
      <c r="I906">
        <v>0</v>
      </c>
      <c r="J906">
        <v>0</v>
      </c>
      <c r="K906">
        <v>1</v>
      </c>
      <c r="L906">
        <v>0</v>
      </c>
      <c r="M906">
        <v>0</v>
      </c>
      <c r="N906" t="s">
        <v>194</v>
      </c>
      <c r="O906" t="s">
        <v>213</v>
      </c>
      <c r="P906" t="s">
        <v>205</v>
      </c>
      <c r="Q906" t="s">
        <v>170</v>
      </c>
      <c r="R906" t="s">
        <v>155</v>
      </c>
      <c r="T906" t="s">
        <v>134</v>
      </c>
      <c r="U906">
        <v>1</v>
      </c>
      <c r="W906" t="s">
        <v>134</v>
      </c>
      <c r="X906">
        <v>1</v>
      </c>
      <c r="Y906" t="s">
        <v>139</v>
      </c>
      <c r="Z906" t="s">
        <v>180</v>
      </c>
      <c r="AA906" t="s">
        <v>142</v>
      </c>
      <c r="AB906" t="s">
        <v>162</v>
      </c>
      <c r="AC906" t="s">
        <v>174</v>
      </c>
      <c r="AD906" t="s">
        <v>156</v>
      </c>
      <c r="AE906" t="s">
        <v>120</v>
      </c>
      <c r="AF906" t="s">
        <v>715</v>
      </c>
    </row>
    <row r="907" spans="1:32">
      <c r="A907" t="s">
        <v>1689</v>
      </c>
      <c r="B907" s="37">
        <v>39936</v>
      </c>
      <c r="C907" s="38">
        <v>39936</v>
      </c>
      <c r="D907" s="38">
        <v>39930</v>
      </c>
      <c r="E907" s="38">
        <v>39934</v>
      </c>
      <c r="F907" s="39">
        <v>31</v>
      </c>
      <c r="G907" t="s">
        <v>21</v>
      </c>
      <c r="H907" t="s">
        <v>21</v>
      </c>
      <c r="I907">
        <v>0</v>
      </c>
      <c r="J907">
        <v>0</v>
      </c>
      <c r="K907">
        <v>0</v>
      </c>
      <c r="L907">
        <v>1</v>
      </c>
      <c r="M907">
        <v>0</v>
      </c>
      <c r="N907" t="s">
        <v>201</v>
      </c>
      <c r="O907" t="s">
        <v>214</v>
      </c>
      <c r="P907" t="s">
        <v>204</v>
      </c>
      <c r="Q907" t="s">
        <v>170</v>
      </c>
      <c r="R907" t="s">
        <v>155</v>
      </c>
      <c r="T907" t="s">
        <v>134</v>
      </c>
      <c r="U907">
        <v>1</v>
      </c>
      <c r="W907" t="s">
        <v>134</v>
      </c>
      <c r="X907">
        <v>1</v>
      </c>
      <c r="Y907" t="s">
        <v>140</v>
      </c>
      <c r="Z907" t="s">
        <v>186</v>
      </c>
      <c r="AA907" t="s">
        <v>142</v>
      </c>
      <c r="AB907" t="s">
        <v>163</v>
      </c>
      <c r="AC907" t="s">
        <v>173</v>
      </c>
      <c r="AD907" t="s">
        <v>161</v>
      </c>
      <c r="AE907" t="s">
        <v>1364</v>
      </c>
      <c r="AF907" t="s">
        <v>21</v>
      </c>
    </row>
    <row r="908" spans="1:32">
      <c r="A908" t="s">
        <v>1690</v>
      </c>
      <c r="B908" s="37">
        <v>39916</v>
      </c>
      <c r="C908" s="38">
        <v>39916</v>
      </c>
      <c r="D908" s="38">
        <v>39916</v>
      </c>
      <c r="E908" s="38">
        <v>39904</v>
      </c>
      <c r="F908" s="39">
        <v>11</v>
      </c>
      <c r="G908" t="s">
        <v>21</v>
      </c>
      <c r="H908" t="s">
        <v>21</v>
      </c>
      <c r="I908">
        <v>0</v>
      </c>
      <c r="J908">
        <v>0</v>
      </c>
      <c r="K908">
        <v>0</v>
      </c>
      <c r="L908">
        <v>1</v>
      </c>
      <c r="M908">
        <v>0</v>
      </c>
      <c r="N908" t="s">
        <v>193</v>
      </c>
      <c r="O908" t="s">
        <v>213</v>
      </c>
      <c r="P908" t="s">
        <v>204</v>
      </c>
      <c r="Q908" t="s">
        <v>170</v>
      </c>
      <c r="R908" t="s">
        <v>155</v>
      </c>
      <c r="T908" t="s">
        <v>134</v>
      </c>
      <c r="U908">
        <v>1</v>
      </c>
      <c r="W908" t="s">
        <v>134</v>
      </c>
      <c r="X908">
        <v>1</v>
      </c>
      <c r="Y908" t="s">
        <v>140</v>
      </c>
      <c r="Z908" t="s">
        <v>810</v>
      </c>
      <c r="AA908" t="s">
        <v>145</v>
      </c>
      <c r="AB908" t="s">
        <v>163</v>
      </c>
      <c r="AC908" t="s">
        <v>173</v>
      </c>
      <c r="AD908" t="s">
        <v>155</v>
      </c>
      <c r="AE908" t="s">
        <v>454</v>
      </c>
      <c r="AF908" t="s">
        <v>21</v>
      </c>
    </row>
    <row r="909" spans="1:32">
      <c r="A909" t="s">
        <v>1691</v>
      </c>
      <c r="B909" s="37">
        <v>40005</v>
      </c>
      <c r="C909" s="38">
        <v>40005</v>
      </c>
      <c r="D909" s="38">
        <v>40000</v>
      </c>
      <c r="E909" s="38">
        <v>39995</v>
      </c>
      <c r="F909" s="39">
        <v>100</v>
      </c>
      <c r="G909" t="s">
        <v>21</v>
      </c>
      <c r="H909" t="s">
        <v>21</v>
      </c>
      <c r="I909">
        <v>0</v>
      </c>
      <c r="J909">
        <v>0</v>
      </c>
      <c r="K909">
        <v>0</v>
      </c>
      <c r="L909">
        <v>1</v>
      </c>
      <c r="M909">
        <v>0</v>
      </c>
      <c r="N909" t="s">
        <v>193</v>
      </c>
      <c r="O909" t="s">
        <v>213</v>
      </c>
      <c r="P909" t="s">
        <v>204</v>
      </c>
      <c r="Q909" t="s">
        <v>170</v>
      </c>
      <c r="R909" t="s">
        <v>155</v>
      </c>
      <c r="S909">
        <v>5</v>
      </c>
      <c r="T909" t="s">
        <v>135</v>
      </c>
      <c r="U909">
        <v>0</v>
      </c>
      <c r="V909">
        <v>5</v>
      </c>
      <c r="W909" t="s">
        <v>135</v>
      </c>
      <c r="X909">
        <v>0</v>
      </c>
      <c r="Y909" t="s">
        <v>140</v>
      </c>
      <c r="Z909" t="s">
        <v>182</v>
      </c>
      <c r="AA909" t="s">
        <v>145</v>
      </c>
      <c r="AB909" t="s">
        <v>163</v>
      </c>
      <c r="AC909" t="s">
        <v>173</v>
      </c>
      <c r="AD909" t="s">
        <v>155</v>
      </c>
      <c r="AE909" t="s">
        <v>124</v>
      </c>
      <c r="AF909" t="s">
        <v>21</v>
      </c>
    </row>
    <row r="910" spans="1:32">
      <c r="A910" t="s">
        <v>1692</v>
      </c>
      <c r="B910" s="37">
        <v>39913</v>
      </c>
      <c r="C910" s="38">
        <v>39913</v>
      </c>
      <c r="D910" s="38">
        <v>39909</v>
      </c>
      <c r="E910" s="38">
        <v>39904</v>
      </c>
      <c r="F910" s="39">
        <v>8</v>
      </c>
      <c r="G910" t="s">
        <v>21</v>
      </c>
      <c r="H910" t="s">
        <v>21</v>
      </c>
      <c r="I910">
        <v>0</v>
      </c>
      <c r="J910">
        <v>0</v>
      </c>
      <c r="K910">
        <v>0</v>
      </c>
      <c r="L910">
        <v>1</v>
      </c>
      <c r="M910">
        <v>0</v>
      </c>
      <c r="N910" t="s">
        <v>198</v>
      </c>
      <c r="O910" t="s">
        <v>213</v>
      </c>
      <c r="P910" t="s">
        <v>208</v>
      </c>
      <c r="Q910" t="s">
        <v>170</v>
      </c>
      <c r="R910" t="s">
        <v>155</v>
      </c>
      <c r="T910" t="s">
        <v>134</v>
      </c>
      <c r="U910">
        <v>1</v>
      </c>
      <c r="W910" t="s">
        <v>134</v>
      </c>
      <c r="X910">
        <v>1</v>
      </c>
      <c r="Y910" t="s">
        <v>139</v>
      </c>
      <c r="Z910" t="s">
        <v>182</v>
      </c>
      <c r="AA910" t="s">
        <v>143</v>
      </c>
      <c r="AB910" t="s">
        <v>165</v>
      </c>
      <c r="AC910" t="s">
        <v>1693</v>
      </c>
      <c r="AD910" t="s">
        <v>158</v>
      </c>
      <c r="AE910" t="s">
        <v>122</v>
      </c>
      <c r="AF910" t="s">
        <v>21</v>
      </c>
    </row>
    <row r="911" spans="1:32">
      <c r="A911" t="s">
        <v>1694</v>
      </c>
      <c r="B911" s="37">
        <v>40048</v>
      </c>
      <c r="C911" s="38">
        <v>40048</v>
      </c>
      <c r="D911" s="38">
        <v>40042</v>
      </c>
      <c r="E911" s="38">
        <v>40026</v>
      </c>
      <c r="F911" s="39">
        <v>143</v>
      </c>
      <c r="G911" t="s">
        <v>21</v>
      </c>
      <c r="H911" t="s">
        <v>21</v>
      </c>
      <c r="I911">
        <v>0</v>
      </c>
      <c r="J911">
        <v>0</v>
      </c>
      <c r="K911">
        <v>0</v>
      </c>
      <c r="L911">
        <v>1</v>
      </c>
      <c r="M911">
        <v>0</v>
      </c>
      <c r="N911" t="s">
        <v>197</v>
      </c>
      <c r="O911" t="s">
        <v>213</v>
      </c>
      <c r="P911" t="s">
        <v>209</v>
      </c>
      <c r="Q911" t="s">
        <v>170</v>
      </c>
      <c r="R911" t="s">
        <v>155</v>
      </c>
      <c r="S911">
        <v>4</v>
      </c>
      <c r="T911" t="s">
        <v>137</v>
      </c>
      <c r="U911">
        <v>0</v>
      </c>
      <c r="V911">
        <v>4</v>
      </c>
      <c r="W911" t="s">
        <v>137</v>
      </c>
      <c r="X911">
        <v>0</v>
      </c>
      <c r="Y911" t="s">
        <v>139</v>
      </c>
      <c r="Z911" t="s">
        <v>179</v>
      </c>
      <c r="AA911" t="s">
        <v>144</v>
      </c>
      <c r="AB911" t="s">
        <v>165</v>
      </c>
      <c r="AC911" t="s">
        <v>1695</v>
      </c>
      <c r="AD911" t="s">
        <v>158</v>
      </c>
      <c r="AE911" t="s">
        <v>122</v>
      </c>
      <c r="AF911" t="s">
        <v>21</v>
      </c>
    </row>
    <row r="912" spans="1:32">
      <c r="A912" t="s">
        <v>1696</v>
      </c>
      <c r="B912" s="37">
        <v>39914</v>
      </c>
      <c r="C912" s="38">
        <v>39914</v>
      </c>
      <c r="D912" s="38">
        <v>39909</v>
      </c>
      <c r="E912" s="38">
        <v>39904</v>
      </c>
      <c r="F912" s="39">
        <v>9</v>
      </c>
      <c r="G912" t="s">
        <v>21</v>
      </c>
      <c r="H912" t="s">
        <v>21</v>
      </c>
      <c r="I912">
        <v>0</v>
      </c>
      <c r="J912">
        <v>0</v>
      </c>
      <c r="K912">
        <v>0</v>
      </c>
      <c r="L912">
        <v>1</v>
      </c>
      <c r="M912">
        <v>0</v>
      </c>
      <c r="N912" t="s">
        <v>198</v>
      </c>
      <c r="O912" t="s">
        <v>213</v>
      </c>
      <c r="P912" t="s">
        <v>208</v>
      </c>
      <c r="Q912" t="s">
        <v>170</v>
      </c>
      <c r="R912" t="s">
        <v>155</v>
      </c>
      <c r="T912" t="s">
        <v>134</v>
      </c>
      <c r="U912">
        <v>1</v>
      </c>
      <c r="W912" t="s">
        <v>134</v>
      </c>
      <c r="X912">
        <v>1</v>
      </c>
      <c r="Y912" t="s">
        <v>139</v>
      </c>
      <c r="Z912" t="s">
        <v>182</v>
      </c>
      <c r="AA912" t="s">
        <v>145</v>
      </c>
      <c r="AB912" t="s">
        <v>163</v>
      </c>
      <c r="AC912" t="s">
        <v>1697</v>
      </c>
      <c r="AD912" t="s">
        <v>155</v>
      </c>
      <c r="AE912" t="s">
        <v>1698</v>
      </c>
      <c r="AF912" t="s">
        <v>21</v>
      </c>
    </row>
    <row r="913" spans="1:32">
      <c r="A913" t="s">
        <v>1699</v>
      </c>
      <c r="B913" s="37">
        <v>39938</v>
      </c>
      <c r="C913" s="38">
        <v>39938</v>
      </c>
      <c r="D913" s="38">
        <v>39937</v>
      </c>
      <c r="E913" s="38">
        <v>39934</v>
      </c>
      <c r="F913" s="39">
        <v>33</v>
      </c>
      <c r="G913" t="s">
        <v>21</v>
      </c>
      <c r="H913" t="s">
        <v>21</v>
      </c>
      <c r="I913">
        <v>0</v>
      </c>
      <c r="J913">
        <v>0</v>
      </c>
      <c r="K913">
        <v>0</v>
      </c>
      <c r="L913">
        <v>1</v>
      </c>
      <c r="M913">
        <v>0</v>
      </c>
      <c r="N913" t="s">
        <v>198</v>
      </c>
      <c r="O913" t="s">
        <v>213</v>
      </c>
      <c r="P913" t="s">
        <v>208</v>
      </c>
      <c r="Q913" t="s">
        <v>170</v>
      </c>
      <c r="R913" t="s">
        <v>155</v>
      </c>
      <c r="T913" t="s">
        <v>134</v>
      </c>
      <c r="U913">
        <v>1</v>
      </c>
      <c r="W913" t="s">
        <v>134</v>
      </c>
      <c r="X913">
        <v>1</v>
      </c>
      <c r="Y913" t="s">
        <v>139</v>
      </c>
      <c r="Z913" t="s">
        <v>178</v>
      </c>
      <c r="AA913" t="s">
        <v>150</v>
      </c>
      <c r="AB913" t="s">
        <v>162</v>
      </c>
      <c r="AC913" t="s">
        <v>174</v>
      </c>
      <c r="AD913" t="s">
        <v>157</v>
      </c>
      <c r="AE913" t="s">
        <v>434</v>
      </c>
      <c r="AF913" t="s">
        <v>435</v>
      </c>
    </row>
    <row r="914" spans="1:32">
      <c r="A914" t="s">
        <v>1700</v>
      </c>
      <c r="B914" s="37">
        <v>40002</v>
      </c>
      <c r="C914" s="38">
        <v>40002</v>
      </c>
      <c r="D914" s="38">
        <v>40000</v>
      </c>
      <c r="E914" s="38">
        <v>39995</v>
      </c>
      <c r="F914" s="39">
        <v>97</v>
      </c>
      <c r="G914" t="s">
        <v>21</v>
      </c>
      <c r="H914" t="s">
        <v>21</v>
      </c>
      <c r="I914">
        <v>0</v>
      </c>
      <c r="J914">
        <v>0</v>
      </c>
      <c r="K914">
        <v>0</v>
      </c>
      <c r="L914">
        <v>1</v>
      </c>
      <c r="M914">
        <v>0</v>
      </c>
      <c r="N914" t="s">
        <v>197</v>
      </c>
      <c r="O914" t="s">
        <v>213</v>
      </c>
      <c r="P914" t="s">
        <v>209</v>
      </c>
      <c r="Q914" t="s">
        <v>170</v>
      </c>
      <c r="R914" t="s">
        <v>155</v>
      </c>
      <c r="T914" t="s">
        <v>134</v>
      </c>
      <c r="U914">
        <v>1</v>
      </c>
      <c r="V914">
        <v>5</v>
      </c>
      <c r="W914" t="s">
        <v>135</v>
      </c>
      <c r="X914">
        <v>0</v>
      </c>
      <c r="Y914" t="s">
        <v>139</v>
      </c>
      <c r="Z914" t="s">
        <v>178</v>
      </c>
      <c r="AA914" t="s">
        <v>144</v>
      </c>
      <c r="AB914" t="s">
        <v>162</v>
      </c>
      <c r="AC914" t="s">
        <v>459</v>
      </c>
      <c r="AD914" t="s">
        <v>159</v>
      </c>
      <c r="AE914" t="s">
        <v>126</v>
      </c>
      <c r="AF914" t="s">
        <v>601</v>
      </c>
    </row>
    <row r="915" spans="1:32">
      <c r="A915" t="s">
        <v>1701</v>
      </c>
      <c r="B915" s="37">
        <v>40025</v>
      </c>
      <c r="C915" s="38">
        <v>40025</v>
      </c>
      <c r="D915" s="38">
        <v>40021</v>
      </c>
      <c r="E915" s="38">
        <v>39995</v>
      </c>
      <c r="F915" s="39">
        <v>120</v>
      </c>
      <c r="G915" t="s">
        <v>496</v>
      </c>
      <c r="H915" t="s">
        <v>13</v>
      </c>
      <c r="I915">
        <v>0</v>
      </c>
      <c r="J915">
        <v>1</v>
      </c>
      <c r="K915">
        <v>0</v>
      </c>
      <c r="L915">
        <v>0</v>
      </c>
      <c r="M915">
        <v>1</v>
      </c>
      <c r="N915" t="s">
        <v>197</v>
      </c>
      <c r="O915" t="s">
        <v>213</v>
      </c>
      <c r="P915" t="s">
        <v>209</v>
      </c>
      <c r="Q915" t="s">
        <v>170</v>
      </c>
      <c r="R915" t="s">
        <v>155</v>
      </c>
      <c r="S915">
        <v>5</v>
      </c>
      <c r="T915" t="s">
        <v>135</v>
      </c>
      <c r="U915">
        <v>0</v>
      </c>
      <c r="V915">
        <v>5</v>
      </c>
      <c r="W915" t="s">
        <v>135</v>
      </c>
      <c r="X915">
        <v>0</v>
      </c>
      <c r="Y915" t="s">
        <v>139</v>
      </c>
      <c r="Z915" t="s">
        <v>433</v>
      </c>
      <c r="AA915" t="s">
        <v>143</v>
      </c>
      <c r="AB915" t="s">
        <v>162</v>
      </c>
      <c r="AC915" t="s">
        <v>174</v>
      </c>
      <c r="AD915" t="s">
        <v>159</v>
      </c>
      <c r="AE915" t="s">
        <v>123</v>
      </c>
      <c r="AF915" t="s">
        <v>123</v>
      </c>
    </row>
    <row r="916" spans="1:32">
      <c r="A916" t="s">
        <v>1702</v>
      </c>
      <c r="B916" s="37">
        <v>39933</v>
      </c>
      <c r="C916" s="38">
        <v>39933</v>
      </c>
      <c r="D916" s="38">
        <v>39930</v>
      </c>
      <c r="E916" s="38">
        <v>39904</v>
      </c>
      <c r="F916" s="39">
        <v>28</v>
      </c>
      <c r="G916" t="s">
        <v>496</v>
      </c>
      <c r="H916" t="s">
        <v>13</v>
      </c>
      <c r="I916">
        <v>0</v>
      </c>
      <c r="J916">
        <v>1</v>
      </c>
      <c r="K916">
        <v>0</v>
      </c>
      <c r="L916">
        <v>0</v>
      </c>
      <c r="M916">
        <v>1</v>
      </c>
      <c r="N916" t="s">
        <v>194</v>
      </c>
      <c r="O916" t="s">
        <v>213</v>
      </c>
      <c r="P916" t="s">
        <v>205</v>
      </c>
      <c r="Q916" t="s">
        <v>170</v>
      </c>
      <c r="R916" t="s">
        <v>155</v>
      </c>
      <c r="T916" t="s">
        <v>134</v>
      </c>
      <c r="U916">
        <v>1</v>
      </c>
      <c r="W916" t="s">
        <v>134</v>
      </c>
      <c r="X916">
        <v>1</v>
      </c>
      <c r="Y916" t="s">
        <v>139</v>
      </c>
      <c r="Z916" t="s">
        <v>183</v>
      </c>
      <c r="AA916" t="s">
        <v>149</v>
      </c>
      <c r="AB916" t="s">
        <v>163</v>
      </c>
      <c r="AC916" t="s">
        <v>1703</v>
      </c>
      <c r="AD916" t="s">
        <v>155</v>
      </c>
      <c r="AE916" t="s">
        <v>1262</v>
      </c>
      <c r="AF916" t="s">
        <v>21</v>
      </c>
    </row>
    <row r="917" spans="1:32">
      <c r="A917" t="s">
        <v>1704</v>
      </c>
      <c r="B917" s="37">
        <v>39953</v>
      </c>
      <c r="C917" s="38">
        <v>39953</v>
      </c>
      <c r="D917" s="38">
        <v>39951</v>
      </c>
      <c r="E917" s="38">
        <v>39934</v>
      </c>
      <c r="F917" s="39">
        <v>48</v>
      </c>
      <c r="G917" t="s">
        <v>21</v>
      </c>
      <c r="H917" t="s">
        <v>21</v>
      </c>
      <c r="I917">
        <v>0</v>
      </c>
      <c r="J917">
        <v>0</v>
      </c>
      <c r="K917">
        <v>0</v>
      </c>
      <c r="L917">
        <v>1</v>
      </c>
      <c r="M917">
        <v>0</v>
      </c>
      <c r="N917" t="s">
        <v>194</v>
      </c>
      <c r="O917" t="s">
        <v>213</v>
      </c>
      <c r="P917" t="s">
        <v>205</v>
      </c>
      <c r="Q917" t="s">
        <v>170</v>
      </c>
      <c r="R917" t="s">
        <v>155</v>
      </c>
      <c r="T917" t="s">
        <v>134</v>
      </c>
      <c r="U917">
        <v>1</v>
      </c>
      <c r="W917" t="s">
        <v>134</v>
      </c>
      <c r="X917">
        <v>1</v>
      </c>
      <c r="Y917" t="s">
        <v>139</v>
      </c>
      <c r="Z917" t="s">
        <v>183</v>
      </c>
      <c r="AA917" t="s">
        <v>143</v>
      </c>
      <c r="AB917" t="s">
        <v>163</v>
      </c>
      <c r="AC917" t="s">
        <v>415</v>
      </c>
      <c r="AD917" t="s">
        <v>155</v>
      </c>
      <c r="AE917" t="s">
        <v>125</v>
      </c>
      <c r="AF917" t="s">
        <v>21</v>
      </c>
    </row>
    <row r="918" spans="1:32">
      <c r="A918" t="s">
        <v>1705</v>
      </c>
      <c r="B918" s="37">
        <v>39973</v>
      </c>
      <c r="C918" s="38">
        <v>39973</v>
      </c>
      <c r="D918" s="38">
        <v>39972</v>
      </c>
      <c r="E918" s="38">
        <v>39965</v>
      </c>
      <c r="F918" s="39">
        <v>68</v>
      </c>
      <c r="G918" t="s">
        <v>21</v>
      </c>
      <c r="H918" t="s">
        <v>21</v>
      </c>
      <c r="I918">
        <v>0</v>
      </c>
      <c r="J918">
        <v>0</v>
      </c>
      <c r="K918">
        <v>0</v>
      </c>
      <c r="L918">
        <v>1</v>
      </c>
      <c r="M918">
        <v>0</v>
      </c>
      <c r="N918" t="s">
        <v>193</v>
      </c>
      <c r="O918" t="s">
        <v>213</v>
      </c>
      <c r="P918" t="s">
        <v>204</v>
      </c>
      <c r="Q918" t="s">
        <v>170</v>
      </c>
      <c r="R918" t="s">
        <v>155</v>
      </c>
      <c r="T918" t="s">
        <v>134</v>
      </c>
      <c r="U918">
        <v>1</v>
      </c>
      <c r="W918" t="s">
        <v>134</v>
      </c>
      <c r="X918">
        <v>1</v>
      </c>
      <c r="Y918" t="s">
        <v>140</v>
      </c>
      <c r="Z918" t="s">
        <v>189</v>
      </c>
      <c r="AA918" t="s">
        <v>142</v>
      </c>
      <c r="AB918" t="s">
        <v>162</v>
      </c>
      <c r="AC918" t="s">
        <v>174</v>
      </c>
      <c r="AD918" t="s">
        <v>156</v>
      </c>
      <c r="AE918" t="s">
        <v>120</v>
      </c>
      <c r="AF918" t="s">
        <v>715</v>
      </c>
    </row>
    <row r="919" spans="1:32">
      <c r="A919" t="s">
        <v>1706</v>
      </c>
      <c r="B919" s="37">
        <v>39963</v>
      </c>
      <c r="C919" s="38">
        <v>39963</v>
      </c>
      <c r="D919" s="38">
        <v>39958</v>
      </c>
      <c r="E919" s="38">
        <v>39934</v>
      </c>
      <c r="F919" s="39">
        <v>58</v>
      </c>
      <c r="G919" t="s">
        <v>21</v>
      </c>
      <c r="H919" t="s">
        <v>21</v>
      </c>
      <c r="I919">
        <v>0</v>
      </c>
      <c r="J919">
        <v>0</v>
      </c>
      <c r="K919">
        <v>0</v>
      </c>
      <c r="L919">
        <v>1</v>
      </c>
      <c r="M919">
        <v>0</v>
      </c>
      <c r="N919" t="s">
        <v>193</v>
      </c>
      <c r="O919" t="s">
        <v>213</v>
      </c>
      <c r="P919" t="s">
        <v>204</v>
      </c>
      <c r="Q919" t="s">
        <v>170</v>
      </c>
      <c r="R919" t="s">
        <v>155</v>
      </c>
      <c r="T919" t="s">
        <v>134</v>
      </c>
      <c r="U919">
        <v>1</v>
      </c>
      <c r="W919" t="s">
        <v>134</v>
      </c>
      <c r="X919">
        <v>1</v>
      </c>
      <c r="Y919" t="s">
        <v>140</v>
      </c>
      <c r="Z919" t="s">
        <v>509</v>
      </c>
      <c r="AA919" t="s">
        <v>148</v>
      </c>
      <c r="AB919" t="s">
        <v>162</v>
      </c>
      <c r="AC919" t="s">
        <v>1275</v>
      </c>
      <c r="AD919" t="s">
        <v>155</v>
      </c>
      <c r="AE919" t="s">
        <v>130</v>
      </c>
      <c r="AF919" t="s">
        <v>21</v>
      </c>
    </row>
    <row r="920" spans="1:32">
      <c r="A920" t="s">
        <v>1707</v>
      </c>
      <c r="B920" s="37">
        <v>39950</v>
      </c>
      <c r="C920" s="38">
        <v>39950</v>
      </c>
      <c r="D920" s="38">
        <v>39944</v>
      </c>
      <c r="E920" s="38">
        <v>39934</v>
      </c>
      <c r="F920" s="39">
        <v>45</v>
      </c>
      <c r="G920" t="s">
        <v>21</v>
      </c>
      <c r="H920" t="s">
        <v>21</v>
      </c>
      <c r="I920">
        <v>0</v>
      </c>
      <c r="J920">
        <v>0</v>
      </c>
      <c r="K920">
        <v>0</v>
      </c>
      <c r="L920">
        <v>1</v>
      </c>
      <c r="M920">
        <v>0</v>
      </c>
      <c r="N920" t="s">
        <v>193</v>
      </c>
      <c r="O920" t="s">
        <v>213</v>
      </c>
      <c r="P920" t="s">
        <v>204</v>
      </c>
      <c r="Q920" t="s">
        <v>170</v>
      </c>
      <c r="R920" t="s">
        <v>155</v>
      </c>
      <c r="T920" t="s">
        <v>134</v>
      </c>
      <c r="U920">
        <v>1</v>
      </c>
      <c r="W920" t="s">
        <v>134</v>
      </c>
      <c r="X920">
        <v>1</v>
      </c>
      <c r="Y920" t="s">
        <v>140</v>
      </c>
      <c r="Z920" t="s">
        <v>189</v>
      </c>
      <c r="AA920" t="s">
        <v>143</v>
      </c>
      <c r="AB920" t="s">
        <v>163</v>
      </c>
      <c r="AC920" t="s">
        <v>415</v>
      </c>
      <c r="AD920" t="s">
        <v>155</v>
      </c>
      <c r="AE920" t="s">
        <v>125</v>
      </c>
      <c r="AF920" t="s">
        <v>21</v>
      </c>
    </row>
    <row r="921" spans="1:32">
      <c r="A921" t="s">
        <v>1708</v>
      </c>
      <c r="B921" s="37">
        <v>39949</v>
      </c>
      <c r="C921" s="38">
        <v>39949</v>
      </c>
      <c r="D921" s="38">
        <v>39944</v>
      </c>
      <c r="E921" s="38">
        <v>39934</v>
      </c>
      <c r="F921" s="39">
        <v>44</v>
      </c>
      <c r="G921" t="s">
        <v>21</v>
      </c>
      <c r="H921" t="s">
        <v>21</v>
      </c>
      <c r="I921">
        <v>0</v>
      </c>
      <c r="J921">
        <v>0</v>
      </c>
      <c r="K921">
        <v>0</v>
      </c>
      <c r="L921">
        <v>1</v>
      </c>
      <c r="M921">
        <v>0</v>
      </c>
      <c r="N921" t="s">
        <v>193</v>
      </c>
      <c r="O921" t="s">
        <v>213</v>
      </c>
      <c r="P921" t="s">
        <v>204</v>
      </c>
      <c r="Q921" t="s">
        <v>170</v>
      </c>
      <c r="R921" t="s">
        <v>155</v>
      </c>
      <c r="T921" t="s">
        <v>134</v>
      </c>
      <c r="U921">
        <v>1</v>
      </c>
      <c r="W921" t="s">
        <v>134</v>
      </c>
      <c r="X921">
        <v>1</v>
      </c>
      <c r="Y921" t="s">
        <v>140</v>
      </c>
      <c r="Z921" t="s">
        <v>179</v>
      </c>
      <c r="AA921" t="s">
        <v>147</v>
      </c>
      <c r="AB921" t="s">
        <v>163</v>
      </c>
      <c r="AC921" t="s">
        <v>1709</v>
      </c>
      <c r="AD921" t="s">
        <v>155</v>
      </c>
      <c r="AE921" t="s">
        <v>1262</v>
      </c>
      <c r="AF921" t="s">
        <v>21</v>
      </c>
    </row>
    <row r="922" spans="1:32">
      <c r="A922" t="s">
        <v>1710</v>
      </c>
      <c r="B922" s="37">
        <v>39948</v>
      </c>
      <c r="C922" s="38">
        <v>39948</v>
      </c>
      <c r="D922" s="38">
        <v>39944</v>
      </c>
      <c r="E922" s="38">
        <v>39934</v>
      </c>
      <c r="F922" s="39">
        <v>43</v>
      </c>
      <c r="G922" t="s">
        <v>21</v>
      </c>
      <c r="H922" t="s">
        <v>21</v>
      </c>
      <c r="I922">
        <v>0</v>
      </c>
      <c r="J922">
        <v>0</v>
      </c>
      <c r="K922">
        <v>0</v>
      </c>
      <c r="L922">
        <v>1</v>
      </c>
      <c r="M922">
        <v>0</v>
      </c>
      <c r="N922" t="s">
        <v>193</v>
      </c>
      <c r="O922" t="s">
        <v>213</v>
      </c>
      <c r="P922" t="s">
        <v>204</v>
      </c>
      <c r="Q922" t="s">
        <v>170</v>
      </c>
      <c r="R922" t="s">
        <v>155</v>
      </c>
      <c r="T922" t="s">
        <v>134</v>
      </c>
      <c r="U922">
        <v>1</v>
      </c>
      <c r="W922" t="s">
        <v>134</v>
      </c>
      <c r="X922">
        <v>1</v>
      </c>
      <c r="Y922" t="s">
        <v>140</v>
      </c>
      <c r="Z922" t="s">
        <v>937</v>
      </c>
      <c r="AA922" t="s">
        <v>142</v>
      </c>
      <c r="AB922" t="s">
        <v>163</v>
      </c>
      <c r="AC922" t="s">
        <v>1711</v>
      </c>
      <c r="AD922" t="s">
        <v>161</v>
      </c>
      <c r="AE922" t="s">
        <v>465</v>
      </c>
      <c r="AF922" t="s">
        <v>21</v>
      </c>
    </row>
    <row r="923" spans="1:32">
      <c r="A923" t="s">
        <v>1712</v>
      </c>
      <c r="B923" s="37">
        <v>39929</v>
      </c>
      <c r="C923" s="38">
        <v>39929</v>
      </c>
      <c r="D923" s="38">
        <v>39923</v>
      </c>
      <c r="E923" s="38">
        <v>39904</v>
      </c>
      <c r="F923" s="39">
        <v>24</v>
      </c>
      <c r="G923" t="s">
        <v>21</v>
      </c>
      <c r="H923" t="s">
        <v>21</v>
      </c>
      <c r="I923">
        <v>0</v>
      </c>
      <c r="J923">
        <v>0</v>
      </c>
      <c r="K923">
        <v>0</v>
      </c>
      <c r="L923">
        <v>1</v>
      </c>
      <c r="M923">
        <v>0</v>
      </c>
      <c r="N923" t="s">
        <v>194</v>
      </c>
      <c r="O923" t="s">
        <v>213</v>
      </c>
      <c r="P923" t="s">
        <v>205</v>
      </c>
      <c r="Q923" t="s">
        <v>170</v>
      </c>
      <c r="R923" t="s">
        <v>155</v>
      </c>
      <c r="T923" t="s">
        <v>134</v>
      </c>
      <c r="U923">
        <v>1</v>
      </c>
      <c r="W923" t="s">
        <v>134</v>
      </c>
      <c r="X923">
        <v>1</v>
      </c>
      <c r="Y923" t="s">
        <v>139</v>
      </c>
      <c r="Z923" t="s">
        <v>937</v>
      </c>
      <c r="AA923" t="s">
        <v>147</v>
      </c>
      <c r="AB923" t="s">
        <v>163</v>
      </c>
      <c r="AC923" t="s">
        <v>1713</v>
      </c>
      <c r="AD923" t="s">
        <v>155</v>
      </c>
      <c r="AE923" t="s">
        <v>124</v>
      </c>
      <c r="AF923" t="s">
        <v>21</v>
      </c>
    </row>
    <row r="924" spans="1:32">
      <c r="A924" t="s">
        <v>1714</v>
      </c>
      <c r="B924" s="37">
        <v>39947</v>
      </c>
      <c r="C924" s="38">
        <v>39947</v>
      </c>
      <c r="D924" s="38">
        <v>39944</v>
      </c>
      <c r="E924" s="38">
        <v>39934</v>
      </c>
      <c r="F924" s="39">
        <v>42</v>
      </c>
      <c r="G924" t="s">
        <v>21</v>
      </c>
      <c r="H924" t="s">
        <v>21</v>
      </c>
      <c r="I924">
        <v>0</v>
      </c>
      <c r="J924">
        <v>0</v>
      </c>
      <c r="K924">
        <v>0</v>
      </c>
      <c r="L924">
        <v>1</v>
      </c>
      <c r="M924">
        <v>0</v>
      </c>
      <c r="N924" t="s">
        <v>193</v>
      </c>
      <c r="O924" t="s">
        <v>213</v>
      </c>
      <c r="P924" t="s">
        <v>204</v>
      </c>
      <c r="Q924" t="s">
        <v>170</v>
      </c>
      <c r="R924" t="s">
        <v>155</v>
      </c>
      <c r="T924" t="s">
        <v>134</v>
      </c>
      <c r="U924">
        <v>1</v>
      </c>
      <c r="W924" t="s">
        <v>134</v>
      </c>
      <c r="X924">
        <v>1</v>
      </c>
      <c r="Y924" t="s">
        <v>140</v>
      </c>
      <c r="Z924" t="s">
        <v>179</v>
      </c>
      <c r="AA924" t="s">
        <v>151</v>
      </c>
      <c r="AB924" t="s">
        <v>162</v>
      </c>
      <c r="AC924" t="s">
        <v>175</v>
      </c>
      <c r="AD924" t="s">
        <v>159</v>
      </c>
      <c r="AE924" t="s">
        <v>126</v>
      </c>
      <c r="AF924" t="s">
        <v>601</v>
      </c>
    </row>
    <row r="925" spans="1:32">
      <c r="A925" t="s">
        <v>1715</v>
      </c>
      <c r="B925" s="37">
        <v>39924</v>
      </c>
      <c r="C925" s="38">
        <v>39924</v>
      </c>
      <c r="D925" s="38">
        <v>39923</v>
      </c>
      <c r="E925" s="38">
        <v>39904</v>
      </c>
      <c r="F925" s="39">
        <v>19</v>
      </c>
      <c r="G925" t="s">
        <v>9</v>
      </c>
      <c r="H925" t="s">
        <v>9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193</v>
      </c>
      <c r="O925" t="s">
        <v>213</v>
      </c>
      <c r="P925" t="s">
        <v>204</v>
      </c>
      <c r="Q925" t="s">
        <v>170</v>
      </c>
      <c r="R925" t="s">
        <v>155</v>
      </c>
      <c r="T925" t="s">
        <v>134</v>
      </c>
      <c r="U925">
        <v>1</v>
      </c>
      <c r="W925" t="s">
        <v>134</v>
      </c>
      <c r="X925">
        <v>1</v>
      </c>
      <c r="Y925" t="s">
        <v>140</v>
      </c>
      <c r="Z925" t="s">
        <v>178</v>
      </c>
      <c r="AA925" t="s">
        <v>143</v>
      </c>
      <c r="AB925" t="s">
        <v>162</v>
      </c>
      <c r="AC925" t="s">
        <v>174</v>
      </c>
      <c r="AD925" t="s">
        <v>160</v>
      </c>
      <c r="AE925" t="s">
        <v>126</v>
      </c>
      <c r="AF925" t="s">
        <v>1716</v>
      </c>
    </row>
    <row r="926" spans="1:32">
      <c r="A926" t="s">
        <v>1717</v>
      </c>
      <c r="B926" s="37">
        <v>39976</v>
      </c>
      <c r="C926" s="38">
        <v>39976</v>
      </c>
      <c r="D926" s="38">
        <v>39972</v>
      </c>
      <c r="E926" s="38">
        <v>39965</v>
      </c>
      <c r="F926" s="39">
        <v>71</v>
      </c>
      <c r="G926" t="s">
        <v>21</v>
      </c>
      <c r="H926" t="s">
        <v>21</v>
      </c>
      <c r="I926">
        <v>0</v>
      </c>
      <c r="J926">
        <v>0</v>
      </c>
      <c r="K926">
        <v>0</v>
      </c>
      <c r="L926">
        <v>1</v>
      </c>
      <c r="M926">
        <v>0</v>
      </c>
      <c r="N926" t="s">
        <v>193</v>
      </c>
      <c r="O926" t="s">
        <v>213</v>
      </c>
      <c r="P926" t="s">
        <v>204</v>
      </c>
      <c r="Q926" t="s">
        <v>170</v>
      </c>
      <c r="R926" t="s">
        <v>155</v>
      </c>
      <c r="T926" t="s">
        <v>134</v>
      </c>
      <c r="U926">
        <v>1</v>
      </c>
      <c r="W926" t="s">
        <v>134</v>
      </c>
      <c r="X926">
        <v>1</v>
      </c>
      <c r="Y926" t="s">
        <v>140</v>
      </c>
      <c r="Z926" t="s">
        <v>509</v>
      </c>
      <c r="AA926" t="s">
        <v>150</v>
      </c>
      <c r="AB926" t="s">
        <v>162</v>
      </c>
      <c r="AC926" t="s">
        <v>1624</v>
      </c>
      <c r="AD926" t="s">
        <v>155</v>
      </c>
      <c r="AE926" t="s">
        <v>130</v>
      </c>
      <c r="AF926" t="s">
        <v>21</v>
      </c>
    </row>
    <row r="927" spans="1:32">
      <c r="A927" t="s">
        <v>1718</v>
      </c>
      <c r="B927" s="37">
        <v>40023</v>
      </c>
      <c r="C927" s="38">
        <v>40023</v>
      </c>
      <c r="D927" s="38">
        <v>40021</v>
      </c>
      <c r="E927" s="38">
        <v>39995</v>
      </c>
      <c r="F927" s="39">
        <v>118</v>
      </c>
      <c r="G927" t="s">
        <v>21</v>
      </c>
      <c r="H927" t="s">
        <v>21</v>
      </c>
      <c r="I927">
        <v>0</v>
      </c>
      <c r="J927">
        <v>0</v>
      </c>
      <c r="K927">
        <v>0</v>
      </c>
      <c r="L927">
        <v>1</v>
      </c>
      <c r="M927">
        <v>0</v>
      </c>
      <c r="N927" t="s">
        <v>193</v>
      </c>
      <c r="O927" t="s">
        <v>213</v>
      </c>
      <c r="P927" t="s">
        <v>204</v>
      </c>
      <c r="Q927" t="s">
        <v>170</v>
      </c>
      <c r="R927" t="s">
        <v>155</v>
      </c>
      <c r="S927">
        <v>5</v>
      </c>
      <c r="T927" t="s">
        <v>135</v>
      </c>
      <c r="U927">
        <v>0</v>
      </c>
      <c r="V927">
        <v>3</v>
      </c>
      <c r="W927" t="s">
        <v>137</v>
      </c>
      <c r="X927">
        <v>0</v>
      </c>
      <c r="Y927" t="s">
        <v>140</v>
      </c>
      <c r="Z927" t="s">
        <v>180</v>
      </c>
      <c r="AA927" t="s">
        <v>144</v>
      </c>
      <c r="AB927" t="s">
        <v>162</v>
      </c>
      <c r="AC927" t="s">
        <v>619</v>
      </c>
      <c r="AD927" t="s">
        <v>159</v>
      </c>
      <c r="AE927" t="s">
        <v>123</v>
      </c>
      <c r="AF927" t="s">
        <v>123</v>
      </c>
    </row>
    <row r="928" spans="1:32">
      <c r="A928" t="s">
        <v>1719</v>
      </c>
      <c r="B928" s="37">
        <v>39952</v>
      </c>
      <c r="C928" s="38">
        <v>39952</v>
      </c>
      <c r="D928" s="38">
        <v>39951</v>
      </c>
      <c r="E928" s="38">
        <v>39934</v>
      </c>
      <c r="F928" s="39">
        <v>47</v>
      </c>
      <c r="G928" t="s">
        <v>380</v>
      </c>
      <c r="H928" t="s">
        <v>17</v>
      </c>
      <c r="I928">
        <v>0</v>
      </c>
      <c r="J928">
        <v>0</v>
      </c>
      <c r="K928">
        <v>1</v>
      </c>
      <c r="L928">
        <v>0</v>
      </c>
      <c r="M928">
        <v>0</v>
      </c>
      <c r="N928" t="s">
        <v>195</v>
      </c>
      <c r="O928" t="s">
        <v>213</v>
      </c>
      <c r="P928" t="s">
        <v>206</v>
      </c>
      <c r="Q928" t="s">
        <v>170</v>
      </c>
      <c r="R928" t="s">
        <v>155</v>
      </c>
      <c r="T928" t="s">
        <v>134</v>
      </c>
      <c r="U928">
        <v>1</v>
      </c>
      <c r="W928" t="s">
        <v>134</v>
      </c>
      <c r="X928">
        <v>1</v>
      </c>
      <c r="Y928" t="s">
        <v>139</v>
      </c>
      <c r="Z928" t="s">
        <v>180</v>
      </c>
      <c r="AA928" t="s">
        <v>147</v>
      </c>
      <c r="AB928" t="s">
        <v>162</v>
      </c>
      <c r="AC928" t="s">
        <v>175</v>
      </c>
      <c r="AD928" t="s">
        <v>155</v>
      </c>
      <c r="AE928" t="s">
        <v>129</v>
      </c>
      <c r="AF928" t="s">
        <v>21</v>
      </c>
    </row>
    <row r="929" spans="1:32">
      <c r="A929" t="s">
        <v>1720</v>
      </c>
      <c r="B929" s="37">
        <v>40013</v>
      </c>
      <c r="C929" s="38">
        <v>40013</v>
      </c>
      <c r="D929" s="38">
        <v>40007</v>
      </c>
      <c r="E929" s="38">
        <v>39995</v>
      </c>
      <c r="F929" s="39">
        <v>108</v>
      </c>
      <c r="G929" t="s">
        <v>21</v>
      </c>
      <c r="H929" t="s">
        <v>21</v>
      </c>
      <c r="I929">
        <v>0</v>
      </c>
      <c r="J929">
        <v>0</v>
      </c>
      <c r="K929">
        <v>0</v>
      </c>
      <c r="L929">
        <v>1</v>
      </c>
      <c r="M929">
        <v>0</v>
      </c>
      <c r="N929" t="s">
        <v>196</v>
      </c>
      <c r="O929" t="s">
        <v>213</v>
      </c>
      <c r="P929" t="s">
        <v>207</v>
      </c>
      <c r="Q929" t="s">
        <v>170</v>
      </c>
      <c r="R929" t="s">
        <v>155</v>
      </c>
      <c r="S929">
        <v>5</v>
      </c>
      <c r="T929" t="s">
        <v>135</v>
      </c>
      <c r="U929">
        <v>0</v>
      </c>
      <c r="V929">
        <v>2</v>
      </c>
      <c r="W929" t="s">
        <v>136</v>
      </c>
      <c r="X929">
        <v>0</v>
      </c>
      <c r="Y929" t="s">
        <v>139</v>
      </c>
      <c r="Z929" t="s">
        <v>180</v>
      </c>
      <c r="AA929" t="s">
        <v>143</v>
      </c>
      <c r="AB929" t="s">
        <v>162</v>
      </c>
      <c r="AC929" t="s">
        <v>176</v>
      </c>
      <c r="AD929" t="s">
        <v>155</v>
      </c>
      <c r="AE929" t="s">
        <v>129</v>
      </c>
      <c r="AF929" t="s">
        <v>21</v>
      </c>
    </row>
    <row r="930" spans="1:32">
      <c r="A930" t="s">
        <v>1721</v>
      </c>
      <c r="B930" s="37">
        <v>39977</v>
      </c>
      <c r="C930" s="38">
        <v>39977</v>
      </c>
      <c r="D930" s="38">
        <v>39972</v>
      </c>
      <c r="E930" s="38">
        <v>39965</v>
      </c>
      <c r="F930" s="39">
        <v>72</v>
      </c>
      <c r="G930" t="s">
        <v>21</v>
      </c>
      <c r="H930" t="s">
        <v>21</v>
      </c>
      <c r="I930">
        <v>0</v>
      </c>
      <c r="J930">
        <v>0</v>
      </c>
      <c r="K930">
        <v>0</v>
      </c>
      <c r="L930">
        <v>1</v>
      </c>
      <c r="M930">
        <v>0</v>
      </c>
      <c r="N930" t="s">
        <v>194</v>
      </c>
      <c r="O930" t="s">
        <v>213</v>
      </c>
      <c r="P930" t="s">
        <v>205</v>
      </c>
      <c r="Q930" t="s">
        <v>170</v>
      </c>
      <c r="R930" t="s">
        <v>155</v>
      </c>
      <c r="T930" t="s">
        <v>134</v>
      </c>
      <c r="U930">
        <v>1</v>
      </c>
      <c r="W930" t="s">
        <v>134</v>
      </c>
      <c r="X930">
        <v>1</v>
      </c>
      <c r="Y930" t="s">
        <v>139</v>
      </c>
      <c r="Z930" t="s">
        <v>180</v>
      </c>
      <c r="AA930" t="s">
        <v>144</v>
      </c>
      <c r="AB930" t="s">
        <v>162</v>
      </c>
      <c r="AC930" t="s">
        <v>1722</v>
      </c>
      <c r="AD930" t="s">
        <v>157</v>
      </c>
      <c r="AE930" t="s">
        <v>127</v>
      </c>
      <c r="AF930" t="s">
        <v>153</v>
      </c>
    </row>
    <row r="931" spans="1:32">
      <c r="A931" t="s">
        <v>1723</v>
      </c>
      <c r="B931" s="37">
        <v>39916</v>
      </c>
      <c r="C931" s="38">
        <v>39916</v>
      </c>
      <c r="D931" s="38">
        <v>39916</v>
      </c>
      <c r="E931" s="38">
        <v>39904</v>
      </c>
      <c r="F931" s="39">
        <v>11</v>
      </c>
      <c r="G931" t="s">
        <v>21</v>
      </c>
      <c r="H931" t="s">
        <v>21</v>
      </c>
      <c r="I931">
        <v>0</v>
      </c>
      <c r="J931">
        <v>0</v>
      </c>
      <c r="K931">
        <v>0</v>
      </c>
      <c r="L931">
        <v>1</v>
      </c>
      <c r="M931">
        <v>0</v>
      </c>
      <c r="N931" t="s">
        <v>194</v>
      </c>
      <c r="O931" t="s">
        <v>213</v>
      </c>
      <c r="P931" t="s">
        <v>205</v>
      </c>
      <c r="Q931" t="s">
        <v>170</v>
      </c>
      <c r="R931" t="s">
        <v>155</v>
      </c>
      <c r="T931" t="s">
        <v>134</v>
      </c>
      <c r="U931">
        <v>1</v>
      </c>
      <c r="W931" t="s">
        <v>134</v>
      </c>
      <c r="X931">
        <v>1</v>
      </c>
      <c r="Y931" t="s">
        <v>139</v>
      </c>
      <c r="Z931" t="s">
        <v>179</v>
      </c>
      <c r="AA931" t="s">
        <v>143</v>
      </c>
      <c r="AB931" t="s">
        <v>162</v>
      </c>
      <c r="AC931" t="s">
        <v>1609</v>
      </c>
      <c r="AD931" t="s">
        <v>157</v>
      </c>
      <c r="AE931" t="s">
        <v>1473</v>
      </c>
      <c r="AF931" t="s">
        <v>1724</v>
      </c>
    </row>
    <row r="932" spans="1:32">
      <c r="A932" t="s">
        <v>1725</v>
      </c>
      <c r="B932" s="37">
        <v>40048</v>
      </c>
      <c r="C932" s="38">
        <v>40048</v>
      </c>
      <c r="D932" s="38">
        <v>40042</v>
      </c>
      <c r="E932" s="38">
        <v>40026</v>
      </c>
      <c r="F932" s="39">
        <v>143</v>
      </c>
      <c r="G932" t="s">
        <v>21</v>
      </c>
      <c r="H932" t="s">
        <v>21</v>
      </c>
      <c r="I932">
        <v>0</v>
      </c>
      <c r="J932">
        <v>0</v>
      </c>
      <c r="K932">
        <v>0</v>
      </c>
      <c r="L932">
        <v>1</v>
      </c>
      <c r="M932">
        <v>0</v>
      </c>
      <c r="N932" t="s">
        <v>193</v>
      </c>
      <c r="O932" t="s">
        <v>213</v>
      </c>
      <c r="P932" t="s">
        <v>204</v>
      </c>
      <c r="Q932" t="s">
        <v>170</v>
      </c>
      <c r="R932" t="s">
        <v>155</v>
      </c>
      <c r="S932">
        <v>1</v>
      </c>
      <c r="T932" t="s">
        <v>136</v>
      </c>
      <c r="U932">
        <v>0</v>
      </c>
      <c r="V932">
        <v>3</v>
      </c>
      <c r="W932" t="s">
        <v>137</v>
      </c>
      <c r="X932">
        <v>0</v>
      </c>
      <c r="Y932" t="s">
        <v>140</v>
      </c>
      <c r="Z932" t="s">
        <v>179</v>
      </c>
      <c r="AA932" t="s">
        <v>144</v>
      </c>
      <c r="AB932" t="s">
        <v>162</v>
      </c>
      <c r="AC932" t="s">
        <v>174</v>
      </c>
      <c r="AD932" t="s">
        <v>157</v>
      </c>
      <c r="AE932" t="s">
        <v>434</v>
      </c>
      <c r="AF932" t="s">
        <v>449</v>
      </c>
    </row>
    <row r="933" spans="1:32">
      <c r="A933" t="s">
        <v>1726</v>
      </c>
      <c r="B933" s="37">
        <v>39939</v>
      </c>
      <c r="C933" s="38">
        <v>39939</v>
      </c>
      <c r="D933" s="38">
        <v>39937</v>
      </c>
      <c r="E933" s="38">
        <v>39934</v>
      </c>
      <c r="F933" s="39">
        <v>34</v>
      </c>
      <c r="G933" t="s">
        <v>21</v>
      </c>
      <c r="H933" t="s">
        <v>21</v>
      </c>
      <c r="I933">
        <v>0</v>
      </c>
      <c r="J933">
        <v>0</v>
      </c>
      <c r="K933">
        <v>0</v>
      </c>
      <c r="L933">
        <v>1</v>
      </c>
      <c r="M933">
        <v>0</v>
      </c>
      <c r="N933" t="s">
        <v>193</v>
      </c>
      <c r="O933" t="s">
        <v>213</v>
      </c>
      <c r="P933" t="s">
        <v>204</v>
      </c>
      <c r="Q933" t="s">
        <v>170</v>
      </c>
      <c r="R933" t="s">
        <v>155</v>
      </c>
      <c r="T933" t="s">
        <v>134</v>
      </c>
      <c r="U933">
        <v>1</v>
      </c>
      <c r="W933" t="s">
        <v>134</v>
      </c>
      <c r="X933">
        <v>1</v>
      </c>
      <c r="Y933" t="s">
        <v>140</v>
      </c>
      <c r="Z933" t="s">
        <v>179</v>
      </c>
      <c r="AA933" t="s">
        <v>142</v>
      </c>
      <c r="AB933" t="s">
        <v>163</v>
      </c>
      <c r="AC933" t="s">
        <v>173</v>
      </c>
      <c r="AD933" t="s">
        <v>155</v>
      </c>
      <c r="AE933" t="s">
        <v>128</v>
      </c>
      <c r="AF933" t="s">
        <v>21</v>
      </c>
    </row>
    <row r="934" spans="1:32">
      <c r="A934" t="s">
        <v>1727</v>
      </c>
      <c r="B934" s="37">
        <v>40030</v>
      </c>
      <c r="C934" s="38">
        <v>40030</v>
      </c>
      <c r="D934" s="38">
        <v>40028</v>
      </c>
      <c r="E934" s="38">
        <v>40026</v>
      </c>
      <c r="F934" s="39">
        <v>125</v>
      </c>
      <c r="G934" t="s">
        <v>21</v>
      </c>
      <c r="H934" t="s">
        <v>21</v>
      </c>
      <c r="I934">
        <v>0</v>
      </c>
      <c r="J934">
        <v>0</v>
      </c>
      <c r="K934">
        <v>0</v>
      </c>
      <c r="L934">
        <v>1</v>
      </c>
      <c r="M934">
        <v>0</v>
      </c>
      <c r="N934" t="s">
        <v>197</v>
      </c>
      <c r="O934" t="s">
        <v>213</v>
      </c>
      <c r="P934" t="s">
        <v>209</v>
      </c>
      <c r="Q934" t="s">
        <v>170</v>
      </c>
      <c r="R934" t="s">
        <v>155</v>
      </c>
      <c r="S934">
        <v>5</v>
      </c>
      <c r="T934" t="s">
        <v>135</v>
      </c>
      <c r="U934">
        <v>0</v>
      </c>
      <c r="V934">
        <v>5</v>
      </c>
      <c r="W934" t="s">
        <v>135</v>
      </c>
      <c r="X934">
        <v>0</v>
      </c>
      <c r="Y934" t="s">
        <v>139</v>
      </c>
      <c r="Z934" t="s">
        <v>179</v>
      </c>
      <c r="AA934" t="s">
        <v>144</v>
      </c>
      <c r="AB934" t="s">
        <v>162</v>
      </c>
      <c r="AC934" t="s">
        <v>1728</v>
      </c>
      <c r="AD934" t="s">
        <v>157</v>
      </c>
      <c r="AE934" t="s">
        <v>127</v>
      </c>
      <c r="AF934" t="s">
        <v>153</v>
      </c>
    </row>
    <row r="935" spans="1:32">
      <c r="A935" t="s">
        <v>1729</v>
      </c>
      <c r="B935" s="37">
        <v>40002</v>
      </c>
      <c r="C935" s="38">
        <v>40002</v>
      </c>
      <c r="D935" s="38">
        <v>40000</v>
      </c>
      <c r="E935" s="38">
        <v>39995</v>
      </c>
      <c r="F935" s="39">
        <v>97</v>
      </c>
      <c r="G935" t="s">
        <v>380</v>
      </c>
      <c r="H935" t="s">
        <v>17</v>
      </c>
      <c r="I935">
        <v>0</v>
      </c>
      <c r="J935">
        <v>0</v>
      </c>
      <c r="K935">
        <v>1</v>
      </c>
      <c r="L935">
        <v>0</v>
      </c>
      <c r="M935">
        <v>0</v>
      </c>
      <c r="N935" t="s">
        <v>193</v>
      </c>
      <c r="O935" t="s">
        <v>213</v>
      </c>
      <c r="P935" t="s">
        <v>204</v>
      </c>
      <c r="Q935" t="s">
        <v>170</v>
      </c>
      <c r="R935" t="s">
        <v>155</v>
      </c>
      <c r="T935" t="s">
        <v>134</v>
      </c>
      <c r="U935">
        <v>1</v>
      </c>
      <c r="V935">
        <v>5</v>
      </c>
      <c r="W935" t="s">
        <v>135</v>
      </c>
      <c r="X935">
        <v>0</v>
      </c>
      <c r="Y935" t="s">
        <v>140</v>
      </c>
      <c r="Z935" t="s">
        <v>509</v>
      </c>
      <c r="AA935" t="s">
        <v>149</v>
      </c>
      <c r="AB935" t="s">
        <v>162</v>
      </c>
      <c r="AC935" t="s">
        <v>175</v>
      </c>
      <c r="AD935" t="s">
        <v>155</v>
      </c>
      <c r="AE935" t="s">
        <v>130</v>
      </c>
      <c r="AF935" t="s">
        <v>21</v>
      </c>
    </row>
    <row r="936" spans="1:32">
      <c r="A936" t="s">
        <v>1730</v>
      </c>
      <c r="B936" s="37">
        <v>40002</v>
      </c>
      <c r="C936" s="38">
        <v>40002</v>
      </c>
      <c r="D936" s="38">
        <v>40000</v>
      </c>
      <c r="E936" s="38">
        <v>39995</v>
      </c>
      <c r="F936" s="39">
        <v>97</v>
      </c>
      <c r="G936" t="s">
        <v>380</v>
      </c>
      <c r="H936" t="s">
        <v>17</v>
      </c>
      <c r="I936">
        <v>0</v>
      </c>
      <c r="J936">
        <v>0</v>
      </c>
      <c r="K936">
        <v>1</v>
      </c>
      <c r="L936">
        <v>0</v>
      </c>
      <c r="M936">
        <v>0</v>
      </c>
      <c r="N936" t="s">
        <v>194</v>
      </c>
      <c r="O936" t="s">
        <v>213</v>
      </c>
      <c r="P936" t="s">
        <v>205</v>
      </c>
      <c r="Q936" t="s">
        <v>170</v>
      </c>
      <c r="R936" t="s">
        <v>155</v>
      </c>
      <c r="T936" t="s">
        <v>134</v>
      </c>
      <c r="U936">
        <v>1</v>
      </c>
      <c r="V936">
        <v>5</v>
      </c>
      <c r="W936" t="s">
        <v>135</v>
      </c>
      <c r="X936">
        <v>0</v>
      </c>
      <c r="Y936" t="s">
        <v>139</v>
      </c>
      <c r="Z936" t="s">
        <v>509</v>
      </c>
      <c r="AA936" t="s">
        <v>149</v>
      </c>
      <c r="AB936" t="s">
        <v>162</v>
      </c>
      <c r="AC936" t="s">
        <v>175</v>
      </c>
      <c r="AD936" t="s">
        <v>155</v>
      </c>
      <c r="AE936" t="s">
        <v>130</v>
      </c>
      <c r="AF936" t="s">
        <v>21</v>
      </c>
    </row>
    <row r="937" spans="1:32">
      <c r="A937" t="s">
        <v>1731</v>
      </c>
      <c r="B937" s="37">
        <v>39954</v>
      </c>
      <c r="C937" s="38">
        <v>39954</v>
      </c>
      <c r="D937" s="38">
        <v>39951</v>
      </c>
      <c r="E937" s="38">
        <v>39934</v>
      </c>
      <c r="F937" s="39">
        <v>49</v>
      </c>
      <c r="G937" t="s">
        <v>21</v>
      </c>
      <c r="H937" t="s">
        <v>21</v>
      </c>
      <c r="I937">
        <v>0</v>
      </c>
      <c r="J937">
        <v>0</v>
      </c>
      <c r="K937">
        <v>0</v>
      </c>
      <c r="L937">
        <v>1</v>
      </c>
      <c r="M937">
        <v>0</v>
      </c>
      <c r="N937" t="s">
        <v>193</v>
      </c>
      <c r="O937" t="s">
        <v>213</v>
      </c>
      <c r="P937" t="s">
        <v>204</v>
      </c>
      <c r="Q937" t="s">
        <v>170</v>
      </c>
      <c r="R937" t="s">
        <v>155</v>
      </c>
      <c r="T937" t="s">
        <v>134</v>
      </c>
      <c r="U937">
        <v>1</v>
      </c>
      <c r="W937" t="s">
        <v>134</v>
      </c>
      <c r="X937">
        <v>1</v>
      </c>
      <c r="Y937" t="s">
        <v>140</v>
      </c>
      <c r="Z937" t="s">
        <v>179</v>
      </c>
      <c r="AA937" t="s">
        <v>145</v>
      </c>
      <c r="AB937" t="s">
        <v>162</v>
      </c>
      <c r="AC937" t="s">
        <v>567</v>
      </c>
      <c r="AD937" t="s">
        <v>155</v>
      </c>
      <c r="AE937" t="s">
        <v>130</v>
      </c>
      <c r="AF937" t="s">
        <v>21</v>
      </c>
    </row>
    <row r="938" spans="1:32">
      <c r="A938" t="s">
        <v>1732</v>
      </c>
      <c r="B938" s="37">
        <v>40045</v>
      </c>
      <c r="C938" s="38">
        <v>40045</v>
      </c>
      <c r="D938" s="38">
        <v>40042</v>
      </c>
      <c r="E938" s="38">
        <v>40026</v>
      </c>
      <c r="F938" s="39">
        <v>140</v>
      </c>
      <c r="G938" t="s">
        <v>380</v>
      </c>
      <c r="H938" t="s">
        <v>17</v>
      </c>
      <c r="I938">
        <v>0</v>
      </c>
      <c r="J938">
        <v>0</v>
      </c>
      <c r="K938">
        <v>1</v>
      </c>
      <c r="L938">
        <v>0</v>
      </c>
      <c r="M938">
        <v>0</v>
      </c>
      <c r="N938" t="s">
        <v>193</v>
      </c>
      <c r="O938" t="s">
        <v>213</v>
      </c>
      <c r="P938" t="s">
        <v>204</v>
      </c>
      <c r="Q938" t="s">
        <v>170</v>
      </c>
      <c r="R938" t="s">
        <v>155</v>
      </c>
      <c r="S938">
        <v>1</v>
      </c>
      <c r="T938" t="s">
        <v>136</v>
      </c>
      <c r="U938">
        <v>0</v>
      </c>
      <c r="V938">
        <v>5</v>
      </c>
      <c r="W938" t="s">
        <v>135</v>
      </c>
      <c r="X938">
        <v>0</v>
      </c>
      <c r="Y938" t="s">
        <v>140</v>
      </c>
      <c r="Z938" t="s">
        <v>376</v>
      </c>
      <c r="AA938" t="s">
        <v>143</v>
      </c>
      <c r="AB938" t="s">
        <v>162</v>
      </c>
      <c r="AC938" t="s">
        <v>174</v>
      </c>
      <c r="AD938" t="s">
        <v>157</v>
      </c>
      <c r="AE938" t="s">
        <v>1113</v>
      </c>
      <c r="AF938" t="s">
        <v>1114</v>
      </c>
    </row>
    <row r="939" spans="1:32">
      <c r="A939" t="s">
        <v>1733</v>
      </c>
      <c r="B939" s="37">
        <v>39975</v>
      </c>
      <c r="C939" s="38">
        <v>39975</v>
      </c>
      <c r="D939" s="38">
        <v>39972</v>
      </c>
      <c r="E939" s="38">
        <v>39965</v>
      </c>
      <c r="F939" s="39">
        <v>70</v>
      </c>
      <c r="G939" t="s">
        <v>9</v>
      </c>
      <c r="H939" t="s">
        <v>9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193</v>
      </c>
      <c r="O939" t="s">
        <v>213</v>
      </c>
      <c r="P939" t="s">
        <v>204</v>
      </c>
      <c r="Q939" t="s">
        <v>170</v>
      </c>
      <c r="R939" t="s">
        <v>155</v>
      </c>
      <c r="T939" t="s">
        <v>134</v>
      </c>
      <c r="U939">
        <v>1</v>
      </c>
      <c r="W939" t="s">
        <v>134</v>
      </c>
      <c r="X939">
        <v>1</v>
      </c>
      <c r="Y939" t="s">
        <v>140</v>
      </c>
      <c r="Z939" t="s">
        <v>376</v>
      </c>
      <c r="AA939" t="s">
        <v>143</v>
      </c>
      <c r="AB939" t="s">
        <v>163</v>
      </c>
      <c r="AC939" t="s">
        <v>173</v>
      </c>
      <c r="AD939" t="s">
        <v>155</v>
      </c>
      <c r="AE939" t="s">
        <v>124</v>
      </c>
      <c r="AF939" t="s">
        <v>21</v>
      </c>
    </row>
    <row r="940" spans="1:32">
      <c r="A940" t="s">
        <v>1734</v>
      </c>
      <c r="B940" s="37">
        <v>39976</v>
      </c>
      <c r="C940" s="38">
        <v>39976</v>
      </c>
      <c r="D940" s="38">
        <v>39972</v>
      </c>
      <c r="E940" s="38">
        <v>39965</v>
      </c>
      <c r="F940" s="39">
        <v>71</v>
      </c>
      <c r="G940" t="s">
        <v>9</v>
      </c>
      <c r="H940" t="s">
        <v>9</v>
      </c>
      <c r="I940">
        <v>1</v>
      </c>
      <c r="J940">
        <v>0</v>
      </c>
      <c r="K940">
        <v>0</v>
      </c>
      <c r="L940">
        <v>0</v>
      </c>
      <c r="M940">
        <v>1</v>
      </c>
      <c r="N940" t="s">
        <v>194</v>
      </c>
      <c r="O940" t="s">
        <v>213</v>
      </c>
      <c r="P940" t="s">
        <v>205</v>
      </c>
      <c r="Q940" t="s">
        <v>170</v>
      </c>
      <c r="R940" t="s">
        <v>155</v>
      </c>
      <c r="T940" t="s">
        <v>134</v>
      </c>
      <c r="U940">
        <v>1</v>
      </c>
      <c r="W940" t="s">
        <v>134</v>
      </c>
      <c r="X940">
        <v>1</v>
      </c>
      <c r="Y940" t="s">
        <v>139</v>
      </c>
      <c r="Z940" t="s">
        <v>603</v>
      </c>
      <c r="AA940" t="s">
        <v>143</v>
      </c>
      <c r="AB940" t="s">
        <v>162</v>
      </c>
      <c r="AC940" t="s">
        <v>175</v>
      </c>
      <c r="AD940" t="s">
        <v>155</v>
      </c>
      <c r="AE940" t="s">
        <v>130</v>
      </c>
      <c r="AF940" t="s">
        <v>21</v>
      </c>
    </row>
    <row r="941" spans="1:32">
      <c r="A941" t="s">
        <v>1735</v>
      </c>
      <c r="B941" s="37">
        <v>40008</v>
      </c>
      <c r="C941" s="38">
        <v>40008</v>
      </c>
      <c r="D941" s="38">
        <v>40007</v>
      </c>
      <c r="E941" s="38">
        <v>39995</v>
      </c>
      <c r="F941" s="39">
        <v>103</v>
      </c>
      <c r="G941" t="s">
        <v>21</v>
      </c>
      <c r="H941" t="s">
        <v>21</v>
      </c>
      <c r="I941">
        <v>0</v>
      </c>
      <c r="J941">
        <v>0</v>
      </c>
      <c r="K941">
        <v>0</v>
      </c>
      <c r="L941">
        <v>1</v>
      </c>
      <c r="M941">
        <v>0</v>
      </c>
      <c r="N941" t="s">
        <v>196</v>
      </c>
      <c r="O941" t="s">
        <v>213</v>
      </c>
      <c r="P941" t="s">
        <v>207</v>
      </c>
      <c r="Q941" t="s">
        <v>170</v>
      </c>
      <c r="R941" t="s">
        <v>155</v>
      </c>
      <c r="S941">
        <v>5</v>
      </c>
      <c r="T941" t="s">
        <v>135</v>
      </c>
      <c r="U941">
        <v>0</v>
      </c>
      <c r="V941">
        <v>3</v>
      </c>
      <c r="W941" t="s">
        <v>137</v>
      </c>
      <c r="X941">
        <v>0</v>
      </c>
      <c r="Y941" t="s">
        <v>139</v>
      </c>
      <c r="Z941" t="s">
        <v>182</v>
      </c>
      <c r="AA941" t="s">
        <v>151</v>
      </c>
      <c r="AB941" t="s">
        <v>162</v>
      </c>
      <c r="AC941" t="s">
        <v>174</v>
      </c>
      <c r="AD941" t="s">
        <v>155</v>
      </c>
      <c r="AE941" t="s">
        <v>130</v>
      </c>
      <c r="AF941" t="s">
        <v>21</v>
      </c>
    </row>
    <row r="942" spans="1:32">
      <c r="A942" t="s">
        <v>1736</v>
      </c>
      <c r="B942" s="37">
        <v>40036</v>
      </c>
      <c r="C942" s="38">
        <v>40036</v>
      </c>
      <c r="D942" s="38">
        <v>40035</v>
      </c>
      <c r="E942" s="38">
        <v>40026</v>
      </c>
      <c r="F942" s="39">
        <v>131</v>
      </c>
      <c r="G942" t="s">
        <v>21</v>
      </c>
      <c r="H942" t="s">
        <v>21</v>
      </c>
      <c r="I942">
        <v>0</v>
      </c>
      <c r="J942">
        <v>0</v>
      </c>
      <c r="K942">
        <v>0</v>
      </c>
      <c r="L942">
        <v>1</v>
      </c>
      <c r="M942">
        <v>0</v>
      </c>
      <c r="N942" t="s">
        <v>193</v>
      </c>
      <c r="O942" t="s">
        <v>213</v>
      </c>
      <c r="P942" t="s">
        <v>204</v>
      </c>
      <c r="Q942" t="s">
        <v>170</v>
      </c>
      <c r="R942" t="s">
        <v>155</v>
      </c>
      <c r="S942">
        <v>5</v>
      </c>
      <c r="T942" t="s">
        <v>135</v>
      </c>
      <c r="U942">
        <v>0</v>
      </c>
      <c r="V942">
        <v>5</v>
      </c>
      <c r="W942" t="s">
        <v>135</v>
      </c>
      <c r="X942">
        <v>0</v>
      </c>
      <c r="Y942" t="s">
        <v>140</v>
      </c>
      <c r="Z942" t="s">
        <v>376</v>
      </c>
      <c r="AA942" t="s">
        <v>145</v>
      </c>
      <c r="AB942" t="s">
        <v>162</v>
      </c>
      <c r="AC942" t="s">
        <v>550</v>
      </c>
      <c r="AD942" t="s">
        <v>159</v>
      </c>
      <c r="AE942" t="s">
        <v>1737</v>
      </c>
      <c r="AF942" t="s">
        <v>1738</v>
      </c>
    </row>
    <row r="943" spans="1:32">
      <c r="A943" t="s">
        <v>1739</v>
      </c>
      <c r="B943" s="37">
        <v>39925</v>
      </c>
      <c r="C943" s="38">
        <v>39925</v>
      </c>
      <c r="D943" s="38">
        <v>39923</v>
      </c>
      <c r="E943" s="38">
        <v>39904</v>
      </c>
      <c r="F943" s="39">
        <v>20</v>
      </c>
      <c r="G943" t="s">
        <v>21</v>
      </c>
      <c r="H943" t="s">
        <v>21</v>
      </c>
      <c r="I943">
        <v>0</v>
      </c>
      <c r="J943">
        <v>0</v>
      </c>
      <c r="K943">
        <v>0</v>
      </c>
      <c r="L943">
        <v>1</v>
      </c>
      <c r="M943">
        <v>0</v>
      </c>
      <c r="N943" t="s">
        <v>199</v>
      </c>
      <c r="O943" t="s">
        <v>213</v>
      </c>
      <c r="P943" t="s">
        <v>210</v>
      </c>
      <c r="Q943" t="s">
        <v>170</v>
      </c>
      <c r="R943" t="s">
        <v>155</v>
      </c>
      <c r="T943" t="s">
        <v>134</v>
      </c>
      <c r="U943">
        <v>1</v>
      </c>
      <c r="W943" t="s">
        <v>134</v>
      </c>
      <c r="X943">
        <v>1</v>
      </c>
      <c r="Y943" t="s">
        <v>139</v>
      </c>
      <c r="Z943" t="s">
        <v>376</v>
      </c>
      <c r="AA943" t="s">
        <v>143</v>
      </c>
      <c r="AB943" t="s">
        <v>162</v>
      </c>
      <c r="AC943" t="s">
        <v>550</v>
      </c>
      <c r="AD943" t="s">
        <v>160</v>
      </c>
      <c r="AE943" t="s">
        <v>392</v>
      </c>
      <c r="AF943" t="s">
        <v>393</v>
      </c>
    </row>
    <row r="944" spans="1:32">
      <c r="A944" t="s">
        <v>1740</v>
      </c>
      <c r="B944" s="37">
        <v>39963</v>
      </c>
      <c r="C944" s="38">
        <v>39963</v>
      </c>
      <c r="D944" s="38">
        <v>39958</v>
      </c>
      <c r="E944" s="38">
        <v>39934</v>
      </c>
      <c r="F944" s="39">
        <v>58</v>
      </c>
      <c r="G944" t="s">
        <v>21</v>
      </c>
      <c r="H944" t="s">
        <v>21</v>
      </c>
      <c r="I944">
        <v>0</v>
      </c>
      <c r="J944">
        <v>0</v>
      </c>
      <c r="K944">
        <v>0</v>
      </c>
      <c r="L944">
        <v>1</v>
      </c>
      <c r="M944">
        <v>0</v>
      </c>
      <c r="N944" t="s">
        <v>195</v>
      </c>
      <c r="O944" t="s">
        <v>213</v>
      </c>
      <c r="P944" t="s">
        <v>206</v>
      </c>
      <c r="Q944" t="s">
        <v>170</v>
      </c>
      <c r="R944" t="s">
        <v>155</v>
      </c>
      <c r="T944" t="s">
        <v>134</v>
      </c>
      <c r="U944">
        <v>1</v>
      </c>
      <c r="W944" t="s">
        <v>134</v>
      </c>
      <c r="X944">
        <v>1</v>
      </c>
      <c r="Y944" t="s">
        <v>139</v>
      </c>
      <c r="Z944" t="s">
        <v>376</v>
      </c>
      <c r="AA944" t="s">
        <v>143</v>
      </c>
      <c r="AB944" t="s">
        <v>163</v>
      </c>
      <c r="AC944" t="s">
        <v>173</v>
      </c>
      <c r="AD944" t="s">
        <v>155</v>
      </c>
      <c r="AE944" t="s">
        <v>439</v>
      </c>
      <c r="AF944" t="s">
        <v>21</v>
      </c>
    </row>
    <row r="945" spans="1:32">
      <c r="A945" t="s">
        <v>1741</v>
      </c>
      <c r="B945" s="37">
        <v>39977</v>
      </c>
      <c r="C945" s="38">
        <v>39977</v>
      </c>
      <c r="D945" s="38">
        <v>39972</v>
      </c>
      <c r="E945" s="38">
        <v>39965</v>
      </c>
      <c r="F945" s="39">
        <v>72</v>
      </c>
      <c r="G945" t="s">
        <v>380</v>
      </c>
      <c r="H945" t="s">
        <v>17</v>
      </c>
      <c r="I945">
        <v>0</v>
      </c>
      <c r="J945">
        <v>0</v>
      </c>
      <c r="K945">
        <v>1</v>
      </c>
      <c r="L945">
        <v>0</v>
      </c>
      <c r="M945">
        <v>0</v>
      </c>
      <c r="N945" t="s">
        <v>193</v>
      </c>
      <c r="O945" t="s">
        <v>213</v>
      </c>
      <c r="P945" t="s">
        <v>204</v>
      </c>
      <c r="Q945" t="s">
        <v>170</v>
      </c>
      <c r="R945" t="s">
        <v>155</v>
      </c>
      <c r="T945" t="s">
        <v>134</v>
      </c>
      <c r="U945">
        <v>1</v>
      </c>
      <c r="W945" t="s">
        <v>134</v>
      </c>
      <c r="X945">
        <v>1</v>
      </c>
      <c r="Y945" t="s">
        <v>140</v>
      </c>
      <c r="Z945" t="s">
        <v>182</v>
      </c>
      <c r="AA945" t="s">
        <v>151</v>
      </c>
      <c r="AB945" t="s">
        <v>162</v>
      </c>
      <c r="AC945" t="s">
        <v>21</v>
      </c>
      <c r="AD945" t="s">
        <v>155</v>
      </c>
      <c r="AE945" t="s">
        <v>130</v>
      </c>
      <c r="AF945" t="s">
        <v>21</v>
      </c>
    </row>
    <row r="946" spans="1:32">
      <c r="A946" t="s">
        <v>1742</v>
      </c>
      <c r="B946" s="37">
        <v>40075</v>
      </c>
      <c r="C946" s="38">
        <v>40075</v>
      </c>
      <c r="D946" s="38">
        <v>40070</v>
      </c>
      <c r="E946" s="38">
        <v>40057</v>
      </c>
      <c r="F946" s="39">
        <v>170</v>
      </c>
      <c r="G946" t="s">
        <v>21</v>
      </c>
      <c r="H946" t="s">
        <v>21</v>
      </c>
      <c r="I946">
        <v>0</v>
      </c>
      <c r="J946">
        <v>0</v>
      </c>
      <c r="K946">
        <v>0</v>
      </c>
      <c r="L946">
        <v>1</v>
      </c>
      <c r="M946">
        <v>0</v>
      </c>
      <c r="N946" t="s">
        <v>196</v>
      </c>
      <c r="O946" t="s">
        <v>213</v>
      </c>
      <c r="P946" t="s">
        <v>207</v>
      </c>
      <c r="Q946" t="s">
        <v>170</v>
      </c>
      <c r="R946" t="s">
        <v>155</v>
      </c>
      <c r="S946">
        <v>5</v>
      </c>
      <c r="T946" t="s">
        <v>135</v>
      </c>
      <c r="U946">
        <v>0</v>
      </c>
      <c r="V946">
        <v>4</v>
      </c>
      <c r="W946" t="s">
        <v>137</v>
      </c>
      <c r="X946">
        <v>0</v>
      </c>
      <c r="Y946" t="s">
        <v>139</v>
      </c>
      <c r="Z946" t="s">
        <v>179</v>
      </c>
      <c r="AA946" t="s">
        <v>144</v>
      </c>
      <c r="AB946" t="s">
        <v>163</v>
      </c>
      <c r="AC946" t="s">
        <v>1743</v>
      </c>
      <c r="AD946" t="s">
        <v>155</v>
      </c>
      <c r="AE946" t="s">
        <v>128</v>
      </c>
      <c r="AF946" t="s">
        <v>21</v>
      </c>
    </row>
    <row r="947" spans="1:32">
      <c r="A947" t="s">
        <v>1744</v>
      </c>
      <c r="B947" s="37">
        <v>40063</v>
      </c>
      <c r="C947" s="38">
        <v>40063</v>
      </c>
      <c r="D947" s="38">
        <v>40063</v>
      </c>
      <c r="E947" s="38">
        <v>40057</v>
      </c>
      <c r="F947" s="39">
        <v>158</v>
      </c>
      <c r="G947" t="s">
        <v>496</v>
      </c>
      <c r="H947" t="s">
        <v>13</v>
      </c>
      <c r="I947">
        <v>0</v>
      </c>
      <c r="J947">
        <v>1</v>
      </c>
      <c r="K947">
        <v>0</v>
      </c>
      <c r="L947">
        <v>0</v>
      </c>
      <c r="M947">
        <v>1</v>
      </c>
      <c r="N947" t="s">
        <v>196</v>
      </c>
      <c r="O947" t="s">
        <v>213</v>
      </c>
      <c r="P947" t="s">
        <v>207</v>
      </c>
      <c r="Q947" t="s">
        <v>170</v>
      </c>
      <c r="R947" t="s">
        <v>155</v>
      </c>
      <c r="S947">
        <v>5</v>
      </c>
      <c r="T947" t="s">
        <v>135</v>
      </c>
      <c r="U947">
        <v>0</v>
      </c>
      <c r="V947">
        <v>5</v>
      </c>
      <c r="W947" t="s">
        <v>135</v>
      </c>
      <c r="X947">
        <v>0</v>
      </c>
      <c r="Y947" t="s">
        <v>139</v>
      </c>
      <c r="Z947" t="s">
        <v>179</v>
      </c>
      <c r="AA947" t="s">
        <v>143</v>
      </c>
      <c r="AB947" t="s">
        <v>162</v>
      </c>
      <c r="AC947" t="s">
        <v>1607</v>
      </c>
      <c r="AD947" t="s">
        <v>157</v>
      </c>
      <c r="AE947" t="s">
        <v>127</v>
      </c>
      <c r="AF947" t="s">
        <v>153</v>
      </c>
    </row>
    <row r="948" spans="1:32">
      <c r="A948" t="s">
        <v>1745</v>
      </c>
      <c r="B948" s="37">
        <v>40020</v>
      </c>
      <c r="C948" s="38">
        <v>40020</v>
      </c>
      <c r="D948" s="38">
        <v>40014</v>
      </c>
      <c r="E948" s="38">
        <v>39995</v>
      </c>
      <c r="F948" s="39">
        <v>115</v>
      </c>
      <c r="G948" t="s">
        <v>21</v>
      </c>
      <c r="H948" t="s">
        <v>21</v>
      </c>
      <c r="I948">
        <v>0</v>
      </c>
      <c r="J948">
        <v>0</v>
      </c>
      <c r="K948">
        <v>0</v>
      </c>
      <c r="L948">
        <v>1</v>
      </c>
      <c r="M948">
        <v>0</v>
      </c>
      <c r="N948" t="s">
        <v>193</v>
      </c>
      <c r="O948" t="s">
        <v>213</v>
      </c>
      <c r="P948" t="s">
        <v>204</v>
      </c>
      <c r="Q948" t="s">
        <v>170</v>
      </c>
      <c r="R948" t="s">
        <v>155</v>
      </c>
      <c r="S948">
        <v>5</v>
      </c>
      <c r="T948" t="s">
        <v>135</v>
      </c>
      <c r="U948">
        <v>0</v>
      </c>
      <c r="V948">
        <v>3</v>
      </c>
      <c r="W948" t="s">
        <v>137</v>
      </c>
      <c r="X948">
        <v>0</v>
      </c>
      <c r="Y948" t="s">
        <v>140</v>
      </c>
      <c r="Z948" t="s">
        <v>180</v>
      </c>
      <c r="AA948" t="s">
        <v>144</v>
      </c>
      <c r="AB948" t="s">
        <v>163</v>
      </c>
      <c r="AC948" t="s">
        <v>1746</v>
      </c>
      <c r="AD948" t="s">
        <v>155</v>
      </c>
      <c r="AE948" t="s">
        <v>124</v>
      </c>
      <c r="AF948" t="s">
        <v>21</v>
      </c>
    </row>
    <row r="949" spans="1:32">
      <c r="A949" t="s">
        <v>1747</v>
      </c>
      <c r="B949" s="37">
        <v>40075</v>
      </c>
      <c r="C949" s="38">
        <v>40075</v>
      </c>
      <c r="D949" s="38">
        <v>40070</v>
      </c>
      <c r="E949" s="38">
        <v>40057</v>
      </c>
      <c r="F949" s="39">
        <v>170</v>
      </c>
      <c r="G949" t="s">
        <v>383</v>
      </c>
      <c r="H949" t="s">
        <v>17</v>
      </c>
      <c r="I949">
        <v>0</v>
      </c>
      <c r="J949">
        <v>0</v>
      </c>
      <c r="K949">
        <v>1</v>
      </c>
      <c r="L949">
        <v>0</v>
      </c>
      <c r="M949">
        <v>0</v>
      </c>
      <c r="N949" t="s">
        <v>544</v>
      </c>
      <c r="O949" t="s">
        <v>213</v>
      </c>
      <c r="P949" t="s">
        <v>545</v>
      </c>
      <c r="Q949" t="s">
        <v>170</v>
      </c>
      <c r="R949" t="s">
        <v>155</v>
      </c>
      <c r="S949">
        <v>1</v>
      </c>
      <c r="T949" t="s">
        <v>136</v>
      </c>
      <c r="U949">
        <v>0</v>
      </c>
      <c r="V949">
        <v>2</v>
      </c>
      <c r="W949" t="s">
        <v>136</v>
      </c>
      <c r="X949">
        <v>0</v>
      </c>
      <c r="Y949" t="s">
        <v>139</v>
      </c>
      <c r="Z949" t="s">
        <v>179</v>
      </c>
      <c r="AA949" t="s">
        <v>146</v>
      </c>
      <c r="AB949" t="s">
        <v>162</v>
      </c>
      <c r="AC949" t="s">
        <v>174</v>
      </c>
      <c r="AD949" t="s">
        <v>157</v>
      </c>
      <c r="AE949" t="s">
        <v>434</v>
      </c>
      <c r="AF949" t="s">
        <v>435</v>
      </c>
    </row>
    <row r="950" spans="1:32">
      <c r="A950" t="s">
        <v>1748</v>
      </c>
      <c r="B950" s="37">
        <v>40068</v>
      </c>
      <c r="C950" s="38">
        <v>40068</v>
      </c>
      <c r="D950" s="38">
        <v>40063</v>
      </c>
      <c r="E950" s="38">
        <v>40057</v>
      </c>
      <c r="F950" s="39">
        <v>163</v>
      </c>
      <c r="G950" t="s">
        <v>21</v>
      </c>
      <c r="H950" t="s">
        <v>21</v>
      </c>
      <c r="I950">
        <v>0</v>
      </c>
      <c r="J950">
        <v>0</v>
      </c>
      <c r="K950">
        <v>0</v>
      </c>
      <c r="L950">
        <v>1</v>
      </c>
      <c r="M950">
        <v>0</v>
      </c>
      <c r="N950" t="s">
        <v>193</v>
      </c>
      <c r="O950" t="s">
        <v>213</v>
      </c>
      <c r="P950" t="s">
        <v>204</v>
      </c>
      <c r="Q950" t="s">
        <v>170</v>
      </c>
      <c r="R950" t="s">
        <v>155</v>
      </c>
      <c r="S950">
        <v>5</v>
      </c>
      <c r="T950" t="s">
        <v>135</v>
      </c>
      <c r="U950">
        <v>0</v>
      </c>
      <c r="V950">
        <v>5</v>
      </c>
      <c r="W950" t="s">
        <v>135</v>
      </c>
      <c r="X950">
        <v>0</v>
      </c>
      <c r="Y950" t="s">
        <v>140</v>
      </c>
      <c r="Z950" t="s">
        <v>179</v>
      </c>
      <c r="AA950" t="s">
        <v>148</v>
      </c>
      <c r="AB950" t="s">
        <v>162</v>
      </c>
      <c r="AC950" t="s">
        <v>498</v>
      </c>
      <c r="AD950" t="s">
        <v>156</v>
      </c>
      <c r="AE950" t="s">
        <v>120</v>
      </c>
      <c r="AF950" t="s">
        <v>1749</v>
      </c>
    </row>
    <row r="951" spans="1:32">
      <c r="A951" t="s">
        <v>1750</v>
      </c>
      <c r="B951" s="37">
        <v>40054</v>
      </c>
      <c r="C951" s="38">
        <v>40054</v>
      </c>
      <c r="D951" s="38">
        <v>40049</v>
      </c>
      <c r="E951" s="38">
        <v>40026</v>
      </c>
      <c r="F951" s="39">
        <v>149</v>
      </c>
      <c r="G951" t="s">
        <v>21</v>
      </c>
      <c r="H951" t="s">
        <v>21</v>
      </c>
      <c r="I951">
        <v>0</v>
      </c>
      <c r="J951">
        <v>0</v>
      </c>
      <c r="K951">
        <v>0</v>
      </c>
      <c r="L951">
        <v>1</v>
      </c>
      <c r="M951">
        <v>0</v>
      </c>
      <c r="N951" t="s">
        <v>193</v>
      </c>
      <c r="O951" t="s">
        <v>213</v>
      </c>
      <c r="P951" t="s">
        <v>204</v>
      </c>
      <c r="Q951" t="s">
        <v>170</v>
      </c>
      <c r="R951" t="s">
        <v>155</v>
      </c>
      <c r="S951">
        <v>5</v>
      </c>
      <c r="T951" t="s">
        <v>135</v>
      </c>
      <c r="U951">
        <v>0</v>
      </c>
      <c r="V951">
        <v>4</v>
      </c>
      <c r="W951" t="s">
        <v>137</v>
      </c>
      <c r="X951">
        <v>0</v>
      </c>
      <c r="Y951" t="s">
        <v>140</v>
      </c>
      <c r="Z951" t="s">
        <v>179</v>
      </c>
      <c r="AA951" t="s">
        <v>143</v>
      </c>
      <c r="AB951" t="s">
        <v>162</v>
      </c>
      <c r="AC951" t="s">
        <v>21</v>
      </c>
      <c r="AD951" t="s">
        <v>159</v>
      </c>
      <c r="AE951" t="s">
        <v>123</v>
      </c>
      <c r="AF951" t="s">
        <v>123</v>
      </c>
    </row>
    <row r="952" spans="1:32">
      <c r="A952" t="s">
        <v>1751</v>
      </c>
      <c r="B952" s="37">
        <v>39910</v>
      </c>
      <c r="C952" s="38">
        <v>39910</v>
      </c>
      <c r="D952" s="38">
        <v>39909</v>
      </c>
      <c r="E952" s="38">
        <v>39904</v>
      </c>
      <c r="F952" s="39">
        <v>5</v>
      </c>
      <c r="G952" t="s">
        <v>21</v>
      </c>
      <c r="H952" t="s">
        <v>21</v>
      </c>
      <c r="I952">
        <v>0</v>
      </c>
      <c r="J952">
        <v>0</v>
      </c>
      <c r="K952">
        <v>0</v>
      </c>
      <c r="L952">
        <v>1</v>
      </c>
      <c r="M952">
        <v>0</v>
      </c>
      <c r="N952" t="s">
        <v>201</v>
      </c>
      <c r="O952" t="s">
        <v>214</v>
      </c>
      <c r="P952" t="s">
        <v>204</v>
      </c>
      <c r="Q952" t="s">
        <v>170</v>
      </c>
      <c r="R952" t="s">
        <v>155</v>
      </c>
      <c r="T952" t="s">
        <v>134</v>
      </c>
      <c r="U952">
        <v>1</v>
      </c>
      <c r="W952" t="s">
        <v>134</v>
      </c>
      <c r="X952">
        <v>1</v>
      </c>
      <c r="Y952" t="s">
        <v>140</v>
      </c>
      <c r="Z952" t="s">
        <v>178</v>
      </c>
      <c r="AA952" t="s">
        <v>142</v>
      </c>
      <c r="AB952" t="s">
        <v>163</v>
      </c>
      <c r="AC952" t="s">
        <v>1752</v>
      </c>
      <c r="AD952" t="s">
        <v>155</v>
      </c>
      <c r="AE952" t="s">
        <v>124</v>
      </c>
      <c r="AF952" t="s">
        <v>21</v>
      </c>
    </row>
    <row r="953" spans="1:32">
      <c r="A953" t="s">
        <v>1753</v>
      </c>
      <c r="B953" s="37">
        <v>40014</v>
      </c>
      <c r="C953" s="38">
        <v>40014</v>
      </c>
      <c r="D953" s="38">
        <v>40014</v>
      </c>
      <c r="E953" s="38">
        <v>39995</v>
      </c>
      <c r="F953" s="39">
        <v>109</v>
      </c>
      <c r="G953" t="s">
        <v>21</v>
      </c>
      <c r="H953" t="s">
        <v>21</v>
      </c>
      <c r="I953">
        <v>0</v>
      </c>
      <c r="J953">
        <v>0</v>
      </c>
      <c r="K953">
        <v>0</v>
      </c>
      <c r="L953">
        <v>1</v>
      </c>
      <c r="M953">
        <v>0</v>
      </c>
      <c r="N953" t="s">
        <v>196</v>
      </c>
      <c r="O953" t="s">
        <v>213</v>
      </c>
      <c r="P953" t="s">
        <v>207</v>
      </c>
      <c r="Q953" t="s">
        <v>170</v>
      </c>
      <c r="R953" t="s">
        <v>155</v>
      </c>
      <c r="S953">
        <v>1</v>
      </c>
      <c r="T953" t="s">
        <v>136</v>
      </c>
      <c r="U953">
        <v>0</v>
      </c>
      <c r="V953">
        <v>4</v>
      </c>
      <c r="W953" t="s">
        <v>137</v>
      </c>
      <c r="X953">
        <v>0</v>
      </c>
      <c r="Y953" t="s">
        <v>139</v>
      </c>
      <c r="Z953" t="s">
        <v>178</v>
      </c>
      <c r="AA953" t="s">
        <v>149</v>
      </c>
      <c r="AB953" t="s">
        <v>162</v>
      </c>
      <c r="AC953" t="s">
        <v>21</v>
      </c>
      <c r="AD953" t="s">
        <v>155</v>
      </c>
      <c r="AE953" t="s">
        <v>130</v>
      </c>
      <c r="AF953" t="s">
        <v>21</v>
      </c>
    </row>
    <row r="954" spans="1:32">
      <c r="A954" t="s">
        <v>1754</v>
      </c>
      <c r="B954" s="37">
        <v>39983</v>
      </c>
      <c r="C954" s="38">
        <v>39983</v>
      </c>
      <c r="D954" s="38">
        <v>39979</v>
      </c>
      <c r="E954" s="38">
        <v>39965</v>
      </c>
      <c r="F954" s="39">
        <v>78</v>
      </c>
      <c r="G954" t="s">
        <v>9</v>
      </c>
      <c r="H954" t="s">
        <v>9</v>
      </c>
      <c r="I954">
        <v>1</v>
      </c>
      <c r="J954">
        <v>0</v>
      </c>
      <c r="K954">
        <v>0</v>
      </c>
      <c r="L954">
        <v>0</v>
      </c>
      <c r="M954">
        <v>1</v>
      </c>
      <c r="N954" t="s">
        <v>195</v>
      </c>
      <c r="O954" t="s">
        <v>213</v>
      </c>
      <c r="P954" t="s">
        <v>206</v>
      </c>
      <c r="Q954" t="s">
        <v>170</v>
      </c>
      <c r="R954" t="s">
        <v>155</v>
      </c>
      <c r="T954" t="s">
        <v>134</v>
      </c>
      <c r="U954">
        <v>1</v>
      </c>
      <c r="W954" t="s">
        <v>134</v>
      </c>
      <c r="X954">
        <v>1</v>
      </c>
      <c r="Y954" t="s">
        <v>139</v>
      </c>
      <c r="Z954" t="s">
        <v>179</v>
      </c>
      <c r="AA954" t="s">
        <v>144</v>
      </c>
      <c r="AB954" t="s">
        <v>162</v>
      </c>
      <c r="AC954" t="s">
        <v>597</v>
      </c>
      <c r="AD954" t="s">
        <v>160</v>
      </c>
      <c r="AE954" t="s">
        <v>126</v>
      </c>
      <c r="AF954" t="s">
        <v>1755</v>
      </c>
    </row>
    <row r="955" spans="1:32">
      <c r="A955" t="s">
        <v>1756</v>
      </c>
      <c r="B955" s="37">
        <v>39925</v>
      </c>
      <c r="C955" s="38">
        <v>39925</v>
      </c>
      <c r="D955" s="38">
        <v>39923</v>
      </c>
      <c r="E955" s="38">
        <v>39904</v>
      </c>
      <c r="F955" s="39">
        <v>20</v>
      </c>
      <c r="G955" t="s">
        <v>21</v>
      </c>
      <c r="H955" t="s">
        <v>21</v>
      </c>
      <c r="I955">
        <v>0</v>
      </c>
      <c r="J955">
        <v>0</v>
      </c>
      <c r="K955">
        <v>0</v>
      </c>
      <c r="L955">
        <v>1</v>
      </c>
      <c r="M955">
        <v>0</v>
      </c>
      <c r="N955" t="s">
        <v>194</v>
      </c>
      <c r="O955" t="s">
        <v>213</v>
      </c>
      <c r="P955" t="s">
        <v>205</v>
      </c>
      <c r="Q955" t="s">
        <v>170</v>
      </c>
      <c r="R955" t="s">
        <v>155</v>
      </c>
      <c r="T955" t="s">
        <v>134</v>
      </c>
      <c r="U955">
        <v>1</v>
      </c>
      <c r="W955" t="s">
        <v>134</v>
      </c>
      <c r="X955">
        <v>1</v>
      </c>
      <c r="Y955" t="s">
        <v>139</v>
      </c>
      <c r="Z955" t="s">
        <v>178</v>
      </c>
      <c r="AA955" t="s">
        <v>147</v>
      </c>
      <c r="AB955" t="s">
        <v>163</v>
      </c>
      <c r="AC955" t="s">
        <v>173</v>
      </c>
      <c r="AD955" t="s">
        <v>155</v>
      </c>
      <c r="AE955" t="s">
        <v>124</v>
      </c>
      <c r="AF955" t="s">
        <v>21</v>
      </c>
    </row>
    <row r="956" spans="1:32">
      <c r="A956" t="s">
        <v>1757</v>
      </c>
      <c r="B956" s="37">
        <v>40012</v>
      </c>
      <c r="C956" s="38">
        <v>40012</v>
      </c>
      <c r="D956" s="38">
        <v>40007</v>
      </c>
      <c r="E956" s="38">
        <v>39995</v>
      </c>
      <c r="F956" s="39">
        <v>107</v>
      </c>
      <c r="G956" t="s">
        <v>21</v>
      </c>
      <c r="H956" t="s">
        <v>21</v>
      </c>
      <c r="I956">
        <v>0</v>
      </c>
      <c r="J956">
        <v>0</v>
      </c>
      <c r="K956">
        <v>0</v>
      </c>
      <c r="L956">
        <v>1</v>
      </c>
      <c r="M956">
        <v>0</v>
      </c>
      <c r="N956" t="s">
        <v>194</v>
      </c>
      <c r="O956" t="s">
        <v>213</v>
      </c>
      <c r="P956" t="s">
        <v>205</v>
      </c>
      <c r="Q956" t="s">
        <v>170</v>
      </c>
      <c r="R956" t="s">
        <v>155</v>
      </c>
      <c r="S956">
        <v>5</v>
      </c>
      <c r="T956" t="s">
        <v>135</v>
      </c>
      <c r="U956">
        <v>0</v>
      </c>
      <c r="V956">
        <v>5</v>
      </c>
      <c r="W956" t="s">
        <v>135</v>
      </c>
      <c r="X956">
        <v>0</v>
      </c>
      <c r="Y956" t="s">
        <v>139</v>
      </c>
      <c r="Z956" t="s">
        <v>184</v>
      </c>
      <c r="AA956" t="s">
        <v>142</v>
      </c>
      <c r="AB956" t="s">
        <v>162</v>
      </c>
      <c r="AC956" t="s">
        <v>175</v>
      </c>
      <c r="AD956" t="s">
        <v>125</v>
      </c>
      <c r="AE956" t="s">
        <v>1357</v>
      </c>
      <c r="AF956" t="s">
        <v>1358</v>
      </c>
    </row>
    <row r="957" spans="1:32">
      <c r="A957" t="s">
        <v>1758</v>
      </c>
      <c r="B957" s="37">
        <v>40039</v>
      </c>
      <c r="C957" s="38">
        <v>40039</v>
      </c>
      <c r="D957" s="38">
        <v>40035</v>
      </c>
      <c r="E957" s="38">
        <v>40026</v>
      </c>
      <c r="F957" s="39">
        <v>134</v>
      </c>
      <c r="G957" t="s">
        <v>380</v>
      </c>
      <c r="H957" t="s">
        <v>17</v>
      </c>
      <c r="I957">
        <v>0</v>
      </c>
      <c r="J957">
        <v>0</v>
      </c>
      <c r="K957">
        <v>1</v>
      </c>
      <c r="L957">
        <v>0</v>
      </c>
      <c r="M957">
        <v>0</v>
      </c>
      <c r="N957" t="s">
        <v>193</v>
      </c>
      <c r="O957" t="s">
        <v>213</v>
      </c>
      <c r="P957" t="s">
        <v>204</v>
      </c>
      <c r="Q957" t="s">
        <v>170</v>
      </c>
      <c r="R957" t="s">
        <v>155</v>
      </c>
      <c r="S957">
        <v>1</v>
      </c>
      <c r="T957" t="s">
        <v>136</v>
      </c>
      <c r="U957">
        <v>0</v>
      </c>
      <c r="V957">
        <v>4</v>
      </c>
      <c r="W957" t="s">
        <v>137</v>
      </c>
      <c r="X957">
        <v>0</v>
      </c>
      <c r="Y957" t="s">
        <v>140</v>
      </c>
      <c r="Z957" t="s">
        <v>178</v>
      </c>
      <c r="AA957" t="s">
        <v>148</v>
      </c>
      <c r="AB957" t="s">
        <v>162</v>
      </c>
      <c r="AC957" t="s">
        <v>175</v>
      </c>
      <c r="AD957" t="s">
        <v>155</v>
      </c>
      <c r="AE957" t="s">
        <v>129</v>
      </c>
      <c r="AF957" t="s">
        <v>21</v>
      </c>
    </row>
    <row r="958" spans="1:32">
      <c r="A958" t="s">
        <v>1759</v>
      </c>
      <c r="B958" s="37">
        <v>39973</v>
      </c>
      <c r="C958" s="38">
        <v>39973</v>
      </c>
      <c r="D958" s="38">
        <v>39972</v>
      </c>
      <c r="E958" s="38">
        <v>39965</v>
      </c>
      <c r="F958" s="39">
        <v>68</v>
      </c>
      <c r="G958" t="s">
        <v>21</v>
      </c>
      <c r="H958" t="s">
        <v>21</v>
      </c>
      <c r="I958">
        <v>0</v>
      </c>
      <c r="J958">
        <v>0</v>
      </c>
      <c r="K958">
        <v>0</v>
      </c>
      <c r="L958">
        <v>1</v>
      </c>
      <c r="M958">
        <v>0</v>
      </c>
      <c r="N958" t="s">
        <v>193</v>
      </c>
      <c r="O958" t="s">
        <v>213</v>
      </c>
      <c r="P958" t="s">
        <v>204</v>
      </c>
      <c r="Q958" t="s">
        <v>170</v>
      </c>
      <c r="R958" t="s">
        <v>155</v>
      </c>
      <c r="T958" t="s">
        <v>134</v>
      </c>
      <c r="U958">
        <v>1</v>
      </c>
      <c r="W958" t="s">
        <v>134</v>
      </c>
      <c r="X958">
        <v>1</v>
      </c>
      <c r="Y958" t="s">
        <v>140</v>
      </c>
      <c r="Z958" t="s">
        <v>391</v>
      </c>
      <c r="AA958" t="s">
        <v>143</v>
      </c>
      <c r="AB958" t="s">
        <v>162</v>
      </c>
      <c r="AC958" t="s">
        <v>174</v>
      </c>
      <c r="AD958" t="s">
        <v>156</v>
      </c>
      <c r="AE958" t="s">
        <v>120</v>
      </c>
      <c r="AF958" t="s">
        <v>794</v>
      </c>
    </row>
    <row r="959" spans="1:32">
      <c r="A959" t="s">
        <v>1760</v>
      </c>
      <c r="B959" s="37">
        <v>39966</v>
      </c>
      <c r="C959" s="38">
        <v>39966</v>
      </c>
      <c r="D959" s="38">
        <v>39965</v>
      </c>
      <c r="E959" s="38">
        <v>39965</v>
      </c>
      <c r="F959" s="39">
        <v>61</v>
      </c>
      <c r="G959" t="s">
        <v>380</v>
      </c>
      <c r="H959" t="s">
        <v>17</v>
      </c>
      <c r="I959">
        <v>0</v>
      </c>
      <c r="J959">
        <v>0</v>
      </c>
      <c r="K959">
        <v>1</v>
      </c>
      <c r="L959">
        <v>0</v>
      </c>
      <c r="M959">
        <v>0</v>
      </c>
      <c r="N959" t="s">
        <v>193</v>
      </c>
      <c r="O959" t="s">
        <v>213</v>
      </c>
      <c r="P959" t="s">
        <v>204</v>
      </c>
      <c r="Q959" t="s">
        <v>170</v>
      </c>
      <c r="R959" t="s">
        <v>155</v>
      </c>
      <c r="T959" t="s">
        <v>134</v>
      </c>
      <c r="U959">
        <v>1</v>
      </c>
      <c r="W959" t="s">
        <v>134</v>
      </c>
      <c r="X959">
        <v>1</v>
      </c>
      <c r="Y959" t="s">
        <v>140</v>
      </c>
      <c r="Z959" t="s">
        <v>603</v>
      </c>
      <c r="AA959" t="s">
        <v>148</v>
      </c>
      <c r="AB959" t="s">
        <v>162</v>
      </c>
      <c r="AC959" t="s">
        <v>1761</v>
      </c>
      <c r="AD959" t="s">
        <v>156</v>
      </c>
      <c r="AE959" t="s">
        <v>120</v>
      </c>
      <c r="AF959" t="s">
        <v>1001</v>
      </c>
    </row>
    <row r="960" spans="1:32">
      <c r="A960" t="s">
        <v>1762</v>
      </c>
      <c r="B960" s="37">
        <v>40044</v>
      </c>
      <c r="C960" s="38">
        <v>40044</v>
      </c>
      <c r="D960" s="38">
        <v>40042</v>
      </c>
      <c r="E960" s="38">
        <v>40026</v>
      </c>
      <c r="F960" s="39">
        <v>139</v>
      </c>
      <c r="G960" t="s">
        <v>21</v>
      </c>
      <c r="H960" t="s">
        <v>21</v>
      </c>
      <c r="I960">
        <v>0</v>
      </c>
      <c r="J960">
        <v>0</v>
      </c>
      <c r="K960">
        <v>0</v>
      </c>
      <c r="L960">
        <v>1</v>
      </c>
      <c r="M960">
        <v>0</v>
      </c>
      <c r="N960" t="s">
        <v>197</v>
      </c>
      <c r="O960" t="s">
        <v>213</v>
      </c>
      <c r="P960" t="s">
        <v>209</v>
      </c>
      <c r="Q960" t="s">
        <v>170</v>
      </c>
      <c r="R960" t="s">
        <v>155</v>
      </c>
      <c r="S960">
        <v>5</v>
      </c>
      <c r="T960" t="s">
        <v>135</v>
      </c>
      <c r="U960">
        <v>0</v>
      </c>
      <c r="V960">
        <v>5</v>
      </c>
      <c r="W960" t="s">
        <v>135</v>
      </c>
      <c r="X960">
        <v>0</v>
      </c>
      <c r="Y960" t="s">
        <v>139</v>
      </c>
      <c r="Z960" t="s">
        <v>187</v>
      </c>
      <c r="AA960" t="s">
        <v>146</v>
      </c>
      <c r="AB960" t="s">
        <v>162</v>
      </c>
      <c r="AC960" t="s">
        <v>498</v>
      </c>
      <c r="AD960" t="s">
        <v>157</v>
      </c>
      <c r="AE960" t="s">
        <v>406</v>
      </c>
      <c r="AF960" t="s">
        <v>922</v>
      </c>
    </row>
    <row r="961" spans="1:32">
      <c r="A961" t="s">
        <v>1763</v>
      </c>
      <c r="B961" s="37">
        <v>39987</v>
      </c>
      <c r="C961" s="38">
        <v>39987</v>
      </c>
      <c r="D961" s="38">
        <v>39986</v>
      </c>
      <c r="E961" s="38">
        <v>39965</v>
      </c>
      <c r="F961" s="39">
        <v>82</v>
      </c>
      <c r="G961" t="s">
        <v>21</v>
      </c>
      <c r="H961" t="s">
        <v>21</v>
      </c>
      <c r="I961">
        <v>0</v>
      </c>
      <c r="J961">
        <v>0</v>
      </c>
      <c r="K961">
        <v>0</v>
      </c>
      <c r="L961">
        <v>1</v>
      </c>
      <c r="M961">
        <v>0</v>
      </c>
      <c r="N961" t="s">
        <v>195</v>
      </c>
      <c r="O961" t="s">
        <v>213</v>
      </c>
      <c r="P961" t="s">
        <v>206</v>
      </c>
      <c r="Q961" t="s">
        <v>170</v>
      </c>
      <c r="R961" t="s">
        <v>155</v>
      </c>
      <c r="T961" t="s">
        <v>134</v>
      </c>
      <c r="U961">
        <v>1</v>
      </c>
      <c r="W961" t="s">
        <v>134</v>
      </c>
      <c r="X961">
        <v>1</v>
      </c>
      <c r="Y961" t="s">
        <v>139</v>
      </c>
      <c r="Z961" t="s">
        <v>189</v>
      </c>
      <c r="AA961" t="s">
        <v>145</v>
      </c>
      <c r="AB961" t="s">
        <v>162</v>
      </c>
      <c r="AC961" t="s">
        <v>1624</v>
      </c>
      <c r="AD961" t="s">
        <v>155</v>
      </c>
      <c r="AE961" t="s">
        <v>130</v>
      </c>
      <c r="AF961" t="s">
        <v>21</v>
      </c>
    </row>
    <row r="962" spans="1:32">
      <c r="A962" t="s">
        <v>1764</v>
      </c>
      <c r="B962" s="37">
        <v>39921</v>
      </c>
      <c r="C962" s="38">
        <v>39921</v>
      </c>
      <c r="D962" s="38">
        <v>39916</v>
      </c>
      <c r="E962" s="38">
        <v>39904</v>
      </c>
      <c r="F962" s="39">
        <v>16</v>
      </c>
      <c r="G962" t="s">
        <v>9</v>
      </c>
      <c r="H962" t="s">
        <v>9</v>
      </c>
      <c r="I962">
        <v>1</v>
      </c>
      <c r="J962">
        <v>0</v>
      </c>
      <c r="K962">
        <v>0</v>
      </c>
      <c r="L962">
        <v>0</v>
      </c>
      <c r="M962">
        <v>1</v>
      </c>
      <c r="N962" t="s">
        <v>198</v>
      </c>
      <c r="O962" t="s">
        <v>213</v>
      </c>
      <c r="P962" t="s">
        <v>208</v>
      </c>
      <c r="Q962" t="s">
        <v>170</v>
      </c>
      <c r="R962" t="s">
        <v>155</v>
      </c>
      <c r="T962" t="s">
        <v>134</v>
      </c>
      <c r="U962">
        <v>1</v>
      </c>
      <c r="W962" t="s">
        <v>134</v>
      </c>
      <c r="X962">
        <v>1</v>
      </c>
      <c r="Y962" t="s">
        <v>139</v>
      </c>
      <c r="Z962" t="s">
        <v>187</v>
      </c>
      <c r="AA962" t="s">
        <v>142</v>
      </c>
      <c r="AB962" t="s">
        <v>162</v>
      </c>
      <c r="AC962" t="s">
        <v>174</v>
      </c>
      <c r="AD962" t="s">
        <v>157</v>
      </c>
      <c r="AE962" t="s">
        <v>406</v>
      </c>
      <c r="AF962" t="s">
        <v>1765</v>
      </c>
    </row>
    <row r="963" spans="1:32">
      <c r="A963" t="s">
        <v>1766</v>
      </c>
      <c r="B963" s="37">
        <v>39931</v>
      </c>
      <c r="C963" s="38">
        <v>39931</v>
      </c>
      <c r="D963" s="38">
        <v>39930</v>
      </c>
      <c r="E963" s="38">
        <v>39904</v>
      </c>
      <c r="F963" s="39">
        <v>26</v>
      </c>
      <c r="G963" t="s">
        <v>9</v>
      </c>
      <c r="H963" t="s">
        <v>9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193</v>
      </c>
      <c r="O963" t="s">
        <v>213</v>
      </c>
      <c r="P963" t="s">
        <v>204</v>
      </c>
      <c r="Q963" t="s">
        <v>170</v>
      </c>
      <c r="R963" t="s">
        <v>155</v>
      </c>
      <c r="T963" t="s">
        <v>134</v>
      </c>
      <c r="U963">
        <v>1</v>
      </c>
      <c r="W963" t="s">
        <v>134</v>
      </c>
      <c r="X963">
        <v>1</v>
      </c>
      <c r="Y963" t="s">
        <v>140</v>
      </c>
      <c r="Z963" t="s">
        <v>181</v>
      </c>
      <c r="AA963" t="s">
        <v>142</v>
      </c>
      <c r="AB963" t="s">
        <v>162</v>
      </c>
      <c r="AC963" t="s">
        <v>174</v>
      </c>
      <c r="AD963" t="s">
        <v>160</v>
      </c>
      <c r="AE963" t="s">
        <v>392</v>
      </c>
      <c r="AF963" t="s">
        <v>393</v>
      </c>
    </row>
    <row r="964" spans="1:32">
      <c r="A964" t="s">
        <v>1767</v>
      </c>
      <c r="B964" s="37">
        <v>39912</v>
      </c>
      <c r="C964" s="38">
        <v>39912</v>
      </c>
      <c r="D964" s="38">
        <v>39909</v>
      </c>
      <c r="E964" s="38">
        <v>39904</v>
      </c>
      <c r="F964" s="39">
        <v>7</v>
      </c>
      <c r="G964" t="s">
        <v>21</v>
      </c>
      <c r="H964" t="s">
        <v>21</v>
      </c>
      <c r="I964">
        <v>0</v>
      </c>
      <c r="J964">
        <v>0</v>
      </c>
      <c r="K964">
        <v>0</v>
      </c>
      <c r="L964">
        <v>1</v>
      </c>
      <c r="M964">
        <v>0</v>
      </c>
      <c r="N964" t="s">
        <v>199</v>
      </c>
      <c r="O964" t="s">
        <v>213</v>
      </c>
      <c r="P964" t="s">
        <v>210</v>
      </c>
      <c r="Q964" t="s">
        <v>170</v>
      </c>
      <c r="R964" t="s">
        <v>155</v>
      </c>
      <c r="T964" t="s">
        <v>134</v>
      </c>
      <c r="U964">
        <v>1</v>
      </c>
      <c r="W964" t="s">
        <v>134</v>
      </c>
      <c r="X964">
        <v>1</v>
      </c>
      <c r="Y964" t="s">
        <v>139</v>
      </c>
      <c r="Z964" t="s">
        <v>178</v>
      </c>
      <c r="AA964" t="s">
        <v>147</v>
      </c>
      <c r="AB964" t="s">
        <v>163</v>
      </c>
      <c r="AC964" t="s">
        <v>1768</v>
      </c>
      <c r="AD964" t="s">
        <v>155</v>
      </c>
      <c r="AE964" t="s">
        <v>439</v>
      </c>
      <c r="AF964" t="s">
        <v>21</v>
      </c>
    </row>
    <row r="965" spans="1:32">
      <c r="A965" t="s">
        <v>1769</v>
      </c>
      <c r="B965" s="37">
        <v>40049</v>
      </c>
      <c r="C965" s="38">
        <v>40049</v>
      </c>
      <c r="D965" s="38">
        <v>40049</v>
      </c>
      <c r="E965" s="38">
        <v>40026</v>
      </c>
      <c r="F965" s="39">
        <v>144</v>
      </c>
      <c r="G965" t="s">
        <v>21</v>
      </c>
      <c r="H965" t="s">
        <v>21</v>
      </c>
      <c r="I965">
        <v>0</v>
      </c>
      <c r="J965">
        <v>0</v>
      </c>
      <c r="K965">
        <v>0</v>
      </c>
      <c r="L965">
        <v>1</v>
      </c>
      <c r="M965">
        <v>0</v>
      </c>
      <c r="N965" t="s">
        <v>193</v>
      </c>
      <c r="O965" t="s">
        <v>213</v>
      </c>
      <c r="P965" t="s">
        <v>204</v>
      </c>
      <c r="Q965" t="s">
        <v>170</v>
      </c>
      <c r="R965" t="s">
        <v>155</v>
      </c>
      <c r="S965">
        <v>5</v>
      </c>
      <c r="T965" t="s">
        <v>135</v>
      </c>
      <c r="U965">
        <v>0</v>
      </c>
      <c r="V965">
        <v>4</v>
      </c>
      <c r="W965" t="s">
        <v>137</v>
      </c>
      <c r="X965">
        <v>0</v>
      </c>
      <c r="Y965" t="s">
        <v>140</v>
      </c>
      <c r="Z965" t="s">
        <v>178</v>
      </c>
      <c r="AA965" t="s">
        <v>142</v>
      </c>
      <c r="AB965" t="s">
        <v>162</v>
      </c>
      <c r="AC965" t="s">
        <v>174</v>
      </c>
      <c r="AD965" t="s">
        <v>160</v>
      </c>
      <c r="AE965" t="s">
        <v>126</v>
      </c>
      <c r="AF965" t="s">
        <v>1770</v>
      </c>
    </row>
    <row r="966" spans="1:32">
      <c r="A966" t="s">
        <v>1771</v>
      </c>
      <c r="B966" s="37">
        <v>39978</v>
      </c>
      <c r="C966" s="38">
        <v>39978</v>
      </c>
      <c r="D966" s="38">
        <v>39972</v>
      </c>
      <c r="E966" s="38">
        <v>39965</v>
      </c>
      <c r="F966" s="39">
        <v>73</v>
      </c>
      <c r="G966" t="s">
        <v>21</v>
      </c>
      <c r="H966" t="s">
        <v>21</v>
      </c>
      <c r="I966">
        <v>0</v>
      </c>
      <c r="J966">
        <v>0</v>
      </c>
      <c r="K966">
        <v>0</v>
      </c>
      <c r="L966">
        <v>1</v>
      </c>
      <c r="M966">
        <v>0</v>
      </c>
      <c r="N966" t="s">
        <v>195</v>
      </c>
      <c r="O966" t="s">
        <v>213</v>
      </c>
      <c r="P966" t="s">
        <v>206</v>
      </c>
      <c r="Q966" t="s">
        <v>170</v>
      </c>
      <c r="R966" t="s">
        <v>155</v>
      </c>
      <c r="T966" t="s">
        <v>134</v>
      </c>
      <c r="U966">
        <v>1</v>
      </c>
      <c r="W966" t="s">
        <v>134</v>
      </c>
      <c r="X966">
        <v>1</v>
      </c>
      <c r="Y966" t="s">
        <v>139</v>
      </c>
      <c r="Z966" t="s">
        <v>182</v>
      </c>
      <c r="AA966" t="s">
        <v>146</v>
      </c>
      <c r="AB966" t="s">
        <v>162</v>
      </c>
      <c r="AC966" t="s">
        <v>175</v>
      </c>
      <c r="AD966" t="s">
        <v>155</v>
      </c>
      <c r="AE966" t="s">
        <v>129</v>
      </c>
      <c r="AF966" t="s">
        <v>21</v>
      </c>
    </row>
    <row r="967" spans="1:32">
      <c r="A967" t="s">
        <v>1772</v>
      </c>
      <c r="B967" s="37">
        <v>40077</v>
      </c>
      <c r="C967" s="38">
        <v>40077</v>
      </c>
      <c r="D967" s="38">
        <v>40077</v>
      </c>
      <c r="E967" s="38">
        <v>40057</v>
      </c>
      <c r="F967" s="39">
        <v>172</v>
      </c>
      <c r="G967" t="s">
        <v>21</v>
      </c>
      <c r="H967" t="s">
        <v>21</v>
      </c>
      <c r="I967">
        <v>0</v>
      </c>
      <c r="J967">
        <v>0</v>
      </c>
      <c r="K967">
        <v>0</v>
      </c>
      <c r="L967">
        <v>1</v>
      </c>
      <c r="M967">
        <v>0</v>
      </c>
      <c r="N967" t="s">
        <v>197</v>
      </c>
      <c r="O967" t="s">
        <v>213</v>
      </c>
      <c r="P967" t="s">
        <v>209</v>
      </c>
      <c r="Q967" t="s">
        <v>170</v>
      </c>
      <c r="R967" t="s">
        <v>155</v>
      </c>
      <c r="S967">
        <v>4</v>
      </c>
      <c r="T967" t="s">
        <v>137</v>
      </c>
      <c r="U967">
        <v>0</v>
      </c>
      <c r="V967">
        <v>4</v>
      </c>
      <c r="W967" t="s">
        <v>137</v>
      </c>
      <c r="X967">
        <v>0</v>
      </c>
      <c r="Y967" t="s">
        <v>139</v>
      </c>
      <c r="Z967" t="s">
        <v>183</v>
      </c>
      <c r="AA967" t="s">
        <v>146</v>
      </c>
      <c r="AB967" t="s">
        <v>163</v>
      </c>
      <c r="AC967" t="s">
        <v>173</v>
      </c>
      <c r="AD967" t="s">
        <v>155</v>
      </c>
      <c r="AE967" t="s">
        <v>704</v>
      </c>
      <c r="AF967" t="s">
        <v>21</v>
      </c>
    </row>
    <row r="968" spans="1:32">
      <c r="A968" t="s">
        <v>1773</v>
      </c>
      <c r="B968" s="37">
        <v>40063</v>
      </c>
      <c r="C968" s="38">
        <v>40063</v>
      </c>
      <c r="D968" s="38">
        <v>40063</v>
      </c>
      <c r="E968" s="38">
        <v>40057</v>
      </c>
      <c r="F968" s="39">
        <v>158</v>
      </c>
      <c r="G968" t="s">
        <v>380</v>
      </c>
      <c r="H968" t="s">
        <v>17</v>
      </c>
      <c r="I968">
        <v>0</v>
      </c>
      <c r="J968">
        <v>0</v>
      </c>
      <c r="K968">
        <v>1</v>
      </c>
      <c r="L968">
        <v>0</v>
      </c>
      <c r="M968">
        <v>0</v>
      </c>
      <c r="N968" t="s">
        <v>193</v>
      </c>
      <c r="O968" t="s">
        <v>213</v>
      </c>
      <c r="P968" t="s">
        <v>204</v>
      </c>
      <c r="Q968" t="s">
        <v>170</v>
      </c>
      <c r="R968" t="s">
        <v>155</v>
      </c>
      <c r="S968">
        <v>5</v>
      </c>
      <c r="T968" t="s">
        <v>135</v>
      </c>
      <c r="U968">
        <v>0</v>
      </c>
      <c r="V968">
        <v>3</v>
      </c>
      <c r="W968" t="s">
        <v>137</v>
      </c>
      <c r="X968">
        <v>0</v>
      </c>
      <c r="Y968" t="s">
        <v>140</v>
      </c>
      <c r="Z968" t="s">
        <v>191</v>
      </c>
      <c r="AA968" t="s">
        <v>146</v>
      </c>
      <c r="AB968" t="s">
        <v>162</v>
      </c>
      <c r="AC968" t="s">
        <v>174</v>
      </c>
      <c r="AD968" t="s">
        <v>157</v>
      </c>
      <c r="AE968" t="s">
        <v>434</v>
      </c>
      <c r="AF968" t="s">
        <v>449</v>
      </c>
    </row>
    <row r="969" spans="1:32">
      <c r="A969" t="s">
        <v>1774</v>
      </c>
      <c r="B969" s="37">
        <v>39944</v>
      </c>
      <c r="C969" s="38">
        <v>39944</v>
      </c>
      <c r="D969" s="38">
        <v>39944</v>
      </c>
      <c r="E969" s="38">
        <v>39934</v>
      </c>
      <c r="F969" s="39">
        <v>39</v>
      </c>
      <c r="G969" t="s">
        <v>21</v>
      </c>
      <c r="H969" t="s">
        <v>21</v>
      </c>
      <c r="I969">
        <v>0</v>
      </c>
      <c r="J969">
        <v>0</v>
      </c>
      <c r="K969">
        <v>0</v>
      </c>
      <c r="L969">
        <v>1</v>
      </c>
      <c r="M969">
        <v>0</v>
      </c>
      <c r="N969" t="s">
        <v>194</v>
      </c>
      <c r="O969" t="s">
        <v>213</v>
      </c>
      <c r="P969" t="s">
        <v>205</v>
      </c>
      <c r="Q969" t="s">
        <v>170</v>
      </c>
      <c r="R969" t="s">
        <v>155</v>
      </c>
      <c r="T969" t="s">
        <v>134</v>
      </c>
      <c r="U969">
        <v>1</v>
      </c>
      <c r="W969" t="s">
        <v>134</v>
      </c>
      <c r="X969">
        <v>1</v>
      </c>
      <c r="Y969" t="s">
        <v>139</v>
      </c>
      <c r="Z969" t="s">
        <v>188</v>
      </c>
      <c r="AA969" t="s">
        <v>142</v>
      </c>
      <c r="AB969" t="s">
        <v>163</v>
      </c>
      <c r="AC969" t="s">
        <v>21</v>
      </c>
      <c r="AD969" t="s">
        <v>155</v>
      </c>
      <c r="AE969" t="s">
        <v>392</v>
      </c>
      <c r="AF969" t="s">
        <v>21</v>
      </c>
    </row>
    <row r="970" spans="1:32">
      <c r="A970" t="s">
        <v>1775</v>
      </c>
      <c r="B970" s="37">
        <v>39929</v>
      </c>
      <c r="C970" s="38">
        <v>39929</v>
      </c>
      <c r="D970" s="38">
        <v>39923</v>
      </c>
      <c r="E970" s="38">
        <v>39904</v>
      </c>
      <c r="F970" s="39">
        <v>24</v>
      </c>
      <c r="G970" t="s">
        <v>21</v>
      </c>
      <c r="H970" t="s">
        <v>21</v>
      </c>
      <c r="I970">
        <v>0</v>
      </c>
      <c r="J970">
        <v>0</v>
      </c>
      <c r="K970">
        <v>0</v>
      </c>
      <c r="L970">
        <v>1</v>
      </c>
      <c r="M970">
        <v>0</v>
      </c>
      <c r="N970" t="s">
        <v>194</v>
      </c>
      <c r="O970" t="s">
        <v>213</v>
      </c>
      <c r="P970" t="s">
        <v>205</v>
      </c>
      <c r="Q970" t="s">
        <v>170</v>
      </c>
      <c r="R970" t="s">
        <v>155</v>
      </c>
      <c r="T970" t="s">
        <v>134</v>
      </c>
      <c r="U970">
        <v>1</v>
      </c>
      <c r="W970" t="s">
        <v>134</v>
      </c>
      <c r="X970">
        <v>1</v>
      </c>
      <c r="Y970" t="s">
        <v>139</v>
      </c>
      <c r="Z970" t="s">
        <v>479</v>
      </c>
      <c r="AA970" t="s">
        <v>142</v>
      </c>
      <c r="AB970" t="s">
        <v>163</v>
      </c>
      <c r="AC970" t="s">
        <v>173</v>
      </c>
      <c r="AD970" t="s">
        <v>155</v>
      </c>
      <c r="AE970" t="s">
        <v>124</v>
      </c>
      <c r="AF970" t="s">
        <v>21</v>
      </c>
    </row>
    <row r="971" spans="1:32">
      <c r="A971" t="s">
        <v>1776</v>
      </c>
      <c r="B971" s="37">
        <v>40008</v>
      </c>
      <c r="C971" s="38">
        <v>40008</v>
      </c>
      <c r="D971" s="38">
        <v>40007</v>
      </c>
      <c r="E971" s="38">
        <v>39995</v>
      </c>
      <c r="F971" s="39">
        <v>103</v>
      </c>
      <c r="G971" t="s">
        <v>21</v>
      </c>
      <c r="H971" t="s">
        <v>21</v>
      </c>
      <c r="I971">
        <v>0</v>
      </c>
      <c r="J971">
        <v>0</v>
      </c>
      <c r="K971">
        <v>0</v>
      </c>
      <c r="L971">
        <v>1</v>
      </c>
      <c r="M971">
        <v>0</v>
      </c>
      <c r="N971" t="s">
        <v>193</v>
      </c>
      <c r="O971" t="s">
        <v>213</v>
      </c>
      <c r="P971" t="s">
        <v>204</v>
      </c>
      <c r="Q971" t="s">
        <v>170</v>
      </c>
      <c r="R971" t="s">
        <v>155</v>
      </c>
      <c r="S971">
        <v>5</v>
      </c>
      <c r="T971" t="s">
        <v>135</v>
      </c>
      <c r="U971">
        <v>0</v>
      </c>
      <c r="V971">
        <v>3</v>
      </c>
      <c r="W971" t="s">
        <v>137</v>
      </c>
      <c r="X971">
        <v>0</v>
      </c>
      <c r="Y971" t="s">
        <v>140</v>
      </c>
      <c r="Z971" t="s">
        <v>185</v>
      </c>
      <c r="AA971" t="s">
        <v>144</v>
      </c>
      <c r="AB971" t="s">
        <v>162</v>
      </c>
      <c r="AC971" t="s">
        <v>175</v>
      </c>
      <c r="AD971" t="s">
        <v>155</v>
      </c>
      <c r="AE971" t="s">
        <v>130</v>
      </c>
      <c r="AF971" t="s">
        <v>21</v>
      </c>
    </row>
    <row r="972" spans="1:32">
      <c r="A972" t="s">
        <v>1777</v>
      </c>
      <c r="B972" s="37">
        <v>39966</v>
      </c>
      <c r="C972" s="38">
        <v>39966</v>
      </c>
      <c r="D972" s="38">
        <v>39965</v>
      </c>
      <c r="E972" s="38">
        <v>39965</v>
      </c>
      <c r="F972" s="39">
        <v>61</v>
      </c>
      <c r="G972" t="s">
        <v>383</v>
      </c>
      <c r="H972" t="s">
        <v>17</v>
      </c>
      <c r="I972">
        <v>0</v>
      </c>
      <c r="J972">
        <v>0</v>
      </c>
      <c r="K972">
        <v>1</v>
      </c>
      <c r="L972">
        <v>0</v>
      </c>
      <c r="M972">
        <v>0</v>
      </c>
      <c r="N972" t="s">
        <v>193</v>
      </c>
      <c r="O972" t="s">
        <v>213</v>
      </c>
      <c r="P972" t="s">
        <v>204</v>
      </c>
      <c r="Q972" t="s">
        <v>170</v>
      </c>
      <c r="R972" t="s">
        <v>155</v>
      </c>
      <c r="T972" t="s">
        <v>134</v>
      </c>
      <c r="U972">
        <v>1</v>
      </c>
      <c r="W972" t="s">
        <v>134</v>
      </c>
      <c r="X972">
        <v>1</v>
      </c>
      <c r="Y972" t="s">
        <v>140</v>
      </c>
      <c r="Z972" t="s">
        <v>178</v>
      </c>
      <c r="AA972" t="s">
        <v>145</v>
      </c>
      <c r="AB972" t="s">
        <v>163</v>
      </c>
      <c r="AC972" t="s">
        <v>173</v>
      </c>
      <c r="AD972" t="s">
        <v>155</v>
      </c>
      <c r="AE972" t="s">
        <v>130</v>
      </c>
      <c r="AF972" t="s">
        <v>21</v>
      </c>
    </row>
    <row r="973" spans="1:32">
      <c r="A973" t="s">
        <v>1778</v>
      </c>
      <c r="B973" s="37">
        <v>39944</v>
      </c>
      <c r="C973" s="38">
        <v>39944</v>
      </c>
      <c r="D973" s="38">
        <v>39944</v>
      </c>
      <c r="E973" s="38">
        <v>39934</v>
      </c>
      <c r="F973" s="39">
        <v>39</v>
      </c>
      <c r="G973" t="s">
        <v>21</v>
      </c>
      <c r="H973" t="s">
        <v>21</v>
      </c>
      <c r="I973">
        <v>0</v>
      </c>
      <c r="J973">
        <v>0</v>
      </c>
      <c r="K973">
        <v>0</v>
      </c>
      <c r="L973">
        <v>1</v>
      </c>
      <c r="M973">
        <v>0</v>
      </c>
      <c r="N973" t="s">
        <v>193</v>
      </c>
      <c r="O973" t="s">
        <v>213</v>
      </c>
      <c r="P973" t="s">
        <v>204</v>
      </c>
      <c r="Q973" t="s">
        <v>170</v>
      </c>
      <c r="R973" t="s">
        <v>155</v>
      </c>
      <c r="T973" t="s">
        <v>134</v>
      </c>
      <c r="U973">
        <v>1</v>
      </c>
      <c r="W973" t="s">
        <v>134</v>
      </c>
      <c r="X973">
        <v>1</v>
      </c>
      <c r="Y973" t="s">
        <v>140</v>
      </c>
      <c r="Z973" t="s">
        <v>185</v>
      </c>
      <c r="AA973" t="s">
        <v>148</v>
      </c>
      <c r="AB973" t="s">
        <v>162</v>
      </c>
      <c r="AC973" t="s">
        <v>550</v>
      </c>
      <c r="AD973" t="s">
        <v>156</v>
      </c>
      <c r="AE973" t="s">
        <v>120</v>
      </c>
      <c r="AF973" t="s">
        <v>741</v>
      </c>
    </row>
    <row r="974" spans="1:32">
      <c r="A974" t="s">
        <v>1779</v>
      </c>
      <c r="B974" s="37">
        <v>39977</v>
      </c>
      <c r="C974" s="38">
        <v>39977</v>
      </c>
      <c r="D974" s="38">
        <v>39972</v>
      </c>
      <c r="E974" s="38">
        <v>39965</v>
      </c>
      <c r="F974" s="39">
        <v>72</v>
      </c>
      <c r="G974" t="s">
        <v>21</v>
      </c>
      <c r="H974" t="s">
        <v>21</v>
      </c>
      <c r="I974">
        <v>0</v>
      </c>
      <c r="J974">
        <v>0</v>
      </c>
      <c r="K974">
        <v>0</v>
      </c>
      <c r="L974">
        <v>1</v>
      </c>
      <c r="M974">
        <v>0</v>
      </c>
      <c r="N974" t="s">
        <v>193</v>
      </c>
      <c r="O974" t="s">
        <v>213</v>
      </c>
      <c r="P974" t="s">
        <v>204</v>
      </c>
      <c r="Q974" t="s">
        <v>170</v>
      </c>
      <c r="R974" t="s">
        <v>155</v>
      </c>
      <c r="T974" t="s">
        <v>134</v>
      </c>
      <c r="U974">
        <v>1</v>
      </c>
      <c r="W974" t="s">
        <v>134</v>
      </c>
      <c r="X974">
        <v>1</v>
      </c>
      <c r="Y974" t="s">
        <v>140</v>
      </c>
      <c r="Z974" t="s">
        <v>185</v>
      </c>
      <c r="AA974" t="s">
        <v>148</v>
      </c>
      <c r="AB974" t="s">
        <v>165</v>
      </c>
      <c r="AC974" t="s">
        <v>1780</v>
      </c>
      <c r="AD974" t="s">
        <v>158</v>
      </c>
      <c r="AE974" t="s">
        <v>122</v>
      </c>
      <c r="AF974" t="s">
        <v>21</v>
      </c>
    </row>
    <row r="975" spans="1:32">
      <c r="A975" t="s">
        <v>1781</v>
      </c>
      <c r="B975" s="37">
        <v>40016</v>
      </c>
      <c r="C975" s="38">
        <v>40016</v>
      </c>
      <c r="D975" s="38">
        <v>40014</v>
      </c>
      <c r="E975" s="38">
        <v>39995</v>
      </c>
      <c r="F975" s="39">
        <v>111</v>
      </c>
      <c r="G975" t="s">
        <v>380</v>
      </c>
      <c r="H975" t="s">
        <v>17</v>
      </c>
      <c r="I975">
        <v>0</v>
      </c>
      <c r="J975">
        <v>0</v>
      </c>
      <c r="K975">
        <v>1</v>
      </c>
      <c r="L975">
        <v>0</v>
      </c>
      <c r="M975">
        <v>0</v>
      </c>
      <c r="N975" t="s">
        <v>195</v>
      </c>
      <c r="O975" t="s">
        <v>213</v>
      </c>
      <c r="P975" t="s">
        <v>206</v>
      </c>
      <c r="Q975" t="s">
        <v>170</v>
      </c>
      <c r="R975" t="s">
        <v>155</v>
      </c>
      <c r="S975">
        <v>5</v>
      </c>
      <c r="T975" t="s">
        <v>135</v>
      </c>
      <c r="U975">
        <v>0</v>
      </c>
      <c r="V975">
        <v>5</v>
      </c>
      <c r="W975" t="s">
        <v>135</v>
      </c>
      <c r="X975">
        <v>0</v>
      </c>
      <c r="Y975" t="s">
        <v>139</v>
      </c>
      <c r="Z975" t="s">
        <v>185</v>
      </c>
      <c r="AA975" t="s">
        <v>144</v>
      </c>
      <c r="AB975" t="s">
        <v>162</v>
      </c>
      <c r="AC975" t="s">
        <v>175</v>
      </c>
      <c r="AD975" t="s">
        <v>125</v>
      </c>
      <c r="AE975" t="s">
        <v>628</v>
      </c>
      <c r="AF975" t="s">
        <v>629</v>
      </c>
    </row>
    <row r="976" spans="1:32">
      <c r="A976" t="s">
        <v>1782</v>
      </c>
      <c r="B976" s="37">
        <v>40048</v>
      </c>
      <c r="C976" s="38">
        <v>40048</v>
      </c>
      <c r="D976" s="38">
        <v>40042</v>
      </c>
      <c r="E976" s="38">
        <v>40026</v>
      </c>
      <c r="F976" s="39">
        <v>143</v>
      </c>
      <c r="G976" t="s">
        <v>21</v>
      </c>
      <c r="H976" t="s">
        <v>21</v>
      </c>
      <c r="I976">
        <v>0</v>
      </c>
      <c r="J976">
        <v>0</v>
      </c>
      <c r="K976">
        <v>0</v>
      </c>
      <c r="L976">
        <v>1</v>
      </c>
      <c r="M976">
        <v>0</v>
      </c>
      <c r="N976" t="s">
        <v>196</v>
      </c>
      <c r="O976" t="s">
        <v>213</v>
      </c>
      <c r="P976" t="s">
        <v>207</v>
      </c>
      <c r="Q976" t="s">
        <v>170</v>
      </c>
      <c r="R976" t="s">
        <v>155</v>
      </c>
      <c r="S976">
        <v>5</v>
      </c>
      <c r="T976" t="s">
        <v>135</v>
      </c>
      <c r="U976">
        <v>0</v>
      </c>
      <c r="V976">
        <v>5</v>
      </c>
      <c r="W976" t="s">
        <v>135</v>
      </c>
      <c r="X976">
        <v>0</v>
      </c>
      <c r="Y976" t="s">
        <v>139</v>
      </c>
      <c r="Z976" t="s">
        <v>185</v>
      </c>
      <c r="AA976" t="s">
        <v>142</v>
      </c>
      <c r="AB976" t="s">
        <v>165</v>
      </c>
      <c r="AC976" t="s">
        <v>1783</v>
      </c>
      <c r="AD976" t="s">
        <v>158</v>
      </c>
      <c r="AE976" t="s">
        <v>122</v>
      </c>
      <c r="AF976" t="s">
        <v>21</v>
      </c>
    </row>
    <row r="977" spans="1:32">
      <c r="A977" t="s">
        <v>1784</v>
      </c>
      <c r="B977" s="37">
        <v>39994</v>
      </c>
      <c r="C977" s="38">
        <v>39994</v>
      </c>
      <c r="D977" s="38">
        <v>39993</v>
      </c>
      <c r="E977" s="38">
        <v>39965</v>
      </c>
      <c r="F977" s="39">
        <v>89</v>
      </c>
      <c r="G977" t="s">
        <v>21</v>
      </c>
      <c r="H977" t="s">
        <v>21</v>
      </c>
      <c r="I977">
        <v>0</v>
      </c>
      <c r="J977">
        <v>0</v>
      </c>
      <c r="K977">
        <v>0</v>
      </c>
      <c r="L977">
        <v>1</v>
      </c>
      <c r="M977">
        <v>0</v>
      </c>
      <c r="N977" t="s">
        <v>194</v>
      </c>
      <c r="O977" t="s">
        <v>213</v>
      </c>
      <c r="P977" t="s">
        <v>205</v>
      </c>
      <c r="Q977" t="s">
        <v>170</v>
      </c>
      <c r="R977" t="s">
        <v>155</v>
      </c>
      <c r="T977" t="s">
        <v>134</v>
      </c>
      <c r="U977">
        <v>1</v>
      </c>
      <c r="V977">
        <v>5</v>
      </c>
      <c r="W977" t="s">
        <v>135</v>
      </c>
      <c r="X977">
        <v>0</v>
      </c>
      <c r="Y977" t="s">
        <v>139</v>
      </c>
      <c r="Z977" t="s">
        <v>182</v>
      </c>
      <c r="AA977" t="s">
        <v>146</v>
      </c>
      <c r="AB977" t="s">
        <v>162</v>
      </c>
      <c r="AC977" t="s">
        <v>1572</v>
      </c>
      <c r="AD977" t="s">
        <v>156</v>
      </c>
      <c r="AE977" t="s">
        <v>120</v>
      </c>
      <c r="AF977" t="s">
        <v>1785</v>
      </c>
    </row>
    <row r="978" spans="1:32">
      <c r="A978" t="s">
        <v>1786</v>
      </c>
      <c r="B978" s="37">
        <v>39948</v>
      </c>
      <c r="C978" s="38">
        <v>39948</v>
      </c>
      <c r="D978" s="38">
        <v>39944</v>
      </c>
      <c r="E978" s="38">
        <v>39934</v>
      </c>
      <c r="F978" s="39">
        <v>43</v>
      </c>
      <c r="G978" t="s">
        <v>21</v>
      </c>
      <c r="H978" t="s">
        <v>21</v>
      </c>
      <c r="I978">
        <v>0</v>
      </c>
      <c r="J978">
        <v>0</v>
      </c>
      <c r="K978">
        <v>0</v>
      </c>
      <c r="L978">
        <v>1</v>
      </c>
      <c r="M978">
        <v>0</v>
      </c>
      <c r="N978" t="s">
        <v>195</v>
      </c>
      <c r="O978" t="s">
        <v>213</v>
      </c>
      <c r="P978" t="s">
        <v>206</v>
      </c>
      <c r="Q978" t="s">
        <v>170</v>
      </c>
      <c r="R978" t="s">
        <v>155</v>
      </c>
      <c r="T978" t="s">
        <v>134</v>
      </c>
      <c r="U978">
        <v>1</v>
      </c>
      <c r="W978" t="s">
        <v>134</v>
      </c>
      <c r="X978">
        <v>1</v>
      </c>
      <c r="Y978" t="s">
        <v>139</v>
      </c>
      <c r="Z978" t="s">
        <v>182</v>
      </c>
      <c r="AA978" t="s">
        <v>142</v>
      </c>
      <c r="AB978" t="s">
        <v>163</v>
      </c>
      <c r="AC978" t="s">
        <v>173</v>
      </c>
      <c r="AD978" t="s">
        <v>155</v>
      </c>
      <c r="AE978" t="s">
        <v>956</v>
      </c>
      <c r="AF978" t="s">
        <v>21</v>
      </c>
    </row>
    <row r="979" spans="1:32">
      <c r="A979" t="s">
        <v>1787</v>
      </c>
      <c r="B979" s="37">
        <v>40051</v>
      </c>
      <c r="C979" s="38">
        <v>40051</v>
      </c>
      <c r="D979" s="38">
        <v>40049</v>
      </c>
      <c r="E979" s="38">
        <v>40026</v>
      </c>
      <c r="F979" s="39">
        <v>146</v>
      </c>
      <c r="G979" t="s">
        <v>21</v>
      </c>
      <c r="H979" t="s">
        <v>21</v>
      </c>
      <c r="I979">
        <v>0</v>
      </c>
      <c r="J979">
        <v>0</v>
      </c>
      <c r="K979">
        <v>0</v>
      </c>
      <c r="L979">
        <v>1</v>
      </c>
      <c r="M979">
        <v>0</v>
      </c>
      <c r="N979" t="s">
        <v>196</v>
      </c>
      <c r="O979" t="s">
        <v>213</v>
      </c>
      <c r="P979" t="s">
        <v>207</v>
      </c>
      <c r="Q979" t="s">
        <v>170</v>
      </c>
      <c r="R979" t="s">
        <v>155</v>
      </c>
      <c r="S979">
        <v>5</v>
      </c>
      <c r="T979" t="s">
        <v>135</v>
      </c>
      <c r="U979">
        <v>0</v>
      </c>
      <c r="V979">
        <v>5</v>
      </c>
      <c r="W979" t="s">
        <v>135</v>
      </c>
      <c r="X979">
        <v>0</v>
      </c>
      <c r="Y979" t="s">
        <v>139</v>
      </c>
      <c r="Z979" t="s">
        <v>182</v>
      </c>
      <c r="AA979" t="s">
        <v>144</v>
      </c>
      <c r="AB979" t="s">
        <v>162</v>
      </c>
      <c r="AC979" t="s">
        <v>174</v>
      </c>
      <c r="AD979" t="s">
        <v>156</v>
      </c>
      <c r="AE979" t="s">
        <v>120</v>
      </c>
      <c r="AF979" t="s">
        <v>1788</v>
      </c>
    </row>
    <row r="980" spans="1:32">
      <c r="A980" t="s">
        <v>1789</v>
      </c>
      <c r="B980" s="37">
        <v>39970</v>
      </c>
      <c r="C980" s="38">
        <v>39970</v>
      </c>
      <c r="D980" s="38">
        <v>39965</v>
      </c>
      <c r="E980" s="38">
        <v>39965</v>
      </c>
      <c r="F980" s="39">
        <v>65</v>
      </c>
      <c r="G980" t="s">
        <v>21</v>
      </c>
      <c r="H980" t="s">
        <v>21</v>
      </c>
      <c r="I980">
        <v>0</v>
      </c>
      <c r="J980">
        <v>0</v>
      </c>
      <c r="K980">
        <v>0</v>
      </c>
      <c r="L980">
        <v>1</v>
      </c>
      <c r="M980">
        <v>0</v>
      </c>
      <c r="N980" t="s">
        <v>193</v>
      </c>
      <c r="O980" t="s">
        <v>213</v>
      </c>
      <c r="P980" t="s">
        <v>204</v>
      </c>
      <c r="Q980" t="s">
        <v>170</v>
      </c>
      <c r="R980" t="s">
        <v>155</v>
      </c>
      <c r="T980" t="s">
        <v>134</v>
      </c>
      <c r="U980">
        <v>1</v>
      </c>
      <c r="W980" t="s">
        <v>134</v>
      </c>
      <c r="X980">
        <v>1</v>
      </c>
      <c r="Y980" t="s">
        <v>140</v>
      </c>
      <c r="Z980" t="s">
        <v>182</v>
      </c>
      <c r="AA980" t="s">
        <v>146</v>
      </c>
      <c r="AB980" t="s">
        <v>163</v>
      </c>
      <c r="AC980" t="s">
        <v>1790</v>
      </c>
      <c r="AD980" t="s">
        <v>155</v>
      </c>
      <c r="AE980" t="s">
        <v>125</v>
      </c>
      <c r="AF980" t="s">
        <v>21</v>
      </c>
    </row>
    <row r="981" spans="1:32">
      <c r="A981" t="s">
        <v>1791</v>
      </c>
      <c r="B981" s="37">
        <v>39981</v>
      </c>
      <c r="C981" s="38">
        <v>39981</v>
      </c>
      <c r="D981" s="38">
        <v>39979</v>
      </c>
      <c r="E981" s="38">
        <v>39965</v>
      </c>
      <c r="F981" s="39">
        <v>76</v>
      </c>
      <c r="G981" t="s">
        <v>380</v>
      </c>
      <c r="H981" t="s">
        <v>17</v>
      </c>
      <c r="I981">
        <v>0</v>
      </c>
      <c r="J981">
        <v>0</v>
      </c>
      <c r="K981">
        <v>1</v>
      </c>
      <c r="L981">
        <v>0</v>
      </c>
      <c r="M981">
        <v>0</v>
      </c>
      <c r="N981" t="s">
        <v>193</v>
      </c>
      <c r="O981" t="s">
        <v>213</v>
      </c>
      <c r="P981" t="s">
        <v>204</v>
      </c>
      <c r="Q981" t="s">
        <v>170</v>
      </c>
      <c r="R981" t="s">
        <v>155</v>
      </c>
      <c r="T981" t="s">
        <v>134</v>
      </c>
      <c r="U981">
        <v>1</v>
      </c>
      <c r="W981" t="s">
        <v>134</v>
      </c>
      <c r="X981">
        <v>1</v>
      </c>
      <c r="Y981" t="s">
        <v>140</v>
      </c>
      <c r="Z981" t="s">
        <v>178</v>
      </c>
      <c r="AA981" t="s">
        <v>142</v>
      </c>
      <c r="AB981" t="s">
        <v>162</v>
      </c>
      <c r="AC981" t="s">
        <v>174</v>
      </c>
      <c r="AD981" t="s">
        <v>156</v>
      </c>
      <c r="AE981" t="s">
        <v>120</v>
      </c>
      <c r="AF981" t="s">
        <v>929</v>
      </c>
    </row>
    <row r="982" spans="1:32">
      <c r="A982" t="s">
        <v>1792</v>
      </c>
      <c r="B982" s="37">
        <v>40042</v>
      </c>
      <c r="C982" s="38">
        <v>40042</v>
      </c>
      <c r="D982" s="38">
        <v>40042</v>
      </c>
      <c r="E982" s="38">
        <v>40026</v>
      </c>
      <c r="F982" s="39">
        <v>137</v>
      </c>
      <c r="G982" t="s">
        <v>9</v>
      </c>
      <c r="H982" t="s">
        <v>9</v>
      </c>
      <c r="I982">
        <v>1</v>
      </c>
      <c r="J982">
        <v>0</v>
      </c>
      <c r="K982">
        <v>0</v>
      </c>
      <c r="L982">
        <v>0</v>
      </c>
      <c r="M982">
        <v>1</v>
      </c>
      <c r="N982" t="s">
        <v>195</v>
      </c>
      <c r="O982" t="s">
        <v>213</v>
      </c>
      <c r="P982" t="s">
        <v>206</v>
      </c>
      <c r="Q982" t="s">
        <v>170</v>
      </c>
      <c r="R982" t="s">
        <v>155</v>
      </c>
      <c r="S982">
        <v>5</v>
      </c>
      <c r="T982" t="s">
        <v>135</v>
      </c>
      <c r="U982">
        <v>0</v>
      </c>
      <c r="V982">
        <v>5</v>
      </c>
      <c r="W982" t="s">
        <v>135</v>
      </c>
      <c r="X982">
        <v>0</v>
      </c>
      <c r="Y982" t="s">
        <v>139</v>
      </c>
      <c r="Z982" t="s">
        <v>384</v>
      </c>
      <c r="AA982" t="s">
        <v>145</v>
      </c>
      <c r="AB982" t="s">
        <v>162</v>
      </c>
      <c r="AC982" t="s">
        <v>174</v>
      </c>
      <c r="AD982" t="s">
        <v>156</v>
      </c>
      <c r="AE982" t="s">
        <v>120</v>
      </c>
      <c r="AF982" t="s">
        <v>631</v>
      </c>
    </row>
    <row r="983" spans="1:32">
      <c r="A983" t="s">
        <v>1793</v>
      </c>
      <c r="B983" s="37">
        <v>40004</v>
      </c>
      <c r="C983" s="38">
        <v>40004</v>
      </c>
      <c r="D983" s="38">
        <v>40000</v>
      </c>
      <c r="E983" s="38">
        <v>39995</v>
      </c>
      <c r="F983" s="39">
        <v>99</v>
      </c>
      <c r="G983" t="s">
        <v>21</v>
      </c>
      <c r="H983" t="s">
        <v>21</v>
      </c>
      <c r="I983">
        <v>0</v>
      </c>
      <c r="J983">
        <v>0</v>
      </c>
      <c r="K983">
        <v>0</v>
      </c>
      <c r="L983">
        <v>1</v>
      </c>
      <c r="M983">
        <v>0</v>
      </c>
      <c r="N983" t="s">
        <v>193</v>
      </c>
      <c r="O983" t="s">
        <v>213</v>
      </c>
      <c r="P983" t="s">
        <v>204</v>
      </c>
      <c r="Q983" t="s">
        <v>170</v>
      </c>
      <c r="R983" t="s">
        <v>155</v>
      </c>
      <c r="S983">
        <v>5</v>
      </c>
      <c r="T983" t="s">
        <v>135</v>
      </c>
      <c r="U983">
        <v>0</v>
      </c>
      <c r="V983">
        <v>3</v>
      </c>
      <c r="W983" t="s">
        <v>137</v>
      </c>
      <c r="X983">
        <v>0</v>
      </c>
      <c r="Y983" t="s">
        <v>140</v>
      </c>
      <c r="Z983" t="s">
        <v>178</v>
      </c>
      <c r="AA983" t="s">
        <v>144</v>
      </c>
      <c r="AB983" t="s">
        <v>162</v>
      </c>
      <c r="AC983" t="s">
        <v>174</v>
      </c>
      <c r="AD983" t="s">
        <v>157</v>
      </c>
      <c r="AE983" t="s">
        <v>127</v>
      </c>
      <c r="AF983" t="s">
        <v>153</v>
      </c>
    </row>
    <row r="984" spans="1:32">
      <c r="A984" t="s">
        <v>1794</v>
      </c>
      <c r="B984" s="37">
        <v>39944</v>
      </c>
      <c r="C984" s="38">
        <v>39944</v>
      </c>
      <c r="D984" s="38">
        <v>39944</v>
      </c>
      <c r="E984" s="38">
        <v>39934</v>
      </c>
      <c r="F984" s="39">
        <v>39</v>
      </c>
      <c r="G984" t="s">
        <v>525</v>
      </c>
      <c r="H984" t="s">
        <v>17</v>
      </c>
      <c r="I984">
        <v>0</v>
      </c>
      <c r="J984">
        <v>0</v>
      </c>
      <c r="K984">
        <v>1</v>
      </c>
      <c r="L984">
        <v>0</v>
      </c>
      <c r="M984">
        <v>0</v>
      </c>
      <c r="N984" t="s">
        <v>194</v>
      </c>
      <c r="O984" t="s">
        <v>213</v>
      </c>
      <c r="P984" t="s">
        <v>205</v>
      </c>
      <c r="Q984" t="s">
        <v>170</v>
      </c>
      <c r="R984" t="s">
        <v>155</v>
      </c>
      <c r="T984" t="s">
        <v>134</v>
      </c>
      <c r="U984">
        <v>1</v>
      </c>
      <c r="W984" t="s">
        <v>134</v>
      </c>
      <c r="X984">
        <v>1</v>
      </c>
      <c r="Y984" t="s">
        <v>139</v>
      </c>
      <c r="Z984" t="s">
        <v>178</v>
      </c>
      <c r="AA984" t="s">
        <v>142</v>
      </c>
      <c r="AB984" t="s">
        <v>162</v>
      </c>
      <c r="AC984" t="s">
        <v>174</v>
      </c>
      <c r="AD984" t="s">
        <v>156</v>
      </c>
      <c r="AE984" t="s">
        <v>120</v>
      </c>
      <c r="AF984" t="s">
        <v>1795</v>
      </c>
    </row>
    <row r="985" spans="1:32">
      <c r="A985" t="s">
        <v>1796</v>
      </c>
      <c r="B985" s="37">
        <v>39990</v>
      </c>
      <c r="C985" s="38">
        <v>39990</v>
      </c>
      <c r="D985" s="38">
        <v>39986</v>
      </c>
      <c r="E985" s="38">
        <v>39965</v>
      </c>
      <c r="F985" s="39">
        <v>85</v>
      </c>
      <c r="G985" t="s">
        <v>21</v>
      </c>
      <c r="H985" t="s">
        <v>21</v>
      </c>
      <c r="I985">
        <v>0</v>
      </c>
      <c r="J985">
        <v>0</v>
      </c>
      <c r="K985">
        <v>0</v>
      </c>
      <c r="L985">
        <v>1</v>
      </c>
      <c r="M985">
        <v>0</v>
      </c>
      <c r="N985" t="s">
        <v>193</v>
      </c>
      <c r="O985" t="s">
        <v>213</v>
      </c>
      <c r="P985" t="s">
        <v>204</v>
      </c>
      <c r="Q985" t="s">
        <v>170</v>
      </c>
      <c r="R985" t="s">
        <v>155</v>
      </c>
      <c r="T985" t="s">
        <v>134</v>
      </c>
      <c r="U985">
        <v>1</v>
      </c>
      <c r="V985">
        <v>5</v>
      </c>
      <c r="W985" t="s">
        <v>135</v>
      </c>
      <c r="X985">
        <v>0</v>
      </c>
      <c r="Y985" t="s">
        <v>140</v>
      </c>
      <c r="Z985" t="s">
        <v>182</v>
      </c>
      <c r="AA985" t="s">
        <v>142</v>
      </c>
      <c r="AB985" t="s">
        <v>162</v>
      </c>
      <c r="AC985" t="s">
        <v>1797</v>
      </c>
      <c r="AD985" t="s">
        <v>157</v>
      </c>
      <c r="AE985" t="s">
        <v>127</v>
      </c>
      <c r="AF985" t="s">
        <v>1798</v>
      </c>
    </row>
    <row r="986" spans="1:32">
      <c r="A986" t="s">
        <v>1799</v>
      </c>
      <c r="B986" s="37">
        <v>39986</v>
      </c>
      <c r="C986" s="38">
        <v>39986</v>
      </c>
      <c r="D986" s="38">
        <v>39986</v>
      </c>
      <c r="E986" s="38">
        <v>39965</v>
      </c>
      <c r="F986" s="39">
        <v>81</v>
      </c>
      <c r="G986" t="s">
        <v>21</v>
      </c>
      <c r="H986" t="s">
        <v>21</v>
      </c>
      <c r="I986">
        <v>0</v>
      </c>
      <c r="J986">
        <v>0</v>
      </c>
      <c r="K986">
        <v>0</v>
      </c>
      <c r="L986">
        <v>1</v>
      </c>
      <c r="M986">
        <v>0</v>
      </c>
      <c r="N986" t="s">
        <v>196</v>
      </c>
      <c r="O986" t="s">
        <v>213</v>
      </c>
      <c r="P986" t="s">
        <v>207</v>
      </c>
      <c r="Q986" t="s">
        <v>170</v>
      </c>
      <c r="R986" t="s">
        <v>155</v>
      </c>
      <c r="T986" t="s">
        <v>134</v>
      </c>
      <c r="U986">
        <v>1</v>
      </c>
      <c r="W986" t="s">
        <v>134</v>
      </c>
      <c r="X986">
        <v>1</v>
      </c>
      <c r="Y986" t="s">
        <v>139</v>
      </c>
      <c r="Z986" t="s">
        <v>185</v>
      </c>
      <c r="AA986" t="s">
        <v>146</v>
      </c>
      <c r="AB986" t="s">
        <v>162</v>
      </c>
      <c r="AC986" t="s">
        <v>174</v>
      </c>
      <c r="AD986" t="s">
        <v>156</v>
      </c>
      <c r="AE986" t="s">
        <v>120</v>
      </c>
      <c r="AF986" t="s">
        <v>565</v>
      </c>
    </row>
    <row r="987" spans="1:32">
      <c r="A987" t="s">
        <v>1800</v>
      </c>
      <c r="B987" s="37">
        <v>39936</v>
      </c>
      <c r="C987" s="38">
        <v>39936</v>
      </c>
      <c r="D987" s="38">
        <v>39930</v>
      </c>
      <c r="E987" s="38">
        <v>39934</v>
      </c>
      <c r="F987" s="39">
        <v>31</v>
      </c>
      <c r="G987" t="s">
        <v>21</v>
      </c>
      <c r="H987" t="s">
        <v>21</v>
      </c>
      <c r="I987">
        <v>0</v>
      </c>
      <c r="J987">
        <v>0</v>
      </c>
      <c r="K987">
        <v>0</v>
      </c>
      <c r="L987">
        <v>1</v>
      </c>
      <c r="M987">
        <v>0</v>
      </c>
      <c r="N987" t="s">
        <v>194</v>
      </c>
      <c r="O987" t="s">
        <v>213</v>
      </c>
      <c r="P987" t="s">
        <v>205</v>
      </c>
      <c r="Q987" t="s">
        <v>170</v>
      </c>
      <c r="R987" t="s">
        <v>155</v>
      </c>
      <c r="T987" t="s">
        <v>134</v>
      </c>
      <c r="U987">
        <v>1</v>
      </c>
      <c r="W987" t="s">
        <v>134</v>
      </c>
      <c r="X987">
        <v>1</v>
      </c>
      <c r="Y987" t="s">
        <v>139</v>
      </c>
      <c r="Z987" t="s">
        <v>185</v>
      </c>
      <c r="AA987" t="s">
        <v>142</v>
      </c>
      <c r="AB987" t="s">
        <v>163</v>
      </c>
      <c r="AC987" t="s">
        <v>173</v>
      </c>
      <c r="AD987" t="s">
        <v>155</v>
      </c>
      <c r="AE987" t="s">
        <v>692</v>
      </c>
      <c r="AF987" t="s">
        <v>21</v>
      </c>
    </row>
    <row r="988" spans="1:32">
      <c r="A988" t="s">
        <v>1801</v>
      </c>
      <c r="B988" s="37">
        <v>40028</v>
      </c>
      <c r="C988" s="38">
        <v>40028</v>
      </c>
      <c r="D988" s="38">
        <v>40028</v>
      </c>
      <c r="E988" s="38">
        <v>40026</v>
      </c>
      <c r="F988" s="39">
        <v>123</v>
      </c>
      <c r="G988" t="s">
        <v>21</v>
      </c>
      <c r="H988" t="s">
        <v>21</v>
      </c>
      <c r="I988">
        <v>0</v>
      </c>
      <c r="J988">
        <v>0</v>
      </c>
      <c r="K988">
        <v>0</v>
      </c>
      <c r="L988">
        <v>1</v>
      </c>
      <c r="M988">
        <v>0</v>
      </c>
      <c r="N988" t="s">
        <v>195</v>
      </c>
      <c r="O988" t="s">
        <v>213</v>
      </c>
      <c r="P988" t="s">
        <v>206</v>
      </c>
      <c r="Q988" t="s">
        <v>170</v>
      </c>
      <c r="R988" t="s">
        <v>155</v>
      </c>
      <c r="S988">
        <v>2</v>
      </c>
      <c r="T988" t="s">
        <v>136</v>
      </c>
      <c r="U988">
        <v>0</v>
      </c>
      <c r="V988">
        <v>3</v>
      </c>
      <c r="W988" t="s">
        <v>137</v>
      </c>
      <c r="X988">
        <v>0</v>
      </c>
      <c r="Y988" t="s">
        <v>139</v>
      </c>
      <c r="Z988" t="s">
        <v>185</v>
      </c>
      <c r="AA988" t="s">
        <v>143</v>
      </c>
      <c r="AB988" t="s">
        <v>163</v>
      </c>
      <c r="AC988" t="s">
        <v>173</v>
      </c>
      <c r="AD988" t="s">
        <v>155</v>
      </c>
      <c r="AE988" t="s">
        <v>125</v>
      </c>
      <c r="AF988" t="s">
        <v>21</v>
      </c>
    </row>
    <row r="989" spans="1:32">
      <c r="A989" t="s">
        <v>1802</v>
      </c>
      <c r="B989" s="37">
        <v>40039</v>
      </c>
      <c r="C989" s="38">
        <v>40039</v>
      </c>
      <c r="D989" s="38">
        <v>40035</v>
      </c>
      <c r="E989" s="38">
        <v>40026</v>
      </c>
      <c r="F989" s="39">
        <v>134</v>
      </c>
      <c r="G989" t="s">
        <v>21</v>
      </c>
      <c r="H989" t="s">
        <v>21</v>
      </c>
      <c r="I989">
        <v>0</v>
      </c>
      <c r="J989">
        <v>0</v>
      </c>
      <c r="K989">
        <v>0</v>
      </c>
      <c r="L989">
        <v>1</v>
      </c>
      <c r="M989">
        <v>0</v>
      </c>
      <c r="N989" t="s">
        <v>193</v>
      </c>
      <c r="O989" t="s">
        <v>213</v>
      </c>
      <c r="P989" t="s">
        <v>204</v>
      </c>
      <c r="Q989" t="s">
        <v>170</v>
      </c>
      <c r="R989" t="s">
        <v>155</v>
      </c>
      <c r="S989">
        <v>4</v>
      </c>
      <c r="T989" t="s">
        <v>137</v>
      </c>
      <c r="U989">
        <v>0</v>
      </c>
      <c r="V989">
        <v>2</v>
      </c>
      <c r="W989" t="s">
        <v>136</v>
      </c>
      <c r="X989">
        <v>0</v>
      </c>
      <c r="Y989" t="s">
        <v>140</v>
      </c>
      <c r="Z989" t="s">
        <v>534</v>
      </c>
      <c r="AA989" t="s">
        <v>144</v>
      </c>
      <c r="AB989" t="s">
        <v>162</v>
      </c>
      <c r="AC989" t="s">
        <v>176</v>
      </c>
      <c r="AD989" t="s">
        <v>155</v>
      </c>
      <c r="AE989" t="s">
        <v>129</v>
      </c>
      <c r="AF989" t="s">
        <v>21</v>
      </c>
    </row>
    <row r="990" spans="1:32">
      <c r="A990" t="s">
        <v>1803</v>
      </c>
      <c r="B990" s="37">
        <v>39960</v>
      </c>
      <c r="C990" s="38">
        <v>39960</v>
      </c>
      <c r="D990" s="38">
        <v>39958</v>
      </c>
      <c r="E990" s="38">
        <v>39934</v>
      </c>
      <c r="F990" s="39">
        <v>55</v>
      </c>
      <c r="G990" t="s">
        <v>21</v>
      </c>
      <c r="H990" t="s">
        <v>21</v>
      </c>
      <c r="I990">
        <v>0</v>
      </c>
      <c r="J990">
        <v>0</v>
      </c>
      <c r="K990">
        <v>0</v>
      </c>
      <c r="L990">
        <v>1</v>
      </c>
      <c r="M990">
        <v>0</v>
      </c>
      <c r="N990" t="s">
        <v>194</v>
      </c>
      <c r="O990" t="s">
        <v>213</v>
      </c>
      <c r="P990" t="s">
        <v>205</v>
      </c>
      <c r="Q990" t="s">
        <v>170</v>
      </c>
      <c r="R990" t="s">
        <v>155</v>
      </c>
      <c r="T990" t="s">
        <v>134</v>
      </c>
      <c r="U990">
        <v>1</v>
      </c>
      <c r="W990" t="s">
        <v>134</v>
      </c>
      <c r="X990">
        <v>1</v>
      </c>
      <c r="Y990" t="s">
        <v>139</v>
      </c>
      <c r="Z990" t="s">
        <v>185</v>
      </c>
      <c r="AA990" t="s">
        <v>148</v>
      </c>
      <c r="AB990" t="s">
        <v>163</v>
      </c>
      <c r="AC990" t="s">
        <v>173</v>
      </c>
      <c r="AD990" t="s">
        <v>161</v>
      </c>
      <c r="AE990" t="s">
        <v>939</v>
      </c>
      <c r="AF990" t="s">
        <v>21</v>
      </c>
    </row>
    <row r="991" spans="1:32">
      <c r="A991" t="s">
        <v>1804</v>
      </c>
      <c r="B991" s="37">
        <v>39927</v>
      </c>
      <c r="C991" s="38">
        <v>39927</v>
      </c>
      <c r="D991" s="38">
        <v>39923</v>
      </c>
      <c r="E991" s="38">
        <v>39904</v>
      </c>
      <c r="F991" s="39">
        <v>22</v>
      </c>
      <c r="G991" t="s">
        <v>21</v>
      </c>
      <c r="H991" t="s">
        <v>21</v>
      </c>
      <c r="I991">
        <v>0</v>
      </c>
      <c r="J991">
        <v>0</v>
      </c>
      <c r="K991">
        <v>0</v>
      </c>
      <c r="L991">
        <v>1</v>
      </c>
      <c r="M991">
        <v>0</v>
      </c>
      <c r="N991" t="s">
        <v>202</v>
      </c>
      <c r="O991" t="s">
        <v>213</v>
      </c>
      <c r="P991" t="s">
        <v>211</v>
      </c>
      <c r="Q991" t="s">
        <v>170</v>
      </c>
      <c r="R991" t="s">
        <v>155</v>
      </c>
      <c r="T991" t="s">
        <v>134</v>
      </c>
      <c r="U991">
        <v>1</v>
      </c>
      <c r="W991" t="s">
        <v>134</v>
      </c>
      <c r="X991">
        <v>1</v>
      </c>
      <c r="Y991" t="s">
        <v>139</v>
      </c>
      <c r="Z991" t="s">
        <v>185</v>
      </c>
      <c r="AA991" t="s">
        <v>143</v>
      </c>
      <c r="AB991" t="s">
        <v>162</v>
      </c>
      <c r="AC991" t="s">
        <v>175</v>
      </c>
      <c r="AD991" t="s">
        <v>155</v>
      </c>
      <c r="AE991" t="s">
        <v>130</v>
      </c>
      <c r="AF991" t="s">
        <v>21</v>
      </c>
    </row>
    <row r="992" spans="1:32">
      <c r="A992" t="s">
        <v>1805</v>
      </c>
      <c r="B992" s="37">
        <v>40020</v>
      </c>
      <c r="C992" s="38">
        <v>40020</v>
      </c>
      <c r="D992" s="38">
        <v>40014</v>
      </c>
      <c r="E992" s="38">
        <v>39995</v>
      </c>
      <c r="F992" s="39">
        <v>115</v>
      </c>
      <c r="G992" t="s">
        <v>21</v>
      </c>
      <c r="H992" t="s">
        <v>21</v>
      </c>
      <c r="I992">
        <v>0</v>
      </c>
      <c r="J992">
        <v>0</v>
      </c>
      <c r="K992">
        <v>0</v>
      </c>
      <c r="L992">
        <v>1</v>
      </c>
      <c r="M992">
        <v>0</v>
      </c>
      <c r="N992" t="s">
        <v>197</v>
      </c>
      <c r="O992" t="s">
        <v>213</v>
      </c>
      <c r="P992" t="s">
        <v>209</v>
      </c>
      <c r="Q992" t="s">
        <v>170</v>
      </c>
      <c r="R992" t="s">
        <v>155</v>
      </c>
      <c r="S992">
        <v>4</v>
      </c>
      <c r="T992" t="s">
        <v>137</v>
      </c>
      <c r="U992">
        <v>0</v>
      </c>
      <c r="V992">
        <v>3</v>
      </c>
      <c r="W992" t="s">
        <v>137</v>
      </c>
      <c r="X992">
        <v>0</v>
      </c>
      <c r="Y992" t="s">
        <v>139</v>
      </c>
      <c r="Z992" t="s">
        <v>187</v>
      </c>
      <c r="AA992" t="s">
        <v>151</v>
      </c>
      <c r="AB992" t="s">
        <v>162</v>
      </c>
      <c r="AC992" t="s">
        <v>175</v>
      </c>
      <c r="AD992" t="s">
        <v>155</v>
      </c>
      <c r="AE992" t="s">
        <v>130</v>
      </c>
      <c r="AF992" t="s">
        <v>21</v>
      </c>
    </row>
    <row r="993" spans="1:32">
      <c r="A993" t="s">
        <v>1806</v>
      </c>
      <c r="B993" s="37">
        <v>40086</v>
      </c>
      <c r="C993" s="38">
        <v>40086</v>
      </c>
      <c r="D993" s="38">
        <v>40084</v>
      </c>
      <c r="E993" s="38">
        <v>40057</v>
      </c>
      <c r="F993" s="39">
        <v>181</v>
      </c>
      <c r="G993" t="s">
        <v>21</v>
      </c>
      <c r="H993" t="s">
        <v>21</v>
      </c>
      <c r="I993">
        <v>0</v>
      </c>
      <c r="J993">
        <v>0</v>
      </c>
      <c r="K993">
        <v>0</v>
      </c>
      <c r="L993">
        <v>1</v>
      </c>
      <c r="M993">
        <v>0</v>
      </c>
      <c r="N993" t="s">
        <v>197</v>
      </c>
      <c r="O993" t="s">
        <v>213</v>
      </c>
      <c r="P993" t="s">
        <v>209</v>
      </c>
      <c r="Q993" t="s">
        <v>170</v>
      </c>
      <c r="R993" t="s">
        <v>155</v>
      </c>
      <c r="T993" t="s">
        <v>134</v>
      </c>
      <c r="U993">
        <v>1</v>
      </c>
      <c r="W993" t="s">
        <v>134</v>
      </c>
      <c r="X993">
        <v>1</v>
      </c>
      <c r="Y993" t="s">
        <v>139</v>
      </c>
      <c r="Z993" t="s">
        <v>178</v>
      </c>
      <c r="AA993" t="s">
        <v>145</v>
      </c>
      <c r="AB993" t="s">
        <v>163</v>
      </c>
      <c r="AC993" t="s">
        <v>173</v>
      </c>
      <c r="AD993" t="s">
        <v>155</v>
      </c>
      <c r="AE993" t="s">
        <v>128</v>
      </c>
      <c r="AF993" t="s">
        <v>21</v>
      </c>
    </row>
    <row r="994" spans="1:32">
      <c r="A994" t="s">
        <v>1807</v>
      </c>
      <c r="B994" s="37">
        <v>39953</v>
      </c>
      <c r="C994" s="38">
        <v>39953</v>
      </c>
      <c r="D994" s="38">
        <v>39951</v>
      </c>
      <c r="E994" s="38">
        <v>39934</v>
      </c>
      <c r="F994" s="39">
        <v>48</v>
      </c>
      <c r="G994" t="s">
        <v>21</v>
      </c>
      <c r="H994" t="s">
        <v>21</v>
      </c>
      <c r="I994">
        <v>0</v>
      </c>
      <c r="J994">
        <v>0</v>
      </c>
      <c r="K994">
        <v>0</v>
      </c>
      <c r="L994">
        <v>1</v>
      </c>
      <c r="M994">
        <v>0</v>
      </c>
      <c r="N994" t="s">
        <v>193</v>
      </c>
      <c r="O994" t="s">
        <v>213</v>
      </c>
      <c r="P994" t="s">
        <v>204</v>
      </c>
      <c r="Q994" t="s">
        <v>170</v>
      </c>
      <c r="R994" t="s">
        <v>155</v>
      </c>
      <c r="T994" t="s">
        <v>134</v>
      </c>
      <c r="U994">
        <v>1</v>
      </c>
      <c r="W994" t="s">
        <v>134</v>
      </c>
      <c r="X994">
        <v>1</v>
      </c>
      <c r="Y994" t="s">
        <v>140</v>
      </c>
      <c r="Z994" t="s">
        <v>178</v>
      </c>
      <c r="AA994" t="s">
        <v>143</v>
      </c>
      <c r="AB994" t="s">
        <v>163</v>
      </c>
      <c r="AC994" t="s">
        <v>173</v>
      </c>
      <c r="AD994" t="s">
        <v>155</v>
      </c>
      <c r="AE994" t="s">
        <v>962</v>
      </c>
      <c r="AF994" t="s">
        <v>21</v>
      </c>
    </row>
    <row r="995" spans="1:32">
      <c r="A995" t="s">
        <v>1808</v>
      </c>
      <c r="B995" s="37">
        <v>40075</v>
      </c>
      <c r="C995" s="38">
        <v>40075</v>
      </c>
      <c r="D995" s="38">
        <v>40070</v>
      </c>
      <c r="E995" s="38">
        <v>40057</v>
      </c>
      <c r="F995" s="39">
        <v>170</v>
      </c>
      <c r="G995" t="s">
        <v>383</v>
      </c>
      <c r="H995" t="s">
        <v>17</v>
      </c>
      <c r="I995">
        <v>0</v>
      </c>
      <c r="J995">
        <v>0</v>
      </c>
      <c r="K995">
        <v>1</v>
      </c>
      <c r="L995">
        <v>0</v>
      </c>
      <c r="M995">
        <v>0</v>
      </c>
      <c r="N995" t="s">
        <v>193</v>
      </c>
      <c r="O995" t="s">
        <v>213</v>
      </c>
      <c r="P995" t="s">
        <v>204</v>
      </c>
      <c r="Q995" t="s">
        <v>170</v>
      </c>
      <c r="R995" t="s">
        <v>155</v>
      </c>
      <c r="S995">
        <v>5</v>
      </c>
      <c r="T995" t="s">
        <v>135</v>
      </c>
      <c r="U995">
        <v>0</v>
      </c>
      <c r="V995">
        <v>5</v>
      </c>
      <c r="W995" t="s">
        <v>135</v>
      </c>
      <c r="X995">
        <v>0</v>
      </c>
      <c r="Y995" t="s">
        <v>140</v>
      </c>
      <c r="Z995" t="s">
        <v>384</v>
      </c>
      <c r="AA995" t="s">
        <v>151</v>
      </c>
      <c r="AB995" t="s">
        <v>163</v>
      </c>
      <c r="AC995" t="s">
        <v>1308</v>
      </c>
      <c r="AD995" t="s">
        <v>155</v>
      </c>
      <c r="AE995" t="s">
        <v>510</v>
      </c>
      <c r="AF995" t="s">
        <v>21</v>
      </c>
    </row>
    <row r="996" spans="1:32">
      <c r="A996" t="s">
        <v>1809</v>
      </c>
      <c r="B996" s="37">
        <v>39907</v>
      </c>
      <c r="C996" s="38">
        <v>39907</v>
      </c>
      <c r="D996" s="38">
        <v>39902</v>
      </c>
      <c r="E996" s="38">
        <v>39904</v>
      </c>
      <c r="F996" s="39">
        <v>2</v>
      </c>
      <c r="G996" t="s">
        <v>496</v>
      </c>
      <c r="H996" t="s">
        <v>13</v>
      </c>
      <c r="I996">
        <v>0</v>
      </c>
      <c r="J996">
        <v>1</v>
      </c>
      <c r="K996">
        <v>0</v>
      </c>
      <c r="L996">
        <v>0</v>
      </c>
      <c r="M996">
        <v>1</v>
      </c>
      <c r="N996" t="s">
        <v>193</v>
      </c>
      <c r="O996" t="s">
        <v>213</v>
      </c>
      <c r="P996" t="s">
        <v>204</v>
      </c>
      <c r="Q996" t="s">
        <v>170</v>
      </c>
      <c r="R996" t="s">
        <v>155</v>
      </c>
      <c r="T996" t="s">
        <v>134</v>
      </c>
      <c r="U996">
        <v>1</v>
      </c>
      <c r="W996" t="s">
        <v>134</v>
      </c>
      <c r="X996">
        <v>1</v>
      </c>
      <c r="Y996" t="s">
        <v>140</v>
      </c>
      <c r="Z996" t="s">
        <v>182</v>
      </c>
      <c r="AA996" t="s">
        <v>143</v>
      </c>
      <c r="AB996" t="s">
        <v>163</v>
      </c>
      <c r="AC996" t="s">
        <v>173</v>
      </c>
      <c r="AD996" t="s">
        <v>155</v>
      </c>
      <c r="AE996" t="s">
        <v>124</v>
      </c>
      <c r="AF996" t="s">
        <v>21</v>
      </c>
    </row>
    <row r="997" spans="1:32">
      <c r="A997" t="s">
        <v>1810</v>
      </c>
      <c r="B997" s="37">
        <v>40086</v>
      </c>
      <c r="C997" s="38">
        <v>40086</v>
      </c>
      <c r="D997" s="38">
        <v>40084</v>
      </c>
      <c r="E997" s="38">
        <v>40057</v>
      </c>
      <c r="F997" s="39">
        <v>181</v>
      </c>
      <c r="G997" t="s">
        <v>380</v>
      </c>
      <c r="H997" t="s">
        <v>17</v>
      </c>
      <c r="I997">
        <v>0</v>
      </c>
      <c r="J997">
        <v>0</v>
      </c>
      <c r="K997">
        <v>1</v>
      </c>
      <c r="L997">
        <v>0</v>
      </c>
      <c r="M997">
        <v>0</v>
      </c>
      <c r="N997" t="s">
        <v>544</v>
      </c>
      <c r="O997" t="s">
        <v>213</v>
      </c>
      <c r="P997" t="s">
        <v>545</v>
      </c>
      <c r="Q997" t="s">
        <v>170</v>
      </c>
      <c r="R997" t="s">
        <v>155</v>
      </c>
      <c r="S997">
        <v>5</v>
      </c>
      <c r="T997" t="s">
        <v>135</v>
      </c>
      <c r="U997">
        <v>0</v>
      </c>
      <c r="V997">
        <v>3</v>
      </c>
      <c r="W997" t="s">
        <v>137</v>
      </c>
      <c r="X997">
        <v>0</v>
      </c>
      <c r="Y997" t="s">
        <v>139</v>
      </c>
      <c r="Z997" t="s">
        <v>384</v>
      </c>
      <c r="AA997" t="s">
        <v>143</v>
      </c>
      <c r="AB997" t="s">
        <v>163</v>
      </c>
      <c r="AC997" t="s">
        <v>1811</v>
      </c>
      <c r="AD997" t="s">
        <v>155</v>
      </c>
      <c r="AE997" t="s">
        <v>128</v>
      </c>
      <c r="AF997" t="s">
        <v>21</v>
      </c>
    </row>
    <row r="998" spans="1:32">
      <c r="A998" t="s">
        <v>1812</v>
      </c>
      <c r="B998" s="37">
        <v>40044</v>
      </c>
      <c r="C998" s="38">
        <v>40044</v>
      </c>
      <c r="D998" s="38">
        <v>40042</v>
      </c>
      <c r="E998" s="38">
        <v>40026</v>
      </c>
      <c r="F998" s="39">
        <v>139</v>
      </c>
      <c r="G998" t="s">
        <v>21</v>
      </c>
      <c r="H998" t="s">
        <v>21</v>
      </c>
      <c r="I998">
        <v>0</v>
      </c>
      <c r="J998">
        <v>0</v>
      </c>
      <c r="K998">
        <v>0</v>
      </c>
      <c r="L998">
        <v>1</v>
      </c>
      <c r="M998">
        <v>0</v>
      </c>
      <c r="N998" t="s">
        <v>195</v>
      </c>
      <c r="O998" t="s">
        <v>213</v>
      </c>
      <c r="P998" t="s">
        <v>206</v>
      </c>
      <c r="Q998" t="s">
        <v>170</v>
      </c>
      <c r="R998" t="s">
        <v>155</v>
      </c>
      <c r="S998">
        <v>5</v>
      </c>
      <c r="T998" t="s">
        <v>135</v>
      </c>
      <c r="U998">
        <v>0</v>
      </c>
      <c r="V998">
        <v>3</v>
      </c>
      <c r="W998" t="s">
        <v>137</v>
      </c>
      <c r="X998">
        <v>0</v>
      </c>
      <c r="Y998" t="s">
        <v>139</v>
      </c>
      <c r="Z998" t="s">
        <v>178</v>
      </c>
      <c r="AA998" t="s">
        <v>144</v>
      </c>
      <c r="AB998" t="s">
        <v>163</v>
      </c>
      <c r="AC998" t="s">
        <v>173</v>
      </c>
      <c r="AD998" t="s">
        <v>155</v>
      </c>
      <c r="AE998" t="s">
        <v>501</v>
      </c>
      <c r="AF998" t="s">
        <v>21</v>
      </c>
    </row>
    <row r="999" spans="1:32">
      <c r="A999" t="s">
        <v>1813</v>
      </c>
      <c r="B999" s="37">
        <v>40022</v>
      </c>
      <c r="C999" s="38">
        <v>40022</v>
      </c>
      <c r="D999" s="38">
        <v>40021</v>
      </c>
      <c r="E999" s="38">
        <v>39995</v>
      </c>
      <c r="F999" s="39">
        <v>117</v>
      </c>
      <c r="G999" t="s">
        <v>21</v>
      </c>
      <c r="H999" t="s">
        <v>21</v>
      </c>
      <c r="I999">
        <v>0</v>
      </c>
      <c r="J999">
        <v>0</v>
      </c>
      <c r="K999">
        <v>0</v>
      </c>
      <c r="L999">
        <v>1</v>
      </c>
      <c r="M999">
        <v>0</v>
      </c>
      <c r="N999" t="s">
        <v>193</v>
      </c>
      <c r="O999" t="s">
        <v>213</v>
      </c>
      <c r="P999" t="s">
        <v>204</v>
      </c>
      <c r="Q999" t="s">
        <v>170</v>
      </c>
      <c r="R999" t="s">
        <v>155</v>
      </c>
      <c r="S999">
        <v>5</v>
      </c>
      <c r="T999" t="s">
        <v>135</v>
      </c>
      <c r="U999">
        <v>0</v>
      </c>
      <c r="V999">
        <v>4</v>
      </c>
      <c r="W999" t="s">
        <v>137</v>
      </c>
      <c r="X999">
        <v>0</v>
      </c>
      <c r="Y999" t="s">
        <v>140</v>
      </c>
      <c r="Z999" t="s">
        <v>183</v>
      </c>
      <c r="AA999" t="s">
        <v>145</v>
      </c>
      <c r="AB999" t="s">
        <v>163</v>
      </c>
      <c r="AC999" t="s">
        <v>173</v>
      </c>
      <c r="AD999" t="s">
        <v>155</v>
      </c>
      <c r="AE999" t="s">
        <v>128</v>
      </c>
      <c r="AF999" t="s">
        <v>21</v>
      </c>
    </row>
    <row r="1000" spans="1:32">
      <c r="A1000" t="s">
        <v>1814</v>
      </c>
      <c r="B1000" s="37">
        <v>39914</v>
      </c>
      <c r="C1000" s="38">
        <v>39914</v>
      </c>
      <c r="D1000" s="38">
        <v>39909</v>
      </c>
      <c r="E1000" s="38">
        <v>39904</v>
      </c>
      <c r="F1000" s="39">
        <v>9</v>
      </c>
      <c r="G1000" t="s">
        <v>21</v>
      </c>
      <c r="H1000" t="s">
        <v>21</v>
      </c>
      <c r="I1000">
        <v>0</v>
      </c>
      <c r="J1000">
        <v>0</v>
      </c>
      <c r="K1000">
        <v>0</v>
      </c>
      <c r="L1000">
        <v>1</v>
      </c>
      <c r="M1000">
        <v>0</v>
      </c>
      <c r="N1000" t="s">
        <v>199</v>
      </c>
      <c r="O1000" t="s">
        <v>213</v>
      </c>
      <c r="P1000" t="s">
        <v>210</v>
      </c>
      <c r="Q1000" t="s">
        <v>170</v>
      </c>
      <c r="R1000" t="s">
        <v>155</v>
      </c>
      <c r="T1000" t="s">
        <v>134</v>
      </c>
      <c r="U1000">
        <v>1</v>
      </c>
      <c r="W1000" t="s">
        <v>134</v>
      </c>
      <c r="X1000">
        <v>1</v>
      </c>
      <c r="Y1000" t="s">
        <v>139</v>
      </c>
      <c r="Z1000" t="s">
        <v>528</v>
      </c>
      <c r="AA1000" t="s">
        <v>142</v>
      </c>
      <c r="AB1000" t="s">
        <v>163</v>
      </c>
      <c r="AC1000" t="s">
        <v>173</v>
      </c>
      <c r="AD1000" t="s">
        <v>161</v>
      </c>
      <c r="AE1000" t="s">
        <v>465</v>
      </c>
      <c r="AF1000" t="s">
        <v>21</v>
      </c>
    </row>
    <row r="1001" spans="1:32">
      <c r="A1001" t="s">
        <v>1815</v>
      </c>
      <c r="B1001" s="37">
        <v>39941</v>
      </c>
      <c r="C1001" s="38">
        <v>39941</v>
      </c>
      <c r="D1001" s="38">
        <v>39937</v>
      </c>
      <c r="E1001" s="38">
        <v>39934</v>
      </c>
      <c r="F1001" s="39">
        <v>36</v>
      </c>
      <c r="G1001" t="s">
        <v>21</v>
      </c>
      <c r="H1001" t="s">
        <v>21</v>
      </c>
      <c r="I1001">
        <v>0</v>
      </c>
      <c r="J1001">
        <v>0</v>
      </c>
      <c r="K1001">
        <v>0</v>
      </c>
      <c r="L1001">
        <v>1</v>
      </c>
      <c r="M1001">
        <v>0</v>
      </c>
      <c r="N1001" t="s">
        <v>194</v>
      </c>
      <c r="O1001" t="s">
        <v>213</v>
      </c>
      <c r="P1001" t="s">
        <v>205</v>
      </c>
      <c r="Q1001" t="s">
        <v>170</v>
      </c>
      <c r="R1001" t="s">
        <v>155</v>
      </c>
      <c r="T1001" t="s">
        <v>134</v>
      </c>
      <c r="U1001">
        <v>1</v>
      </c>
      <c r="W1001" t="s">
        <v>134</v>
      </c>
      <c r="X1001">
        <v>1</v>
      </c>
      <c r="Y1001" t="s">
        <v>139</v>
      </c>
      <c r="Z1001" t="s">
        <v>185</v>
      </c>
      <c r="AA1001" t="s">
        <v>145</v>
      </c>
      <c r="AB1001" t="s">
        <v>163</v>
      </c>
      <c r="AC1001" t="s">
        <v>21</v>
      </c>
      <c r="AD1001" t="s">
        <v>155</v>
      </c>
      <c r="AE1001" t="s">
        <v>406</v>
      </c>
      <c r="AF1001" t="s">
        <v>21</v>
      </c>
    </row>
    <row r="1002" spans="1:32">
      <c r="A1002" t="s">
        <v>1816</v>
      </c>
      <c r="B1002" s="37">
        <v>39951</v>
      </c>
      <c r="C1002" s="38">
        <v>39951</v>
      </c>
      <c r="D1002" s="38">
        <v>39951</v>
      </c>
      <c r="E1002" s="38">
        <v>39934</v>
      </c>
      <c r="F1002" s="39">
        <v>46</v>
      </c>
      <c r="G1002" t="s">
        <v>21</v>
      </c>
      <c r="H1002" t="s">
        <v>21</v>
      </c>
      <c r="I1002">
        <v>0</v>
      </c>
      <c r="J1002">
        <v>0</v>
      </c>
      <c r="K1002">
        <v>0</v>
      </c>
      <c r="L1002">
        <v>1</v>
      </c>
      <c r="M1002">
        <v>0</v>
      </c>
      <c r="N1002" t="s">
        <v>195</v>
      </c>
      <c r="O1002" t="s">
        <v>213</v>
      </c>
      <c r="P1002" t="s">
        <v>206</v>
      </c>
      <c r="Q1002" t="s">
        <v>170</v>
      </c>
      <c r="R1002" t="s">
        <v>155</v>
      </c>
      <c r="T1002" t="s">
        <v>134</v>
      </c>
      <c r="U1002">
        <v>1</v>
      </c>
      <c r="W1002" t="s">
        <v>134</v>
      </c>
      <c r="X1002">
        <v>1</v>
      </c>
      <c r="Y1002" t="s">
        <v>139</v>
      </c>
      <c r="Z1002" t="s">
        <v>185</v>
      </c>
      <c r="AA1002" t="s">
        <v>147</v>
      </c>
      <c r="AB1002" t="s">
        <v>162</v>
      </c>
      <c r="AC1002" t="s">
        <v>174</v>
      </c>
      <c r="AD1002" t="s">
        <v>159</v>
      </c>
      <c r="AE1002" t="s">
        <v>123</v>
      </c>
      <c r="AF1002" t="s">
        <v>123</v>
      </c>
    </row>
    <row r="1003" spans="1:32">
      <c r="A1003" t="s">
        <v>1817</v>
      </c>
      <c r="B1003" s="37">
        <v>39935</v>
      </c>
      <c r="C1003" s="38">
        <v>39935</v>
      </c>
      <c r="D1003" s="38">
        <v>39930</v>
      </c>
      <c r="E1003" s="38">
        <v>39934</v>
      </c>
      <c r="F1003" s="39">
        <v>30</v>
      </c>
      <c r="G1003" t="s">
        <v>21</v>
      </c>
      <c r="H1003" t="s">
        <v>21</v>
      </c>
      <c r="I1003">
        <v>0</v>
      </c>
      <c r="J1003">
        <v>0</v>
      </c>
      <c r="K1003">
        <v>0</v>
      </c>
      <c r="L1003">
        <v>1</v>
      </c>
      <c r="M1003">
        <v>0</v>
      </c>
      <c r="N1003" t="s">
        <v>194</v>
      </c>
      <c r="O1003" t="s">
        <v>213</v>
      </c>
      <c r="P1003" t="s">
        <v>205</v>
      </c>
      <c r="Q1003" t="s">
        <v>170</v>
      </c>
      <c r="R1003" t="s">
        <v>155</v>
      </c>
      <c r="T1003" t="s">
        <v>134</v>
      </c>
      <c r="U1003">
        <v>1</v>
      </c>
      <c r="W1003" t="s">
        <v>134</v>
      </c>
      <c r="X1003">
        <v>1</v>
      </c>
      <c r="Y1003" t="s">
        <v>139</v>
      </c>
      <c r="Z1003" t="s">
        <v>181</v>
      </c>
      <c r="AA1003" t="s">
        <v>145</v>
      </c>
      <c r="AB1003" t="s">
        <v>163</v>
      </c>
      <c r="AC1003" t="s">
        <v>1818</v>
      </c>
      <c r="AD1003" t="s">
        <v>161</v>
      </c>
      <c r="AE1003" t="s">
        <v>1216</v>
      </c>
      <c r="AF1003" t="s">
        <v>21</v>
      </c>
    </row>
    <row r="1004" spans="1:32">
      <c r="A1004" t="s">
        <v>1819</v>
      </c>
      <c r="B1004" s="37">
        <v>39990</v>
      </c>
      <c r="C1004" s="38">
        <v>39990</v>
      </c>
      <c r="D1004" s="38">
        <v>39986</v>
      </c>
      <c r="E1004" s="38">
        <v>39965</v>
      </c>
      <c r="F1004" s="39">
        <v>85</v>
      </c>
      <c r="G1004" t="s">
        <v>525</v>
      </c>
      <c r="H1004" t="s">
        <v>17</v>
      </c>
      <c r="I1004">
        <v>0</v>
      </c>
      <c r="J1004">
        <v>0</v>
      </c>
      <c r="K1004">
        <v>1</v>
      </c>
      <c r="L1004">
        <v>0</v>
      </c>
      <c r="M1004">
        <v>0</v>
      </c>
      <c r="N1004" t="s">
        <v>195</v>
      </c>
      <c r="O1004" t="s">
        <v>213</v>
      </c>
      <c r="P1004" t="s">
        <v>206</v>
      </c>
      <c r="Q1004" t="s">
        <v>170</v>
      </c>
      <c r="R1004" t="s">
        <v>155</v>
      </c>
      <c r="T1004" t="s">
        <v>134</v>
      </c>
      <c r="U1004">
        <v>1</v>
      </c>
      <c r="V1004">
        <v>5</v>
      </c>
      <c r="W1004" t="s">
        <v>135</v>
      </c>
      <c r="X1004">
        <v>0</v>
      </c>
      <c r="Y1004" t="s">
        <v>139</v>
      </c>
      <c r="Z1004" t="s">
        <v>190</v>
      </c>
      <c r="AA1004" t="s">
        <v>142</v>
      </c>
      <c r="AB1004" t="s">
        <v>162</v>
      </c>
      <c r="AC1004" t="s">
        <v>654</v>
      </c>
      <c r="AD1004" t="s">
        <v>159</v>
      </c>
      <c r="AE1004" t="s">
        <v>123</v>
      </c>
      <c r="AF1004" t="s">
        <v>123</v>
      </c>
    </row>
    <row r="1005" spans="1:32">
      <c r="A1005" t="s">
        <v>1820</v>
      </c>
      <c r="B1005" s="37">
        <v>39959</v>
      </c>
      <c r="C1005" s="38">
        <v>39959</v>
      </c>
      <c r="D1005" s="38">
        <v>39958</v>
      </c>
      <c r="E1005" s="38">
        <v>39934</v>
      </c>
      <c r="F1005" s="39">
        <v>54</v>
      </c>
      <c r="G1005" t="s">
        <v>380</v>
      </c>
      <c r="H1005" t="s">
        <v>17</v>
      </c>
      <c r="I1005">
        <v>0</v>
      </c>
      <c r="J1005">
        <v>0</v>
      </c>
      <c r="K1005">
        <v>1</v>
      </c>
      <c r="L1005">
        <v>0</v>
      </c>
      <c r="M1005">
        <v>0</v>
      </c>
      <c r="N1005" t="s">
        <v>195</v>
      </c>
      <c r="O1005" t="s">
        <v>213</v>
      </c>
      <c r="P1005" t="s">
        <v>206</v>
      </c>
      <c r="Q1005" t="s">
        <v>170</v>
      </c>
      <c r="R1005" t="s">
        <v>155</v>
      </c>
      <c r="T1005" t="s">
        <v>134</v>
      </c>
      <c r="U1005">
        <v>1</v>
      </c>
      <c r="W1005" t="s">
        <v>134</v>
      </c>
      <c r="X1005">
        <v>1</v>
      </c>
      <c r="Y1005" t="s">
        <v>139</v>
      </c>
      <c r="Z1005" t="s">
        <v>479</v>
      </c>
      <c r="AA1005" t="s">
        <v>144</v>
      </c>
      <c r="AB1005" t="s">
        <v>162</v>
      </c>
      <c r="AC1005" t="s">
        <v>175</v>
      </c>
      <c r="AD1005" t="s">
        <v>159</v>
      </c>
      <c r="AE1005" t="s">
        <v>126</v>
      </c>
      <c r="AF1005" t="s">
        <v>601</v>
      </c>
    </row>
    <row r="1006" spans="1:32">
      <c r="A1006" t="s">
        <v>1821</v>
      </c>
      <c r="B1006" s="37">
        <v>39955</v>
      </c>
      <c r="C1006" s="38">
        <v>39955</v>
      </c>
      <c r="D1006" s="38">
        <v>39951</v>
      </c>
      <c r="E1006" s="38">
        <v>39934</v>
      </c>
      <c r="F1006" s="39">
        <v>50</v>
      </c>
      <c r="G1006" t="s">
        <v>21</v>
      </c>
      <c r="H1006" t="s">
        <v>21</v>
      </c>
      <c r="I1006">
        <v>0</v>
      </c>
      <c r="J1006">
        <v>0</v>
      </c>
      <c r="K1006">
        <v>0</v>
      </c>
      <c r="L1006">
        <v>1</v>
      </c>
      <c r="M1006">
        <v>0</v>
      </c>
      <c r="N1006" t="s">
        <v>193</v>
      </c>
      <c r="O1006" t="s">
        <v>213</v>
      </c>
      <c r="P1006" t="s">
        <v>204</v>
      </c>
      <c r="Q1006" t="s">
        <v>170</v>
      </c>
      <c r="R1006" t="s">
        <v>155</v>
      </c>
      <c r="T1006" t="s">
        <v>134</v>
      </c>
      <c r="U1006">
        <v>1</v>
      </c>
      <c r="W1006" t="s">
        <v>134</v>
      </c>
      <c r="X1006">
        <v>1</v>
      </c>
      <c r="Y1006" t="s">
        <v>140</v>
      </c>
      <c r="Z1006" t="s">
        <v>180</v>
      </c>
      <c r="AA1006" t="s">
        <v>145</v>
      </c>
      <c r="AB1006" t="s">
        <v>165</v>
      </c>
      <c r="AC1006" t="s">
        <v>1130</v>
      </c>
      <c r="AD1006" t="s">
        <v>158</v>
      </c>
      <c r="AE1006" t="s">
        <v>122</v>
      </c>
      <c r="AF1006" t="s">
        <v>21</v>
      </c>
    </row>
    <row r="1007" spans="1:32">
      <c r="A1007" t="s">
        <v>1822</v>
      </c>
      <c r="B1007" s="37">
        <v>40027</v>
      </c>
      <c r="C1007" s="38">
        <v>40027</v>
      </c>
      <c r="D1007" s="38">
        <v>40021</v>
      </c>
      <c r="E1007" s="38">
        <v>40026</v>
      </c>
      <c r="F1007" s="39">
        <v>122</v>
      </c>
      <c r="G1007" t="s">
        <v>21</v>
      </c>
      <c r="H1007" t="s">
        <v>21</v>
      </c>
      <c r="I1007">
        <v>0</v>
      </c>
      <c r="J1007">
        <v>0</v>
      </c>
      <c r="K1007">
        <v>0</v>
      </c>
      <c r="L1007">
        <v>1</v>
      </c>
      <c r="M1007">
        <v>0</v>
      </c>
      <c r="N1007" t="s">
        <v>197</v>
      </c>
      <c r="O1007" t="s">
        <v>213</v>
      </c>
      <c r="P1007" t="s">
        <v>209</v>
      </c>
      <c r="Q1007" t="s">
        <v>170</v>
      </c>
      <c r="R1007" t="s">
        <v>155</v>
      </c>
      <c r="S1007">
        <v>5</v>
      </c>
      <c r="T1007" t="s">
        <v>135</v>
      </c>
      <c r="U1007">
        <v>0</v>
      </c>
      <c r="V1007">
        <v>5</v>
      </c>
      <c r="W1007" t="s">
        <v>135</v>
      </c>
      <c r="X1007">
        <v>0</v>
      </c>
      <c r="Y1007" t="s">
        <v>139</v>
      </c>
      <c r="Z1007" t="s">
        <v>603</v>
      </c>
      <c r="AA1007" t="s">
        <v>145</v>
      </c>
      <c r="AB1007" t="s">
        <v>163</v>
      </c>
      <c r="AC1007" t="s">
        <v>1823</v>
      </c>
      <c r="AD1007" t="s">
        <v>155</v>
      </c>
      <c r="AE1007" t="s">
        <v>124</v>
      </c>
      <c r="AF1007" t="s">
        <v>21</v>
      </c>
    </row>
    <row r="1008" spans="1:32">
      <c r="A1008" t="s">
        <v>1824</v>
      </c>
      <c r="B1008" s="37">
        <v>39952</v>
      </c>
      <c r="C1008" s="38">
        <v>39952</v>
      </c>
      <c r="D1008" s="38">
        <v>39951</v>
      </c>
      <c r="E1008" s="38">
        <v>39934</v>
      </c>
      <c r="F1008" s="39">
        <v>47</v>
      </c>
      <c r="G1008" t="s">
        <v>9</v>
      </c>
      <c r="H1008" t="s">
        <v>9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195</v>
      </c>
      <c r="O1008" t="s">
        <v>213</v>
      </c>
      <c r="P1008" t="s">
        <v>206</v>
      </c>
      <c r="Q1008" t="s">
        <v>170</v>
      </c>
      <c r="R1008" t="s">
        <v>155</v>
      </c>
      <c r="T1008" t="s">
        <v>134</v>
      </c>
      <c r="U1008">
        <v>1</v>
      </c>
      <c r="W1008" t="s">
        <v>134</v>
      </c>
      <c r="X1008">
        <v>1</v>
      </c>
      <c r="Y1008" t="s">
        <v>139</v>
      </c>
      <c r="Z1008" t="s">
        <v>391</v>
      </c>
      <c r="AA1008" t="s">
        <v>149</v>
      </c>
      <c r="AB1008" t="s">
        <v>163</v>
      </c>
      <c r="AC1008" t="s">
        <v>415</v>
      </c>
      <c r="AD1008" t="s">
        <v>155</v>
      </c>
      <c r="AE1008" t="s">
        <v>125</v>
      </c>
      <c r="AF1008" t="s">
        <v>21</v>
      </c>
    </row>
    <row r="1009" spans="1:32">
      <c r="A1009" t="s">
        <v>1825</v>
      </c>
      <c r="B1009" s="37">
        <v>39988</v>
      </c>
      <c r="C1009" s="38">
        <v>39988</v>
      </c>
      <c r="D1009" s="38">
        <v>39986</v>
      </c>
      <c r="E1009" s="38">
        <v>39965</v>
      </c>
      <c r="F1009" s="39">
        <v>83</v>
      </c>
      <c r="G1009" t="s">
        <v>21</v>
      </c>
      <c r="H1009" t="s">
        <v>21</v>
      </c>
      <c r="I1009">
        <v>0</v>
      </c>
      <c r="J1009">
        <v>0</v>
      </c>
      <c r="K1009">
        <v>0</v>
      </c>
      <c r="L1009">
        <v>1</v>
      </c>
      <c r="M1009">
        <v>0</v>
      </c>
      <c r="N1009" t="s">
        <v>196</v>
      </c>
      <c r="O1009" t="s">
        <v>213</v>
      </c>
      <c r="P1009" t="s">
        <v>207</v>
      </c>
      <c r="Q1009" t="s">
        <v>170</v>
      </c>
      <c r="R1009" t="s">
        <v>155</v>
      </c>
      <c r="T1009" t="s">
        <v>134</v>
      </c>
      <c r="U1009">
        <v>1</v>
      </c>
      <c r="W1009" t="s">
        <v>134</v>
      </c>
      <c r="X1009">
        <v>1</v>
      </c>
      <c r="Y1009" t="s">
        <v>139</v>
      </c>
      <c r="Z1009" t="s">
        <v>183</v>
      </c>
      <c r="AA1009" t="s">
        <v>146</v>
      </c>
      <c r="AB1009" t="s">
        <v>165</v>
      </c>
      <c r="AC1009" t="s">
        <v>589</v>
      </c>
      <c r="AD1009" t="s">
        <v>158</v>
      </c>
      <c r="AE1009" t="s">
        <v>122</v>
      </c>
      <c r="AF1009" t="s">
        <v>21</v>
      </c>
    </row>
    <row r="1010" spans="1:32">
      <c r="A1010" t="s">
        <v>1826</v>
      </c>
      <c r="B1010" s="37">
        <v>39949</v>
      </c>
      <c r="C1010" s="38">
        <v>39949</v>
      </c>
      <c r="D1010" s="38">
        <v>39944</v>
      </c>
      <c r="E1010" s="38">
        <v>39934</v>
      </c>
      <c r="F1010" s="39">
        <v>44</v>
      </c>
      <c r="G1010" t="s">
        <v>21</v>
      </c>
      <c r="H1010" t="s">
        <v>21</v>
      </c>
      <c r="I1010">
        <v>0</v>
      </c>
      <c r="J1010">
        <v>0</v>
      </c>
      <c r="K1010">
        <v>0</v>
      </c>
      <c r="L1010">
        <v>1</v>
      </c>
      <c r="M1010">
        <v>0</v>
      </c>
      <c r="N1010" t="s">
        <v>193</v>
      </c>
      <c r="O1010" t="s">
        <v>213</v>
      </c>
      <c r="P1010" t="s">
        <v>204</v>
      </c>
      <c r="Q1010" t="s">
        <v>170</v>
      </c>
      <c r="R1010" t="s">
        <v>155</v>
      </c>
      <c r="T1010" t="s">
        <v>134</v>
      </c>
      <c r="U1010">
        <v>1</v>
      </c>
      <c r="W1010" t="s">
        <v>134</v>
      </c>
      <c r="X1010">
        <v>1</v>
      </c>
      <c r="Y1010" t="s">
        <v>140</v>
      </c>
      <c r="Z1010" t="s">
        <v>183</v>
      </c>
      <c r="AA1010" t="s">
        <v>149</v>
      </c>
      <c r="AB1010" t="s">
        <v>163</v>
      </c>
      <c r="AC1010" t="s">
        <v>1827</v>
      </c>
      <c r="AD1010" t="s">
        <v>155</v>
      </c>
      <c r="AE1010" t="s">
        <v>124</v>
      </c>
      <c r="AF1010" t="s">
        <v>21</v>
      </c>
    </row>
    <row r="1011" spans="1:32">
      <c r="A1011" t="s">
        <v>1828</v>
      </c>
      <c r="B1011" s="37">
        <v>39921</v>
      </c>
      <c r="C1011" s="38">
        <v>39921</v>
      </c>
      <c r="D1011" s="38">
        <v>39916</v>
      </c>
      <c r="E1011" s="38">
        <v>39904</v>
      </c>
      <c r="F1011" s="39">
        <v>16</v>
      </c>
      <c r="G1011" t="s">
        <v>21</v>
      </c>
      <c r="H1011" t="s">
        <v>21</v>
      </c>
      <c r="I1011">
        <v>0</v>
      </c>
      <c r="J1011">
        <v>0</v>
      </c>
      <c r="K1011">
        <v>0</v>
      </c>
      <c r="L1011">
        <v>1</v>
      </c>
      <c r="M1011">
        <v>0</v>
      </c>
      <c r="N1011" t="s">
        <v>194</v>
      </c>
      <c r="O1011" t="s">
        <v>213</v>
      </c>
      <c r="P1011" t="s">
        <v>205</v>
      </c>
      <c r="Q1011" t="s">
        <v>170</v>
      </c>
      <c r="R1011" t="s">
        <v>155</v>
      </c>
      <c r="T1011" t="s">
        <v>134</v>
      </c>
      <c r="U1011">
        <v>1</v>
      </c>
      <c r="W1011" t="s">
        <v>134</v>
      </c>
      <c r="X1011">
        <v>1</v>
      </c>
      <c r="Y1011" t="s">
        <v>139</v>
      </c>
      <c r="Z1011" t="s">
        <v>181</v>
      </c>
      <c r="AA1011" t="s">
        <v>142</v>
      </c>
      <c r="AB1011" t="s">
        <v>162</v>
      </c>
      <c r="AC1011" t="s">
        <v>174</v>
      </c>
      <c r="AD1011" t="s">
        <v>156</v>
      </c>
      <c r="AE1011" t="s">
        <v>120</v>
      </c>
      <c r="AF1011" t="s">
        <v>1829</v>
      </c>
    </row>
    <row r="1012" spans="1:32">
      <c r="A1012" t="s">
        <v>1830</v>
      </c>
      <c r="B1012" s="37">
        <v>40017</v>
      </c>
      <c r="C1012" s="38">
        <v>40017</v>
      </c>
      <c r="D1012" s="38">
        <v>40014</v>
      </c>
      <c r="E1012" s="38">
        <v>39995</v>
      </c>
      <c r="F1012" s="39">
        <v>112</v>
      </c>
      <c r="G1012" t="s">
        <v>21</v>
      </c>
      <c r="H1012" t="s">
        <v>21</v>
      </c>
      <c r="I1012">
        <v>0</v>
      </c>
      <c r="J1012">
        <v>0</v>
      </c>
      <c r="K1012">
        <v>0</v>
      </c>
      <c r="L1012">
        <v>1</v>
      </c>
      <c r="M1012">
        <v>0</v>
      </c>
      <c r="N1012" t="s">
        <v>193</v>
      </c>
      <c r="O1012" t="s">
        <v>213</v>
      </c>
      <c r="P1012" t="s">
        <v>204</v>
      </c>
      <c r="Q1012" t="s">
        <v>170</v>
      </c>
      <c r="R1012" t="s">
        <v>155</v>
      </c>
      <c r="S1012">
        <v>1</v>
      </c>
      <c r="T1012" t="s">
        <v>136</v>
      </c>
      <c r="U1012">
        <v>0</v>
      </c>
      <c r="V1012">
        <v>4</v>
      </c>
      <c r="W1012" t="s">
        <v>137</v>
      </c>
      <c r="X1012">
        <v>0</v>
      </c>
      <c r="Y1012" t="s">
        <v>140</v>
      </c>
      <c r="Z1012" t="s">
        <v>181</v>
      </c>
      <c r="AA1012" t="s">
        <v>143</v>
      </c>
      <c r="AB1012" t="s">
        <v>162</v>
      </c>
      <c r="AC1012" t="s">
        <v>550</v>
      </c>
      <c r="AD1012" t="s">
        <v>160</v>
      </c>
      <c r="AE1012" t="s">
        <v>126</v>
      </c>
      <c r="AF1012" t="s">
        <v>551</v>
      </c>
    </row>
    <row r="1013" spans="1:32">
      <c r="A1013" t="s">
        <v>1831</v>
      </c>
      <c r="B1013" s="37">
        <v>40030</v>
      </c>
      <c r="C1013" s="38">
        <v>40030</v>
      </c>
      <c r="D1013" s="38">
        <v>40028</v>
      </c>
      <c r="E1013" s="38">
        <v>40026</v>
      </c>
      <c r="F1013" s="39">
        <v>125</v>
      </c>
      <c r="G1013" t="s">
        <v>380</v>
      </c>
      <c r="H1013" t="s">
        <v>17</v>
      </c>
      <c r="I1013">
        <v>0</v>
      </c>
      <c r="J1013">
        <v>0</v>
      </c>
      <c r="K1013">
        <v>1</v>
      </c>
      <c r="L1013">
        <v>0</v>
      </c>
      <c r="M1013">
        <v>0</v>
      </c>
      <c r="N1013" t="s">
        <v>197</v>
      </c>
      <c r="O1013" t="s">
        <v>213</v>
      </c>
      <c r="P1013" t="s">
        <v>209</v>
      </c>
      <c r="Q1013" t="s">
        <v>170</v>
      </c>
      <c r="R1013" t="s">
        <v>155</v>
      </c>
      <c r="S1013">
        <v>5</v>
      </c>
      <c r="T1013" t="s">
        <v>135</v>
      </c>
      <c r="U1013">
        <v>0</v>
      </c>
      <c r="V1013">
        <v>5</v>
      </c>
      <c r="W1013" t="s">
        <v>135</v>
      </c>
      <c r="X1013">
        <v>0</v>
      </c>
      <c r="Y1013" t="s">
        <v>139</v>
      </c>
      <c r="Z1013" t="s">
        <v>180</v>
      </c>
      <c r="AA1013" t="s">
        <v>150</v>
      </c>
      <c r="AB1013" t="s">
        <v>163</v>
      </c>
      <c r="AC1013" t="s">
        <v>1832</v>
      </c>
      <c r="AD1013" t="s">
        <v>155</v>
      </c>
      <c r="AE1013" t="s">
        <v>510</v>
      </c>
      <c r="AF1013" t="s">
        <v>21</v>
      </c>
    </row>
    <row r="1014" spans="1:32">
      <c r="A1014" t="s">
        <v>1833</v>
      </c>
      <c r="B1014" s="37">
        <v>40009</v>
      </c>
      <c r="C1014" s="38">
        <v>40009</v>
      </c>
      <c r="D1014" s="38">
        <v>40007</v>
      </c>
      <c r="E1014" s="38">
        <v>39995</v>
      </c>
      <c r="F1014" s="39">
        <v>104</v>
      </c>
      <c r="G1014" t="s">
        <v>380</v>
      </c>
      <c r="H1014" t="s">
        <v>17</v>
      </c>
      <c r="I1014">
        <v>0</v>
      </c>
      <c r="J1014">
        <v>0</v>
      </c>
      <c r="K1014">
        <v>1</v>
      </c>
      <c r="L1014">
        <v>0</v>
      </c>
      <c r="M1014">
        <v>0</v>
      </c>
      <c r="N1014" t="s">
        <v>193</v>
      </c>
      <c r="O1014" t="s">
        <v>213</v>
      </c>
      <c r="P1014" t="s">
        <v>204</v>
      </c>
      <c r="Q1014" t="s">
        <v>170</v>
      </c>
      <c r="R1014" t="s">
        <v>155</v>
      </c>
      <c r="S1014">
        <v>1</v>
      </c>
      <c r="T1014" t="s">
        <v>136</v>
      </c>
      <c r="U1014">
        <v>0</v>
      </c>
      <c r="V1014">
        <v>4</v>
      </c>
      <c r="W1014" t="s">
        <v>137</v>
      </c>
      <c r="X1014">
        <v>0</v>
      </c>
      <c r="Y1014" t="s">
        <v>140</v>
      </c>
      <c r="Z1014" t="s">
        <v>183</v>
      </c>
      <c r="AA1014" t="s">
        <v>145</v>
      </c>
      <c r="AB1014" t="s">
        <v>163</v>
      </c>
      <c r="AC1014" t="s">
        <v>1834</v>
      </c>
      <c r="AD1014" t="s">
        <v>155</v>
      </c>
      <c r="AE1014" t="s">
        <v>406</v>
      </c>
      <c r="AF1014" t="s">
        <v>21</v>
      </c>
    </row>
    <row r="1015" spans="1:32">
      <c r="A1015" t="s">
        <v>1835</v>
      </c>
      <c r="B1015" s="37">
        <v>39930</v>
      </c>
      <c r="C1015" s="38">
        <v>39930</v>
      </c>
      <c r="D1015" s="38">
        <v>39930</v>
      </c>
      <c r="E1015" s="38">
        <v>39904</v>
      </c>
      <c r="F1015" s="39">
        <v>25</v>
      </c>
      <c r="G1015" t="s">
        <v>380</v>
      </c>
      <c r="H1015" t="s">
        <v>17</v>
      </c>
      <c r="I1015">
        <v>0</v>
      </c>
      <c r="J1015">
        <v>0</v>
      </c>
      <c r="K1015">
        <v>1</v>
      </c>
      <c r="L1015">
        <v>0</v>
      </c>
      <c r="M1015">
        <v>0</v>
      </c>
      <c r="N1015" t="s">
        <v>194</v>
      </c>
      <c r="O1015" t="s">
        <v>213</v>
      </c>
      <c r="P1015" t="s">
        <v>205</v>
      </c>
      <c r="Q1015" t="s">
        <v>170</v>
      </c>
      <c r="R1015" t="s">
        <v>155</v>
      </c>
      <c r="T1015" t="s">
        <v>134</v>
      </c>
      <c r="U1015">
        <v>1</v>
      </c>
      <c r="W1015" t="s">
        <v>134</v>
      </c>
      <c r="X1015">
        <v>1</v>
      </c>
      <c r="Y1015" t="s">
        <v>139</v>
      </c>
      <c r="Z1015" t="s">
        <v>181</v>
      </c>
      <c r="AA1015" t="s">
        <v>143</v>
      </c>
      <c r="AB1015" t="s">
        <v>163</v>
      </c>
      <c r="AC1015" t="s">
        <v>173</v>
      </c>
      <c r="AD1015" t="s">
        <v>155</v>
      </c>
      <c r="AE1015" t="s">
        <v>124</v>
      </c>
      <c r="AF1015" t="s">
        <v>21</v>
      </c>
    </row>
    <row r="1016" spans="1:32">
      <c r="A1016" t="s">
        <v>1836</v>
      </c>
      <c r="B1016" s="37">
        <v>39953</v>
      </c>
      <c r="C1016" s="38">
        <v>39953</v>
      </c>
      <c r="D1016" s="38">
        <v>39951</v>
      </c>
      <c r="E1016" s="38">
        <v>39934</v>
      </c>
      <c r="F1016" s="39">
        <v>48</v>
      </c>
      <c r="G1016" t="s">
        <v>496</v>
      </c>
      <c r="H1016" t="s">
        <v>13</v>
      </c>
      <c r="I1016">
        <v>0</v>
      </c>
      <c r="J1016">
        <v>1</v>
      </c>
      <c r="K1016">
        <v>0</v>
      </c>
      <c r="L1016">
        <v>0</v>
      </c>
      <c r="M1016">
        <v>1</v>
      </c>
      <c r="N1016" t="s">
        <v>195</v>
      </c>
      <c r="O1016" t="s">
        <v>213</v>
      </c>
      <c r="P1016" t="s">
        <v>206</v>
      </c>
      <c r="Q1016" t="s">
        <v>170</v>
      </c>
      <c r="R1016" t="s">
        <v>155</v>
      </c>
      <c r="T1016" t="s">
        <v>134</v>
      </c>
      <c r="U1016">
        <v>1</v>
      </c>
      <c r="W1016" t="s">
        <v>134</v>
      </c>
      <c r="X1016">
        <v>1</v>
      </c>
      <c r="Y1016" t="s">
        <v>139</v>
      </c>
      <c r="Z1016" t="s">
        <v>181</v>
      </c>
      <c r="AA1016" t="s">
        <v>142</v>
      </c>
      <c r="AB1016" t="s">
        <v>163</v>
      </c>
      <c r="AC1016" t="s">
        <v>173</v>
      </c>
      <c r="AD1016" t="s">
        <v>155</v>
      </c>
      <c r="AE1016" t="s">
        <v>501</v>
      </c>
      <c r="AF1016" t="s">
        <v>21</v>
      </c>
    </row>
    <row r="1017" spans="1:32">
      <c r="A1017" t="s">
        <v>1837</v>
      </c>
      <c r="B1017" s="37">
        <v>40021</v>
      </c>
      <c r="C1017" s="38">
        <v>40021</v>
      </c>
      <c r="D1017" s="38">
        <v>40021</v>
      </c>
      <c r="E1017" s="38">
        <v>39995</v>
      </c>
      <c r="F1017" s="39">
        <v>116</v>
      </c>
      <c r="G1017" t="s">
        <v>21</v>
      </c>
      <c r="H1017" t="s">
        <v>21</v>
      </c>
      <c r="I1017">
        <v>0</v>
      </c>
      <c r="J1017">
        <v>0</v>
      </c>
      <c r="K1017">
        <v>0</v>
      </c>
      <c r="L1017">
        <v>1</v>
      </c>
      <c r="M1017">
        <v>0</v>
      </c>
      <c r="N1017" t="s">
        <v>195</v>
      </c>
      <c r="O1017" t="s">
        <v>213</v>
      </c>
      <c r="P1017" t="s">
        <v>206</v>
      </c>
      <c r="Q1017" t="s">
        <v>170</v>
      </c>
      <c r="R1017" t="s">
        <v>155</v>
      </c>
      <c r="S1017">
        <v>5</v>
      </c>
      <c r="T1017" t="s">
        <v>135</v>
      </c>
      <c r="U1017">
        <v>0</v>
      </c>
      <c r="V1017">
        <v>3</v>
      </c>
      <c r="W1017" t="s">
        <v>137</v>
      </c>
      <c r="X1017">
        <v>0</v>
      </c>
      <c r="Y1017" t="s">
        <v>139</v>
      </c>
      <c r="Z1017" t="s">
        <v>447</v>
      </c>
      <c r="AA1017" t="s">
        <v>148</v>
      </c>
      <c r="AB1017" t="s">
        <v>162</v>
      </c>
      <c r="AC1017" t="s">
        <v>21</v>
      </c>
      <c r="AD1017" t="s">
        <v>156</v>
      </c>
      <c r="AE1017" t="s">
        <v>120</v>
      </c>
      <c r="AF1017" t="s">
        <v>1838</v>
      </c>
    </row>
    <row r="1018" spans="1:32">
      <c r="A1018" t="s">
        <v>1839</v>
      </c>
      <c r="B1018" s="37">
        <v>39973</v>
      </c>
      <c r="C1018" s="38">
        <v>39973</v>
      </c>
      <c r="D1018" s="38">
        <v>39972</v>
      </c>
      <c r="E1018" s="38">
        <v>39965</v>
      </c>
      <c r="F1018" s="39">
        <v>68</v>
      </c>
      <c r="G1018" t="s">
        <v>383</v>
      </c>
      <c r="H1018" t="s">
        <v>17</v>
      </c>
      <c r="I1018">
        <v>0</v>
      </c>
      <c r="J1018">
        <v>0</v>
      </c>
      <c r="K1018">
        <v>1</v>
      </c>
      <c r="L1018">
        <v>0</v>
      </c>
      <c r="M1018">
        <v>0</v>
      </c>
      <c r="N1018" t="s">
        <v>193</v>
      </c>
      <c r="O1018" t="s">
        <v>213</v>
      </c>
      <c r="P1018" t="s">
        <v>204</v>
      </c>
      <c r="Q1018" t="s">
        <v>170</v>
      </c>
      <c r="R1018" t="s">
        <v>155</v>
      </c>
      <c r="T1018" t="s">
        <v>134</v>
      </c>
      <c r="U1018">
        <v>1</v>
      </c>
      <c r="W1018" t="s">
        <v>134</v>
      </c>
      <c r="X1018">
        <v>1</v>
      </c>
      <c r="Y1018" t="s">
        <v>140</v>
      </c>
      <c r="Z1018" t="s">
        <v>447</v>
      </c>
      <c r="AA1018" t="s">
        <v>142</v>
      </c>
      <c r="AB1018" t="s">
        <v>163</v>
      </c>
      <c r="AC1018" t="s">
        <v>1308</v>
      </c>
      <c r="AD1018" t="s">
        <v>161</v>
      </c>
      <c r="AE1018" t="s">
        <v>1840</v>
      </c>
      <c r="AF1018" t="s">
        <v>21</v>
      </c>
    </row>
    <row r="1019" spans="1:32">
      <c r="A1019" t="s">
        <v>1841</v>
      </c>
      <c r="B1019" s="37">
        <v>40025</v>
      </c>
      <c r="C1019" s="38">
        <v>40025</v>
      </c>
      <c r="D1019" s="38">
        <v>40021</v>
      </c>
      <c r="E1019" s="38">
        <v>39995</v>
      </c>
      <c r="F1019" s="39">
        <v>120</v>
      </c>
      <c r="G1019" t="s">
        <v>21</v>
      </c>
      <c r="H1019" t="s">
        <v>21</v>
      </c>
      <c r="I1019">
        <v>0</v>
      </c>
      <c r="J1019">
        <v>0</v>
      </c>
      <c r="K1019">
        <v>0</v>
      </c>
      <c r="L1019">
        <v>1</v>
      </c>
      <c r="M1019">
        <v>0</v>
      </c>
      <c r="N1019" t="s">
        <v>193</v>
      </c>
      <c r="O1019" t="s">
        <v>213</v>
      </c>
      <c r="P1019" t="s">
        <v>204</v>
      </c>
      <c r="Q1019" t="s">
        <v>170</v>
      </c>
      <c r="R1019" t="s">
        <v>155</v>
      </c>
      <c r="S1019">
        <v>1</v>
      </c>
      <c r="T1019" t="s">
        <v>136</v>
      </c>
      <c r="U1019">
        <v>0</v>
      </c>
      <c r="V1019">
        <v>2</v>
      </c>
      <c r="W1019" t="s">
        <v>136</v>
      </c>
      <c r="X1019">
        <v>0</v>
      </c>
      <c r="Y1019" t="s">
        <v>140</v>
      </c>
      <c r="Z1019" t="s">
        <v>447</v>
      </c>
      <c r="AA1019" t="s">
        <v>143</v>
      </c>
      <c r="AB1019" t="s">
        <v>162</v>
      </c>
      <c r="AC1019" t="s">
        <v>802</v>
      </c>
      <c r="AD1019" t="s">
        <v>155</v>
      </c>
      <c r="AE1019" t="s">
        <v>129</v>
      </c>
      <c r="AF1019" t="s">
        <v>21</v>
      </c>
    </row>
    <row r="1020" spans="1:32">
      <c r="A1020" t="s">
        <v>1842</v>
      </c>
      <c r="B1020" s="37">
        <v>39923</v>
      </c>
      <c r="C1020" s="38">
        <v>39923</v>
      </c>
      <c r="D1020" s="38">
        <v>39923</v>
      </c>
      <c r="E1020" s="38">
        <v>39904</v>
      </c>
      <c r="F1020" s="39">
        <v>18</v>
      </c>
      <c r="G1020" t="s">
        <v>380</v>
      </c>
      <c r="H1020" t="s">
        <v>17</v>
      </c>
      <c r="I1020">
        <v>0</v>
      </c>
      <c r="J1020">
        <v>0</v>
      </c>
      <c r="K1020">
        <v>1</v>
      </c>
      <c r="L1020">
        <v>0</v>
      </c>
      <c r="M1020">
        <v>0</v>
      </c>
      <c r="N1020" t="s">
        <v>199</v>
      </c>
      <c r="O1020" t="s">
        <v>213</v>
      </c>
      <c r="P1020" t="s">
        <v>210</v>
      </c>
      <c r="Q1020" t="s">
        <v>170</v>
      </c>
      <c r="R1020" t="s">
        <v>155</v>
      </c>
      <c r="T1020" t="s">
        <v>134</v>
      </c>
      <c r="U1020">
        <v>1</v>
      </c>
      <c r="W1020" t="s">
        <v>134</v>
      </c>
      <c r="X1020">
        <v>1</v>
      </c>
      <c r="Y1020" t="s">
        <v>139</v>
      </c>
      <c r="Z1020" t="s">
        <v>180</v>
      </c>
      <c r="AA1020" t="s">
        <v>147</v>
      </c>
      <c r="AB1020" t="s">
        <v>163</v>
      </c>
      <c r="AC1020" t="s">
        <v>173</v>
      </c>
      <c r="AD1020" t="s">
        <v>155</v>
      </c>
      <c r="AE1020" t="s">
        <v>692</v>
      </c>
      <c r="AF1020" t="s">
        <v>21</v>
      </c>
    </row>
    <row r="1021" spans="1:32">
      <c r="A1021" t="s">
        <v>1843</v>
      </c>
      <c r="B1021" s="37">
        <v>40017</v>
      </c>
      <c r="C1021" s="38">
        <v>40017</v>
      </c>
      <c r="D1021" s="38">
        <v>40014</v>
      </c>
      <c r="E1021" s="38">
        <v>39995</v>
      </c>
      <c r="F1021" s="39">
        <v>112</v>
      </c>
      <c r="G1021" t="s">
        <v>380</v>
      </c>
      <c r="H1021" t="s">
        <v>17</v>
      </c>
      <c r="I1021">
        <v>0</v>
      </c>
      <c r="J1021">
        <v>0</v>
      </c>
      <c r="K1021">
        <v>1</v>
      </c>
      <c r="L1021">
        <v>0</v>
      </c>
      <c r="M1021">
        <v>0</v>
      </c>
      <c r="N1021" t="s">
        <v>195</v>
      </c>
      <c r="O1021" t="s">
        <v>213</v>
      </c>
      <c r="P1021" t="s">
        <v>206</v>
      </c>
      <c r="Q1021" t="s">
        <v>170</v>
      </c>
      <c r="R1021" t="s">
        <v>155</v>
      </c>
      <c r="S1021">
        <v>5</v>
      </c>
      <c r="T1021" t="s">
        <v>135</v>
      </c>
      <c r="U1021">
        <v>0</v>
      </c>
      <c r="V1021">
        <v>3</v>
      </c>
      <c r="W1021" t="s">
        <v>137</v>
      </c>
      <c r="X1021">
        <v>0</v>
      </c>
      <c r="Y1021" t="s">
        <v>139</v>
      </c>
      <c r="Z1021" t="s">
        <v>180</v>
      </c>
      <c r="AA1021" t="s">
        <v>148</v>
      </c>
      <c r="AB1021" t="s">
        <v>162</v>
      </c>
      <c r="AC1021" t="s">
        <v>567</v>
      </c>
      <c r="AD1021" t="s">
        <v>155</v>
      </c>
      <c r="AE1021" t="s">
        <v>130</v>
      </c>
      <c r="AF1021" t="s">
        <v>21</v>
      </c>
    </row>
    <row r="1022" spans="1:32">
      <c r="A1022" t="s">
        <v>1844</v>
      </c>
      <c r="B1022" s="37">
        <v>39923</v>
      </c>
      <c r="C1022" s="38">
        <v>39923</v>
      </c>
      <c r="D1022" s="38">
        <v>39923</v>
      </c>
      <c r="E1022" s="38">
        <v>39904</v>
      </c>
      <c r="F1022" s="39">
        <v>18</v>
      </c>
      <c r="G1022" t="s">
        <v>21</v>
      </c>
      <c r="H1022" t="s">
        <v>21</v>
      </c>
      <c r="I1022">
        <v>0</v>
      </c>
      <c r="J1022">
        <v>0</v>
      </c>
      <c r="K1022">
        <v>0</v>
      </c>
      <c r="L1022">
        <v>1</v>
      </c>
      <c r="M1022">
        <v>0</v>
      </c>
      <c r="N1022" t="s">
        <v>200</v>
      </c>
      <c r="O1022" t="s">
        <v>214</v>
      </c>
      <c r="P1022" t="s">
        <v>208</v>
      </c>
      <c r="Q1022" t="s">
        <v>170</v>
      </c>
      <c r="R1022" t="s">
        <v>155</v>
      </c>
      <c r="T1022" t="s">
        <v>134</v>
      </c>
      <c r="U1022">
        <v>1</v>
      </c>
      <c r="W1022" t="s">
        <v>134</v>
      </c>
      <c r="X1022">
        <v>1</v>
      </c>
      <c r="Y1022" t="s">
        <v>139</v>
      </c>
      <c r="Z1022" t="s">
        <v>180</v>
      </c>
      <c r="AA1022" t="s">
        <v>145</v>
      </c>
      <c r="AB1022" t="s">
        <v>162</v>
      </c>
      <c r="AC1022" t="s">
        <v>174</v>
      </c>
      <c r="AD1022" t="s">
        <v>157</v>
      </c>
      <c r="AE1022" t="s">
        <v>571</v>
      </c>
      <c r="AF1022" t="s">
        <v>1845</v>
      </c>
    </row>
    <row r="1023" spans="1:32">
      <c r="A1023" t="s">
        <v>1846</v>
      </c>
      <c r="B1023" s="37">
        <v>39955</v>
      </c>
      <c r="C1023" s="38">
        <v>39955</v>
      </c>
      <c r="D1023" s="38">
        <v>39951</v>
      </c>
      <c r="E1023" s="38">
        <v>39934</v>
      </c>
      <c r="F1023" s="39">
        <v>50</v>
      </c>
      <c r="G1023" t="s">
        <v>21</v>
      </c>
      <c r="H1023" t="s">
        <v>21</v>
      </c>
      <c r="I1023">
        <v>0</v>
      </c>
      <c r="J1023">
        <v>0</v>
      </c>
      <c r="K1023">
        <v>0</v>
      </c>
      <c r="L1023">
        <v>1</v>
      </c>
      <c r="M1023">
        <v>0</v>
      </c>
      <c r="N1023" t="s">
        <v>195</v>
      </c>
      <c r="O1023" t="s">
        <v>213</v>
      </c>
      <c r="P1023" t="s">
        <v>206</v>
      </c>
      <c r="Q1023" t="s">
        <v>170</v>
      </c>
      <c r="R1023" t="s">
        <v>155</v>
      </c>
      <c r="T1023" t="s">
        <v>134</v>
      </c>
      <c r="U1023">
        <v>1</v>
      </c>
      <c r="W1023" t="s">
        <v>134</v>
      </c>
      <c r="X1023">
        <v>1</v>
      </c>
      <c r="Y1023" t="s">
        <v>139</v>
      </c>
      <c r="Z1023" t="s">
        <v>180</v>
      </c>
      <c r="AA1023" t="s">
        <v>143</v>
      </c>
      <c r="AB1023" t="s">
        <v>163</v>
      </c>
      <c r="AC1023" t="s">
        <v>415</v>
      </c>
      <c r="AD1023" t="s">
        <v>155</v>
      </c>
      <c r="AE1023" t="s">
        <v>125</v>
      </c>
      <c r="AF1023" t="s">
        <v>21</v>
      </c>
    </row>
    <row r="1024" spans="1:32">
      <c r="A1024" t="s">
        <v>1847</v>
      </c>
      <c r="B1024" s="37">
        <v>39911</v>
      </c>
      <c r="C1024" s="38">
        <v>39911</v>
      </c>
      <c r="D1024" s="38">
        <v>39909</v>
      </c>
      <c r="E1024" s="38">
        <v>39904</v>
      </c>
      <c r="F1024" s="39">
        <v>6</v>
      </c>
      <c r="G1024" t="s">
        <v>21</v>
      </c>
      <c r="H1024" t="s">
        <v>21</v>
      </c>
      <c r="I1024">
        <v>0</v>
      </c>
      <c r="J1024">
        <v>0</v>
      </c>
      <c r="K1024">
        <v>0</v>
      </c>
      <c r="L1024">
        <v>1</v>
      </c>
      <c r="M1024">
        <v>0</v>
      </c>
      <c r="N1024" t="s">
        <v>194</v>
      </c>
      <c r="O1024" t="s">
        <v>213</v>
      </c>
      <c r="P1024" t="s">
        <v>205</v>
      </c>
      <c r="Q1024" t="s">
        <v>170</v>
      </c>
      <c r="R1024" t="s">
        <v>155</v>
      </c>
      <c r="T1024" t="s">
        <v>134</v>
      </c>
      <c r="U1024">
        <v>1</v>
      </c>
      <c r="W1024" t="s">
        <v>134</v>
      </c>
      <c r="X1024">
        <v>1</v>
      </c>
      <c r="Y1024" t="s">
        <v>139</v>
      </c>
      <c r="Z1024" t="s">
        <v>180</v>
      </c>
      <c r="AA1024" t="s">
        <v>145</v>
      </c>
      <c r="AB1024" t="s">
        <v>163</v>
      </c>
      <c r="AC1024" t="s">
        <v>173</v>
      </c>
      <c r="AD1024" t="s">
        <v>155</v>
      </c>
      <c r="AE1024" t="s">
        <v>127</v>
      </c>
      <c r="AF1024" t="s">
        <v>21</v>
      </c>
    </row>
    <row r="1025" spans="1:32">
      <c r="A1025" t="s">
        <v>1848</v>
      </c>
      <c r="B1025" s="37">
        <v>39961</v>
      </c>
      <c r="C1025" s="38">
        <v>39961</v>
      </c>
      <c r="D1025" s="38">
        <v>39958</v>
      </c>
      <c r="E1025" s="38">
        <v>39934</v>
      </c>
      <c r="F1025" s="39">
        <v>56</v>
      </c>
      <c r="G1025" t="s">
        <v>380</v>
      </c>
      <c r="H1025" t="s">
        <v>17</v>
      </c>
      <c r="I1025">
        <v>0</v>
      </c>
      <c r="J1025">
        <v>0</v>
      </c>
      <c r="K1025">
        <v>1</v>
      </c>
      <c r="L1025">
        <v>0</v>
      </c>
      <c r="M1025">
        <v>0</v>
      </c>
      <c r="N1025" t="s">
        <v>193</v>
      </c>
      <c r="O1025" t="s">
        <v>213</v>
      </c>
      <c r="P1025" t="s">
        <v>204</v>
      </c>
      <c r="Q1025" t="s">
        <v>170</v>
      </c>
      <c r="R1025" t="s">
        <v>155</v>
      </c>
      <c r="T1025" t="s">
        <v>134</v>
      </c>
      <c r="U1025">
        <v>1</v>
      </c>
      <c r="W1025" t="s">
        <v>134</v>
      </c>
      <c r="X1025">
        <v>1</v>
      </c>
      <c r="Y1025" t="s">
        <v>140</v>
      </c>
      <c r="Z1025" t="s">
        <v>180</v>
      </c>
      <c r="AA1025" t="s">
        <v>150</v>
      </c>
      <c r="AB1025" t="s">
        <v>162</v>
      </c>
      <c r="AC1025" t="s">
        <v>578</v>
      </c>
      <c r="AD1025" t="s">
        <v>157</v>
      </c>
      <c r="AE1025" t="s">
        <v>130</v>
      </c>
      <c r="AF1025" t="s">
        <v>437</v>
      </c>
    </row>
    <row r="1026" spans="1:32">
      <c r="A1026" t="s">
        <v>1849</v>
      </c>
      <c r="B1026" s="37">
        <v>40055</v>
      </c>
      <c r="C1026" s="38">
        <v>40055</v>
      </c>
      <c r="D1026" s="38">
        <v>40049</v>
      </c>
      <c r="E1026" s="38">
        <v>40026</v>
      </c>
      <c r="F1026" s="39">
        <v>150</v>
      </c>
      <c r="G1026" t="s">
        <v>21</v>
      </c>
      <c r="H1026" t="s">
        <v>21</v>
      </c>
      <c r="I1026">
        <v>0</v>
      </c>
      <c r="J1026">
        <v>0</v>
      </c>
      <c r="K1026">
        <v>0</v>
      </c>
      <c r="L1026">
        <v>1</v>
      </c>
      <c r="M1026">
        <v>0</v>
      </c>
      <c r="N1026" t="s">
        <v>193</v>
      </c>
      <c r="O1026" t="s">
        <v>213</v>
      </c>
      <c r="P1026" t="s">
        <v>204</v>
      </c>
      <c r="Q1026" t="s">
        <v>170</v>
      </c>
      <c r="R1026" t="s">
        <v>155</v>
      </c>
      <c r="S1026">
        <v>5</v>
      </c>
      <c r="T1026" t="s">
        <v>135</v>
      </c>
      <c r="U1026">
        <v>0</v>
      </c>
      <c r="V1026">
        <v>5</v>
      </c>
      <c r="W1026" t="s">
        <v>135</v>
      </c>
      <c r="X1026">
        <v>0</v>
      </c>
      <c r="Y1026" t="s">
        <v>140</v>
      </c>
      <c r="Z1026" t="s">
        <v>180</v>
      </c>
      <c r="AA1026" t="s">
        <v>142</v>
      </c>
      <c r="AB1026" t="s">
        <v>162</v>
      </c>
      <c r="AC1026" t="s">
        <v>550</v>
      </c>
      <c r="AD1026" t="s">
        <v>156</v>
      </c>
      <c r="AE1026" t="s">
        <v>120</v>
      </c>
      <c r="AF1026" t="s">
        <v>1404</v>
      </c>
    </row>
    <row r="1027" spans="1:32">
      <c r="A1027" t="s">
        <v>1850</v>
      </c>
      <c r="B1027" s="37">
        <v>40075</v>
      </c>
      <c r="C1027" s="38">
        <v>40075</v>
      </c>
      <c r="D1027" s="38">
        <v>40070</v>
      </c>
      <c r="E1027" s="38">
        <v>40057</v>
      </c>
      <c r="F1027" s="39">
        <v>170</v>
      </c>
      <c r="G1027" t="s">
        <v>21</v>
      </c>
      <c r="H1027" t="s">
        <v>21</v>
      </c>
      <c r="I1027">
        <v>0</v>
      </c>
      <c r="J1027">
        <v>0</v>
      </c>
      <c r="K1027">
        <v>0</v>
      </c>
      <c r="L1027">
        <v>1</v>
      </c>
      <c r="M1027">
        <v>0</v>
      </c>
      <c r="N1027" t="s">
        <v>193</v>
      </c>
      <c r="O1027" t="s">
        <v>213</v>
      </c>
      <c r="P1027" t="s">
        <v>204</v>
      </c>
      <c r="Q1027" t="s">
        <v>170</v>
      </c>
      <c r="R1027" t="s">
        <v>155</v>
      </c>
      <c r="S1027">
        <v>5</v>
      </c>
      <c r="T1027" t="s">
        <v>135</v>
      </c>
      <c r="U1027">
        <v>0</v>
      </c>
      <c r="V1027">
        <v>3</v>
      </c>
      <c r="W1027" t="s">
        <v>137</v>
      </c>
      <c r="X1027">
        <v>0</v>
      </c>
      <c r="Y1027" t="s">
        <v>140</v>
      </c>
      <c r="Z1027" t="s">
        <v>180</v>
      </c>
      <c r="AA1027" t="s">
        <v>149</v>
      </c>
      <c r="AB1027" t="s">
        <v>163</v>
      </c>
      <c r="AC1027" t="s">
        <v>1851</v>
      </c>
      <c r="AD1027" t="s">
        <v>155</v>
      </c>
      <c r="AE1027" t="s">
        <v>510</v>
      </c>
      <c r="AF1027" t="s">
        <v>21</v>
      </c>
    </row>
    <row r="1028" spans="1:32">
      <c r="A1028" t="s">
        <v>1852</v>
      </c>
      <c r="B1028" s="37">
        <v>39965</v>
      </c>
      <c r="C1028" s="38">
        <v>39965</v>
      </c>
      <c r="D1028" s="38">
        <v>39965</v>
      </c>
      <c r="E1028" s="38">
        <v>39965</v>
      </c>
      <c r="F1028" s="39">
        <v>60</v>
      </c>
      <c r="G1028" t="s">
        <v>9</v>
      </c>
      <c r="H1028" t="s">
        <v>9</v>
      </c>
      <c r="I1028">
        <v>1</v>
      </c>
      <c r="J1028">
        <v>0</v>
      </c>
      <c r="K1028">
        <v>0</v>
      </c>
      <c r="L1028">
        <v>0</v>
      </c>
      <c r="M1028">
        <v>1</v>
      </c>
      <c r="N1028" t="s">
        <v>195</v>
      </c>
      <c r="O1028" t="s">
        <v>213</v>
      </c>
      <c r="P1028" t="s">
        <v>206</v>
      </c>
      <c r="Q1028" t="s">
        <v>170</v>
      </c>
      <c r="R1028" t="s">
        <v>155</v>
      </c>
      <c r="T1028" t="s">
        <v>134</v>
      </c>
      <c r="U1028">
        <v>1</v>
      </c>
      <c r="W1028" t="s">
        <v>134</v>
      </c>
      <c r="X1028">
        <v>1</v>
      </c>
      <c r="Y1028" t="s">
        <v>139</v>
      </c>
      <c r="Z1028" t="s">
        <v>180</v>
      </c>
      <c r="AA1028" t="s">
        <v>150</v>
      </c>
      <c r="AB1028" t="s">
        <v>162</v>
      </c>
      <c r="AC1028" t="s">
        <v>174</v>
      </c>
      <c r="AD1028" t="s">
        <v>156</v>
      </c>
      <c r="AE1028" t="s">
        <v>120</v>
      </c>
      <c r="AF1028" t="s">
        <v>1001</v>
      </c>
    </row>
    <row r="1029" spans="1:32">
      <c r="A1029" t="s">
        <v>1853</v>
      </c>
      <c r="B1029" s="37">
        <v>39962</v>
      </c>
      <c r="C1029" s="38">
        <v>39962</v>
      </c>
      <c r="D1029" s="38">
        <v>39958</v>
      </c>
      <c r="E1029" s="38">
        <v>39934</v>
      </c>
      <c r="F1029" s="39">
        <v>57</v>
      </c>
      <c r="G1029" t="s">
        <v>21</v>
      </c>
      <c r="H1029" t="s">
        <v>21</v>
      </c>
      <c r="I1029">
        <v>0</v>
      </c>
      <c r="J1029">
        <v>0</v>
      </c>
      <c r="K1029">
        <v>0</v>
      </c>
      <c r="L1029">
        <v>1</v>
      </c>
      <c r="M1029">
        <v>0</v>
      </c>
      <c r="N1029" t="s">
        <v>195</v>
      </c>
      <c r="O1029" t="s">
        <v>213</v>
      </c>
      <c r="P1029" t="s">
        <v>206</v>
      </c>
      <c r="Q1029" t="s">
        <v>170</v>
      </c>
      <c r="R1029" t="s">
        <v>155</v>
      </c>
      <c r="T1029" t="s">
        <v>134</v>
      </c>
      <c r="U1029">
        <v>1</v>
      </c>
      <c r="W1029" t="s">
        <v>134</v>
      </c>
      <c r="X1029">
        <v>1</v>
      </c>
      <c r="Y1029" t="s">
        <v>139</v>
      </c>
      <c r="Z1029" t="s">
        <v>180</v>
      </c>
      <c r="AA1029" t="s">
        <v>145</v>
      </c>
      <c r="AB1029" t="s">
        <v>163</v>
      </c>
      <c r="AC1029" t="s">
        <v>415</v>
      </c>
      <c r="AD1029" t="s">
        <v>155</v>
      </c>
      <c r="AE1029" t="s">
        <v>125</v>
      </c>
      <c r="AF1029" t="s">
        <v>21</v>
      </c>
    </row>
    <row r="1030" spans="1:32">
      <c r="A1030" t="s">
        <v>1854</v>
      </c>
      <c r="B1030" s="37">
        <v>39932</v>
      </c>
      <c r="C1030" s="38">
        <v>39932</v>
      </c>
      <c r="D1030" s="38">
        <v>39930</v>
      </c>
      <c r="E1030" s="38">
        <v>39904</v>
      </c>
      <c r="F1030" s="39">
        <v>27</v>
      </c>
      <c r="G1030" t="s">
        <v>21</v>
      </c>
      <c r="H1030" t="s">
        <v>21</v>
      </c>
      <c r="I1030">
        <v>0</v>
      </c>
      <c r="J1030">
        <v>0</v>
      </c>
      <c r="K1030">
        <v>0</v>
      </c>
      <c r="L1030">
        <v>1</v>
      </c>
      <c r="M1030">
        <v>0</v>
      </c>
      <c r="N1030" t="s">
        <v>202</v>
      </c>
      <c r="O1030" t="s">
        <v>213</v>
      </c>
      <c r="P1030" t="s">
        <v>211</v>
      </c>
      <c r="Q1030" t="s">
        <v>170</v>
      </c>
      <c r="R1030" t="s">
        <v>155</v>
      </c>
      <c r="T1030" t="s">
        <v>134</v>
      </c>
      <c r="U1030">
        <v>1</v>
      </c>
      <c r="W1030" t="s">
        <v>134</v>
      </c>
      <c r="X1030">
        <v>1</v>
      </c>
      <c r="Y1030" t="s">
        <v>139</v>
      </c>
      <c r="Z1030" t="s">
        <v>181</v>
      </c>
      <c r="AA1030" t="s">
        <v>145</v>
      </c>
      <c r="AB1030" t="s">
        <v>162</v>
      </c>
      <c r="AC1030" t="s">
        <v>933</v>
      </c>
      <c r="AD1030" t="s">
        <v>159</v>
      </c>
      <c r="AE1030" t="s">
        <v>126</v>
      </c>
      <c r="AF1030" t="s">
        <v>601</v>
      </c>
    </row>
    <row r="1031" spans="1:32">
      <c r="A1031" t="s">
        <v>1855</v>
      </c>
      <c r="B1031" s="37">
        <v>39954</v>
      </c>
      <c r="C1031" s="38">
        <v>39954</v>
      </c>
      <c r="D1031" s="38">
        <v>39951</v>
      </c>
      <c r="E1031" s="38">
        <v>39934</v>
      </c>
      <c r="F1031" s="39">
        <v>49</v>
      </c>
      <c r="G1031" t="s">
        <v>21</v>
      </c>
      <c r="H1031" t="s">
        <v>21</v>
      </c>
      <c r="I1031">
        <v>0</v>
      </c>
      <c r="J1031">
        <v>0</v>
      </c>
      <c r="K1031">
        <v>0</v>
      </c>
      <c r="L1031">
        <v>1</v>
      </c>
      <c r="M1031">
        <v>0</v>
      </c>
      <c r="N1031" t="s">
        <v>194</v>
      </c>
      <c r="O1031" t="s">
        <v>213</v>
      </c>
      <c r="P1031" t="s">
        <v>205</v>
      </c>
      <c r="Q1031" t="s">
        <v>170</v>
      </c>
      <c r="R1031" t="s">
        <v>155</v>
      </c>
      <c r="T1031" t="s">
        <v>134</v>
      </c>
      <c r="U1031">
        <v>1</v>
      </c>
      <c r="W1031" t="s">
        <v>134</v>
      </c>
      <c r="X1031">
        <v>1</v>
      </c>
      <c r="Y1031" t="s">
        <v>139</v>
      </c>
      <c r="Z1031" t="s">
        <v>181</v>
      </c>
      <c r="AA1031" t="s">
        <v>147</v>
      </c>
      <c r="AB1031" t="s">
        <v>162</v>
      </c>
      <c r="AC1031" t="s">
        <v>581</v>
      </c>
      <c r="AD1031" t="s">
        <v>155</v>
      </c>
      <c r="AE1031" t="s">
        <v>129</v>
      </c>
      <c r="AF1031" t="s">
        <v>21</v>
      </c>
    </row>
    <row r="1032" spans="1:32">
      <c r="A1032" t="s">
        <v>1856</v>
      </c>
      <c r="B1032" s="37">
        <v>40001</v>
      </c>
      <c r="C1032" s="38">
        <v>40001</v>
      </c>
      <c r="D1032" s="38">
        <v>40000</v>
      </c>
      <c r="E1032" s="38">
        <v>39995</v>
      </c>
      <c r="F1032" s="39">
        <v>96</v>
      </c>
      <c r="G1032" t="s">
        <v>21</v>
      </c>
      <c r="H1032" t="s">
        <v>21</v>
      </c>
      <c r="I1032">
        <v>0</v>
      </c>
      <c r="J1032">
        <v>0</v>
      </c>
      <c r="K1032">
        <v>0</v>
      </c>
      <c r="L1032">
        <v>1</v>
      </c>
      <c r="M1032">
        <v>0</v>
      </c>
      <c r="N1032" t="s">
        <v>194</v>
      </c>
      <c r="O1032" t="s">
        <v>213</v>
      </c>
      <c r="P1032" t="s">
        <v>205</v>
      </c>
      <c r="Q1032" t="s">
        <v>170</v>
      </c>
      <c r="R1032" t="s">
        <v>155</v>
      </c>
      <c r="T1032" t="s">
        <v>134</v>
      </c>
      <c r="U1032">
        <v>1</v>
      </c>
      <c r="V1032">
        <v>5</v>
      </c>
      <c r="W1032" t="s">
        <v>135</v>
      </c>
      <c r="X1032">
        <v>0</v>
      </c>
      <c r="Y1032" t="s">
        <v>139</v>
      </c>
      <c r="Z1032" t="s">
        <v>181</v>
      </c>
      <c r="AA1032" t="s">
        <v>144</v>
      </c>
      <c r="AB1032" t="s">
        <v>162</v>
      </c>
      <c r="AC1032" t="s">
        <v>174</v>
      </c>
      <c r="AD1032" t="s">
        <v>157</v>
      </c>
      <c r="AE1032" t="s">
        <v>127</v>
      </c>
      <c r="AF1032" t="s">
        <v>153</v>
      </c>
    </row>
    <row r="1033" spans="1:32">
      <c r="A1033" t="s">
        <v>1857</v>
      </c>
      <c r="B1033" s="37">
        <v>40043</v>
      </c>
      <c r="C1033" s="38">
        <v>40043</v>
      </c>
      <c r="D1033" s="38">
        <v>40042</v>
      </c>
      <c r="E1033" s="38">
        <v>40026</v>
      </c>
      <c r="F1033" s="39">
        <v>138</v>
      </c>
      <c r="G1033" t="s">
        <v>21</v>
      </c>
      <c r="H1033" t="s">
        <v>21</v>
      </c>
      <c r="I1033">
        <v>0</v>
      </c>
      <c r="J1033">
        <v>0</v>
      </c>
      <c r="K1033">
        <v>0</v>
      </c>
      <c r="L1033">
        <v>1</v>
      </c>
      <c r="M1033">
        <v>0</v>
      </c>
      <c r="N1033" t="s">
        <v>196</v>
      </c>
      <c r="O1033" t="s">
        <v>213</v>
      </c>
      <c r="P1033" t="s">
        <v>207</v>
      </c>
      <c r="Q1033" t="s">
        <v>170</v>
      </c>
      <c r="R1033" t="s">
        <v>155</v>
      </c>
      <c r="S1033">
        <v>5</v>
      </c>
      <c r="T1033" t="s">
        <v>135</v>
      </c>
      <c r="U1033">
        <v>0</v>
      </c>
      <c r="V1033">
        <v>4</v>
      </c>
      <c r="W1033" t="s">
        <v>137</v>
      </c>
      <c r="X1033">
        <v>0</v>
      </c>
      <c r="Y1033" t="s">
        <v>139</v>
      </c>
      <c r="Z1033" t="s">
        <v>190</v>
      </c>
      <c r="AA1033" t="s">
        <v>142</v>
      </c>
      <c r="AB1033" t="s">
        <v>163</v>
      </c>
      <c r="AC1033" t="s">
        <v>173</v>
      </c>
      <c r="AD1033" t="s">
        <v>155</v>
      </c>
      <c r="AE1033" t="s">
        <v>128</v>
      </c>
      <c r="AF1033" t="s">
        <v>21</v>
      </c>
    </row>
    <row r="1034" spans="1:32">
      <c r="A1034" t="s">
        <v>1858</v>
      </c>
      <c r="B1034" s="37">
        <v>39977</v>
      </c>
      <c r="C1034" s="38">
        <v>39977</v>
      </c>
      <c r="D1034" s="38">
        <v>39972</v>
      </c>
      <c r="E1034" s="38">
        <v>39965</v>
      </c>
      <c r="F1034" s="39">
        <v>72</v>
      </c>
      <c r="G1034" t="s">
        <v>21</v>
      </c>
      <c r="H1034" t="s">
        <v>21</v>
      </c>
      <c r="I1034">
        <v>0</v>
      </c>
      <c r="J1034">
        <v>0</v>
      </c>
      <c r="K1034">
        <v>0</v>
      </c>
      <c r="L1034">
        <v>1</v>
      </c>
      <c r="M1034">
        <v>0</v>
      </c>
      <c r="N1034" t="s">
        <v>193</v>
      </c>
      <c r="O1034" t="s">
        <v>213</v>
      </c>
      <c r="P1034" t="s">
        <v>204</v>
      </c>
      <c r="Q1034" t="s">
        <v>170</v>
      </c>
      <c r="R1034" t="s">
        <v>155</v>
      </c>
      <c r="T1034" t="s">
        <v>134</v>
      </c>
      <c r="U1034">
        <v>1</v>
      </c>
      <c r="W1034" t="s">
        <v>134</v>
      </c>
      <c r="X1034">
        <v>1</v>
      </c>
      <c r="Y1034" t="s">
        <v>140</v>
      </c>
      <c r="Z1034" t="s">
        <v>184</v>
      </c>
      <c r="AA1034" t="s">
        <v>144</v>
      </c>
      <c r="AB1034" t="s">
        <v>163</v>
      </c>
      <c r="AC1034" t="s">
        <v>173</v>
      </c>
      <c r="AD1034" t="s">
        <v>155</v>
      </c>
      <c r="AE1034" t="s">
        <v>124</v>
      </c>
      <c r="AF1034" t="s">
        <v>21</v>
      </c>
    </row>
    <row r="1035" spans="1:32">
      <c r="A1035" t="s">
        <v>1859</v>
      </c>
      <c r="B1035" s="37">
        <v>39972</v>
      </c>
      <c r="C1035" s="38">
        <v>39972</v>
      </c>
      <c r="D1035" s="38">
        <v>39972</v>
      </c>
      <c r="E1035" s="38">
        <v>39965</v>
      </c>
      <c r="F1035" s="39">
        <v>67</v>
      </c>
      <c r="G1035" t="s">
        <v>21</v>
      </c>
      <c r="H1035" t="s">
        <v>21</v>
      </c>
      <c r="I1035">
        <v>0</v>
      </c>
      <c r="J1035">
        <v>0</v>
      </c>
      <c r="K1035">
        <v>0</v>
      </c>
      <c r="L1035">
        <v>1</v>
      </c>
      <c r="M1035">
        <v>0</v>
      </c>
      <c r="N1035" t="s">
        <v>193</v>
      </c>
      <c r="O1035" t="s">
        <v>213</v>
      </c>
      <c r="P1035" t="s">
        <v>204</v>
      </c>
      <c r="Q1035" t="s">
        <v>170</v>
      </c>
      <c r="R1035" t="s">
        <v>155</v>
      </c>
      <c r="T1035" t="s">
        <v>134</v>
      </c>
      <c r="U1035">
        <v>1</v>
      </c>
      <c r="W1035" t="s">
        <v>134</v>
      </c>
      <c r="X1035">
        <v>1</v>
      </c>
      <c r="Y1035" t="s">
        <v>140</v>
      </c>
      <c r="Z1035" t="s">
        <v>185</v>
      </c>
      <c r="AA1035" t="s">
        <v>143</v>
      </c>
      <c r="AB1035" t="s">
        <v>165</v>
      </c>
      <c r="AC1035" t="s">
        <v>589</v>
      </c>
      <c r="AD1035" t="s">
        <v>158</v>
      </c>
      <c r="AE1035" t="s">
        <v>122</v>
      </c>
      <c r="AF1035" t="s">
        <v>21</v>
      </c>
    </row>
    <row r="1036" spans="1:32">
      <c r="A1036" t="s">
        <v>1860</v>
      </c>
      <c r="B1036" s="37">
        <v>40081</v>
      </c>
      <c r="C1036" s="38">
        <v>40081</v>
      </c>
      <c r="D1036" s="38">
        <v>40077</v>
      </c>
      <c r="E1036" s="38">
        <v>40057</v>
      </c>
      <c r="F1036" s="39">
        <v>176</v>
      </c>
      <c r="G1036" t="s">
        <v>496</v>
      </c>
      <c r="H1036" t="s">
        <v>13</v>
      </c>
      <c r="I1036">
        <v>0</v>
      </c>
      <c r="J1036">
        <v>1</v>
      </c>
      <c r="K1036">
        <v>0</v>
      </c>
      <c r="L1036">
        <v>0</v>
      </c>
      <c r="M1036">
        <v>1</v>
      </c>
      <c r="N1036" t="s">
        <v>193</v>
      </c>
      <c r="O1036" t="s">
        <v>213</v>
      </c>
      <c r="P1036" t="s">
        <v>204</v>
      </c>
      <c r="Q1036" t="s">
        <v>170</v>
      </c>
      <c r="R1036" t="s">
        <v>155</v>
      </c>
      <c r="S1036">
        <v>5</v>
      </c>
      <c r="T1036" t="s">
        <v>135</v>
      </c>
      <c r="U1036">
        <v>0</v>
      </c>
      <c r="V1036">
        <v>2</v>
      </c>
      <c r="W1036" t="s">
        <v>136</v>
      </c>
      <c r="X1036">
        <v>0</v>
      </c>
      <c r="Y1036" t="s">
        <v>140</v>
      </c>
      <c r="Z1036" t="s">
        <v>188</v>
      </c>
      <c r="AA1036" t="s">
        <v>143</v>
      </c>
      <c r="AB1036" t="s">
        <v>163</v>
      </c>
      <c r="AC1036" t="s">
        <v>173</v>
      </c>
      <c r="AD1036" t="s">
        <v>155</v>
      </c>
      <c r="AE1036" t="s">
        <v>128</v>
      </c>
      <c r="AF1036" t="s">
        <v>21</v>
      </c>
    </row>
    <row r="1037" spans="1:32">
      <c r="A1037" t="s">
        <v>1861</v>
      </c>
      <c r="B1037" s="37">
        <v>40003</v>
      </c>
      <c r="C1037" s="38">
        <v>40003</v>
      </c>
      <c r="D1037" s="38">
        <v>40000</v>
      </c>
      <c r="E1037" s="38">
        <v>39995</v>
      </c>
      <c r="F1037" s="39">
        <v>98</v>
      </c>
      <c r="G1037" t="s">
        <v>21</v>
      </c>
      <c r="H1037" t="s">
        <v>21</v>
      </c>
      <c r="I1037">
        <v>0</v>
      </c>
      <c r="J1037">
        <v>0</v>
      </c>
      <c r="K1037">
        <v>0</v>
      </c>
      <c r="L1037">
        <v>1</v>
      </c>
      <c r="M1037">
        <v>0</v>
      </c>
      <c r="N1037" t="s">
        <v>193</v>
      </c>
      <c r="O1037" t="s">
        <v>213</v>
      </c>
      <c r="P1037" t="s">
        <v>204</v>
      </c>
      <c r="Q1037" t="s">
        <v>170</v>
      </c>
      <c r="R1037" t="s">
        <v>155</v>
      </c>
      <c r="T1037" t="s">
        <v>134</v>
      </c>
      <c r="U1037">
        <v>1</v>
      </c>
      <c r="V1037">
        <v>2</v>
      </c>
      <c r="W1037" t="s">
        <v>136</v>
      </c>
      <c r="X1037">
        <v>0</v>
      </c>
      <c r="Y1037" t="s">
        <v>140</v>
      </c>
      <c r="Z1037" t="s">
        <v>528</v>
      </c>
      <c r="AA1037" t="s">
        <v>144</v>
      </c>
      <c r="AB1037" t="s">
        <v>162</v>
      </c>
      <c r="AC1037" t="s">
        <v>21</v>
      </c>
      <c r="AD1037" t="s">
        <v>155</v>
      </c>
      <c r="AE1037" t="s">
        <v>130</v>
      </c>
      <c r="AF1037" t="s">
        <v>21</v>
      </c>
    </row>
    <row r="1038" spans="1:32">
      <c r="A1038" t="s">
        <v>1862</v>
      </c>
      <c r="B1038" s="37">
        <v>39935</v>
      </c>
      <c r="C1038" s="38">
        <v>39935</v>
      </c>
      <c r="D1038" s="38">
        <v>39930</v>
      </c>
      <c r="E1038" s="38">
        <v>39934</v>
      </c>
      <c r="F1038" s="39">
        <v>30</v>
      </c>
      <c r="G1038" t="s">
        <v>21</v>
      </c>
      <c r="H1038" t="s">
        <v>21</v>
      </c>
      <c r="I1038">
        <v>0</v>
      </c>
      <c r="J1038">
        <v>0</v>
      </c>
      <c r="K1038">
        <v>0</v>
      </c>
      <c r="L1038">
        <v>1</v>
      </c>
      <c r="M1038">
        <v>0</v>
      </c>
      <c r="N1038" t="s">
        <v>201</v>
      </c>
      <c r="O1038" t="s">
        <v>214</v>
      </c>
      <c r="P1038" t="s">
        <v>204</v>
      </c>
      <c r="Q1038" t="s">
        <v>170</v>
      </c>
      <c r="R1038" t="s">
        <v>155</v>
      </c>
      <c r="T1038" t="s">
        <v>134</v>
      </c>
      <c r="U1038">
        <v>1</v>
      </c>
      <c r="W1038" t="s">
        <v>134</v>
      </c>
      <c r="X1038">
        <v>1</v>
      </c>
      <c r="Y1038" t="s">
        <v>140</v>
      </c>
      <c r="Z1038" t="s">
        <v>479</v>
      </c>
      <c r="AA1038" t="s">
        <v>150</v>
      </c>
      <c r="AB1038" t="s">
        <v>162</v>
      </c>
      <c r="AC1038" t="s">
        <v>174</v>
      </c>
      <c r="AD1038" t="s">
        <v>157</v>
      </c>
      <c r="AE1038" t="s">
        <v>127</v>
      </c>
      <c r="AF1038" t="s">
        <v>808</v>
      </c>
    </row>
    <row r="1039" spans="1:32">
      <c r="A1039" t="s">
        <v>1863</v>
      </c>
      <c r="B1039" s="37">
        <v>39953</v>
      </c>
      <c r="C1039" s="38">
        <v>39953</v>
      </c>
      <c r="D1039" s="38">
        <v>39951</v>
      </c>
      <c r="E1039" s="38">
        <v>39934</v>
      </c>
      <c r="F1039" s="39">
        <v>48</v>
      </c>
      <c r="G1039" t="s">
        <v>9</v>
      </c>
      <c r="H1039" t="s">
        <v>9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194</v>
      </c>
      <c r="O1039" t="s">
        <v>213</v>
      </c>
      <c r="P1039" t="s">
        <v>205</v>
      </c>
      <c r="Q1039" t="s">
        <v>170</v>
      </c>
      <c r="R1039" t="s">
        <v>155</v>
      </c>
      <c r="T1039" t="s">
        <v>134</v>
      </c>
      <c r="U1039">
        <v>1</v>
      </c>
      <c r="W1039" t="s">
        <v>134</v>
      </c>
      <c r="X1039">
        <v>1</v>
      </c>
      <c r="Y1039" t="s">
        <v>139</v>
      </c>
      <c r="Z1039" t="s">
        <v>189</v>
      </c>
      <c r="AA1039" t="s">
        <v>147</v>
      </c>
      <c r="AB1039" t="s">
        <v>162</v>
      </c>
      <c r="AC1039" t="s">
        <v>174</v>
      </c>
      <c r="AD1039" t="s">
        <v>157</v>
      </c>
      <c r="AE1039" t="s">
        <v>127</v>
      </c>
      <c r="AF1039" t="s">
        <v>153</v>
      </c>
    </row>
    <row r="1040" spans="1:32">
      <c r="A1040" t="s">
        <v>1864</v>
      </c>
      <c r="B1040" s="37">
        <v>40077</v>
      </c>
      <c r="C1040" s="38">
        <v>40077</v>
      </c>
      <c r="D1040" s="38">
        <v>40077</v>
      </c>
      <c r="E1040" s="38">
        <v>40057</v>
      </c>
      <c r="F1040" s="39">
        <v>172</v>
      </c>
      <c r="G1040" t="s">
        <v>21</v>
      </c>
      <c r="H1040" t="s">
        <v>21</v>
      </c>
      <c r="I1040">
        <v>0</v>
      </c>
      <c r="J1040">
        <v>0</v>
      </c>
      <c r="K1040">
        <v>0</v>
      </c>
      <c r="L1040">
        <v>1</v>
      </c>
      <c r="M1040">
        <v>0</v>
      </c>
      <c r="N1040" t="s">
        <v>193</v>
      </c>
      <c r="O1040" t="s">
        <v>213</v>
      </c>
      <c r="P1040" t="s">
        <v>204</v>
      </c>
      <c r="Q1040" t="s">
        <v>170</v>
      </c>
      <c r="R1040" t="s">
        <v>155</v>
      </c>
      <c r="S1040">
        <v>5</v>
      </c>
      <c r="T1040" t="s">
        <v>135</v>
      </c>
      <c r="U1040">
        <v>0</v>
      </c>
      <c r="V1040">
        <v>3</v>
      </c>
      <c r="W1040" t="s">
        <v>137</v>
      </c>
      <c r="X1040">
        <v>0</v>
      </c>
      <c r="Y1040" t="s">
        <v>140</v>
      </c>
      <c r="Z1040" t="s">
        <v>188</v>
      </c>
      <c r="AA1040" t="s">
        <v>143</v>
      </c>
      <c r="AB1040" t="s">
        <v>162</v>
      </c>
      <c r="AC1040" t="s">
        <v>21</v>
      </c>
      <c r="AD1040" t="s">
        <v>155</v>
      </c>
      <c r="AE1040" t="s">
        <v>129</v>
      </c>
      <c r="AF1040" t="s">
        <v>21</v>
      </c>
    </row>
    <row r="1041" spans="1:32">
      <c r="A1041" t="s">
        <v>1865</v>
      </c>
      <c r="B1041" s="37">
        <v>40021</v>
      </c>
      <c r="C1041" s="38">
        <v>40021</v>
      </c>
      <c r="D1041" s="38">
        <v>40021</v>
      </c>
      <c r="E1041" s="38">
        <v>39995</v>
      </c>
      <c r="F1041" s="39">
        <v>116</v>
      </c>
      <c r="G1041" t="s">
        <v>380</v>
      </c>
      <c r="H1041" t="s">
        <v>17</v>
      </c>
      <c r="I1041">
        <v>0</v>
      </c>
      <c r="J1041">
        <v>0</v>
      </c>
      <c r="K1041">
        <v>1</v>
      </c>
      <c r="L1041">
        <v>0</v>
      </c>
      <c r="M1041">
        <v>0</v>
      </c>
      <c r="N1041" t="s">
        <v>195</v>
      </c>
      <c r="O1041" t="s">
        <v>213</v>
      </c>
      <c r="P1041" t="s">
        <v>206</v>
      </c>
      <c r="Q1041" t="s">
        <v>170</v>
      </c>
      <c r="R1041" t="s">
        <v>155</v>
      </c>
      <c r="S1041">
        <v>1</v>
      </c>
      <c r="T1041" t="s">
        <v>136</v>
      </c>
      <c r="U1041">
        <v>0</v>
      </c>
      <c r="V1041">
        <v>5</v>
      </c>
      <c r="W1041" t="s">
        <v>135</v>
      </c>
      <c r="X1041">
        <v>0</v>
      </c>
      <c r="Y1041" t="s">
        <v>139</v>
      </c>
      <c r="Z1041" t="s">
        <v>183</v>
      </c>
      <c r="AA1041" t="s">
        <v>144</v>
      </c>
      <c r="AB1041" t="s">
        <v>163</v>
      </c>
      <c r="AC1041" t="s">
        <v>21</v>
      </c>
      <c r="AD1041" t="s">
        <v>155</v>
      </c>
      <c r="AE1041" t="s">
        <v>454</v>
      </c>
      <c r="AF1041" t="s">
        <v>21</v>
      </c>
    </row>
    <row r="1042" spans="1:32">
      <c r="A1042" t="s">
        <v>1866</v>
      </c>
      <c r="B1042" s="37">
        <v>40056</v>
      </c>
      <c r="C1042" s="38">
        <v>40056</v>
      </c>
      <c r="D1042" s="38">
        <v>40056</v>
      </c>
      <c r="E1042" s="38">
        <v>40026</v>
      </c>
      <c r="F1042" s="39">
        <v>151</v>
      </c>
      <c r="G1042" t="s">
        <v>525</v>
      </c>
      <c r="H1042" t="s">
        <v>17</v>
      </c>
      <c r="I1042">
        <v>0</v>
      </c>
      <c r="J1042">
        <v>0</v>
      </c>
      <c r="K1042">
        <v>1</v>
      </c>
      <c r="L1042">
        <v>0</v>
      </c>
      <c r="M1042">
        <v>0</v>
      </c>
      <c r="N1042" t="s">
        <v>193</v>
      </c>
      <c r="O1042" t="s">
        <v>213</v>
      </c>
      <c r="P1042" t="s">
        <v>204</v>
      </c>
      <c r="Q1042" t="s">
        <v>170</v>
      </c>
      <c r="R1042" t="s">
        <v>155</v>
      </c>
      <c r="S1042">
        <v>5</v>
      </c>
      <c r="T1042" t="s">
        <v>135</v>
      </c>
      <c r="U1042">
        <v>0</v>
      </c>
      <c r="V1042">
        <v>5</v>
      </c>
      <c r="W1042" t="s">
        <v>135</v>
      </c>
      <c r="X1042">
        <v>0</v>
      </c>
      <c r="Y1042" t="s">
        <v>140</v>
      </c>
      <c r="Z1042" t="s">
        <v>376</v>
      </c>
      <c r="AA1042" t="s">
        <v>144</v>
      </c>
      <c r="AB1042" t="s">
        <v>162</v>
      </c>
      <c r="AC1042" t="s">
        <v>174</v>
      </c>
      <c r="AD1042" t="s">
        <v>157</v>
      </c>
      <c r="AE1042" t="s">
        <v>127</v>
      </c>
      <c r="AF1042" t="s">
        <v>153</v>
      </c>
    </row>
    <row r="1043" spans="1:32">
      <c r="A1043" t="s">
        <v>1867</v>
      </c>
      <c r="B1043" s="37">
        <v>39954</v>
      </c>
      <c r="C1043" s="38">
        <v>39954</v>
      </c>
      <c r="D1043" s="38">
        <v>39951</v>
      </c>
      <c r="E1043" s="38">
        <v>39934</v>
      </c>
      <c r="F1043" s="39">
        <v>49</v>
      </c>
      <c r="G1043" t="s">
        <v>9</v>
      </c>
      <c r="H1043" t="s">
        <v>9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194</v>
      </c>
      <c r="O1043" t="s">
        <v>213</v>
      </c>
      <c r="P1043" t="s">
        <v>205</v>
      </c>
      <c r="Q1043" t="s">
        <v>170</v>
      </c>
      <c r="R1043" t="s">
        <v>155</v>
      </c>
      <c r="T1043" t="s">
        <v>134</v>
      </c>
      <c r="U1043">
        <v>1</v>
      </c>
      <c r="W1043" t="s">
        <v>134</v>
      </c>
      <c r="X1043">
        <v>1</v>
      </c>
      <c r="Y1043" t="s">
        <v>139</v>
      </c>
      <c r="Z1043" t="s">
        <v>178</v>
      </c>
      <c r="AA1043" t="s">
        <v>145</v>
      </c>
      <c r="AB1043" t="s">
        <v>162</v>
      </c>
      <c r="AC1043" t="s">
        <v>174</v>
      </c>
      <c r="AD1043" t="s">
        <v>156</v>
      </c>
      <c r="AE1043" t="s">
        <v>120</v>
      </c>
      <c r="AF1043" t="s">
        <v>1868</v>
      </c>
    </row>
    <row r="1044" spans="1:32">
      <c r="A1044" t="s">
        <v>1869</v>
      </c>
      <c r="B1044" s="37">
        <v>39959</v>
      </c>
      <c r="C1044" s="38">
        <v>39959</v>
      </c>
      <c r="D1044" s="38">
        <v>39958</v>
      </c>
      <c r="E1044" s="38">
        <v>39934</v>
      </c>
      <c r="F1044" s="39">
        <v>54</v>
      </c>
      <c r="G1044" t="s">
        <v>9</v>
      </c>
      <c r="H1044" t="s">
        <v>9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194</v>
      </c>
      <c r="O1044" t="s">
        <v>213</v>
      </c>
      <c r="P1044" t="s">
        <v>205</v>
      </c>
      <c r="Q1044" t="s">
        <v>170</v>
      </c>
      <c r="R1044" t="s">
        <v>155</v>
      </c>
      <c r="T1044" t="s">
        <v>134</v>
      </c>
      <c r="U1044">
        <v>1</v>
      </c>
      <c r="W1044" t="s">
        <v>134</v>
      </c>
      <c r="X1044">
        <v>1</v>
      </c>
      <c r="Y1044" t="s">
        <v>139</v>
      </c>
      <c r="Z1044" t="s">
        <v>376</v>
      </c>
      <c r="AA1044" t="s">
        <v>142</v>
      </c>
      <c r="AB1044" t="s">
        <v>163</v>
      </c>
      <c r="AC1044" t="s">
        <v>415</v>
      </c>
      <c r="AD1044" t="s">
        <v>155</v>
      </c>
      <c r="AE1044" t="s">
        <v>1186</v>
      </c>
      <c r="AF1044" t="s">
        <v>21</v>
      </c>
    </row>
    <row r="1045" spans="1:32">
      <c r="A1045" t="s">
        <v>1870</v>
      </c>
      <c r="B1045" s="37">
        <v>39982</v>
      </c>
      <c r="C1045" s="38">
        <v>39982</v>
      </c>
      <c r="D1045" s="38">
        <v>39979</v>
      </c>
      <c r="E1045" s="38">
        <v>39965</v>
      </c>
      <c r="F1045" s="39">
        <v>77</v>
      </c>
      <c r="G1045" t="s">
        <v>496</v>
      </c>
      <c r="H1045" t="s">
        <v>13</v>
      </c>
      <c r="I1045">
        <v>0</v>
      </c>
      <c r="J1045">
        <v>1</v>
      </c>
      <c r="K1045">
        <v>0</v>
      </c>
      <c r="L1045">
        <v>0</v>
      </c>
      <c r="M1045">
        <v>1</v>
      </c>
      <c r="N1045" t="s">
        <v>193</v>
      </c>
      <c r="O1045" t="s">
        <v>213</v>
      </c>
      <c r="P1045" t="s">
        <v>204</v>
      </c>
      <c r="Q1045" t="s">
        <v>170</v>
      </c>
      <c r="R1045" t="s">
        <v>155</v>
      </c>
      <c r="T1045" t="s">
        <v>134</v>
      </c>
      <c r="U1045">
        <v>1</v>
      </c>
      <c r="W1045" t="s">
        <v>134</v>
      </c>
      <c r="X1045">
        <v>1</v>
      </c>
      <c r="Y1045" t="s">
        <v>140</v>
      </c>
      <c r="Z1045" t="s">
        <v>182</v>
      </c>
      <c r="AA1045" t="s">
        <v>148</v>
      </c>
      <c r="AB1045" t="s">
        <v>163</v>
      </c>
      <c r="AC1045" t="s">
        <v>173</v>
      </c>
      <c r="AD1045" t="s">
        <v>155</v>
      </c>
      <c r="AE1045" t="s">
        <v>792</v>
      </c>
      <c r="AF1045" t="s">
        <v>21</v>
      </c>
    </row>
    <row r="1046" spans="1:32">
      <c r="A1046" t="s">
        <v>1871</v>
      </c>
      <c r="B1046" s="37">
        <v>39974</v>
      </c>
      <c r="C1046" s="38">
        <v>39974</v>
      </c>
      <c r="D1046" s="38">
        <v>39972</v>
      </c>
      <c r="E1046" s="38">
        <v>39965</v>
      </c>
      <c r="F1046" s="39">
        <v>69</v>
      </c>
      <c r="G1046" t="s">
        <v>21</v>
      </c>
      <c r="H1046" t="s">
        <v>21</v>
      </c>
      <c r="I1046">
        <v>0</v>
      </c>
      <c r="J1046">
        <v>0</v>
      </c>
      <c r="K1046">
        <v>0</v>
      </c>
      <c r="L1046">
        <v>1</v>
      </c>
      <c r="M1046">
        <v>0</v>
      </c>
      <c r="N1046" t="s">
        <v>193</v>
      </c>
      <c r="O1046" t="s">
        <v>213</v>
      </c>
      <c r="P1046" t="s">
        <v>204</v>
      </c>
      <c r="Q1046" t="s">
        <v>170</v>
      </c>
      <c r="R1046" t="s">
        <v>155</v>
      </c>
      <c r="T1046" t="s">
        <v>134</v>
      </c>
      <c r="U1046">
        <v>1</v>
      </c>
      <c r="W1046" t="s">
        <v>134</v>
      </c>
      <c r="X1046">
        <v>1</v>
      </c>
      <c r="Y1046" t="s">
        <v>140</v>
      </c>
      <c r="Z1046" t="s">
        <v>188</v>
      </c>
      <c r="AA1046" t="s">
        <v>143</v>
      </c>
      <c r="AB1046" t="s">
        <v>163</v>
      </c>
      <c r="AC1046" t="s">
        <v>173</v>
      </c>
      <c r="AD1046" t="s">
        <v>155</v>
      </c>
      <c r="AE1046" t="s">
        <v>125</v>
      </c>
      <c r="AF1046" t="s">
        <v>21</v>
      </c>
    </row>
    <row r="1047" spans="1:32">
      <c r="A1047" t="s">
        <v>1872</v>
      </c>
      <c r="B1047" s="37">
        <v>39956</v>
      </c>
      <c r="C1047" s="38">
        <v>39956</v>
      </c>
      <c r="D1047" s="38">
        <v>39951</v>
      </c>
      <c r="E1047" s="38">
        <v>39934</v>
      </c>
      <c r="F1047" s="39">
        <v>51</v>
      </c>
      <c r="G1047" t="s">
        <v>21</v>
      </c>
      <c r="H1047" t="s">
        <v>21</v>
      </c>
      <c r="I1047">
        <v>0</v>
      </c>
      <c r="J1047">
        <v>0</v>
      </c>
      <c r="K1047">
        <v>0</v>
      </c>
      <c r="L1047">
        <v>1</v>
      </c>
      <c r="M1047">
        <v>0</v>
      </c>
      <c r="N1047" t="s">
        <v>193</v>
      </c>
      <c r="O1047" t="s">
        <v>213</v>
      </c>
      <c r="P1047" t="s">
        <v>204</v>
      </c>
      <c r="Q1047" t="s">
        <v>170</v>
      </c>
      <c r="R1047" t="s">
        <v>155</v>
      </c>
      <c r="T1047" t="s">
        <v>134</v>
      </c>
      <c r="U1047">
        <v>1</v>
      </c>
      <c r="W1047" t="s">
        <v>134</v>
      </c>
      <c r="X1047">
        <v>1</v>
      </c>
      <c r="Y1047" t="s">
        <v>140</v>
      </c>
      <c r="Z1047" t="s">
        <v>187</v>
      </c>
      <c r="AA1047" t="s">
        <v>149</v>
      </c>
      <c r="AB1047" t="s">
        <v>162</v>
      </c>
      <c r="AC1047" t="s">
        <v>174</v>
      </c>
      <c r="AD1047" t="s">
        <v>156</v>
      </c>
      <c r="AE1047" t="s">
        <v>120</v>
      </c>
      <c r="AF1047" t="s">
        <v>1873</v>
      </c>
    </row>
    <row r="1048" spans="1:32">
      <c r="A1048" t="s">
        <v>1874</v>
      </c>
      <c r="B1048" s="37">
        <v>40048</v>
      </c>
      <c r="C1048" s="38">
        <v>40048</v>
      </c>
      <c r="D1048" s="38">
        <v>40042</v>
      </c>
      <c r="E1048" s="38">
        <v>40026</v>
      </c>
      <c r="F1048" s="39">
        <v>143</v>
      </c>
      <c r="G1048" t="s">
        <v>21</v>
      </c>
      <c r="H1048" t="s">
        <v>21</v>
      </c>
      <c r="I1048">
        <v>0</v>
      </c>
      <c r="J1048">
        <v>0</v>
      </c>
      <c r="K1048">
        <v>0</v>
      </c>
      <c r="L1048">
        <v>1</v>
      </c>
      <c r="M1048">
        <v>0</v>
      </c>
      <c r="N1048" t="s">
        <v>193</v>
      </c>
      <c r="O1048" t="s">
        <v>213</v>
      </c>
      <c r="P1048" t="s">
        <v>204</v>
      </c>
      <c r="Q1048" t="s">
        <v>170</v>
      </c>
      <c r="R1048" t="s">
        <v>155</v>
      </c>
      <c r="S1048">
        <v>5</v>
      </c>
      <c r="T1048" t="s">
        <v>135</v>
      </c>
      <c r="U1048">
        <v>0</v>
      </c>
      <c r="V1048">
        <v>5</v>
      </c>
      <c r="W1048" t="s">
        <v>135</v>
      </c>
      <c r="X1048">
        <v>0</v>
      </c>
      <c r="Y1048" t="s">
        <v>140</v>
      </c>
      <c r="Z1048" t="s">
        <v>603</v>
      </c>
      <c r="AA1048" t="s">
        <v>144</v>
      </c>
      <c r="AB1048" t="s">
        <v>165</v>
      </c>
      <c r="AC1048" t="s">
        <v>1875</v>
      </c>
      <c r="AD1048" t="s">
        <v>158</v>
      </c>
      <c r="AE1048" t="s">
        <v>122</v>
      </c>
      <c r="AF1048" t="s">
        <v>21</v>
      </c>
    </row>
    <row r="1049" spans="1:32">
      <c r="A1049" t="s">
        <v>1876</v>
      </c>
      <c r="B1049" s="37">
        <v>39906</v>
      </c>
      <c r="C1049" s="38">
        <v>39906</v>
      </c>
      <c r="D1049" s="38">
        <v>39902</v>
      </c>
      <c r="E1049" s="38">
        <v>39904</v>
      </c>
      <c r="F1049" s="39">
        <v>1</v>
      </c>
      <c r="G1049" t="s">
        <v>21</v>
      </c>
      <c r="H1049" t="s">
        <v>21</v>
      </c>
      <c r="I1049">
        <v>0</v>
      </c>
      <c r="J1049">
        <v>0</v>
      </c>
      <c r="K1049">
        <v>0</v>
      </c>
      <c r="L1049">
        <v>1</v>
      </c>
      <c r="M1049">
        <v>0</v>
      </c>
      <c r="N1049" t="s">
        <v>195</v>
      </c>
      <c r="O1049" t="s">
        <v>213</v>
      </c>
      <c r="P1049" t="s">
        <v>206</v>
      </c>
      <c r="Q1049" t="s">
        <v>170</v>
      </c>
      <c r="R1049" t="s">
        <v>155</v>
      </c>
      <c r="T1049" t="s">
        <v>134</v>
      </c>
      <c r="U1049">
        <v>1</v>
      </c>
      <c r="W1049" t="s">
        <v>134</v>
      </c>
      <c r="X1049">
        <v>1</v>
      </c>
      <c r="Y1049" t="s">
        <v>139</v>
      </c>
      <c r="Z1049" t="s">
        <v>179</v>
      </c>
      <c r="AA1049" t="s">
        <v>147</v>
      </c>
      <c r="AB1049" t="s">
        <v>162</v>
      </c>
      <c r="AC1049" t="s">
        <v>175</v>
      </c>
      <c r="AD1049" t="s">
        <v>517</v>
      </c>
      <c r="AE1049" t="s">
        <v>123</v>
      </c>
      <c r="AF1049" t="s">
        <v>123</v>
      </c>
    </row>
    <row r="1050" spans="1:32">
      <c r="A1050" t="s">
        <v>1877</v>
      </c>
      <c r="B1050" s="37">
        <v>40029</v>
      </c>
      <c r="C1050" s="38">
        <v>40029</v>
      </c>
      <c r="D1050" s="38">
        <v>40028</v>
      </c>
      <c r="E1050" s="38">
        <v>40026</v>
      </c>
      <c r="F1050" s="39">
        <v>124</v>
      </c>
      <c r="G1050" t="s">
        <v>496</v>
      </c>
      <c r="H1050" t="s">
        <v>13</v>
      </c>
      <c r="I1050">
        <v>0</v>
      </c>
      <c r="J1050">
        <v>1</v>
      </c>
      <c r="K1050">
        <v>0</v>
      </c>
      <c r="L1050">
        <v>0</v>
      </c>
      <c r="M1050">
        <v>1</v>
      </c>
      <c r="N1050" t="s">
        <v>193</v>
      </c>
      <c r="O1050" t="s">
        <v>213</v>
      </c>
      <c r="P1050" t="s">
        <v>204</v>
      </c>
      <c r="Q1050" t="s">
        <v>170</v>
      </c>
      <c r="R1050" t="s">
        <v>155</v>
      </c>
      <c r="S1050">
        <v>5</v>
      </c>
      <c r="T1050" t="s">
        <v>135</v>
      </c>
      <c r="U1050">
        <v>0</v>
      </c>
      <c r="V1050">
        <v>5</v>
      </c>
      <c r="W1050" t="s">
        <v>135</v>
      </c>
      <c r="X1050">
        <v>0</v>
      </c>
      <c r="Y1050" t="s">
        <v>140</v>
      </c>
      <c r="Z1050" t="s">
        <v>179</v>
      </c>
      <c r="AA1050" t="s">
        <v>145</v>
      </c>
      <c r="AB1050" t="s">
        <v>162</v>
      </c>
      <c r="AC1050" t="s">
        <v>174</v>
      </c>
      <c r="AD1050" t="s">
        <v>156</v>
      </c>
      <c r="AE1050" t="s">
        <v>120</v>
      </c>
      <c r="AF1050" t="s">
        <v>1001</v>
      </c>
    </row>
    <row r="1051" spans="1:32">
      <c r="A1051" t="s">
        <v>1878</v>
      </c>
      <c r="B1051" s="37">
        <v>39916</v>
      </c>
      <c r="C1051" s="38">
        <v>39916</v>
      </c>
      <c r="D1051" s="38">
        <v>39916</v>
      </c>
      <c r="E1051" s="38">
        <v>39904</v>
      </c>
      <c r="F1051" s="39">
        <v>11</v>
      </c>
      <c r="G1051" t="s">
        <v>21</v>
      </c>
      <c r="H1051" t="s">
        <v>21</v>
      </c>
      <c r="I1051">
        <v>0</v>
      </c>
      <c r="J1051">
        <v>0</v>
      </c>
      <c r="K1051">
        <v>0</v>
      </c>
      <c r="L1051">
        <v>1</v>
      </c>
      <c r="M1051">
        <v>0</v>
      </c>
      <c r="N1051" t="s">
        <v>193</v>
      </c>
      <c r="O1051" t="s">
        <v>213</v>
      </c>
      <c r="P1051" t="s">
        <v>204</v>
      </c>
      <c r="Q1051" t="s">
        <v>170</v>
      </c>
      <c r="R1051" t="s">
        <v>155</v>
      </c>
      <c r="T1051" t="s">
        <v>134</v>
      </c>
      <c r="U1051">
        <v>1</v>
      </c>
      <c r="W1051" t="s">
        <v>134</v>
      </c>
      <c r="X1051">
        <v>1</v>
      </c>
      <c r="Y1051" t="s">
        <v>140</v>
      </c>
      <c r="Z1051" t="s">
        <v>179</v>
      </c>
      <c r="AA1051" t="s">
        <v>142</v>
      </c>
      <c r="AB1051" t="s">
        <v>163</v>
      </c>
      <c r="AC1051" t="s">
        <v>173</v>
      </c>
      <c r="AD1051" t="s">
        <v>155</v>
      </c>
      <c r="AE1051" t="s">
        <v>130</v>
      </c>
      <c r="AF1051" t="s">
        <v>21</v>
      </c>
    </row>
    <row r="1052" spans="1:32">
      <c r="A1052" t="s">
        <v>1879</v>
      </c>
      <c r="B1052" s="37">
        <v>39973</v>
      </c>
      <c r="C1052" s="38">
        <v>39973</v>
      </c>
      <c r="D1052" s="38">
        <v>39972</v>
      </c>
      <c r="E1052" s="38">
        <v>39965</v>
      </c>
      <c r="F1052" s="39">
        <v>68</v>
      </c>
      <c r="G1052" t="s">
        <v>525</v>
      </c>
      <c r="H1052" t="s">
        <v>17</v>
      </c>
      <c r="I1052">
        <v>0</v>
      </c>
      <c r="J1052">
        <v>0</v>
      </c>
      <c r="K1052">
        <v>1</v>
      </c>
      <c r="L1052">
        <v>0</v>
      </c>
      <c r="M1052">
        <v>0</v>
      </c>
      <c r="N1052" t="s">
        <v>193</v>
      </c>
      <c r="O1052" t="s">
        <v>213</v>
      </c>
      <c r="P1052" t="s">
        <v>204</v>
      </c>
      <c r="Q1052" t="s">
        <v>170</v>
      </c>
      <c r="R1052" t="s">
        <v>155</v>
      </c>
      <c r="T1052" t="s">
        <v>134</v>
      </c>
      <c r="U1052">
        <v>1</v>
      </c>
      <c r="W1052" t="s">
        <v>134</v>
      </c>
      <c r="X1052">
        <v>1</v>
      </c>
      <c r="Y1052" t="s">
        <v>140</v>
      </c>
      <c r="Z1052" t="s">
        <v>433</v>
      </c>
      <c r="AA1052" t="s">
        <v>148</v>
      </c>
      <c r="AB1052" t="s">
        <v>162</v>
      </c>
      <c r="AC1052" t="s">
        <v>174</v>
      </c>
      <c r="AD1052" t="s">
        <v>157</v>
      </c>
      <c r="AE1052" t="s">
        <v>127</v>
      </c>
      <c r="AF1052" t="s">
        <v>1880</v>
      </c>
    </row>
    <row r="1053" spans="1:32">
      <c r="A1053" t="s">
        <v>1881</v>
      </c>
      <c r="B1053" s="37">
        <v>40013</v>
      </c>
      <c r="C1053" s="38">
        <v>40013</v>
      </c>
      <c r="D1053" s="38">
        <v>40007</v>
      </c>
      <c r="E1053" s="38">
        <v>39995</v>
      </c>
      <c r="F1053" s="39">
        <v>108</v>
      </c>
      <c r="G1053" t="s">
        <v>21</v>
      </c>
      <c r="H1053" t="s">
        <v>21</v>
      </c>
      <c r="I1053">
        <v>0</v>
      </c>
      <c r="J1053">
        <v>0</v>
      </c>
      <c r="K1053">
        <v>0</v>
      </c>
      <c r="L1053">
        <v>1</v>
      </c>
      <c r="M1053">
        <v>0</v>
      </c>
      <c r="N1053" t="s">
        <v>196</v>
      </c>
      <c r="O1053" t="s">
        <v>213</v>
      </c>
      <c r="P1053" t="s">
        <v>207</v>
      </c>
      <c r="Q1053" t="s">
        <v>170</v>
      </c>
      <c r="R1053" t="s">
        <v>155</v>
      </c>
      <c r="S1053">
        <v>5</v>
      </c>
      <c r="T1053" t="s">
        <v>135</v>
      </c>
      <c r="U1053">
        <v>0</v>
      </c>
      <c r="V1053">
        <v>4</v>
      </c>
      <c r="W1053" t="s">
        <v>137</v>
      </c>
      <c r="X1053">
        <v>0</v>
      </c>
      <c r="Y1053" t="s">
        <v>139</v>
      </c>
      <c r="Z1053" t="s">
        <v>181</v>
      </c>
      <c r="AA1053" t="s">
        <v>143</v>
      </c>
      <c r="AB1053" t="s">
        <v>163</v>
      </c>
      <c r="AC1053" t="s">
        <v>173</v>
      </c>
      <c r="AD1053" t="s">
        <v>155</v>
      </c>
      <c r="AE1053" t="s">
        <v>830</v>
      </c>
      <c r="AF1053" t="s">
        <v>21</v>
      </c>
    </row>
    <row r="1054" spans="1:32">
      <c r="A1054" t="s">
        <v>1882</v>
      </c>
      <c r="B1054" s="37">
        <v>39947</v>
      </c>
      <c r="C1054" s="38">
        <v>39947</v>
      </c>
      <c r="D1054" s="38">
        <v>39944</v>
      </c>
      <c r="E1054" s="38">
        <v>39934</v>
      </c>
      <c r="F1054" s="39">
        <v>42</v>
      </c>
      <c r="G1054" t="s">
        <v>21</v>
      </c>
      <c r="H1054" t="s">
        <v>21</v>
      </c>
      <c r="I1054">
        <v>0</v>
      </c>
      <c r="J1054">
        <v>0</v>
      </c>
      <c r="K1054">
        <v>0</v>
      </c>
      <c r="L1054">
        <v>1</v>
      </c>
      <c r="M1054">
        <v>0</v>
      </c>
      <c r="N1054" t="s">
        <v>193</v>
      </c>
      <c r="O1054" t="s">
        <v>213</v>
      </c>
      <c r="P1054" t="s">
        <v>204</v>
      </c>
      <c r="Q1054" t="s">
        <v>170</v>
      </c>
      <c r="R1054" t="s">
        <v>155</v>
      </c>
      <c r="T1054" t="s">
        <v>134</v>
      </c>
      <c r="U1054">
        <v>1</v>
      </c>
      <c r="W1054" t="s">
        <v>134</v>
      </c>
      <c r="X1054">
        <v>1</v>
      </c>
      <c r="Y1054" t="s">
        <v>140</v>
      </c>
      <c r="Z1054" t="s">
        <v>181</v>
      </c>
      <c r="AA1054" t="s">
        <v>147</v>
      </c>
      <c r="AB1054" t="s">
        <v>165</v>
      </c>
      <c r="AC1054" t="s">
        <v>847</v>
      </c>
      <c r="AD1054" t="s">
        <v>158</v>
      </c>
      <c r="AE1054" t="s">
        <v>122</v>
      </c>
      <c r="AF1054" t="s">
        <v>21</v>
      </c>
    </row>
    <row r="1055" spans="1:32">
      <c r="A1055" t="s">
        <v>1883</v>
      </c>
      <c r="B1055" s="37">
        <v>39988</v>
      </c>
      <c r="C1055" s="38">
        <v>39988</v>
      </c>
      <c r="D1055" s="38">
        <v>39986</v>
      </c>
      <c r="E1055" s="38">
        <v>39965</v>
      </c>
      <c r="F1055" s="39">
        <v>83</v>
      </c>
      <c r="G1055" t="s">
        <v>9</v>
      </c>
      <c r="H1055" t="s">
        <v>9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194</v>
      </c>
      <c r="O1055" t="s">
        <v>213</v>
      </c>
      <c r="P1055" t="s">
        <v>205</v>
      </c>
      <c r="Q1055" t="s">
        <v>170</v>
      </c>
      <c r="R1055" t="s">
        <v>155</v>
      </c>
      <c r="T1055" t="s">
        <v>134</v>
      </c>
      <c r="U1055">
        <v>1</v>
      </c>
      <c r="W1055" t="s">
        <v>134</v>
      </c>
      <c r="X1055">
        <v>1</v>
      </c>
      <c r="Y1055" t="s">
        <v>139</v>
      </c>
      <c r="Z1055" t="s">
        <v>179</v>
      </c>
      <c r="AA1055" t="s">
        <v>150</v>
      </c>
      <c r="AB1055" t="s">
        <v>162</v>
      </c>
      <c r="AC1055" t="s">
        <v>174</v>
      </c>
      <c r="AD1055" t="s">
        <v>157</v>
      </c>
      <c r="AE1055" t="s">
        <v>130</v>
      </c>
      <c r="AF1055" t="s">
        <v>1884</v>
      </c>
    </row>
    <row r="1056" spans="1:32">
      <c r="A1056" t="s">
        <v>1885</v>
      </c>
      <c r="B1056" s="37">
        <v>39976</v>
      </c>
      <c r="C1056" s="38">
        <v>39976</v>
      </c>
      <c r="D1056" s="38">
        <v>39972</v>
      </c>
      <c r="E1056" s="38">
        <v>39965</v>
      </c>
      <c r="F1056" s="39">
        <v>71</v>
      </c>
      <c r="G1056" t="s">
        <v>9</v>
      </c>
      <c r="H1056" t="s">
        <v>9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193</v>
      </c>
      <c r="O1056" t="s">
        <v>213</v>
      </c>
      <c r="P1056" t="s">
        <v>204</v>
      </c>
      <c r="Q1056" t="s">
        <v>170</v>
      </c>
      <c r="R1056" t="s">
        <v>155</v>
      </c>
      <c r="T1056" t="s">
        <v>134</v>
      </c>
      <c r="U1056">
        <v>1</v>
      </c>
      <c r="W1056" t="s">
        <v>134</v>
      </c>
      <c r="X1056">
        <v>1</v>
      </c>
      <c r="Y1056" t="s">
        <v>140</v>
      </c>
      <c r="Z1056" t="s">
        <v>179</v>
      </c>
      <c r="AA1056" t="s">
        <v>145</v>
      </c>
      <c r="AB1056" t="s">
        <v>163</v>
      </c>
      <c r="AC1056" t="s">
        <v>173</v>
      </c>
      <c r="AD1056" t="s">
        <v>161</v>
      </c>
      <c r="AE1056" t="s">
        <v>1253</v>
      </c>
      <c r="AF1056" t="s">
        <v>21</v>
      </c>
    </row>
    <row r="1057" spans="1:32">
      <c r="A1057" t="s">
        <v>1886</v>
      </c>
      <c r="B1057" s="37">
        <v>39917</v>
      </c>
      <c r="C1057" s="38">
        <v>39917</v>
      </c>
      <c r="D1057" s="38">
        <v>39916</v>
      </c>
      <c r="E1057" s="38">
        <v>39904</v>
      </c>
      <c r="F1057" s="39">
        <v>12</v>
      </c>
      <c r="G1057" t="s">
        <v>486</v>
      </c>
      <c r="H1057" t="s">
        <v>13</v>
      </c>
      <c r="I1057">
        <v>0</v>
      </c>
      <c r="J1057">
        <v>1</v>
      </c>
      <c r="K1057">
        <v>0</v>
      </c>
      <c r="L1057">
        <v>0</v>
      </c>
      <c r="M1057">
        <v>1</v>
      </c>
      <c r="N1057" t="s">
        <v>193</v>
      </c>
      <c r="O1057" t="s">
        <v>213</v>
      </c>
      <c r="P1057" t="s">
        <v>204</v>
      </c>
      <c r="Q1057" t="s">
        <v>170</v>
      </c>
      <c r="R1057" t="s">
        <v>155</v>
      </c>
      <c r="T1057" t="s">
        <v>134</v>
      </c>
      <c r="U1057">
        <v>1</v>
      </c>
      <c r="W1057" t="s">
        <v>134</v>
      </c>
      <c r="X1057">
        <v>1</v>
      </c>
      <c r="Y1057" t="s">
        <v>140</v>
      </c>
      <c r="Z1057" t="s">
        <v>181</v>
      </c>
      <c r="AA1057" t="s">
        <v>142</v>
      </c>
      <c r="AB1057" t="s">
        <v>162</v>
      </c>
      <c r="AC1057" t="s">
        <v>21</v>
      </c>
      <c r="AD1057" t="s">
        <v>155</v>
      </c>
      <c r="AE1057" t="s">
        <v>454</v>
      </c>
      <c r="AF1057" t="s">
        <v>21</v>
      </c>
    </row>
    <row r="1058" spans="1:32">
      <c r="A1058" t="s">
        <v>1887</v>
      </c>
      <c r="B1058" s="37">
        <v>39992</v>
      </c>
      <c r="C1058" s="38">
        <v>39992</v>
      </c>
      <c r="D1058" s="38">
        <v>39986</v>
      </c>
      <c r="E1058" s="38">
        <v>39965</v>
      </c>
      <c r="F1058" s="39">
        <v>87</v>
      </c>
      <c r="G1058" t="s">
        <v>380</v>
      </c>
      <c r="H1058" t="s">
        <v>17</v>
      </c>
      <c r="I1058">
        <v>0</v>
      </c>
      <c r="J1058">
        <v>0</v>
      </c>
      <c r="K1058">
        <v>1</v>
      </c>
      <c r="L1058">
        <v>0</v>
      </c>
      <c r="M1058">
        <v>0</v>
      </c>
      <c r="N1058" t="s">
        <v>197</v>
      </c>
      <c r="O1058" t="s">
        <v>213</v>
      </c>
      <c r="P1058" t="s">
        <v>209</v>
      </c>
      <c r="Q1058" t="s">
        <v>170</v>
      </c>
      <c r="R1058" t="s">
        <v>155</v>
      </c>
      <c r="T1058" t="s">
        <v>134</v>
      </c>
      <c r="U1058">
        <v>1</v>
      </c>
      <c r="V1058">
        <v>5</v>
      </c>
      <c r="W1058" t="s">
        <v>135</v>
      </c>
      <c r="X1058">
        <v>0</v>
      </c>
      <c r="Y1058" t="s">
        <v>139</v>
      </c>
      <c r="Z1058" t="s">
        <v>181</v>
      </c>
      <c r="AA1058" t="s">
        <v>144</v>
      </c>
      <c r="AB1058" t="s">
        <v>162</v>
      </c>
      <c r="AC1058" t="s">
        <v>175</v>
      </c>
      <c r="AD1058" t="s">
        <v>155</v>
      </c>
      <c r="AE1058" t="s">
        <v>130</v>
      </c>
      <c r="AF1058" t="s">
        <v>21</v>
      </c>
    </row>
    <row r="1059" spans="1:32">
      <c r="A1059" t="s">
        <v>1888</v>
      </c>
      <c r="B1059" s="37">
        <v>39910</v>
      </c>
      <c r="C1059" s="38">
        <v>39910</v>
      </c>
      <c r="D1059" s="38">
        <v>39909</v>
      </c>
      <c r="E1059" s="38">
        <v>39904</v>
      </c>
      <c r="F1059" s="39">
        <v>5</v>
      </c>
      <c r="G1059" t="s">
        <v>21</v>
      </c>
      <c r="H1059" t="s">
        <v>21</v>
      </c>
      <c r="I1059">
        <v>0</v>
      </c>
      <c r="J1059">
        <v>0</v>
      </c>
      <c r="K1059">
        <v>0</v>
      </c>
      <c r="L1059">
        <v>1</v>
      </c>
      <c r="M1059">
        <v>0</v>
      </c>
      <c r="N1059" t="s">
        <v>200</v>
      </c>
      <c r="O1059" t="s">
        <v>214</v>
      </c>
      <c r="P1059" t="s">
        <v>208</v>
      </c>
      <c r="Q1059" t="s">
        <v>170</v>
      </c>
      <c r="R1059" t="s">
        <v>155</v>
      </c>
      <c r="T1059" t="s">
        <v>134</v>
      </c>
      <c r="U1059">
        <v>1</v>
      </c>
      <c r="W1059" t="s">
        <v>134</v>
      </c>
      <c r="X1059">
        <v>1</v>
      </c>
      <c r="Y1059" t="s">
        <v>139</v>
      </c>
      <c r="Z1059" t="s">
        <v>180</v>
      </c>
      <c r="AA1059" t="s">
        <v>150</v>
      </c>
      <c r="AB1059" t="s">
        <v>163</v>
      </c>
      <c r="AC1059" t="s">
        <v>173</v>
      </c>
      <c r="AD1059" t="s">
        <v>155</v>
      </c>
      <c r="AE1059" t="s">
        <v>125</v>
      </c>
      <c r="AF1059" t="s">
        <v>21</v>
      </c>
    </row>
    <row r="1060" spans="1:32">
      <c r="A1060" t="s">
        <v>1889</v>
      </c>
      <c r="B1060" s="37">
        <v>40065</v>
      </c>
      <c r="C1060" s="38">
        <v>40065</v>
      </c>
      <c r="D1060" s="38">
        <v>40063</v>
      </c>
      <c r="E1060" s="38">
        <v>40057</v>
      </c>
      <c r="F1060" s="39">
        <v>160</v>
      </c>
      <c r="G1060" t="s">
        <v>21</v>
      </c>
      <c r="H1060" t="s">
        <v>21</v>
      </c>
      <c r="I1060">
        <v>0</v>
      </c>
      <c r="J1060">
        <v>0</v>
      </c>
      <c r="K1060">
        <v>0</v>
      </c>
      <c r="L1060">
        <v>1</v>
      </c>
      <c r="M1060">
        <v>0</v>
      </c>
      <c r="N1060" t="s">
        <v>193</v>
      </c>
      <c r="O1060" t="s">
        <v>213</v>
      </c>
      <c r="P1060" t="s">
        <v>204</v>
      </c>
      <c r="Q1060" t="s">
        <v>170</v>
      </c>
      <c r="R1060" t="s">
        <v>155</v>
      </c>
      <c r="S1060">
        <v>5</v>
      </c>
      <c r="T1060" t="s">
        <v>135</v>
      </c>
      <c r="U1060">
        <v>0</v>
      </c>
      <c r="V1060">
        <v>5</v>
      </c>
      <c r="W1060" t="s">
        <v>135</v>
      </c>
      <c r="X1060">
        <v>0</v>
      </c>
      <c r="Y1060" t="s">
        <v>140</v>
      </c>
      <c r="Z1060" t="s">
        <v>180</v>
      </c>
      <c r="AA1060" t="s">
        <v>143</v>
      </c>
      <c r="AB1060" t="s">
        <v>162</v>
      </c>
      <c r="AC1060" t="s">
        <v>1890</v>
      </c>
      <c r="AD1060" t="s">
        <v>156</v>
      </c>
      <c r="AE1060" t="s">
        <v>120</v>
      </c>
      <c r="AF1060" t="s">
        <v>1891</v>
      </c>
    </row>
    <row r="1061" spans="1:32">
      <c r="A1061" t="s">
        <v>1892</v>
      </c>
      <c r="B1061" s="37">
        <v>39963</v>
      </c>
      <c r="C1061" s="38">
        <v>39963</v>
      </c>
      <c r="D1061" s="38">
        <v>39958</v>
      </c>
      <c r="E1061" s="38">
        <v>39934</v>
      </c>
      <c r="F1061" s="39">
        <v>58</v>
      </c>
      <c r="G1061" t="s">
        <v>21</v>
      </c>
      <c r="H1061" t="s">
        <v>21</v>
      </c>
      <c r="I1061">
        <v>0</v>
      </c>
      <c r="J1061">
        <v>0</v>
      </c>
      <c r="K1061">
        <v>0</v>
      </c>
      <c r="L1061">
        <v>1</v>
      </c>
      <c r="M1061">
        <v>0</v>
      </c>
      <c r="N1061" t="s">
        <v>193</v>
      </c>
      <c r="O1061" t="s">
        <v>213</v>
      </c>
      <c r="P1061" t="s">
        <v>204</v>
      </c>
      <c r="Q1061" t="s">
        <v>170</v>
      </c>
      <c r="R1061" t="s">
        <v>155</v>
      </c>
      <c r="T1061" t="s">
        <v>134</v>
      </c>
      <c r="U1061">
        <v>1</v>
      </c>
      <c r="W1061" t="s">
        <v>134</v>
      </c>
      <c r="X1061">
        <v>1</v>
      </c>
      <c r="Y1061" t="s">
        <v>140</v>
      </c>
      <c r="Z1061" t="s">
        <v>180</v>
      </c>
      <c r="AA1061" t="s">
        <v>146</v>
      </c>
      <c r="AB1061" t="s">
        <v>162</v>
      </c>
      <c r="AC1061" t="s">
        <v>1893</v>
      </c>
      <c r="AD1061" t="s">
        <v>155</v>
      </c>
      <c r="AE1061" t="s">
        <v>129</v>
      </c>
      <c r="AF1061" t="s">
        <v>21</v>
      </c>
    </row>
    <row r="1062" spans="1:32">
      <c r="A1062" t="s">
        <v>1894</v>
      </c>
      <c r="B1062" s="37">
        <v>39954</v>
      </c>
      <c r="C1062" s="38">
        <v>39954</v>
      </c>
      <c r="D1062" s="38">
        <v>39951</v>
      </c>
      <c r="E1062" s="38">
        <v>39934</v>
      </c>
      <c r="F1062" s="39">
        <v>49</v>
      </c>
      <c r="G1062" t="s">
        <v>21</v>
      </c>
      <c r="H1062" t="s">
        <v>21</v>
      </c>
      <c r="I1062">
        <v>0</v>
      </c>
      <c r="J1062">
        <v>0</v>
      </c>
      <c r="K1062">
        <v>0</v>
      </c>
      <c r="L1062">
        <v>1</v>
      </c>
      <c r="M1062">
        <v>0</v>
      </c>
      <c r="N1062" t="s">
        <v>193</v>
      </c>
      <c r="O1062" t="s">
        <v>213</v>
      </c>
      <c r="P1062" t="s">
        <v>204</v>
      </c>
      <c r="Q1062" t="s">
        <v>170</v>
      </c>
      <c r="R1062" t="s">
        <v>155</v>
      </c>
      <c r="T1062" t="s">
        <v>134</v>
      </c>
      <c r="U1062">
        <v>1</v>
      </c>
      <c r="W1062" t="s">
        <v>134</v>
      </c>
      <c r="X1062">
        <v>1</v>
      </c>
      <c r="Y1062" t="s">
        <v>140</v>
      </c>
      <c r="Z1062" t="s">
        <v>182</v>
      </c>
      <c r="AA1062" t="s">
        <v>142</v>
      </c>
      <c r="AB1062" t="s">
        <v>162</v>
      </c>
      <c r="AC1062" t="s">
        <v>174</v>
      </c>
      <c r="AD1062" t="s">
        <v>157</v>
      </c>
      <c r="AE1062" t="s">
        <v>127</v>
      </c>
      <c r="AF1062" t="s">
        <v>153</v>
      </c>
    </row>
    <row r="1063" spans="1:32">
      <c r="A1063" t="s">
        <v>1895</v>
      </c>
      <c r="B1063" s="37">
        <v>40058</v>
      </c>
      <c r="C1063" s="38">
        <v>40058</v>
      </c>
      <c r="D1063" s="38">
        <v>40056</v>
      </c>
      <c r="E1063" s="38">
        <v>40057</v>
      </c>
      <c r="F1063" s="39">
        <v>153</v>
      </c>
      <c r="G1063" t="s">
        <v>21</v>
      </c>
      <c r="H1063" t="s">
        <v>21</v>
      </c>
      <c r="I1063">
        <v>0</v>
      </c>
      <c r="J1063">
        <v>0</v>
      </c>
      <c r="K1063">
        <v>0</v>
      </c>
      <c r="L1063">
        <v>1</v>
      </c>
      <c r="M1063">
        <v>0</v>
      </c>
      <c r="N1063" t="s">
        <v>193</v>
      </c>
      <c r="O1063" t="s">
        <v>213</v>
      </c>
      <c r="P1063" t="s">
        <v>204</v>
      </c>
      <c r="Q1063" t="s">
        <v>170</v>
      </c>
      <c r="R1063" t="s">
        <v>155</v>
      </c>
      <c r="S1063">
        <v>5</v>
      </c>
      <c r="T1063" t="s">
        <v>135</v>
      </c>
      <c r="U1063">
        <v>0</v>
      </c>
      <c r="V1063">
        <v>5</v>
      </c>
      <c r="W1063" t="s">
        <v>135</v>
      </c>
      <c r="X1063">
        <v>0</v>
      </c>
      <c r="Y1063" t="s">
        <v>140</v>
      </c>
      <c r="Z1063" t="s">
        <v>190</v>
      </c>
      <c r="AA1063" t="s">
        <v>143</v>
      </c>
      <c r="AB1063" t="s">
        <v>162</v>
      </c>
      <c r="AC1063" t="s">
        <v>174</v>
      </c>
      <c r="AD1063" t="s">
        <v>157</v>
      </c>
      <c r="AE1063" t="s">
        <v>127</v>
      </c>
      <c r="AF1063" t="s">
        <v>1005</v>
      </c>
    </row>
    <row r="1064" spans="1:32">
      <c r="A1064" t="s">
        <v>1896</v>
      </c>
      <c r="B1064" s="37">
        <v>39951</v>
      </c>
      <c r="C1064" s="38">
        <v>39951</v>
      </c>
      <c r="D1064" s="38">
        <v>39951</v>
      </c>
      <c r="E1064" s="38">
        <v>39934</v>
      </c>
      <c r="F1064" s="39">
        <v>46</v>
      </c>
      <c r="G1064" t="s">
        <v>525</v>
      </c>
      <c r="H1064" t="s">
        <v>17</v>
      </c>
      <c r="I1064">
        <v>0</v>
      </c>
      <c r="J1064">
        <v>0</v>
      </c>
      <c r="K1064">
        <v>1</v>
      </c>
      <c r="L1064">
        <v>0</v>
      </c>
      <c r="M1064">
        <v>0</v>
      </c>
      <c r="N1064" t="s">
        <v>194</v>
      </c>
      <c r="O1064" t="s">
        <v>213</v>
      </c>
      <c r="P1064" t="s">
        <v>205</v>
      </c>
      <c r="Q1064" t="s">
        <v>170</v>
      </c>
      <c r="R1064" t="s">
        <v>155</v>
      </c>
      <c r="T1064" t="s">
        <v>134</v>
      </c>
      <c r="U1064">
        <v>1</v>
      </c>
      <c r="W1064" t="s">
        <v>134</v>
      </c>
      <c r="X1064">
        <v>1</v>
      </c>
      <c r="Y1064" t="s">
        <v>139</v>
      </c>
      <c r="Z1064" t="s">
        <v>603</v>
      </c>
      <c r="AA1064" t="s">
        <v>147</v>
      </c>
      <c r="AB1064" t="s">
        <v>162</v>
      </c>
      <c r="AC1064" t="s">
        <v>174</v>
      </c>
      <c r="AD1064" t="s">
        <v>157</v>
      </c>
      <c r="AE1064" t="s">
        <v>127</v>
      </c>
      <c r="AF1064" t="s">
        <v>153</v>
      </c>
    </row>
    <row r="1065" spans="1:32">
      <c r="A1065" t="s">
        <v>1897</v>
      </c>
      <c r="B1065" s="37">
        <v>40014</v>
      </c>
      <c r="C1065" s="38">
        <v>40014</v>
      </c>
      <c r="D1065" s="38">
        <v>40014</v>
      </c>
      <c r="E1065" s="38">
        <v>39995</v>
      </c>
      <c r="F1065" s="39">
        <v>109</v>
      </c>
      <c r="G1065" t="s">
        <v>21</v>
      </c>
      <c r="H1065" t="s">
        <v>21</v>
      </c>
      <c r="I1065">
        <v>0</v>
      </c>
      <c r="J1065">
        <v>0</v>
      </c>
      <c r="K1065">
        <v>0</v>
      </c>
      <c r="L1065">
        <v>1</v>
      </c>
      <c r="M1065">
        <v>0</v>
      </c>
      <c r="N1065" t="s">
        <v>193</v>
      </c>
      <c r="O1065" t="s">
        <v>213</v>
      </c>
      <c r="P1065" t="s">
        <v>204</v>
      </c>
      <c r="Q1065" t="s">
        <v>170</v>
      </c>
      <c r="R1065" t="s">
        <v>155</v>
      </c>
      <c r="S1065">
        <v>5</v>
      </c>
      <c r="T1065" t="s">
        <v>135</v>
      </c>
      <c r="U1065">
        <v>0</v>
      </c>
      <c r="V1065">
        <v>5</v>
      </c>
      <c r="W1065" t="s">
        <v>135</v>
      </c>
      <c r="X1065">
        <v>0</v>
      </c>
      <c r="Y1065" t="s">
        <v>140</v>
      </c>
      <c r="Z1065" t="s">
        <v>183</v>
      </c>
      <c r="AA1065" t="s">
        <v>144</v>
      </c>
      <c r="AB1065" t="s">
        <v>162</v>
      </c>
      <c r="AC1065" t="s">
        <v>174</v>
      </c>
      <c r="AD1065" t="s">
        <v>157</v>
      </c>
      <c r="AE1065" t="s">
        <v>127</v>
      </c>
      <c r="AF1065" t="s">
        <v>153</v>
      </c>
    </row>
    <row r="1066" spans="1:32">
      <c r="A1066" t="s">
        <v>1898</v>
      </c>
      <c r="B1066" s="37">
        <v>40017</v>
      </c>
      <c r="C1066" s="38">
        <v>40017</v>
      </c>
      <c r="D1066" s="38">
        <v>40014</v>
      </c>
      <c r="E1066" s="38">
        <v>39995</v>
      </c>
      <c r="F1066" s="39">
        <v>112</v>
      </c>
      <c r="G1066" t="s">
        <v>21</v>
      </c>
      <c r="H1066" t="s">
        <v>21</v>
      </c>
      <c r="I1066">
        <v>0</v>
      </c>
      <c r="J1066">
        <v>0</v>
      </c>
      <c r="K1066">
        <v>0</v>
      </c>
      <c r="L1066">
        <v>1</v>
      </c>
      <c r="M1066">
        <v>0</v>
      </c>
      <c r="N1066" t="s">
        <v>196</v>
      </c>
      <c r="O1066" t="s">
        <v>213</v>
      </c>
      <c r="P1066" t="s">
        <v>207</v>
      </c>
      <c r="Q1066" t="s">
        <v>170</v>
      </c>
      <c r="R1066" t="s">
        <v>155</v>
      </c>
      <c r="S1066">
        <v>1</v>
      </c>
      <c r="T1066" t="s">
        <v>136</v>
      </c>
      <c r="U1066">
        <v>0</v>
      </c>
      <c r="V1066">
        <v>4</v>
      </c>
      <c r="W1066" t="s">
        <v>137</v>
      </c>
      <c r="X1066">
        <v>0</v>
      </c>
      <c r="Y1066" t="s">
        <v>139</v>
      </c>
      <c r="Z1066" t="s">
        <v>183</v>
      </c>
      <c r="AA1066" t="s">
        <v>143</v>
      </c>
      <c r="AB1066" t="s">
        <v>162</v>
      </c>
      <c r="AC1066" t="s">
        <v>1899</v>
      </c>
      <c r="AD1066" t="s">
        <v>155</v>
      </c>
      <c r="AE1066" t="s">
        <v>130</v>
      </c>
      <c r="AF1066" t="s">
        <v>21</v>
      </c>
    </row>
    <row r="1067" spans="1:32">
      <c r="A1067" t="s">
        <v>1900</v>
      </c>
      <c r="B1067" s="37">
        <v>39960</v>
      </c>
      <c r="C1067" s="38">
        <v>39960</v>
      </c>
      <c r="D1067" s="38">
        <v>39958</v>
      </c>
      <c r="E1067" s="38">
        <v>39934</v>
      </c>
      <c r="F1067" s="39">
        <v>55</v>
      </c>
      <c r="G1067" t="s">
        <v>21</v>
      </c>
      <c r="H1067" t="s">
        <v>21</v>
      </c>
      <c r="I1067">
        <v>0</v>
      </c>
      <c r="J1067">
        <v>0</v>
      </c>
      <c r="K1067">
        <v>0</v>
      </c>
      <c r="L1067">
        <v>1</v>
      </c>
      <c r="M1067">
        <v>0</v>
      </c>
      <c r="N1067" t="s">
        <v>193</v>
      </c>
      <c r="O1067" t="s">
        <v>213</v>
      </c>
      <c r="P1067" t="s">
        <v>204</v>
      </c>
      <c r="Q1067" t="s">
        <v>170</v>
      </c>
      <c r="R1067" t="s">
        <v>155</v>
      </c>
      <c r="T1067" t="s">
        <v>134</v>
      </c>
      <c r="U1067">
        <v>1</v>
      </c>
      <c r="W1067" t="s">
        <v>134</v>
      </c>
      <c r="X1067">
        <v>1</v>
      </c>
      <c r="Y1067" t="s">
        <v>140</v>
      </c>
      <c r="Z1067" t="s">
        <v>183</v>
      </c>
      <c r="AA1067" t="s">
        <v>143</v>
      </c>
      <c r="AB1067" t="s">
        <v>162</v>
      </c>
      <c r="AC1067" t="s">
        <v>175</v>
      </c>
      <c r="AD1067" t="s">
        <v>155</v>
      </c>
      <c r="AE1067" t="s">
        <v>129</v>
      </c>
      <c r="AF1067" t="s">
        <v>21</v>
      </c>
    </row>
    <row r="1068" spans="1:32">
      <c r="A1068" t="s">
        <v>1901</v>
      </c>
      <c r="B1068" s="37">
        <v>39974</v>
      </c>
      <c r="C1068" s="38">
        <v>39974</v>
      </c>
      <c r="D1068" s="38">
        <v>39972</v>
      </c>
      <c r="E1068" s="38">
        <v>39965</v>
      </c>
      <c r="F1068" s="39">
        <v>69</v>
      </c>
      <c r="G1068" t="s">
        <v>9</v>
      </c>
      <c r="H1068" t="s">
        <v>9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193</v>
      </c>
      <c r="O1068" t="s">
        <v>213</v>
      </c>
      <c r="P1068" t="s">
        <v>204</v>
      </c>
      <c r="Q1068" t="s">
        <v>170</v>
      </c>
      <c r="R1068" t="s">
        <v>155</v>
      </c>
      <c r="T1068" t="s">
        <v>134</v>
      </c>
      <c r="U1068">
        <v>1</v>
      </c>
      <c r="W1068" t="s">
        <v>134</v>
      </c>
      <c r="X1068">
        <v>1</v>
      </c>
      <c r="Y1068" t="s">
        <v>140</v>
      </c>
      <c r="Z1068" t="s">
        <v>183</v>
      </c>
      <c r="AA1068" t="s">
        <v>145</v>
      </c>
      <c r="AB1068" t="s">
        <v>162</v>
      </c>
      <c r="AC1068" t="s">
        <v>174</v>
      </c>
      <c r="AD1068" t="s">
        <v>157</v>
      </c>
      <c r="AE1068" t="s">
        <v>571</v>
      </c>
      <c r="AF1068" t="s">
        <v>636</v>
      </c>
    </row>
    <row r="1069" spans="1:32">
      <c r="A1069" t="s">
        <v>1902</v>
      </c>
      <c r="B1069" s="37">
        <v>39919</v>
      </c>
      <c r="C1069" s="38">
        <v>39919</v>
      </c>
      <c r="D1069" s="38">
        <v>39916</v>
      </c>
      <c r="E1069" s="38">
        <v>39904</v>
      </c>
      <c r="F1069" s="39">
        <v>14</v>
      </c>
      <c r="G1069" t="s">
        <v>21</v>
      </c>
      <c r="H1069" t="s">
        <v>21</v>
      </c>
      <c r="I1069">
        <v>0</v>
      </c>
      <c r="J1069">
        <v>0</v>
      </c>
      <c r="K1069">
        <v>0</v>
      </c>
      <c r="L1069">
        <v>1</v>
      </c>
      <c r="M1069">
        <v>0</v>
      </c>
      <c r="N1069" t="s">
        <v>201</v>
      </c>
      <c r="O1069" t="s">
        <v>214</v>
      </c>
      <c r="P1069" t="s">
        <v>204</v>
      </c>
      <c r="Q1069" t="s">
        <v>170</v>
      </c>
      <c r="R1069" t="s">
        <v>155</v>
      </c>
      <c r="T1069" t="s">
        <v>134</v>
      </c>
      <c r="U1069">
        <v>1</v>
      </c>
      <c r="W1069" t="s">
        <v>134</v>
      </c>
      <c r="X1069">
        <v>1</v>
      </c>
      <c r="Y1069" t="s">
        <v>140</v>
      </c>
      <c r="Z1069" t="s">
        <v>409</v>
      </c>
      <c r="AA1069" t="s">
        <v>147</v>
      </c>
      <c r="AB1069" t="s">
        <v>165</v>
      </c>
      <c r="AC1069" t="s">
        <v>1903</v>
      </c>
      <c r="AD1069" t="s">
        <v>158</v>
      </c>
      <c r="AE1069" t="s">
        <v>122</v>
      </c>
      <c r="AF1069" t="s">
        <v>21</v>
      </c>
    </row>
    <row r="1070" spans="1:32">
      <c r="A1070" t="s">
        <v>1904</v>
      </c>
      <c r="B1070" s="37">
        <v>39929</v>
      </c>
      <c r="C1070" s="38">
        <v>39929</v>
      </c>
      <c r="D1070" s="38">
        <v>39923</v>
      </c>
      <c r="E1070" s="38">
        <v>39904</v>
      </c>
      <c r="F1070" s="39">
        <v>24</v>
      </c>
      <c r="G1070" t="s">
        <v>9</v>
      </c>
      <c r="H1070" t="s">
        <v>9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199</v>
      </c>
      <c r="O1070" t="s">
        <v>213</v>
      </c>
      <c r="P1070" t="s">
        <v>210</v>
      </c>
      <c r="Q1070" t="s">
        <v>170</v>
      </c>
      <c r="R1070" t="s">
        <v>155</v>
      </c>
      <c r="T1070" t="s">
        <v>134</v>
      </c>
      <c r="U1070">
        <v>1</v>
      </c>
      <c r="W1070" t="s">
        <v>134</v>
      </c>
      <c r="X1070">
        <v>1</v>
      </c>
      <c r="Y1070" t="s">
        <v>139</v>
      </c>
      <c r="Z1070" t="s">
        <v>188</v>
      </c>
      <c r="AA1070" t="s">
        <v>143</v>
      </c>
      <c r="AB1070" t="s">
        <v>163</v>
      </c>
      <c r="AC1070" t="s">
        <v>21</v>
      </c>
      <c r="AD1070" t="s">
        <v>155</v>
      </c>
      <c r="AE1070" t="s">
        <v>125</v>
      </c>
      <c r="AF1070" t="s">
        <v>21</v>
      </c>
    </row>
    <row r="1071" spans="1:32">
      <c r="A1071" t="s">
        <v>1905</v>
      </c>
      <c r="B1071" s="37">
        <v>40019</v>
      </c>
      <c r="C1071" s="38">
        <v>40019</v>
      </c>
      <c r="D1071" s="38">
        <v>40014</v>
      </c>
      <c r="E1071" s="38">
        <v>39995</v>
      </c>
      <c r="F1071" s="39">
        <v>114</v>
      </c>
      <c r="G1071" t="s">
        <v>21</v>
      </c>
      <c r="H1071" t="s">
        <v>21</v>
      </c>
      <c r="I1071">
        <v>0</v>
      </c>
      <c r="J1071">
        <v>0</v>
      </c>
      <c r="K1071">
        <v>0</v>
      </c>
      <c r="L1071">
        <v>1</v>
      </c>
      <c r="M1071">
        <v>0</v>
      </c>
      <c r="N1071" t="s">
        <v>193</v>
      </c>
      <c r="O1071" t="s">
        <v>213</v>
      </c>
      <c r="P1071" t="s">
        <v>204</v>
      </c>
      <c r="Q1071" t="s">
        <v>170</v>
      </c>
      <c r="R1071" t="s">
        <v>155</v>
      </c>
      <c r="S1071">
        <v>5</v>
      </c>
      <c r="T1071" t="s">
        <v>135</v>
      </c>
      <c r="U1071">
        <v>0</v>
      </c>
      <c r="V1071">
        <v>3</v>
      </c>
      <c r="W1071" t="s">
        <v>137</v>
      </c>
      <c r="X1071">
        <v>0</v>
      </c>
      <c r="Y1071" t="s">
        <v>140</v>
      </c>
      <c r="Z1071" t="s">
        <v>188</v>
      </c>
      <c r="AA1071" t="s">
        <v>144</v>
      </c>
      <c r="AB1071" t="s">
        <v>162</v>
      </c>
      <c r="AC1071" t="s">
        <v>824</v>
      </c>
      <c r="AD1071" t="s">
        <v>157</v>
      </c>
      <c r="AE1071" t="s">
        <v>127</v>
      </c>
      <c r="AF1071" t="s">
        <v>153</v>
      </c>
    </row>
    <row r="1072" spans="1:32">
      <c r="A1072" t="s">
        <v>1906</v>
      </c>
      <c r="B1072" s="37">
        <v>40011</v>
      </c>
      <c r="C1072" s="38">
        <v>40011</v>
      </c>
      <c r="D1072" s="38">
        <v>40007</v>
      </c>
      <c r="E1072" s="38">
        <v>39995</v>
      </c>
      <c r="F1072" s="39">
        <v>106</v>
      </c>
      <c r="G1072" t="s">
        <v>496</v>
      </c>
      <c r="H1072" t="s">
        <v>13</v>
      </c>
      <c r="I1072">
        <v>0</v>
      </c>
      <c r="J1072">
        <v>1</v>
      </c>
      <c r="K1072">
        <v>0</v>
      </c>
      <c r="L1072">
        <v>0</v>
      </c>
      <c r="M1072">
        <v>1</v>
      </c>
      <c r="N1072" t="s">
        <v>196</v>
      </c>
      <c r="O1072" t="s">
        <v>213</v>
      </c>
      <c r="P1072" t="s">
        <v>207</v>
      </c>
      <c r="Q1072" t="s">
        <v>170</v>
      </c>
      <c r="R1072" t="s">
        <v>155</v>
      </c>
      <c r="S1072">
        <v>5</v>
      </c>
      <c r="T1072" t="s">
        <v>135</v>
      </c>
      <c r="U1072">
        <v>0</v>
      </c>
      <c r="V1072">
        <v>5</v>
      </c>
      <c r="W1072" t="s">
        <v>135</v>
      </c>
      <c r="X1072">
        <v>0</v>
      </c>
      <c r="Y1072" t="s">
        <v>139</v>
      </c>
      <c r="Z1072" t="s">
        <v>409</v>
      </c>
      <c r="AA1072" t="s">
        <v>142</v>
      </c>
      <c r="AB1072" t="s">
        <v>162</v>
      </c>
      <c r="AC1072" t="s">
        <v>1907</v>
      </c>
      <c r="AD1072" t="s">
        <v>159</v>
      </c>
      <c r="AE1072" t="s">
        <v>126</v>
      </c>
      <c r="AF1072" t="s">
        <v>601</v>
      </c>
    </row>
    <row r="1073" spans="1:32">
      <c r="A1073" t="s">
        <v>1908</v>
      </c>
      <c r="B1073" s="37">
        <v>39964</v>
      </c>
      <c r="C1073" s="38">
        <v>39964</v>
      </c>
      <c r="D1073" s="38">
        <v>39958</v>
      </c>
      <c r="E1073" s="38">
        <v>39934</v>
      </c>
      <c r="F1073" s="39">
        <v>59</v>
      </c>
      <c r="G1073" t="s">
        <v>21</v>
      </c>
      <c r="H1073" t="s">
        <v>21</v>
      </c>
      <c r="I1073">
        <v>0</v>
      </c>
      <c r="J1073">
        <v>0</v>
      </c>
      <c r="K1073">
        <v>0</v>
      </c>
      <c r="L1073">
        <v>1</v>
      </c>
      <c r="M1073">
        <v>0</v>
      </c>
      <c r="N1073" t="s">
        <v>193</v>
      </c>
      <c r="O1073" t="s">
        <v>213</v>
      </c>
      <c r="P1073" t="s">
        <v>204</v>
      </c>
      <c r="Q1073" t="s">
        <v>170</v>
      </c>
      <c r="R1073" t="s">
        <v>155</v>
      </c>
      <c r="T1073" t="s">
        <v>134</v>
      </c>
      <c r="U1073">
        <v>1</v>
      </c>
      <c r="W1073" t="s">
        <v>134</v>
      </c>
      <c r="X1073">
        <v>1</v>
      </c>
      <c r="Y1073" t="s">
        <v>140</v>
      </c>
      <c r="Z1073" t="s">
        <v>188</v>
      </c>
      <c r="AA1073" t="s">
        <v>142</v>
      </c>
      <c r="AB1073" t="s">
        <v>163</v>
      </c>
      <c r="AC1073" t="s">
        <v>1308</v>
      </c>
      <c r="AD1073" t="s">
        <v>161</v>
      </c>
      <c r="AE1073" t="s">
        <v>1840</v>
      </c>
      <c r="AF1073" t="s">
        <v>21</v>
      </c>
    </row>
    <row r="1074" spans="1:32">
      <c r="A1074" t="s">
        <v>1909</v>
      </c>
      <c r="B1074" s="37">
        <v>39912</v>
      </c>
      <c r="C1074" s="38">
        <v>39912</v>
      </c>
      <c r="D1074" s="38">
        <v>39909</v>
      </c>
      <c r="E1074" s="38">
        <v>39904</v>
      </c>
      <c r="F1074" s="39">
        <v>7</v>
      </c>
      <c r="G1074" t="s">
        <v>21</v>
      </c>
      <c r="H1074" t="s">
        <v>21</v>
      </c>
      <c r="I1074">
        <v>0</v>
      </c>
      <c r="J1074">
        <v>0</v>
      </c>
      <c r="K1074">
        <v>0</v>
      </c>
      <c r="L1074">
        <v>1</v>
      </c>
      <c r="M1074">
        <v>0</v>
      </c>
      <c r="N1074" t="s">
        <v>199</v>
      </c>
      <c r="O1074" t="s">
        <v>213</v>
      </c>
      <c r="P1074" t="s">
        <v>210</v>
      </c>
      <c r="Q1074" t="s">
        <v>170</v>
      </c>
      <c r="R1074" t="s">
        <v>155</v>
      </c>
      <c r="T1074" t="s">
        <v>134</v>
      </c>
      <c r="U1074">
        <v>1</v>
      </c>
      <c r="W1074" t="s">
        <v>134</v>
      </c>
      <c r="X1074">
        <v>1</v>
      </c>
      <c r="Y1074" t="s">
        <v>139</v>
      </c>
      <c r="Z1074" t="s">
        <v>178</v>
      </c>
      <c r="AA1074" t="s">
        <v>143</v>
      </c>
      <c r="AB1074" t="s">
        <v>162</v>
      </c>
      <c r="AC1074" t="s">
        <v>174</v>
      </c>
      <c r="AD1074" t="s">
        <v>157</v>
      </c>
      <c r="AE1074" t="s">
        <v>130</v>
      </c>
      <c r="AF1074" t="s">
        <v>437</v>
      </c>
    </row>
    <row r="1075" spans="1:32">
      <c r="A1075" t="s">
        <v>1910</v>
      </c>
      <c r="B1075" s="37">
        <v>39972</v>
      </c>
      <c r="C1075" s="38">
        <v>39972</v>
      </c>
      <c r="D1075" s="38">
        <v>39972</v>
      </c>
      <c r="E1075" s="38">
        <v>39965</v>
      </c>
      <c r="F1075" s="39">
        <v>67</v>
      </c>
      <c r="G1075" t="s">
        <v>21</v>
      </c>
      <c r="H1075" t="s">
        <v>21</v>
      </c>
      <c r="I1075">
        <v>0</v>
      </c>
      <c r="J1075">
        <v>0</v>
      </c>
      <c r="K1075">
        <v>0</v>
      </c>
      <c r="L1075">
        <v>1</v>
      </c>
      <c r="M1075">
        <v>0</v>
      </c>
      <c r="N1075" t="s">
        <v>193</v>
      </c>
      <c r="O1075" t="s">
        <v>213</v>
      </c>
      <c r="P1075" t="s">
        <v>204</v>
      </c>
      <c r="Q1075" t="s">
        <v>170</v>
      </c>
      <c r="R1075" t="s">
        <v>155</v>
      </c>
      <c r="T1075" t="s">
        <v>134</v>
      </c>
      <c r="U1075">
        <v>1</v>
      </c>
      <c r="W1075" t="s">
        <v>134</v>
      </c>
      <c r="X1075">
        <v>1</v>
      </c>
      <c r="Y1075" t="s">
        <v>140</v>
      </c>
      <c r="Z1075" t="s">
        <v>409</v>
      </c>
      <c r="AA1075" t="s">
        <v>142</v>
      </c>
      <c r="AB1075" t="s">
        <v>162</v>
      </c>
      <c r="AC1075" t="s">
        <v>21</v>
      </c>
      <c r="AD1075" t="s">
        <v>155</v>
      </c>
      <c r="AE1075" t="s">
        <v>130</v>
      </c>
      <c r="AF1075" t="s">
        <v>21</v>
      </c>
    </row>
    <row r="1076" spans="1:32">
      <c r="A1076" t="s">
        <v>1911</v>
      </c>
      <c r="B1076" s="37">
        <v>39960</v>
      </c>
      <c r="C1076" s="38">
        <v>39960</v>
      </c>
      <c r="D1076" s="38">
        <v>39958</v>
      </c>
      <c r="E1076" s="38">
        <v>39934</v>
      </c>
      <c r="F1076" s="39">
        <v>55</v>
      </c>
      <c r="G1076" t="s">
        <v>525</v>
      </c>
      <c r="H1076" t="s">
        <v>17</v>
      </c>
      <c r="I1076">
        <v>0</v>
      </c>
      <c r="J1076">
        <v>0</v>
      </c>
      <c r="K1076">
        <v>1</v>
      </c>
      <c r="L1076">
        <v>0</v>
      </c>
      <c r="M1076">
        <v>0</v>
      </c>
      <c r="N1076" t="s">
        <v>193</v>
      </c>
      <c r="O1076" t="s">
        <v>213</v>
      </c>
      <c r="P1076" t="s">
        <v>204</v>
      </c>
      <c r="Q1076" t="s">
        <v>170</v>
      </c>
      <c r="R1076" t="s">
        <v>155</v>
      </c>
      <c r="T1076" t="s">
        <v>134</v>
      </c>
      <c r="U1076">
        <v>1</v>
      </c>
      <c r="W1076" t="s">
        <v>134</v>
      </c>
      <c r="X1076">
        <v>1</v>
      </c>
      <c r="Y1076" t="s">
        <v>140</v>
      </c>
      <c r="Z1076" t="s">
        <v>409</v>
      </c>
      <c r="AA1076" t="s">
        <v>145</v>
      </c>
      <c r="AB1076" t="s">
        <v>162</v>
      </c>
      <c r="AC1076" t="s">
        <v>174</v>
      </c>
      <c r="AD1076" t="s">
        <v>157</v>
      </c>
      <c r="AE1076" t="s">
        <v>434</v>
      </c>
      <c r="AF1076" t="s">
        <v>435</v>
      </c>
    </row>
    <row r="1077" spans="1:32">
      <c r="A1077" t="s">
        <v>1912</v>
      </c>
      <c r="B1077" s="37">
        <v>39950</v>
      </c>
      <c r="C1077" s="38">
        <v>39950</v>
      </c>
      <c r="D1077" s="38">
        <v>39944</v>
      </c>
      <c r="E1077" s="38">
        <v>39934</v>
      </c>
      <c r="F1077" s="39">
        <v>45</v>
      </c>
      <c r="G1077" t="s">
        <v>21</v>
      </c>
      <c r="H1077" t="s">
        <v>21</v>
      </c>
      <c r="I1077">
        <v>0</v>
      </c>
      <c r="J1077">
        <v>0</v>
      </c>
      <c r="K1077">
        <v>0</v>
      </c>
      <c r="L1077">
        <v>1</v>
      </c>
      <c r="M1077">
        <v>0</v>
      </c>
      <c r="N1077" t="s">
        <v>193</v>
      </c>
      <c r="O1077" t="s">
        <v>213</v>
      </c>
      <c r="P1077" t="s">
        <v>204</v>
      </c>
      <c r="Q1077" t="s">
        <v>170</v>
      </c>
      <c r="R1077" t="s">
        <v>155</v>
      </c>
      <c r="T1077" t="s">
        <v>134</v>
      </c>
      <c r="U1077">
        <v>1</v>
      </c>
      <c r="W1077" t="s">
        <v>134</v>
      </c>
      <c r="X1077">
        <v>1</v>
      </c>
      <c r="Y1077" t="s">
        <v>140</v>
      </c>
      <c r="Z1077" t="s">
        <v>188</v>
      </c>
      <c r="AA1077" t="s">
        <v>147</v>
      </c>
      <c r="AB1077" t="s">
        <v>162</v>
      </c>
      <c r="AC1077" t="s">
        <v>1572</v>
      </c>
      <c r="AD1077" t="s">
        <v>157</v>
      </c>
      <c r="AE1077" t="s">
        <v>127</v>
      </c>
      <c r="AF1077" t="s">
        <v>153</v>
      </c>
    </row>
    <row r="1078" spans="1:32">
      <c r="A1078" t="s">
        <v>1913</v>
      </c>
      <c r="B1078" s="37">
        <v>39981</v>
      </c>
      <c r="C1078" s="38">
        <v>39981</v>
      </c>
      <c r="D1078" s="38">
        <v>39979</v>
      </c>
      <c r="E1078" s="38">
        <v>39965</v>
      </c>
      <c r="F1078" s="39">
        <v>76</v>
      </c>
      <c r="G1078" t="s">
        <v>21</v>
      </c>
      <c r="H1078" t="s">
        <v>21</v>
      </c>
      <c r="I1078">
        <v>0</v>
      </c>
      <c r="J1078">
        <v>0</v>
      </c>
      <c r="K1078">
        <v>0</v>
      </c>
      <c r="L1078">
        <v>1</v>
      </c>
      <c r="M1078">
        <v>0</v>
      </c>
      <c r="N1078" t="s">
        <v>194</v>
      </c>
      <c r="O1078" t="s">
        <v>213</v>
      </c>
      <c r="P1078" t="s">
        <v>205</v>
      </c>
      <c r="Q1078" t="s">
        <v>170</v>
      </c>
      <c r="R1078" t="s">
        <v>155</v>
      </c>
      <c r="T1078" t="s">
        <v>134</v>
      </c>
      <c r="U1078">
        <v>1</v>
      </c>
      <c r="W1078" t="s">
        <v>134</v>
      </c>
      <c r="X1078">
        <v>1</v>
      </c>
      <c r="Y1078" t="s">
        <v>139</v>
      </c>
      <c r="Z1078" t="s">
        <v>190</v>
      </c>
      <c r="AA1078" t="s">
        <v>144</v>
      </c>
      <c r="AB1078" t="s">
        <v>165</v>
      </c>
      <c r="AC1078" t="s">
        <v>589</v>
      </c>
      <c r="AD1078" t="s">
        <v>158</v>
      </c>
      <c r="AE1078" t="s">
        <v>122</v>
      </c>
      <c r="AF1078" t="s">
        <v>21</v>
      </c>
    </row>
    <row r="1079" spans="1:32">
      <c r="A1079" t="s">
        <v>1914</v>
      </c>
      <c r="B1079" s="37">
        <v>40040</v>
      </c>
      <c r="C1079" s="38">
        <v>40040</v>
      </c>
      <c r="D1079" s="38">
        <v>40035</v>
      </c>
      <c r="E1079" s="38">
        <v>40026</v>
      </c>
      <c r="F1079" s="39">
        <v>135</v>
      </c>
      <c r="G1079" t="s">
        <v>525</v>
      </c>
      <c r="H1079" t="s">
        <v>17</v>
      </c>
      <c r="I1079">
        <v>0</v>
      </c>
      <c r="J1079">
        <v>0</v>
      </c>
      <c r="K1079">
        <v>1</v>
      </c>
      <c r="L1079">
        <v>0</v>
      </c>
      <c r="M1079">
        <v>0</v>
      </c>
      <c r="N1079" t="s">
        <v>196</v>
      </c>
      <c r="O1079" t="s">
        <v>213</v>
      </c>
      <c r="P1079" t="s">
        <v>207</v>
      </c>
      <c r="Q1079" t="s">
        <v>170</v>
      </c>
      <c r="R1079" t="s">
        <v>155</v>
      </c>
      <c r="S1079">
        <v>5</v>
      </c>
      <c r="T1079" t="s">
        <v>135</v>
      </c>
      <c r="U1079">
        <v>0</v>
      </c>
      <c r="V1079">
        <v>4</v>
      </c>
      <c r="W1079" t="s">
        <v>137</v>
      </c>
      <c r="X1079">
        <v>0</v>
      </c>
      <c r="Y1079" t="s">
        <v>139</v>
      </c>
      <c r="Z1079" t="s">
        <v>190</v>
      </c>
      <c r="AA1079" t="s">
        <v>146</v>
      </c>
      <c r="AB1079" t="s">
        <v>162</v>
      </c>
      <c r="AC1079" t="s">
        <v>713</v>
      </c>
      <c r="AD1079" t="s">
        <v>155</v>
      </c>
      <c r="AE1079" t="s">
        <v>129</v>
      </c>
      <c r="AF1079" t="s">
        <v>21</v>
      </c>
    </row>
    <row r="1080" spans="1:32">
      <c r="A1080" t="s">
        <v>1915</v>
      </c>
      <c r="B1080" s="37">
        <v>39963</v>
      </c>
      <c r="C1080" s="38">
        <v>39963</v>
      </c>
      <c r="D1080" s="38">
        <v>39958</v>
      </c>
      <c r="E1080" s="38">
        <v>39934</v>
      </c>
      <c r="F1080" s="39">
        <v>58</v>
      </c>
      <c r="G1080" t="s">
        <v>21</v>
      </c>
      <c r="H1080" t="s">
        <v>21</v>
      </c>
      <c r="I1080">
        <v>0</v>
      </c>
      <c r="J1080">
        <v>0</v>
      </c>
      <c r="K1080">
        <v>0</v>
      </c>
      <c r="L1080">
        <v>1</v>
      </c>
      <c r="M1080">
        <v>0</v>
      </c>
      <c r="N1080" t="s">
        <v>195</v>
      </c>
      <c r="O1080" t="s">
        <v>213</v>
      </c>
      <c r="P1080" t="s">
        <v>206</v>
      </c>
      <c r="Q1080" t="s">
        <v>170</v>
      </c>
      <c r="R1080" t="s">
        <v>155</v>
      </c>
      <c r="T1080" t="s">
        <v>134</v>
      </c>
      <c r="U1080">
        <v>1</v>
      </c>
      <c r="W1080" t="s">
        <v>134</v>
      </c>
      <c r="X1080">
        <v>1</v>
      </c>
      <c r="Y1080" t="s">
        <v>139</v>
      </c>
      <c r="Z1080" t="s">
        <v>188</v>
      </c>
      <c r="AA1080" t="s">
        <v>142</v>
      </c>
      <c r="AB1080" t="s">
        <v>162</v>
      </c>
      <c r="AC1080" t="s">
        <v>174</v>
      </c>
      <c r="AD1080" t="s">
        <v>159</v>
      </c>
      <c r="AE1080" t="s">
        <v>123</v>
      </c>
      <c r="AF1080" t="s">
        <v>123</v>
      </c>
    </row>
    <row r="1081" spans="1:32">
      <c r="A1081" t="s">
        <v>1916</v>
      </c>
      <c r="B1081" s="37">
        <v>39911</v>
      </c>
      <c r="C1081" s="38">
        <v>39911</v>
      </c>
      <c r="D1081" s="38">
        <v>39909</v>
      </c>
      <c r="E1081" s="38">
        <v>39904</v>
      </c>
      <c r="F1081" s="39">
        <v>6</v>
      </c>
      <c r="G1081" t="s">
        <v>21</v>
      </c>
      <c r="H1081" t="s">
        <v>21</v>
      </c>
      <c r="I1081">
        <v>0</v>
      </c>
      <c r="J1081">
        <v>0</v>
      </c>
      <c r="K1081">
        <v>0</v>
      </c>
      <c r="L1081">
        <v>1</v>
      </c>
      <c r="M1081">
        <v>0</v>
      </c>
      <c r="N1081" t="s">
        <v>198</v>
      </c>
      <c r="O1081" t="s">
        <v>213</v>
      </c>
      <c r="P1081" t="s">
        <v>208</v>
      </c>
      <c r="Q1081" t="s">
        <v>170</v>
      </c>
      <c r="R1081" t="s">
        <v>155</v>
      </c>
      <c r="T1081" t="s">
        <v>134</v>
      </c>
      <c r="U1081">
        <v>1</v>
      </c>
      <c r="W1081" t="s">
        <v>134</v>
      </c>
      <c r="X1081">
        <v>1</v>
      </c>
      <c r="Y1081" t="s">
        <v>139</v>
      </c>
      <c r="Z1081" t="s">
        <v>188</v>
      </c>
      <c r="AA1081" t="s">
        <v>149</v>
      </c>
      <c r="AB1081" t="s">
        <v>162</v>
      </c>
      <c r="AC1081" t="s">
        <v>1184</v>
      </c>
      <c r="AD1081" t="s">
        <v>156</v>
      </c>
      <c r="AE1081" t="s">
        <v>120</v>
      </c>
      <c r="AF1081" t="s">
        <v>832</v>
      </c>
    </row>
    <row r="1082" spans="1:32">
      <c r="A1082" t="s">
        <v>1917</v>
      </c>
      <c r="B1082" s="37">
        <v>39994</v>
      </c>
      <c r="C1082" s="38">
        <v>39994</v>
      </c>
      <c r="D1082" s="38">
        <v>39993</v>
      </c>
      <c r="E1082" s="38">
        <v>39965</v>
      </c>
      <c r="F1082" s="39">
        <v>89</v>
      </c>
      <c r="G1082" t="s">
        <v>21</v>
      </c>
      <c r="H1082" t="s">
        <v>21</v>
      </c>
      <c r="I1082">
        <v>0</v>
      </c>
      <c r="J1082">
        <v>0</v>
      </c>
      <c r="K1082">
        <v>0</v>
      </c>
      <c r="L1082">
        <v>1</v>
      </c>
      <c r="M1082">
        <v>0</v>
      </c>
      <c r="N1082" t="s">
        <v>193</v>
      </c>
      <c r="O1082" t="s">
        <v>213</v>
      </c>
      <c r="P1082" t="s">
        <v>204</v>
      </c>
      <c r="Q1082" t="s">
        <v>170</v>
      </c>
      <c r="R1082" t="s">
        <v>155</v>
      </c>
      <c r="T1082" t="s">
        <v>134</v>
      </c>
      <c r="U1082">
        <v>1</v>
      </c>
      <c r="V1082">
        <v>5</v>
      </c>
      <c r="W1082" t="s">
        <v>135</v>
      </c>
      <c r="X1082">
        <v>0</v>
      </c>
      <c r="Y1082" t="s">
        <v>140</v>
      </c>
      <c r="Z1082" t="s">
        <v>188</v>
      </c>
      <c r="AA1082" t="s">
        <v>144</v>
      </c>
      <c r="AB1082" t="s">
        <v>162</v>
      </c>
      <c r="AC1082" t="s">
        <v>1184</v>
      </c>
      <c r="AD1082" t="s">
        <v>156</v>
      </c>
      <c r="AE1082" t="s">
        <v>120</v>
      </c>
      <c r="AF1082" t="s">
        <v>1001</v>
      </c>
    </row>
    <row r="1083" spans="1:32">
      <c r="A1083" t="s">
        <v>1918</v>
      </c>
      <c r="B1083" s="37">
        <v>40025</v>
      </c>
      <c r="C1083" s="38">
        <v>40025</v>
      </c>
      <c r="D1083" s="38">
        <v>40021</v>
      </c>
      <c r="E1083" s="38">
        <v>39995</v>
      </c>
      <c r="F1083" s="39">
        <v>120</v>
      </c>
      <c r="G1083" t="s">
        <v>21</v>
      </c>
      <c r="H1083" t="s">
        <v>21</v>
      </c>
      <c r="I1083">
        <v>0</v>
      </c>
      <c r="J1083">
        <v>0</v>
      </c>
      <c r="K1083">
        <v>0</v>
      </c>
      <c r="L1083">
        <v>1</v>
      </c>
      <c r="M1083">
        <v>0</v>
      </c>
      <c r="N1083" t="s">
        <v>196</v>
      </c>
      <c r="O1083" t="s">
        <v>213</v>
      </c>
      <c r="P1083" t="s">
        <v>207</v>
      </c>
      <c r="Q1083" t="s">
        <v>170</v>
      </c>
      <c r="R1083" t="s">
        <v>155</v>
      </c>
      <c r="S1083">
        <v>5</v>
      </c>
      <c r="T1083" t="s">
        <v>135</v>
      </c>
      <c r="U1083">
        <v>0</v>
      </c>
      <c r="V1083">
        <v>5</v>
      </c>
      <c r="W1083" t="s">
        <v>135</v>
      </c>
      <c r="X1083">
        <v>0</v>
      </c>
      <c r="Y1083" t="s">
        <v>139</v>
      </c>
      <c r="Z1083" t="s">
        <v>183</v>
      </c>
      <c r="AA1083" t="s">
        <v>142</v>
      </c>
      <c r="AB1083" t="s">
        <v>162</v>
      </c>
      <c r="AC1083" t="s">
        <v>498</v>
      </c>
      <c r="AD1083" t="s">
        <v>159</v>
      </c>
      <c r="AE1083" t="s">
        <v>123</v>
      </c>
      <c r="AF1083" t="s">
        <v>123</v>
      </c>
    </row>
    <row r="1084" spans="1:32">
      <c r="A1084" t="s">
        <v>1919</v>
      </c>
      <c r="B1084" s="37">
        <v>39986</v>
      </c>
      <c r="C1084" s="38">
        <v>39986</v>
      </c>
      <c r="D1084" s="38">
        <v>39986</v>
      </c>
      <c r="E1084" s="38">
        <v>39965</v>
      </c>
      <c r="F1084" s="39">
        <v>81</v>
      </c>
      <c r="G1084" t="s">
        <v>383</v>
      </c>
      <c r="H1084" t="s">
        <v>17</v>
      </c>
      <c r="I1084">
        <v>0</v>
      </c>
      <c r="J1084">
        <v>0</v>
      </c>
      <c r="K1084">
        <v>1</v>
      </c>
      <c r="L1084">
        <v>0</v>
      </c>
      <c r="M1084">
        <v>0</v>
      </c>
      <c r="N1084" t="s">
        <v>196</v>
      </c>
      <c r="O1084" t="s">
        <v>213</v>
      </c>
      <c r="P1084" t="s">
        <v>207</v>
      </c>
      <c r="Q1084" t="s">
        <v>170</v>
      </c>
      <c r="R1084" t="s">
        <v>155</v>
      </c>
      <c r="T1084" t="s">
        <v>134</v>
      </c>
      <c r="U1084">
        <v>1</v>
      </c>
      <c r="W1084" t="s">
        <v>134</v>
      </c>
      <c r="X1084">
        <v>1</v>
      </c>
      <c r="Y1084" t="s">
        <v>139</v>
      </c>
      <c r="Z1084" t="s">
        <v>180</v>
      </c>
      <c r="AA1084" t="s">
        <v>146</v>
      </c>
      <c r="AB1084" t="s">
        <v>163</v>
      </c>
      <c r="AC1084" t="s">
        <v>1920</v>
      </c>
      <c r="AD1084" t="s">
        <v>788</v>
      </c>
      <c r="AE1084" t="s">
        <v>1225</v>
      </c>
      <c r="AF1084" t="s">
        <v>21</v>
      </c>
    </row>
    <row r="1085" spans="1:32">
      <c r="A1085" t="s">
        <v>1921</v>
      </c>
      <c r="B1085" s="37">
        <v>39986</v>
      </c>
      <c r="C1085" s="38">
        <v>39986</v>
      </c>
      <c r="D1085" s="38">
        <v>39986</v>
      </c>
      <c r="E1085" s="38">
        <v>39965</v>
      </c>
      <c r="F1085" s="39">
        <v>81</v>
      </c>
      <c r="G1085" t="s">
        <v>21</v>
      </c>
      <c r="H1085" t="s">
        <v>21</v>
      </c>
      <c r="I1085">
        <v>0</v>
      </c>
      <c r="J1085">
        <v>0</v>
      </c>
      <c r="K1085">
        <v>0</v>
      </c>
      <c r="L1085">
        <v>1</v>
      </c>
      <c r="M1085">
        <v>0</v>
      </c>
      <c r="N1085" t="s">
        <v>196</v>
      </c>
      <c r="O1085" t="s">
        <v>213</v>
      </c>
      <c r="P1085" t="s">
        <v>207</v>
      </c>
      <c r="Q1085" t="s">
        <v>170</v>
      </c>
      <c r="R1085" t="s">
        <v>155</v>
      </c>
      <c r="T1085" t="s">
        <v>134</v>
      </c>
      <c r="U1085">
        <v>1</v>
      </c>
      <c r="W1085" t="s">
        <v>134</v>
      </c>
      <c r="X1085">
        <v>1</v>
      </c>
      <c r="Y1085" t="s">
        <v>139</v>
      </c>
      <c r="Z1085" t="s">
        <v>179</v>
      </c>
      <c r="AA1085" t="s">
        <v>146</v>
      </c>
      <c r="AB1085" t="s">
        <v>163</v>
      </c>
      <c r="AC1085" t="s">
        <v>21</v>
      </c>
      <c r="AD1085" t="s">
        <v>788</v>
      </c>
      <c r="AE1085" t="s">
        <v>1225</v>
      </c>
      <c r="AF1085" t="s">
        <v>21</v>
      </c>
    </row>
    <row r="1086" spans="1:32">
      <c r="A1086" t="s">
        <v>1922</v>
      </c>
      <c r="B1086" s="37">
        <v>39946</v>
      </c>
      <c r="C1086" s="38">
        <v>39946</v>
      </c>
      <c r="D1086" s="38">
        <v>39944</v>
      </c>
      <c r="E1086" s="38">
        <v>39934</v>
      </c>
      <c r="F1086" s="39">
        <v>41</v>
      </c>
      <c r="G1086" t="s">
        <v>21</v>
      </c>
      <c r="H1086" t="s">
        <v>21</v>
      </c>
      <c r="I1086">
        <v>0</v>
      </c>
      <c r="J1086">
        <v>0</v>
      </c>
      <c r="K1086">
        <v>0</v>
      </c>
      <c r="L1086">
        <v>1</v>
      </c>
      <c r="M1086">
        <v>0</v>
      </c>
      <c r="N1086" t="s">
        <v>195</v>
      </c>
      <c r="O1086" t="s">
        <v>213</v>
      </c>
      <c r="P1086" t="s">
        <v>206</v>
      </c>
      <c r="Q1086" t="s">
        <v>170</v>
      </c>
      <c r="R1086" t="s">
        <v>155</v>
      </c>
      <c r="T1086" t="s">
        <v>134</v>
      </c>
      <c r="U1086">
        <v>1</v>
      </c>
      <c r="W1086" t="s">
        <v>134</v>
      </c>
      <c r="X1086">
        <v>1</v>
      </c>
      <c r="Y1086" t="s">
        <v>139</v>
      </c>
      <c r="Z1086" t="s">
        <v>178</v>
      </c>
      <c r="AA1086" t="s">
        <v>143</v>
      </c>
      <c r="AB1086" t="s">
        <v>162</v>
      </c>
      <c r="AC1086" t="s">
        <v>174</v>
      </c>
      <c r="AD1086" t="s">
        <v>156</v>
      </c>
      <c r="AE1086" t="s">
        <v>120</v>
      </c>
      <c r="AF1086" t="s">
        <v>1923</v>
      </c>
    </row>
    <row r="1087" spans="1:32">
      <c r="A1087" t="s">
        <v>1924</v>
      </c>
      <c r="B1087" s="37">
        <v>39979</v>
      </c>
      <c r="C1087" s="38">
        <v>39979</v>
      </c>
      <c r="D1087" s="38">
        <v>39979</v>
      </c>
      <c r="E1087" s="38">
        <v>39965</v>
      </c>
      <c r="F1087" s="39">
        <v>74</v>
      </c>
      <c r="G1087" t="s">
        <v>9</v>
      </c>
      <c r="H1087" t="s">
        <v>9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193</v>
      </c>
      <c r="O1087" t="s">
        <v>213</v>
      </c>
      <c r="P1087" t="s">
        <v>204</v>
      </c>
      <c r="Q1087" t="s">
        <v>170</v>
      </c>
      <c r="R1087" t="s">
        <v>155</v>
      </c>
      <c r="T1087" t="s">
        <v>134</v>
      </c>
      <c r="U1087">
        <v>1</v>
      </c>
      <c r="W1087" t="s">
        <v>134</v>
      </c>
      <c r="X1087">
        <v>1</v>
      </c>
      <c r="Y1087" t="s">
        <v>140</v>
      </c>
      <c r="Z1087" t="s">
        <v>178</v>
      </c>
      <c r="AA1087" t="s">
        <v>148</v>
      </c>
      <c r="AB1087" t="s">
        <v>163</v>
      </c>
      <c r="AC1087" t="s">
        <v>173</v>
      </c>
      <c r="AD1087" t="s">
        <v>155</v>
      </c>
      <c r="AE1087" t="s">
        <v>467</v>
      </c>
      <c r="AF1087" t="s">
        <v>21</v>
      </c>
    </row>
    <row r="1088" spans="1:32">
      <c r="A1088" t="s">
        <v>1925</v>
      </c>
      <c r="B1088" s="37">
        <v>40008</v>
      </c>
      <c r="C1088" s="38">
        <v>40008</v>
      </c>
      <c r="D1088" s="38">
        <v>40007</v>
      </c>
      <c r="E1088" s="38">
        <v>39995</v>
      </c>
      <c r="F1088" s="39">
        <v>103</v>
      </c>
      <c r="G1088" t="s">
        <v>21</v>
      </c>
      <c r="H1088" t="s">
        <v>21</v>
      </c>
      <c r="I1088">
        <v>0</v>
      </c>
      <c r="J1088">
        <v>0</v>
      </c>
      <c r="K1088">
        <v>0</v>
      </c>
      <c r="L1088">
        <v>1</v>
      </c>
      <c r="M1088">
        <v>0</v>
      </c>
      <c r="N1088" t="s">
        <v>193</v>
      </c>
      <c r="O1088" t="s">
        <v>213</v>
      </c>
      <c r="P1088" t="s">
        <v>204</v>
      </c>
      <c r="Q1088" t="s">
        <v>170</v>
      </c>
      <c r="R1088" t="s">
        <v>155</v>
      </c>
      <c r="S1088">
        <v>5</v>
      </c>
      <c r="T1088" t="s">
        <v>135</v>
      </c>
      <c r="U1088">
        <v>0</v>
      </c>
      <c r="V1088">
        <v>3</v>
      </c>
      <c r="W1088" t="s">
        <v>137</v>
      </c>
      <c r="X1088">
        <v>0</v>
      </c>
      <c r="Y1088" t="s">
        <v>140</v>
      </c>
      <c r="Z1088" t="s">
        <v>810</v>
      </c>
      <c r="AA1088" t="s">
        <v>145</v>
      </c>
      <c r="AB1088" t="s">
        <v>163</v>
      </c>
      <c r="AC1088" t="s">
        <v>1241</v>
      </c>
      <c r="AD1088" t="s">
        <v>155</v>
      </c>
      <c r="AE1088" t="s">
        <v>124</v>
      </c>
      <c r="AF1088" t="s">
        <v>21</v>
      </c>
    </row>
    <row r="1089" spans="1:32">
      <c r="A1089" t="s">
        <v>1926</v>
      </c>
      <c r="B1089" s="37">
        <v>40019</v>
      </c>
      <c r="C1089" s="38">
        <v>40019</v>
      </c>
      <c r="D1089" s="38">
        <v>40014</v>
      </c>
      <c r="E1089" s="38">
        <v>39995</v>
      </c>
      <c r="F1089" s="39">
        <v>114</v>
      </c>
      <c r="G1089" t="s">
        <v>21</v>
      </c>
      <c r="H1089" t="s">
        <v>21</v>
      </c>
      <c r="I1089">
        <v>0</v>
      </c>
      <c r="J1089">
        <v>0</v>
      </c>
      <c r="K1089">
        <v>0</v>
      </c>
      <c r="L1089">
        <v>1</v>
      </c>
      <c r="M1089">
        <v>0</v>
      </c>
      <c r="N1089" t="s">
        <v>193</v>
      </c>
      <c r="O1089" t="s">
        <v>213</v>
      </c>
      <c r="P1089" t="s">
        <v>204</v>
      </c>
      <c r="Q1089" t="s">
        <v>170</v>
      </c>
      <c r="R1089" t="s">
        <v>155</v>
      </c>
      <c r="S1089">
        <v>5</v>
      </c>
      <c r="T1089" t="s">
        <v>135</v>
      </c>
      <c r="U1089">
        <v>0</v>
      </c>
      <c r="V1089">
        <v>4</v>
      </c>
      <c r="W1089" t="s">
        <v>137</v>
      </c>
      <c r="X1089">
        <v>0</v>
      </c>
      <c r="Y1089" t="s">
        <v>140</v>
      </c>
      <c r="Z1089" t="s">
        <v>187</v>
      </c>
      <c r="AA1089" t="s">
        <v>145</v>
      </c>
      <c r="AB1089" t="s">
        <v>162</v>
      </c>
      <c r="AC1089" t="s">
        <v>21</v>
      </c>
      <c r="AD1089" t="s">
        <v>155</v>
      </c>
      <c r="AE1089" t="s">
        <v>130</v>
      </c>
      <c r="AF1089" t="s">
        <v>21</v>
      </c>
    </row>
    <row r="1090" spans="1:32">
      <c r="A1090" t="s">
        <v>1927</v>
      </c>
      <c r="B1090" s="37">
        <v>40037</v>
      </c>
      <c r="C1090" s="38">
        <v>40037</v>
      </c>
      <c r="D1090" s="38">
        <v>40035</v>
      </c>
      <c r="E1090" s="38">
        <v>40026</v>
      </c>
      <c r="F1090" s="39">
        <v>132</v>
      </c>
      <c r="G1090" t="s">
        <v>496</v>
      </c>
      <c r="H1090" t="s">
        <v>13</v>
      </c>
      <c r="I1090">
        <v>0</v>
      </c>
      <c r="J1090">
        <v>1</v>
      </c>
      <c r="K1090">
        <v>0</v>
      </c>
      <c r="L1090">
        <v>0</v>
      </c>
      <c r="M1090">
        <v>1</v>
      </c>
      <c r="N1090" t="s">
        <v>195</v>
      </c>
      <c r="O1090" t="s">
        <v>213</v>
      </c>
      <c r="P1090" t="s">
        <v>206</v>
      </c>
      <c r="Q1090" t="s">
        <v>170</v>
      </c>
      <c r="R1090" t="s">
        <v>155</v>
      </c>
      <c r="S1090">
        <v>5</v>
      </c>
      <c r="T1090" t="s">
        <v>135</v>
      </c>
      <c r="U1090">
        <v>0</v>
      </c>
      <c r="V1090">
        <v>5</v>
      </c>
      <c r="W1090" t="s">
        <v>135</v>
      </c>
      <c r="X1090">
        <v>0</v>
      </c>
      <c r="Y1090" t="s">
        <v>139</v>
      </c>
      <c r="Z1090" t="s">
        <v>187</v>
      </c>
      <c r="AA1090" t="s">
        <v>145</v>
      </c>
      <c r="AB1090" t="s">
        <v>162</v>
      </c>
      <c r="AC1090" t="s">
        <v>1928</v>
      </c>
      <c r="AD1090" t="s">
        <v>159</v>
      </c>
      <c r="AE1090" t="s">
        <v>123</v>
      </c>
      <c r="AF1090" t="s">
        <v>123</v>
      </c>
    </row>
    <row r="1091" spans="1:32">
      <c r="A1091" t="s">
        <v>1929</v>
      </c>
      <c r="B1091" s="37">
        <v>39924</v>
      </c>
      <c r="C1091" s="38">
        <v>39924</v>
      </c>
      <c r="D1091" s="38">
        <v>39923</v>
      </c>
      <c r="E1091" s="38">
        <v>39904</v>
      </c>
      <c r="F1091" s="39">
        <v>19</v>
      </c>
      <c r="G1091" t="s">
        <v>21</v>
      </c>
      <c r="H1091" t="s">
        <v>21</v>
      </c>
      <c r="I1091">
        <v>0</v>
      </c>
      <c r="J1091">
        <v>0</v>
      </c>
      <c r="K1091">
        <v>0</v>
      </c>
      <c r="L1091">
        <v>1</v>
      </c>
      <c r="M1091">
        <v>0</v>
      </c>
      <c r="N1091" t="s">
        <v>201</v>
      </c>
      <c r="O1091" t="s">
        <v>214</v>
      </c>
      <c r="P1091" t="s">
        <v>204</v>
      </c>
      <c r="Q1091" t="s">
        <v>170</v>
      </c>
      <c r="R1091" t="s">
        <v>155</v>
      </c>
      <c r="T1091" t="s">
        <v>134</v>
      </c>
      <c r="U1091">
        <v>1</v>
      </c>
      <c r="W1091" t="s">
        <v>134</v>
      </c>
      <c r="X1091">
        <v>1</v>
      </c>
      <c r="Y1091" t="s">
        <v>140</v>
      </c>
      <c r="Z1091" t="s">
        <v>178</v>
      </c>
      <c r="AA1091" t="s">
        <v>147</v>
      </c>
      <c r="AB1091" t="s">
        <v>162</v>
      </c>
      <c r="AC1091" t="s">
        <v>176</v>
      </c>
      <c r="AD1091" t="s">
        <v>540</v>
      </c>
      <c r="AE1091" t="s">
        <v>399</v>
      </c>
      <c r="AF1091" t="s">
        <v>400</v>
      </c>
    </row>
    <row r="1092" spans="1:32">
      <c r="A1092" t="s">
        <v>1930</v>
      </c>
      <c r="B1092" s="37">
        <v>40015</v>
      </c>
      <c r="C1092" s="38">
        <v>40015</v>
      </c>
      <c r="D1092" s="38">
        <v>40014</v>
      </c>
      <c r="E1092" s="38">
        <v>39995</v>
      </c>
      <c r="F1092" s="39">
        <v>110</v>
      </c>
      <c r="G1092" t="s">
        <v>21</v>
      </c>
      <c r="H1092" t="s">
        <v>21</v>
      </c>
      <c r="I1092">
        <v>0</v>
      </c>
      <c r="J1092">
        <v>0</v>
      </c>
      <c r="K1092">
        <v>0</v>
      </c>
      <c r="L1092">
        <v>1</v>
      </c>
      <c r="M1092">
        <v>0</v>
      </c>
      <c r="N1092" t="s">
        <v>196</v>
      </c>
      <c r="O1092" t="s">
        <v>213</v>
      </c>
      <c r="P1092" t="s">
        <v>207</v>
      </c>
      <c r="Q1092" t="s">
        <v>170</v>
      </c>
      <c r="R1092" t="s">
        <v>155</v>
      </c>
      <c r="S1092">
        <v>3</v>
      </c>
      <c r="T1092" t="s">
        <v>137</v>
      </c>
      <c r="U1092">
        <v>0</v>
      </c>
      <c r="V1092">
        <v>3</v>
      </c>
      <c r="W1092" t="s">
        <v>137</v>
      </c>
      <c r="X1092">
        <v>0</v>
      </c>
      <c r="Y1092" t="s">
        <v>139</v>
      </c>
      <c r="Z1092" t="s">
        <v>190</v>
      </c>
      <c r="AA1092" t="s">
        <v>144</v>
      </c>
      <c r="AB1092" t="s">
        <v>162</v>
      </c>
      <c r="AC1092" t="s">
        <v>21</v>
      </c>
      <c r="AD1092" t="s">
        <v>155</v>
      </c>
      <c r="AE1092" t="s">
        <v>130</v>
      </c>
      <c r="AF1092" t="s">
        <v>21</v>
      </c>
    </row>
    <row r="1093" spans="1:32">
      <c r="A1093" t="s">
        <v>1931</v>
      </c>
      <c r="B1093" s="37">
        <v>39960</v>
      </c>
      <c r="C1093" s="38">
        <v>39960</v>
      </c>
      <c r="D1093" s="38">
        <v>39958</v>
      </c>
      <c r="E1093" s="38">
        <v>39934</v>
      </c>
      <c r="F1093" s="39">
        <v>55</v>
      </c>
      <c r="G1093" t="s">
        <v>21</v>
      </c>
      <c r="H1093" t="s">
        <v>21</v>
      </c>
      <c r="I1093">
        <v>0</v>
      </c>
      <c r="J1093">
        <v>0</v>
      </c>
      <c r="K1093">
        <v>0</v>
      </c>
      <c r="L1093">
        <v>1</v>
      </c>
      <c r="M1093">
        <v>0</v>
      </c>
      <c r="N1093" t="s">
        <v>194</v>
      </c>
      <c r="O1093" t="s">
        <v>213</v>
      </c>
      <c r="P1093" t="s">
        <v>205</v>
      </c>
      <c r="Q1093" t="s">
        <v>170</v>
      </c>
      <c r="R1093" t="s">
        <v>155</v>
      </c>
      <c r="T1093" t="s">
        <v>134</v>
      </c>
      <c r="U1093">
        <v>1</v>
      </c>
      <c r="W1093" t="s">
        <v>134</v>
      </c>
      <c r="X1093">
        <v>1</v>
      </c>
      <c r="Y1093" t="s">
        <v>139</v>
      </c>
      <c r="Z1093" t="s">
        <v>603</v>
      </c>
      <c r="AA1093" t="s">
        <v>142</v>
      </c>
      <c r="AB1093" t="s">
        <v>162</v>
      </c>
      <c r="AC1093" t="s">
        <v>174</v>
      </c>
      <c r="AD1093" t="s">
        <v>156</v>
      </c>
      <c r="AE1093" t="s">
        <v>120</v>
      </c>
      <c r="AF1093" t="s">
        <v>1932</v>
      </c>
    </row>
    <row r="1094" spans="1:32">
      <c r="A1094" t="s">
        <v>1933</v>
      </c>
      <c r="B1094" s="37">
        <v>39981</v>
      </c>
      <c r="C1094" s="38">
        <v>39981</v>
      </c>
      <c r="D1094" s="38">
        <v>39979</v>
      </c>
      <c r="E1094" s="38">
        <v>39965</v>
      </c>
      <c r="F1094" s="39">
        <v>76</v>
      </c>
      <c r="G1094" t="s">
        <v>21</v>
      </c>
      <c r="H1094" t="s">
        <v>21</v>
      </c>
      <c r="I1094">
        <v>0</v>
      </c>
      <c r="J1094">
        <v>0</v>
      </c>
      <c r="K1094">
        <v>0</v>
      </c>
      <c r="L1094">
        <v>1</v>
      </c>
      <c r="M1094">
        <v>0</v>
      </c>
      <c r="N1094" t="s">
        <v>194</v>
      </c>
      <c r="O1094" t="s">
        <v>213</v>
      </c>
      <c r="P1094" t="s">
        <v>205</v>
      </c>
      <c r="Q1094" t="s">
        <v>170</v>
      </c>
      <c r="R1094" t="s">
        <v>155</v>
      </c>
      <c r="T1094" t="s">
        <v>134</v>
      </c>
      <c r="U1094">
        <v>1</v>
      </c>
      <c r="W1094" t="s">
        <v>134</v>
      </c>
      <c r="X1094">
        <v>1</v>
      </c>
      <c r="Y1094" t="s">
        <v>139</v>
      </c>
      <c r="Z1094" t="s">
        <v>603</v>
      </c>
      <c r="AA1094" t="s">
        <v>143</v>
      </c>
      <c r="AB1094" t="s">
        <v>162</v>
      </c>
      <c r="AC1094" t="s">
        <v>1934</v>
      </c>
      <c r="AD1094" t="s">
        <v>155</v>
      </c>
      <c r="AE1094" t="s">
        <v>130</v>
      </c>
      <c r="AF1094" t="s">
        <v>21</v>
      </c>
    </row>
    <row r="1095" spans="1:32">
      <c r="A1095" t="s">
        <v>1935</v>
      </c>
      <c r="B1095" s="37">
        <v>39958</v>
      </c>
      <c r="C1095" s="38">
        <v>39958</v>
      </c>
      <c r="D1095" s="38">
        <v>39958</v>
      </c>
      <c r="E1095" s="38">
        <v>39934</v>
      </c>
      <c r="F1095" s="39">
        <v>53</v>
      </c>
      <c r="G1095" t="s">
        <v>21</v>
      </c>
      <c r="H1095" t="s">
        <v>21</v>
      </c>
      <c r="I1095">
        <v>0</v>
      </c>
      <c r="J1095">
        <v>0</v>
      </c>
      <c r="K1095">
        <v>0</v>
      </c>
      <c r="L1095">
        <v>1</v>
      </c>
      <c r="M1095">
        <v>0</v>
      </c>
      <c r="N1095" t="s">
        <v>194</v>
      </c>
      <c r="O1095" t="s">
        <v>213</v>
      </c>
      <c r="P1095" t="s">
        <v>205</v>
      </c>
      <c r="Q1095" t="s">
        <v>170</v>
      </c>
      <c r="R1095" t="s">
        <v>155</v>
      </c>
      <c r="T1095" t="s">
        <v>134</v>
      </c>
      <c r="U1095">
        <v>1</v>
      </c>
      <c r="W1095" t="s">
        <v>134</v>
      </c>
      <c r="X1095">
        <v>1</v>
      </c>
      <c r="Y1095" t="s">
        <v>139</v>
      </c>
      <c r="Z1095" t="s">
        <v>178</v>
      </c>
      <c r="AA1095" t="s">
        <v>150</v>
      </c>
      <c r="AB1095" t="s">
        <v>162</v>
      </c>
      <c r="AC1095" t="s">
        <v>176</v>
      </c>
      <c r="AD1095" t="s">
        <v>155</v>
      </c>
      <c r="AE1095" t="s">
        <v>129</v>
      </c>
      <c r="AF1095" t="s">
        <v>21</v>
      </c>
    </row>
    <row r="1096" spans="1:32">
      <c r="A1096" t="s">
        <v>1936</v>
      </c>
      <c r="B1096" s="37">
        <v>40055</v>
      </c>
      <c r="C1096" s="38">
        <v>40055</v>
      </c>
      <c r="D1096" s="38">
        <v>40049</v>
      </c>
      <c r="E1096" s="38">
        <v>40026</v>
      </c>
      <c r="F1096" s="39">
        <v>150</v>
      </c>
      <c r="G1096" t="s">
        <v>21</v>
      </c>
      <c r="H1096" t="s">
        <v>21</v>
      </c>
      <c r="I1096">
        <v>0</v>
      </c>
      <c r="J1096">
        <v>0</v>
      </c>
      <c r="K1096">
        <v>0</v>
      </c>
      <c r="L1096">
        <v>1</v>
      </c>
      <c r="M1096">
        <v>0</v>
      </c>
      <c r="N1096" t="s">
        <v>193</v>
      </c>
      <c r="O1096" t="s">
        <v>213</v>
      </c>
      <c r="P1096" t="s">
        <v>204</v>
      </c>
      <c r="Q1096" t="s">
        <v>170</v>
      </c>
      <c r="R1096" t="s">
        <v>155</v>
      </c>
      <c r="S1096">
        <v>5</v>
      </c>
      <c r="T1096" t="s">
        <v>135</v>
      </c>
      <c r="U1096">
        <v>0</v>
      </c>
      <c r="V1096">
        <v>3</v>
      </c>
      <c r="W1096" t="s">
        <v>137</v>
      </c>
      <c r="X1096">
        <v>0</v>
      </c>
      <c r="Y1096" t="s">
        <v>140</v>
      </c>
      <c r="Z1096" t="s">
        <v>178</v>
      </c>
      <c r="AA1096" t="s">
        <v>143</v>
      </c>
      <c r="AB1096" t="s">
        <v>162</v>
      </c>
      <c r="AC1096" t="s">
        <v>21</v>
      </c>
      <c r="AD1096" t="s">
        <v>155</v>
      </c>
      <c r="AE1096" t="s">
        <v>127</v>
      </c>
      <c r="AF1096" t="s">
        <v>21</v>
      </c>
    </row>
    <row r="1097" spans="1:32">
      <c r="A1097" t="s">
        <v>1937</v>
      </c>
      <c r="B1097" s="37">
        <v>39922</v>
      </c>
      <c r="C1097" s="38">
        <v>39922</v>
      </c>
      <c r="D1097" s="38">
        <v>39916</v>
      </c>
      <c r="E1097" s="38">
        <v>39904</v>
      </c>
      <c r="F1097" s="39">
        <v>17</v>
      </c>
      <c r="G1097" t="s">
        <v>21</v>
      </c>
      <c r="H1097" t="s">
        <v>21</v>
      </c>
      <c r="I1097">
        <v>0</v>
      </c>
      <c r="J1097">
        <v>0</v>
      </c>
      <c r="K1097">
        <v>0</v>
      </c>
      <c r="L1097">
        <v>1</v>
      </c>
      <c r="M1097">
        <v>0</v>
      </c>
      <c r="N1097" t="s">
        <v>200</v>
      </c>
      <c r="O1097" t="s">
        <v>214</v>
      </c>
      <c r="P1097" t="s">
        <v>208</v>
      </c>
      <c r="Q1097" t="s">
        <v>170</v>
      </c>
      <c r="R1097" t="s">
        <v>155</v>
      </c>
      <c r="T1097" t="s">
        <v>134</v>
      </c>
      <c r="U1097">
        <v>1</v>
      </c>
      <c r="W1097" t="s">
        <v>134</v>
      </c>
      <c r="X1097">
        <v>1</v>
      </c>
      <c r="Y1097" t="s">
        <v>139</v>
      </c>
      <c r="Z1097" t="s">
        <v>178</v>
      </c>
      <c r="AA1097" t="s">
        <v>149</v>
      </c>
      <c r="AB1097" t="s">
        <v>162</v>
      </c>
      <c r="AC1097" t="s">
        <v>175</v>
      </c>
      <c r="AD1097" t="s">
        <v>155</v>
      </c>
      <c r="AE1097" t="s">
        <v>130</v>
      </c>
      <c r="AF1097" t="s">
        <v>21</v>
      </c>
    </row>
    <row r="1098" spans="1:32">
      <c r="A1098" t="s">
        <v>1938</v>
      </c>
      <c r="B1098" s="37">
        <v>39937</v>
      </c>
      <c r="C1098" s="38">
        <v>39937</v>
      </c>
      <c r="D1098" s="38">
        <v>39937</v>
      </c>
      <c r="E1098" s="38">
        <v>39934</v>
      </c>
      <c r="F1098" s="39">
        <v>32</v>
      </c>
      <c r="G1098" t="s">
        <v>21</v>
      </c>
      <c r="H1098" t="s">
        <v>21</v>
      </c>
      <c r="I1098">
        <v>0</v>
      </c>
      <c r="J1098">
        <v>0</v>
      </c>
      <c r="K1098">
        <v>0</v>
      </c>
      <c r="L1098">
        <v>1</v>
      </c>
      <c r="M1098">
        <v>0</v>
      </c>
      <c r="N1098" t="s">
        <v>198</v>
      </c>
      <c r="O1098" t="s">
        <v>213</v>
      </c>
      <c r="P1098" t="s">
        <v>208</v>
      </c>
      <c r="Q1098" t="s">
        <v>170</v>
      </c>
      <c r="R1098" t="s">
        <v>155</v>
      </c>
      <c r="T1098" t="s">
        <v>134</v>
      </c>
      <c r="U1098">
        <v>1</v>
      </c>
      <c r="W1098" t="s">
        <v>134</v>
      </c>
      <c r="X1098">
        <v>1</v>
      </c>
      <c r="Y1098" t="s">
        <v>139</v>
      </c>
      <c r="Z1098" t="s">
        <v>178</v>
      </c>
      <c r="AA1098" t="s">
        <v>151</v>
      </c>
      <c r="AB1098" t="s">
        <v>163</v>
      </c>
      <c r="AC1098" t="s">
        <v>173</v>
      </c>
      <c r="AD1098" t="s">
        <v>155</v>
      </c>
      <c r="AE1098" t="s">
        <v>124</v>
      </c>
      <c r="AF1098" t="s">
        <v>21</v>
      </c>
    </row>
    <row r="1099" spans="1:32">
      <c r="A1099" t="s">
        <v>1939</v>
      </c>
      <c r="B1099" s="37">
        <v>40083</v>
      </c>
      <c r="C1099" s="38">
        <v>40083</v>
      </c>
      <c r="D1099" s="38">
        <v>40077</v>
      </c>
      <c r="E1099" s="38">
        <v>40057</v>
      </c>
      <c r="F1099" s="39">
        <v>178</v>
      </c>
      <c r="G1099" t="s">
        <v>21</v>
      </c>
      <c r="H1099" t="s">
        <v>21</v>
      </c>
      <c r="I1099">
        <v>0</v>
      </c>
      <c r="J1099">
        <v>0</v>
      </c>
      <c r="K1099">
        <v>0</v>
      </c>
      <c r="L1099">
        <v>1</v>
      </c>
      <c r="M1099">
        <v>0</v>
      </c>
      <c r="N1099" t="s">
        <v>193</v>
      </c>
      <c r="O1099" t="s">
        <v>213</v>
      </c>
      <c r="P1099" t="s">
        <v>204</v>
      </c>
      <c r="Q1099" t="s">
        <v>170</v>
      </c>
      <c r="R1099" t="s">
        <v>155</v>
      </c>
      <c r="S1099">
        <v>5</v>
      </c>
      <c r="T1099" t="s">
        <v>135</v>
      </c>
      <c r="U1099">
        <v>0</v>
      </c>
      <c r="V1099">
        <v>4</v>
      </c>
      <c r="W1099" t="s">
        <v>137</v>
      </c>
      <c r="X1099">
        <v>0</v>
      </c>
      <c r="Y1099" t="s">
        <v>140</v>
      </c>
      <c r="Z1099" t="s">
        <v>178</v>
      </c>
      <c r="AA1099" t="s">
        <v>145</v>
      </c>
      <c r="AB1099" t="s">
        <v>163</v>
      </c>
      <c r="AC1099" t="s">
        <v>173</v>
      </c>
      <c r="AD1099" t="s">
        <v>155</v>
      </c>
      <c r="AE1099" t="s">
        <v>128</v>
      </c>
      <c r="AF1099" t="s">
        <v>21</v>
      </c>
    </row>
    <row r="1100" spans="1:32">
      <c r="A1100" t="s">
        <v>1940</v>
      </c>
      <c r="B1100" s="37">
        <v>40071</v>
      </c>
      <c r="C1100" s="38">
        <v>40071</v>
      </c>
      <c r="D1100" s="38">
        <v>40070</v>
      </c>
      <c r="E1100" s="38">
        <v>40057</v>
      </c>
      <c r="F1100" s="39">
        <v>166</v>
      </c>
      <c r="G1100" t="s">
        <v>21</v>
      </c>
      <c r="H1100" t="s">
        <v>21</v>
      </c>
      <c r="I1100">
        <v>0</v>
      </c>
      <c r="J1100">
        <v>0</v>
      </c>
      <c r="K1100">
        <v>0</v>
      </c>
      <c r="L1100">
        <v>1</v>
      </c>
      <c r="M1100">
        <v>0</v>
      </c>
      <c r="N1100" t="s">
        <v>193</v>
      </c>
      <c r="O1100" t="s">
        <v>213</v>
      </c>
      <c r="P1100" t="s">
        <v>204</v>
      </c>
      <c r="Q1100" t="s">
        <v>170</v>
      </c>
      <c r="R1100" t="s">
        <v>155</v>
      </c>
      <c r="S1100">
        <v>5</v>
      </c>
      <c r="T1100" t="s">
        <v>135</v>
      </c>
      <c r="U1100">
        <v>0</v>
      </c>
      <c r="V1100">
        <v>4</v>
      </c>
      <c r="W1100" t="s">
        <v>137</v>
      </c>
      <c r="X1100">
        <v>0</v>
      </c>
      <c r="Y1100" t="s">
        <v>140</v>
      </c>
      <c r="Z1100" t="s">
        <v>178</v>
      </c>
      <c r="AA1100" t="s">
        <v>143</v>
      </c>
      <c r="AB1100" t="s">
        <v>162</v>
      </c>
      <c r="AC1100" t="s">
        <v>174</v>
      </c>
      <c r="AD1100" t="s">
        <v>159</v>
      </c>
      <c r="AE1100" t="s">
        <v>123</v>
      </c>
      <c r="AF1100" t="s">
        <v>123</v>
      </c>
    </row>
    <row r="1101" spans="1:32">
      <c r="A1101" t="s">
        <v>1941</v>
      </c>
      <c r="B1101" s="37">
        <v>40016</v>
      </c>
      <c r="C1101" s="38">
        <v>40016</v>
      </c>
      <c r="D1101" s="38">
        <v>40014</v>
      </c>
      <c r="E1101" s="38">
        <v>39995</v>
      </c>
      <c r="F1101" s="39">
        <v>111</v>
      </c>
      <c r="G1101" t="s">
        <v>9</v>
      </c>
      <c r="H1101" t="s">
        <v>9</v>
      </c>
      <c r="I1101">
        <v>1</v>
      </c>
      <c r="J1101">
        <v>0</v>
      </c>
      <c r="K1101">
        <v>0</v>
      </c>
      <c r="L1101">
        <v>0</v>
      </c>
      <c r="M1101">
        <v>1</v>
      </c>
      <c r="N1101" t="s">
        <v>196</v>
      </c>
      <c r="O1101" t="s">
        <v>213</v>
      </c>
      <c r="P1101" t="s">
        <v>207</v>
      </c>
      <c r="Q1101" t="s">
        <v>170</v>
      </c>
      <c r="R1101" t="s">
        <v>155</v>
      </c>
      <c r="S1101">
        <v>5</v>
      </c>
      <c r="T1101" t="s">
        <v>135</v>
      </c>
      <c r="U1101">
        <v>0</v>
      </c>
      <c r="V1101">
        <v>5</v>
      </c>
      <c r="W1101" t="s">
        <v>135</v>
      </c>
      <c r="X1101">
        <v>0</v>
      </c>
      <c r="Y1101" t="s">
        <v>139</v>
      </c>
      <c r="Z1101" t="s">
        <v>603</v>
      </c>
      <c r="AA1101" t="s">
        <v>148</v>
      </c>
      <c r="AB1101" t="s">
        <v>162</v>
      </c>
      <c r="AC1101" t="s">
        <v>174</v>
      </c>
      <c r="AD1101" t="s">
        <v>156</v>
      </c>
      <c r="AE1101" t="s">
        <v>120</v>
      </c>
      <c r="AF1101" t="s">
        <v>1001</v>
      </c>
    </row>
    <row r="1102" spans="1:32">
      <c r="A1102" t="s">
        <v>1942</v>
      </c>
      <c r="B1102" s="37">
        <v>40016</v>
      </c>
      <c r="C1102" s="38">
        <v>40016</v>
      </c>
      <c r="D1102" s="38">
        <v>40014</v>
      </c>
      <c r="E1102" s="38">
        <v>39995</v>
      </c>
      <c r="F1102" s="39">
        <v>111</v>
      </c>
      <c r="G1102" t="s">
        <v>21</v>
      </c>
      <c r="H1102" t="s">
        <v>21</v>
      </c>
      <c r="I1102">
        <v>0</v>
      </c>
      <c r="J1102">
        <v>0</v>
      </c>
      <c r="K1102">
        <v>0</v>
      </c>
      <c r="L1102">
        <v>1</v>
      </c>
      <c r="M1102">
        <v>0</v>
      </c>
      <c r="N1102" t="s">
        <v>196</v>
      </c>
      <c r="O1102" t="s">
        <v>213</v>
      </c>
      <c r="P1102" t="s">
        <v>207</v>
      </c>
      <c r="Q1102" t="s">
        <v>170</v>
      </c>
      <c r="R1102" t="s">
        <v>155</v>
      </c>
      <c r="S1102">
        <v>5</v>
      </c>
      <c r="T1102" t="s">
        <v>135</v>
      </c>
      <c r="U1102">
        <v>0</v>
      </c>
      <c r="V1102">
        <v>3</v>
      </c>
      <c r="W1102" t="s">
        <v>137</v>
      </c>
      <c r="X1102">
        <v>0</v>
      </c>
      <c r="Y1102" t="s">
        <v>139</v>
      </c>
      <c r="Z1102" t="s">
        <v>190</v>
      </c>
      <c r="AA1102" t="s">
        <v>142</v>
      </c>
      <c r="AB1102" t="s">
        <v>162</v>
      </c>
      <c r="AC1102" t="s">
        <v>176</v>
      </c>
      <c r="AD1102" t="s">
        <v>125</v>
      </c>
      <c r="AE1102" t="s">
        <v>125</v>
      </c>
      <c r="AF1102" t="s">
        <v>1943</v>
      </c>
    </row>
    <row r="1103" spans="1:32">
      <c r="A1103" t="s">
        <v>1944</v>
      </c>
      <c r="B1103" s="37">
        <v>40021</v>
      </c>
      <c r="C1103" s="38">
        <v>40021</v>
      </c>
      <c r="D1103" s="38">
        <v>40021</v>
      </c>
      <c r="E1103" s="38">
        <v>39995</v>
      </c>
      <c r="F1103" s="39">
        <v>116</v>
      </c>
      <c r="G1103" t="s">
        <v>380</v>
      </c>
      <c r="H1103" t="s">
        <v>17</v>
      </c>
      <c r="I1103">
        <v>0</v>
      </c>
      <c r="J1103">
        <v>0</v>
      </c>
      <c r="K1103">
        <v>1</v>
      </c>
      <c r="L1103">
        <v>0</v>
      </c>
      <c r="M1103">
        <v>0</v>
      </c>
      <c r="N1103" t="s">
        <v>195</v>
      </c>
      <c r="O1103" t="s">
        <v>213</v>
      </c>
      <c r="P1103" t="s">
        <v>206</v>
      </c>
      <c r="Q1103" t="s">
        <v>170</v>
      </c>
      <c r="R1103" t="s">
        <v>155</v>
      </c>
      <c r="S1103">
        <v>3</v>
      </c>
      <c r="T1103" t="s">
        <v>137</v>
      </c>
      <c r="U1103">
        <v>0</v>
      </c>
      <c r="V1103">
        <v>3</v>
      </c>
      <c r="W1103" t="s">
        <v>137</v>
      </c>
      <c r="X1103">
        <v>0</v>
      </c>
      <c r="Y1103" t="s">
        <v>139</v>
      </c>
      <c r="Z1103" t="s">
        <v>188</v>
      </c>
      <c r="AA1103" t="s">
        <v>144</v>
      </c>
      <c r="AB1103" t="s">
        <v>162</v>
      </c>
      <c r="AC1103" t="s">
        <v>175</v>
      </c>
      <c r="AD1103" t="s">
        <v>155</v>
      </c>
      <c r="AE1103" t="s">
        <v>130</v>
      </c>
      <c r="AF1103" t="s">
        <v>21</v>
      </c>
    </row>
    <row r="1104" spans="1:32">
      <c r="A1104" t="s">
        <v>1945</v>
      </c>
      <c r="B1104" s="37">
        <v>39965</v>
      </c>
      <c r="C1104" s="38">
        <v>39965</v>
      </c>
      <c r="D1104" s="38">
        <v>39965</v>
      </c>
      <c r="E1104" s="38">
        <v>39965</v>
      </c>
      <c r="F1104" s="39">
        <v>60</v>
      </c>
      <c r="G1104" t="s">
        <v>21</v>
      </c>
      <c r="H1104" t="s">
        <v>21</v>
      </c>
      <c r="I1104">
        <v>0</v>
      </c>
      <c r="J1104">
        <v>0</v>
      </c>
      <c r="K1104">
        <v>0</v>
      </c>
      <c r="L1104">
        <v>1</v>
      </c>
      <c r="M1104">
        <v>0</v>
      </c>
      <c r="N1104" t="s">
        <v>193</v>
      </c>
      <c r="O1104" t="s">
        <v>213</v>
      </c>
      <c r="P1104" t="s">
        <v>204</v>
      </c>
      <c r="Q1104" t="s">
        <v>170</v>
      </c>
      <c r="R1104" t="s">
        <v>155</v>
      </c>
      <c r="T1104" t="s">
        <v>134</v>
      </c>
      <c r="U1104">
        <v>1</v>
      </c>
      <c r="W1104" t="s">
        <v>134</v>
      </c>
      <c r="X1104">
        <v>1</v>
      </c>
      <c r="Y1104" t="s">
        <v>140</v>
      </c>
      <c r="Z1104" t="s">
        <v>183</v>
      </c>
      <c r="AA1104" t="s">
        <v>145</v>
      </c>
      <c r="AB1104" t="s">
        <v>162</v>
      </c>
      <c r="AC1104" t="s">
        <v>176</v>
      </c>
      <c r="AD1104" t="s">
        <v>155</v>
      </c>
      <c r="AE1104" t="s">
        <v>130</v>
      </c>
      <c r="AF1104" t="s">
        <v>21</v>
      </c>
    </row>
    <row r="1105" spans="1:32">
      <c r="A1105" t="s">
        <v>1946</v>
      </c>
      <c r="B1105" s="37">
        <v>39977</v>
      </c>
      <c r="C1105" s="38">
        <v>39977</v>
      </c>
      <c r="D1105" s="38">
        <v>39972</v>
      </c>
      <c r="E1105" s="38">
        <v>39965</v>
      </c>
      <c r="F1105" s="39">
        <v>72</v>
      </c>
      <c r="G1105" t="s">
        <v>21</v>
      </c>
      <c r="H1105" t="s">
        <v>21</v>
      </c>
      <c r="I1105">
        <v>0</v>
      </c>
      <c r="J1105">
        <v>0</v>
      </c>
      <c r="K1105">
        <v>0</v>
      </c>
      <c r="L1105">
        <v>1</v>
      </c>
      <c r="M1105">
        <v>0</v>
      </c>
      <c r="N1105" t="s">
        <v>193</v>
      </c>
      <c r="O1105" t="s">
        <v>213</v>
      </c>
      <c r="P1105" t="s">
        <v>204</v>
      </c>
      <c r="Q1105" t="s">
        <v>170</v>
      </c>
      <c r="R1105" t="s">
        <v>155</v>
      </c>
      <c r="T1105" t="s">
        <v>134</v>
      </c>
      <c r="U1105">
        <v>1</v>
      </c>
      <c r="W1105" t="s">
        <v>134</v>
      </c>
      <c r="X1105">
        <v>1</v>
      </c>
      <c r="Y1105" t="s">
        <v>140</v>
      </c>
      <c r="Z1105" t="s">
        <v>190</v>
      </c>
      <c r="AA1105" t="s">
        <v>144</v>
      </c>
      <c r="AB1105" t="s">
        <v>163</v>
      </c>
      <c r="AC1105" t="s">
        <v>173</v>
      </c>
      <c r="AD1105" t="s">
        <v>155</v>
      </c>
      <c r="AE1105" t="s">
        <v>406</v>
      </c>
      <c r="AF1105" t="s">
        <v>21</v>
      </c>
    </row>
    <row r="1106" spans="1:32">
      <c r="A1106" t="s">
        <v>1947</v>
      </c>
      <c r="B1106" s="37">
        <v>40080</v>
      </c>
      <c r="C1106" s="38">
        <v>40080</v>
      </c>
      <c r="D1106" s="38">
        <v>40077</v>
      </c>
      <c r="E1106" s="38">
        <v>40057</v>
      </c>
      <c r="F1106" s="39">
        <v>175</v>
      </c>
      <c r="G1106" t="s">
        <v>496</v>
      </c>
      <c r="H1106" t="s">
        <v>13</v>
      </c>
      <c r="I1106">
        <v>0</v>
      </c>
      <c r="J1106">
        <v>1</v>
      </c>
      <c r="K1106">
        <v>0</v>
      </c>
      <c r="L1106">
        <v>0</v>
      </c>
      <c r="M1106">
        <v>1</v>
      </c>
      <c r="N1106" t="s">
        <v>193</v>
      </c>
      <c r="O1106" t="s">
        <v>213</v>
      </c>
      <c r="P1106" t="s">
        <v>204</v>
      </c>
      <c r="Q1106" t="s">
        <v>170</v>
      </c>
      <c r="R1106" t="s">
        <v>155</v>
      </c>
      <c r="S1106">
        <v>5</v>
      </c>
      <c r="T1106" t="s">
        <v>135</v>
      </c>
      <c r="U1106">
        <v>0</v>
      </c>
      <c r="V1106">
        <v>5</v>
      </c>
      <c r="W1106" t="s">
        <v>135</v>
      </c>
      <c r="X1106">
        <v>0</v>
      </c>
      <c r="Y1106" t="s">
        <v>140</v>
      </c>
      <c r="Z1106" t="s">
        <v>190</v>
      </c>
      <c r="AA1106" t="s">
        <v>144</v>
      </c>
      <c r="AB1106" t="s">
        <v>162</v>
      </c>
      <c r="AC1106" t="s">
        <v>176</v>
      </c>
      <c r="AD1106" t="s">
        <v>125</v>
      </c>
      <c r="AE1106" t="s">
        <v>798</v>
      </c>
      <c r="AF1106" t="s">
        <v>1948</v>
      </c>
    </row>
    <row r="1107" spans="1:32">
      <c r="A1107" t="s">
        <v>1949</v>
      </c>
      <c r="B1107" s="37">
        <v>40030</v>
      </c>
      <c r="C1107" s="38">
        <v>40030</v>
      </c>
      <c r="D1107" s="38">
        <v>40028</v>
      </c>
      <c r="E1107" s="38">
        <v>40026</v>
      </c>
      <c r="F1107" s="39">
        <v>125</v>
      </c>
      <c r="G1107" t="s">
        <v>383</v>
      </c>
      <c r="H1107" t="s">
        <v>17</v>
      </c>
      <c r="I1107">
        <v>0</v>
      </c>
      <c r="J1107">
        <v>0</v>
      </c>
      <c r="K1107">
        <v>1</v>
      </c>
      <c r="L1107">
        <v>0</v>
      </c>
      <c r="M1107">
        <v>0</v>
      </c>
      <c r="N1107" t="s">
        <v>544</v>
      </c>
      <c r="O1107" t="s">
        <v>213</v>
      </c>
      <c r="P1107" t="s">
        <v>545</v>
      </c>
      <c r="Q1107" t="s">
        <v>170</v>
      </c>
      <c r="R1107" t="s">
        <v>155</v>
      </c>
      <c r="S1107">
        <v>5</v>
      </c>
      <c r="T1107" t="s">
        <v>135</v>
      </c>
      <c r="U1107">
        <v>0</v>
      </c>
      <c r="V1107">
        <v>5</v>
      </c>
      <c r="W1107" t="s">
        <v>135</v>
      </c>
      <c r="X1107">
        <v>0</v>
      </c>
      <c r="Y1107" t="s">
        <v>139</v>
      </c>
      <c r="Z1107" t="s">
        <v>190</v>
      </c>
      <c r="AA1107" t="s">
        <v>144</v>
      </c>
      <c r="AB1107" t="s">
        <v>162</v>
      </c>
      <c r="AC1107" t="s">
        <v>1728</v>
      </c>
      <c r="AD1107" t="s">
        <v>157</v>
      </c>
      <c r="AE1107" t="s">
        <v>127</v>
      </c>
      <c r="AF1107" t="s">
        <v>153</v>
      </c>
    </row>
    <row r="1108" spans="1:32">
      <c r="A1108" t="s">
        <v>1950</v>
      </c>
      <c r="B1108" s="37">
        <v>39981</v>
      </c>
      <c r="C1108" s="38">
        <v>39981</v>
      </c>
      <c r="D1108" s="38">
        <v>39979</v>
      </c>
      <c r="E1108" s="38">
        <v>39965</v>
      </c>
      <c r="F1108" s="39">
        <v>76</v>
      </c>
      <c r="G1108" t="s">
        <v>383</v>
      </c>
      <c r="H1108" t="s">
        <v>17</v>
      </c>
      <c r="I1108">
        <v>0</v>
      </c>
      <c r="J1108">
        <v>0</v>
      </c>
      <c r="K1108">
        <v>1</v>
      </c>
      <c r="L1108">
        <v>0</v>
      </c>
      <c r="M1108">
        <v>0</v>
      </c>
      <c r="N1108" t="s">
        <v>195</v>
      </c>
      <c r="O1108" t="s">
        <v>213</v>
      </c>
      <c r="P1108" t="s">
        <v>206</v>
      </c>
      <c r="Q1108" t="s">
        <v>170</v>
      </c>
      <c r="R1108" t="s">
        <v>155</v>
      </c>
      <c r="T1108" t="s">
        <v>134</v>
      </c>
      <c r="U1108">
        <v>1</v>
      </c>
      <c r="W1108" t="s">
        <v>134</v>
      </c>
      <c r="X1108">
        <v>1</v>
      </c>
      <c r="Y1108" t="s">
        <v>139</v>
      </c>
      <c r="Z1108" t="s">
        <v>179</v>
      </c>
      <c r="AA1108" t="s">
        <v>144</v>
      </c>
      <c r="AB1108" t="s">
        <v>162</v>
      </c>
      <c r="AC1108" t="s">
        <v>867</v>
      </c>
      <c r="AD1108" t="s">
        <v>157</v>
      </c>
      <c r="AE1108" t="s">
        <v>127</v>
      </c>
      <c r="AF1108" t="s">
        <v>153</v>
      </c>
    </row>
    <row r="1109" spans="1:32">
      <c r="A1109" t="s">
        <v>1951</v>
      </c>
      <c r="B1109" s="37">
        <v>39983</v>
      </c>
      <c r="C1109" s="38">
        <v>39983</v>
      </c>
      <c r="D1109" s="38">
        <v>39979</v>
      </c>
      <c r="E1109" s="38">
        <v>39965</v>
      </c>
      <c r="F1109" s="39">
        <v>78</v>
      </c>
      <c r="G1109" t="s">
        <v>21</v>
      </c>
      <c r="H1109" t="s">
        <v>21</v>
      </c>
      <c r="I1109">
        <v>0</v>
      </c>
      <c r="J1109">
        <v>0</v>
      </c>
      <c r="K1109">
        <v>0</v>
      </c>
      <c r="L1109">
        <v>1</v>
      </c>
      <c r="M1109">
        <v>0</v>
      </c>
      <c r="N1109" t="s">
        <v>194</v>
      </c>
      <c r="O1109" t="s">
        <v>213</v>
      </c>
      <c r="P1109" t="s">
        <v>205</v>
      </c>
      <c r="Q1109" t="s">
        <v>170</v>
      </c>
      <c r="R1109" t="s">
        <v>155</v>
      </c>
      <c r="T1109" t="s">
        <v>134</v>
      </c>
      <c r="U1109">
        <v>1</v>
      </c>
      <c r="W1109" t="s">
        <v>134</v>
      </c>
      <c r="X1109">
        <v>1</v>
      </c>
      <c r="Y1109" t="s">
        <v>139</v>
      </c>
      <c r="Z1109" t="s">
        <v>187</v>
      </c>
      <c r="AA1109" t="s">
        <v>145</v>
      </c>
      <c r="AB1109" t="s">
        <v>163</v>
      </c>
      <c r="AC1109" t="s">
        <v>173</v>
      </c>
      <c r="AD1109" t="s">
        <v>155</v>
      </c>
      <c r="AE1109" t="s">
        <v>956</v>
      </c>
      <c r="AF1109" t="s">
        <v>21</v>
      </c>
    </row>
    <row r="1110" spans="1:32">
      <c r="A1110" t="s">
        <v>1952</v>
      </c>
      <c r="B1110" s="37">
        <v>39982</v>
      </c>
      <c r="C1110" s="38">
        <v>39982</v>
      </c>
      <c r="D1110" s="38">
        <v>39979</v>
      </c>
      <c r="E1110" s="38">
        <v>39965</v>
      </c>
      <c r="F1110" s="39">
        <v>77</v>
      </c>
      <c r="G1110" t="s">
        <v>9</v>
      </c>
      <c r="H1110" t="s">
        <v>9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194</v>
      </c>
      <c r="O1110" t="s">
        <v>213</v>
      </c>
      <c r="P1110" t="s">
        <v>205</v>
      </c>
      <c r="Q1110" t="s">
        <v>170</v>
      </c>
      <c r="R1110" t="s">
        <v>155</v>
      </c>
      <c r="T1110" t="s">
        <v>134</v>
      </c>
      <c r="U1110">
        <v>1</v>
      </c>
      <c r="W1110" t="s">
        <v>134</v>
      </c>
      <c r="X1110">
        <v>1</v>
      </c>
      <c r="Y1110" t="s">
        <v>139</v>
      </c>
      <c r="Z1110" t="s">
        <v>181</v>
      </c>
      <c r="AA1110" t="s">
        <v>148</v>
      </c>
      <c r="AB1110" t="s">
        <v>162</v>
      </c>
      <c r="AC1110" t="s">
        <v>21</v>
      </c>
      <c r="AD1110" t="s">
        <v>155</v>
      </c>
      <c r="AE1110" t="s">
        <v>130</v>
      </c>
      <c r="AF1110" t="s">
        <v>21</v>
      </c>
    </row>
    <row r="1111" spans="1:32">
      <c r="A1111" t="s">
        <v>1953</v>
      </c>
      <c r="B1111" s="37">
        <v>39920</v>
      </c>
      <c r="C1111" s="38">
        <v>39920</v>
      </c>
      <c r="D1111" s="38">
        <v>39916</v>
      </c>
      <c r="E1111" s="38">
        <v>39904</v>
      </c>
      <c r="F1111" s="39">
        <v>15</v>
      </c>
      <c r="G1111" t="s">
        <v>21</v>
      </c>
      <c r="H1111" t="s">
        <v>21</v>
      </c>
      <c r="I1111">
        <v>0</v>
      </c>
      <c r="J1111">
        <v>0</v>
      </c>
      <c r="K1111">
        <v>0</v>
      </c>
      <c r="L1111">
        <v>1</v>
      </c>
      <c r="M1111">
        <v>0</v>
      </c>
      <c r="N1111" t="s">
        <v>198</v>
      </c>
      <c r="O1111" t="s">
        <v>213</v>
      </c>
      <c r="P1111" t="s">
        <v>208</v>
      </c>
      <c r="Q1111" t="s">
        <v>170</v>
      </c>
      <c r="R1111" t="s">
        <v>155</v>
      </c>
      <c r="T1111" t="s">
        <v>134</v>
      </c>
      <c r="U1111">
        <v>1</v>
      </c>
      <c r="W1111" t="s">
        <v>134</v>
      </c>
      <c r="X1111">
        <v>1</v>
      </c>
      <c r="Y1111" t="s">
        <v>139</v>
      </c>
      <c r="Z1111" t="s">
        <v>181</v>
      </c>
      <c r="AA1111" t="s">
        <v>149</v>
      </c>
      <c r="AB1111" t="s">
        <v>163</v>
      </c>
      <c r="AC1111" t="s">
        <v>173</v>
      </c>
      <c r="AD1111" t="s">
        <v>155</v>
      </c>
      <c r="AE1111" t="s">
        <v>125</v>
      </c>
      <c r="AF1111" t="s">
        <v>21</v>
      </c>
    </row>
    <row r="1112" spans="1:32">
      <c r="A1112" t="s">
        <v>1954</v>
      </c>
      <c r="B1112" s="37">
        <v>40021</v>
      </c>
      <c r="C1112" s="38">
        <v>40021</v>
      </c>
      <c r="D1112" s="38">
        <v>40021</v>
      </c>
      <c r="E1112" s="38">
        <v>39995</v>
      </c>
      <c r="F1112" s="39">
        <v>116</v>
      </c>
      <c r="G1112" t="s">
        <v>21</v>
      </c>
      <c r="H1112" t="s">
        <v>21</v>
      </c>
      <c r="I1112">
        <v>0</v>
      </c>
      <c r="J1112">
        <v>0</v>
      </c>
      <c r="K1112">
        <v>0</v>
      </c>
      <c r="L1112">
        <v>1</v>
      </c>
      <c r="M1112">
        <v>0</v>
      </c>
      <c r="N1112" t="s">
        <v>195</v>
      </c>
      <c r="O1112" t="s">
        <v>213</v>
      </c>
      <c r="P1112" t="s">
        <v>206</v>
      </c>
      <c r="Q1112" t="s">
        <v>170</v>
      </c>
      <c r="R1112" t="s">
        <v>155</v>
      </c>
      <c r="S1112">
        <v>5</v>
      </c>
      <c r="T1112" t="s">
        <v>135</v>
      </c>
      <c r="U1112">
        <v>0</v>
      </c>
      <c r="V1112">
        <v>3</v>
      </c>
      <c r="W1112" t="s">
        <v>137</v>
      </c>
      <c r="X1112">
        <v>0</v>
      </c>
      <c r="Y1112" t="s">
        <v>139</v>
      </c>
      <c r="Z1112" t="s">
        <v>181</v>
      </c>
      <c r="AA1112" t="s">
        <v>145</v>
      </c>
      <c r="AB1112" t="s">
        <v>162</v>
      </c>
      <c r="AC1112" t="s">
        <v>597</v>
      </c>
      <c r="AD1112" t="s">
        <v>155</v>
      </c>
      <c r="AE1112" t="s">
        <v>130</v>
      </c>
      <c r="AF1112" t="s">
        <v>21</v>
      </c>
    </row>
    <row r="1113" spans="1:32">
      <c r="A1113" t="s">
        <v>1955</v>
      </c>
      <c r="B1113" s="37">
        <v>39917</v>
      </c>
      <c r="C1113" s="38">
        <v>39917</v>
      </c>
      <c r="D1113" s="38">
        <v>39916</v>
      </c>
      <c r="E1113" s="38">
        <v>39904</v>
      </c>
      <c r="F1113" s="39">
        <v>12</v>
      </c>
      <c r="G1113" t="s">
        <v>9</v>
      </c>
      <c r="H1113" t="s">
        <v>9</v>
      </c>
      <c r="I1113">
        <v>1</v>
      </c>
      <c r="J1113">
        <v>0</v>
      </c>
      <c r="K1113">
        <v>0</v>
      </c>
      <c r="L1113">
        <v>0</v>
      </c>
      <c r="M1113">
        <v>1</v>
      </c>
      <c r="N1113" t="s">
        <v>199</v>
      </c>
      <c r="O1113" t="s">
        <v>213</v>
      </c>
      <c r="P1113" t="s">
        <v>210</v>
      </c>
      <c r="Q1113" t="s">
        <v>170</v>
      </c>
      <c r="R1113" t="s">
        <v>155</v>
      </c>
      <c r="T1113" t="s">
        <v>134</v>
      </c>
      <c r="U1113">
        <v>1</v>
      </c>
      <c r="W1113" t="s">
        <v>134</v>
      </c>
      <c r="X1113">
        <v>1</v>
      </c>
      <c r="Y1113" t="s">
        <v>139</v>
      </c>
      <c r="Z1113" t="s">
        <v>181</v>
      </c>
      <c r="AA1113" t="s">
        <v>150</v>
      </c>
      <c r="AB1113" t="s">
        <v>163</v>
      </c>
      <c r="AC1113" t="s">
        <v>173</v>
      </c>
      <c r="AD1113" t="s">
        <v>155</v>
      </c>
      <c r="AE1113" t="s">
        <v>439</v>
      </c>
      <c r="AF1113" t="s">
        <v>21</v>
      </c>
    </row>
    <row r="1114" spans="1:32">
      <c r="A1114" t="s">
        <v>1956</v>
      </c>
      <c r="B1114" s="37">
        <v>39989</v>
      </c>
      <c r="C1114" s="38">
        <v>39989</v>
      </c>
      <c r="D1114" s="38">
        <v>39986</v>
      </c>
      <c r="E1114" s="38">
        <v>39965</v>
      </c>
      <c r="F1114" s="39">
        <v>84</v>
      </c>
      <c r="G1114" t="s">
        <v>21</v>
      </c>
      <c r="H1114" t="s">
        <v>21</v>
      </c>
      <c r="I1114">
        <v>0</v>
      </c>
      <c r="J1114">
        <v>0</v>
      </c>
      <c r="K1114">
        <v>0</v>
      </c>
      <c r="L1114">
        <v>1</v>
      </c>
      <c r="M1114">
        <v>0</v>
      </c>
      <c r="N1114" t="s">
        <v>196</v>
      </c>
      <c r="O1114" t="s">
        <v>213</v>
      </c>
      <c r="P1114" t="s">
        <v>207</v>
      </c>
      <c r="Q1114" t="s">
        <v>170</v>
      </c>
      <c r="R1114" t="s">
        <v>155</v>
      </c>
      <c r="T1114" t="s">
        <v>134</v>
      </c>
      <c r="U1114">
        <v>1</v>
      </c>
      <c r="W1114" t="s">
        <v>134</v>
      </c>
      <c r="X1114">
        <v>1</v>
      </c>
      <c r="Y1114" t="s">
        <v>139</v>
      </c>
      <c r="Z1114" t="s">
        <v>180</v>
      </c>
      <c r="AA1114" t="s">
        <v>143</v>
      </c>
      <c r="AB1114" t="s">
        <v>162</v>
      </c>
      <c r="AC1114" t="s">
        <v>1957</v>
      </c>
      <c r="AD1114" t="s">
        <v>155</v>
      </c>
      <c r="AE1114" t="s">
        <v>130</v>
      </c>
      <c r="AF1114" t="s">
        <v>21</v>
      </c>
    </row>
    <row r="1115" spans="1:32">
      <c r="A1115" t="s">
        <v>1958</v>
      </c>
      <c r="B1115" s="37">
        <v>39945</v>
      </c>
      <c r="C1115" s="38">
        <v>39945</v>
      </c>
      <c r="D1115" s="38">
        <v>39944</v>
      </c>
      <c r="E1115" s="38">
        <v>39934</v>
      </c>
      <c r="F1115" s="39">
        <v>40</v>
      </c>
      <c r="G1115" t="s">
        <v>21</v>
      </c>
      <c r="H1115" t="s">
        <v>21</v>
      </c>
      <c r="I1115">
        <v>0</v>
      </c>
      <c r="J1115">
        <v>0</v>
      </c>
      <c r="K1115">
        <v>0</v>
      </c>
      <c r="L1115">
        <v>1</v>
      </c>
      <c r="M1115">
        <v>0</v>
      </c>
      <c r="N1115" t="s">
        <v>193</v>
      </c>
      <c r="O1115" t="s">
        <v>213</v>
      </c>
      <c r="P1115" t="s">
        <v>204</v>
      </c>
      <c r="Q1115" t="s">
        <v>170</v>
      </c>
      <c r="R1115" t="s">
        <v>155</v>
      </c>
      <c r="T1115" t="s">
        <v>134</v>
      </c>
      <c r="U1115">
        <v>1</v>
      </c>
      <c r="W1115" t="s">
        <v>134</v>
      </c>
      <c r="X1115">
        <v>1</v>
      </c>
      <c r="Y1115" t="s">
        <v>140</v>
      </c>
      <c r="Z1115" t="s">
        <v>181</v>
      </c>
      <c r="AA1115" t="s">
        <v>145</v>
      </c>
      <c r="AB1115" t="s">
        <v>162</v>
      </c>
      <c r="AC1115" t="s">
        <v>174</v>
      </c>
      <c r="AD1115" t="s">
        <v>160</v>
      </c>
      <c r="AE1115" t="s">
        <v>126</v>
      </c>
      <c r="AF1115" t="s">
        <v>1959</v>
      </c>
    </row>
    <row r="1116" spans="1:32">
      <c r="A1116" t="s">
        <v>1960</v>
      </c>
      <c r="B1116" s="37">
        <v>39944</v>
      </c>
      <c r="C1116" s="38">
        <v>39944</v>
      </c>
      <c r="D1116" s="38">
        <v>39944</v>
      </c>
      <c r="E1116" s="38">
        <v>39934</v>
      </c>
      <c r="F1116" s="39">
        <v>39</v>
      </c>
      <c r="G1116" t="s">
        <v>21</v>
      </c>
      <c r="H1116" t="s">
        <v>21</v>
      </c>
      <c r="I1116">
        <v>0</v>
      </c>
      <c r="J1116">
        <v>0</v>
      </c>
      <c r="K1116">
        <v>0</v>
      </c>
      <c r="L1116">
        <v>1</v>
      </c>
      <c r="M1116">
        <v>0</v>
      </c>
      <c r="N1116" t="s">
        <v>194</v>
      </c>
      <c r="O1116" t="s">
        <v>213</v>
      </c>
      <c r="P1116" t="s">
        <v>205</v>
      </c>
      <c r="Q1116" t="s">
        <v>170</v>
      </c>
      <c r="R1116" t="s">
        <v>155</v>
      </c>
      <c r="T1116" t="s">
        <v>134</v>
      </c>
      <c r="U1116">
        <v>1</v>
      </c>
      <c r="W1116" t="s">
        <v>134</v>
      </c>
      <c r="X1116">
        <v>1</v>
      </c>
      <c r="Y1116" t="s">
        <v>139</v>
      </c>
      <c r="Z1116" t="s">
        <v>181</v>
      </c>
      <c r="AA1116" t="s">
        <v>147</v>
      </c>
      <c r="AB1116" t="s">
        <v>162</v>
      </c>
      <c r="AC1116" t="s">
        <v>174</v>
      </c>
      <c r="AD1116" t="s">
        <v>157</v>
      </c>
      <c r="AE1116" t="s">
        <v>571</v>
      </c>
      <c r="AF1116" t="s">
        <v>636</v>
      </c>
    </row>
    <row r="1117" spans="1:32">
      <c r="A1117" t="s">
        <v>1961</v>
      </c>
      <c r="B1117" s="37">
        <v>39980</v>
      </c>
      <c r="C1117" s="38">
        <v>39980</v>
      </c>
      <c r="D1117" s="38">
        <v>39979</v>
      </c>
      <c r="E1117" s="38">
        <v>39965</v>
      </c>
      <c r="F1117" s="39">
        <v>75</v>
      </c>
      <c r="G1117" t="s">
        <v>21</v>
      </c>
      <c r="H1117" t="s">
        <v>21</v>
      </c>
      <c r="I1117">
        <v>0</v>
      </c>
      <c r="J1117">
        <v>0</v>
      </c>
      <c r="K1117">
        <v>0</v>
      </c>
      <c r="L1117">
        <v>1</v>
      </c>
      <c r="M1117">
        <v>0</v>
      </c>
      <c r="N1117" t="s">
        <v>195</v>
      </c>
      <c r="O1117" t="s">
        <v>213</v>
      </c>
      <c r="P1117" t="s">
        <v>206</v>
      </c>
      <c r="Q1117" t="s">
        <v>170</v>
      </c>
      <c r="R1117" t="s">
        <v>155</v>
      </c>
      <c r="T1117" t="s">
        <v>134</v>
      </c>
      <c r="U1117">
        <v>1</v>
      </c>
      <c r="W1117" t="s">
        <v>134</v>
      </c>
      <c r="X1117">
        <v>1</v>
      </c>
      <c r="Y1117" t="s">
        <v>139</v>
      </c>
      <c r="Z1117" t="s">
        <v>180</v>
      </c>
      <c r="AA1117" t="s">
        <v>145</v>
      </c>
      <c r="AB1117" t="s">
        <v>163</v>
      </c>
      <c r="AC1117" t="s">
        <v>173</v>
      </c>
      <c r="AD1117" t="s">
        <v>161</v>
      </c>
      <c r="AE1117" t="s">
        <v>1364</v>
      </c>
      <c r="AF1117" t="s">
        <v>21</v>
      </c>
    </row>
    <row r="1118" spans="1:32">
      <c r="A1118" t="s">
        <v>1962</v>
      </c>
      <c r="B1118" s="37">
        <v>39928</v>
      </c>
      <c r="C1118" s="38">
        <v>39928</v>
      </c>
      <c r="D1118" s="38">
        <v>39923</v>
      </c>
      <c r="E1118" s="38">
        <v>39904</v>
      </c>
      <c r="F1118" s="39">
        <v>23</v>
      </c>
      <c r="G1118" t="s">
        <v>21</v>
      </c>
      <c r="H1118" t="s">
        <v>21</v>
      </c>
      <c r="I1118">
        <v>0</v>
      </c>
      <c r="J1118">
        <v>0</v>
      </c>
      <c r="K1118">
        <v>0</v>
      </c>
      <c r="L1118">
        <v>1</v>
      </c>
      <c r="M1118">
        <v>0</v>
      </c>
      <c r="N1118" t="s">
        <v>194</v>
      </c>
      <c r="O1118" t="s">
        <v>213</v>
      </c>
      <c r="P1118" t="s">
        <v>205</v>
      </c>
      <c r="Q1118" t="s">
        <v>170</v>
      </c>
      <c r="R1118" t="s">
        <v>155</v>
      </c>
      <c r="T1118" t="s">
        <v>134</v>
      </c>
      <c r="U1118">
        <v>1</v>
      </c>
      <c r="W1118" t="s">
        <v>134</v>
      </c>
      <c r="X1118">
        <v>1</v>
      </c>
      <c r="Y1118" t="s">
        <v>139</v>
      </c>
      <c r="Z1118" t="s">
        <v>180</v>
      </c>
      <c r="AA1118" t="s">
        <v>150</v>
      </c>
      <c r="AB1118" t="s">
        <v>162</v>
      </c>
      <c r="AC1118" t="s">
        <v>174</v>
      </c>
      <c r="AD1118" t="s">
        <v>156</v>
      </c>
      <c r="AE1118" t="s">
        <v>120</v>
      </c>
      <c r="AF1118" t="s">
        <v>1963</v>
      </c>
    </row>
    <row r="1119" spans="1:32">
      <c r="A1119" t="s">
        <v>1964</v>
      </c>
      <c r="B1119" s="37">
        <v>39940</v>
      </c>
      <c r="C1119" s="38">
        <v>39940</v>
      </c>
      <c r="D1119" s="38">
        <v>39937</v>
      </c>
      <c r="E1119" s="38">
        <v>39934</v>
      </c>
      <c r="F1119" s="39">
        <v>35</v>
      </c>
      <c r="G1119" t="s">
        <v>21</v>
      </c>
      <c r="H1119" t="s">
        <v>21</v>
      </c>
      <c r="I1119">
        <v>0</v>
      </c>
      <c r="J1119">
        <v>0</v>
      </c>
      <c r="K1119">
        <v>0</v>
      </c>
      <c r="L1119">
        <v>1</v>
      </c>
      <c r="M1119">
        <v>0</v>
      </c>
      <c r="N1119" t="s">
        <v>193</v>
      </c>
      <c r="O1119" t="s">
        <v>213</v>
      </c>
      <c r="P1119" t="s">
        <v>204</v>
      </c>
      <c r="Q1119" t="s">
        <v>170</v>
      </c>
      <c r="R1119" t="s">
        <v>155</v>
      </c>
      <c r="T1119" t="s">
        <v>134</v>
      </c>
      <c r="U1119">
        <v>1</v>
      </c>
      <c r="W1119" t="s">
        <v>134</v>
      </c>
      <c r="X1119">
        <v>1</v>
      </c>
      <c r="Y1119" t="s">
        <v>140</v>
      </c>
      <c r="Z1119" t="s">
        <v>180</v>
      </c>
      <c r="AA1119" t="s">
        <v>148</v>
      </c>
      <c r="AB1119" t="s">
        <v>162</v>
      </c>
      <c r="AC1119" t="s">
        <v>174</v>
      </c>
      <c r="AD1119" t="s">
        <v>156</v>
      </c>
      <c r="AE1119" t="s">
        <v>120</v>
      </c>
      <c r="AF1119" t="s">
        <v>425</v>
      </c>
    </row>
    <row r="1120" spans="1:32">
      <c r="A1120" t="s">
        <v>1965</v>
      </c>
      <c r="B1120" s="37">
        <v>39972</v>
      </c>
      <c r="C1120" s="38">
        <v>39972</v>
      </c>
      <c r="D1120" s="38">
        <v>39972</v>
      </c>
      <c r="E1120" s="38">
        <v>39965</v>
      </c>
      <c r="F1120" s="39">
        <v>67</v>
      </c>
      <c r="G1120" t="s">
        <v>21</v>
      </c>
      <c r="H1120" t="s">
        <v>21</v>
      </c>
      <c r="I1120">
        <v>0</v>
      </c>
      <c r="J1120">
        <v>0</v>
      </c>
      <c r="K1120">
        <v>0</v>
      </c>
      <c r="L1120">
        <v>1</v>
      </c>
      <c r="M1120">
        <v>0</v>
      </c>
      <c r="N1120" t="s">
        <v>195</v>
      </c>
      <c r="O1120" t="s">
        <v>213</v>
      </c>
      <c r="P1120" t="s">
        <v>206</v>
      </c>
      <c r="Q1120" t="s">
        <v>170</v>
      </c>
      <c r="R1120" t="s">
        <v>155</v>
      </c>
      <c r="T1120" t="s">
        <v>134</v>
      </c>
      <c r="U1120">
        <v>1</v>
      </c>
      <c r="W1120" t="s">
        <v>134</v>
      </c>
      <c r="X1120">
        <v>1</v>
      </c>
      <c r="Y1120" t="s">
        <v>139</v>
      </c>
      <c r="Z1120" t="s">
        <v>185</v>
      </c>
      <c r="AA1120" t="s">
        <v>149</v>
      </c>
      <c r="AB1120" t="s">
        <v>162</v>
      </c>
      <c r="AC1120" t="s">
        <v>21</v>
      </c>
      <c r="AD1120" t="s">
        <v>160</v>
      </c>
      <c r="AE1120" t="s">
        <v>126</v>
      </c>
      <c r="AF1120" t="s">
        <v>1966</v>
      </c>
    </row>
    <row r="1121" spans="1:32">
      <c r="A1121" t="s">
        <v>1967</v>
      </c>
      <c r="B1121" s="37">
        <v>40029</v>
      </c>
      <c r="C1121" s="38">
        <v>40029</v>
      </c>
      <c r="D1121" s="38">
        <v>40028</v>
      </c>
      <c r="E1121" s="38">
        <v>40026</v>
      </c>
      <c r="F1121" s="39">
        <v>124</v>
      </c>
      <c r="G1121" t="s">
        <v>21</v>
      </c>
      <c r="H1121" t="s">
        <v>21</v>
      </c>
      <c r="I1121">
        <v>0</v>
      </c>
      <c r="J1121">
        <v>0</v>
      </c>
      <c r="K1121">
        <v>0</v>
      </c>
      <c r="L1121">
        <v>1</v>
      </c>
      <c r="M1121">
        <v>0</v>
      </c>
      <c r="N1121" t="s">
        <v>195</v>
      </c>
      <c r="O1121" t="s">
        <v>213</v>
      </c>
      <c r="P1121" t="s">
        <v>206</v>
      </c>
      <c r="Q1121" t="s">
        <v>170</v>
      </c>
      <c r="R1121" t="s">
        <v>155</v>
      </c>
      <c r="S1121">
        <v>5</v>
      </c>
      <c r="T1121" t="s">
        <v>135</v>
      </c>
      <c r="U1121">
        <v>0</v>
      </c>
      <c r="V1121">
        <v>3</v>
      </c>
      <c r="W1121" t="s">
        <v>137</v>
      </c>
      <c r="X1121">
        <v>0</v>
      </c>
      <c r="Y1121" t="s">
        <v>139</v>
      </c>
      <c r="Z1121" t="s">
        <v>447</v>
      </c>
      <c r="AA1121" t="s">
        <v>145</v>
      </c>
      <c r="AB1121" t="s">
        <v>162</v>
      </c>
      <c r="AC1121" t="s">
        <v>175</v>
      </c>
      <c r="AD1121" t="s">
        <v>155</v>
      </c>
      <c r="AE1121" t="s">
        <v>129</v>
      </c>
      <c r="AF1121" t="s">
        <v>21</v>
      </c>
    </row>
    <row r="1122" spans="1:32">
      <c r="A1122" t="s">
        <v>1968</v>
      </c>
      <c r="B1122" s="37">
        <v>39916</v>
      </c>
      <c r="C1122" s="38">
        <v>39916</v>
      </c>
      <c r="D1122" s="38">
        <v>39916</v>
      </c>
      <c r="E1122" s="38">
        <v>39904</v>
      </c>
      <c r="F1122" s="39">
        <v>11</v>
      </c>
      <c r="G1122" t="s">
        <v>21</v>
      </c>
      <c r="H1122" t="s">
        <v>21</v>
      </c>
      <c r="I1122">
        <v>0</v>
      </c>
      <c r="J1122">
        <v>0</v>
      </c>
      <c r="K1122">
        <v>0</v>
      </c>
      <c r="L1122">
        <v>1</v>
      </c>
      <c r="M1122">
        <v>0</v>
      </c>
      <c r="N1122" t="s">
        <v>194</v>
      </c>
      <c r="O1122" t="s">
        <v>213</v>
      </c>
      <c r="P1122" t="s">
        <v>205</v>
      </c>
      <c r="Q1122" t="s">
        <v>170</v>
      </c>
      <c r="R1122" t="s">
        <v>155</v>
      </c>
      <c r="T1122" t="s">
        <v>134</v>
      </c>
      <c r="U1122">
        <v>1</v>
      </c>
      <c r="W1122" t="s">
        <v>134</v>
      </c>
      <c r="X1122">
        <v>1</v>
      </c>
      <c r="Y1122" t="s">
        <v>139</v>
      </c>
      <c r="Z1122" t="s">
        <v>189</v>
      </c>
      <c r="AA1122" t="s">
        <v>145</v>
      </c>
      <c r="AB1122" t="s">
        <v>163</v>
      </c>
      <c r="AC1122" t="s">
        <v>173</v>
      </c>
      <c r="AD1122" t="s">
        <v>161</v>
      </c>
      <c r="AE1122" t="s">
        <v>638</v>
      </c>
      <c r="AF1122" t="s">
        <v>21</v>
      </c>
    </row>
    <row r="1123" spans="1:32">
      <c r="A1123" t="s">
        <v>1969</v>
      </c>
      <c r="B1123" s="37">
        <v>39974</v>
      </c>
      <c r="C1123" s="38">
        <v>39974</v>
      </c>
      <c r="D1123" s="38">
        <v>39972</v>
      </c>
      <c r="E1123" s="38">
        <v>39965</v>
      </c>
      <c r="F1123" s="39">
        <v>69</v>
      </c>
      <c r="G1123" t="s">
        <v>21</v>
      </c>
      <c r="H1123" t="s">
        <v>21</v>
      </c>
      <c r="I1123">
        <v>0</v>
      </c>
      <c r="J1123">
        <v>0</v>
      </c>
      <c r="K1123">
        <v>0</v>
      </c>
      <c r="L1123">
        <v>1</v>
      </c>
      <c r="M1123">
        <v>0</v>
      </c>
      <c r="N1123" t="s">
        <v>195</v>
      </c>
      <c r="O1123" t="s">
        <v>213</v>
      </c>
      <c r="P1123" t="s">
        <v>206</v>
      </c>
      <c r="Q1123" t="s">
        <v>170</v>
      </c>
      <c r="R1123" t="s">
        <v>155</v>
      </c>
      <c r="T1123" t="s">
        <v>134</v>
      </c>
      <c r="U1123">
        <v>1</v>
      </c>
      <c r="W1123" t="s">
        <v>134</v>
      </c>
      <c r="X1123">
        <v>1</v>
      </c>
      <c r="Y1123" t="s">
        <v>139</v>
      </c>
      <c r="Z1123" t="s">
        <v>433</v>
      </c>
      <c r="AA1123" t="s">
        <v>142</v>
      </c>
      <c r="AB1123" t="s">
        <v>162</v>
      </c>
      <c r="AC1123" t="s">
        <v>659</v>
      </c>
      <c r="AD1123" t="s">
        <v>156</v>
      </c>
      <c r="AE1123" t="s">
        <v>120</v>
      </c>
      <c r="AF1123" t="s">
        <v>1970</v>
      </c>
    </row>
    <row r="1124" spans="1:32">
      <c r="A1124" t="s">
        <v>1971</v>
      </c>
      <c r="B1124" s="37">
        <v>39977</v>
      </c>
      <c r="C1124" s="38">
        <v>39977</v>
      </c>
      <c r="D1124" s="38">
        <v>39972</v>
      </c>
      <c r="E1124" s="38">
        <v>39965</v>
      </c>
      <c r="F1124" s="39">
        <v>72</v>
      </c>
      <c r="G1124" t="s">
        <v>525</v>
      </c>
      <c r="H1124" t="s">
        <v>17</v>
      </c>
      <c r="I1124">
        <v>0</v>
      </c>
      <c r="J1124">
        <v>0</v>
      </c>
      <c r="K1124">
        <v>1</v>
      </c>
      <c r="L1124">
        <v>0</v>
      </c>
      <c r="M1124">
        <v>0</v>
      </c>
      <c r="N1124" t="s">
        <v>194</v>
      </c>
      <c r="O1124" t="s">
        <v>213</v>
      </c>
      <c r="P1124" t="s">
        <v>205</v>
      </c>
      <c r="Q1124" t="s">
        <v>170</v>
      </c>
      <c r="R1124" t="s">
        <v>155</v>
      </c>
      <c r="T1124" t="s">
        <v>134</v>
      </c>
      <c r="U1124">
        <v>1</v>
      </c>
      <c r="W1124" t="s">
        <v>134</v>
      </c>
      <c r="X1124">
        <v>1</v>
      </c>
      <c r="Y1124" t="s">
        <v>139</v>
      </c>
      <c r="Z1124" t="s">
        <v>190</v>
      </c>
      <c r="AA1124" t="s">
        <v>146</v>
      </c>
      <c r="AB1124" t="s">
        <v>163</v>
      </c>
      <c r="AC1124" t="s">
        <v>173</v>
      </c>
      <c r="AD1124" t="s">
        <v>155</v>
      </c>
      <c r="AE1124" t="s">
        <v>124</v>
      </c>
      <c r="AF1124" t="s">
        <v>21</v>
      </c>
    </row>
    <row r="1125" spans="1:32">
      <c r="A1125" t="s">
        <v>1972</v>
      </c>
      <c r="B1125" s="37">
        <v>39958</v>
      </c>
      <c r="C1125" s="38">
        <v>39958</v>
      </c>
      <c r="D1125" s="38">
        <v>39958</v>
      </c>
      <c r="E1125" s="38">
        <v>39934</v>
      </c>
      <c r="F1125" s="39">
        <v>53</v>
      </c>
      <c r="G1125" t="s">
        <v>380</v>
      </c>
      <c r="H1125" t="s">
        <v>17</v>
      </c>
      <c r="I1125">
        <v>0</v>
      </c>
      <c r="J1125">
        <v>0</v>
      </c>
      <c r="K1125">
        <v>1</v>
      </c>
      <c r="L1125">
        <v>0</v>
      </c>
      <c r="M1125">
        <v>0</v>
      </c>
      <c r="N1125" t="s">
        <v>194</v>
      </c>
      <c r="O1125" t="s">
        <v>213</v>
      </c>
      <c r="P1125" t="s">
        <v>205</v>
      </c>
      <c r="Q1125" t="s">
        <v>170</v>
      </c>
      <c r="R1125" t="s">
        <v>155</v>
      </c>
      <c r="T1125" t="s">
        <v>134</v>
      </c>
      <c r="U1125">
        <v>1</v>
      </c>
      <c r="W1125" t="s">
        <v>134</v>
      </c>
      <c r="X1125">
        <v>1</v>
      </c>
      <c r="Y1125" t="s">
        <v>139</v>
      </c>
      <c r="Z1125" t="s">
        <v>178</v>
      </c>
      <c r="AA1125" t="s">
        <v>142</v>
      </c>
      <c r="AB1125" t="s">
        <v>163</v>
      </c>
      <c r="AC1125" t="s">
        <v>1973</v>
      </c>
      <c r="AD1125" t="s">
        <v>155</v>
      </c>
      <c r="AE1125" t="s">
        <v>124</v>
      </c>
      <c r="AF1125" t="s">
        <v>21</v>
      </c>
    </row>
    <row r="1126" spans="1:32">
      <c r="A1126" t="s">
        <v>1974</v>
      </c>
      <c r="B1126" s="37">
        <v>39917</v>
      </c>
      <c r="C1126" s="38">
        <v>39917</v>
      </c>
      <c r="D1126" s="38">
        <v>39916</v>
      </c>
      <c r="E1126" s="38">
        <v>39904</v>
      </c>
      <c r="F1126" s="39">
        <v>12</v>
      </c>
      <c r="G1126" t="s">
        <v>9</v>
      </c>
      <c r="H1126" t="s">
        <v>9</v>
      </c>
      <c r="I1126">
        <v>1</v>
      </c>
      <c r="J1126">
        <v>0</v>
      </c>
      <c r="K1126">
        <v>0</v>
      </c>
      <c r="L1126">
        <v>0</v>
      </c>
      <c r="M1126">
        <v>1</v>
      </c>
      <c r="N1126" t="s">
        <v>202</v>
      </c>
      <c r="O1126" t="s">
        <v>213</v>
      </c>
      <c r="P1126" t="s">
        <v>211</v>
      </c>
      <c r="Q1126" t="s">
        <v>170</v>
      </c>
      <c r="R1126" t="s">
        <v>155</v>
      </c>
      <c r="T1126" t="s">
        <v>134</v>
      </c>
      <c r="U1126">
        <v>1</v>
      </c>
      <c r="W1126" t="s">
        <v>134</v>
      </c>
      <c r="X1126">
        <v>1</v>
      </c>
      <c r="Y1126" t="s">
        <v>139</v>
      </c>
      <c r="Z1126" t="s">
        <v>178</v>
      </c>
      <c r="AA1126" t="s">
        <v>145</v>
      </c>
      <c r="AB1126" t="s">
        <v>162</v>
      </c>
      <c r="AC1126" t="s">
        <v>175</v>
      </c>
      <c r="AD1126" t="s">
        <v>155</v>
      </c>
      <c r="AE1126" t="s">
        <v>439</v>
      </c>
      <c r="AF1126" t="s">
        <v>21</v>
      </c>
    </row>
    <row r="1127" spans="1:32">
      <c r="A1127" t="s">
        <v>1975</v>
      </c>
      <c r="B1127" s="37">
        <v>39965</v>
      </c>
      <c r="C1127" s="38">
        <v>39965</v>
      </c>
      <c r="D1127" s="38">
        <v>39965</v>
      </c>
      <c r="E1127" s="38">
        <v>39965</v>
      </c>
      <c r="F1127" s="39">
        <v>60</v>
      </c>
      <c r="G1127" t="s">
        <v>21</v>
      </c>
      <c r="H1127" t="s">
        <v>21</v>
      </c>
      <c r="I1127">
        <v>0</v>
      </c>
      <c r="J1127">
        <v>0</v>
      </c>
      <c r="K1127">
        <v>0</v>
      </c>
      <c r="L1127">
        <v>1</v>
      </c>
      <c r="M1127">
        <v>0</v>
      </c>
      <c r="N1127" t="s">
        <v>195</v>
      </c>
      <c r="O1127" t="s">
        <v>213</v>
      </c>
      <c r="P1127" t="s">
        <v>206</v>
      </c>
      <c r="Q1127" t="s">
        <v>170</v>
      </c>
      <c r="R1127" t="s">
        <v>155</v>
      </c>
      <c r="T1127" t="s">
        <v>134</v>
      </c>
      <c r="U1127">
        <v>1</v>
      </c>
      <c r="W1127" t="s">
        <v>134</v>
      </c>
      <c r="X1127">
        <v>1</v>
      </c>
      <c r="Y1127" t="s">
        <v>139</v>
      </c>
      <c r="Z1127" t="s">
        <v>178</v>
      </c>
      <c r="AA1127" t="s">
        <v>143</v>
      </c>
      <c r="AB1127" t="s">
        <v>162</v>
      </c>
      <c r="AC1127" t="s">
        <v>21</v>
      </c>
      <c r="AD1127" t="s">
        <v>157</v>
      </c>
      <c r="AE1127" t="s">
        <v>127</v>
      </c>
      <c r="AF1127" t="s">
        <v>153</v>
      </c>
    </row>
    <row r="1128" spans="1:32">
      <c r="A1128" t="s">
        <v>1976</v>
      </c>
      <c r="B1128" s="37">
        <v>40075</v>
      </c>
      <c r="C1128" s="38">
        <v>40075</v>
      </c>
      <c r="D1128" s="38">
        <v>40070</v>
      </c>
      <c r="E1128" s="38">
        <v>40057</v>
      </c>
      <c r="F1128" s="39">
        <v>170</v>
      </c>
      <c r="G1128" t="s">
        <v>21</v>
      </c>
      <c r="H1128" t="s">
        <v>21</v>
      </c>
      <c r="I1128">
        <v>0</v>
      </c>
      <c r="J1128">
        <v>0</v>
      </c>
      <c r="K1128">
        <v>0</v>
      </c>
      <c r="L1128">
        <v>1</v>
      </c>
      <c r="M1128">
        <v>0</v>
      </c>
      <c r="N1128" t="s">
        <v>544</v>
      </c>
      <c r="O1128" t="s">
        <v>213</v>
      </c>
      <c r="P1128" t="s">
        <v>545</v>
      </c>
      <c r="Q1128" t="s">
        <v>170</v>
      </c>
      <c r="R1128" t="s">
        <v>155</v>
      </c>
      <c r="S1128">
        <v>1</v>
      </c>
      <c r="T1128" t="s">
        <v>136</v>
      </c>
      <c r="U1128">
        <v>0</v>
      </c>
      <c r="V1128">
        <v>3</v>
      </c>
      <c r="W1128" t="s">
        <v>137</v>
      </c>
      <c r="X1128">
        <v>0</v>
      </c>
      <c r="Y1128" t="s">
        <v>139</v>
      </c>
      <c r="Z1128" t="s">
        <v>180</v>
      </c>
      <c r="AA1128" t="s">
        <v>144</v>
      </c>
      <c r="AB1128" t="s">
        <v>163</v>
      </c>
      <c r="AC1128" t="s">
        <v>173</v>
      </c>
      <c r="AD1128" t="s">
        <v>155</v>
      </c>
      <c r="AE1128" t="s">
        <v>128</v>
      </c>
      <c r="AF1128" t="s">
        <v>21</v>
      </c>
    </row>
    <row r="1129" spans="1:32">
      <c r="A1129" t="s">
        <v>1977</v>
      </c>
      <c r="B1129" s="37">
        <v>40004</v>
      </c>
      <c r="C1129" s="38">
        <v>40004</v>
      </c>
      <c r="D1129" s="38">
        <v>40000</v>
      </c>
      <c r="E1129" s="38">
        <v>39995</v>
      </c>
      <c r="F1129" s="39">
        <v>99</v>
      </c>
      <c r="G1129" t="s">
        <v>383</v>
      </c>
      <c r="H1129" t="s">
        <v>17</v>
      </c>
      <c r="I1129">
        <v>0</v>
      </c>
      <c r="J1129">
        <v>0</v>
      </c>
      <c r="K1129">
        <v>1</v>
      </c>
      <c r="L1129">
        <v>0</v>
      </c>
      <c r="M1129">
        <v>0</v>
      </c>
      <c r="N1129" t="s">
        <v>196</v>
      </c>
      <c r="O1129" t="s">
        <v>213</v>
      </c>
      <c r="P1129" t="s">
        <v>207</v>
      </c>
      <c r="Q1129" t="s">
        <v>170</v>
      </c>
      <c r="R1129" t="s">
        <v>155</v>
      </c>
      <c r="S1129">
        <v>1</v>
      </c>
      <c r="T1129" t="s">
        <v>136</v>
      </c>
      <c r="U1129">
        <v>0</v>
      </c>
      <c r="V1129">
        <v>2</v>
      </c>
      <c r="W1129" t="s">
        <v>136</v>
      </c>
      <c r="X1129">
        <v>0</v>
      </c>
      <c r="Y1129" t="s">
        <v>139</v>
      </c>
      <c r="Z1129" t="s">
        <v>180</v>
      </c>
      <c r="AA1129" t="s">
        <v>144</v>
      </c>
      <c r="AB1129" t="s">
        <v>162</v>
      </c>
      <c r="AC1129" t="s">
        <v>1978</v>
      </c>
      <c r="AD1129" t="s">
        <v>155</v>
      </c>
      <c r="AE1129" t="s">
        <v>127</v>
      </c>
      <c r="AF1129" t="s">
        <v>21</v>
      </c>
    </row>
    <row r="1130" spans="1:32">
      <c r="A1130" t="s">
        <v>1979</v>
      </c>
      <c r="B1130" s="37">
        <v>40029</v>
      </c>
      <c r="C1130" s="38">
        <v>40029</v>
      </c>
      <c r="D1130" s="38">
        <v>40028</v>
      </c>
      <c r="E1130" s="38">
        <v>40026</v>
      </c>
      <c r="F1130" s="39">
        <v>124</v>
      </c>
      <c r="G1130" t="s">
        <v>380</v>
      </c>
      <c r="H1130" t="s">
        <v>17</v>
      </c>
      <c r="I1130">
        <v>0</v>
      </c>
      <c r="J1130">
        <v>0</v>
      </c>
      <c r="K1130">
        <v>1</v>
      </c>
      <c r="L1130">
        <v>0</v>
      </c>
      <c r="M1130">
        <v>0</v>
      </c>
      <c r="N1130" t="s">
        <v>544</v>
      </c>
      <c r="O1130" t="s">
        <v>213</v>
      </c>
      <c r="P1130" t="s">
        <v>545</v>
      </c>
      <c r="Q1130" t="s">
        <v>170</v>
      </c>
      <c r="R1130" t="s">
        <v>155</v>
      </c>
      <c r="S1130">
        <v>5</v>
      </c>
      <c r="T1130" t="s">
        <v>135</v>
      </c>
      <c r="U1130">
        <v>0</v>
      </c>
      <c r="V1130">
        <v>3</v>
      </c>
      <c r="W1130" t="s">
        <v>137</v>
      </c>
      <c r="X1130">
        <v>0</v>
      </c>
      <c r="Y1130" t="s">
        <v>139</v>
      </c>
      <c r="Z1130" t="s">
        <v>180</v>
      </c>
      <c r="AA1130" t="s">
        <v>148</v>
      </c>
      <c r="AB1130" t="s">
        <v>163</v>
      </c>
      <c r="AC1130" t="s">
        <v>173</v>
      </c>
      <c r="AD1130" t="s">
        <v>155</v>
      </c>
      <c r="AE1130" t="s">
        <v>510</v>
      </c>
      <c r="AF1130" t="s">
        <v>21</v>
      </c>
    </row>
    <row r="1131" spans="1:32">
      <c r="A1131" t="s">
        <v>1980</v>
      </c>
      <c r="B1131" s="37">
        <v>39962</v>
      </c>
      <c r="C1131" s="38">
        <v>39962</v>
      </c>
      <c r="D1131" s="38">
        <v>39958</v>
      </c>
      <c r="E1131" s="38">
        <v>39934</v>
      </c>
      <c r="F1131" s="39">
        <v>57</v>
      </c>
      <c r="G1131" t="s">
        <v>21</v>
      </c>
      <c r="H1131" t="s">
        <v>21</v>
      </c>
      <c r="I1131">
        <v>0</v>
      </c>
      <c r="J1131">
        <v>0</v>
      </c>
      <c r="K1131">
        <v>0</v>
      </c>
      <c r="L1131">
        <v>1</v>
      </c>
      <c r="M1131">
        <v>0</v>
      </c>
      <c r="N1131" t="s">
        <v>193</v>
      </c>
      <c r="O1131" t="s">
        <v>213</v>
      </c>
      <c r="P1131" t="s">
        <v>204</v>
      </c>
      <c r="Q1131" t="s">
        <v>170</v>
      </c>
      <c r="R1131" t="s">
        <v>155</v>
      </c>
      <c r="T1131" t="s">
        <v>134</v>
      </c>
      <c r="U1131">
        <v>1</v>
      </c>
      <c r="W1131" t="s">
        <v>134</v>
      </c>
      <c r="X1131">
        <v>1</v>
      </c>
      <c r="Y1131" t="s">
        <v>140</v>
      </c>
      <c r="Z1131" t="s">
        <v>180</v>
      </c>
      <c r="AA1131" t="s">
        <v>146</v>
      </c>
      <c r="AB1131" t="s">
        <v>163</v>
      </c>
      <c r="AC1131" t="s">
        <v>173</v>
      </c>
      <c r="AD1131" t="s">
        <v>155</v>
      </c>
      <c r="AE1131" t="s">
        <v>454</v>
      </c>
      <c r="AF1131" t="s">
        <v>21</v>
      </c>
    </row>
    <row r="1132" spans="1:32">
      <c r="A1132" t="s">
        <v>1981</v>
      </c>
      <c r="B1132" s="37">
        <v>39935</v>
      </c>
      <c r="C1132" s="38">
        <v>39935</v>
      </c>
      <c r="D1132" s="38">
        <v>39930</v>
      </c>
      <c r="E1132" s="38">
        <v>39934</v>
      </c>
      <c r="F1132" s="39">
        <v>30</v>
      </c>
      <c r="G1132" t="s">
        <v>21</v>
      </c>
      <c r="H1132" t="s">
        <v>21</v>
      </c>
      <c r="I1132">
        <v>0</v>
      </c>
      <c r="J1132">
        <v>0</v>
      </c>
      <c r="K1132">
        <v>0</v>
      </c>
      <c r="L1132">
        <v>1</v>
      </c>
      <c r="M1132">
        <v>0</v>
      </c>
      <c r="N1132" t="s">
        <v>198</v>
      </c>
      <c r="O1132" t="s">
        <v>213</v>
      </c>
      <c r="P1132" t="s">
        <v>208</v>
      </c>
      <c r="Q1132" t="s">
        <v>170</v>
      </c>
      <c r="R1132" t="s">
        <v>155</v>
      </c>
      <c r="T1132" t="s">
        <v>134</v>
      </c>
      <c r="U1132">
        <v>1</v>
      </c>
      <c r="W1132" t="s">
        <v>134</v>
      </c>
      <c r="X1132">
        <v>1</v>
      </c>
      <c r="Y1132" t="s">
        <v>139</v>
      </c>
      <c r="Z1132" t="s">
        <v>180</v>
      </c>
      <c r="AA1132" t="s">
        <v>142</v>
      </c>
      <c r="AB1132" t="s">
        <v>162</v>
      </c>
      <c r="AC1132" t="s">
        <v>174</v>
      </c>
      <c r="AD1132" t="s">
        <v>156</v>
      </c>
      <c r="AE1132" t="s">
        <v>120</v>
      </c>
      <c r="AF1132" t="s">
        <v>1982</v>
      </c>
    </row>
    <row r="1133" spans="1:32">
      <c r="A1133" t="s">
        <v>1983</v>
      </c>
      <c r="B1133" s="37">
        <v>39949</v>
      </c>
      <c r="C1133" s="38">
        <v>39949</v>
      </c>
      <c r="D1133" s="38">
        <v>39944</v>
      </c>
      <c r="E1133" s="38">
        <v>39934</v>
      </c>
      <c r="F1133" s="39">
        <v>44</v>
      </c>
      <c r="G1133" t="s">
        <v>21</v>
      </c>
      <c r="H1133" t="s">
        <v>21</v>
      </c>
      <c r="I1133">
        <v>0</v>
      </c>
      <c r="J1133">
        <v>0</v>
      </c>
      <c r="K1133">
        <v>0</v>
      </c>
      <c r="L1133">
        <v>1</v>
      </c>
      <c r="M1133">
        <v>0</v>
      </c>
      <c r="N1133" t="s">
        <v>193</v>
      </c>
      <c r="O1133" t="s">
        <v>213</v>
      </c>
      <c r="P1133" t="s">
        <v>204</v>
      </c>
      <c r="Q1133" t="s">
        <v>170</v>
      </c>
      <c r="R1133" t="s">
        <v>155</v>
      </c>
      <c r="T1133" t="s">
        <v>134</v>
      </c>
      <c r="U1133">
        <v>1</v>
      </c>
      <c r="W1133" t="s">
        <v>134</v>
      </c>
      <c r="X1133">
        <v>1</v>
      </c>
      <c r="Y1133" t="s">
        <v>140</v>
      </c>
      <c r="Z1133" t="s">
        <v>180</v>
      </c>
      <c r="AA1133" t="s">
        <v>151</v>
      </c>
      <c r="AB1133" t="s">
        <v>162</v>
      </c>
      <c r="AC1133" t="s">
        <v>1984</v>
      </c>
      <c r="AD1133" t="s">
        <v>156</v>
      </c>
      <c r="AE1133" t="s">
        <v>120</v>
      </c>
      <c r="AF1133" t="s">
        <v>1985</v>
      </c>
    </row>
    <row r="1134" spans="1:32">
      <c r="A1134" t="s">
        <v>1986</v>
      </c>
      <c r="B1134" s="37">
        <v>39976</v>
      </c>
      <c r="C1134" s="38">
        <v>39976</v>
      </c>
      <c r="D1134" s="38">
        <v>39972</v>
      </c>
      <c r="E1134" s="38">
        <v>39965</v>
      </c>
      <c r="F1134" s="39">
        <v>71</v>
      </c>
      <c r="G1134" t="s">
        <v>21</v>
      </c>
      <c r="H1134" t="s">
        <v>21</v>
      </c>
      <c r="I1134">
        <v>0</v>
      </c>
      <c r="J1134">
        <v>0</v>
      </c>
      <c r="K1134">
        <v>0</v>
      </c>
      <c r="L1134">
        <v>1</v>
      </c>
      <c r="M1134">
        <v>0</v>
      </c>
      <c r="N1134" t="s">
        <v>193</v>
      </c>
      <c r="O1134" t="s">
        <v>213</v>
      </c>
      <c r="P1134" t="s">
        <v>204</v>
      </c>
      <c r="Q1134" t="s">
        <v>170</v>
      </c>
      <c r="R1134" t="s">
        <v>155</v>
      </c>
      <c r="T1134" t="s">
        <v>134</v>
      </c>
      <c r="U1134">
        <v>1</v>
      </c>
      <c r="W1134" t="s">
        <v>134</v>
      </c>
      <c r="X1134">
        <v>1</v>
      </c>
      <c r="Y1134" t="s">
        <v>140</v>
      </c>
      <c r="Z1134" t="s">
        <v>180</v>
      </c>
      <c r="AA1134" t="s">
        <v>142</v>
      </c>
      <c r="AB1134" t="s">
        <v>163</v>
      </c>
      <c r="AC1134" t="s">
        <v>1987</v>
      </c>
      <c r="AD1134" t="s">
        <v>155</v>
      </c>
      <c r="AE1134" t="s">
        <v>387</v>
      </c>
      <c r="AF1134" t="s">
        <v>21</v>
      </c>
    </row>
    <row r="1135" spans="1:32">
      <c r="A1135" t="s">
        <v>1988</v>
      </c>
      <c r="B1135" s="37">
        <v>40014</v>
      </c>
      <c r="C1135" s="38">
        <v>40014</v>
      </c>
      <c r="D1135" s="38">
        <v>40014</v>
      </c>
      <c r="E1135" s="38">
        <v>39995</v>
      </c>
      <c r="F1135" s="39">
        <v>109</v>
      </c>
      <c r="G1135" t="s">
        <v>9</v>
      </c>
      <c r="H1135" t="s">
        <v>9</v>
      </c>
      <c r="I1135">
        <v>1</v>
      </c>
      <c r="J1135">
        <v>0</v>
      </c>
      <c r="K1135">
        <v>0</v>
      </c>
      <c r="L1135">
        <v>0</v>
      </c>
      <c r="M1135">
        <v>1</v>
      </c>
      <c r="N1135" t="s">
        <v>196</v>
      </c>
      <c r="O1135" t="s">
        <v>213</v>
      </c>
      <c r="P1135" t="s">
        <v>207</v>
      </c>
      <c r="Q1135" t="s">
        <v>170</v>
      </c>
      <c r="R1135" t="s">
        <v>155</v>
      </c>
      <c r="S1135">
        <v>5</v>
      </c>
      <c r="T1135" t="s">
        <v>135</v>
      </c>
      <c r="U1135">
        <v>0</v>
      </c>
      <c r="V1135">
        <v>3</v>
      </c>
      <c r="W1135" t="s">
        <v>137</v>
      </c>
      <c r="X1135">
        <v>0</v>
      </c>
      <c r="Y1135" t="s">
        <v>139</v>
      </c>
      <c r="Z1135" t="s">
        <v>180</v>
      </c>
      <c r="AA1135" t="s">
        <v>143</v>
      </c>
      <c r="AB1135" t="s">
        <v>162</v>
      </c>
      <c r="AC1135" t="s">
        <v>175</v>
      </c>
      <c r="AD1135" t="s">
        <v>155</v>
      </c>
      <c r="AE1135" t="s">
        <v>129</v>
      </c>
      <c r="AF1135" t="s">
        <v>21</v>
      </c>
    </row>
    <row r="1136" spans="1:32">
      <c r="A1136" t="s">
        <v>1989</v>
      </c>
      <c r="B1136" s="37">
        <v>39987</v>
      </c>
      <c r="C1136" s="38">
        <v>39987</v>
      </c>
      <c r="D1136" s="38">
        <v>39986</v>
      </c>
      <c r="E1136" s="38">
        <v>39965</v>
      </c>
      <c r="F1136" s="39">
        <v>82</v>
      </c>
      <c r="G1136" t="s">
        <v>21</v>
      </c>
      <c r="H1136" t="s">
        <v>21</v>
      </c>
      <c r="I1136">
        <v>0</v>
      </c>
      <c r="J1136">
        <v>0</v>
      </c>
      <c r="K1136">
        <v>0</v>
      </c>
      <c r="L1136">
        <v>1</v>
      </c>
      <c r="M1136">
        <v>0</v>
      </c>
      <c r="N1136" t="s">
        <v>196</v>
      </c>
      <c r="O1136" t="s">
        <v>213</v>
      </c>
      <c r="P1136" t="s">
        <v>207</v>
      </c>
      <c r="Q1136" t="s">
        <v>170</v>
      </c>
      <c r="R1136" t="s">
        <v>155</v>
      </c>
      <c r="T1136" t="s">
        <v>134</v>
      </c>
      <c r="U1136">
        <v>1</v>
      </c>
      <c r="W1136" t="s">
        <v>134</v>
      </c>
      <c r="X1136">
        <v>1</v>
      </c>
      <c r="Y1136" t="s">
        <v>139</v>
      </c>
      <c r="Z1136" t="s">
        <v>188</v>
      </c>
      <c r="AA1136" t="s">
        <v>149</v>
      </c>
      <c r="AB1136" t="s">
        <v>162</v>
      </c>
      <c r="AC1136" t="s">
        <v>622</v>
      </c>
      <c r="AD1136" t="s">
        <v>155</v>
      </c>
      <c r="AE1136" t="s">
        <v>130</v>
      </c>
      <c r="AF1136" t="s">
        <v>21</v>
      </c>
    </row>
    <row r="1137" spans="1:32">
      <c r="A1137" t="s">
        <v>1990</v>
      </c>
      <c r="B1137" s="37">
        <v>40032</v>
      </c>
      <c r="C1137" s="38">
        <v>40032</v>
      </c>
      <c r="D1137" s="38">
        <v>40028</v>
      </c>
      <c r="E1137" s="38">
        <v>40026</v>
      </c>
      <c r="F1137" s="39">
        <v>127</v>
      </c>
      <c r="G1137" t="s">
        <v>21</v>
      </c>
      <c r="H1137" t="s">
        <v>21</v>
      </c>
      <c r="I1137">
        <v>0</v>
      </c>
      <c r="J1137">
        <v>0</v>
      </c>
      <c r="K1137">
        <v>0</v>
      </c>
      <c r="L1137">
        <v>1</v>
      </c>
      <c r="M1137">
        <v>0</v>
      </c>
      <c r="N1137" t="s">
        <v>544</v>
      </c>
      <c r="O1137" t="s">
        <v>213</v>
      </c>
      <c r="P1137" t="s">
        <v>545</v>
      </c>
      <c r="Q1137" t="s">
        <v>170</v>
      </c>
      <c r="R1137" t="s">
        <v>155</v>
      </c>
      <c r="S1137">
        <v>1</v>
      </c>
      <c r="T1137" t="s">
        <v>136</v>
      </c>
      <c r="U1137">
        <v>0</v>
      </c>
      <c r="V1137">
        <v>5</v>
      </c>
      <c r="W1137" t="s">
        <v>135</v>
      </c>
      <c r="X1137">
        <v>0</v>
      </c>
      <c r="Y1137" t="s">
        <v>139</v>
      </c>
      <c r="Z1137" t="s">
        <v>179</v>
      </c>
      <c r="AA1137" t="s">
        <v>146</v>
      </c>
      <c r="AB1137" t="s">
        <v>165</v>
      </c>
      <c r="AC1137" t="s">
        <v>21</v>
      </c>
      <c r="AD1137" t="s">
        <v>158</v>
      </c>
      <c r="AE1137" t="s">
        <v>122</v>
      </c>
      <c r="AF1137" t="s">
        <v>21</v>
      </c>
    </row>
    <row r="1138" spans="1:32">
      <c r="A1138" t="s">
        <v>1991</v>
      </c>
      <c r="B1138" s="37">
        <v>39989</v>
      </c>
      <c r="C1138" s="38">
        <v>39989</v>
      </c>
      <c r="D1138" s="38">
        <v>39986</v>
      </c>
      <c r="E1138" s="38">
        <v>39965</v>
      </c>
      <c r="F1138" s="39">
        <v>84</v>
      </c>
      <c r="G1138" t="s">
        <v>21</v>
      </c>
      <c r="H1138" t="s">
        <v>21</v>
      </c>
      <c r="I1138">
        <v>0</v>
      </c>
      <c r="J1138">
        <v>0</v>
      </c>
      <c r="K1138">
        <v>0</v>
      </c>
      <c r="L1138">
        <v>1</v>
      </c>
      <c r="M1138">
        <v>0</v>
      </c>
      <c r="N1138" t="s">
        <v>193</v>
      </c>
      <c r="O1138" t="s">
        <v>213</v>
      </c>
      <c r="P1138" t="s">
        <v>204</v>
      </c>
      <c r="Q1138" t="s">
        <v>170</v>
      </c>
      <c r="R1138" t="s">
        <v>155</v>
      </c>
      <c r="T1138" t="s">
        <v>134</v>
      </c>
      <c r="U1138">
        <v>1</v>
      </c>
      <c r="W1138" t="s">
        <v>134</v>
      </c>
      <c r="X1138">
        <v>1</v>
      </c>
      <c r="Y1138" t="s">
        <v>140</v>
      </c>
      <c r="Z1138" t="s">
        <v>179</v>
      </c>
      <c r="AA1138" t="s">
        <v>151</v>
      </c>
      <c r="AB1138" t="s">
        <v>163</v>
      </c>
      <c r="AC1138" t="s">
        <v>173</v>
      </c>
      <c r="AD1138" t="s">
        <v>788</v>
      </c>
      <c r="AE1138" t="s">
        <v>1992</v>
      </c>
      <c r="AF1138" t="s">
        <v>21</v>
      </c>
    </row>
    <row r="1139" spans="1:32">
      <c r="A1139" t="s">
        <v>1993</v>
      </c>
      <c r="B1139" s="37">
        <v>39946</v>
      </c>
      <c r="C1139" s="38">
        <v>39946</v>
      </c>
      <c r="D1139" s="38">
        <v>39944</v>
      </c>
      <c r="E1139" s="38">
        <v>39934</v>
      </c>
      <c r="F1139" s="39">
        <v>41</v>
      </c>
      <c r="G1139" t="s">
        <v>21</v>
      </c>
      <c r="H1139" t="s">
        <v>21</v>
      </c>
      <c r="I1139">
        <v>0</v>
      </c>
      <c r="J1139">
        <v>0</v>
      </c>
      <c r="K1139">
        <v>0</v>
      </c>
      <c r="L1139">
        <v>1</v>
      </c>
      <c r="M1139">
        <v>0</v>
      </c>
      <c r="N1139" t="s">
        <v>194</v>
      </c>
      <c r="O1139" t="s">
        <v>213</v>
      </c>
      <c r="P1139" t="s">
        <v>205</v>
      </c>
      <c r="Q1139" t="s">
        <v>170</v>
      </c>
      <c r="R1139" t="s">
        <v>155</v>
      </c>
      <c r="T1139" t="s">
        <v>134</v>
      </c>
      <c r="U1139">
        <v>1</v>
      </c>
      <c r="W1139" t="s">
        <v>134</v>
      </c>
      <c r="X1139">
        <v>1</v>
      </c>
      <c r="Y1139" t="s">
        <v>139</v>
      </c>
      <c r="Z1139" t="s">
        <v>181</v>
      </c>
      <c r="AA1139" t="s">
        <v>143</v>
      </c>
      <c r="AB1139" t="s">
        <v>165</v>
      </c>
      <c r="AC1139" t="s">
        <v>21</v>
      </c>
      <c r="AD1139" t="s">
        <v>158</v>
      </c>
      <c r="AE1139" t="s">
        <v>122</v>
      </c>
      <c r="AF1139" t="s">
        <v>21</v>
      </c>
    </row>
    <row r="1140" spans="1:32">
      <c r="A1140" t="s">
        <v>1994</v>
      </c>
      <c r="B1140" s="37">
        <v>39952</v>
      </c>
      <c r="C1140" s="38">
        <v>39952</v>
      </c>
      <c r="D1140" s="38">
        <v>39951</v>
      </c>
      <c r="E1140" s="38">
        <v>39934</v>
      </c>
      <c r="F1140" s="39">
        <v>47</v>
      </c>
      <c r="G1140" t="s">
        <v>21</v>
      </c>
      <c r="H1140" t="s">
        <v>21</v>
      </c>
      <c r="I1140">
        <v>0</v>
      </c>
      <c r="J1140">
        <v>0</v>
      </c>
      <c r="K1140">
        <v>0</v>
      </c>
      <c r="L1140">
        <v>1</v>
      </c>
      <c r="M1140">
        <v>0</v>
      </c>
      <c r="N1140" t="s">
        <v>193</v>
      </c>
      <c r="O1140" t="s">
        <v>213</v>
      </c>
      <c r="P1140" t="s">
        <v>204</v>
      </c>
      <c r="Q1140" t="s">
        <v>170</v>
      </c>
      <c r="R1140" t="s">
        <v>155</v>
      </c>
      <c r="T1140" t="s">
        <v>134</v>
      </c>
      <c r="U1140">
        <v>1</v>
      </c>
      <c r="W1140" t="s">
        <v>134</v>
      </c>
      <c r="X1140">
        <v>1</v>
      </c>
      <c r="Y1140" t="s">
        <v>140</v>
      </c>
      <c r="Z1140" t="s">
        <v>179</v>
      </c>
      <c r="AA1140" t="s">
        <v>148</v>
      </c>
      <c r="AB1140" t="s">
        <v>165</v>
      </c>
      <c r="AC1140" t="s">
        <v>1995</v>
      </c>
      <c r="AD1140" t="s">
        <v>158</v>
      </c>
      <c r="AE1140" t="s">
        <v>122</v>
      </c>
      <c r="AF1140" t="s">
        <v>21</v>
      </c>
    </row>
    <row r="1141" spans="1:32">
      <c r="A1141" t="s">
        <v>1996</v>
      </c>
      <c r="B1141" s="37">
        <v>39994</v>
      </c>
      <c r="C1141" s="38">
        <v>39994</v>
      </c>
      <c r="D1141" s="38">
        <v>39993</v>
      </c>
      <c r="E1141" s="38">
        <v>39965</v>
      </c>
      <c r="F1141" s="39">
        <v>89</v>
      </c>
      <c r="G1141" t="s">
        <v>21</v>
      </c>
      <c r="H1141" t="s">
        <v>21</v>
      </c>
      <c r="I1141">
        <v>0</v>
      </c>
      <c r="J1141">
        <v>0</v>
      </c>
      <c r="K1141">
        <v>0</v>
      </c>
      <c r="L1141">
        <v>1</v>
      </c>
      <c r="M1141">
        <v>0</v>
      </c>
      <c r="N1141" t="s">
        <v>194</v>
      </c>
      <c r="O1141" t="s">
        <v>213</v>
      </c>
      <c r="P1141" t="s">
        <v>205</v>
      </c>
      <c r="Q1141" t="s">
        <v>170</v>
      </c>
      <c r="R1141" t="s">
        <v>155</v>
      </c>
      <c r="T1141" t="s">
        <v>134</v>
      </c>
      <c r="U1141">
        <v>1</v>
      </c>
      <c r="V1141">
        <v>3</v>
      </c>
      <c r="W1141" t="s">
        <v>137</v>
      </c>
      <c r="X1141">
        <v>0</v>
      </c>
      <c r="Y1141" t="s">
        <v>139</v>
      </c>
      <c r="Z1141" t="s">
        <v>179</v>
      </c>
      <c r="AA1141" t="s">
        <v>144</v>
      </c>
      <c r="AB1141" t="s">
        <v>163</v>
      </c>
      <c r="AC1141" t="s">
        <v>1228</v>
      </c>
      <c r="AD1141" t="s">
        <v>155</v>
      </c>
      <c r="AE1141" t="s">
        <v>956</v>
      </c>
      <c r="AF1141" t="s">
        <v>21</v>
      </c>
    </row>
    <row r="1142" spans="1:32">
      <c r="A1142" t="s">
        <v>1997</v>
      </c>
      <c r="B1142" s="37">
        <v>39955</v>
      </c>
      <c r="C1142" s="38">
        <v>39955</v>
      </c>
      <c r="D1142" s="38">
        <v>39951</v>
      </c>
      <c r="E1142" s="38">
        <v>39934</v>
      </c>
      <c r="F1142" s="39">
        <v>50</v>
      </c>
      <c r="G1142" t="s">
        <v>21</v>
      </c>
      <c r="H1142" t="s">
        <v>21</v>
      </c>
      <c r="I1142">
        <v>0</v>
      </c>
      <c r="J1142">
        <v>0</v>
      </c>
      <c r="K1142">
        <v>0</v>
      </c>
      <c r="L1142">
        <v>1</v>
      </c>
      <c r="M1142">
        <v>0</v>
      </c>
      <c r="N1142" t="s">
        <v>193</v>
      </c>
      <c r="O1142" t="s">
        <v>213</v>
      </c>
      <c r="P1142" t="s">
        <v>204</v>
      </c>
      <c r="Q1142" t="s">
        <v>170</v>
      </c>
      <c r="R1142" t="s">
        <v>155</v>
      </c>
      <c r="T1142" t="s">
        <v>134</v>
      </c>
      <c r="U1142">
        <v>1</v>
      </c>
      <c r="W1142" t="s">
        <v>134</v>
      </c>
      <c r="X1142">
        <v>1</v>
      </c>
      <c r="Y1142" t="s">
        <v>140</v>
      </c>
      <c r="Z1142" t="s">
        <v>181</v>
      </c>
      <c r="AA1142" t="s">
        <v>149</v>
      </c>
      <c r="AB1142" t="s">
        <v>163</v>
      </c>
      <c r="AC1142" t="s">
        <v>415</v>
      </c>
      <c r="AD1142" t="s">
        <v>155</v>
      </c>
      <c r="AE1142" t="s">
        <v>125</v>
      </c>
      <c r="AF1142" t="s">
        <v>21</v>
      </c>
    </row>
    <row r="1143" spans="1:32">
      <c r="A1143" t="s">
        <v>1998</v>
      </c>
      <c r="B1143" s="37">
        <v>40021</v>
      </c>
      <c r="C1143" s="38">
        <v>40021</v>
      </c>
      <c r="D1143" s="38">
        <v>40021</v>
      </c>
      <c r="E1143" s="38">
        <v>39995</v>
      </c>
      <c r="F1143" s="39">
        <v>116</v>
      </c>
      <c r="G1143" t="s">
        <v>383</v>
      </c>
      <c r="H1143" t="s">
        <v>17</v>
      </c>
      <c r="I1143">
        <v>0</v>
      </c>
      <c r="J1143">
        <v>0</v>
      </c>
      <c r="K1143">
        <v>1</v>
      </c>
      <c r="L1143">
        <v>0</v>
      </c>
      <c r="M1143">
        <v>0</v>
      </c>
      <c r="N1143" t="s">
        <v>196</v>
      </c>
      <c r="O1143" t="s">
        <v>213</v>
      </c>
      <c r="P1143" t="s">
        <v>207</v>
      </c>
      <c r="Q1143" t="s">
        <v>170</v>
      </c>
      <c r="R1143" t="s">
        <v>155</v>
      </c>
      <c r="S1143">
        <v>5</v>
      </c>
      <c r="T1143" t="s">
        <v>135</v>
      </c>
      <c r="U1143">
        <v>0</v>
      </c>
      <c r="V1143">
        <v>5</v>
      </c>
      <c r="W1143" t="s">
        <v>135</v>
      </c>
      <c r="X1143">
        <v>0</v>
      </c>
      <c r="Y1143" t="s">
        <v>139</v>
      </c>
      <c r="Z1143" t="s">
        <v>181</v>
      </c>
      <c r="AA1143" t="s">
        <v>142</v>
      </c>
      <c r="AB1143" t="s">
        <v>162</v>
      </c>
      <c r="AC1143" t="s">
        <v>597</v>
      </c>
      <c r="AD1143" t="s">
        <v>155</v>
      </c>
      <c r="AE1143" t="s">
        <v>130</v>
      </c>
      <c r="AF1143" t="s">
        <v>21</v>
      </c>
    </row>
    <row r="1144" spans="1:32">
      <c r="A1144" t="s">
        <v>1999</v>
      </c>
      <c r="B1144" s="37">
        <v>39931</v>
      </c>
      <c r="C1144" s="38">
        <v>39931</v>
      </c>
      <c r="D1144" s="38">
        <v>39930</v>
      </c>
      <c r="E1144" s="38">
        <v>39904</v>
      </c>
      <c r="F1144" s="39">
        <v>26</v>
      </c>
      <c r="G1144" t="s">
        <v>21</v>
      </c>
      <c r="H1144" t="s">
        <v>21</v>
      </c>
      <c r="I1144">
        <v>0</v>
      </c>
      <c r="J1144">
        <v>0</v>
      </c>
      <c r="K1144">
        <v>0</v>
      </c>
      <c r="L1144">
        <v>1</v>
      </c>
      <c r="M1144">
        <v>0</v>
      </c>
      <c r="N1144" t="s">
        <v>198</v>
      </c>
      <c r="O1144" t="s">
        <v>213</v>
      </c>
      <c r="P1144" t="s">
        <v>208</v>
      </c>
      <c r="Q1144" t="s">
        <v>170</v>
      </c>
      <c r="R1144" t="s">
        <v>155</v>
      </c>
      <c r="T1144" t="s">
        <v>134</v>
      </c>
      <c r="U1144">
        <v>1</v>
      </c>
      <c r="W1144" t="s">
        <v>134</v>
      </c>
      <c r="X1144">
        <v>1</v>
      </c>
      <c r="Y1144" t="s">
        <v>139</v>
      </c>
      <c r="Z1144" t="s">
        <v>181</v>
      </c>
      <c r="AA1144" t="s">
        <v>142</v>
      </c>
      <c r="AB1144" t="s">
        <v>163</v>
      </c>
      <c r="AC1144" t="s">
        <v>173</v>
      </c>
      <c r="AD1144" t="s">
        <v>155</v>
      </c>
      <c r="AE1144" t="s">
        <v>124</v>
      </c>
      <c r="AF1144" t="s">
        <v>21</v>
      </c>
    </row>
    <row r="1145" spans="1:32">
      <c r="A1145" t="s">
        <v>2000</v>
      </c>
      <c r="B1145" s="37">
        <v>39963</v>
      </c>
      <c r="C1145" s="38">
        <v>39963</v>
      </c>
      <c r="D1145" s="38">
        <v>39958</v>
      </c>
      <c r="E1145" s="38">
        <v>39934</v>
      </c>
      <c r="F1145" s="39">
        <v>58</v>
      </c>
      <c r="G1145" t="s">
        <v>21</v>
      </c>
      <c r="H1145" t="s">
        <v>21</v>
      </c>
      <c r="I1145">
        <v>0</v>
      </c>
      <c r="J1145">
        <v>0</v>
      </c>
      <c r="K1145">
        <v>0</v>
      </c>
      <c r="L1145">
        <v>1</v>
      </c>
      <c r="M1145">
        <v>0</v>
      </c>
      <c r="N1145" t="s">
        <v>193</v>
      </c>
      <c r="O1145" t="s">
        <v>213</v>
      </c>
      <c r="P1145" t="s">
        <v>204</v>
      </c>
      <c r="Q1145" t="s">
        <v>170</v>
      </c>
      <c r="R1145" t="s">
        <v>155</v>
      </c>
      <c r="T1145" t="s">
        <v>134</v>
      </c>
      <c r="U1145">
        <v>1</v>
      </c>
      <c r="W1145" t="s">
        <v>134</v>
      </c>
      <c r="X1145">
        <v>1</v>
      </c>
      <c r="Y1145" t="s">
        <v>140</v>
      </c>
      <c r="Z1145" t="s">
        <v>181</v>
      </c>
      <c r="AA1145" t="s">
        <v>144</v>
      </c>
      <c r="AB1145" t="s">
        <v>163</v>
      </c>
      <c r="AC1145" t="s">
        <v>902</v>
      </c>
      <c r="AD1145" t="s">
        <v>155</v>
      </c>
      <c r="AE1145" t="s">
        <v>125</v>
      </c>
      <c r="AF1145" t="s">
        <v>21</v>
      </c>
    </row>
    <row r="1146" spans="1:32">
      <c r="A1146" t="s">
        <v>2001</v>
      </c>
      <c r="B1146" s="37">
        <v>40014</v>
      </c>
      <c r="C1146" s="38">
        <v>40014</v>
      </c>
      <c r="D1146" s="38">
        <v>40014</v>
      </c>
      <c r="E1146" s="38">
        <v>39995</v>
      </c>
      <c r="F1146" s="39">
        <v>109</v>
      </c>
      <c r="G1146" t="s">
        <v>21</v>
      </c>
      <c r="H1146" t="s">
        <v>21</v>
      </c>
      <c r="I1146">
        <v>0</v>
      </c>
      <c r="J1146">
        <v>0</v>
      </c>
      <c r="K1146">
        <v>0</v>
      </c>
      <c r="L1146">
        <v>1</v>
      </c>
      <c r="M1146">
        <v>0</v>
      </c>
      <c r="N1146" t="s">
        <v>193</v>
      </c>
      <c r="O1146" t="s">
        <v>213</v>
      </c>
      <c r="P1146" t="s">
        <v>204</v>
      </c>
      <c r="Q1146" t="s">
        <v>170</v>
      </c>
      <c r="R1146" t="s">
        <v>155</v>
      </c>
      <c r="S1146">
        <v>5</v>
      </c>
      <c r="T1146" t="s">
        <v>135</v>
      </c>
      <c r="U1146">
        <v>0</v>
      </c>
      <c r="V1146">
        <v>5</v>
      </c>
      <c r="W1146" t="s">
        <v>135</v>
      </c>
      <c r="X1146">
        <v>0</v>
      </c>
      <c r="Y1146" t="s">
        <v>140</v>
      </c>
      <c r="Z1146" t="s">
        <v>181</v>
      </c>
      <c r="AA1146" t="s">
        <v>149</v>
      </c>
      <c r="AB1146" t="s">
        <v>162</v>
      </c>
      <c r="AC1146" t="s">
        <v>2002</v>
      </c>
      <c r="AD1146" t="s">
        <v>155</v>
      </c>
      <c r="AE1146" t="s">
        <v>130</v>
      </c>
      <c r="AF1146" t="s">
        <v>21</v>
      </c>
    </row>
    <row r="1147" spans="1:32">
      <c r="A1147" t="s">
        <v>2003</v>
      </c>
      <c r="B1147" s="37">
        <v>39964</v>
      </c>
      <c r="C1147" s="38">
        <v>39964</v>
      </c>
      <c r="D1147" s="38">
        <v>39958</v>
      </c>
      <c r="E1147" s="38">
        <v>39934</v>
      </c>
      <c r="F1147" s="39">
        <v>59</v>
      </c>
      <c r="G1147" t="s">
        <v>525</v>
      </c>
      <c r="H1147" t="s">
        <v>17</v>
      </c>
      <c r="I1147">
        <v>0</v>
      </c>
      <c r="J1147">
        <v>0</v>
      </c>
      <c r="K1147">
        <v>1</v>
      </c>
      <c r="L1147">
        <v>0</v>
      </c>
      <c r="M1147">
        <v>0</v>
      </c>
      <c r="N1147" t="s">
        <v>194</v>
      </c>
      <c r="O1147" t="s">
        <v>213</v>
      </c>
      <c r="P1147" t="s">
        <v>205</v>
      </c>
      <c r="Q1147" t="s">
        <v>170</v>
      </c>
      <c r="R1147" t="s">
        <v>155</v>
      </c>
      <c r="T1147" t="s">
        <v>134</v>
      </c>
      <c r="U1147">
        <v>1</v>
      </c>
      <c r="W1147" t="s">
        <v>134</v>
      </c>
      <c r="X1147">
        <v>1</v>
      </c>
      <c r="Y1147" t="s">
        <v>139</v>
      </c>
      <c r="Z1147" t="s">
        <v>181</v>
      </c>
      <c r="AA1147" t="s">
        <v>143</v>
      </c>
      <c r="AB1147" t="s">
        <v>163</v>
      </c>
      <c r="AC1147" t="s">
        <v>173</v>
      </c>
      <c r="AD1147" t="s">
        <v>155</v>
      </c>
      <c r="AE1147" t="s">
        <v>127</v>
      </c>
      <c r="AF1147" t="s">
        <v>21</v>
      </c>
    </row>
    <row r="1148" spans="1:32">
      <c r="A1148" t="s">
        <v>2004</v>
      </c>
      <c r="B1148" s="37">
        <v>39972</v>
      </c>
      <c r="C1148" s="38">
        <v>39972</v>
      </c>
      <c r="D1148" s="38">
        <v>39972</v>
      </c>
      <c r="E1148" s="38">
        <v>39965</v>
      </c>
      <c r="F1148" s="39">
        <v>67</v>
      </c>
      <c r="G1148" t="s">
        <v>9</v>
      </c>
      <c r="H1148" t="s">
        <v>9</v>
      </c>
      <c r="I1148">
        <v>1</v>
      </c>
      <c r="J1148">
        <v>0</v>
      </c>
      <c r="K1148">
        <v>0</v>
      </c>
      <c r="L1148">
        <v>0</v>
      </c>
      <c r="M1148">
        <v>1</v>
      </c>
      <c r="N1148" t="s">
        <v>193</v>
      </c>
      <c r="O1148" t="s">
        <v>213</v>
      </c>
      <c r="P1148" t="s">
        <v>204</v>
      </c>
      <c r="Q1148" t="s">
        <v>170</v>
      </c>
      <c r="R1148" t="s">
        <v>155</v>
      </c>
      <c r="T1148" t="s">
        <v>134</v>
      </c>
      <c r="U1148">
        <v>1</v>
      </c>
      <c r="W1148" t="s">
        <v>134</v>
      </c>
      <c r="X1148">
        <v>1</v>
      </c>
      <c r="Y1148" t="s">
        <v>140</v>
      </c>
      <c r="Z1148" t="s">
        <v>179</v>
      </c>
      <c r="AA1148" t="s">
        <v>144</v>
      </c>
      <c r="AB1148" t="s">
        <v>162</v>
      </c>
      <c r="AC1148" t="s">
        <v>174</v>
      </c>
      <c r="AD1148" t="s">
        <v>156</v>
      </c>
      <c r="AE1148" t="s">
        <v>120</v>
      </c>
      <c r="AF1148" t="s">
        <v>1785</v>
      </c>
    </row>
    <row r="1149" spans="1:32">
      <c r="A1149" t="s">
        <v>2005</v>
      </c>
      <c r="B1149" s="37">
        <v>40000</v>
      </c>
      <c r="C1149" s="38">
        <v>40000</v>
      </c>
      <c r="D1149" s="38">
        <v>40000</v>
      </c>
      <c r="E1149" s="38">
        <v>39995</v>
      </c>
      <c r="F1149" s="39">
        <v>95</v>
      </c>
      <c r="G1149" t="s">
        <v>21</v>
      </c>
      <c r="H1149" t="s">
        <v>21</v>
      </c>
      <c r="I1149">
        <v>0</v>
      </c>
      <c r="J1149">
        <v>0</v>
      </c>
      <c r="K1149">
        <v>0</v>
      </c>
      <c r="L1149">
        <v>1</v>
      </c>
      <c r="M1149">
        <v>0</v>
      </c>
      <c r="N1149" t="s">
        <v>193</v>
      </c>
      <c r="O1149" t="s">
        <v>213</v>
      </c>
      <c r="P1149" t="s">
        <v>204</v>
      </c>
      <c r="Q1149" t="s">
        <v>170</v>
      </c>
      <c r="R1149" t="s">
        <v>155</v>
      </c>
      <c r="T1149" t="s">
        <v>134</v>
      </c>
      <c r="U1149">
        <v>1</v>
      </c>
      <c r="V1149">
        <v>5</v>
      </c>
      <c r="W1149" t="s">
        <v>135</v>
      </c>
      <c r="X1149">
        <v>0</v>
      </c>
      <c r="Y1149" t="s">
        <v>140</v>
      </c>
      <c r="Z1149" t="s">
        <v>181</v>
      </c>
      <c r="AA1149" t="s">
        <v>149</v>
      </c>
      <c r="AB1149" t="s">
        <v>162</v>
      </c>
      <c r="AC1149" t="s">
        <v>567</v>
      </c>
      <c r="AD1149" t="s">
        <v>155</v>
      </c>
      <c r="AE1149" t="s">
        <v>130</v>
      </c>
      <c r="AF1149" t="s">
        <v>21</v>
      </c>
    </row>
    <row r="1150" spans="1:32">
      <c r="A1150" t="s">
        <v>2006</v>
      </c>
      <c r="B1150" s="37">
        <v>39970</v>
      </c>
      <c r="C1150" s="38">
        <v>39970</v>
      </c>
      <c r="D1150" s="38">
        <v>39965</v>
      </c>
      <c r="E1150" s="38">
        <v>39965</v>
      </c>
      <c r="F1150" s="39">
        <v>65</v>
      </c>
      <c r="G1150" t="s">
        <v>21</v>
      </c>
      <c r="H1150" t="s">
        <v>21</v>
      </c>
      <c r="I1150">
        <v>0</v>
      </c>
      <c r="J1150">
        <v>0</v>
      </c>
      <c r="K1150">
        <v>0</v>
      </c>
      <c r="L1150">
        <v>1</v>
      </c>
      <c r="M1150">
        <v>0</v>
      </c>
      <c r="N1150" t="s">
        <v>193</v>
      </c>
      <c r="O1150" t="s">
        <v>213</v>
      </c>
      <c r="P1150" t="s">
        <v>204</v>
      </c>
      <c r="Q1150" t="s">
        <v>170</v>
      </c>
      <c r="R1150" t="s">
        <v>155</v>
      </c>
      <c r="T1150" t="s">
        <v>134</v>
      </c>
      <c r="U1150">
        <v>1</v>
      </c>
      <c r="W1150" t="s">
        <v>134</v>
      </c>
      <c r="X1150">
        <v>1</v>
      </c>
      <c r="Y1150" t="s">
        <v>140</v>
      </c>
      <c r="Z1150" t="s">
        <v>187</v>
      </c>
      <c r="AA1150" t="s">
        <v>150</v>
      </c>
      <c r="AB1150" t="s">
        <v>163</v>
      </c>
      <c r="AC1150" t="s">
        <v>173</v>
      </c>
      <c r="AD1150" t="s">
        <v>161</v>
      </c>
      <c r="AE1150" t="s">
        <v>1473</v>
      </c>
      <c r="AF1150" t="s">
        <v>21</v>
      </c>
    </row>
    <row r="1151" spans="1:32">
      <c r="A1151" t="s">
        <v>2007</v>
      </c>
      <c r="B1151" s="37">
        <v>39962</v>
      </c>
      <c r="C1151" s="38">
        <v>39962</v>
      </c>
      <c r="D1151" s="38">
        <v>39958</v>
      </c>
      <c r="E1151" s="38">
        <v>39934</v>
      </c>
      <c r="F1151" s="39">
        <v>57</v>
      </c>
      <c r="G1151" t="s">
        <v>21</v>
      </c>
      <c r="H1151" t="s">
        <v>21</v>
      </c>
      <c r="I1151">
        <v>0</v>
      </c>
      <c r="J1151">
        <v>0</v>
      </c>
      <c r="K1151">
        <v>0</v>
      </c>
      <c r="L1151">
        <v>1</v>
      </c>
      <c r="M1151">
        <v>0</v>
      </c>
      <c r="N1151" t="s">
        <v>193</v>
      </c>
      <c r="O1151" t="s">
        <v>213</v>
      </c>
      <c r="P1151" t="s">
        <v>204</v>
      </c>
      <c r="Q1151" t="s">
        <v>170</v>
      </c>
      <c r="R1151" t="s">
        <v>155</v>
      </c>
      <c r="T1151" t="s">
        <v>134</v>
      </c>
      <c r="U1151">
        <v>1</v>
      </c>
      <c r="W1151" t="s">
        <v>134</v>
      </c>
      <c r="X1151">
        <v>1</v>
      </c>
      <c r="Y1151" t="s">
        <v>140</v>
      </c>
      <c r="Z1151" t="s">
        <v>181</v>
      </c>
      <c r="AA1151" t="s">
        <v>144</v>
      </c>
      <c r="AB1151" t="s">
        <v>163</v>
      </c>
      <c r="AC1151" t="s">
        <v>2008</v>
      </c>
      <c r="AD1151" t="s">
        <v>155</v>
      </c>
      <c r="AE1151" t="s">
        <v>763</v>
      </c>
      <c r="AF1151" t="s">
        <v>21</v>
      </c>
    </row>
    <row r="1152" spans="1:32">
      <c r="A1152" t="s">
        <v>2009</v>
      </c>
      <c r="B1152" s="37">
        <v>40029</v>
      </c>
      <c r="C1152" s="38">
        <v>40029</v>
      </c>
      <c r="D1152" s="38">
        <v>40028</v>
      </c>
      <c r="E1152" s="38">
        <v>40026</v>
      </c>
      <c r="F1152" s="39">
        <v>124</v>
      </c>
      <c r="G1152" t="s">
        <v>21</v>
      </c>
      <c r="H1152" t="s">
        <v>21</v>
      </c>
      <c r="I1152">
        <v>0</v>
      </c>
      <c r="J1152">
        <v>0</v>
      </c>
      <c r="K1152">
        <v>0</v>
      </c>
      <c r="L1152">
        <v>1</v>
      </c>
      <c r="M1152">
        <v>0</v>
      </c>
      <c r="N1152" t="s">
        <v>197</v>
      </c>
      <c r="O1152" t="s">
        <v>213</v>
      </c>
      <c r="P1152" t="s">
        <v>209</v>
      </c>
      <c r="Q1152" t="s">
        <v>170</v>
      </c>
      <c r="R1152" t="s">
        <v>155</v>
      </c>
      <c r="S1152">
        <v>5</v>
      </c>
      <c r="T1152" t="s">
        <v>135</v>
      </c>
      <c r="U1152">
        <v>0</v>
      </c>
      <c r="V1152">
        <v>3</v>
      </c>
      <c r="W1152" t="s">
        <v>137</v>
      </c>
      <c r="X1152">
        <v>0</v>
      </c>
      <c r="Y1152" t="s">
        <v>139</v>
      </c>
      <c r="Z1152" t="s">
        <v>187</v>
      </c>
      <c r="AA1152" t="s">
        <v>144</v>
      </c>
      <c r="AB1152" t="s">
        <v>162</v>
      </c>
      <c r="AC1152" t="s">
        <v>174</v>
      </c>
      <c r="AD1152" t="s">
        <v>157</v>
      </c>
      <c r="AE1152" t="s">
        <v>434</v>
      </c>
      <c r="AF1152" t="s">
        <v>435</v>
      </c>
    </row>
    <row r="1153" spans="1:32">
      <c r="A1153" t="s">
        <v>2010</v>
      </c>
      <c r="B1153" s="37">
        <v>40050</v>
      </c>
      <c r="C1153" s="38">
        <v>40050</v>
      </c>
      <c r="D1153" s="38">
        <v>40049</v>
      </c>
      <c r="E1153" s="38">
        <v>40026</v>
      </c>
      <c r="F1153" s="39">
        <v>145</v>
      </c>
      <c r="G1153" t="s">
        <v>21</v>
      </c>
      <c r="H1153" t="s">
        <v>21</v>
      </c>
      <c r="I1153">
        <v>0</v>
      </c>
      <c r="J1153">
        <v>0</v>
      </c>
      <c r="K1153">
        <v>0</v>
      </c>
      <c r="L1153">
        <v>1</v>
      </c>
      <c r="M1153">
        <v>0</v>
      </c>
      <c r="N1153" t="s">
        <v>193</v>
      </c>
      <c r="O1153" t="s">
        <v>213</v>
      </c>
      <c r="P1153" t="s">
        <v>204</v>
      </c>
      <c r="Q1153" t="s">
        <v>170</v>
      </c>
      <c r="R1153" t="s">
        <v>155</v>
      </c>
      <c r="S1153">
        <v>5</v>
      </c>
      <c r="T1153" t="s">
        <v>135</v>
      </c>
      <c r="U1153">
        <v>0</v>
      </c>
      <c r="V1153">
        <v>5</v>
      </c>
      <c r="W1153" t="s">
        <v>135</v>
      </c>
      <c r="X1153">
        <v>0</v>
      </c>
      <c r="Y1153" t="s">
        <v>140</v>
      </c>
      <c r="Z1153" t="s">
        <v>184</v>
      </c>
      <c r="AA1153" t="s">
        <v>143</v>
      </c>
      <c r="AB1153" t="s">
        <v>163</v>
      </c>
      <c r="AC1153" t="s">
        <v>173</v>
      </c>
      <c r="AD1153" t="s">
        <v>155</v>
      </c>
      <c r="AE1153" t="s">
        <v>128</v>
      </c>
      <c r="AF1153" t="s">
        <v>21</v>
      </c>
    </row>
    <row r="1154" spans="1:32">
      <c r="A1154" t="s">
        <v>2011</v>
      </c>
      <c r="B1154" s="37">
        <v>39930</v>
      </c>
      <c r="C1154" s="38">
        <v>39930</v>
      </c>
      <c r="D1154" s="38">
        <v>39930</v>
      </c>
      <c r="E1154" s="38">
        <v>39904</v>
      </c>
      <c r="F1154" s="39">
        <v>25</v>
      </c>
      <c r="G1154" t="s">
        <v>380</v>
      </c>
      <c r="H1154" t="s">
        <v>17</v>
      </c>
      <c r="I1154">
        <v>0</v>
      </c>
      <c r="J1154">
        <v>0</v>
      </c>
      <c r="K1154">
        <v>1</v>
      </c>
      <c r="L1154">
        <v>0</v>
      </c>
      <c r="M1154">
        <v>0</v>
      </c>
      <c r="N1154" t="s">
        <v>194</v>
      </c>
      <c r="O1154" t="s">
        <v>213</v>
      </c>
      <c r="P1154" t="s">
        <v>205</v>
      </c>
      <c r="Q1154" t="s">
        <v>170</v>
      </c>
      <c r="R1154" t="s">
        <v>155</v>
      </c>
      <c r="T1154" t="s">
        <v>134</v>
      </c>
      <c r="U1154">
        <v>1</v>
      </c>
      <c r="W1154" t="s">
        <v>134</v>
      </c>
      <c r="X1154">
        <v>1</v>
      </c>
      <c r="Y1154" t="s">
        <v>139</v>
      </c>
      <c r="Z1154" t="s">
        <v>181</v>
      </c>
      <c r="AA1154" t="s">
        <v>148</v>
      </c>
      <c r="AB1154" t="s">
        <v>163</v>
      </c>
      <c r="AC1154" t="s">
        <v>2012</v>
      </c>
      <c r="AD1154" t="s">
        <v>155</v>
      </c>
      <c r="AE1154" t="s">
        <v>454</v>
      </c>
      <c r="AF1154" t="s">
        <v>21</v>
      </c>
    </row>
    <row r="1155" spans="1:32">
      <c r="A1155" t="s">
        <v>2013</v>
      </c>
      <c r="B1155" s="37">
        <v>40049</v>
      </c>
      <c r="C1155" s="38">
        <v>40049</v>
      </c>
      <c r="D1155" s="38">
        <v>40049</v>
      </c>
      <c r="E1155" s="38">
        <v>40026</v>
      </c>
      <c r="F1155" s="39">
        <v>144</v>
      </c>
      <c r="G1155" t="s">
        <v>21</v>
      </c>
      <c r="H1155" t="s">
        <v>21</v>
      </c>
      <c r="I1155">
        <v>0</v>
      </c>
      <c r="J1155">
        <v>0</v>
      </c>
      <c r="K1155">
        <v>0</v>
      </c>
      <c r="L1155">
        <v>1</v>
      </c>
      <c r="M1155">
        <v>0</v>
      </c>
      <c r="N1155" t="s">
        <v>193</v>
      </c>
      <c r="O1155" t="s">
        <v>213</v>
      </c>
      <c r="P1155" t="s">
        <v>204</v>
      </c>
      <c r="Q1155" t="s">
        <v>170</v>
      </c>
      <c r="R1155" t="s">
        <v>155</v>
      </c>
      <c r="S1155">
        <v>5</v>
      </c>
      <c r="T1155" t="s">
        <v>135</v>
      </c>
      <c r="U1155">
        <v>0</v>
      </c>
      <c r="V1155">
        <v>5</v>
      </c>
      <c r="W1155" t="s">
        <v>135</v>
      </c>
      <c r="X1155">
        <v>0</v>
      </c>
      <c r="Y1155" t="s">
        <v>140</v>
      </c>
      <c r="Z1155" t="s">
        <v>187</v>
      </c>
      <c r="AA1155" t="s">
        <v>143</v>
      </c>
      <c r="AB1155" t="s">
        <v>162</v>
      </c>
      <c r="AC1155" t="s">
        <v>174</v>
      </c>
      <c r="AD1155" t="s">
        <v>156</v>
      </c>
      <c r="AE1155" t="s">
        <v>120</v>
      </c>
      <c r="AF1155" t="s">
        <v>741</v>
      </c>
    </row>
    <row r="1156" spans="1:32">
      <c r="A1156" t="s">
        <v>2014</v>
      </c>
      <c r="B1156" s="37">
        <v>39946</v>
      </c>
      <c r="C1156" s="38">
        <v>39946</v>
      </c>
      <c r="D1156" s="38">
        <v>39944</v>
      </c>
      <c r="E1156" s="38">
        <v>39934</v>
      </c>
      <c r="F1156" s="39">
        <v>41</v>
      </c>
      <c r="G1156" t="s">
        <v>380</v>
      </c>
      <c r="H1156" t="s">
        <v>17</v>
      </c>
      <c r="I1156">
        <v>0</v>
      </c>
      <c r="J1156">
        <v>0</v>
      </c>
      <c r="K1156">
        <v>1</v>
      </c>
      <c r="L1156">
        <v>0</v>
      </c>
      <c r="M1156">
        <v>0</v>
      </c>
      <c r="N1156" t="s">
        <v>194</v>
      </c>
      <c r="O1156" t="s">
        <v>213</v>
      </c>
      <c r="P1156" t="s">
        <v>205</v>
      </c>
      <c r="Q1156" t="s">
        <v>170</v>
      </c>
      <c r="R1156" t="s">
        <v>155</v>
      </c>
      <c r="T1156" t="s">
        <v>134</v>
      </c>
      <c r="U1156">
        <v>1</v>
      </c>
      <c r="W1156" t="s">
        <v>134</v>
      </c>
      <c r="X1156">
        <v>1</v>
      </c>
      <c r="Y1156" t="s">
        <v>139</v>
      </c>
      <c r="Z1156" t="s">
        <v>187</v>
      </c>
      <c r="AA1156" t="s">
        <v>145</v>
      </c>
      <c r="AB1156" t="s">
        <v>163</v>
      </c>
      <c r="AC1156" t="s">
        <v>415</v>
      </c>
      <c r="AD1156" t="s">
        <v>155</v>
      </c>
      <c r="AE1156" t="s">
        <v>125</v>
      </c>
      <c r="AF1156" t="s">
        <v>21</v>
      </c>
    </row>
    <row r="1157" spans="1:32">
      <c r="A1157" t="s">
        <v>2015</v>
      </c>
      <c r="B1157" s="37">
        <v>39997</v>
      </c>
      <c r="C1157" s="38">
        <v>39997</v>
      </c>
      <c r="D1157" s="38">
        <v>39993</v>
      </c>
      <c r="E1157" s="38">
        <v>39995</v>
      </c>
      <c r="F1157" s="39">
        <v>92</v>
      </c>
      <c r="G1157" t="s">
        <v>21</v>
      </c>
      <c r="H1157" t="s">
        <v>21</v>
      </c>
      <c r="I1157">
        <v>0</v>
      </c>
      <c r="J1157">
        <v>0</v>
      </c>
      <c r="K1157">
        <v>0</v>
      </c>
      <c r="L1157">
        <v>1</v>
      </c>
      <c r="M1157">
        <v>0</v>
      </c>
      <c r="N1157" t="s">
        <v>194</v>
      </c>
      <c r="O1157" t="s">
        <v>213</v>
      </c>
      <c r="P1157" t="s">
        <v>205</v>
      </c>
      <c r="Q1157" t="s">
        <v>170</v>
      </c>
      <c r="R1157" t="s">
        <v>155</v>
      </c>
      <c r="T1157" t="s">
        <v>134</v>
      </c>
      <c r="U1157">
        <v>1</v>
      </c>
      <c r="V1157">
        <v>5</v>
      </c>
      <c r="W1157" t="s">
        <v>135</v>
      </c>
      <c r="X1157">
        <v>0</v>
      </c>
      <c r="Y1157" t="s">
        <v>139</v>
      </c>
      <c r="Z1157" t="s">
        <v>409</v>
      </c>
      <c r="AA1157" t="s">
        <v>146</v>
      </c>
      <c r="AB1157" t="s">
        <v>162</v>
      </c>
      <c r="AC1157" t="s">
        <v>2016</v>
      </c>
      <c r="AD1157" t="s">
        <v>155</v>
      </c>
      <c r="AE1157" t="s">
        <v>129</v>
      </c>
      <c r="AF1157" t="s">
        <v>21</v>
      </c>
    </row>
    <row r="1158" spans="1:32">
      <c r="A1158" t="s">
        <v>2017</v>
      </c>
      <c r="B1158" s="37">
        <v>40011</v>
      </c>
      <c r="C1158" s="38">
        <v>40011</v>
      </c>
      <c r="D1158" s="38">
        <v>40007</v>
      </c>
      <c r="E1158" s="38">
        <v>39995</v>
      </c>
      <c r="F1158" s="39">
        <v>106</v>
      </c>
      <c r="G1158" t="s">
        <v>21</v>
      </c>
      <c r="H1158" t="s">
        <v>21</v>
      </c>
      <c r="I1158">
        <v>0</v>
      </c>
      <c r="J1158">
        <v>0</v>
      </c>
      <c r="K1158">
        <v>0</v>
      </c>
      <c r="L1158">
        <v>1</v>
      </c>
      <c r="M1158">
        <v>0</v>
      </c>
      <c r="N1158" t="s">
        <v>194</v>
      </c>
      <c r="O1158" t="s">
        <v>213</v>
      </c>
      <c r="P1158" t="s">
        <v>205</v>
      </c>
      <c r="Q1158" t="s">
        <v>170</v>
      </c>
      <c r="R1158" t="s">
        <v>155</v>
      </c>
      <c r="S1158">
        <v>5</v>
      </c>
      <c r="T1158" t="s">
        <v>135</v>
      </c>
      <c r="U1158">
        <v>0</v>
      </c>
      <c r="V1158">
        <v>3</v>
      </c>
      <c r="W1158" t="s">
        <v>137</v>
      </c>
      <c r="X1158">
        <v>0</v>
      </c>
      <c r="Y1158" t="s">
        <v>139</v>
      </c>
      <c r="Z1158" t="s">
        <v>183</v>
      </c>
      <c r="AA1158" t="s">
        <v>150</v>
      </c>
      <c r="AB1158" t="s">
        <v>162</v>
      </c>
      <c r="AC1158" t="s">
        <v>174</v>
      </c>
      <c r="AD1158" t="s">
        <v>156</v>
      </c>
      <c r="AE1158" t="s">
        <v>120</v>
      </c>
      <c r="AF1158" t="s">
        <v>2018</v>
      </c>
    </row>
    <row r="1159" spans="1:32">
      <c r="A1159" t="s">
        <v>2019</v>
      </c>
      <c r="B1159" s="37">
        <v>39966</v>
      </c>
      <c r="C1159" s="38">
        <v>39966</v>
      </c>
      <c r="D1159" s="38">
        <v>39965</v>
      </c>
      <c r="E1159" s="38">
        <v>39965</v>
      </c>
      <c r="F1159" s="39">
        <v>61</v>
      </c>
      <c r="G1159" t="s">
        <v>21</v>
      </c>
      <c r="H1159" t="s">
        <v>21</v>
      </c>
      <c r="I1159">
        <v>0</v>
      </c>
      <c r="J1159">
        <v>0</v>
      </c>
      <c r="K1159">
        <v>0</v>
      </c>
      <c r="L1159">
        <v>1</v>
      </c>
      <c r="M1159">
        <v>0</v>
      </c>
      <c r="N1159" t="s">
        <v>193</v>
      </c>
      <c r="O1159" t="s">
        <v>213</v>
      </c>
      <c r="P1159" t="s">
        <v>204</v>
      </c>
      <c r="Q1159" t="s">
        <v>170</v>
      </c>
      <c r="R1159" t="s">
        <v>155</v>
      </c>
      <c r="T1159" t="s">
        <v>134</v>
      </c>
      <c r="U1159">
        <v>1</v>
      </c>
      <c r="W1159" t="s">
        <v>134</v>
      </c>
      <c r="X1159">
        <v>1</v>
      </c>
      <c r="Y1159" t="s">
        <v>140</v>
      </c>
      <c r="Z1159" t="s">
        <v>409</v>
      </c>
      <c r="AA1159" t="s">
        <v>149</v>
      </c>
      <c r="AB1159" t="s">
        <v>162</v>
      </c>
      <c r="AC1159" t="s">
        <v>429</v>
      </c>
      <c r="AD1159" t="s">
        <v>155</v>
      </c>
      <c r="AE1159" t="s">
        <v>129</v>
      </c>
      <c r="AF1159" t="s">
        <v>21</v>
      </c>
    </row>
    <row r="1160" spans="1:32">
      <c r="A1160" t="s">
        <v>2020</v>
      </c>
      <c r="B1160" s="37">
        <v>40024</v>
      </c>
      <c r="C1160" s="38">
        <v>40024</v>
      </c>
      <c r="D1160" s="38">
        <v>40021</v>
      </c>
      <c r="E1160" s="38">
        <v>39995</v>
      </c>
      <c r="F1160" s="39">
        <v>119</v>
      </c>
      <c r="G1160" t="s">
        <v>21</v>
      </c>
      <c r="H1160" t="s">
        <v>21</v>
      </c>
      <c r="I1160">
        <v>0</v>
      </c>
      <c r="J1160">
        <v>0</v>
      </c>
      <c r="K1160">
        <v>0</v>
      </c>
      <c r="L1160">
        <v>1</v>
      </c>
      <c r="M1160">
        <v>0</v>
      </c>
      <c r="N1160" t="s">
        <v>195</v>
      </c>
      <c r="O1160" t="s">
        <v>213</v>
      </c>
      <c r="P1160" t="s">
        <v>206</v>
      </c>
      <c r="Q1160" t="s">
        <v>170</v>
      </c>
      <c r="R1160" t="s">
        <v>155</v>
      </c>
      <c r="S1160">
        <v>5</v>
      </c>
      <c r="T1160" t="s">
        <v>135</v>
      </c>
      <c r="U1160">
        <v>0</v>
      </c>
      <c r="V1160">
        <v>5</v>
      </c>
      <c r="W1160" t="s">
        <v>135</v>
      </c>
      <c r="X1160">
        <v>0</v>
      </c>
      <c r="Y1160" t="s">
        <v>139</v>
      </c>
      <c r="Z1160" t="s">
        <v>190</v>
      </c>
      <c r="AA1160" t="s">
        <v>144</v>
      </c>
      <c r="AB1160" t="s">
        <v>162</v>
      </c>
      <c r="AC1160" t="s">
        <v>397</v>
      </c>
      <c r="AD1160" t="s">
        <v>155</v>
      </c>
      <c r="AE1160" t="s">
        <v>129</v>
      </c>
      <c r="AF1160" t="s">
        <v>21</v>
      </c>
    </row>
    <row r="1161" spans="1:32">
      <c r="A1161" t="s">
        <v>2021</v>
      </c>
      <c r="B1161" s="37">
        <v>39916</v>
      </c>
      <c r="C1161" s="38">
        <v>39916</v>
      </c>
      <c r="D1161" s="38">
        <v>39916</v>
      </c>
      <c r="E1161" s="38">
        <v>39904</v>
      </c>
      <c r="F1161" s="39">
        <v>11</v>
      </c>
      <c r="G1161" t="s">
        <v>9</v>
      </c>
      <c r="H1161" t="s">
        <v>9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199</v>
      </c>
      <c r="O1161" t="s">
        <v>213</v>
      </c>
      <c r="P1161" t="s">
        <v>210</v>
      </c>
      <c r="Q1161" t="s">
        <v>170</v>
      </c>
      <c r="R1161" t="s">
        <v>155</v>
      </c>
      <c r="T1161" t="s">
        <v>134</v>
      </c>
      <c r="U1161">
        <v>1</v>
      </c>
      <c r="W1161" t="s">
        <v>134</v>
      </c>
      <c r="X1161">
        <v>1</v>
      </c>
      <c r="Y1161" t="s">
        <v>139</v>
      </c>
      <c r="Z1161" t="s">
        <v>810</v>
      </c>
      <c r="AA1161" t="s">
        <v>145</v>
      </c>
      <c r="AB1161" t="s">
        <v>162</v>
      </c>
      <c r="AC1161" t="s">
        <v>175</v>
      </c>
      <c r="AD1161" t="s">
        <v>155</v>
      </c>
      <c r="AE1161" t="s">
        <v>439</v>
      </c>
      <c r="AF1161" t="s">
        <v>21</v>
      </c>
    </row>
    <row r="1162" spans="1:32">
      <c r="A1162" t="s">
        <v>2022</v>
      </c>
      <c r="B1162" s="37">
        <v>39906</v>
      </c>
      <c r="C1162" s="38">
        <v>39906</v>
      </c>
      <c r="D1162" s="38">
        <v>39902</v>
      </c>
      <c r="E1162" s="38">
        <v>39904</v>
      </c>
      <c r="F1162" s="39">
        <v>1</v>
      </c>
      <c r="G1162" t="s">
        <v>9</v>
      </c>
      <c r="H1162" t="s">
        <v>9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193</v>
      </c>
      <c r="O1162" t="s">
        <v>213</v>
      </c>
      <c r="P1162" t="s">
        <v>204</v>
      </c>
      <c r="Q1162" t="s">
        <v>170</v>
      </c>
      <c r="R1162" t="s">
        <v>155</v>
      </c>
      <c r="T1162" t="s">
        <v>134</v>
      </c>
      <c r="U1162">
        <v>1</v>
      </c>
      <c r="W1162" t="s">
        <v>134</v>
      </c>
      <c r="X1162">
        <v>1</v>
      </c>
      <c r="Y1162" t="s">
        <v>140</v>
      </c>
      <c r="Z1162" t="s">
        <v>188</v>
      </c>
      <c r="AA1162" t="s">
        <v>142</v>
      </c>
      <c r="AB1162" t="s">
        <v>165</v>
      </c>
      <c r="AC1162" t="s">
        <v>2023</v>
      </c>
      <c r="AD1162" t="s">
        <v>158</v>
      </c>
      <c r="AE1162" t="s">
        <v>122</v>
      </c>
      <c r="AF1162" t="s">
        <v>21</v>
      </c>
    </row>
    <row r="1163" spans="1:32">
      <c r="A1163" t="s">
        <v>2024</v>
      </c>
      <c r="B1163" s="37">
        <v>39959</v>
      </c>
      <c r="C1163" s="38">
        <v>39959</v>
      </c>
      <c r="D1163" s="38">
        <v>39958</v>
      </c>
      <c r="E1163" s="38">
        <v>39934</v>
      </c>
      <c r="F1163" s="39">
        <v>54</v>
      </c>
      <c r="G1163" t="s">
        <v>21</v>
      </c>
      <c r="H1163" t="s">
        <v>21</v>
      </c>
      <c r="I1163">
        <v>0</v>
      </c>
      <c r="J1163">
        <v>0</v>
      </c>
      <c r="K1163">
        <v>0</v>
      </c>
      <c r="L1163">
        <v>1</v>
      </c>
      <c r="M1163">
        <v>0</v>
      </c>
      <c r="N1163" t="s">
        <v>194</v>
      </c>
      <c r="O1163" t="s">
        <v>213</v>
      </c>
      <c r="P1163" t="s">
        <v>205</v>
      </c>
      <c r="Q1163" t="s">
        <v>170</v>
      </c>
      <c r="R1163" t="s">
        <v>155</v>
      </c>
      <c r="T1163" t="s">
        <v>134</v>
      </c>
      <c r="U1163">
        <v>1</v>
      </c>
      <c r="W1163" t="s">
        <v>134</v>
      </c>
      <c r="X1163">
        <v>1</v>
      </c>
      <c r="Y1163" t="s">
        <v>139</v>
      </c>
      <c r="Z1163" t="s">
        <v>190</v>
      </c>
      <c r="AA1163" t="s">
        <v>151</v>
      </c>
      <c r="AB1163" t="s">
        <v>163</v>
      </c>
      <c r="AC1163" t="s">
        <v>173</v>
      </c>
      <c r="AD1163" t="s">
        <v>155</v>
      </c>
      <c r="AE1163" t="s">
        <v>127</v>
      </c>
      <c r="AF1163" t="s">
        <v>21</v>
      </c>
    </row>
    <row r="1164" spans="1:32">
      <c r="A1164" t="s">
        <v>2025</v>
      </c>
      <c r="B1164" s="37">
        <v>39987</v>
      </c>
      <c r="C1164" s="38">
        <v>39987</v>
      </c>
      <c r="D1164" s="38">
        <v>39986</v>
      </c>
      <c r="E1164" s="38">
        <v>39965</v>
      </c>
      <c r="F1164" s="39">
        <v>82</v>
      </c>
      <c r="G1164" t="s">
        <v>383</v>
      </c>
      <c r="H1164" t="s">
        <v>17</v>
      </c>
      <c r="I1164">
        <v>0</v>
      </c>
      <c r="J1164">
        <v>0</v>
      </c>
      <c r="K1164">
        <v>1</v>
      </c>
      <c r="L1164">
        <v>0</v>
      </c>
      <c r="M1164">
        <v>0</v>
      </c>
      <c r="N1164" t="s">
        <v>196</v>
      </c>
      <c r="O1164" t="s">
        <v>213</v>
      </c>
      <c r="P1164" t="s">
        <v>207</v>
      </c>
      <c r="Q1164" t="s">
        <v>170</v>
      </c>
      <c r="R1164" t="s">
        <v>155</v>
      </c>
      <c r="T1164" t="s">
        <v>134</v>
      </c>
      <c r="U1164">
        <v>1</v>
      </c>
      <c r="W1164" t="s">
        <v>134</v>
      </c>
      <c r="X1164">
        <v>1</v>
      </c>
      <c r="Y1164" t="s">
        <v>139</v>
      </c>
      <c r="Z1164" t="s">
        <v>409</v>
      </c>
      <c r="AA1164" t="s">
        <v>143</v>
      </c>
      <c r="AB1164" t="s">
        <v>162</v>
      </c>
      <c r="AC1164" t="s">
        <v>21</v>
      </c>
      <c r="AD1164" t="s">
        <v>155</v>
      </c>
      <c r="AE1164" t="s">
        <v>130</v>
      </c>
      <c r="AF1164" t="s">
        <v>21</v>
      </c>
    </row>
    <row r="1165" spans="1:32">
      <c r="A1165" t="s">
        <v>2026</v>
      </c>
      <c r="B1165" s="37">
        <v>39955</v>
      </c>
      <c r="C1165" s="38">
        <v>39955</v>
      </c>
      <c r="D1165" s="38">
        <v>39951</v>
      </c>
      <c r="E1165" s="38">
        <v>39934</v>
      </c>
      <c r="F1165" s="39">
        <v>50</v>
      </c>
      <c r="G1165" t="s">
        <v>21</v>
      </c>
      <c r="H1165" t="s">
        <v>21</v>
      </c>
      <c r="I1165">
        <v>0</v>
      </c>
      <c r="J1165">
        <v>0</v>
      </c>
      <c r="K1165">
        <v>0</v>
      </c>
      <c r="L1165">
        <v>1</v>
      </c>
      <c r="M1165">
        <v>0</v>
      </c>
      <c r="N1165" t="s">
        <v>194</v>
      </c>
      <c r="O1165" t="s">
        <v>213</v>
      </c>
      <c r="P1165" t="s">
        <v>205</v>
      </c>
      <c r="Q1165" t="s">
        <v>170</v>
      </c>
      <c r="R1165" t="s">
        <v>155</v>
      </c>
      <c r="T1165" t="s">
        <v>134</v>
      </c>
      <c r="U1165">
        <v>1</v>
      </c>
      <c r="W1165" t="s">
        <v>134</v>
      </c>
      <c r="X1165">
        <v>1</v>
      </c>
      <c r="Y1165" t="s">
        <v>139</v>
      </c>
      <c r="Z1165" t="s">
        <v>183</v>
      </c>
      <c r="AA1165" t="s">
        <v>143</v>
      </c>
      <c r="AB1165" t="s">
        <v>163</v>
      </c>
      <c r="AC1165" t="s">
        <v>173</v>
      </c>
      <c r="AD1165" t="s">
        <v>161</v>
      </c>
      <c r="AE1165" t="s">
        <v>2027</v>
      </c>
      <c r="AF1165" t="s">
        <v>21</v>
      </c>
    </row>
    <row r="1166" spans="1:32">
      <c r="A1166" t="s">
        <v>2028</v>
      </c>
      <c r="B1166" s="37">
        <v>39982</v>
      </c>
      <c r="C1166" s="38">
        <v>39982</v>
      </c>
      <c r="D1166" s="38">
        <v>39979</v>
      </c>
      <c r="E1166" s="38">
        <v>39965</v>
      </c>
      <c r="F1166" s="39">
        <v>77</v>
      </c>
      <c r="G1166" t="s">
        <v>570</v>
      </c>
      <c r="H1166" t="s">
        <v>13</v>
      </c>
      <c r="I1166">
        <v>0</v>
      </c>
      <c r="J1166">
        <v>1</v>
      </c>
      <c r="K1166">
        <v>0</v>
      </c>
      <c r="L1166">
        <v>0</v>
      </c>
      <c r="M1166">
        <v>1</v>
      </c>
      <c r="N1166" t="s">
        <v>196</v>
      </c>
      <c r="O1166" t="s">
        <v>213</v>
      </c>
      <c r="P1166" t="s">
        <v>207</v>
      </c>
      <c r="Q1166" t="s">
        <v>170</v>
      </c>
      <c r="R1166" t="s">
        <v>155</v>
      </c>
      <c r="T1166" t="s">
        <v>134</v>
      </c>
      <c r="U1166">
        <v>1</v>
      </c>
      <c r="W1166" t="s">
        <v>134</v>
      </c>
      <c r="X1166">
        <v>1</v>
      </c>
      <c r="Y1166" t="s">
        <v>139</v>
      </c>
      <c r="Z1166" t="s">
        <v>188</v>
      </c>
      <c r="AA1166" t="s">
        <v>146</v>
      </c>
      <c r="AB1166" t="s">
        <v>162</v>
      </c>
      <c r="AC1166" t="s">
        <v>175</v>
      </c>
      <c r="AD1166" t="s">
        <v>155</v>
      </c>
      <c r="AE1166" t="s">
        <v>129</v>
      </c>
      <c r="AF1166" t="s">
        <v>21</v>
      </c>
    </row>
    <row r="1167" spans="1:32">
      <c r="A1167" t="s">
        <v>2029</v>
      </c>
      <c r="B1167" s="37">
        <v>40015</v>
      </c>
      <c r="C1167" s="38">
        <v>40015</v>
      </c>
      <c r="D1167" s="38">
        <v>40014</v>
      </c>
      <c r="E1167" s="38">
        <v>39995</v>
      </c>
      <c r="F1167" s="39">
        <v>110</v>
      </c>
      <c r="G1167" t="s">
        <v>21</v>
      </c>
      <c r="H1167" t="s">
        <v>21</v>
      </c>
      <c r="I1167">
        <v>0</v>
      </c>
      <c r="J1167">
        <v>0</v>
      </c>
      <c r="K1167">
        <v>0</v>
      </c>
      <c r="L1167">
        <v>1</v>
      </c>
      <c r="M1167">
        <v>0</v>
      </c>
      <c r="N1167" t="s">
        <v>196</v>
      </c>
      <c r="O1167" t="s">
        <v>213</v>
      </c>
      <c r="P1167" t="s">
        <v>207</v>
      </c>
      <c r="Q1167" t="s">
        <v>170</v>
      </c>
      <c r="R1167" t="s">
        <v>155</v>
      </c>
      <c r="S1167">
        <v>5</v>
      </c>
      <c r="T1167" t="s">
        <v>135</v>
      </c>
      <c r="U1167">
        <v>0</v>
      </c>
      <c r="V1167">
        <v>2</v>
      </c>
      <c r="W1167" t="s">
        <v>136</v>
      </c>
      <c r="X1167">
        <v>0</v>
      </c>
      <c r="Y1167" t="s">
        <v>139</v>
      </c>
      <c r="Z1167" t="s">
        <v>188</v>
      </c>
      <c r="AA1167" t="s">
        <v>150</v>
      </c>
      <c r="AB1167" t="s">
        <v>162</v>
      </c>
      <c r="AC1167" t="s">
        <v>175</v>
      </c>
      <c r="AD1167" t="s">
        <v>155</v>
      </c>
      <c r="AE1167" t="s">
        <v>129</v>
      </c>
      <c r="AF1167" t="s">
        <v>21</v>
      </c>
    </row>
    <row r="1168" spans="1:32">
      <c r="A1168" t="s">
        <v>2030</v>
      </c>
      <c r="B1168" s="37">
        <v>39937</v>
      </c>
      <c r="C1168" s="38">
        <v>39937</v>
      </c>
      <c r="D1168" s="38">
        <v>39937</v>
      </c>
      <c r="E1168" s="38">
        <v>39934</v>
      </c>
      <c r="F1168" s="39">
        <v>32</v>
      </c>
      <c r="G1168" t="s">
        <v>21</v>
      </c>
      <c r="H1168" t="s">
        <v>21</v>
      </c>
      <c r="I1168">
        <v>0</v>
      </c>
      <c r="J1168">
        <v>0</v>
      </c>
      <c r="K1168">
        <v>0</v>
      </c>
      <c r="L1168">
        <v>1</v>
      </c>
      <c r="M1168">
        <v>0</v>
      </c>
      <c r="N1168" t="s">
        <v>193</v>
      </c>
      <c r="O1168" t="s">
        <v>213</v>
      </c>
      <c r="P1168" t="s">
        <v>204</v>
      </c>
      <c r="Q1168" t="s">
        <v>170</v>
      </c>
      <c r="R1168" t="s">
        <v>155</v>
      </c>
      <c r="T1168" t="s">
        <v>134</v>
      </c>
      <c r="U1168">
        <v>1</v>
      </c>
      <c r="W1168" t="s">
        <v>134</v>
      </c>
      <c r="X1168">
        <v>1</v>
      </c>
      <c r="Y1168" t="s">
        <v>140</v>
      </c>
      <c r="Z1168" t="s">
        <v>178</v>
      </c>
      <c r="AA1168" t="s">
        <v>149</v>
      </c>
      <c r="AB1168" t="s">
        <v>163</v>
      </c>
      <c r="AC1168" t="s">
        <v>2031</v>
      </c>
      <c r="AD1168" t="s">
        <v>155</v>
      </c>
      <c r="AE1168" t="s">
        <v>692</v>
      </c>
      <c r="AF1168" t="s">
        <v>21</v>
      </c>
    </row>
    <row r="1169" spans="1:32">
      <c r="A1169" t="s">
        <v>2032</v>
      </c>
      <c r="B1169" s="37">
        <v>40034</v>
      </c>
      <c r="C1169" s="38">
        <v>40034</v>
      </c>
      <c r="D1169" s="38">
        <v>40028</v>
      </c>
      <c r="E1169" s="38">
        <v>40026</v>
      </c>
      <c r="F1169" s="39">
        <v>129</v>
      </c>
      <c r="G1169" t="s">
        <v>380</v>
      </c>
      <c r="H1169" t="s">
        <v>17</v>
      </c>
      <c r="I1169">
        <v>0</v>
      </c>
      <c r="J1169">
        <v>0</v>
      </c>
      <c r="K1169">
        <v>1</v>
      </c>
      <c r="L1169">
        <v>0</v>
      </c>
      <c r="M1169">
        <v>0</v>
      </c>
      <c r="N1169" t="s">
        <v>193</v>
      </c>
      <c r="O1169" t="s">
        <v>213</v>
      </c>
      <c r="P1169" t="s">
        <v>204</v>
      </c>
      <c r="Q1169" t="s">
        <v>170</v>
      </c>
      <c r="R1169" t="s">
        <v>155</v>
      </c>
      <c r="S1169">
        <v>5</v>
      </c>
      <c r="T1169" t="s">
        <v>135</v>
      </c>
      <c r="U1169">
        <v>0</v>
      </c>
      <c r="V1169">
        <v>5</v>
      </c>
      <c r="W1169" t="s">
        <v>135</v>
      </c>
      <c r="X1169">
        <v>0</v>
      </c>
      <c r="Y1169" t="s">
        <v>140</v>
      </c>
      <c r="Z1169" t="s">
        <v>183</v>
      </c>
      <c r="AA1169" t="s">
        <v>146</v>
      </c>
      <c r="AB1169" t="s">
        <v>162</v>
      </c>
      <c r="AC1169" t="s">
        <v>654</v>
      </c>
      <c r="AD1169" t="s">
        <v>156</v>
      </c>
      <c r="AE1169" t="s">
        <v>120</v>
      </c>
      <c r="AF1169" t="s">
        <v>2033</v>
      </c>
    </row>
    <row r="1170" spans="1:32">
      <c r="A1170" t="s">
        <v>2034</v>
      </c>
      <c r="B1170" s="37">
        <v>39983</v>
      </c>
      <c r="C1170" s="38">
        <v>39983</v>
      </c>
      <c r="D1170" s="38">
        <v>39979</v>
      </c>
      <c r="E1170" s="38">
        <v>39965</v>
      </c>
      <c r="F1170" s="39">
        <v>78</v>
      </c>
      <c r="G1170" t="s">
        <v>9</v>
      </c>
      <c r="H1170" t="s">
        <v>9</v>
      </c>
      <c r="I1170">
        <v>1</v>
      </c>
      <c r="J1170">
        <v>0</v>
      </c>
      <c r="K1170">
        <v>0</v>
      </c>
      <c r="L1170">
        <v>0</v>
      </c>
      <c r="M1170">
        <v>1</v>
      </c>
      <c r="N1170" t="s">
        <v>193</v>
      </c>
      <c r="O1170" t="s">
        <v>213</v>
      </c>
      <c r="P1170" t="s">
        <v>204</v>
      </c>
      <c r="Q1170" t="s">
        <v>170</v>
      </c>
      <c r="R1170" t="s">
        <v>155</v>
      </c>
      <c r="T1170" t="s">
        <v>134</v>
      </c>
      <c r="U1170">
        <v>1</v>
      </c>
      <c r="W1170" t="s">
        <v>134</v>
      </c>
      <c r="X1170">
        <v>1</v>
      </c>
      <c r="Y1170" t="s">
        <v>140</v>
      </c>
      <c r="Z1170" t="s">
        <v>433</v>
      </c>
      <c r="AA1170" t="s">
        <v>143</v>
      </c>
      <c r="AB1170" t="s">
        <v>165</v>
      </c>
      <c r="AC1170" t="s">
        <v>589</v>
      </c>
      <c r="AD1170" t="s">
        <v>158</v>
      </c>
      <c r="AE1170" t="s">
        <v>122</v>
      </c>
      <c r="AF1170" t="s">
        <v>21</v>
      </c>
    </row>
    <row r="1171" spans="1:32">
      <c r="A1171" t="s">
        <v>2035</v>
      </c>
      <c r="B1171" s="37">
        <v>39994</v>
      </c>
      <c r="C1171" s="38">
        <v>39994</v>
      </c>
      <c r="D1171" s="38">
        <v>39993</v>
      </c>
      <c r="E1171" s="38">
        <v>39965</v>
      </c>
      <c r="F1171" s="39">
        <v>89</v>
      </c>
      <c r="G1171" t="s">
        <v>9</v>
      </c>
      <c r="H1171" t="s">
        <v>9</v>
      </c>
      <c r="I1171">
        <v>1</v>
      </c>
      <c r="J1171">
        <v>0</v>
      </c>
      <c r="K1171">
        <v>0</v>
      </c>
      <c r="L1171">
        <v>0</v>
      </c>
      <c r="M1171">
        <v>1</v>
      </c>
      <c r="N1171" t="s">
        <v>196</v>
      </c>
      <c r="O1171" t="s">
        <v>213</v>
      </c>
      <c r="P1171" t="s">
        <v>207</v>
      </c>
      <c r="Q1171" t="s">
        <v>170</v>
      </c>
      <c r="R1171" t="s">
        <v>155</v>
      </c>
      <c r="T1171" t="s">
        <v>134</v>
      </c>
      <c r="U1171">
        <v>1</v>
      </c>
      <c r="V1171">
        <v>5</v>
      </c>
      <c r="W1171" t="s">
        <v>135</v>
      </c>
      <c r="X1171">
        <v>0</v>
      </c>
      <c r="Y1171" t="s">
        <v>139</v>
      </c>
      <c r="Z1171" t="s">
        <v>183</v>
      </c>
      <c r="AA1171" t="s">
        <v>145</v>
      </c>
      <c r="AB1171" t="s">
        <v>162</v>
      </c>
      <c r="AC1171" t="s">
        <v>459</v>
      </c>
      <c r="AD1171" t="s">
        <v>155</v>
      </c>
      <c r="AE1171" t="s">
        <v>129</v>
      </c>
      <c r="AF1171" t="s">
        <v>21</v>
      </c>
    </row>
    <row r="1172" spans="1:32">
      <c r="A1172" t="s">
        <v>2036</v>
      </c>
      <c r="B1172" s="37">
        <v>39931</v>
      </c>
      <c r="C1172" s="38">
        <v>39931</v>
      </c>
      <c r="D1172" s="38">
        <v>39930</v>
      </c>
      <c r="E1172" s="38">
        <v>39904</v>
      </c>
      <c r="F1172" s="39">
        <v>26</v>
      </c>
      <c r="G1172" t="s">
        <v>21</v>
      </c>
      <c r="H1172" t="s">
        <v>21</v>
      </c>
      <c r="I1172">
        <v>0</v>
      </c>
      <c r="J1172">
        <v>0</v>
      </c>
      <c r="K1172">
        <v>0</v>
      </c>
      <c r="L1172">
        <v>1</v>
      </c>
      <c r="M1172">
        <v>0</v>
      </c>
      <c r="N1172" t="s">
        <v>200</v>
      </c>
      <c r="O1172" t="s">
        <v>214</v>
      </c>
      <c r="P1172" t="s">
        <v>208</v>
      </c>
      <c r="Q1172" t="s">
        <v>170</v>
      </c>
      <c r="R1172" t="s">
        <v>155</v>
      </c>
      <c r="T1172" t="s">
        <v>134</v>
      </c>
      <c r="U1172">
        <v>1</v>
      </c>
      <c r="W1172" t="s">
        <v>134</v>
      </c>
      <c r="X1172">
        <v>1</v>
      </c>
      <c r="Y1172" t="s">
        <v>139</v>
      </c>
      <c r="Z1172" t="s">
        <v>183</v>
      </c>
      <c r="AA1172" t="s">
        <v>143</v>
      </c>
      <c r="AB1172" t="s">
        <v>163</v>
      </c>
      <c r="AC1172" t="s">
        <v>173</v>
      </c>
      <c r="AD1172" t="s">
        <v>161</v>
      </c>
      <c r="AE1172" t="s">
        <v>420</v>
      </c>
      <c r="AF1172" t="s">
        <v>21</v>
      </c>
    </row>
    <row r="1173" spans="1:32">
      <c r="A1173" t="s">
        <v>2037</v>
      </c>
      <c r="B1173" s="37">
        <v>39954</v>
      </c>
      <c r="C1173" s="38">
        <v>39954</v>
      </c>
      <c r="D1173" s="38">
        <v>39951</v>
      </c>
      <c r="E1173" s="38">
        <v>39934</v>
      </c>
      <c r="F1173" s="39">
        <v>49</v>
      </c>
      <c r="G1173" t="s">
        <v>21</v>
      </c>
      <c r="H1173" t="s">
        <v>21</v>
      </c>
      <c r="I1173">
        <v>0</v>
      </c>
      <c r="J1173">
        <v>0</v>
      </c>
      <c r="K1173">
        <v>0</v>
      </c>
      <c r="L1173">
        <v>1</v>
      </c>
      <c r="M1173">
        <v>0</v>
      </c>
      <c r="N1173" t="s">
        <v>194</v>
      </c>
      <c r="O1173" t="s">
        <v>213</v>
      </c>
      <c r="P1173" t="s">
        <v>205</v>
      </c>
      <c r="Q1173" t="s">
        <v>170</v>
      </c>
      <c r="R1173" t="s">
        <v>155</v>
      </c>
      <c r="T1173" t="s">
        <v>134</v>
      </c>
      <c r="U1173">
        <v>1</v>
      </c>
      <c r="W1173" t="s">
        <v>134</v>
      </c>
      <c r="X1173">
        <v>1</v>
      </c>
      <c r="Y1173" t="s">
        <v>139</v>
      </c>
      <c r="Z1173" t="s">
        <v>182</v>
      </c>
      <c r="AA1173" t="s">
        <v>147</v>
      </c>
      <c r="AB1173" t="s">
        <v>162</v>
      </c>
      <c r="AC1173" t="s">
        <v>21</v>
      </c>
      <c r="AD1173" t="s">
        <v>155</v>
      </c>
      <c r="AE1173" t="s">
        <v>129</v>
      </c>
      <c r="AF1173" t="s">
        <v>21</v>
      </c>
    </row>
    <row r="1174" spans="1:32">
      <c r="A1174" t="s">
        <v>2038</v>
      </c>
      <c r="B1174" s="37">
        <v>40073</v>
      </c>
      <c r="C1174" s="38">
        <v>40073</v>
      </c>
      <c r="D1174" s="38">
        <v>40070</v>
      </c>
      <c r="E1174" s="38">
        <v>40057</v>
      </c>
      <c r="F1174" s="39">
        <v>168</v>
      </c>
      <c r="G1174" t="s">
        <v>21</v>
      </c>
      <c r="H1174" t="s">
        <v>21</v>
      </c>
      <c r="I1174">
        <v>0</v>
      </c>
      <c r="J1174">
        <v>0</v>
      </c>
      <c r="K1174">
        <v>0</v>
      </c>
      <c r="L1174">
        <v>1</v>
      </c>
      <c r="M1174">
        <v>0</v>
      </c>
      <c r="N1174" t="s">
        <v>193</v>
      </c>
      <c r="O1174" t="s">
        <v>213</v>
      </c>
      <c r="P1174" t="s">
        <v>204</v>
      </c>
      <c r="Q1174" t="s">
        <v>170</v>
      </c>
      <c r="R1174" t="s">
        <v>155</v>
      </c>
      <c r="S1174">
        <v>5</v>
      </c>
      <c r="T1174" t="s">
        <v>135</v>
      </c>
      <c r="U1174">
        <v>0</v>
      </c>
      <c r="V1174">
        <v>5</v>
      </c>
      <c r="W1174" t="s">
        <v>135</v>
      </c>
      <c r="X1174">
        <v>0</v>
      </c>
      <c r="Y1174" t="s">
        <v>140</v>
      </c>
      <c r="Z1174" t="s">
        <v>184</v>
      </c>
      <c r="AA1174" t="s">
        <v>149</v>
      </c>
      <c r="AB1174" t="s">
        <v>162</v>
      </c>
      <c r="AC1174" t="s">
        <v>174</v>
      </c>
      <c r="AD1174" t="s">
        <v>160</v>
      </c>
      <c r="AE1174" t="s">
        <v>392</v>
      </c>
      <c r="AF1174" t="s">
        <v>393</v>
      </c>
    </row>
    <row r="1175" spans="1:32">
      <c r="A1175" t="s">
        <v>2039</v>
      </c>
      <c r="B1175" s="37">
        <v>40030</v>
      </c>
      <c r="C1175" s="38">
        <v>40030</v>
      </c>
      <c r="D1175" s="38">
        <v>40028</v>
      </c>
      <c r="E1175" s="38">
        <v>40026</v>
      </c>
      <c r="F1175" s="39">
        <v>125</v>
      </c>
      <c r="G1175" t="s">
        <v>383</v>
      </c>
      <c r="H1175" t="s">
        <v>17</v>
      </c>
      <c r="I1175">
        <v>0</v>
      </c>
      <c r="J1175">
        <v>0</v>
      </c>
      <c r="K1175">
        <v>1</v>
      </c>
      <c r="L1175">
        <v>0</v>
      </c>
      <c r="M1175">
        <v>0</v>
      </c>
      <c r="N1175" t="s">
        <v>193</v>
      </c>
      <c r="O1175" t="s">
        <v>213</v>
      </c>
      <c r="P1175" t="s">
        <v>204</v>
      </c>
      <c r="Q1175" t="s">
        <v>170</v>
      </c>
      <c r="R1175" t="s">
        <v>155</v>
      </c>
      <c r="S1175">
        <v>5</v>
      </c>
      <c r="T1175" t="s">
        <v>135</v>
      </c>
      <c r="U1175">
        <v>0</v>
      </c>
      <c r="V1175">
        <v>3</v>
      </c>
      <c r="W1175" t="s">
        <v>137</v>
      </c>
      <c r="X1175">
        <v>0</v>
      </c>
      <c r="Y1175" t="s">
        <v>140</v>
      </c>
      <c r="Z1175" t="s">
        <v>188</v>
      </c>
      <c r="AA1175" t="s">
        <v>142</v>
      </c>
      <c r="AB1175" t="s">
        <v>162</v>
      </c>
      <c r="AC1175" t="s">
        <v>459</v>
      </c>
      <c r="AD1175" t="s">
        <v>155</v>
      </c>
      <c r="AE1175" t="s">
        <v>129</v>
      </c>
      <c r="AF1175" t="s">
        <v>21</v>
      </c>
    </row>
    <row r="1176" spans="1:32">
      <c r="A1176" t="s">
        <v>2040</v>
      </c>
      <c r="B1176" s="37">
        <v>40023</v>
      </c>
      <c r="C1176" s="38">
        <v>40023</v>
      </c>
      <c r="D1176" s="38">
        <v>40021</v>
      </c>
      <c r="E1176" s="38">
        <v>39995</v>
      </c>
      <c r="F1176" s="39">
        <v>118</v>
      </c>
      <c r="G1176" t="s">
        <v>21</v>
      </c>
      <c r="H1176" t="s">
        <v>21</v>
      </c>
      <c r="I1176">
        <v>0</v>
      </c>
      <c r="J1176">
        <v>0</v>
      </c>
      <c r="K1176">
        <v>0</v>
      </c>
      <c r="L1176">
        <v>1</v>
      </c>
      <c r="M1176">
        <v>0</v>
      </c>
      <c r="N1176" t="s">
        <v>193</v>
      </c>
      <c r="O1176" t="s">
        <v>213</v>
      </c>
      <c r="P1176" t="s">
        <v>204</v>
      </c>
      <c r="Q1176" t="s">
        <v>170</v>
      </c>
      <c r="R1176" t="s">
        <v>155</v>
      </c>
      <c r="S1176">
        <v>5</v>
      </c>
      <c r="T1176" t="s">
        <v>135</v>
      </c>
      <c r="U1176">
        <v>0</v>
      </c>
      <c r="V1176">
        <v>3</v>
      </c>
      <c r="W1176" t="s">
        <v>137</v>
      </c>
      <c r="X1176">
        <v>0</v>
      </c>
      <c r="Y1176" t="s">
        <v>140</v>
      </c>
      <c r="Z1176" t="s">
        <v>179</v>
      </c>
      <c r="AA1176" t="s">
        <v>144</v>
      </c>
      <c r="AB1176" t="s">
        <v>162</v>
      </c>
      <c r="AC1176" t="s">
        <v>2041</v>
      </c>
      <c r="AD1176" t="s">
        <v>160</v>
      </c>
      <c r="AE1176" t="s">
        <v>126</v>
      </c>
      <c r="AF1176" t="s">
        <v>665</v>
      </c>
    </row>
    <row r="1177" spans="1:32">
      <c r="A1177" t="s">
        <v>2042</v>
      </c>
      <c r="B1177" s="37">
        <v>39951</v>
      </c>
      <c r="C1177" s="38">
        <v>39951</v>
      </c>
      <c r="D1177" s="38">
        <v>39951</v>
      </c>
      <c r="E1177" s="38">
        <v>39934</v>
      </c>
      <c r="F1177" s="39">
        <v>46</v>
      </c>
      <c r="G1177" t="s">
        <v>21</v>
      </c>
      <c r="H1177" t="s">
        <v>21</v>
      </c>
      <c r="I1177">
        <v>0</v>
      </c>
      <c r="J1177">
        <v>0</v>
      </c>
      <c r="K1177">
        <v>0</v>
      </c>
      <c r="L1177">
        <v>1</v>
      </c>
      <c r="M1177">
        <v>0</v>
      </c>
      <c r="N1177" t="s">
        <v>194</v>
      </c>
      <c r="O1177" t="s">
        <v>213</v>
      </c>
      <c r="P1177" t="s">
        <v>205</v>
      </c>
      <c r="Q1177" t="s">
        <v>170</v>
      </c>
      <c r="R1177" t="s">
        <v>155</v>
      </c>
      <c r="T1177" t="s">
        <v>134</v>
      </c>
      <c r="U1177">
        <v>1</v>
      </c>
      <c r="W1177" t="s">
        <v>134</v>
      </c>
      <c r="X1177">
        <v>1</v>
      </c>
      <c r="Y1177" t="s">
        <v>139</v>
      </c>
      <c r="Z1177" t="s">
        <v>188</v>
      </c>
      <c r="AA1177" t="s">
        <v>147</v>
      </c>
      <c r="AB1177" t="s">
        <v>163</v>
      </c>
      <c r="AC1177" t="s">
        <v>21</v>
      </c>
      <c r="AD1177" t="s">
        <v>155</v>
      </c>
      <c r="AE1177" t="s">
        <v>670</v>
      </c>
      <c r="AF1177" t="s">
        <v>21</v>
      </c>
    </row>
    <row r="1178" spans="1:32">
      <c r="A1178" t="s">
        <v>2043</v>
      </c>
      <c r="B1178" s="37">
        <v>39976</v>
      </c>
      <c r="C1178" s="38">
        <v>39976</v>
      </c>
      <c r="D1178" s="38">
        <v>39972</v>
      </c>
      <c r="E1178" s="38">
        <v>39965</v>
      </c>
      <c r="F1178" s="39">
        <v>71</v>
      </c>
      <c r="G1178" t="s">
        <v>21</v>
      </c>
      <c r="H1178" t="s">
        <v>21</v>
      </c>
      <c r="I1178">
        <v>0</v>
      </c>
      <c r="J1178">
        <v>0</v>
      </c>
      <c r="K1178">
        <v>0</v>
      </c>
      <c r="L1178">
        <v>1</v>
      </c>
      <c r="M1178">
        <v>0</v>
      </c>
      <c r="N1178" t="s">
        <v>194</v>
      </c>
      <c r="O1178" t="s">
        <v>213</v>
      </c>
      <c r="P1178" t="s">
        <v>205</v>
      </c>
      <c r="Q1178" t="s">
        <v>170</v>
      </c>
      <c r="R1178" t="s">
        <v>155</v>
      </c>
      <c r="T1178" t="s">
        <v>134</v>
      </c>
      <c r="U1178">
        <v>1</v>
      </c>
      <c r="W1178" t="s">
        <v>134</v>
      </c>
      <c r="X1178">
        <v>1</v>
      </c>
      <c r="Y1178" t="s">
        <v>139</v>
      </c>
      <c r="Z1178" t="s">
        <v>534</v>
      </c>
      <c r="AA1178" t="s">
        <v>149</v>
      </c>
      <c r="AB1178" t="s">
        <v>162</v>
      </c>
      <c r="AC1178" t="s">
        <v>550</v>
      </c>
      <c r="AD1178" t="s">
        <v>157</v>
      </c>
      <c r="AE1178" t="s">
        <v>406</v>
      </c>
      <c r="AF1178" t="s">
        <v>2044</v>
      </c>
    </row>
    <row r="1179" spans="1:32">
      <c r="A1179" t="s">
        <v>2045</v>
      </c>
      <c r="B1179" s="37">
        <v>39995</v>
      </c>
      <c r="C1179" s="38">
        <v>39995</v>
      </c>
      <c r="D1179" s="38">
        <v>39993</v>
      </c>
      <c r="E1179" s="38">
        <v>39995</v>
      </c>
      <c r="F1179" s="39">
        <v>90</v>
      </c>
      <c r="G1179" t="s">
        <v>9</v>
      </c>
      <c r="H1179" t="s">
        <v>9</v>
      </c>
      <c r="I1179">
        <v>1</v>
      </c>
      <c r="J1179">
        <v>0</v>
      </c>
      <c r="K1179">
        <v>0</v>
      </c>
      <c r="L1179">
        <v>0</v>
      </c>
      <c r="M1179">
        <v>1</v>
      </c>
      <c r="N1179" t="s">
        <v>193</v>
      </c>
      <c r="O1179" t="s">
        <v>213</v>
      </c>
      <c r="P1179" t="s">
        <v>204</v>
      </c>
      <c r="Q1179" t="s">
        <v>170</v>
      </c>
      <c r="R1179" t="s">
        <v>155</v>
      </c>
      <c r="T1179" t="s">
        <v>134</v>
      </c>
      <c r="U1179">
        <v>1</v>
      </c>
      <c r="V1179">
        <v>5</v>
      </c>
      <c r="W1179" t="s">
        <v>135</v>
      </c>
      <c r="X1179">
        <v>0</v>
      </c>
      <c r="Y1179" t="s">
        <v>140</v>
      </c>
      <c r="Z1179" t="s">
        <v>186</v>
      </c>
      <c r="AA1179" t="s">
        <v>144</v>
      </c>
      <c r="AB1179" t="s">
        <v>162</v>
      </c>
      <c r="AC1179" t="s">
        <v>174</v>
      </c>
      <c r="AD1179" t="s">
        <v>156</v>
      </c>
      <c r="AE1179" t="s">
        <v>120</v>
      </c>
      <c r="AF1179" t="s">
        <v>425</v>
      </c>
    </row>
    <row r="1180" spans="1:32">
      <c r="A1180" t="s">
        <v>2046</v>
      </c>
      <c r="B1180" s="37">
        <v>39938</v>
      </c>
      <c r="C1180" s="38">
        <v>39938</v>
      </c>
      <c r="D1180" s="38">
        <v>39937</v>
      </c>
      <c r="E1180" s="38">
        <v>39934</v>
      </c>
      <c r="F1180" s="39">
        <v>33</v>
      </c>
      <c r="G1180" t="s">
        <v>21</v>
      </c>
      <c r="H1180" t="s">
        <v>21</v>
      </c>
      <c r="I1180">
        <v>0</v>
      </c>
      <c r="J1180">
        <v>0</v>
      </c>
      <c r="K1180">
        <v>0</v>
      </c>
      <c r="L1180">
        <v>1</v>
      </c>
      <c r="M1180">
        <v>0</v>
      </c>
      <c r="N1180" t="s">
        <v>201</v>
      </c>
      <c r="O1180" t="s">
        <v>214</v>
      </c>
      <c r="P1180" t="s">
        <v>204</v>
      </c>
      <c r="Q1180" t="s">
        <v>170</v>
      </c>
      <c r="R1180" t="s">
        <v>155</v>
      </c>
      <c r="T1180" t="s">
        <v>134</v>
      </c>
      <c r="U1180">
        <v>1</v>
      </c>
      <c r="W1180" t="s">
        <v>134</v>
      </c>
      <c r="X1180">
        <v>1</v>
      </c>
      <c r="Y1180" t="s">
        <v>140</v>
      </c>
      <c r="Z1180" t="s">
        <v>183</v>
      </c>
      <c r="AA1180" t="s">
        <v>147</v>
      </c>
      <c r="AB1180" t="s">
        <v>162</v>
      </c>
      <c r="AC1180" t="s">
        <v>174</v>
      </c>
      <c r="AD1180" t="s">
        <v>157</v>
      </c>
      <c r="AE1180" t="s">
        <v>439</v>
      </c>
      <c r="AF1180" t="s">
        <v>2047</v>
      </c>
    </row>
    <row r="1181" spans="1:32">
      <c r="A1181" t="s">
        <v>2048</v>
      </c>
      <c r="B1181" s="37">
        <v>39925</v>
      </c>
      <c r="C1181" s="38">
        <v>39925</v>
      </c>
      <c r="D1181" s="38">
        <v>39923</v>
      </c>
      <c r="E1181" s="38">
        <v>39904</v>
      </c>
      <c r="F1181" s="39">
        <v>20</v>
      </c>
      <c r="G1181" t="s">
        <v>9</v>
      </c>
      <c r="H1181" t="s">
        <v>9</v>
      </c>
      <c r="I1181">
        <v>1</v>
      </c>
      <c r="J1181">
        <v>0</v>
      </c>
      <c r="K1181">
        <v>0</v>
      </c>
      <c r="L1181">
        <v>0</v>
      </c>
      <c r="M1181">
        <v>1</v>
      </c>
      <c r="N1181" t="s">
        <v>199</v>
      </c>
      <c r="O1181" t="s">
        <v>213</v>
      </c>
      <c r="P1181" t="s">
        <v>210</v>
      </c>
      <c r="Q1181" t="s">
        <v>170</v>
      </c>
      <c r="R1181" t="s">
        <v>155</v>
      </c>
      <c r="T1181" t="s">
        <v>134</v>
      </c>
      <c r="U1181">
        <v>1</v>
      </c>
      <c r="W1181" t="s">
        <v>134</v>
      </c>
      <c r="X1181">
        <v>1</v>
      </c>
      <c r="Y1181" t="s">
        <v>139</v>
      </c>
      <c r="Z1181" t="s">
        <v>479</v>
      </c>
      <c r="AA1181" t="s">
        <v>147</v>
      </c>
      <c r="AB1181" t="s">
        <v>162</v>
      </c>
      <c r="AC1181" t="s">
        <v>174</v>
      </c>
      <c r="AD1181" t="s">
        <v>160</v>
      </c>
      <c r="AE1181" t="s">
        <v>126</v>
      </c>
      <c r="AF1181" t="s">
        <v>1966</v>
      </c>
    </row>
    <row r="1182" spans="1:32">
      <c r="A1182" t="s">
        <v>2049</v>
      </c>
      <c r="B1182" s="37">
        <v>40040</v>
      </c>
      <c r="C1182" s="38">
        <v>40040</v>
      </c>
      <c r="D1182" s="38">
        <v>40035</v>
      </c>
      <c r="E1182" s="38">
        <v>40026</v>
      </c>
      <c r="F1182" s="39">
        <v>135</v>
      </c>
      <c r="G1182" t="s">
        <v>21</v>
      </c>
      <c r="H1182" t="s">
        <v>21</v>
      </c>
      <c r="I1182">
        <v>0</v>
      </c>
      <c r="J1182">
        <v>0</v>
      </c>
      <c r="K1182">
        <v>0</v>
      </c>
      <c r="L1182">
        <v>1</v>
      </c>
      <c r="M1182">
        <v>0</v>
      </c>
      <c r="N1182" t="s">
        <v>193</v>
      </c>
      <c r="O1182" t="s">
        <v>213</v>
      </c>
      <c r="P1182" t="s">
        <v>204</v>
      </c>
      <c r="Q1182" t="s">
        <v>170</v>
      </c>
      <c r="R1182" t="s">
        <v>155</v>
      </c>
      <c r="S1182">
        <v>5</v>
      </c>
      <c r="T1182" t="s">
        <v>135</v>
      </c>
      <c r="U1182">
        <v>0</v>
      </c>
      <c r="V1182">
        <v>4</v>
      </c>
      <c r="W1182" t="s">
        <v>137</v>
      </c>
      <c r="X1182">
        <v>0</v>
      </c>
      <c r="Y1182" t="s">
        <v>140</v>
      </c>
      <c r="Z1182" t="s">
        <v>187</v>
      </c>
      <c r="AA1182" t="s">
        <v>145</v>
      </c>
      <c r="AB1182" t="s">
        <v>162</v>
      </c>
      <c r="AC1182" t="s">
        <v>21</v>
      </c>
      <c r="AD1182" t="s">
        <v>156</v>
      </c>
      <c r="AE1182" t="s">
        <v>120</v>
      </c>
      <c r="AF1182" t="s">
        <v>2050</v>
      </c>
    </row>
    <row r="1183" spans="1:32">
      <c r="A1183" t="s">
        <v>2051</v>
      </c>
      <c r="B1183" s="37">
        <v>39939</v>
      </c>
      <c r="C1183" s="38">
        <v>39939</v>
      </c>
      <c r="D1183" s="38">
        <v>39937</v>
      </c>
      <c r="E1183" s="38">
        <v>39934</v>
      </c>
      <c r="F1183" s="39">
        <v>34</v>
      </c>
      <c r="G1183" t="s">
        <v>380</v>
      </c>
      <c r="H1183" t="s">
        <v>17</v>
      </c>
      <c r="I1183">
        <v>0</v>
      </c>
      <c r="J1183">
        <v>0</v>
      </c>
      <c r="K1183">
        <v>1</v>
      </c>
      <c r="L1183">
        <v>0</v>
      </c>
      <c r="M1183">
        <v>0</v>
      </c>
      <c r="N1183" t="s">
        <v>201</v>
      </c>
      <c r="O1183" t="s">
        <v>214</v>
      </c>
      <c r="P1183" t="s">
        <v>204</v>
      </c>
      <c r="Q1183" t="s">
        <v>170</v>
      </c>
      <c r="R1183" t="s">
        <v>155</v>
      </c>
      <c r="T1183" t="s">
        <v>134</v>
      </c>
      <c r="U1183">
        <v>1</v>
      </c>
      <c r="W1183" t="s">
        <v>134</v>
      </c>
      <c r="X1183">
        <v>1</v>
      </c>
      <c r="Y1183" t="s">
        <v>140</v>
      </c>
      <c r="Z1183" t="s">
        <v>479</v>
      </c>
      <c r="AA1183" t="s">
        <v>142</v>
      </c>
      <c r="AB1183" t="s">
        <v>163</v>
      </c>
      <c r="AC1183" t="s">
        <v>173</v>
      </c>
      <c r="AD1183" t="s">
        <v>155</v>
      </c>
      <c r="AE1183" t="s">
        <v>692</v>
      </c>
      <c r="AF1183" t="s">
        <v>21</v>
      </c>
    </row>
    <row r="1184" spans="1:32">
      <c r="A1184" t="s">
        <v>2052</v>
      </c>
      <c r="B1184" s="37">
        <v>39962</v>
      </c>
      <c r="C1184" s="38">
        <v>39962</v>
      </c>
      <c r="D1184" s="38">
        <v>39958</v>
      </c>
      <c r="E1184" s="38">
        <v>39934</v>
      </c>
      <c r="F1184" s="39">
        <v>57</v>
      </c>
      <c r="G1184" t="s">
        <v>21</v>
      </c>
      <c r="H1184" t="s">
        <v>21</v>
      </c>
      <c r="I1184">
        <v>0</v>
      </c>
      <c r="J1184">
        <v>0</v>
      </c>
      <c r="K1184">
        <v>0</v>
      </c>
      <c r="L1184">
        <v>1</v>
      </c>
      <c r="M1184">
        <v>0</v>
      </c>
      <c r="N1184" t="s">
        <v>194</v>
      </c>
      <c r="O1184" t="s">
        <v>213</v>
      </c>
      <c r="P1184" t="s">
        <v>205</v>
      </c>
      <c r="Q1184" t="s">
        <v>170</v>
      </c>
      <c r="R1184" t="s">
        <v>155</v>
      </c>
      <c r="T1184" t="s">
        <v>134</v>
      </c>
      <c r="U1184">
        <v>1</v>
      </c>
      <c r="W1184" t="s">
        <v>134</v>
      </c>
      <c r="X1184">
        <v>1</v>
      </c>
      <c r="Y1184" t="s">
        <v>139</v>
      </c>
      <c r="Z1184" t="s">
        <v>479</v>
      </c>
      <c r="AA1184" t="s">
        <v>150</v>
      </c>
      <c r="AB1184" t="s">
        <v>163</v>
      </c>
      <c r="AC1184" t="s">
        <v>173</v>
      </c>
      <c r="AD1184" t="s">
        <v>155</v>
      </c>
      <c r="AE1184" t="s">
        <v>1302</v>
      </c>
      <c r="AF1184" t="s">
        <v>21</v>
      </c>
    </row>
    <row r="1185" spans="1:32">
      <c r="A1185" t="s">
        <v>2053</v>
      </c>
      <c r="B1185" s="37">
        <v>40041</v>
      </c>
      <c r="C1185" s="38">
        <v>40041</v>
      </c>
      <c r="D1185" s="38">
        <v>40035</v>
      </c>
      <c r="E1185" s="38">
        <v>40026</v>
      </c>
      <c r="F1185" s="39">
        <v>136</v>
      </c>
      <c r="G1185" t="s">
        <v>21</v>
      </c>
      <c r="H1185" t="s">
        <v>21</v>
      </c>
      <c r="I1185">
        <v>0</v>
      </c>
      <c r="J1185">
        <v>0</v>
      </c>
      <c r="K1185">
        <v>0</v>
      </c>
      <c r="L1185">
        <v>1</v>
      </c>
      <c r="M1185">
        <v>0</v>
      </c>
      <c r="N1185" t="s">
        <v>196</v>
      </c>
      <c r="O1185" t="s">
        <v>213</v>
      </c>
      <c r="P1185" t="s">
        <v>207</v>
      </c>
      <c r="Q1185" t="s">
        <v>170</v>
      </c>
      <c r="R1185" t="s">
        <v>155</v>
      </c>
      <c r="S1185">
        <v>5</v>
      </c>
      <c r="T1185" t="s">
        <v>135</v>
      </c>
      <c r="U1185">
        <v>0</v>
      </c>
      <c r="V1185">
        <v>3</v>
      </c>
      <c r="W1185" t="s">
        <v>137</v>
      </c>
      <c r="X1185">
        <v>0</v>
      </c>
      <c r="Y1185" t="s">
        <v>139</v>
      </c>
      <c r="Z1185" t="s">
        <v>479</v>
      </c>
      <c r="AA1185" t="s">
        <v>146</v>
      </c>
      <c r="AB1185" t="s">
        <v>165</v>
      </c>
      <c r="AC1185" t="s">
        <v>1875</v>
      </c>
      <c r="AD1185" t="s">
        <v>158</v>
      </c>
      <c r="AE1185" t="s">
        <v>122</v>
      </c>
      <c r="AF1185" t="s">
        <v>21</v>
      </c>
    </row>
    <row r="1186" spans="1:32">
      <c r="A1186" t="s">
        <v>2054</v>
      </c>
      <c r="B1186" s="37">
        <v>39975</v>
      </c>
      <c r="C1186" s="38">
        <v>39975</v>
      </c>
      <c r="D1186" s="38">
        <v>39972</v>
      </c>
      <c r="E1186" s="38">
        <v>39965</v>
      </c>
      <c r="F1186" s="39">
        <v>70</v>
      </c>
      <c r="G1186" t="s">
        <v>380</v>
      </c>
      <c r="H1186" t="s">
        <v>17</v>
      </c>
      <c r="I1186">
        <v>0</v>
      </c>
      <c r="J1186">
        <v>0</v>
      </c>
      <c r="K1186">
        <v>1</v>
      </c>
      <c r="L1186">
        <v>0</v>
      </c>
      <c r="M1186">
        <v>0</v>
      </c>
      <c r="N1186" t="s">
        <v>193</v>
      </c>
      <c r="O1186" t="s">
        <v>213</v>
      </c>
      <c r="P1186" t="s">
        <v>204</v>
      </c>
      <c r="Q1186" t="s">
        <v>170</v>
      </c>
      <c r="R1186" t="s">
        <v>155</v>
      </c>
      <c r="T1186" t="s">
        <v>134</v>
      </c>
      <c r="U1186">
        <v>1</v>
      </c>
      <c r="W1186" t="s">
        <v>134</v>
      </c>
      <c r="X1186">
        <v>1</v>
      </c>
      <c r="Y1186" t="s">
        <v>140</v>
      </c>
      <c r="Z1186" t="s">
        <v>409</v>
      </c>
      <c r="AA1186" t="s">
        <v>143</v>
      </c>
      <c r="AB1186" t="s">
        <v>162</v>
      </c>
      <c r="AC1186" t="s">
        <v>175</v>
      </c>
      <c r="AD1186" t="s">
        <v>155</v>
      </c>
      <c r="AE1186" t="s">
        <v>129</v>
      </c>
      <c r="AF1186" t="s">
        <v>21</v>
      </c>
    </row>
    <row r="1187" spans="1:32">
      <c r="A1187" t="s">
        <v>2055</v>
      </c>
      <c r="B1187" s="37">
        <v>39920</v>
      </c>
      <c r="C1187" s="38">
        <v>39920</v>
      </c>
      <c r="D1187" s="38">
        <v>39916</v>
      </c>
      <c r="E1187" s="38">
        <v>39904</v>
      </c>
      <c r="F1187" s="39">
        <v>15</v>
      </c>
      <c r="G1187" t="s">
        <v>21</v>
      </c>
      <c r="H1187" t="s">
        <v>21</v>
      </c>
      <c r="I1187">
        <v>0</v>
      </c>
      <c r="J1187">
        <v>0</v>
      </c>
      <c r="K1187">
        <v>0</v>
      </c>
      <c r="L1187">
        <v>1</v>
      </c>
      <c r="M1187">
        <v>0</v>
      </c>
      <c r="N1187" t="s">
        <v>198</v>
      </c>
      <c r="O1187" t="s">
        <v>213</v>
      </c>
      <c r="P1187" t="s">
        <v>208</v>
      </c>
      <c r="Q1187" t="s">
        <v>170</v>
      </c>
      <c r="R1187" t="s">
        <v>155</v>
      </c>
      <c r="T1187" t="s">
        <v>134</v>
      </c>
      <c r="U1187">
        <v>1</v>
      </c>
      <c r="W1187" t="s">
        <v>134</v>
      </c>
      <c r="X1187">
        <v>1</v>
      </c>
      <c r="Y1187" t="s">
        <v>139</v>
      </c>
      <c r="Z1187" t="s">
        <v>178</v>
      </c>
      <c r="AA1187" t="s">
        <v>150</v>
      </c>
      <c r="AB1187" t="s">
        <v>162</v>
      </c>
      <c r="AC1187" t="s">
        <v>174</v>
      </c>
      <c r="AD1187" t="s">
        <v>156</v>
      </c>
      <c r="AE1187" t="s">
        <v>120</v>
      </c>
      <c r="AF1187" t="s">
        <v>715</v>
      </c>
    </row>
    <row r="1188" spans="1:32">
      <c r="A1188" t="s">
        <v>2056</v>
      </c>
      <c r="B1188" s="37">
        <v>40025</v>
      </c>
      <c r="C1188" s="38">
        <v>40025</v>
      </c>
      <c r="D1188" s="38">
        <v>40021</v>
      </c>
      <c r="E1188" s="38">
        <v>39995</v>
      </c>
      <c r="F1188" s="39">
        <v>120</v>
      </c>
      <c r="G1188" t="s">
        <v>383</v>
      </c>
      <c r="H1188" t="s">
        <v>17</v>
      </c>
      <c r="I1188">
        <v>0</v>
      </c>
      <c r="J1188">
        <v>0</v>
      </c>
      <c r="K1188">
        <v>1</v>
      </c>
      <c r="L1188">
        <v>0</v>
      </c>
      <c r="M1188">
        <v>0</v>
      </c>
      <c r="N1188" t="s">
        <v>193</v>
      </c>
      <c r="O1188" t="s">
        <v>213</v>
      </c>
      <c r="P1188" t="s">
        <v>204</v>
      </c>
      <c r="Q1188" t="s">
        <v>170</v>
      </c>
      <c r="R1188" t="s">
        <v>155</v>
      </c>
      <c r="S1188">
        <v>5</v>
      </c>
      <c r="T1188" t="s">
        <v>135</v>
      </c>
      <c r="U1188">
        <v>0</v>
      </c>
      <c r="V1188">
        <v>5</v>
      </c>
      <c r="W1188" t="s">
        <v>135</v>
      </c>
      <c r="X1188">
        <v>0</v>
      </c>
      <c r="Y1188" t="s">
        <v>140</v>
      </c>
      <c r="Z1188" t="s">
        <v>178</v>
      </c>
      <c r="AA1188" t="s">
        <v>144</v>
      </c>
      <c r="AB1188" t="s">
        <v>163</v>
      </c>
      <c r="AC1188" t="s">
        <v>173</v>
      </c>
      <c r="AD1188" t="s">
        <v>155</v>
      </c>
      <c r="AE1188" t="s">
        <v>510</v>
      </c>
      <c r="AF1188" t="s">
        <v>21</v>
      </c>
    </row>
    <row r="1189" spans="1:32">
      <c r="A1189" t="s">
        <v>2057</v>
      </c>
      <c r="B1189" s="37">
        <v>39949</v>
      </c>
      <c r="C1189" s="38">
        <v>39949</v>
      </c>
      <c r="D1189" s="38">
        <v>39944</v>
      </c>
      <c r="E1189" s="38">
        <v>39934</v>
      </c>
      <c r="F1189" s="39">
        <v>44</v>
      </c>
      <c r="G1189" t="s">
        <v>21</v>
      </c>
      <c r="H1189" t="s">
        <v>21</v>
      </c>
      <c r="I1189">
        <v>0</v>
      </c>
      <c r="J1189">
        <v>0</v>
      </c>
      <c r="K1189">
        <v>0</v>
      </c>
      <c r="L1189">
        <v>1</v>
      </c>
      <c r="M1189">
        <v>0</v>
      </c>
      <c r="N1189" t="s">
        <v>195</v>
      </c>
      <c r="O1189" t="s">
        <v>213</v>
      </c>
      <c r="P1189" t="s">
        <v>206</v>
      </c>
      <c r="Q1189" t="s">
        <v>170</v>
      </c>
      <c r="R1189" t="s">
        <v>155</v>
      </c>
      <c r="T1189" t="s">
        <v>134</v>
      </c>
      <c r="U1189">
        <v>1</v>
      </c>
      <c r="W1189" t="s">
        <v>134</v>
      </c>
      <c r="X1189">
        <v>1</v>
      </c>
      <c r="Y1189" t="s">
        <v>139</v>
      </c>
      <c r="Z1189" t="s">
        <v>184</v>
      </c>
      <c r="AA1189" t="s">
        <v>145</v>
      </c>
      <c r="AB1189" t="s">
        <v>162</v>
      </c>
      <c r="AC1189" t="s">
        <v>174</v>
      </c>
      <c r="AD1189" t="s">
        <v>157</v>
      </c>
      <c r="AE1189" t="s">
        <v>127</v>
      </c>
      <c r="AF1189" t="s">
        <v>153</v>
      </c>
    </row>
    <row r="1190" spans="1:32">
      <c r="A1190" t="s">
        <v>2058</v>
      </c>
      <c r="B1190" s="37">
        <v>39982</v>
      </c>
      <c r="C1190" s="38">
        <v>39982</v>
      </c>
      <c r="D1190" s="38">
        <v>39979</v>
      </c>
      <c r="E1190" s="38">
        <v>39965</v>
      </c>
      <c r="F1190" s="39">
        <v>77</v>
      </c>
      <c r="G1190" t="s">
        <v>21</v>
      </c>
      <c r="H1190" t="s">
        <v>21</v>
      </c>
      <c r="I1190">
        <v>0</v>
      </c>
      <c r="J1190">
        <v>0</v>
      </c>
      <c r="K1190">
        <v>0</v>
      </c>
      <c r="L1190">
        <v>1</v>
      </c>
      <c r="M1190">
        <v>0</v>
      </c>
      <c r="N1190" t="s">
        <v>193</v>
      </c>
      <c r="O1190" t="s">
        <v>213</v>
      </c>
      <c r="P1190" t="s">
        <v>204</v>
      </c>
      <c r="Q1190" t="s">
        <v>170</v>
      </c>
      <c r="R1190" t="s">
        <v>155</v>
      </c>
      <c r="T1190" t="s">
        <v>134</v>
      </c>
      <c r="U1190">
        <v>1</v>
      </c>
      <c r="W1190" t="s">
        <v>134</v>
      </c>
      <c r="X1190">
        <v>1</v>
      </c>
      <c r="Y1190" t="s">
        <v>140</v>
      </c>
      <c r="Z1190" t="s">
        <v>184</v>
      </c>
      <c r="AA1190" t="s">
        <v>143</v>
      </c>
      <c r="AB1190" t="s">
        <v>162</v>
      </c>
      <c r="AC1190" t="s">
        <v>174</v>
      </c>
      <c r="AD1190" t="s">
        <v>156</v>
      </c>
      <c r="AE1190" t="s">
        <v>120</v>
      </c>
      <c r="AF1190" t="s">
        <v>2059</v>
      </c>
    </row>
    <row r="1191" spans="1:32">
      <c r="A1191" t="s">
        <v>2060</v>
      </c>
      <c r="B1191" s="37">
        <v>39969</v>
      </c>
      <c r="C1191" s="38">
        <v>39969</v>
      </c>
      <c r="D1191" s="38">
        <v>39965</v>
      </c>
      <c r="E1191" s="38">
        <v>39965</v>
      </c>
      <c r="F1191" s="39">
        <v>64</v>
      </c>
      <c r="G1191" t="s">
        <v>21</v>
      </c>
      <c r="H1191" t="s">
        <v>21</v>
      </c>
      <c r="I1191">
        <v>0</v>
      </c>
      <c r="J1191">
        <v>0</v>
      </c>
      <c r="K1191">
        <v>0</v>
      </c>
      <c r="L1191">
        <v>1</v>
      </c>
      <c r="M1191">
        <v>0</v>
      </c>
      <c r="N1191" t="s">
        <v>195</v>
      </c>
      <c r="O1191" t="s">
        <v>213</v>
      </c>
      <c r="P1191" t="s">
        <v>206</v>
      </c>
      <c r="Q1191" t="s">
        <v>170</v>
      </c>
      <c r="R1191" t="s">
        <v>155</v>
      </c>
      <c r="T1191" t="s">
        <v>134</v>
      </c>
      <c r="U1191">
        <v>1</v>
      </c>
      <c r="W1191" t="s">
        <v>134</v>
      </c>
      <c r="X1191">
        <v>1</v>
      </c>
      <c r="Y1191" t="s">
        <v>139</v>
      </c>
      <c r="Z1191" t="s">
        <v>184</v>
      </c>
      <c r="AA1191" t="s">
        <v>145</v>
      </c>
      <c r="AB1191" t="s">
        <v>162</v>
      </c>
      <c r="AC1191" t="s">
        <v>1123</v>
      </c>
      <c r="AD1191" t="s">
        <v>156</v>
      </c>
      <c r="AE1191" t="s">
        <v>120</v>
      </c>
      <c r="AF1191" t="s">
        <v>2061</v>
      </c>
    </row>
    <row r="1192" spans="1:32">
      <c r="A1192" t="s">
        <v>2062</v>
      </c>
      <c r="B1192" s="37">
        <v>40022</v>
      </c>
      <c r="C1192" s="38">
        <v>40022</v>
      </c>
      <c r="D1192" s="38">
        <v>40021</v>
      </c>
      <c r="E1192" s="38">
        <v>39995</v>
      </c>
      <c r="F1192" s="39">
        <v>117</v>
      </c>
      <c r="G1192" t="s">
        <v>383</v>
      </c>
      <c r="H1192" t="s">
        <v>17</v>
      </c>
      <c r="I1192">
        <v>0</v>
      </c>
      <c r="J1192">
        <v>0</v>
      </c>
      <c r="K1192">
        <v>1</v>
      </c>
      <c r="L1192">
        <v>0</v>
      </c>
      <c r="M1192">
        <v>0</v>
      </c>
      <c r="N1192" t="s">
        <v>197</v>
      </c>
      <c r="O1192" t="s">
        <v>213</v>
      </c>
      <c r="P1192" t="s">
        <v>209</v>
      </c>
      <c r="Q1192" t="s">
        <v>170</v>
      </c>
      <c r="R1192" t="s">
        <v>155</v>
      </c>
      <c r="S1192">
        <v>5</v>
      </c>
      <c r="T1192" t="s">
        <v>135</v>
      </c>
      <c r="U1192">
        <v>0</v>
      </c>
      <c r="V1192">
        <v>5</v>
      </c>
      <c r="W1192" t="s">
        <v>135</v>
      </c>
      <c r="X1192">
        <v>0</v>
      </c>
      <c r="Y1192" t="s">
        <v>139</v>
      </c>
      <c r="Z1192" t="s">
        <v>184</v>
      </c>
      <c r="AA1192" t="s">
        <v>146</v>
      </c>
      <c r="AB1192" t="s">
        <v>163</v>
      </c>
      <c r="AC1192" t="s">
        <v>1032</v>
      </c>
      <c r="AD1192" t="s">
        <v>155</v>
      </c>
      <c r="AE1192" t="s">
        <v>510</v>
      </c>
      <c r="AF1192" t="s">
        <v>21</v>
      </c>
    </row>
    <row r="1193" spans="1:32">
      <c r="A1193" t="s">
        <v>2063</v>
      </c>
      <c r="B1193" s="37">
        <v>39946</v>
      </c>
      <c r="C1193" s="38">
        <v>39946</v>
      </c>
      <c r="D1193" s="38">
        <v>39944</v>
      </c>
      <c r="E1193" s="38">
        <v>39934</v>
      </c>
      <c r="F1193" s="39">
        <v>41</v>
      </c>
      <c r="G1193" t="s">
        <v>21</v>
      </c>
      <c r="H1193" t="s">
        <v>21</v>
      </c>
      <c r="I1193">
        <v>0</v>
      </c>
      <c r="J1193">
        <v>0</v>
      </c>
      <c r="K1193">
        <v>0</v>
      </c>
      <c r="L1193">
        <v>1</v>
      </c>
      <c r="M1193">
        <v>0</v>
      </c>
      <c r="N1193" t="s">
        <v>194</v>
      </c>
      <c r="O1193" t="s">
        <v>213</v>
      </c>
      <c r="P1193" t="s">
        <v>205</v>
      </c>
      <c r="Q1193" t="s">
        <v>170</v>
      </c>
      <c r="R1193" t="s">
        <v>155</v>
      </c>
      <c r="T1193" t="s">
        <v>134</v>
      </c>
      <c r="U1193">
        <v>1</v>
      </c>
      <c r="W1193" t="s">
        <v>134</v>
      </c>
      <c r="X1193">
        <v>1</v>
      </c>
      <c r="Y1193" t="s">
        <v>139</v>
      </c>
      <c r="Z1193" t="s">
        <v>184</v>
      </c>
      <c r="AA1193" t="s">
        <v>147</v>
      </c>
      <c r="AB1193" t="s">
        <v>165</v>
      </c>
      <c r="AC1193" t="s">
        <v>614</v>
      </c>
      <c r="AD1193" t="s">
        <v>158</v>
      </c>
      <c r="AE1193" t="s">
        <v>122</v>
      </c>
      <c r="AF1193" t="s">
        <v>21</v>
      </c>
    </row>
    <row r="1194" spans="1:32">
      <c r="A1194" t="s">
        <v>2064</v>
      </c>
      <c r="B1194" s="37">
        <v>39949</v>
      </c>
      <c r="C1194" s="38">
        <v>39949</v>
      </c>
      <c r="D1194" s="38">
        <v>39944</v>
      </c>
      <c r="E1194" s="38">
        <v>39934</v>
      </c>
      <c r="F1194" s="39">
        <v>44</v>
      </c>
      <c r="G1194" t="s">
        <v>21</v>
      </c>
      <c r="H1194" t="s">
        <v>21</v>
      </c>
      <c r="I1194">
        <v>0</v>
      </c>
      <c r="J1194">
        <v>0</v>
      </c>
      <c r="K1194">
        <v>0</v>
      </c>
      <c r="L1194">
        <v>1</v>
      </c>
      <c r="M1194">
        <v>0</v>
      </c>
      <c r="N1194" t="s">
        <v>193</v>
      </c>
      <c r="O1194" t="s">
        <v>213</v>
      </c>
      <c r="P1194" t="s">
        <v>204</v>
      </c>
      <c r="Q1194" t="s">
        <v>170</v>
      </c>
      <c r="R1194" t="s">
        <v>155</v>
      </c>
      <c r="T1194" t="s">
        <v>134</v>
      </c>
      <c r="U1194">
        <v>1</v>
      </c>
      <c r="W1194" t="s">
        <v>134</v>
      </c>
      <c r="X1194">
        <v>1</v>
      </c>
      <c r="Y1194" t="s">
        <v>140</v>
      </c>
      <c r="Z1194" t="s">
        <v>183</v>
      </c>
      <c r="AA1194" t="s">
        <v>147</v>
      </c>
      <c r="AB1194" t="s">
        <v>163</v>
      </c>
      <c r="AC1194" t="s">
        <v>173</v>
      </c>
      <c r="AD1194" t="s">
        <v>161</v>
      </c>
      <c r="AE1194" t="s">
        <v>939</v>
      </c>
      <c r="AF1194" t="s">
        <v>21</v>
      </c>
    </row>
    <row r="1195" spans="1:32">
      <c r="A1195" t="s">
        <v>2065</v>
      </c>
      <c r="B1195" s="37">
        <v>39986</v>
      </c>
      <c r="C1195" s="38">
        <v>39986</v>
      </c>
      <c r="D1195" s="38">
        <v>39986</v>
      </c>
      <c r="E1195" s="38">
        <v>39965</v>
      </c>
      <c r="F1195" s="39">
        <v>81</v>
      </c>
      <c r="G1195" t="s">
        <v>21</v>
      </c>
      <c r="H1195" t="s">
        <v>21</v>
      </c>
      <c r="I1195">
        <v>0</v>
      </c>
      <c r="J1195">
        <v>0</v>
      </c>
      <c r="K1195">
        <v>0</v>
      </c>
      <c r="L1195">
        <v>1</v>
      </c>
      <c r="M1195">
        <v>0</v>
      </c>
      <c r="N1195" t="s">
        <v>193</v>
      </c>
      <c r="O1195" t="s">
        <v>213</v>
      </c>
      <c r="P1195" t="s">
        <v>204</v>
      </c>
      <c r="Q1195" t="s">
        <v>170</v>
      </c>
      <c r="R1195" t="s">
        <v>155</v>
      </c>
      <c r="T1195" t="s">
        <v>134</v>
      </c>
      <c r="U1195">
        <v>1</v>
      </c>
      <c r="W1195" t="s">
        <v>134</v>
      </c>
      <c r="X1195">
        <v>1</v>
      </c>
      <c r="Y1195" t="s">
        <v>140</v>
      </c>
      <c r="Z1195" t="s">
        <v>181</v>
      </c>
      <c r="AA1195" t="s">
        <v>146</v>
      </c>
      <c r="AB1195" t="s">
        <v>163</v>
      </c>
      <c r="AC1195" t="s">
        <v>2066</v>
      </c>
      <c r="AD1195" t="s">
        <v>788</v>
      </c>
      <c r="AE1195" t="s">
        <v>1225</v>
      </c>
      <c r="AF1195" t="s">
        <v>21</v>
      </c>
    </row>
    <row r="1196" spans="1:32">
      <c r="A1196" t="s">
        <v>2067</v>
      </c>
      <c r="B1196" s="37">
        <v>40052</v>
      </c>
      <c r="C1196" s="38">
        <v>40052</v>
      </c>
      <c r="D1196" s="38">
        <v>40049</v>
      </c>
      <c r="E1196" s="38">
        <v>40026</v>
      </c>
      <c r="F1196" s="39">
        <v>147</v>
      </c>
      <c r="G1196" t="s">
        <v>21</v>
      </c>
      <c r="H1196" t="s">
        <v>21</v>
      </c>
      <c r="I1196">
        <v>0</v>
      </c>
      <c r="J1196">
        <v>0</v>
      </c>
      <c r="K1196">
        <v>0</v>
      </c>
      <c r="L1196">
        <v>1</v>
      </c>
      <c r="M1196">
        <v>0</v>
      </c>
      <c r="N1196" t="s">
        <v>195</v>
      </c>
      <c r="O1196" t="s">
        <v>213</v>
      </c>
      <c r="P1196" t="s">
        <v>206</v>
      </c>
      <c r="Q1196" t="s">
        <v>170</v>
      </c>
      <c r="R1196" t="s">
        <v>155</v>
      </c>
      <c r="S1196">
        <v>5</v>
      </c>
      <c r="T1196" t="s">
        <v>135</v>
      </c>
      <c r="U1196">
        <v>0</v>
      </c>
      <c r="V1196">
        <v>5</v>
      </c>
      <c r="W1196" t="s">
        <v>135</v>
      </c>
      <c r="X1196">
        <v>0</v>
      </c>
      <c r="Y1196" t="s">
        <v>139</v>
      </c>
      <c r="Z1196" t="s">
        <v>186</v>
      </c>
      <c r="AA1196" t="s">
        <v>145</v>
      </c>
      <c r="AB1196" t="s">
        <v>162</v>
      </c>
      <c r="AC1196" t="s">
        <v>2068</v>
      </c>
      <c r="AD1196" t="s">
        <v>156</v>
      </c>
      <c r="AE1196" t="s">
        <v>120</v>
      </c>
      <c r="AF1196" t="s">
        <v>868</v>
      </c>
    </row>
    <row r="1197" spans="1:32">
      <c r="A1197" t="s">
        <v>2069</v>
      </c>
      <c r="B1197" s="37">
        <v>39916</v>
      </c>
      <c r="C1197" s="38">
        <v>39916</v>
      </c>
      <c r="D1197" s="38">
        <v>39916</v>
      </c>
      <c r="E1197" s="38">
        <v>39904</v>
      </c>
      <c r="F1197" s="39">
        <v>11</v>
      </c>
      <c r="G1197" t="s">
        <v>21</v>
      </c>
      <c r="H1197" t="s">
        <v>21</v>
      </c>
      <c r="I1197">
        <v>0</v>
      </c>
      <c r="J1197">
        <v>0</v>
      </c>
      <c r="K1197">
        <v>0</v>
      </c>
      <c r="L1197">
        <v>1</v>
      </c>
      <c r="M1197">
        <v>0</v>
      </c>
      <c r="N1197" t="s">
        <v>200</v>
      </c>
      <c r="O1197" t="s">
        <v>214</v>
      </c>
      <c r="P1197" t="s">
        <v>208</v>
      </c>
      <c r="Q1197" t="s">
        <v>170</v>
      </c>
      <c r="R1197" t="s">
        <v>155</v>
      </c>
      <c r="T1197" t="s">
        <v>134</v>
      </c>
      <c r="U1197">
        <v>1</v>
      </c>
      <c r="W1197" t="s">
        <v>134</v>
      </c>
      <c r="X1197">
        <v>1</v>
      </c>
      <c r="Y1197" t="s">
        <v>139</v>
      </c>
      <c r="Z1197" t="s">
        <v>509</v>
      </c>
      <c r="AA1197" t="s">
        <v>148</v>
      </c>
      <c r="AB1197" t="s">
        <v>162</v>
      </c>
      <c r="AC1197" t="s">
        <v>174</v>
      </c>
      <c r="AD1197" t="s">
        <v>157</v>
      </c>
      <c r="AE1197" t="s">
        <v>434</v>
      </c>
      <c r="AF1197" t="s">
        <v>2070</v>
      </c>
    </row>
    <row r="1198" spans="1:32">
      <c r="A1198" t="s">
        <v>2071</v>
      </c>
      <c r="B1198" s="37">
        <v>39971</v>
      </c>
      <c r="C1198" s="38">
        <v>39971</v>
      </c>
      <c r="D1198" s="38">
        <v>39965</v>
      </c>
      <c r="E1198" s="38">
        <v>39965</v>
      </c>
      <c r="F1198" s="39">
        <v>66</v>
      </c>
      <c r="G1198" t="s">
        <v>21</v>
      </c>
      <c r="H1198" t="s">
        <v>21</v>
      </c>
      <c r="I1198">
        <v>0</v>
      </c>
      <c r="J1198">
        <v>0</v>
      </c>
      <c r="K1198">
        <v>0</v>
      </c>
      <c r="L1198">
        <v>1</v>
      </c>
      <c r="M1198">
        <v>0</v>
      </c>
      <c r="N1198" t="s">
        <v>195</v>
      </c>
      <c r="O1198" t="s">
        <v>213</v>
      </c>
      <c r="P1198" t="s">
        <v>206</v>
      </c>
      <c r="Q1198" t="s">
        <v>170</v>
      </c>
      <c r="R1198" t="s">
        <v>155</v>
      </c>
      <c r="T1198" t="s">
        <v>134</v>
      </c>
      <c r="U1198">
        <v>1</v>
      </c>
      <c r="W1198" t="s">
        <v>134</v>
      </c>
      <c r="X1198">
        <v>1</v>
      </c>
      <c r="Y1198" t="s">
        <v>139</v>
      </c>
      <c r="Z1198" t="s">
        <v>182</v>
      </c>
      <c r="AA1198" t="s">
        <v>145</v>
      </c>
      <c r="AB1198" t="s">
        <v>163</v>
      </c>
      <c r="AC1198" t="s">
        <v>173</v>
      </c>
      <c r="AD1198" t="s">
        <v>155</v>
      </c>
      <c r="AE1198" t="s">
        <v>454</v>
      </c>
      <c r="AF1198" t="s">
        <v>21</v>
      </c>
    </row>
    <row r="1199" spans="1:32">
      <c r="A1199" t="s">
        <v>2072</v>
      </c>
      <c r="B1199" s="37">
        <v>39978</v>
      </c>
      <c r="C1199" s="38">
        <v>39978</v>
      </c>
      <c r="D1199" s="38">
        <v>39972</v>
      </c>
      <c r="E1199" s="38">
        <v>39965</v>
      </c>
      <c r="F1199" s="39">
        <v>73</v>
      </c>
      <c r="G1199" t="s">
        <v>21</v>
      </c>
      <c r="H1199" t="s">
        <v>21</v>
      </c>
      <c r="I1199">
        <v>0</v>
      </c>
      <c r="J1199">
        <v>0</v>
      </c>
      <c r="K1199">
        <v>0</v>
      </c>
      <c r="L1199">
        <v>1</v>
      </c>
      <c r="M1199">
        <v>0</v>
      </c>
      <c r="N1199" t="s">
        <v>193</v>
      </c>
      <c r="O1199" t="s">
        <v>213</v>
      </c>
      <c r="P1199" t="s">
        <v>204</v>
      </c>
      <c r="Q1199" t="s">
        <v>170</v>
      </c>
      <c r="R1199" t="s">
        <v>155</v>
      </c>
      <c r="T1199" t="s">
        <v>134</v>
      </c>
      <c r="U1199">
        <v>1</v>
      </c>
      <c r="W1199" t="s">
        <v>134</v>
      </c>
      <c r="X1199">
        <v>1</v>
      </c>
      <c r="Y1199" t="s">
        <v>140</v>
      </c>
      <c r="Z1199" t="s">
        <v>181</v>
      </c>
      <c r="AA1199" t="s">
        <v>145</v>
      </c>
      <c r="AB1199" t="s">
        <v>165</v>
      </c>
      <c r="AC1199" t="s">
        <v>589</v>
      </c>
      <c r="AD1199" t="s">
        <v>158</v>
      </c>
      <c r="AE1199" t="s">
        <v>122</v>
      </c>
      <c r="AF1199" t="s">
        <v>21</v>
      </c>
    </row>
    <row r="1200" spans="1:32">
      <c r="A1200" t="s">
        <v>2073</v>
      </c>
      <c r="B1200" s="37">
        <v>39975</v>
      </c>
      <c r="C1200" s="38">
        <v>39975</v>
      </c>
      <c r="D1200" s="38">
        <v>39972</v>
      </c>
      <c r="E1200" s="38">
        <v>39965</v>
      </c>
      <c r="F1200" s="39">
        <v>70</v>
      </c>
      <c r="G1200" t="s">
        <v>383</v>
      </c>
      <c r="H1200" t="s">
        <v>17</v>
      </c>
      <c r="I1200">
        <v>0</v>
      </c>
      <c r="J1200">
        <v>0</v>
      </c>
      <c r="K1200">
        <v>1</v>
      </c>
      <c r="L1200">
        <v>0</v>
      </c>
      <c r="M1200">
        <v>0</v>
      </c>
      <c r="N1200" t="s">
        <v>193</v>
      </c>
      <c r="O1200" t="s">
        <v>213</v>
      </c>
      <c r="P1200" t="s">
        <v>204</v>
      </c>
      <c r="Q1200" t="s">
        <v>170</v>
      </c>
      <c r="R1200" t="s">
        <v>155</v>
      </c>
      <c r="T1200" t="s">
        <v>134</v>
      </c>
      <c r="U1200">
        <v>1</v>
      </c>
      <c r="W1200" t="s">
        <v>134</v>
      </c>
      <c r="X1200">
        <v>1</v>
      </c>
      <c r="Y1200" t="s">
        <v>140</v>
      </c>
      <c r="Z1200" t="s">
        <v>186</v>
      </c>
      <c r="AA1200" t="s">
        <v>143</v>
      </c>
      <c r="AB1200" t="s">
        <v>162</v>
      </c>
      <c r="AC1200" t="s">
        <v>174</v>
      </c>
      <c r="AD1200" t="s">
        <v>157</v>
      </c>
      <c r="AE1200" t="s">
        <v>130</v>
      </c>
      <c r="AF1200" t="s">
        <v>437</v>
      </c>
    </row>
    <row r="1201" spans="1:32">
      <c r="A1201" t="s">
        <v>2074</v>
      </c>
      <c r="B1201" s="37">
        <v>40009</v>
      </c>
      <c r="C1201" s="38">
        <v>40009</v>
      </c>
      <c r="D1201" s="38">
        <v>40007</v>
      </c>
      <c r="E1201" s="38">
        <v>39995</v>
      </c>
      <c r="F1201" s="39">
        <v>104</v>
      </c>
      <c r="G1201" t="s">
        <v>21</v>
      </c>
      <c r="H1201" t="s">
        <v>21</v>
      </c>
      <c r="I1201">
        <v>0</v>
      </c>
      <c r="J1201">
        <v>0</v>
      </c>
      <c r="K1201">
        <v>0</v>
      </c>
      <c r="L1201">
        <v>1</v>
      </c>
      <c r="M1201">
        <v>0</v>
      </c>
      <c r="N1201" t="s">
        <v>194</v>
      </c>
      <c r="O1201" t="s">
        <v>213</v>
      </c>
      <c r="P1201" t="s">
        <v>205</v>
      </c>
      <c r="Q1201" t="s">
        <v>170</v>
      </c>
      <c r="R1201" t="s">
        <v>155</v>
      </c>
      <c r="S1201">
        <v>4</v>
      </c>
      <c r="T1201" t="s">
        <v>137</v>
      </c>
      <c r="U1201">
        <v>0</v>
      </c>
      <c r="V1201">
        <v>5</v>
      </c>
      <c r="W1201" t="s">
        <v>135</v>
      </c>
      <c r="X1201">
        <v>0</v>
      </c>
      <c r="Y1201" t="s">
        <v>139</v>
      </c>
      <c r="Z1201" t="s">
        <v>181</v>
      </c>
      <c r="AA1201" t="s">
        <v>142</v>
      </c>
      <c r="AB1201" t="s">
        <v>162</v>
      </c>
      <c r="AC1201" t="s">
        <v>175</v>
      </c>
      <c r="AD1201" t="s">
        <v>155</v>
      </c>
      <c r="AE1201" t="s">
        <v>130</v>
      </c>
      <c r="AF1201" t="s">
        <v>21</v>
      </c>
    </row>
    <row r="1202" spans="1:32">
      <c r="A1202" t="s">
        <v>2075</v>
      </c>
      <c r="B1202" s="37">
        <v>40019</v>
      </c>
      <c r="C1202" s="38">
        <v>40019</v>
      </c>
      <c r="D1202" s="38">
        <v>40014</v>
      </c>
      <c r="E1202" s="38">
        <v>39995</v>
      </c>
      <c r="F1202" s="39">
        <v>114</v>
      </c>
      <c r="G1202" t="s">
        <v>21</v>
      </c>
      <c r="H1202" t="s">
        <v>21</v>
      </c>
      <c r="I1202">
        <v>0</v>
      </c>
      <c r="J1202">
        <v>0</v>
      </c>
      <c r="K1202">
        <v>0</v>
      </c>
      <c r="L1202">
        <v>1</v>
      </c>
      <c r="M1202">
        <v>0</v>
      </c>
      <c r="N1202" t="s">
        <v>193</v>
      </c>
      <c r="O1202" t="s">
        <v>213</v>
      </c>
      <c r="P1202" t="s">
        <v>204</v>
      </c>
      <c r="Q1202" t="s">
        <v>170</v>
      </c>
      <c r="R1202" t="s">
        <v>155</v>
      </c>
      <c r="S1202">
        <v>5</v>
      </c>
      <c r="T1202" t="s">
        <v>135</v>
      </c>
      <c r="U1202">
        <v>0</v>
      </c>
      <c r="V1202">
        <v>5</v>
      </c>
      <c r="W1202" t="s">
        <v>135</v>
      </c>
      <c r="X1202">
        <v>0</v>
      </c>
      <c r="Y1202" t="s">
        <v>140</v>
      </c>
      <c r="Z1202" t="s">
        <v>181</v>
      </c>
      <c r="AA1202" t="s">
        <v>151</v>
      </c>
      <c r="AB1202" t="s">
        <v>162</v>
      </c>
      <c r="AC1202" t="s">
        <v>174</v>
      </c>
      <c r="AD1202" t="s">
        <v>159</v>
      </c>
      <c r="AE1202" t="s">
        <v>123</v>
      </c>
      <c r="AF1202" t="s">
        <v>123</v>
      </c>
    </row>
    <row r="1203" spans="1:32">
      <c r="A1203" t="s">
        <v>2076</v>
      </c>
      <c r="B1203" s="37">
        <v>40008</v>
      </c>
      <c r="C1203" s="38">
        <v>40008</v>
      </c>
      <c r="D1203" s="38">
        <v>40007</v>
      </c>
      <c r="E1203" s="38">
        <v>39995</v>
      </c>
      <c r="F1203" s="39">
        <v>103</v>
      </c>
      <c r="G1203" t="s">
        <v>21</v>
      </c>
      <c r="H1203" t="s">
        <v>21</v>
      </c>
      <c r="I1203">
        <v>0</v>
      </c>
      <c r="J1203">
        <v>0</v>
      </c>
      <c r="K1203">
        <v>0</v>
      </c>
      <c r="L1203">
        <v>1</v>
      </c>
      <c r="M1203">
        <v>0</v>
      </c>
      <c r="N1203" t="s">
        <v>194</v>
      </c>
      <c r="O1203" t="s">
        <v>213</v>
      </c>
      <c r="P1203" t="s">
        <v>205</v>
      </c>
      <c r="Q1203" t="s">
        <v>170</v>
      </c>
      <c r="R1203" t="s">
        <v>155</v>
      </c>
      <c r="S1203">
        <v>5</v>
      </c>
      <c r="T1203" t="s">
        <v>135</v>
      </c>
      <c r="U1203">
        <v>0</v>
      </c>
      <c r="V1203">
        <v>5</v>
      </c>
      <c r="W1203" t="s">
        <v>135</v>
      </c>
      <c r="X1203">
        <v>0</v>
      </c>
      <c r="Y1203" t="s">
        <v>139</v>
      </c>
      <c r="Z1203" t="s">
        <v>181</v>
      </c>
      <c r="AA1203" t="s">
        <v>145</v>
      </c>
      <c r="AB1203" t="s">
        <v>162</v>
      </c>
      <c r="AC1203" t="s">
        <v>174</v>
      </c>
      <c r="AD1203" t="s">
        <v>156</v>
      </c>
      <c r="AE1203" t="s">
        <v>120</v>
      </c>
      <c r="AF1203" t="s">
        <v>425</v>
      </c>
    </row>
    <row r="1204" spans="1:32">
      <c r="A1204" t="s">
        <v>2077</v>
      </c>
      <c r="B1204" s="37">
        <v>39925</v>
      </c>
      <c r="C1204" s="38">
        <v>39925</v>
      </c>
      <c r="D1204" s="38">
        <v>39923</v>
      </c>
      <c r="E1204" s="38">
        <v>39904</v>
      </c>
      <c r="F1204" s="39">
        <v>20</v>
      </c>
      <c r="G1204" t="s">
        <v>570</v>
      </c>
      <c r="H1204" t="s">
        <v>13</v>
      </c>
      <c r="I1204">
        <v>0</v>
      </c>
      <c r="J1204">
        <v>1</v>
      </c>
      <c r="K1204">
        <v>0</v>
      </c>
      <c r="L1204">
        <v>0</v>
      </c>
      <c r="M1204">
        <v>1</v>
      </c>
      <c r="N1204" t="s">
        <v>194</v>
      </c>
      <c r="O1204" t="s">
        <v>213</v>
      </c>
      <c r="P1204" t="s">
        <v>205</v>
      </c>
      <c r="Q1204" t="s">
        <v>170</v>
      </c>
      <c r="R1204" t="s">
        <v>155</v>
      </c>
      <c r="T1204" t="s">
        <v>134</v>
      </c>
      <c r="U1204">
        <v>1</v>
      </c>
      <c r="W1204" t="s">
        <v>134</v>
      </c>
      <c r="X1204">
        <v>1</v>
      </c>
      <c r="Y1204" t="s">
        <v>139</v>
      </c>
      <c r="Z1204" t="s">
        <v>183</v>
      </c>
      <c r="AA1204" t="s">
        <v>143</v>
      </c>
      <c r="AB1204" t="s">
        <v>162</v>
      </c>
      <c r="AC1204" t="s">
        <v>175</v>
      </c>
      <c r="AD1204" t="s">
        <v>155</v>
      </c>
      <c r="AE1204" t="s">
        <v>387</v>
      </c>
      <c r="AF1204" t="s">
        <v>21</v>
      </c>
    </row>
    <row r="1205" spans="1:32">
      <c r="A1205" t="s">
        <v>2078</v>
      </c>
      <c r="B1205" s="37">
        <v>40060</v>
      </c>
      <c r="C1205" s="38">
        <v>40060</v>
      </c>
      <c r="D1205" s="38">
        <v>40056</v>
      </c>
      <c r="E1205" s="38">
        <v>40057</v>
      </c>
      <c r="F1205" s="39">
        <v>155</v>
      </c>
      <c r="G1205" t="s">
        <v>21</v>
      </c>
      <c r="H1205" t="s">
        <v>21</v>
      </c>
      <c r="I1205">
        <v>0</v>
      </c>
      <c r="J1205">
        <v>0</v>
      </c>
      <c r="K1205">
        <v>0</v>
      </c>
      <c r="L1205">
        <v>1</v>
      </c>
      <c r="M1205">
        <v>0</v>
      </c>
      <c r="N1205" t="s">
        <v>196</v>
      </c>
      <c r="O1205" t="s">
        <v>213</v>
      </c>
      <c r="P1205" t="s">
        <v>207</v>
      </c>
      <c r="Q1205" t="s">
        <v>170</v>
      </c>
      <c r="R1205" t="s">
        <v>155</v>
      </c>
      <c r="S1205">
        <v>5</v>
      </c>
      <c r="T1205" t="s">
        <v>135</v>
      </c>
      <c r="U1205">
        <v>0</v>
      </c>
      <c r="V1205">
        <v>5</v>
      </c>
      <c r="W1205" t="s">
        <v>135</v>
      </c>
      <c r="X1205">
        <v>0</v>
      </c>
      <c r="Y1205" t="s">
        <v>139</v>
      </c>
      <c r="Z1205" t="s">
        <v>183</v>
      </c>
      <c r="AA1205" t="s">
        <v>146</v>
      </c>
      <c r="AB1205" t="s">
        <v>165</v>
      </c>
      <c r="AC1205" t="s">
        <v>2079</v>
      </c>
      <c r="AD1205" t="s">
        <v>158</v>
      </c>
      <c r="AE1205" t="s">
        <v>122</v>
      </c>
      <c r="AF1205" t="s">
        <v>21</v>
      </c>
    </row>
    <row r="1206" spans="1:32">
      <c r="A1206" t="s">
        <v>2080</v>
      </c>
      <c r="B1206" s="37">
        <v>40010</v>
      </c>
      <c r="C1206" s="38">
        <v>40010</v>
      </c>
      <c r="D1206" s="38">
        <v>40007</v>
      </c>
      <c r="E1206" s="38">
        <v>39995</v>
      </c>
      <c r="F1206" s="39">
        <v>105</v>
      </c>
      <c r="G1206" t="s">
        <v>21</v>
      </c>
      <c r="H1206" t="s">
        <v>21</v>
      </c>
      <c r="I1206">
        <v>0</v>
      </c>
      <c r="J1206">
        <v>0</v>
      </c>
      <c r="K1206">
        <v>0</v>
      </c>
      <c r="L1206">
        <v>1</v>
      </c>
      <c r="M1206">
        <v>0</v>
      </c>
      <c r="N1206" t="s">
        <v>193</v>
      </c>
      <c r="O1206" t="s">
        <v>213</v>
      </c>
      <c r="P1206" t="s">
        <v>204</v>
      </c>
      <c r="Q1206" t="s">
        <v>170</v>
      </c>
      <c r="R1206" t="s">
        <v>155</v>
      </c>
      <c r="S1206">
        <v>3</v>
      </c>
      <c r="T1206" t="s">
        <v>137</v>
      </c>
      <c r="U1206">
        <v>0</v>
      </c>
      <c r="V1206">
        <v>2</v>
      </c>
      <c r="W1206" t="s">
        <v>136</v>
      </c>
      <c r="X1206">
        <v>0</v>
      </c>
      <c r="Y1206" t="s">
        <v>140</v>
      </c>
      <c r="Z1206" t="s">
        <v>183</v>
      </c>
      <c r="AA1206" t="s">
        <v>145</v>
      </c>
      <c r="AB1206" t="s">
        <v>162</v>
      </c>
      <c r="AC1206" t="s">
        <v>2081</v>
      </c>
      <c r="AD1206" t="s">
        <v>155</v>
      </c>
      <c r="AE1206" t="s">
        <v>129</v>
      </c>
      <c r="AF1206" t="s">
        <v>21</v>
      </c>
    </row>
    <row r="1207" spans="1:32">
      <c r="A1207" t="s">
        <v>2082</v>
      </c>
      <c r="B1207" s="37">
        <v>40025</v>
      </c>
      <c r="C1207" s="38">
        <v>40025</v>
      </c>
      <c r="D1207" s="38">
        <v>40021</v>
      </c>
      <c r="E1207" s="38">
        <v>39995</v>
      </c>
      <c r="F1207" s="39">
        <v>120</v>
      </c>
      <c r="G1207" t="s">
        <v>21</v>
      </c>
      <c r="H1207" t="s">
        <v>21</v>
      </c>
      <c r="I1207">
        <v>0</v>
      </c>
      <c r="J1207">
        <v>0</v>
      </c>
      <c r="K1207">
        <v>0</v>
      </c>
      <c r="L1207">
        <v>1</v>
      </c>
      <c r="M1207">
        <v>0</v>
      </c>
      <c r="N1207" t="s">
        <v>195</v>
      </c>
      <c r="O1207" t="s">
        <v>213</v>
      </c>
      <c r="P1207" t="s">
        <v>206</v>
      </c>
      <c r="Q1207" t="s">
        <v>170</v>
      </c>
      <c r="R1207" t="s">
        <v>155</v>
      </c>
      <c r="S1207">
        <v>5</v>
      </c>
      <c r="T1207" t="s">
        <v>135</v>
      </c>
      <c r="U1207">
        <v>0</v>
      </c>
      <c r="V1207">
        <v>5</v>
      </c>
      <c r="W1207" t="s">
        <v>135</v>
      </c>
      <c r="X1207">
        <v>0</v>
      </c>
      <c r="Y1207" t="s">
        <v>139</v>
      </c>
      <c r="Z1207" t="s">
        <v>183</v>
      </c>
      <c r="AA1207" t="s">
        <v>144</v>
      </c>
      <c r="AB1207" t="s">
        <v>163</v>
      </c>
      <c r="AC1207" t="s">
        <v>173</v>
      </c>
      <c r="AD1207" t="s">
        <v>155</v>
      </c>
      <c r="AE1207" t="s">
        <v>510</v>
      </c>
      <c r="AF1207" t="s">
        <v>21</v>
      </c>
    </row>
    <row r="1208" spans="1:32">
      <c r="A1208" t="s">
        <v>2083</v>
      </c>
      <c r="B1208" s="37">
        <v>39931</v>
      </c>
      <c r="C1208" s="38">
        <v>39931</v>
      </c>
      <c r="D1208" s="38">
        <v>39930</v>
      </c>
      <c r="E1208" s="38">
        <v>39904</v>
      </c>
      <c r="F1208" s="39">
        <v>26</v>
      </c>
      <c r="G1208" t="s">
        <v>380</v>
      </c>
      <c r="H1208" t="s">
        <v>17</v>
      </c>
      <c r="I1208">
        <v>0</v>
      </c>
      <c r="J1208">
        <v>0</v>
      </c>
      <c r="K1208">
        <v>1</v>
      </c>
      <c r="L1208">
        <v>0</v>
      </c>
      <c r="M1208">
        <v>0</v>
      </c>
      <c r="N1208" t="s">
        <v>200</v>
      </c>
      <c r="O1208" t="s">
        <v>214</v>
      </c>
      <c r="P1208" t="s">
        <v>208</v>
      </c>
      <c r="Q1208" t="s">
        <v>170</v>
      </c>
      <c r="R1208" t="s">
        <v>155</v>
      </c>
      <c r="T1208" t="s">
        <v>134</v>
      </c>
      <c r="U1208">
        <v>1</v>
      </c>
      <c r="W1208" t="s">
        <v>134</v>
      </c>
      <c r="X1208">
        <v>1</v>
      </c>
      <c r="Y1208" t="s">
        <v>139</v>
      </c>
      <c r="Z1208" t="s">
        <v>178</v>
      </c>
      <c r="AA1208" t="s">
        <v>147</v>
      </c>
      <c r="AB1208" t="s">
        <v>163</v>
      </c>
      <c r="AC1208" t="s">
        <v>173</v>
      </c>
      <c r="AD1208" t="s">
        <v>155</v>
      </c>
      <c r="AE1208" t="s">
        <v>125</v>
      </c>
      <c r="AF1208" t="s">
        <v>21</v>
      </c>
    </row>
    <row r="1209" spans="1:32">
      <c r="A1209" t="s">
        <v>2084</v>
      </c>
      <c r="B1209" s="37">
        <v>39965</v>
      </c>
      <c r="C1209" s="38">
        <v>39965</v>
      </c>
      <c r="D1209" s="38">
        <v>39965</v>
      </c>
      <c r="E1209" s="38">
        <v>39965</v>
      </c>
      <c r="F1209" s="39">
        <v>60</v>
      </c>
      <c r="G1209" t="s">
        <v>21</v>
      </c>
      <c r="H1209" t="s">
        <v>21</v>
      </c>
      <c r="I1209">
        <v>0</v>
      </c>
      <c r="J1209">
        <v>0</v>
      </c>
      <c r="K1209">
        <v>0</v>
      </c>
      <c r="L1209">
        <v>1</v>
      </c>
      <c r="M1209">
        <v>0</v>
      </c>
      <c r="N1209" t="s">
        <v>194</v>
      </c>
      <c r="O1209" t="s">
        <v>213</v>
      </c>
      <c r="P1209" t="s">
        <v>205</v>
      </c>
      <c r="Q1209" t="s">
        <v>170</v>
      </c>
      <c r="R1209" t="s">
        <v>155</v>
      </c>
      <c r="T1209" t="s">
        <v>134</v>
      </c>
      <c r="U1209">
        <v>1</v>
      </c>
      <c r="W1209" t="s">
        <v>134</v>
      </c>
      <c r="X1209">
        <v>1</v>
      </c>
      <c r="Y1209" t="s">
        <v>139</v>
      </c>
      <c r="Z1209" t="s">
        <v>184</v>
      </c>
      <c r="AA1209" t="s">
        <v>148</v>
      </c>
      <c r="AB1209" t="s">
        <v>163</v>
      </c>
      <c r="AC1209" t="s">
        <v>173</v>
      </c>
      <c r="AD1209" t="s">
        <v>155</v>
      </c>
      <c r="AE1209" t="s">
        <v>124</v>
      </c>
      <c r="AF1209" t="s">
        <v>21</v>
      </c>
    </row>
    <row r="1210" spans="1:32">
      <c r="A1210" t="s">
        <v>2085</v>
      </c>
      <c r="B1210" s="37">
        <v>39946</v>
      </c>
      <c r="C1210" s="38">
        <v>39946</v>
      </c>
      <c r="D1210" s="38">
        <v>39944</v>
      </c>
      <c r="E1210" s="38">
        <v>39934</v>
      </c>
      <c r="F1210" s="39">
        <v>41</v>
      </c>
      <c r="G1210" t="s">
        <v>21</v>
      </c>
      <c r="H1210" t="s">
        <v>21</v>
      </c>
      <c r="I1210">
        <v>0</v>
      </c>
      <c r="J1210">
        <v>0</v>
      </c>
      <c r="K1210">
        <v>0</v>
      </c>
      <c r="L1210">
        <v>1</v>
      </c>
      <c r="M1210">
        <v>0</v>
      </c>
      <c r="N1210" t="s">
        <v>193</v>
      </c>
      <c r="O1210" t="s">
        <v>213</v>
      </c>
      <c r="P1210" t="s">
        <v>204</v>
      </c>
      <c r="Q1210" t="s">
        <v>170</v>
      </c>
      <c r="R1210" t="s">
        <v>155</v>
      </c>
      <c r="T1210" t="s">
        <v>134</v>
      </c>
      <c r="U1210">
        <v>1</v>
      </c>
      <c r="W1210" t="s">
        <v>134</v>
      </c>
      <c r="X1210">
        <v>1</v>
      </c>
      <c r="Y1210" t="s">
        <v>140</v>
      </c>
      <c r="Z1210" t="s">
        <v>184</v>
      </c>
      <c r="AA1210" t="s">
        <v>142</v>
      </c>
      <c r="AB1210" t="s">
        <v>162</v>
      </c>
      <c r="AC1210" t="s">
        <v>176</v>
      </c>
      <c r="AD1210" t="s">
        <v>155</v>
      </c>
      <c r="AE1210" t="s">
        <v>127</v>
      </c>
      <c r="AF1210" t="s">
        <v>21</v>
      </c>
    </row>
    <row r="1211" spans="1:32">
      <c r="A1211" t="s">
        <v>2086</v>
      </c>
      <c r="B1211" s="37">
        <v>39981</v>
      </c>
      <c r="C1211" s="38">
        <v>39981</v>
      </c>
      <c r="D1211" s="38">
        <v>39979</v>
      </c>
      <c r="E1211" s="38">
        <v>39965</v>
      </c>
      <c r="F1211" s="39">
        <v>76</v>
      </c>
      <c r="G1211" t="s">
        <v>9</v>
      </c>
      <c r="H1211" t="s">
        <v>9</v>
      </c>
      <c r="I1211">
        <v>1</v>
      </c>
      <c r="J1211">
        <v>0</v>
      </c>
      <c r="K1211">
        <v>0</v>
      </c>
      <c r="L1211">
        <v>0</v>
      </c>
      <c r="M1211">
        <v>1</v>
      </c>
      <c r="N1211" t="s">
        <v>195</v>
      </c>
      <c r="O1211" t="s">
        <v>213</v>
      </c>
      <c r="P1211" t="s">
        <v>206</v>
      </c>
      <c r="Q1211" t="s">
        <v>170</v>
      </c>
      <c r="R1211" t="s">
        <v>155</v>
      </c>
      <c r="T1211" t="s">
        <v>134</v>
      </c>
      <c r="U1211">
        <v>1</v>
      </c>
      <c r="W1211" t="s">
        <v>134</v>
      </c>
      <c r="X1211">
        <v>1</v>
      </c>
      <c r="Y1211" t="s">
        <v>139</v>
      </c>
      <c r="Z1211" t="s">
        <v>184</v>
      </c>
      <c r="AA1211" t="s">
        <v>149</v>
      </c>
      <c r="AB1211" t="s">
        <v>162</v>
      </c>
      <c r="AC1211" t="s">
        <v>498</v>
      </c>
      <c r="AD1211" t="s">
        <v>156</v>
      </c>
      <c r="AE1211" t="s">
        <v>120</v>
      </c>
      <c r="AF1211" t="s">
        <v>1534</v>
      </c>
    </row>
    <row r="1212" spans="1:32">
      <c r="A1212" t="s">
        <v>2087</v>
      </c>
      <c r="B1212" s="37">
        <v>40055</v>
      </c>
      <c r="C1212" s="38">
        <v>40055</v>
      </c>
      <c r="D1212" s="38">
        <v>40049</v>
      </c>
      <c r="E1212" s="38">
        <v>40026</v>
      </c>
      <c r="F1212" s="39">
        <v>150</v>
      </c>
      <c r="G1212" t="s">
        <v>21</v>
      </c>
      <c r="H1212" t="s">
        <v>21</v>
      </c>
      <c r="I1212">
        <v>0</v>
      </c>
      <c r="J1212">
        <v>0</v>
      </c>
      <c r="K1212">
        <v>0</v>
      </c>
      <c r="L1212">
        <v>1</v>
      </c>
      <c r="M1212">
        <v>0</v>
      </c>
      <c r="N1212" t="s">
        <v>193</v>
      </c>
      <c r="O1212" t="s">
        <v>213</v>
      </c>
      <c r="P1212" t="s">
        <v>204</v>
      </c>
      <c r="Q1212" t="s">
        <v>170</v>
      </c>
      <c r="R1212" t="s">
        <v>155</v>
      </c>
      <c r="S1212">
        <v>5</v>
      </c>
      <c r="T1212" t="s">
        <v>135</v>
      </c>
      <c r="U1212">
        <v>0</v>
      </c>
      <c r="V1212">
        <v>3</v>
      </c>
      <c r="W1212" t="s">
        <v>137</v>
      </c>
      <c r="X1212">
        <v>0</v>
      </c>
      <c r="Y1212" t="s">
        <v>140</v>
      </c>
      <c r="Z1212" t="s">
        <v>184</v>
      </c>
      <c r="AA1212" t="s">
        <v>144</v>
      </c>
      <c r="AB1212" t="s">
        <v>162</v>
      </c>
      <c r="AC1212" t="s">
        <v>429</v>
      </c>
      <c r="AD1212" t="s">
        <v>155</v>
      </c>
      <c r="AE1212" t="s">
        <v>129</v>
      </c>
      <c r="AF1212" t="s">
        <v>21</v>
      </c>
    </row>
    <row r="1213" spans="1:32">
      <c r="A1213" t="s">
        <v>2088</v>
      </c>
      <c r="B1213" s="37">
        <v>40074</v>
      </c>
      <c r="C1213" s="38">
        <v>40074</v>
      </c>
      <c r="D1213" s="38">
        <v>40070</v>
      </c>
      <c r="E1213" s="38">
        <v>40057</v>
      </c>
      <c r="F1213" s="39">
        <v>169</v>
      </c>
      <c r="G1213" t="s">
        <v>21</v>
      </c>
      <c r="H1213" t="s">
        <v>21</v>
      </c>
      <c r="I1213">
        <v>0</v>
      </c>
      <c r="J1213">
        <v>0</v>
      </c>
      <c r="K1213">
        <v>0</v>
      </c>
      <c r="L1213">
        <v>1</v>
      </c>
      <c r="M1213">
        <v>0</v>
      </c>
      <c r="N1213" t="s">
        <v>195</v>
      </c>
      <c r="O1213" t="s">
        <v>213</v>
      </c>
      <c r="P1213" t="s">
        <v>206</v>
      </c>
      <c r="Q1213" t="s">
        <v>170</v>
      </c>
      <c r="R1213" t="s">
        <v>155</v>
      </c>
      <c r="S1213">
        <v>5</v>
      </c>
      <c r="T1213" t="s">
        <v>135</v>
      </c>
      <c r="U1213">
        <v>0</v>
      </c>
      <c r="V1213">
        <v>5</v>
      </c>
      <c r="W1213" t="s">
        <v>135</v>
      </c>
      <c r="X1213">
        <v>0</v>
      </c>
      <c r="Y1213" t="s">
        <v>139</v>
      </c>
      <c r="Z1213" t="s">
        <v>184</v>
      </c>
      <c r="AA1213" t="s">
        <v>146</v>
      </c>
      <c r="AB1213" t="s">
        <v>163</v>
      </c>
      <c r="AC1213" t="s">
        <v>173</v>
      </c>
      <c r="AD1213" t="s">
        <v>155</v>
      </c>
      <c r="AE1213" t="s">
        <v>510</v>
      </c>
      <c r="AF1213" t="s">
        <v>21</v>
      </c>
    </row>
    <row r="1214" spans="1:32">
      <c r="A1214" t="s">
        <v>2089</v>
      </c>
      <c r="B1214" s="37">
        <v>40006</v>
      </c>
      <c r="C1214" s="38">
        <v>40006</v>
      </c>
      <c r="D1214" s="38">
        <v>40000</v>
      </c>
      <c r="E1214" s="38">
        <v>39995</v>
      </c>
      <c r="F1214" s="39">
        <v>101</v>
      </c>
      <c r="G1214" t="s">
        <v>21</v>
      </c>
      <c r="H1214" t="s">
        <v>21</v>
      </c>
      <c r="I1214">
        <v>0</v>
      </c>
      <c r="J1214">
        <v>0</v>
      </c>
      <c r="K1214">
        <v>0</v>
      </c>
      <c r="L1214">
        <v>1</v>
      </c>
      <c r="M1214">
        <v>0</v>
      </c>
      <c r="N1214" t="s">
        <v>196</v>
      </c>
      <c r="O1214" t="s">
        <v>213</v>
      </c>
      <c r="P1214" t="s">
        <v>207</v>
      </c>
      <c r="Q1214" t="s">
        <v>170</v>
      </c>
      <c r="R1214" t="s">
        <v>155</v>
      </c>
      <c r="S1214">
        <v>5</v>
      </c>
      <c r="T1214" t="s">
        <v>135</v>
      </c>
      <c r="U1214">
        <v>0</v>
      </c>
      <c r="V1214">
        <v>5</v>
      </c>
      <c r="W1214" t="s">
        <v>135</v>
      </c>
      <c r="X1214">
        <v>0</v>
      </c>
      <c r="Y1214" t="s">
        <v>139</v>
      </c>
      <c r="Z1214" t="s">
        <v>187</v>
      </c>
      <c r="AA1214" t="s">
        <v>151</v>
      </c>
      <c r="AB1214" t="s">
        <v>162</v>
      </c>
      <c r="AC1214" t="s">
        <v>2090</v>
      </c>
      <c r="AD1214" t="s">
        <v>155</v>
      </c>
      <c r="AE1214" t="s">
        <v>130</v>
      </c>
      <c r="AF1214" t="s">
        <v>21</v>
      </c>
    </row>
    <row r="1215" spans="1:32">
      <c r="A1215" t="s">
        <v>2091</v>
      </c>
      <c r="B1215" s="37">
        <v>39968</v>
      </c>
      <c r="C1215" s="38">
        <v>39968</v>
      </c>
      <c r="D1215" s="38">
        <v>39965</v>
      </c>
      <c r="E1215" s="38">
        <v>39965</v>
      </c>
      <c r="F1215" s="39">
        <v>63</v>
      </c>
      <c r="G1215" t="s">
        <v>21</v>
      </c>
      <c r="H1215" t="s">
        <v>21</v>
      </c>
      <c r="I1215">
        <v>0</v>
      </c>
      <c r="J1215">
        <v>0</v>
      </c>
      <c r="K1215">
        <v>0</v>
      </c>
      <c r="L1215">
        <v>1</v>
      </c>
      <c r="M1215">
        <v>0</v>
      </c>
      <c r="N1215" t="s">
        <v>193</v>
      </c>
      <c r="O1215" t="s">
        <v>213</v>
      </c>
      <c r="P1215" t="s">
        <v>204</v>
      </c>
      <c r="Q1215" t="s">
        <v>170</v>
      </c>
      <c r="R1215" t="s">
        <v>155</v>
      </c>
      <c r="T1215" t="s">
        <v>134</v>
      </c>
      <c r="U1215">
        <v>1</v>
      </c>
      <c r="W1215" t="s">
        <v>134</v>
      </c>
      <c r="X1215">
        <v>1</v>
      </c>
      <c r="Y1215" t="s">
        <v>140</v>
      </c>
      <c r="Z1215" t="s">
        <v>187</v>
      </c>
      <c r="AA1215" t="s">
        <v>144</v>
      </c>
      <c r="AB1215" t="s">
        <v>162</v>
      </c>
      <c r="AC1215" t="s">
        <v>1797</v>
      </c>
      <c r="AD1215" t="s">
        <v>157</v>
      </c>
      <c r="AE1215" t="s">
        <v>127</v>
      </c>
      <c r="AF1215" t="s">
        <v>153</v>
      </c>
    </row>
    <row r="1216" spans="1:32">
      <c r="A1216" t="s">
        <v>2092</v>
      </c>
      <c r="B1216" s="37">
        <v>39966</v>
      </c>
      <c r="C1216" s="38">
        <v>39966</v>
      </c>
      <c r="D1216" s="38">
        <v>39965</v>
      </c>
      <c r="E1216" s="38">
        <v>39965</v>
      </c>
      <c r="F1216" s="39">
        <v>61</v>
      </c>
      <c r="G1216" t="s">
        <v>380</v>
      </c>
      <c r="H1216" t="s">
        <v>17</v>
      </c>
      <c r="I1216">
        <v>0</v>
      </c>
      <c r="J1216">
        <v>0</v>
      </c>
      <c r="K1216">
        <v>1</v>
      </c>
      <c r="L1216">
        <v>0</v>
      </c>
      <c r="M1216">
        <v>0</v>
      </c>
      <c r="N1216" t="s">
        <v>194</v>
      </c>
      <c r="O1216" t="s">
        <v>213</v>
      </c>
      <c r="P1216" t="s">
        <v>205</v>
      </c>
      <c r="Q1216" t="s">
        <v>170</v>
      </c>
      <c r="R1216" t="s">
        <v>155</v>
      </c>
      <c r="T1216" t="s">
        <v>134</v>
      </c>
      <c r="U1216">
        <v>1</v>
      </c>
      <c r="W1216" t="s">
        <v>134</v>
      </c>
      <c r="X1216">
        <v>1</v>
      </c>
      <c r="Y1216" t="s">
        <v>139</v>
      </c>
      <c r="Z1216" t="s">
        <v>178</v>
      </c>
      <c r="AA1216" t="s">
        <v>145</v>
      </c>
      <c r="AB1216" t="s">
        <v>163</v>
      </c>
      <c r="AC1216" t="s">
        <v>21</v>
      </c>
      <c r="AD1216" t="s">
        <v>155</v>
      </c>
      <c r="AE1216" t="s">
        <v>124</v>
      </c>
      <c r="AF1216" t="s">
        <v>21</v>
      </c>
    </row>
    <row r="1217" spans="1:32">
      <c r="A1217" t="s">
        <v>2093</v>
      </c>
      <c r="B1217" s="37">
        <v>40041</v>
      </c>
      <c r="C1217" s="38">
        <v>40041</v>
      </c>
      <c r="D1217" s="38">
        <v>40035</v>
      </c>
      <c r="E1217" s="38">
        <v>40026</v>
      </c>
      <c r="F1217" s="39">
        <v>136</v>
      </c>
      <c r="G1217" t="s">
        <v>496</v>
      </c>
      <c r="H1217" t="s">
        <v>13</v>
      </c>
      <c r="I1217">
        <v>0</v>
      </c>
      <c r="J1217">
        <v>1</v>
      </c>
      <c r="K1217">
        <v>0</v>
      </c>
      <c r="L1217">
        <v>0</v>
      </c>
      <c r="M1217">
        <v>1</v>
      </c>
      <c r="N1217" t="s">
        <v>193</v>
      </c>
      <c r="O1217" t="s">
        <v>213</v>
      </c>
      <c r="P1217" t="s">
        <v>204</v>
      </c>
      <c r="Q1217" t="s">
        <v>170</v>
      </c>
      <c r="R1217" t="s">
        <v>155</v>
      </c>
      <c r="S1217">
        <v>5</v>
      </c>
      <c r="T1217" t="s">
        <v>135</v>
      </c>
      <c r="U1217">
        <v>0</v>
      </c>
      <c r="V1217">
        <v>5</v>
      </c>
      <c r="W1217" t="s">
        <v>135</v>
      </c>
      <c r="X1217">
        <v>0</v>
      </c>
      <c r="Y1217" t="s">
        <v>140</v>
      </c>
      <c r="Z1217" t="s">
        <v>181</v>
      </c>
      <c r="AA1217" t="s">
        <v>142</v>
      </c>
      <c r="AB1217" t="s">
        <v>162</v>
      </c>
      <c r="AC1217" t="s">
        <v>1797</v>
      </c>
      <c r="AD1217" t="s">
        <v>159</v>
      </c>
      <c r="AE1217" t="s">
        <v>123</v>
      </c>
      <c r="AF1217" t="s">
        <v>123</v>
      </c>
    </row>
    <row r="1218" spans="1:32">
      <c r="A1218" t="s">
        <v>2094</v>
      </c>
      <c r="B1218" s="37">
        <v>39965</v>
      </c>
      <c r="C1218" s="38">
        <v>39965</v>
      </c>
      <c r="D1218" s="38">
        <v>39965</v>
      </c>
      <c r="E1218" s="38">
        <v>39965</v>
      </c>
      <c r="F1218" s="39">
        <v>60</v>
      </c>
      <c r="G1218" t="s">
        <v>21</v>
      </c>
      <c r="H1218" t="s">
        <v>21</v>
      </c>
      <c r="I1218">
        <v>0</v>
      </c>
      <c r="J1218">
        <v>0</v>
      </c>
      <c r="K1218">
        <v>0</v>
      </c>
      <c r="L1218">
        <v>1</v>
      </c>
      <c r="M1218">
        <v>0</v>
      </c>
      <c r="N1218" t="s">
        <v>193</v>
      </c>
      <c r="O1218" t="s">
        <v>213</v>
      </c>
      <c r="P1218" t="s">
        <v>204</v>
      </c>
      <c r="Q1218" t="s">
        <v>170</v>
      </c>
      <c r="R1218" t="s">
        <v>155</v>
      </c>
      <c r="T1218" t="s">
        <v>134</v>
      </c>
      <c r="U1218">
        <v>1</v>
      </c>
      <c r="W1218" t="s">
        <v>134</v>
      </c>
      <c r="X1218">
        <v>1</v>
      </c>
      <c r="Y1218" t="s">
        <v>140</v>
      </c>
      <c r="Z1218" t="s">
        <v>178</v>
      </c>
      <c r="AA1218" t="s">
        <v>145</v>
      </c>
      <c r="AB1218" t="s">
        <v>163</v>
      </c>
      <c r="AC1218" t="s">
        <v>173</v>
      </c>
      <c r="AD1218" t="s">
        <v>155</v>
      </c>
      <c r="AE1218" t="s">
        <v>125</v>
      </c>
      <c r="AF1218" t="s">
        <v>21</v>
      </c>
    </row>
    <row r="1219" spans="1:32">
      <c r="A1219" t="s">
        <v>2095</v>
      </c>
      <c r="B1219" s="37">
        <v>39933</v>
      </c>
      <c r="C1219" s="38">
        <v>39933</v>
      </c>
      <c r="D1219" s="38">
        <v>39930</v>
      </c>
      <c r="E1219" s="38">
        <v>39904</v>
      </c>
      <c r="F1219" s="39">
        <v>28</v>
      </c>
      <c r="G1219" t="s">
        <v>21</v>
      </c>
      <c r="H1219" t="s">
        <v>21</v>
      </c>
      <c r="I1219">
        <v>0</v>
      </c>
      <c r="J1219">
        <v>0</v>
      </c>
      <c r="K1219">
        <v>0</v>
      </c>
      <c r="L1219">
        <v>1</v>
      </c>
      <c r="M1219">
        <v>0</v>
      </c>
      <c r="N1219" t="s">
        <v>198</v>
      </c>
      <c r="O1219" t="s">
        <v>213</v>
      </c>
      <c r="P1219" t="s">
        <v>208</v>
      </c>
      <c r="Q1219" t="s">
        <v>170</v>
      </c>
      <c r="R1219" t="s">
        <v>155</v>
      </c>
      <c r="T1219" t="s">
        <v>134</v>
      </c>
      <c r="U1219">
        <v>1</v>
      </c>
      <c r="W1219" t="s">
        <v>134</v>
      </c>
      <c r="X1219">
        <v>1</v>
      </c>
      <c r="Y1219" t="s">
        <v>139</v>
      </c>
      <c r="Z1219" t="s">
        <v>184</v>
      </c>
      <c r="AA1219" t="s">
        <v>142</v>
      </c>
      <c r="AB1219" t="s">
        <v>163</v>
      </c>
      <c r="AC1219" t="s">
        <v>173</v>
      </c>
      <c r="AD1219" t="s">
        <v>155</v>
      </c>
      <c r="AE1219" t="s">
        <v>125</v>
      </c>
      <c r="AF1219" t="s">
        <v>21</v>
      </c>
    </row>
    <row r="1220" spans="1:32">
      <c r="A1220" t="s">
        <v>2096</v>
      </c>
      <c r="B1220" s="37">
        <v>39972</v>
      </c>
      <c r="C1220" s="38">
        <v>39972</v>
      </c>
      <c r="D1220" s="38">
        <v>39972</v>
      </c>
      <c r="E1220" s="38">
        <v>39965</v>
      </c>
      <c r="F1220" s="39">
        <v>67</v>
      </c>
      <c r="G1220" t="s">
        <v>380</v>
      </c>
      <c r="H1220" t="s">
        <v>17</v>
      </c>
      <c r="I1220">
        <v>0</v>
      </c>
      <c r="J1220">
        <v>0</v>
      </c>
      <c r="K1220">
        <v>1</v>
      </c>
      <c r="L1220">
        <v>0</v>
      </c>
      <c r="M1220">
        <v>0</v>
      </c>
      <c r="N1220" t="s">
        <v>194</v>
      </c>
      <c r="O1220" t="s">
        <v>213</v>
      </c>
      <c r="P1220" t="s">
        <v>205</v>
      </c>
      <c r="Q1220" t="s">
        <v>170</v>
      </c>
      <c r="R1220" t="s">
        <v>155</v>
      </c>
      <c r="T1220" t="s">
        <v>134</v>
      </c>
      <c r="U1220">
        <v>1</v>
      </c>
      <c r="W1220" t="s">
        <v>134</v>
      </c>
      <c r="X1220">
        <v>1</v>
      </c>
      <c r="Y1220" t="s">
        <v>139</v>
      </c>
      <c r="Z1220" t="s">
        <v>182</v>
      </c>
      <c r="AA1220" t="s">
        <v>149</v>
      </c>
      <c r="AB1220" t="s">
        <v>162</v>
      </c>
      <c r="AC1220" t="s">
        <v>2097</v>
      </c>
      <c r="AD1220" t="s">
        <v>155</v>
      </c>
      <c r="AE1220" t="s">
        <v>130</v>
      </c>
      <c r="AF1220" t="s">
        <v>21</v>
      </c>
    </row>
    <row r="1221" spans="1:32">
      <c r="A1221" t="s">
        <v>2098</v>
      </c>
      <c r="B1221" s="37">
        <v>39926</v>
      </c>
      <c r="C1221" s="38">
        <v>39926</v>
      </c>
      <c r="D1221" s="38">
        <v>39923</v>
      </c>
      <c r="E1221" s="38">
        <v>39904</v>
      </c>
      <c r="F1221" s="39">
        <v>21</v>
      </c>
      <c r="G1221" t="s">
        <v>21</v>
      </c>
      <c r="H1221" t="s">
        <v>21</v>
      </c>
      <c r="I1221">
        <v>0</v>
      </c>
      <c r="J1221">
        <v>0</v>
      </c>
      <c r="K1221">
        <v>0</v>
      </c>
      <c r="L1221">
        <v>1</v>
      </c>
      <c r="M1221">
        <v>0</v>
      </c>
      <c r="N1221" t="s">
        <v>194</v>
      </c>
      <c r="O1221" t="s">
        <v>213</v>
      </c>
      <c r="P1221" t="s">
        <v>205</v>
      </c>
      <c r="Q1221" t="s">
        <v>170</v>
      </c>
      <c r="R1221" t="s">
        <v>155</v>
      </c>
      <c r="T1221" t="s">
        <v>134</v>
      </c>
      <c r="U1221">
        <v>1</v>
      </c>
      <c r="W1221" t="s">
        <v>134</v>
      </c>
      <c r="X1221">
        <v>1</v>
      </c>
      <c r="Y1221" t="s">
        <v>139</v>
      </c>
      <c r="Z1221" t="s">
        <v>182</v>
      </c>
      <c r="AA1221" t="s">
        <v>142</v>
      </c>
      <c r="AB1221" t="s">
        <v>163</v>
      </c>
      <c r="AC1221" t="s">
        <v>173</v>
      </c>
      <c r="AD1221" t="s">
        <v>155</v>
      </c>
      <c r="AE1221" t="s">
        <v>406</v>
      </c>
      <c r="AF1221" t="s">
        <v>21</v>
      </c>
    </row>
    <row r="1222" spans="1:32">
      <c r="A1222" t="s">
        <v>2099</v>
      </c>
      <c r="B1222" s="37">
        <v>39920</v>
      </c>
      <c r="C1222" s="38">
        <v>39920</v>
      </c>
      <c r="D1222" s="38">
        <v>39916</v>
      </c>
      <c r="E1222" s="38">
        <v>39904</v>
      </c>
      <c r="F1222" s="39">
        <v>15</v>
      </c>
      <c r="G1222" t="s">
        <v>380</v>
      </c>
      <c r="H1222" t="s">
        <v>17</v>
      </c>
      <c r="I1222">
        <v>0</v>
      </c>
      <c r="J1222">
        <v>0</v>
      </c>
      <c r="K1222">
        <v>1</v>
      </c>
      <c r="L1222">
        <v>0</v>
      </c>
      <c r="M1222">
        <v>0</v>
      </c>
      <c r="N1222" t="s">
        <v>200</v>
      </c>
      <c r="O1222" t="s">
        <v>214</v>
      </c>
      <c r="P1222" t="s">
        <v>208</v>
      </c>
      <c r="Q1222" t="s">
        <v>170</v>
      </c>
      <c r="R1222" t="s">
        <v>155</v>
      </c>
      <c r="T1222" t="s">
        <v>134</v>
      </c>
      <c r="U1222">
        <v>1</v>
      </c>
      <c r="W1222" t="s">
        <v>134</v>
      </c>
      <c r="X1222">
        <v>1</v>
      </c>
      <c r="Y1222" t="s">
        <v>139</v>
      </c>
      <c r="Z1222" t="s">
        <v>184</v>
      </c>
      <c r="AA1222" t="s">
        <v>148</v>
      </c>
      <c r="AB1222" t="s">
        <v>162</v>
      </c>
      <c r="AC1222" t="s">
        <v>174</v>
      </c>
      <c r="AD1222" t="s">
        <v>156</v>
      </c>
      <c r="AE1222" t="s">
        <v>120</v>
      </c>
      <c r="AF1222" t="s">
        <v>715</v>
      </c>
    </row>
    <row r="1223" spans="1:32">
      <c r="A1223" t="s">
        <v>2100</v>
      </c>
      <c r="B1223" s="37">
        <v>39907</v>
      </c>
      <c r="C1223" s="38">
        <v>39907</v>
      </c>
      <c r="D1223" s="38">
        <v>39902</v>
      </c>
      <c r="E1223" s="38">
        <v>39904</v>
      </c>
      <c r="F1223" s="39">
        <v>2</v>
      </c>
      <c r="G1223" t="s">
        <v>21</v>
      </c>
      <c r="H1223" t="s">
        <v>21</v>
      </c>
      <c r="I1223">
        <v>0</v>
      </c>
      <c r="J1223">
        <v>0</v>
      </c>
      <c r="K1223">
        <v>0</v>
      </c>
      <c r="L1223">
        <v>1</v>
      </c>
      <c r="M1223">
        <v>0</v>
      </c>
      <c r="N1223" t="s">
        <v>195</v>
      </c>
      <c r="O1223" t="s">
        <v>213</v>
      </c>
      <c r="P1223" t="s">
        <v>206</v>
      </c>
      <c r="Q1223" t="s">
        <v>170</v>
      </c>
      <c r="R1223" t="s">
        <v>155</v>
      </c>
      <c r="T1223" t="s">
        <v>134</v>
      </c>
      <c r="U1223">
        <v>1</v>
      </c>
      <c r="W1223" t="s">
        <v>134</v>
      </c>
      <c r="X1223">
        <v>1</v>
      </c>
      <c r="Y1223" t="s">
        <v>139</v>
      </c>
      <c r="Z1223" t="s">
        <v>182</v>
      </c>
      <c r="AA1223" t="s">
        <v>142</v>
      </c>
      <c r="AB1223" t="s">
        <v>165</v>
      </c>
      <c r="AC1223" t="s">
        <v>21</v>
      </c>
      <c r="AD1223" t="s">
        <v>158</v>
      </c>
      <c r="AE1223" t="s">
        <v>122</v>
      </c>
      <c r="AF1223" t="s">
        <v>21</v>
      </c>
    </row>
    <row r="1224" spans="1:32">
      <c r="A1224" t="s">
        <v>2101</v>
      </c>
      <c r="B1224" s="37">
        <v>39965</v>
      </c>
      <c r="C1224" s="38">
        <v>39965</v>
      </c>
      <c r="D1224" s="38">
        <v>39965</v>
      </c>
      <c r="E1224" s="38">
        <v>39965</v>
      </c>
      <c r="F1224" s="39">
        <v>60</v>
      </c>
      <c r="G1224" t="s">
        <v>21</v>
      </c>
      <c r="H1224" t="s">
        <v>21</v>
      </c>
      <c r="I1224">
        <v>0</v>
      </c>
      <c r="J1224">
        <v>0</v>
      </c>
      <c r="K1224">
        <v>0</v>
      </c>
      <c r="L1224">
        <v>1</v>
      </c>
      <c r="M1224">
        <v>0</v>
      </c>
      <c r="N1224" t="s">
        <v>193</v>
      </c>
      <c r="O1224" t="s">
        <v>213</v>
      </c>
      <c r="P1224" t="s">
        <v>204</v>
      </c>
      <c r="Q1224" t="s">
        <v>170</v>
      </c>
      <c r="R1224" t="s">
        <v>155</v>
      </c>
      <c r="T1224" t="s">
        <v>134</v>
      </c>
      <c r="U1224">
        <v>1</v>
      </c>
      <c r="W1224" t="s">
        <v>134</v>
      </c>
      <c r="X1224">
        <v>1</v>
      </c>
      <c r="Y1224" t="s">
        <v>140</v>
      </c>
      <c r="Z1224" t="s">
        <v>178</v>
      </c>
      <c r="AA1224" t="s">
        <v>144</v>
      </c>
      <c r="AB1224" t="s">
        <v>163</v>
      </c>
      <c r="AC1224" t="s">
        <v>173</v>
      </c>
      <c r="AD1224" t="s">
        <v>155</v>
      </c>
      <c r="AE1224" t="s">
        <v>125</v>
      </c>
      <c r="AF1224" t="s">
        <v>21</v>
      </c>
    </row>
    <row r="1225" spans="1:32">
      <c r="A1225" t="s">
        <v>2102</v>
      </c>
      <c r="B1225" s="37">
        <v>39971</v>
      </c>
      <c r="C1225" s="38">
        <v>39971</v>
      </c>
      <c r="D1225" s="38">
        <v>39965</v>
      </c>
      <c r="E1225" s="38">
        <v>39965</v>
      </c>
      <c r="F1225" s="39">
        <v>66</v>
      </c>
      <c r="G1225" t="s">
        <v>380</v>
      </c>
      <c r="H1225" t="s">
        <v>17</v>
      </c>
      <c r="I1225">
        <v>0</v>
      </c>
      <c r="J1225">
        <v>0</v>
      </c>
      <c r="K1225">
        <v>1</v>
      </c>
      <c r="L1225">
        <v>0</v>
      </c>
      <c r="M1225">
        <v>0</v>
      </c>
      <c r="N1225" t="s">
        <v>193</v>
      </c>
      <c r="O1225" t="s">
        <v>213</v>
      </c>
      <c r="P1225" t="s">
        <v>204</v>
      </c>
      <c r="Q1225" t="s">
        <v>170</v>
      </c>
      <c r="R1225" t="s">
        <v>155</v>
      </c>
      <c r="T1225" t="s">
        <v>134</v>
      </c>
      <c r="U1225">
        <v>1</v>
      </c>
      <c r="W1225" t="s">
        <v>134</v>
      </c>
      <c r="X1225">
        <v>1</v>
      </c>
      <c r="Y1225" t="s">
        <v>140</v>
      </c>
      <c r="Z1225" t="s">
        <v>178</v>
      </c>
      <c r="AA1225" t="s">
        <v>143</v>
      </c>
      <c r="AB1225" t="s">
        <v>162</v>
      </c>
      <c r="AC1225" t="s">
        <v>176</v>
      </c>
      <c r="AD1225" t="s">
        <v>155</v>
      </c>
      <c r="AE1225" t="s">
        <v>130</v>
      </c>
      <c r="AF1225" t="s">
        <v>21</v>
      </c>
    </row>
    <row r="1226" spans="1:32">
      <c r="A1226" t="s">
        <v>2103</v>
      </c>
      <c r="B1226" s="37">
        <v>40037</v>
      </c>
      <c r="C1226" s="38">
        <v>40037</v>
      </c>
      <c r="D1226" s="38">
        <v>40035</v>
      </c>
      <c r="E1226" s="38">
        <v>40026</v>
      </c>
      <c r="F1226" s="39">
        <v>132</v>
      </c>
      <c r="G1226" t="s">
        <v>9</v>
      </c>
      <c r="H1226" t="s">
        <v>9</v>
      </c>
      <c r="I1226">
        <v>1</v>
      </c>
      <c r="J1226">
        <v>0</v>
      </c>
      <c r="K1226">
        <v>0</v>
      </c>
      <c r="L1226">
        <v>0</v>
      </c>
      <c r="M1226">
        <v>1</v>
      </c>
      <c r="N1226" t="s">
        <v>197</v>
      </c>
      <c r="O1226" t="s">
        <v>213</v>
      </c>
      <c r="P1226" t="s">
        <v>209</v>
      </c>
      <c r="Q1226" t="s">
        <v>170</v>
      </c>
      <c r="R1226" t="s">
        <v>155</v>
      </c>
      <c r="S1226">
        <v>5</v>
      </c>
      <c r="T1226" t="s">
        <v>135</v>
      </c>
      <c r="U1226">
        <v>0</v>
      </c>
      <c r="V1226">
        <v>5</v>
      </c>
      <c r="W1226" t="s">
        <v>135</v>
      </c>
      <c r="X1226">
        <v>0</v>
      </c>
      <c r="Y1226" t="s">
        <v>139</v>
      </c>
      <c r="Z1226" t="s">
        <v>191</v>
      </c>
      <c r="AA1226" t="s">
        <v>146</v>
      </c>
      <c r="AB1226" t="s">
        <v>162</v>
      </c>
      <c r="AC1226" t="s">
        <v>619</v>
      </c>
      <c r="AD1226" t="s">
        <v>156</v>
      </c>
      <c r="AE1226" t="s">
        <v>120</v>
      </c>
      <c r="AF1226" t="s">
        <v>649</v>
      </c>
    </row>
    <row r="1227" spans="1:32">
      <c r="A1227" t="s">
        <v>2104</v>
      </c>
      <c r="B1227" s="37">
        <v>39999</v>
      </c>
      <c r="C1227" s="38">
        <v>39999</v>
      </c>
      <c r="D1227" s="38">
        <v>39993</v>
      </c>
      <c r="E1227" s="38">
        <v>39995</v>
      </c>
      <c r="F1227" s="39">
        <v>94</v>
      </c>
      <c r="G1227" t="s">
        <v>21</v>
      </c>
      <c r="H1227" t="s">
        <v>21</v>
      </c>
      <c r="I1227">
        <v>0</v>
      </c>
      <c r="J1227">
        <v>0</v>
      </c>
      <c r="K1227">
        <v>0</v>
      </c>
      <c r="L1227">
        <v>1</v>
      </c>
      <c r="M1227">
        <v>0</v>
      </c>
      <c r="N1227" t="s">
        <v>194</v>
      </c>
      <c r="O1227" t="s">
        <v>213</v>
      </c>
      <c r="P1227" t="s">
        <v>205</v>
      </c>
      <c r="Q1227" t="s">
        <v>170</v>
      </c>
      <c r="R1227" t="s">
        <v>155</v>
      </c>
      <c r="T1227" t="s">
        <v>134</v>
      </c>
      <c r="U1227">
        <v>1</v>
      </c>
      <c r="V1227">
        <v>5</v>
      </c>
      <c r="W1227" t="s">
        <v>135</v>
      </c>
      <c r="X1227">
        <v>0</v>
      </c>
      <c r="Y1227" t="s">
        <v>139</v>
      </c>
      <c r="Z1227" t="s">
        <v>191</v>
      </c>
      <c r="AA1227" t="s">
        <v>142</v>
      </c>
      <c r="AB1227" t="s">
        <v>162</v>
      </c>
      <c r="AC1227" t="s">
        <v>459</v>
      </c>
      <c r="AD1227" t="s">
        <v>155</v>
      </c>
      <c r="AE1227" t="s">
        <v>129</v>
      </c>
      <c r="AF1227" t="s">
        <v>21</v>
      </c>
    </row>
    <row r="1228" spans="1:32">
      <c r="A1228" t="s">
        <v>2105</v>
      </c>
      <c r="B1228" s="37">
        <v>40010</v>
      </c>
      <c r="C1228" s="38">
        <v>40010</v>
      </c>
      <c r="D1228" s="38">
        <v>40007</v>
      </c>
      <c r="E1228" s="38">
        <v>39995</v>
      </c>
      <c r="F1228" s="39">
        <v>105</v>
      </c>
      <c r="G1228" t="s">
        <v>21</v>
      </c>
      <c r="H1228" t="s">
        <v>21</v>
      </c>
      <c r="I1228">
        <v>0</v>
      </c>
      <c r="J1228">
        <v>0</v>
      </c>
      <c r="K1228">
        <v>0</v>
      </c>
      <c r="L1228">
        <v>1</v>
      </c>
      <c r="M1228">
        <v>0</v>
      </c>
      <c r="N1228" t="s">
        <v>193</v>
      </c>
      <c r="O1228" t="s">
        <v>213</v>
      </c>
      <c r="P1228" t="s">
        <v>204</v>
      </c>
      <c r="Q1228" t="s">
        <v>170</v>
      </c>
      <c r="R1228" t="s">
        <v>155</v>
      </c>
      <c r="S1228">
        <v>5</v>
      </c>
      <c r="T1228" t="s">
        <v>135</v>
      </c>
      <c r="U1228">
        <v>0</v>
      </c>
      <c r="V1228">
        <v>5</v>
      </c>
      <c r="W1228" t="s">
        <v>135</v>
      </c>
      <c r="X1228">
        <v>0</v>
      </c>
      <c r="Y1228" t="s">
        <v>140</v>
      </c>
      <c r="Z1228" t="s">
        <v>183</v>
      </c>
      <c r="AA1228" t="s">
        <v>144</v>
      </c>
      <c r="AB1228" t="s">
        <v>162</v>
      </c>
      <c r="AC1228" t="s">
        <v>175</v>
      </c>
      <c r="AD1228" t="s">
        <v>155</v>
      </c>
      <c r="AE1228" t="s">
        <v>129</v>
      </c>
      <c r="AF1228" t="s">
        <v>21</v>
      </c>
    </row>
    <row r="1229" spans="1:32">
      <c r="A1229" t="s">
        <v>2106</v>
      </c>
      <c r="B1229" s="37">
        <v>39946</v>
      </c>
      <c r="C1229" s="38">
        <v>39946</v>
      </c>
      <c r="D1229" s="38">
        <v>39944</v>
      </c>
      <c r="E1229" s="38">
        <v>39934</v>
      </c>
      <c r="F1229" s="39">
        <v>41</v>
      </c>
      <c r="G1229" t="s">
        <v>21</v>
      </c>
      <c r="H1229" t="s">
        <v>21</v>
      </c>
      <c r="I1229">
        <v>0</v>
      </c>
      <c r="J1229">
        <v>0</v>
      </c>
      <c r="K1229">
        <v>0</v>
      </c>
      <c r="L1229">
        <v>1</v>
      </c>
      <c r="M1229">
        <v>0</v>
      </c>
      <c r="N1229" t="s">
        <v>194</v>
      </c>
      <c r="O1229" t="s">
        <v>213</v>
      </c>
      <c r="P1229" t="s">
        <v>205</v>
      </c>
      <c r="Q1229" t="s">
        <v>170</v>
      </c>
      <c r="R1229" t="s">
        <v>155</v>
      </c>
      <c r="T1229" t="s">
        <v>134</v>
      </c>
      <c r="U1229">
        <v>1</v>
      </c>
      <c r="W1229" t="s">
        <v>134</v>
      </c>
      <c r="X1229">
        <v>1</v>
      </c>
      <c r="Y1229" t="s">
        <v>139</v>
      </c>
      <c r="Z1229" t="s">
        <v>603</v>
      </c>
      <c r="AA1229" t="s">
        <v>147</v>
      </c>
      <c r="AB1229" t="s">
        <v>163</v>
      </c>
      <c r="AC1229" t="s">
        <v>173</v>
      </c>
      <c r="AD1229" t="s">
        <v>155</v>
      </c>
      <c r="AE1229" t="s">
        <v>125</v>
      </c>
      <c r="AF1229" t="s">
        <v>21</v>
      </c>
    </row>
    <row r="1230" spans="1:32">
      <c r="A1230" t="s">
        <v>2107</v>
      </c>
      <c r="B1230" s="37">
        <v>39942</v>
      </c>
      <c r="C1230" s="38">
        <v>39942</v>
      </c>
      <c r="D1230" s="38">
        <v>39937</v>
      </c>
      <c r="E1230" s="38">
        <v>39934</v>
      </c>
      <c r="F1230" s="39">
        <v>37</v>
      </c>
      <c r="G1230" t="s">
        <v>21</v>
      </c>
      <c r="H1230" t="s">
        <v>21</v>
      </c>
      <c r="I1230">
        <v>0</v>
      </c>
      <c r="J1230">
        <v>0</v>
      </c>
      <c r="K1230">
        <v>0</v>
      </c>
      <c r="L1230">
        <v>1</v>
      </c>
      <c r="M1230">
        <v>0</v>
      </c>
      <c r="N1230" t="s">
        <v>194</v>
      </c>
      <c r="O1230" t="s">
        <v>213</v>
      </c>
      <c r="P1230" t="s">
        <v>205</v>
      </c>
      <c r="Q1230" t="s">
        <v>170</v>
      </c>
      <c r="R1230" t="s">
        <v>155</v>
      </c>
      <c r="T1230" t="s">
        <v>134</v>
      </c>
      <c r="U1230">
        <v>1</v>
      </c>
      <c r="W1230" t="s">
        <v>134</v>
      </c>
      <c r="X1230">
        <v>1</v>
      </c>
      <c r="Y1230" t="s">
        <v>139</v>
      </c>
      <c r="Z1230" t="s">
        <v>179</v>
      </c>
      <c r="AA1230" t="s">
        <v>150</v>
      </c>
      <c r="AB1230" t="s">
        <v>163</v>
      </c>
      <c r="AC1230" t="s">
        <v>415</v>
      </c>
      <c r="AD1230" t="s">
        <v>155</v>
      </c>
      <c r="AE1230" t="s">
        <v>125</v>
      </c>
      <c r="AF1230" t="s">
        <v>21</v>
      </c>
    </row>
    <row r="1231" spans="1:32">
      <c r="A1231" t="s">
        <v>2108</v>
      </c>
      <c r="B1231" s="37">
        <v>40071</v>
      </c>
      <c r="C1231" s="38">
        <v>40071</v>
      </c>
      <c r="D1231" s="38">
        <v>40070</v>
      </c>
      <c r="E1231" s="38">
        <v>40057</v>
      </c>
      <c r="F1231" s="39">
        <v>166</v>
      </c>
      <c r="G1231" t="s">
        <v>21</v>
      </c>
      <c r="H1231" t="s">
        <v>21</v>
      </c>
      <c r="I1231">
        <v>0</v>
      </c>
      <c r="J1231">
        <v>0</v>
      </c>
      <c r="K1231">
        <v>0</v>
      </c>
      <c r="L1231">
        <v>1</v>
      </c>
      <c r="M1231">
        <v>0</v>
      </c>
      <c r="N1231" t="s">
        <v>193</v>
      </c>
      <c r="O1231" t="s">
        <v>213</v>
      </c>
      <c r="P1231" t="s">
        <v>204</v>
      </c>
      <c r="Q1231" t="s">
        <v>170</v>
      </c>
      <c r="R1231" t="s">
        <v>155</v>
      </c>
      <c r="S1231">
        <v>5</v>
      </c>
      <c r="T1231" t="s">
        <v>135</v>
      </c>
      <c r="U1231">
        <v>0</v>
      </c>
      <c r="V1231">
        <v>5</v>
      </c>
      <c r="W1231" t="s">
        <v>135</v>
      </c>
      <c r="X1231">
        <v>0</v>
      </c>
      <c r="Y1231" t="s">
        <v>140</v>
      </c>
      <c r="Z1231" t="s">
        <v>189</v>
      </c>
      <c r="AA1231" t="s">
        <v>145</v>
      </c>
      <c r="AB1231" t="s">
        <v>162</v>
      </c>
      <c r="AC1231" t="s">
        <v>578</v>
      </c>
      <c r="AD1231" t="s">
        <v>157</v>
      </c>
      <c r="AE1231" t="s">
        <v>127</v>
      </c>
      <c r="AF1231" t="s">
        <v>153</v>
      </c>
    </row>
    <row r="1232" spans="1:32">
      <c r="A1232" t="s">
        <v>2109</v>
      </c>
      <c r="B1232" s="37">
        <v>39969</v>
      </c>
      <c r="C1232" s="38">
        <v>39969</v>
      </c>
      <c r="D1232" s="38">
        <v>39965</v>
      </c>
      <c r="E1232" s="38">
        <v>39965</v>
      </c>
      <c r="F1232" s="39">
        <v>64</v>
      </c>
      <c r="G1232" t="s">
        <v>21</v>
      </c>
      <c r="H1232" t="s">
        <v>21</v>
      </c>
      <c r="I1232">
        <v>0</v>
      </c>
      <c r="J1232">
        <v>0</v>
      </c>
      <c r="K1232">
        <v>0</v>
      </c>
      <c r="L1232">
        <v>1</v>
      </c>
      <c r="M1232">
        <v>0</v>
      </c>
      <c r="N1232" t="s">
        <v>194</v>
      </c>
      <c r="O1232" t="s">
        <v>213</v>
      </c>
      <c r="P1232" t="s">
        <v>205</v>
      </c>
      <c r="Q1232" t="s">
        <v>170</v>
      </c>
      <c r="R1232" t="s">
        <v>155</v>
      </c>
      <c r="T1232" t="s">
        <v>134</v>
      </c>
      <c r="U1232">
        <v>1</v>
      </c>
      <c r="W1232" t="s">
        <v>134</v>
      </c>
      <c r="X1232">
        <v>1</v>
      </c>
      <c r="Y1232" t="s">
        <v>139</v>
      </c>
      <c r="Z1232" t="s">
        <v>603</v>
      </c>
      <c r="AA1232" t="s">
        <v>144</v>
      </c>
      <c r="AB1232" t="s">
        <v>162</v>
      </c>
      <c r="AC1232" t="s">
        <v>174</v>
      </c>
      <c r="AD1232" t="s">
        <v>157</v>
      </c>
      <c r="AE1232" t="s">
        <v>127</v>
      </c>
      <c r="AF1232" t="s">
        <v>153</v>
      </c>
    </row>
    <row r="1233" spans="1:32">
      <c r="A1233" t="s">
        <v>2110</v>
      </c>
      <c r="B1233" s="37">
        <v>39993</v>
      </c>
      <c r="C1233" s="38">
        <v>39993</v>
      </c>
      <c r="D1233" s="38">
        <v>39993</v>
      </c>
      <c r="E1233" s="38">
        <v>39965</v>
      </c>
      <c r="F1233" s="39">
        <v>88</v>
      </c>
      <c r="G1233" t="s">
        <v>21</v>
      </c>
      <c r="H1233" t="s">
        <v>21</v>
      </c>
      <c r="I1233">
        <v>0</v>
      </c>
      <c r="J1233">
        <v>0</v>
      </c>
      <c r="K1233">
        <v>0</v>
      </c>
      <c r="L1233">
        <v>1</v>
      </c>
      <c r="M1233">
        <v>0</v>
      </c>
      <c r="N1233" t="s">
        <v>194</v>
      </c>
      <c r="O1233" t="s">
        <v>213</v>
      </c>
      <c r="P1233" t="s">
        <v>205</v>
      </c>
      <c r="Q1233" t="s">
        <v>170</v>
      </c>
      <c r="R1233" t="s">
        <v>155</v>
      </c>
      <c r="T1233" t="s">
        <v>134</v>
      </c>
      <c r="U1233">
        <v>1</v>
      </c>
      <c r="V1233">
        <v>3</v>
      </c>
      <c r="W1233" t="s">
        <v>137</v>
      </c>
      <c r="X1233">
        <v>0</v>
      </c>
      <c r="Y1233" t="s">
        <v>139</v>
      </c>
      <c r="Z1233" t="s">
        <v>179</v>
      </c>
      <c r="AA1233" t="s">
        <v>149</v>
      </c>
      <c r="AB1233" t="s">
        <v>163</v>
      </c>
      <c r="AC1233" t="s">
        <v>173</v>
      </c>
      <c r="AD1233" t="s">
        <v>155</v>
      </c>
      <c r="AE1233" t="s">
        <v>130</v>
      </c>
      <c r="AF1233" t="s">
        <v>21</v>
      </c>
    </row>
    <row r="1234" spans="1:32">
      <c r="A1234" t="s">
        <v>2111</v>
      </c>
      <c r="B1234" s="37">
        <v>39972</v>
      </c>
      <c r="C1234" s="38">
        <v>39972</v>
      </c>
      <c r="D1234" s="38">
        <v>39972</v>
      </c>
      <c r="E1234" s="38">
        <v>39965</v>
      </c>
      <c r="F1234" s="39">
        <v>67</v>
      </c>
      <c r="G1234" t="s">
        <v>21</v>
      </c>
      <c r="H1234" t="s">
        <v>21</v>
      </c>
      <c r="I1234">
        <v>0</v>
      </c>
      <c r="J1234">
        <v>0</v>
      </c>
      <c r="K1234">
        <v>0</v>
      </c>
      <c r="L1234">
        <v>1</v>
      </c>
      <c r="M1234">
        <v>0</v>
      </c>
      <c r="N1234" t="s">
        <v>194</v>
      </c>
      <c r="O1234" t="s">
        <v>213</v>
      </c>
      <c r="P1234" t="s">
        <v>205</v>
      </c>
      <c r="Q1234" t="s">
        <v>170</v>
      </c>
      <c r="R1234" t="s">
        <v>155</v>
      </c>
      <c r="T1234" t="s">
        <v>134</v>
      </c>
      <c r="U1234">
        <v>1</v>
      </c>
      <c r="W1234" t="s">
        <v>134</v>
      </c>
      <c r="X1234">
        <v>1</v>
      </c>
      <c r="Y1234" t="s">
        <v>139</v>
      </c>
      <c r="Z1234" t="s">
        <v>179</v>
      </c>
      <c r="AA1234" t="s">
        <v>148</v>
      </c>
      <c r="AB1234" t="s">
        <v>163</v>
      </c>
      <c r="AC1234" t="s">
        <v>173</v>
      </c>
      <c r="AD1234" t="s">
        <v>155</v>
      </c>
      <c r="AE1234" t="s">
        <v>125</v>
      </c>
      <c r="AF1234" t="s">
        <v>21</v>
      </c>
    </row>
    <row r="1235" spans="1:32">
      <c r="A1235" t="s">
        <v>2112</v>
      </c>
      <c r="B1235" s="37">
        <v>40005</v>
      </c>
      <c r="C1235" s="38">
        <v>40005</v>
      </c>
      <c r="D1235" s="38">
        <v>40000</v>
      </c>
      <c r="E1235" s="38">
        <v>39995</v>
      </c>
      <c r="F1235" s="39">
        <v>100</v>
      </c>
      <c r="G1235" t="s">
        <v>21</v>
      </c>
      <c r="H1235" t="s">
        <v>21</v>
      </c>
      <c r="I1235">
        <v>0</v>
      </c>
      <c r="J1235">
        <v>0</v>
      </c>
      <c r="K1235">
        <v>0</v>
      </c>
      <c r="L1235">
        <v>1</v>
      </c>
      <c r="M1235">
        <v>0</v>
      </c>
      <c r="N1235" t="s">
        <v>193</v>
      </c>
      <c r="O1235" t="s">
        <v>213</v>
      </c>
      <c r="P1235" t="s">
        <v>204</v>
      </c>
      <c r="Q1235" t="s">
        <v>170</v>
      </c>
      <c r="R1235" t="s">
        <v>155</v>
      </c>
      <c r="S1235">
        <v>5</v>
      </c>
      <c r="T1235" t="s">
        <v>135</v>
      </c>
      <c r="U1235">
        <v>0</v>
      </c>
      <c r="V1235">
        <v>5</v>
      </c>
      <c r="W1235" t="s">
        <v>135</v>
      </c>
      <c r="X1235">
        <v>0</v>
      </c>
      <c r="Y1235" t="s">
        <v>140</v>
      </c>
      <c r="Z1235" t="s">
        <v>409</v>
      </c>
      <c r="AA1235" t="s">
        <v>143</v>
      </c>
      <c r="AB1235" t="s">
        <v>163</v>
      </c>
      <c r="AC1235" t="s">
        <v>173</v>
      </c>
      <c r="AD1235" t="s">
        <v>155</v>
      </c>
      <c r="AE1235" t="s">
        <v>125</v>
      </c>
      <c r="AF1235" t="s">
        <v>21</v>
      </c>
    </row>
    <row r="1236" spans="1:32">
      <c r="A1236" t="s">
        <v>2113</v>
      </c>
      <c r="B1236" s="37">
        <v>39958</v>
      </c>
      <c r="C1236" s="38">
        <v>39958</v>
      </c>
      <c r="D1236" s="38">
        <v>39958</v>
      </c>
      <c r="E1236" s="38">
        <v>39934</v>
      </c>
      <c r="F1236" s="39">
        <v>53</v>
      </c>
      <c r="G1236" t="s">
        <v>9</v>
      </c>
      <c r="H1236" t="s">
        <v>9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194</v>
      </c>
      <c r="O1236" t="s">
        <v>213</v>
      </c>
      <c r="P1236" t="s">
        <v>205</v>
      </c>
      <c r="Q1236" t="s">
        <v>170</v>
      </c>
      <c r="R1236" t="s">
        <v>155</v>
      </c>
      <c r="T1236" t="s">
        <v>134</v>
      </c>
      <c r="U1236">
        <v>1</v>
      </c>
      <c r="W1236" t="s">
        <v>134</v>
      </c>
      <c r="X1236">
        <v>1</v>
      </c>
      <c r="Y1236" t="s">
        <v>139</v>
      </c>
      <c r="Z1236" t="s">
        <v>603</v>
      </c>
      <c r="AA1236" t="s">
        <v>144</v>
      </c>
      <c r="AB1236" t="s">
        <v>162</v>
      </c>
      <c r="AC1236" t="s">
        <v>174</v>
      </c>
      <c r="AD1236" t="s">
        <v>156</v>
      </c>
      <c r="AE1236" t="s">
        <v>120</v>
      </c>
      <c r="AF1236" t="s">
        <v>2114</v>
      </c>
    </row>
    <row r="1237" spans="1:32">
      <c r="A1237" t="s">
        <v>2115</v>
      </c>
      <c r="B1237" s="37">
        <v>39977</v>
      </c>
      <c r="C1237" s="38">
        <v>39977</v>
      </c>
      <c r="D1237" s="38">
        <v>39972</v>
      </c>
      <c r="E1237" s="38">
        <v>39965</v>
      </c>
      <c r="F1237" s="39">
        <v>72</v>
      </c>
      <c r="G1237" t="s">
        <v>380</v>
      </c>
      <c r="H1237" t="s">
        <v>17</v>
      </c>
      <c r="I1237">
        <v>0</v>
      </c>
      <c r="J1237">
        <v>0</v>
      </c>
      <c r="K1237">
        <v>1</v>
      </c>
      <c r="L1237">
        <v>0</v>
      </c>
      <c r="M1237">
        <v>0</v>
      </c>
      <c r="N1237" t="s">
        <v>195</v>
      </c>
      <c r="O1237" t="s">
        <v>213</v>
      </c>
      <c r="P1237" t="s">
        <v>206</v>
      </c>
      <c r="Q1237" t="s">
        <v>170</v>
      </c>
      <c r="R1237" t="s">
        <v>155</v>
      </c>
      <c r="T1237" t="s">
        <v>134</v>
      </c>
      <c r="U1237">
        <v>1</v>
      </c>
      <c r="W1237" t="s">
        <v>134</v>
      </c>
      <c r="X1237">
        <v>1</v>
      </c>
      <c r="Y1237" t="s">
        <v>139</v>
      </c>
      <c r="Z1237" t="s">
        <v>188</v>
      </c>
      <c r="AA1237" t="s">
        <v>149</v>
      </c>
      <c r="AB1237" t="s">
        <v>162</v>
      </c>
      <c r="AC1237" t="s">
        <v>2116</v>
      </c>
      <c r="AD1237" t="s">
        <v>155</v>
      </c>
      <c r="AE1237" t="s">
        <v>130</v>
      </c>
      <c r="AF1237" t="s">
        <v>21</v>
      </c>
    </row>
    <row r="1238" spans="1:32">
      <c r="A1238" t="s">
        <v>2117</v>
      </c>
      <c r="B1238" s="37">
        <v>39987</v>
      </c>
      <c r="C1238" s="38">
        <v>39987</v>
      </c>
      <c r="D1238" s="38">
        <v>39986</v>
      </c>
      <c r="E1238" s="38">
        <v>39965</v>
      </c>
      <c r="F1238" s="39">
        <v>82</v>
      </c>
      <c r="G1238" t="s">
        <v>21</v>
      </c>
      <c r="H1238" t="s">
        <v>21</v>
      </c>
      <c r="I1238">
        <v>0</v>
      </c>
      <c r="J1238">
        <v>0</v>
      </c>
      <c r="K1238">
        <v>0</v>
      </c>
      <c r="L1238">
        <v>1</v>
      </c>
      <c r="M1238">
        <v>0</v>
      </c>
      <c r="N1238" t="s">
        <v>195</v>
      </c>
      <c r="O1238" t="s">
        <v>213</v>
      </c>
      <c r="P1238" t="s">
        <v>206</v>
      </c>
      <c r="Q1238" t="s">
        <v>170</v>
      </c>
      <c r="R1238" t="s">
        <v>155</v>
      </c>
      <c r="T1238" t="s">
        <v>134</v>
      </c>
      <c r="U1238">
        <v>1</v>
      </c>
      <c r="W1238" t="s">
        <v>134</v>
      </c>
      <c r="X1238">
        <v>1</v>
      </c>
      <c r="Y1238" t="s">
        <v>139</v>
      </c>
      <c r="Z1238" t="s">
        <v>183</v>
      </c>
      <c r="AA1238" t="s">
        <v>143</v>
      </c>
      <c r="AB1238" t="s">
        <v>162</v>
      </c>
      <c r="AC1238" t="s">
        <v>174</v>
      </c>
      <c r="AD1238" t="s">
        <v>156</v>
      </c>
      <c r="AE1238" t="s">
        <v>120</v>
      </c>
      <c r="AF1238" t="s">
        <v>1001</v>
      </c>
    </row>
    <row r="1239" spans="1:32">
      <c r="A1239" t="s">
        <v>2118</v>
      </c>
      <c r="B1239" s="37">
        <v>39913</v>
      </c>
      <c r="C1239" s="38">
        <v>39913</v>
      </c>
      <c r="D1239" s="38">
        <v>39909</v>
      </c>
      <c r="E1239" s="38">
        <v>39904</v>
      </c>
      <c r="F1239" s="39">
        <v>8</v>
      </c>
      <c r="G1239" t="s">
        <v>21</v>
      </c>
      <c r="H1239" t="s">
        <v>21</v>
      </c>
      <c r="I1239">
        <v>0</v>
      </c>
      <c r="J1239">
        <v>0</v>
      </c>
      <c r="K1239">
        <v>0</v>
      </c>
      <c r="L1239">
        <v>1</v>
      </c>
      <c r="M1239">
        <v>0</v>
      </c>
      <c r="N1239" t="s">
        <v>200</v>
      </c>
      <c r="O1239" t="s">
        <v>214</v>
      </c>
      <c r="P1239" t="s">
        <v>208</v>
      </c>
      <c r="Q1239" t="s">
        <v>170</v>
      </c>
      <c r="R1239" t="s">
        <v>155</v>
      </c>
      <c r="T1239" t="s">
        <v>134</v>
      </c>
      <c r="U1239">
        <v>1</v>
      </c>
      <c r="W1239" t="s">
        <v>134</v>
      </c>
      <c r="X1239">
        <v>1</v>
      </c>
      <c r="Y1239" t="s">
        <v>139</v>
      </c>
      <c r="Z1239" t="s">
        <v>188</v>
      </c>
      <c r="AA1239" t="s">
        <v>151</v>
      </c>
      <c r="AB1239" t="s">
        <v>162</v>
      </c>
      <c r="AC1239" t="s">
        <v>2119</v>
      </c>
      <c r="AD1239" t="s">
        <v>155</v>
      </c>
      <c r="AE1239" t="s">
        <v>439</v>
      </c>
      <c r="AF1239" t="s">
        <v>21</v>
      </c>
    </row>
    <row r="1240" spans="1:32">
      <c r="A1240" t="s">
        <v>2120</v>
      </c>
      <c r="B1240" s="37">
        <v>40022</v>
      </c>
      <c r="C1240" s="38">
        <v>40022</v>
      </c>
      <c r="D1240" s="38">
        <v>40021</v>
      </c>
      <c r="E1240" s="38">
        <v>39995</v>
      </c>
      <c r="F1240" s="39">
        <v>117</v>
      </c>
      <c r="G1240" t="s">
        <v>21</v>
      </c>
      <c r="H1240" t="s">
        <v>21</v>
      </c>
      <c r="I1240">
        <v>0</v>
      </c>
      <c r="J1240">
        <v>0</v>
      </c>
      <c r="K1240">
        <v>0</v>
      </c>
      <c r="L1240">
        <v>1</v>
      </c>
      <c r="M1240">
        <v>0</v>
      </c>
      <c r="N1240" t="s">
        <v>197</v>
      </c>
      <c r="O1240" t="s">
        <v>213</v>
      </c>
      <c r="P1240" t="s">
        <v>209</v>
      </c>
      <c r="Q1240" t="s">
        <v>170</v>
      </c>
      <c r="R1240" t="s">
        <v>155</v>
      </c>
      <c r="S1240">
        <v>5</v>
      </c>
      <c r="T1240" t="s">
        <v>135</v>
      </c>
      <c r="U1240">
        <v>0</v>
      </c>
      <c r="V1240">
        <v>3</v>
      </c>
      <c r="W1240" t="s">
        <v>137</v>
      </c>
      <c r="X1240">
        <v>0</v>
      </c>
      <c r="Y1240" t="s">
        <v>139</v>
      </c>
      <c r="Z1240" t="s">
        <v>189</v>
      </c>
      <c r="AA1240" t="s">
        <v>144</v>
      </c>
      <c r="AB1240" t="s">
        <v>163</v>
      </c>
      <c r="AC1240" t="s">
        <v>173</v>
      </c>
      <c r="AD1240" t="s">
        <v>155</v>
      </c>
      <c r="AE1240" t="s">
        <v>406</v>
      </c>
      <c r="AF1240" t="s">
        <v>21</v>
      </c>
    </row>
    <row r="1241" spans="1:32">
      <c r="A1241" t="s">
        <v>2121</v>
      </c>
      <c r="B1241" s="37">
        <v>39977</v>
      </c>
      <c r="C1241" s="38">
        <v>39977</v>
      </c>
      <c r="D1241" s="38">
        <v>39972</v>
      </c>
      <c r="E1241" s="38">
        <v>39965</v>
      </c>
      <c r="F1241" s="39">
        <v>72</v>
      </c>
      <c r="G1241" t="s">
        <v>9</v>
      </c>
      <c r="H1241" t="s">
        <v>9</v>
      </c>
      <c r="I1241">
        <v>1</v>
      </c>
      <c r="J1241">
        <v>0</v>
      </c>
      <c r="K1241">
        <v>0</v>
      </c>
      <c r="L1241">
        <v>0</v>
      </c>
      <c r="M1241">
        <v>1</v>
      </c>
      <c r="N1241" t="s">
        <v>193</v>
      </c>
      <c r="O1241" t="s">
        <v>213</v>
      </c>
      <c r="P1241" t="s">
        <v>204</v>
      </c>
      <c r="Q1241" t="s">
        <v>170</v>
      </c>
      <c r="R1241" t="s">
        <v>155</v>
      </c>
      <c r="T1241" t="s">
        <v>134</v>
      </c>
      <c r="U1241">
        <v>1</v>
      </c>
      <c r="W1241" t="s">
        <v>134</v>
      </c>
      <c r="X1241">
        <v>1</v>
      </c>
      <c r="Y1241" t="s">
        <v>140</v>
      </c>
      <c r="Z1241" t="s">
        <v>178</v>
      </c>
      <c r="AA1241" t="s">
        <v>149</v>
      </c>
      <c r="AB1241" t="s">
        <v>162</v>
      </c>
      <c r="AC1241" t="s">
        <v>21</v>
      </c>
      <c r="AD1241" t="s">
        <v>160</v>
      </c>
      <c r="AE1241" t="s">
        <v>392</v>
      </c>
      <c r="AF1241" t="s">
        <v>393</v>
      </c>
    </row>
    <row r="1242" spans="1:32">
      <c r="A1242" t="s">
        <v>2122</v>
      </c>
      <c r="B1242" s="37">
        <v>40032</v>
      </c>
      <c r="C1242" s="38">
        <v>40032</v>
      </c>
      <c r="D1242" s="38">
        <v>40028</v>
      </c>
      <c r="E1242" s="38">
        <v>40026</v>
      </c>
      <c r="F1242" s="39">
        <v>127</v>
      </c>
      <c r="G1242" t="s">
        <v>380</v>
      </c>
      <c r="H1242" t="s">
        <v>17</v>
      </c>
      <c r="I1242">
        <v>0</v>
      </c>
      <c r="J1242">
        <v>0</v>
      </c>
      <c r="K1242">
        <v>1</v>
      </c>
      <c r="L1242">
        <v>0</v>
      </c>
      <c r="M1242">
        <v>0</v>
      </c>
      <c r="N1242" t="s">
        <v>193</v>
      </c>
      <c r="O1242" t="s">
        <v>213</v>
      </c>
      <c r="P1242" t="s">
        <v>204</v>
      </c>
      <c r="Q1242" t="s">
        <v>170</v>
      </c>
      <c r="R1242" t="s">
        <v>155</v>
      </c>
      <c r="S1242">
        <v>1</v>
      </c>
      <c r="T1242" t="s">
        <v>136</v>
      </c>
      <c r="U1242">
        <v>0</v>
      </c>
      <c r="V1242">
        <v>3</v>
      </c>
      <c r="W1242" t="s">
        <v>137</v>
      </c>
      <c r="X1242">
        <v>0</v>
      </c>
      <c r="Y1242" t="s">
        <v>140</v>
      </c>
      <c r="Z1242" t="s">
        <v>178</v>
      </c>
      <c r="AA1242" t="s">
        <v>142</v>
      </c>
      <c r="AB1242" t="s">
        <v>163</v>
      </c>
      <c r="AC1242" t="s">
        <v>2123</v>
      </c>
      <c r="AD1242" t="s">
        <v>155</v>
      </c>
      <c r="AE1242" t="s">
        <v>125</v>
      </c>
      <c r="AF1242" t="s">
        <v>21</v>
      </c>
    </row>
    <row r="1243" spans="1:32">
      <c r="A1243" t="s">
        <v>2124</v>
      </c>
      <c r="B1243" s="37">
        <v>39907</v>
      </c>
      <c r="C1243" s="38">
        <v>39907</v>
      </c>
      <c r="D1243" s="38">
        <v>39902</v>
      </c>
      <c r="E1243" s="38">
        <v>39904</v>
      </c>
      <c r="F1243" s="39">
        <v>2</v>
      </c>
      <c r="G1243" t="s">
        <v>21</v>
      </c>
      <c r="H1243" t="s">
        <v>21</v>
      </c>
      <c r="I1243">
        <v>0</v>
      </c>
      <c r="J1243">
        <v>0</v>
      </c>
      <c r="K1243">
        <v>0</v>
      </c>
      <c r="L1243">
        <v>1</v>
      </c>
      <c r="M1243">
        <v>0</v>
      </c>
      <c r="N1243" t="s">
        <v>202</v>
      </c>
      <c r="O1243" t="s">
        <v>213</v>
      </c>
      <c r="P1243" t="s">
        <v>211</v>
      </c>
      <c r="Q1243" t="s">
        <v>170</v>
      </c>
      <c r="R1243" t="s">
        <v>155</v>
      </c>
      <c r="T1243" t="s">
        <v>134</v>
      </c>
      <c r="U1243">
        <v>1</v>
      </c>
      <c r="W1243" t="s">
        <v>134</v>
      </c>
      <c r="X1243">
        <v>1</v>
      </c>
      <c r="Y1243" t="s">
        <v>139</v>
      </c>
      <c r="Z1243" t="s">
        <v>178</v>
      </c>
      <c r="AA1243" t="s">
        <v>147</v>
      </c>
      <c r="AB1243" t="s">
        <v>163</v>
      </c>
      <c r="AC1243" t="s">
        <v>173</v>
      </c>
      <c r="AD1243" t="s">
        <v>155</v>
      </c>
      <c r="AE1243" t="s">
        <v>434</v>
      </c>
      <c r="AF1243" t="s">
        <v>21</v>
      </c>
    </row>
    <row r="1244" spans="1:32">
      <c r="A1244" t="s">
        <v>2125</v>
      </c>
      <c r="B1244" s="37">
        <v>39966</v>
      </c>
      <c r="C1244" s="38">
        <v>39966</v>
      </c>
      <c r="D1244" s="38">
        <v>39965</v>
      </c>
      <c r="E1244" s="38">
        <v>39965</v>
      </c>
      <c r="F1244" s="39">
        <v>61</v>
      </c>
      <c r="G1244" t="s">
        <v>21</v>
      </c>
      <c r="H1244" t="s">
        <v>21</v>
      </c>
      <c r="I1244">
        <v>0</v>
      </c>
      <c r="J1244">
        <v>0</v>
      </c>
      <c r="K1244">
        <v>0</v>
      </c>
      <c r="L1244">
        <v>1</v>
      </c>
      <c r="M1244">
        <v>0</v>
      </c>
      <c r="N1244" t="s">
        <v>195</v>
      </c>
      <c r="O1244" t="s">
        <v>213</v>
      </c>
      <c r="P1244" t="s">
        <v>206</v>
      </c>
      <c r="Q1244" t="s">
        <v>170</v>
      </c>
      <c r="R1244" t="s">
        <v>155</v>
      </c>
      <c r="T1244" t="s">
        <v>134</v>
      </c>
      <c r="U1244">
        <v>1</v>
      </c>
      <c r="W1244" t="s">
        <v>134</v>
      </c>
      <c r="X1244">
        <v>1</v>
      </c>
      <c r="Y1244" t="s">
        <v>139</v>
      </c>
      <c r="Z1244" t="s">
        <v>178</v>
      </c>
      <c r="AA1244" t="s">
        <v>145</v>
      </c>
      <c r="AB1244" t="s">
        <v>162</v>
      </c>
      <c r="AC1244" t="s">
        <v>175</v>
      </c>
      <c r="AD1244" t="s">
        <v>155</v>
      </c>
      <c r="AE1244" t="s">
        <v>454</v>
      </c>
      <c r="AF1244" t="s">
        <v>21</v>
      </c>
    </row>
    <row r="1245" spans="1:32">
      <c r="A1245" t="s">
        <v>2126</v>
      </c>
      <c r="B1245" s="37">
        <v>39974</v>
      </c>
      <c r="C1245" s="38">
        <v>39974</v>
      </c>
      <c r="D1245" s="38">
        <v>39972</v>
      </c>
      <c r="E1245" s="38">
        <v>39965</v>
      </c>
      <c r="F1245" s="39">
        <v>69</v>
      </c>
      <c r="G1245" t="s">
        <v>21</v>
      </c>
      <c r="H1245" t="s">
        <v>21</v>
      </c>
      <c r="I1245">
        <v>0</v>
      </c>
      <c r="J1245">
        <v>0</v>
      </c>
      <c r="K1245">
        <v>0</v>
      </c>
      <c r="L1245">
        <v>1</v>
      </c>
      <c r="M1245">
        <v>0</v>
      </c>
      <c r="N1245" t="s">
        <v>194</v>
      </c>
      <c r="O1245" t="s">
        <v>213</v>
      </c>
      <c r="P1245" t="s">
        <v>205</v>
      </c>
      <c r="Q1245" t="s">
        <v>170</v>
      </c>
      <c r="R1245" t="s">
        <v>155</v>
      </c>
      <c r="T1245" t="s">
        <v>134</v>
      </c>
      <c r="U1245">
        <v>1</v>
      </c>
      <c r="W1245" t="s">
        <v>134</v>
      </c>
      <c r="X1245">
        <v>1</v>
      </c>
      <c r="Y1245" t="s">
        <v>139</v>
      </c>
      <c r="Z1245" t="s">
        <v>178</v>
      </c>
      <c r="AA1245" t="s">
        <v>146</v>
      </c>
      <c r="AB1245" t="s">
        <v>162</v>
      </c>
      <c r="AC1245" t="s">
        <v>175</v>
      </c>
      <c r="AD1245" t="s">
        <v>155</v>
      </c>
      <c r="AE1245" t="s">
        <v>130</v>
      </c>
      <c r="AF1245" t="s">
        <v>21</v>
      </c>
    </row>
    <row r="1246" spans="1:32">
      <c r="A1246" t="s">
        <v>2127</v>
      </c>
      <c r="B1246" s="37">
        <v>39928</v>
      </c>
      <c r="C1246" s="38">
        <v>39928</v>
      </c>
      <c r="D1246" s="38">
        <v>39923</v>
      </c>
      <c r="E1246" s="38">
        <v>39904</v>
      </c>
      <c r="F1246" s="39">
        <v>23</v>
      </c>
      <c r="G1246" t="s">
        <v>21</v>
      </c>
      <c r="H1246" t="s">
        <v>21</v>
      </c>
      <c r="I1246">
        <v>0</v>
      </c>
      <c r="J1246">
        <v>0</v>
      </c>
      <c r="K1246">
        <v>0</v>
      </c>
      <c r="L1246">
        <v>1</v>
      </c>
      <c r="M1246">
        <v>0</v>
      </c>
      <c r="N1246" t="s">
        <v>193</v>
      </c>
      <c r="O1246" t="s">
        <v>213</v>
      </c>
      <c r="P1246" t="s">
        <v>204</v>
      </c>
      <c r="Q1246" t="s">
        <v>170</v>
      </c>
      <c r="R1246" t="s">
        <v>155</v>
      </c>
      <c r="T1246" t="s">
        <v>134</v>
      </c>
      <c r="U1246">
        <v>1</v>
      </c>
      <c r="W1246" t="s">
        <v>134</v>
      </c>
      <c r="X1246">
        <v>1</v>
      </c>
      <c r="Y1246" t="s">
        <v>140</v>
      </c>
      <c r="Z1246" t="s">
        <v>178</v>
      </c>
      <c r="AA1246" t="s">
        <v>147</v>
      </c>
      <c r="AB1246" t="s">
        <v>163</v>
      </c>
      <c r="AC1246" t="s">
        <v>415</v>
      </c>
      <c r="AD1246" t="s">
        <v>155</v>
      </c>
      <c r="AE1246" t="s">
        <v>125</v>
      </c>
      <c r="AF1246" t="s">
        <v>21</v>
      </c>
    </row>
    <row r="1247" spans="1:32">
      <c r="A1247" t="s">
        <v>2128</v>
      </c>
      <c r="B1247" s="37">
        <v>40030</v>
      </c>
      <c r="C1247" s="38">
        <v>40030</v>
      </c>
      <c r="D1247" s="38">
        <v>40028</v>
      </c>
      <c r="E1247" s="38">
        <v>40026</v>
      </c>
      <c r="F1247" s="39">
        <v>125</v>
      </c>
      <c r="G1247" t="s">
        <v>21</v>
      </c>
      <c r="H1247" t="s">
        <v>21</v>
      </c>
      <c r="I1247">
        <v>0</v>
      </c>
      <c r="J1247">
        <v>0</v>
      </c>
      <c r="K1247">
        <v>0</v>
      </c>
      <c r="L1247">
        <v>1</v>
      </c>
      <c r="M1247">
        <v>0</v>
      </c>
      <c r="N1247" t="s">
        <v>193</v>
      </c>
      <c r="O1247" t="s">
        <v>213</v>
      </c>
      <c r="P1247" t="s">
        <v>204</v>
      </c>
      <c r="Q1247" t="s">
        <v>170</v>
      </c>
      <c r="R1247" t="s">
        <v>155</v>
      </c>
      <c r="S1247">
        <v>5</v>
      </c>
      <c r="T1247" t="s">
        <v>135</v>
      </c>
      <c r="U1247">
        <v>0</v>
      </c>
      <c r="V1247">
        <v>3</v>
      </c>
      <c r="W1247" t="s">
        <v>137</v>
      </c>
      <c r="X1247">
        <v>0</v>
      </c>
      <c r="Y1247" t="s">
        <v>140</v>
      </c>
      <c r="Z1247" t="s">
        <v>180</v>
      </c>
      <c r="AA1247" t="s">
        <v>148</v>
      </c>
      <c r="AB1247" t="s">
        <v>162</v>
      </c>
      <c r="AC1247" t="s">
        <v>174</v>
      </c>
      <c r="AD1247" t="s">
        <v>157</v>
      </c>
      <c r="AE1247" t="s">
        <v>124</v>
      </c>
      <c r="AF1247" t="s">
        <v>2129</v>
      </c>
    </row>
    <row r="1248" spans="1:32">
      <c r="A1248" t="s">
        <v>2130</v>
      </c>
      <c r="B1248" s="37">
        <v>40043</v>
      </c>
      <c r="C1248" s="38">
        <v>40043</v>
      </c>
      <c r="D1248" s="38">
        <v>40042</v>
      </c>
      <c r="E1248" s="38">
        <v>40026</v>
      </c>
      <c r="F1248" s="39">
        <v>138</v>
      </c>
      <c r="G1248" t="s">
        <v>21</v>
      </c>
      <c r="H1248" t="s">
        <v>21</v>
      </c>
      <c r="I1248">
        <v>0</v>
      </c>
      <c r="J1248">
        <v>0</v>
      </c>
      <c r="K1248">
        <v>0</v>
      </c>
      <c r="L1248">
        <v>1</v>
      </c>
      <c r="M1248">
        <v>0</v>
      </c>
      <c r="N1248" t="s">
        <v>195</v>
      </c>
      <c r="O1248" t="s">
        <v>213</v>
      </c>
      <c r="P1248" t="s">
        <v>206</v>
      </c>
      <c r="Q1248" t="s">
        <v>170</v>
      </c>
      <c r="R1248" t="s">
        <v>155</v>
      </c>
      <c r="S1248">
        <v>2</v>
      </c>
      <c r="T1248" t="s">
        <v>136</v>
      </c>
      <c r="U1248">
        <v>0</v>
      </c>
      <c r="V1248">
        <v>5</v>
      </c>
      <c r="W1248" t="s">
        <v>135</v>
      </c>
      <c r="X1248">
        <v>0</v>
      </c>
      <c r="Y1248" t="s">
        <v>139</v>
      </c>
      <c r="Z1248" t="s">
        <v>180</v>
      </c>
      <c r="AA1248" t="s">
        <v>143</v>
      </c>
      <c r="AB1248" t="s">
        <v>163</v>
      </c>
      <c r="AC1248" t="s">
        <v>173</v>
      </c>
      <c r="AD1248" t="s">
        <v>155</v>
      </c>
      <c r="AE1248" t="s">
        <v>956</v>
      </c>
      <c r="AF1248" t="s">
        <v>21</v>
      </c>
    </row>
    <row r="1249" spans="1:32">
      <c r="A1249" t="s">
        <v>2131</v>
      </c>
      <c r="B1249" s="37">
        <v>39979</v>
      </c>
      <c r="C1249" s="38">
        <v>39979</v>
      </c>
      <c r="D1249" s="38">
        <v>39979</v>
      </c>
      <c r="E1249" s="38">
        <v>39965</v>
      </c>
      <c r="F1249" s="39">
        <v>74</v>
      </c>
      <c r="G1249" t="s">
        <v>383</v>
      </c>
      <c r="H1249" t="s">
        <v>17</v>
      </c>
      <c r="I1249">
        <v>0</v>
      </c>
      <c r="J1249">
        <v>0</v>
      </c>
      <c r="K1249">
        <v>1</v>
      </c>
      <c r="L1249">
        <v>0</v>
      </c>
      <c r="M1249">
        <v>0</v>
      </c>
      <c r="N1249" t="s">
        <v>193</v>
      </c>
      <c r="O1249" t="s">
        <v>213</v>
      </c>
      <c r="P1249" t="s">
        <v>204</v>
      </c>
      <c r="Q1249" t="s">
        <v>170</v>
      </c>
      <c r="R1249" t="s">
        <v>155</v>
      </c>
      <c r="T1249" t="s">
        <v>134</v>
      </c>
      <c r="U1249">
        <v>1</v>
      </c>
      <c r="W1249" t="s">
        <v>134</v>
      </c>
      <c r="X1249">
        <v>1</v>
      </c>
      <c r="Y1249" t="s">
        <v>140</v>
      </c>
      <c r="Z1249" t="s">
        <v>180</v>
      </c>
      <c r="AA1249" t="s">
        <v>149</v>
      </c>
      <c r="AB1249" t="s">
        <v>162</v>
      </c>
      <c r="AC1249" t="s">
        <v>175</v>
      </c>
      <c r="AD1249" t="s">
        <v>155</v>
      </c>
      <c r="AE1249" t="s">
        <v>130</v>
      </c>
      <c r="AF1249" t="s">
        <v>21</v>
      </c>
    </row>
    <row r="1250" spans="1:32">
      <c r="A1250" t="s">
        <v>2132</v>
      </c>
      <c r="B1250" s="37">
        <v>40048</v>
      </c>
      <c r="C1250" s="38">
        <v>40048</v>
      </c>
      <c r="D1250" s="38">
        <v>40042</v>
      </c>
      <c r="E1250" s="38">
        <v>40026</v>
      </c>
      <c r="F1250" s="39">
        <v>143</v>
      </c>
      <c r="G1250" t="s">
        <v>21</v>
      </c>
      <c r="H1250" t="s">
        <v>21</v>
      </c>
      <c r="I1250">
        <v>0</v>
      </c>
      <c r="J1250">
        <v>0</v>
      </c>
      <c r="K1250">
        <v>0</v>
      </c>
      <c r="L1250">
        <v>1</v>
      </c>
      <c r="M1250">
        <v>0</v>
      </c>
      <c r="N1250" t="s">
        <v>193</v>
      </c>
      <c r="O1250" t="s">
        <v>213</v>
      </c>
      <c r="P1250" t="s">
        <v>204</v>
      </c>
      <c r="Q1250" t="s">
        <v>170</v>
      </c>
      <c r="R1250" t="s">
        <v>155</v>
      </c>
      <c r="S1250">
        <v>5</v>
      </c>
      <c r="T1250" t="s">
        <v>135</v>
      </c>
      <c r="U1250">
        <v>0</v>
      </c>
      <c r="V1250">
        <v>3</v>
      </c>
      <c r="W1250" t="s">
        <v>137</v>
      </c>
      <c r="X1250">
        <v>0</v>
      </c>
      <c r="Y1250" t="s">
        <v>140</v>
      </c>
      <c r="Z1250" t="s">
        <v>180</v>
      </c>
      <c r="AA1250" t="s">
        <v>144</v>
      </c>
      <c r="AB1250" t="s">
        <v>165</v>
      </c>
      <c r="AC1250" t="s">
        <v>2133</v>
      </c>
      <c r="AD1250" t="s">
        <v>158</v>
      </c>
      <c r="AE1250" t="s">
        <v>122</v>
      </c>
      <c r="AF1250" t="s">
        <v>21</v>
      </c>
    </row>
    <row r="1251" spans="1:32">
      <c r="A1251" t="s">
        <v>2134</v>
      </c>
      <c r="B1251" s="37">
        <v>39962</v>
      </c>
      <c r="C1251" s="38">
        <v>39962</v>
      </c>
      <c r="D1251" s="38">
        <v>39958</v>
      </c>
      <c r="E1251" s="38">
        <v>39934</v>
      </c>
      <c r="F1251" s="39">
        <v>57</v>
      </c>
      <c r="G1251" t="s">
        <v>21</v>
      </c>
      <c r="H1251" t="s">
        <v>21</v>
      </c>
      <c r="I1251">
        <v>0</v>
      </c>
      <c r="J1251">
        <v>0</v>
      </c>
      <c r="K1251">
        <v>0</v>
      </c>
      <c r="L1251">
        <v>1</v>
      </c>
      <c r="M1251">
        <v>0</v>
      </c>
      <c r="N1251" t="s">
        <v>193</v>
      </c>
      <c r="O1251" t="s">
        <v>213</v>
      </c>
      <c r="P1251" t="s">
        <v>204</v>
      </c>
      <c r="Q1251" t="s">
        <v>170</v>
      </c>
      <c r="R1251" t="s">
        <v>155</v>
      </c>
      <c r="T1251" t="s">
        <v>134</v>
      </c>
      <c r="U1251">
        <v>1</v>
      </c>
      <c r="W1251" t="s">
        <v>134</v>
      </c>
      <c r="X1251">
        <v>1</v>
      </c>
      <c r="Y1251" t="s">
        <v>140</v>
      </c>
      <c r="Z1251" t="s">
        <v>180</v>
      </c>
      <c r="AA1251" t="s">
        <v>144</v>
      </c>
      <c r="AB1251" t="s">
        <v>162</v>
      </c>
      <c r="AC1251" t="s">
        <v>21</v>
      </c>
      <c r="AD1251" t="s">
        <v>157</v>
      </c>
      <c r="AE1251" t="s">
        <v>124</v>
      </c>
      <c r="AF1251" t="s">
        <v>2135</v>
      </c>
    </row>
    <row r="1252" spans="1:32">
      <c r="A1252" t="s">
        <v>2136</v>
      </c>
      <c r="B1252" s="37">
        <v>39915</v>
      </c>
      <c r="C1252" s="38">
        <v>39915</v>
      </c>
      <c r="D1252" s="38">
        <v>39909</v>
      </c>
      <c r="E1252" s="38">
        <v>39904</v>
      </c>
      <c r="F1252" s="39">
        <v>10</v>
      </c>
      <c r="G1252" t="s">
        <v>21</v>
      </c>
      <c r="H1252" t="s">
        <v>21</v>
      </c>
      <c r="I1252">
        <v>0</v>
      </c>
      <c r="J1252">
        <v>0</v>
      </c>
      <c r="K1252">
        <v>0</v>
      </c>
      <c r="L1252">
        <v>1</v>
      </c>
      <c r="M1252">
        <v>0</v>
      </c>
      <c r="N1252" t="s">
        <v>200</v>
      </c>
      <c r="O1252" t="s">
        <v>214</v>
      </c>
      <c r="P1252" t="s">
        <v>208</v>
      </c>
      <c r="Q1252" t="s">
        <v>170</v>
      </c>
      <c r="R1252" t="s">
        <v>155</v>
      </c>
      <c r="T1252" t="s">
        <v>134</v>
      </c>
      <c r="U1252">
        <v>1</v>
      </c>
      <c r="W1252" t="s">
        <v>134</v>
      </c>
      <c r="X1252">
        <v>1</v>
      </c>
      <c r="Y1252" t="s">
        <v>139</v>
      </c>
      <c r="Z1252" t="s">
        <v>180</v>
      </c>
      <c r="AA1252" t="s">
        <v>147</v>
      </c>
      <c r="AB1252" t="s">
        <v>162</v>
      </c>
      <c r="AC1252" t="s">
        <v>550</v>
      </c>
      <c r="AD1252" t="s">
        <v>157</v>
      </c>
      <c r="AE1252" t="s">
        <v>434</v>
      </c>
      <c r="AF1252" t="s">
        <v>449</v>
      </c>
    </row>
    <row r="1253" spans="1:32">
      <c r="A1253" t="s">
        <v>2137</v>
      </c>
      <c r="B1253" s="37">
        <v>39969</v>
      </c>
      <c r="C1253" s="38">
        <v>39969</v>
      </c>
      <c r="D1253" s="38">
        <v>39965</v>
      </c>
      <c r="E1253" s="38">
        <v>39965</v>
      </c>
      <c r="F1253" s="39">
        <v>64</v>
      </c>
      <c r="G1253" t="s">
        <v>380</v>
      </c>
      <c r="H1253" t="s">
        <v>17</v>
      </c>
      <c r="I1253">
        <v>0</v>
      </c>
      <c r="J1253">
        <v>0</v>
      </c>
      <c r="K1253">
        <v>1</v>
      </c>
      <c r="L1253">
        <v>0</v>
      </c>
      <c r="M1253">
        <v>0</v>
      </c>
      <c r="N1253" t="s">
        <v>194</v>
      </c>
      <c r="O1253" t="s">
        <v>213</v>
      </c>
      <c r="P1253" t="s">
        <v>205</v>
      </c>
      <c r="Q1253" t="s">
        <v>170</v>
      </c>
      <c r="R1253" t="s">
        <v>155</v>
      </c>
      <c r="T1253" t="s">
        <v>134</v>
      </c>
      <c r="U1253">
        <v>1</v>
      </c>
      <c r="W1253" t="s">
        <v>134</v>
      </c>
      <c r="X1253">
        <v>1</v>
      </c>
      <c r="Y1253" t="s">
        <v>139</v>
      </c>
      <c r="Z1253" t="s">
        <v>180</v>
      </c>
      <c r="AA1253" t="s">
        <v>142</v>
      </c>
      <c r="AB1253" t="s">
        <v>165</v>
      </c>
      <c r="AC1253" t="s">
        <v>589</v>
      </c>
      <c r="AD1253" t="s">
        <v>158</v>
      </c>
      <c r="AE1253" t="s">
        <v>122</v>
      </c>
      <c r="AF1253" t="s">
        <v>21</v>
      </c>
    </row>
    <row r="1254" spans="1:32">
      <c r="A1254" t="s">
        <v>2138</v>
      </c>
      <c r="B1254" s="37">
        <v>39966</v>
      </c>
      <c r="C1254" s="38">
        <v>39966</v>
      </c>
      <c r="D1254" s="38">
        <v>39965</v>
      </c>
      <c r="E1254" s="38">
        <v>39965</v>
      </c>
      <c r="F1254" s="39">
        <v>61</v>
      </c>
      <c r="G1254" t="s">
        <v>21</v>
      </c>
      <c r="H1254" t="s">
        <v>21</v>
      </c>
      <c r="I1254">
        <v>0</v>
      </c>
      <c r="J1254">
        <v>0</v>
      </c>
      <c r="K1254">
        <v>0</v>
      </c>
      <c r="L1254">
        <v>1</v>
      </c>
      <c r="M1254">
        <v>0</v>
      </c>
      <c r="N1254" t="s">
        <v>194</v>
      </c>
      <c r="O1254" t="s">
        <v>213</v>
      </c>
      <c r="P1254" t="s">
        <v>205</v>
      </c>
      <c r="Q1254" t="s">
        <v>170</v>
      </c>
      <c r="R1254" t="s">
        <v>155</v>
      </c>
      <c r="T1254" t="s">
        <v>134</v>
      </c>
      <c r="U1254">
        <v>1</v>
      </c>
      <c r="W1254" t="s">
        <v>134</v>
      </c>
      <c r="X1254">
        <v>1</v>
      </c>
      <c r="Y1254" t="s">
        <v>139</v>
      </c>
      <c r="Z1254" t="s">
        <v>178</v>
      </c>
      <c r="AA1254" t="s">
        <v>142</v>
      </c>
      <c r="AB1254" t="s">
        <v>163</v>
      </c>
      <c r="AC1254" t="s">
        <v>2139</v>
      </c>
      <c r="AD1254" t="s">
        <v>155</v>
      </c>
      <c r="AE1254" t="s">
        <v>387</v>
      </c>
      <c r="AF1254" t="s">
        <v>21</v>
      </c>
    </row>
    <row r="1255" spans="1:32">
      <c r="A1255" t="s">
        <v>2140</v>
      </c>
      <c r="B1255" s="37">
        <v>39971</v>
      </c>
      <c r="C1255" s="38">
        <v>39971</v>
      </c>
      <c r="D1255" s="38">
        <v>39965</v>
      </c>
      <c r="E1255" s="38">
        <v>39965</v>
      </c>
      <c r="F1255" s="39">
        <v>66</v>
      </c>
      <c r="G1255" t="s">
        <v>21</v>
      </c>
      <c r="H1255" t="s">
        <v>21</v>
      </c>
      <c r="I1255">
        <v>0</v>
      </c>
      <c r="J1255">
        <v>0</v>
      </c>
      <c r="K1255">
        <v>0</v>
      </c>
      <c r="L1255">
        <v>1</v>
      </c>
      <c r="M1255">
        <v>0</v>
      </c>
      <c r="N1255" t="s">
        <v>193</v>
      </c>
      <c r="O1255" t="s">
        <v>213</v>
      </c>
      <c r="P1255" t="s">
        <v>204</v>
      </c>
      <c r="Q1255" t="s">
        <v>170</v>
      </c>
      <c r="R1255" t="s">
        <v>155</v>
      </c>
      <c r="T1255" t="s">
        <v>134</v>
      </c>
      <c r="U1255">
        <v>1</v>
      </c>
      <c r="W1255" t="s">
        <v>134</v>
      </c>
      <c r="X1255">
        <v>1</v>
      </c>
      <c r="Y1255" t="s">
        <v>140</v>
      </c>
      <c r="Z1255" t="s">
        <v>180</v>
      </c>
      <c r="AA1255" t="s">
        <v>142</v>
      </c>
      <c r="AB1255" t="s">
        <v>162</v>
      </c>
      <c r="AC1255" t="s">
        <v>174</v>
      </c>
      <c r="AD1255" t="s">
        <v>157</v>
      </c>
      <c r="AE1255" t="s">
        <v>130</v>
      </c>
      <c r="AF1255" t="s">
        <v>423</v>
      </c>
    </row>
    <row r="1256" spans="1:32">
      <c r="A1256" t="s">
        <v>2141</v>
      </c>
      <c r="B1256" s="37">
        <v>39993</v>
      </c>
      <c r="C1256" s="38">
        <v>39993</v>
      </c>
      <c r="D1256" s="38">
        <v>39993</v>
      </c>
      <c r="E1256" s="38">
        <v>39965</v>
      </c>
      <c r="F1256" s="39">
        <v>88</v>
      </c>
      <c r="G1256" t="s">
        <v>525</v>
      </c>
      <c r="H1256" t="s">
        <v>17</v>
      </c>
      <c r="I1256">
        <v>0</v>
      </c>
      <c r="J1256">
        <v>0</v>
      </c>
      <c r="K1256">
        <v>1</v>
      </c>
      <c r="L1256">
        <v>0</v>
      </c>
      <c r="M1256">
        <v>0</v>
      </c>
      <c r="N1256" t="s">
        <v>196</v>
      </c>
      <c r="O1256" t="s">
        <v>213</v>
      </c>
      <c r="P1256" t="s">
        <v>207</v>
      </c>
      <c r="Q1256" t="s">
        <v>170</v>
      </c>
      <c r="R1256" t="s">
        <v>155</v>
      </c>
      <c r="T1256" t="s">
        <v>134</v>
      </c>
      <c r="U1256">
        <v>1</v>
      </c>
      <c r="V1256">
        <v>3</v>
      </c>
      <c r="W1256" t="s">
        <v>137</v>
      </c>
      <c r="X1256">
        <v>0</v>
      </c>
      <c r="Y1256" t="s">
        <v>139</v>
      </c>
      <c r="Z1256" t="s">
        <v>180</v>
      </c>
      <c r="AA1256" t="s">
        <v>151</v>
      </c>
      <c r="AB1256" t="s">
        <v>162</v>
      </c>
      <c r="AC1256" t="s">
        <v>459</v>
      </c>
      <c r="AD1256" t="s">
        <v>155</v>
      </c>
      <c r="AE1256" t="s">
        <v>130</v>
      </c>
      <c r="AF1256" t="s">
        <v>21</v>
      </c>
    </row>
    <row r="1257" spans="1:32">
      <c r="A1257" t="s">
        <v>2142</v>
      </c>
      <c r="B1257" s="37">
        <v>39950</v>
      </c>
      <c r="C1257" s="38">
        <v>39950</v>
      </c>
      <c r="D1257" s="38">
        <v>39944</v>
      </c>
      <c r="E1257" s="38">
        <v>39934</v>
      </c>
      <c r="F1257" s="39">
        <v>45</v>
      </c>
      <c r="G1257" t="s">
        <v>21</v>
      </c>
      <c r="H1257" t="s">
        <v>21</v>
      </c>
      <c r="I1257">
        <v>0</v>
      </c>
      <c r="J1257">
        <v>0</v>
      </c>
      <c r="K1257">
        <v>0</v>
      </c>
      <c r="L1257">
        <v>1</v>
      </c>
      <c r="M1257">
        <v>0</v>
      </c>
      <c r="N1257" t="s">
        <v>193</v>
      </c>
      <c r="O1257" t="s">
        <v>213</v>
      </c>
      <c r="P1257" t="s">
        <v>204</v>
      </c>
      <c r="Q1257" t="s">
        <v>170</v>
      </c>
      <c r="R1257" t="s">
        <v>155</v>
      </c>
      <c r="T1257" t="s">
        <v>134</v>
      </c>
      <c r="U1257">
        <v>1</v>
      </c>
      <c r="W1257" t="s">
        <v>134</v>
      </c>
      <c r="X1257">
        <v>1</v>
      </c>
      <c r="Y1257" t="s">
        <v>140</v>
      </c>
      <c r="Z1257" t="s">
        <v>180</v>
      </c>
      <c r="AA1257" t="s">
        <v>143</v>
      </c>
      <c r="AB1257" t="s">
        <v>163</v>
      </c>
      <c r="AC1257" t="s">
        <v>173</v>
      </c>
      <c r="AD1257" t="s">
        <v>155</v>
      </c>
      <c r="AE1257" t="s">
        <v>1113</v>
      </c>
      <c r="AF1257" t="s">
        <v>21</v>
      </c>
    </row>
    <row r="1258" spans="1:32">
      <c r="A1258" t="s">
        <v>2143</v>
      </c>
      <c r="B1258" s="37">
        <v>39939</v>
      </c>
      <c r="C1258" s="38">
        <v>39939</v>
      </c>
      <c r="D1258" s="38">
        <v>39937</v>
      </c>
      <c r="E1258" s="38">
        <v>39934</v>
      </c>
      <c r="F1258" s="39">
        <v>34</v>
      </c>
      <c r="G1258" t="s">
        <v>21</v>
      </c>
      <c r="H1258" t="s">
        <v>21</v>
      </c>
      <c r="I1258">
        <v>0</v>
      </c>
      <c r="J1258">
        <v>0</v>
      </c>
      <c r="K1258">
        <v>0</v>
      </c>
      <c r="L1258">
        <v>1</v>
      </c>
      <c r="M1258">
        <v>0</v>
      </c>
      <c r="N1258" t="s">
        <v>193</v>
      </c>
      <c r="O1258" t="s">
        <v>213</v>
      </c>
      <c r="P1258" t="s">
        <v>204</v>
      </c>
      <c r="Q1258" t="s">
        <v>170</v>
      </c>
      <c r="R1258" t="s">
        <v>155</v>
      </c>
      <c r="T1258" t="s">
        <v>134</v>
      </c>
      <c r="U1258">
        <v>1</v>
      </c>
      <c r="W1258" t="s">
        <v>134</v>
      </c>
      <c r="X1258">
        <v>1</v>
      </c>
      <c r="Y1258" t="s">
        <v>140</v>
      </c>
      <c r="Z1258" t="s">
        <v>180</v>
      </c>
      <c r="AA1258" t="s">
        <v>142</v>
      </c>
      <c r="AB1258" t="s">
        <v>162</v>
      </c>
      <c r="AC1258" t="s">
        <v>174</v>
      </c>
      <c r="AD1258" t="s">
        <v>160</v>
      </c>
      <c r="AE1258" t="s">
        <v>392</v>
      </c>
      <c r="AF1258" t="s">
        <v>393</v>
      </c>
    </row>
    <row r="1259" spans="1:32">
      <c r="A1259" t="s">
        <v>2144</v>
      </c>
      <c r="B1259" s="37">
        <v>40014</v>
      </c>
      <c r="C1259" s="38">
        <v>40014</v>
      </c>
      <c r="D1259" s="38">
        <v>40014</v>
      </c>
      <c r="E1259" s="38">
        <v>39995</v>
      </c>
      <c r="F1259" s="39">
        <v>109</v>
      </c>
      <c r="G1259" t="s">
        <v>21</v>
      </c>
      <c r="H1259" t="s">
        <v>21</v>
      </c>
      <c r="I1259">
        <v>0</v>
      </c>
      <c r="J1259">
        <v>0</v>
      </c>
      <c r="K1259">
        <v>0</v>
      </c>
      <c r="L1259">
        <v>1</v>
      </c>
      <c r="M1259">
        <v>0</v>
      </c>
      <c r="N1259" t="s">
        <v>195</v>
      </c>
      <c r="O1259" t="s">
        <v>213</v>
      </c>
      <c r="P1259" t="s">
        <v>206</v>
      </c>
      <c r="Q1259" t="s">
        <v>170</v>
      </c>
      <c r="R1259" t="s">
        <v>155</v>
      </c>
      <c r="S1259">
        <v>5</v>
      </c>
      <c r="T1259" t="s">
        <v>135</v>
      </c>
      <c r="U1259">
        <v>0</v>
      </c>
      <c r="V1259">
        <v>2</v>
      </c>
      <c r="W1259" t="s">
        <v>136</v>
      </c>
      <c r="X1259">
        <v>0</v>
      </c>
      <c r="Y1259" t="s">
        <v>139</v>
      </c>
      <c r="Z1259" t="s">
        <v>180</v>
      </c>
      <c r="AA1259" t="s">
        <v>146</v>
      </c>
      <c r="AB1259" t="s">
        <v>162</v>
      </c>
      <c r="AC1259" t="s">
        <v>2145</v>
      </c>
      <c r="AD1259" t="s">
        <v>155</v>
      </c>
      <c r="AE1259" t="s">
        <v>130</v>
      </c>
      <c r="AF1259" t="s">
        <v>21</v>
      </c>
    </row>
    <row r="1260" spans="1:32">
      <c r="A1260" t="s">
        <v>2146</v>
      </c>
      <c r="B1260" s="37">
        <v>40014</v>
      </c>
      <c r="C1260" s="38">
        <v>40014</v>
      </c>
      <c r="D1260" s="38">
        <v>40014</v>
      </c>
      <c r="E1260" s="38">
        <v>39995</v>
      </c>
      <c r="F1260" s="39">
        <v>109</v>
      </c>
      <c r="G1260" t="s">
        <v>21</v>
      </c>
      <c r="H1260" t="s">
        <v>21</v>
      </c>
      <c r="I1260">
        <v>0</v>
      </c>
      <c r="J1260">
        <v>0</v>
      </c>
      <c r="K1260">
        <v>0</v>
      </c>
      <c r="L1260">
        <v>1</v>
      </c>
      <c r="M1260">
        <v>0</v>
      </c>
      <c r="N1260" t="s">
        <v>193</v>
      </c>
      <c r="O1260" t="s">
        <v>213</v>
      </c>
      <c r="P1260" t="s">
        <v>204</v>
      </c>
      <c r="Q1260" t="s">
        <v>170</v>
      </c>
      <c r="R1260" t="s">
        <v>155</v>
      </c>
      <c r="S1260">
        <v>1</v>
      </c>
      <c r="T1260" t="s">
        <v>136</v>
      </c>
      <c r="U1260">
        <v>0</v>
      </c>
      <c r="V1260">
        <v>2</v>
      </c>
      <c r="W1260" t="s">
        <v>136</v>
      </c>
      <c r="X1260">
        <v>0</v>
      </c>
      <c r="Y1260" t="s">
        <v>140</v>
      </c>
      <c r="Z1260" t="s">
        <v>180</v>
      </c>
      <c r="AA1260" t="s">
        <v>144</v>
      </c>
      <c r="AB1260" t="s">
        <v>162</v>
      </c>
      <c r="AC1260" t="s">
        <v>21</v>
      </c>
      <c r="AD1260" t="s">
        <v>155</v>
      </c>
      <c r="AE1260" t="s">
        <v>130</v>
      </c>
      <c r="AF1260" t="s">
        <v>21</v>
      </c>
    </row>
    <row r="1261" spans="1:32">
      <c r="A1261" t="s">
        <v>2147</v>
      </c>
      <c r="B1261" s="37">
        <v>40064</v>
      </c>
      <c r="C1261" s="38">
        <v>40064</v>
      </c>
      <c r="D1261" s="38">
        <v>40063</v>
      </c>
      <c r="E1261" s="38">
        <v>40057</v>
      </c>
      <c r="F1261" s="39">
        <v>159</v>
      </c>
      <c r="G1261" t="s">
        <v>21</v>
      </c>
      <c r="H1261" t="s">
        <v>21</v>
      </c>
      <c r="I1261">
        <v>0</v>
      </c>
      <c r="J1261">
        <v>0</v>
      </c>
      <c r="K1261">
        <v>0</v>
      </c>
      <c r="L1261">
        <v>1</v>
      </c>
      <c r="M1261">
        <v>0</v>
      </c>
      <c r="N1261" t="s">
        <v>193</v>
      </c>
      <c r="O1261" t="s">
        <v>213</v>
      </c>
      <c r="P1261" t="s">
        <v>204</v>
      </c>
      <c r="Q1261" t="s">
        <v>170</v>
      </c>
      <c r="R1261" t="s">
        <v>155</v>
      </c>
      <c r="S1261">
        <v>5</v>
      </c>
      <c r="T1261" t="s">
        <v>135</v>
      </c>
      <c r="U1261">
        <v>0</v>
      </c>
      <c r="V1261">
        <v>5</v>
      </c>
      <c r="W1261" t="s">
        <v>135</v>
      </c>
      <c r="X1261">
        <v>0</v>
      </c>
      <c r="Y1261" t="s">
        <v>140</v>
      </c>
      <c r="Z1261" t="s">
        <v>180</v>
      </c>
      <c r="AA1261" t="s">
        <v>143</v>
      </c>
      <c r="AB1261" t="s">
        <v>162</v>
      </c>
      <c r="AC1261" t="s">
        <v>619</v>
      </c>
      <c r="AD1261" t="s">
        <v>156</v>
      </c>
      <c r="AE1261" t="s">
        <v>120</v>
      </c>
      <c r="AF1261" t="s">
        <v>794</v>
      </c>
    </row>
    <row r="1262" spans="1:32">
      <c r="A1262" t="s">
        <v>2148</v>
      </c>
      <c r="B1262" s="37">
        <v>39920</v>
      </c>
      <c r="C1262" s="38">
        <v>39920</v>
      </c>
      <c r="D1262" s="38">
        <v>39916</v>
      </c>
      <c r="E1262" s="38">
        <v>39904</v>
      </c>
      <c r="F1262" s="39">
        <v>15</v>
      </c>
      <c r="G1262" t="s">
        <v>21</v>
      </c>
      <c r="H1262" t="s">
        <v>21</v>
      </c>
      <c r="I1262">
        <v>0</v>
      </c>
      <c r="J1262">
        <v>0</v>
      </c>
      <c r="K1262">
        <v>0</v>
      </c>
      <c r="L1262">
        <v>1</v>
      </c>
      <c r="M1262">
        <v>0</v>
      </c>
      <c r="N1262" t="s">
        <v>201</v>
      </c>
      <c r="O1262" t="s">
        <v>214</v>
      </c>
      <c r="P1262" t="s">
        <v>204</v>
      </c>
      <c r="Q1262" t="s">
        <v>170</v>
      </c>
      <c r="R1262" t="s">
        <v>155</v>
      </c>
      <c r="T1262" t="s">
        <v>134</v>
      </c>
      <c r="U1262">
        <v>1</v>
      </c>
      <c r="W1262" t="s">
        <v>134</v>
      </c>
      <c r="X1262">
        <v>1</v>
      </c>
      <c r="Y1262" t="s">
        <v>140</v>
      </c>
      <c r="Z1262" t="s">
        <v>180</v>
      </c>
      <c r="AA1262" t="s">
        <v>143</v>
      </c>
      <c r="AB1262" t="s">
        <v>163</v>
      </c>
      <c r="AC1262" t="s">
        <v>173</v>
      </c>
      <c r="AD1262" t="s">
        <v>155</v>
      </c>
      <c r="AE1262" t="s">
        <v>571</v>
      </c>
      <c r="AF1262" t="s">
        <v>21</v>
      </c>
    </row>
    <row r="1263" spans="1:32">
      <c r="A1263" t="s">
        <v>2149</v>
      </c>
      <c r="B1263" s="37">
        <v>39955</v>
      </c>
      <c r="C1263" s="38">
        <v>39955</v>
      </c>
      <c r="D1263" s="38">
        <v>39951</v>
      </c>
      <c r="E1263" s="38">
        <v>39934</v>
      </c>
      <c r="F1263" s="39">
        <v>50</v>
      </c>
      <c r="G1263" t="s">
        <v>21</v>
      </c>
      <c r="H1263" t="s">
        <v>21</v>
      </c>
      <c r="I1263">
        <v>0</v>
      </c>
      <c r="J1263">
        <v>0</v>
      </c>
      <c r="K1263">
        <v>0</v>
      </c>
      <c r="L1263">
        <v>1</v>
      </c>
      <c r="M1263">
        <v>0</v>
      </c>
      <c r="N1263" t="s">
        <v>193</v>
      </c>
      <c r="O1263" t="s">
        <v>213</v>
      </c>
      <c r="P1263" t="s">
        <v>204</v>
      </c>
      <c r="Q1263" t="s">
        <v>170</v>
      </c>
      <c r="R1263" t="s">
        <v>155</v>
      </c>
      <c r="T1263" t="s">
        <v>134</v>
      </c>
      <c r="U1263">
        <v>1</v>
      </c>
      <c r="W1263" t="s">
        <v>134</v>
      </c>
      <c r="X1263">
        <v>1</v>
      </c>
      <c r="Y1263" t="s">
        <v>140</v>
      </c>
      <c r="Z1263" t="s">
        <v>180</v>
      </c>
      <c r="AA1263" t="s">
        <v>145</v>
      </c>
      <c r="AB1263" t="s">
        <v>162</v>
      </c>
      <c r="AC1263" t="s">
        <v>21</v>
      </c>
      <c r="AD1263" t="s">
        <v>155</v>
      </c>
      <c r="AE1263" t="s">
        <v>129</v>
      </c>
      <c r="AF1263" t="s">
        <v>21</v>
      </c>
    </row>
    <row r="1264" spans="1:32">
      <c r="A1264" t="s">
        <v>2150</v>
      </c>
      <c r="B1264" s="37">
        <v>40078</v>
      </c>
      <c r="C1264" s="38">
        <v>40078</v>
      </c>
      <c r="D1264" s="38">
        <v>40077</v>
      </c>
      <c r="E1264" s="38">
        <v>40057</v>
      </c>
      <c r="F1264" s="39">
        <v>173</v>
      </c>
      <c r="G1264" t="s">
        <v>496</v>
      </c>
      <c r="H1264" t="s">
        <v>13</v>
      </c>
      <c r="I1264">
        <v>0</v>
      </c>
      <c r="J1264">
        <v>1</v>
      </c>
      <c r="K1264">
        <v>0</v>
      </c>
      <c r="L1264">
        <v>0</v>
      </c>
      <c r="M1264">
        <v>1</v>
      </c>
      <c r="N1264" t="s">
        <v>196</v>
      </c>
      <c r="O1264" t="s">
        <v>213</v>
      </c>
      <c r="P1264" t="s">
        <v>207</v>
      </c>
      <c r="Q1264" t="s">
        <v>170</v>
      </c>
      <c r="R1264" t="s">
        <v>155</v>
      </c>
      <c r="S1264">
        <v>5</v>
      </c>
      <c r="T1264" t="s">
        <v>135</v>
      </c>
      <c r="U1264">
        <v>0</v>
      </c>
      <c r="V1264">
        <v>5</v>
      </c>
      <c r="W1264" t="s">
        <v>135</v>
      </c>
      <c r="X1264">
        <v>0</v>
      </c>
      <c r="Y1264" t="s">
        <v>139</v>
      </c>
      <c r="Z1264" t="s">
        <v>180</v>
      </c>
      <c r="AA1264" t="s">
        <v>143</v>
      </c>
      <c r="AB1264" t="s">
        <v>162</v>
      </c>
      <c r="AC1264" t="s">
        <v>174</v>
      </c>
      <c r="AD1264" t="s">
        <v>159</v>
      </c>
      <c r="AE1264" t="s">
        <v>123</v>
      </c>
      <c r="AF1264" t="s">
        <v>123</v>
      </c>
    </row>
    <row r="1265" spans="1:32">
      <c r="A1265" t="s">
        <v>2151</v>
      </c>
      <c r="B1265" s="37">
        <v>40016</v>
      </c>
      <c r="C1265" s="38">
        <v>40016</v>
      </c>
      <c r="D1265" s="38">
        <v>40014</v>
      </c>
      <c r="E1265" s="38">
        <v>39995</v>
      </c>
      <c r="F1265" s="39">
        <v>111</v>
      </c>
      <c r="G1265" t="s">
        <v>21</v>
      </c>
      <c r="H1265" t="s">
        <v>21</v>
      </c>
      <c r="I1265">
        <v>0</v>
      </c>
      <c r="J1265">
        <v>0</v>
      </c>
      <c r="K1265">
        <v>0</v>
      </c>
      <c r="L1265">
        <v>1</v>
      </c>
      <c r="M1265">
        <v>0</v>
      </c>
      <c r="N1265" t="s">
        <v>193</v>
      </c>
      <c r="O1265" t="s">
        <v>213</v>
      </c>
      <c r="P1265" t="s">
        <v>204</v>
      </c>
      <c r="Q1265" t="s">
        <v>170</v>
      </c>
      <c r="R1265" t="s">
        <v>155</v>
      </c>
      <c r="S1265">
        <v>5</v>
      </c>
      <c r="T1265" t="s">
        <v>135</v>
      </c>
      <c r="U1265">
        <v>0</v>
      </c>
      <c r="V1265">
        <v>4</v>
      </c>
      <c r="W1265" t="s">
        <v>137</v>
      </c>
      <c r="X1265">
        <v>0</v>
      </c>
      <c r="Y1265" t="s">
        <v>140</v>
      </c>
      <c r="Z1265" t="s">
        <v>180</v>
      </c>
      <c r="AA1265" t="s">
        <v>150</v>
      </c>
      <c r="AB1265" t="s">
        <v>162</v>
      </c>
      <c r="AC1265" t="s">
        <v>597</v>
      </c>
      <c r="AD1265" t="s">
        <v>155</v>
      </c>
      <c r="AE1265" t="s">
        <v>130</v>
      </c>
      <c r="AF1265" t="s">
        <v>21</v>
      </c>
    </row>
    <row r="1266" spans="1:32">
      <c r="A1266" t="s">
        <v>2152</v>
      </c>
      <c r="B1266" s="37">
        <v>39946</v>
      </c>
      <c r="C1266" s="38">
        <v>39946</v>
      </c>
      <c r="D1266" s="38">
        <v>39944</v>
      </c>
      <c r="E1266" s="38">
        <v>39934</v>
      </c>
      <c r="F1266" s="39">
        <v>41</v>
      </c>
      <c r="G1266" t="s">
        <v>21</v>
      </c>
      <c r="H1266" t="s">
        <v>21</v>
      </c>
      <c r="I1266">
        <v>0</v>
      </c>
      <c r="J1266">
        <v>0</v>
      </c>
      <c r="K1266">
        <v>0</v>
      </c>
      <c r="L1266">
        <v>1</v>
      </c>
      <c r="M1266">
        <v>0</v>
      </c>
      <c r="N1266" t="s">
        <v>194</v>
      </c>
      <c r="O1266" t="s">
        <v>213</v>
      </c>
      <c r="P1266" t="s">
        <v>205</v>
      </c>
      <c r="Q1266" t="s">
        <v>170</v>
      </c>
      <c r="R1266" t="s">
        <v>155</v>
      </c>
      <c r="T1266" t="s">
        <v>134</v>
      </c>
      <c r="U1266">
        <v>1</v>
      </c>
      <c r="W1266" t="s">
        <v>134</v>
      </c>
      <c r="X1266">
        <v>1</v>
      </c>
      <c r="Y1266" t="s">
        <v>139</v>
      </c>
      <c r="Z1266" t="s">
        <v>180</v>
      </c>
      <c r="AA1266" t="s">
        <v>142</v>
      </c>
      <c r="AB1266" t="s">
        <v>165</v>
      </c>
      <c r="AC1266" t="s">
        <v>21</v>
      </c>
      <c r="AD1266" t="s">
        <v>158</v>
      </c>
      <c r="AE1266" t="s">
        <v>122</v>
      </c>
      <c r="AF1266" t="s">
        <v>21</v>
      </c>
    </row>
    <row r="1267" spans="1:32">
      <c r="A1267" t="s">
        <v>2153</v>
      </c>
      <c r="B1267" s="37">
        <v>39924</v>
      </c>
      <c r="C1267" s="38">
        <v>39924</v>
      </c>
      <c r="D1267" s="38">
        <v>39923</v>
      </c>
      <c r="E1267" s="38">
        <v>39904</v>
      </c>
      <c r="F1267" s="39">
        <v>19</v>
      </c>
      <c r="G1267" t="s">
        <v>21</v>
      </c>
      <c r="H1267" t="s">
        <v>21</v>
      </c>
      <c r="I1267">
        <v>0</v>
      </c>
      <c r="J1267">
        <v>0</v>
      </c>
      <c r="K1267">
        <v>0</v>
      </c>
      <c r="L1267">
        <v>1</v>
      </c>
      <c r="M1267">
        <v>0</v>
      </c>
      <c r="N1267" t="s">
        <v>200</v>
      </c>
      <c r="O1267" t="s">
        <v>214</v>
      </c>
      <c r="P1267" t="s">
        <v>208</v>
      </c>
      <c r="Q1267" t="s">
        <v>170</v>
      </c>
      <c r="R1267" t="s">
        <v>155</v>
      </c>
      <c r="T1267" t="s">
        <v>134</v>
      </c>
      <c r="U1267">
        <v>1</v>
      </c>
      <c r="W1267" t="s">
        <v>134</v>
      </c>
      <c r="X1267">
        <v>1</v>
      </c>
      <c r="Y1267" t="s">
        <v>139</v>
      </c>
      <c r="Z1267" t="s">
        <v>186</v>
      </c>
      <c r="AA1267" t="s">
        <v>145</v>
      </c>
      <c r="AB1267" t="s">
        <v>165</v>
      </c>
      <c r="AC1267" t="s">
        <v>2154</v>
      </c>
      <c r="AD1267" t="s">
        <v>158</v>
      </c>
      <c r="AE1267" t="s">
        <v>122</v>
      </c>
      <c r="AF1267" t="s">
        <v>21</v>
      </c>
    </row>
    <row r="1268" spans="1:32">
      <c r="A1268" t="s">
        <v>2155</v>
      </c>
      <c r="B1268" s="37">
        <v>39954</v>
      </c>
      <c r="C1268" s="38">
        <v>39954</v>
      </c>
      <c r="D1268" s="38">
        <v>39951</v>
      </c>
      <c r="E1268" s="38">
        <v>39934</v>
      </c>
      <c r="F1268" s="39">
        <v>49</v>
      </c>
      <c r="G1268" t="s">
        <v>21</v>
      </c>
      <c r="H1268" t="s">
        <v>21</v>
      </c>
      <c r="I1268">
        <v>0</v>
      </c>
      <c r="J1268">
        <v>0</v>
      </c>
      <c r="K1268">
        <v>0</v>
      </c>
      <c r="L1268">
        <v>1</v>
      </c>
      <c r="M1268">
        <v>0</v>
      </c>
      <c r="N1268" t="s">
        <v>193</v>
      </c>
      <c r="O1268" t="s">
        <v>213</v>
      </c>
      <c r="P1268" t="s">
        <v>204</v>
      </c>
      <c r="Q1268" t="s">
        <v>170</v>
      </c>
      <c r="R1268" t="s">
        <v>155</v>
      </c>
      <c r="T1268" t="s">
        <v>134</v>
      </c>
      <c r="U1268">
        <v>1</v>
      </c>
      <c r="W1268" t="s">
        <v>134</v>
      </c>
      <c r="X1268">
        <v>1</v>
      </c>
      <c r="Y1268" t="s">
        <v>140</v>
      </c>
      <c r="Z1268" t="s">
        <v>181</v>
      </c>
      <c r="AA1268" t="s">
        <v>147</v>
      </c>
      <c r="AB1268" t="s">
        <v>162</v>
      </c>
      <c r="AC1268" t="s">
        <v>176</v>
      </c>
      <c r="AD1268" t="s">
        <v>155</v>
      </c>
      <c r="AE1268" t="s">
        <v>129</v>
      </c>
      <c r="AF1268" t="s">
        <v>21</v>
      </c>
    </row>
    <row r="1269" spans="1:32">
      <c r="A1269" t="s">
        <v>2156</v>
      </c>
      <c r="B1269" s="37">
        <v>39955</v>
      </c>
      <c r="C1269" s="38">
        <v>39955</v>
      </c>
      <c r="D1269" s="38">
        <v>39951</v>
      </c>
      <c r="E1269" s="38">
        <v>39934</v>
      </c>
      <c r="F1269" s="39">
        <v>50</v>
      </c>
      <c r="G1269" t="s">
        <v>21</v>
      </c>
      <c r="H1269" t="s">
        <v>21</v>
      </c>
      <c r="I1269">
        <v>0</v>
      </c>
      <c r="J1269">
        <v>0</v>
      </c>
      <c r="K1269">
        <v>0</v>
      </c>
      <c r="L1269">
        <v>1</v>
      </c>
      <c r="M1269">
        <v>0</v>
      </c>
      <c r="N1269" t="s">
        <v>194</v>
      </c>
      <c r="O1269" t="s">
        <v>213</v>
      </c>
      <c r="P1269" t="s">
        <v>205</v>
      </c>
      <c r="Q1269" t="s">
        <v>170</v>
      </c>
      <c r="R1269" t="s">
        <v>155</v>
      </c>
      <c r="T1269" t="s">
        <v>134</v>
      </c>
      <c r="U1269">
        <v>1</v>
      </c>
      <c r="W1269" t="s">
        <v>134</v>
      </c>
      <c r="X1269">
        <v>1</v>
      </c>
      <c r="Y1269" t="s">
        <v>139</v>
      </c>
      <c r="Z1269" t="s">
        <v>186</v>
      </c>
      <c r="AA1269" t="s">
        <v>144</v>
      </c>
      <c r="AB1269" t="s">
        <v>162</v>
      </c>
      <c r="AC1269" t="s">
        <v>174</v>
      </c>
      <c r="AD1269" t="s">
        <v>157</v>
      </c>
      <c r="AE1269" t="s">
        <v>127</v>
      </c>
      <c r="AF1269" t="s">
        <v>153</v>
      </c>
    </row>
    <row r="1270" spans="1:32">
      <c r="A1270" t="s">
        <v>2157</v>
      </c>
      <c r="B1270" s="37">
        <v>40022</v>
      </c>
      <c r="C1270" s="38">
        <v>40022</v>
      </c>
      <c r="D1270" s="38">
        <v>40021</v>
      </c>
      <c r="E1270" s="38">
        <v>39995</v>
      </c>
      <c r="F1270" s="39">
        <v>117</v>
      </c>
      <c r="G1270" t="s">
        <v>21</v>
      </c>
      <c r="H1270" t="s">
        <v>21</v>
      </c>
      <c r="I1270">
        <v>0</v>
      </c>
      <c r="J1270">
        <v>0</v>
      </c>
      <c r="K1270">
        <v>0</v>
      </c>
      <c r="L1270">
        <v>1</v>
      </c>
      <c r="M1270">
        <v>0</v>
      </c>
      <c r="N1270" t="s">
        <v>197</v>
      </c>
      <c r="O1270" t="s">
        <v>213</v>
      </c>
      <c r="P1270" t="s">
        <v>209</v>
      </c>
      <c r="Q1270" t="s">
        <v>170</v>
      </c>
      <c r="R1270" t="s">
        <v>155</v>
      </c>
      <c r="S1270">
        <v>5</v>
      </c>
      <c r="T1270" t="s">
        <v>135</v>
      </c>
      <c r="U1270">
        <v>0</v>
      </c>
      <c r="V1270">
        <v>2</v>
      </c>
      <c r="W1270" t="s">
        <v>136</v>
      </c>
      <c r="X1270">
        <v>0</v>
      </c>
      <c r="Y1270" t="s">
        <v>139</v>
      </c>
      <c r="Z1270" t="s">
        <v>186</v>
      </c>
      <c r="AA1270" t="s">
        <v>146</v>
      </c>
      <c r="AB1270" t="s">
        <v>162</v>
      </c>
      <c r="AC1270" t="s">
        <v>175</v>
      </c>
      <c r="AD1270" t="s">
        <v>125</v>
      </c>
      <c r="AE1270" t="s">
        <v>125</v>
      </c>
      <c r="AF1270" t="s">
        <v>2158</v>
      </c>
    </row>
    <row r="1271" spans="1:32">
      <c r="A1271" t="s">
        <v>2159</v>
      </c>
      <c r="B1271" s="37">
        <v>40023</v>
      </c>
      <c r="C1271" s="38">
        <v>40023</v>
      </c>
      <c r="D1271" s="38">
        <v>40021</v>
      </c>
      <c r="E1271" s="38">
        <v>39995</v>
      </c>
      <c r="F1271" s="39">
        <v>118</v>
      </c>
      <c r="G1271" t="s">
        <v>21</v>
      </c>
      <c r="H1271" t="s">
        <v>21</v>
      </c>
      <c r="I1271">
        <v>0</v>
      </c>
      <c r="J1271">
        <v>0</v>
      </c>
      <c r="K1271">
        <v>0</v>
      </c>
      <c r="L1271">
        <v>1</v>
      </c>
      <c r="M1271">
        <v>0</v>
      </c>
      <c r="N1271" t="s">
        <v>193</v>
      </c>
      <c r="O1271" t="s">
        <v>213</v>
      </c>
      <c r="P1271" t="s">
        <v>204</v>
      </c>
      <c r="Q1271" t="s">
        <v>170</v>
      </c>
      <c r="R1271" t="s">
        <v>155</v>
      </c>
      <c r="S1271">
        <v>5</v>
      </c>
      <c r="T1271" t="s">
        <v>135</v>
      </c>
      <c r="U1271">
        <v>0</v>
      </c>
      <c r="V1271">
        <v>5</v>
      </c>
      <c r="W1271" t="s">
        <v>135</v>
      </c>
      <c r="X1271">
        <v>0</v>
      </c>
      <c r="Y1271" t="s">
        <v>140</v>
      </c>
      <c r="Z1271" t="s">
        <v>184</v>
      </c>
      <c r="AA1271" t="s">
        <v>144</v>
      </c>
      <c r="AB1271" t="s">
        <v>163</v>
      </c>
      <c r="AC1271" t="s">
        <v>974</v>
      </c>
      <c r="AD1271" t="s">
        <v>155</v>
      </c>
      <c r="AE1271" t="s">
        <v>734</v>
      </c>
      <c r="AF1271" t="s">
        <v>21</v>
      </c>
    </row>
    <row r="1272" spans="1:32">
      <c r="A1272" t="s">
        <v>2160</v>
      </c>
      <c r="B1272" s="37">
        <v>39935</v>
      </c>
      <c r="C1272" s="38">
        <v>39935</v>
      </c>
      <c r="D1272" s="38">
        <v>39930</v>
      </c>
      <c r="E1272" s="38">
        <v>39934</v>
      </c>
      <c r="F1272" s="39">
        <v>30</v>
      </c>
      <c r="G1272" t="s">
        <v>21</v>
      </c>
      <c r="H1272" t="s">
        <v>21</v>
      </c>
      <c r="I1272">
        <v>0</v>
      </c>
      <c r="J1272">
        <v>0</v>
      </c>
      <c r="K1272">
        <v>0</v>
      </c>
      <c r="L1272">
        <v>1</v>
      </c>
      <c r="M1272">
        <v>0</v>
      </c>
      <c r="N1272" t="s">
        <v>200</v>
      </c>
      <c r="O1272" t="s">
        <v>214</v>
      </c>
      <c r="P1272" t="s">
        <v>208</v>
      </c>
      <c r="Q1272" t="s">
        <v>170</v>
      </c>
      <c r="R1272" t="s">
        <v>155</v>
      </c>
      <c r="T1272" t="s">
        <v>134</v>
      </c>
      <c r="U1272">
        <v>1</v>
      </c>
      <c r="W1272" t="s">
        <v>134</v>
      </c>
      <c r="X1272">
        <v>1</v>
      </c>
      <c r="Y1272" t="s">
        <v>139</v>
      </c>
      <c r="Z1272" t="s">
        <v>186</v>
      </c>
      <c r="AA1272" t="s">
        <v>147</v>
      </c>
      <c r="AB1272" t="s">
        <v>163</v>
      </c>
      <c r="AC1272" t="s">
        <v>2161</v>
      </c>
      <c r="AD1272" t="s">
        <v>161</v>
      </c>
      <c r="AE1272" t="s">
        <v>1216</v>
      </c>
      <c r="AF1272" t="s">
        <v>21</v>
      </c>
    </row>
    <row r="1273" spans="1:32">
      <c r="A1273" t="s">
        <v>2162</v>
      </c>
      <c r="B1273" s="37">
        <v>39997</v>
      </c>
      <c r="C1273" s="38">
        <v>39997</v>
      </c>
      <c r="D1273" s="38">
        <v>39993</v>
      </c>
      <c r="E1273" s="38">
        <v>39995</v>
      </c>
      <c r="F1273" s="39">
        <v>92</v>
      </c>
      <c r="G1273" t="s">
        <v>21</v>
      </c>
      <c r="H1273" t="s">
        <v>21</v>
      </c>
      <c r="I1273">
        <v>0</v>
      </c>
      <c r="J1273">
        <v>0</v>
      </c>
      <c r="K1273">
        <v>0</v>
      </c>
      <c r="L1273">
        <v>1</v>
      </c>
      <c r="M1273">
        <v>0</v>
      </c>
      <c r="N1273" t="s">
        <v>193</v>
      </c>
      <c r="O1273" t="s">
        <v>213</v>
      </c>
      <c r="P1273" t="s">
        <v>204</v>
      </c>
      <c r="Q1273" t="s">
        <v>170</v>
      </c>
      <c r="R1273" t="s">
        <v>155</v>
      </c>
      <c r="T1273" t="s">
        <v>134</v>
      </c>
      <c r="U1273">
        <v>1</v>
      </c>
      <c r="V1273">
        <v>4</v>
      </c>
      <c r="W1273" t="s">
        <v>137</v>
      </c>
      <c r="X1273">
        <v>0</v>
      </c>
      <c r="Y1273" t="s">
        <v>140</v>
      </c>
      <c r="Z1273" t="s">
        <v>183</v>
      </c>
      <c r="AA1273" t="s">
        <v>149</v>
      </c>
      <c r="AB1273" t="s">
        <v>162</v>
      </c>
      <c r="AC1273" t="s">
        <v>550</v>
      </c>
      <c r="AD1273" t="s">
        <v>156</v>
      </c>
      <c r="AE1273" t="s">
        <v>120</v>
      </c>
      <c r="AF1273" t="s">
        <v>2163</v>
      </c>
    </row>
    <row r="1274" spans="1:32">
      <c r="A1274" t="s">
        <v>2164</v>
      </c>
      <c r="B1274" s="37">
        <v>39907</v>
      </c>
      <c r="C1274" s="38">
        <v>39907</v>
      </c>
      <c r="D1274" s="38">
        <v>39902</v>
      </c>
      <c r="E1274" s="38">
        <v>39904</v>
      </c>
      <c r="F1274" s="39">
        <v>2</v>
      </c>
      <c r="G1274" t="s">
        <v>21</v>
      </c>
      <c r="H1274" t="s">
        <v>21</v>
      </c>
      <c r="I1274">
        <v>0</v>
      </c>
      <c r="J1274">
        <v>0</v>
      </c>
      <c r="K1274">
        <v>0</v>
      </c>
      <c r="L1274">
        <v>1</v>
      </c>
      <c r="M1274">
        <v>0</v>
      </c>
      <c r="N1274" t="s">
        <v>195</v>
      </c>
      <c r="O1274" t="s">
        <v>213</v>
      </c>
      <c r="P1274" t="s">
        <v>206</v>
      </c>
      <c r="Q1274" t="s">
        <v>170</v>
      </c>
      <c r="R1274" t="s">
        <v>155</v>
      </c>
      <c r="T1274" t="s">
        <v>134</v>
      </c>
      <c r="U1274">
        <v>1</v>
      </c>
      <c r="W1274" t="s">
        <v>134</v>
      </c>
      <c r="X1274">
        <v>1</v>
      </c>
      <c r="Y1274" t="s">
        <v>139</v>
      </c>
      <c r="Z1274" t="s">
        <v>183</v>
      </c>
      <c r="AA1274" t="s">
        <v>150</v>
      </c>
      <c r="AB1274" t="s">
        <v>163</v>
      </c>
      <c r="AC1274" t="s">
        <v>21</v>
      </c>
      <c r="AD1274" t="s">
        <v>155</v>
      </c>
      <c r="AE1274" t="s">
        <v>692</v>
      </c>
      <c r="AF1274" t="s">
        <v>21</v>
      </c>
    </row>
    <row r="1275" spans="1:32">
      <c r="A1275" t="s">
        <v>2165</v>
      </c>
      <c r="B1275" s="37">
        <v>39953</v>
      </c>
      <c r="C1275" s="38">
        <v>39953</v>
      </c>
      <c r="D1275" s="38">
        <v>39951</v>
      </c>
      <c r="E1275" s="38">
        <v>39934</v>
      </c>
      <c r="F1275" s="39">
        <v>48</v>
      </c>
      <c r="G1275" t="s">
        <v>525</v>
      </c>
      <c r="H1275" t="s">
        <v>17</v>
      </c>
      <c r="I1275">
        <v>0</v>
      </c>
      <c r="J1275">
        <v>0</v>
      </c>
      <c r="K1275">
        <v>1</v>
      </c>
      <c r="L1275">
        <v>0</v>
      </c>
      <c r="M1275">
        <v>0</v>
      </c>
      <c r="N1275" t="s">
        <v>195</v>
      </c>
      <c r="O1275" t="s">
        <v>213</v>
      </c>
      <c r="P1275" t="s">
        <v>206</v>
      </c>
      <c r="Q1275" t="s">
        <v>170</v>
      </c>
      <c r="R1275" t="s">
        <v>155</v>
      </c>
      <c r="T1275" t="s">
        <v>134</v>
      </c>
      <c r="U1275">
        <v>1</v>
      </c>
      <c r="W1275" t="s">
        <v>134</v>
      </c>
      <c r="X1275">
        <v>1</v>
      </c>
      <c r="Y1275" t="s">
        <v>139</v>
      </c>
      <c r="Z1275" t="s">
        <v>413</v>
      </c>
      <c r="AA1275" t="s">
        <v>147</v>
      </c>
      <c r="AB1275" t="s">
        <v>163</v>
      </c>
      <c r="AC1275" t="s">
        <v>173</v>
      </c>
      <c r="AD1275" t="s">
        <v>161</v>
      </c>
      <c r="AE1275" t="s">
        <v>939</v>
      </c>
      <c r="AF1275" t="s">
        <v>21</v>
      </c>
    </row>
    <row r="1276" spans="1:32">
      <c r="A1276" t="s">
        <v>2166</v>
      </c>
      <c r="B1276" s="37">
        <v>39927</v>
      </c>
      <c r="C1276" s="38">
        <v>39927</v>
      </c>
      <c r="D1276" s="38">
        <v>39923</v>
      </c>
      <c r="E1276" s="38">
        <v>39904</v>
      </c>
      <c r="F1276" s="39">
        <v>22</v>
      </c>
      <c r="G1276" t="s">
        <v>21</v>
      </c>
      <c r="H1276" t="s">
        <v>21</v>
      </c>
      <c r="I1276">
        <v>0</v>
      </c>
      <c r="J1276">
        <v>0</v>
      </c>
      <c r="K1276">
        <v>0</v>
      </c>
      <c r="L1276">
        <v>1</v>
      </c>
      <c r="M1276">
        <v>0</v>
      </c>
      <c r="N1276" t="s">
        <v>194</v>
      </c>
      <c r="O1276" t="s">
        <v>213</v>
      </c>
      <c r="P1276" t="s">
        <v>205</v>
      </c>
      <c r="Q1276" t="s">
        <v>170</v>
      </c>
      <c r="R1276" t="s">
        <v>155</v>
      </c>
      <c r="T1276" t="s">
        <v>134</v>
      </c>
      <c r="U1276">
        <v>1</v>
      </c>
      <c r="W1276" t="s">
        <v>134</v>
      </c>
      <c r="X1276">
        <v>1</v>
      </c>
      <c r="Y1276" t="s">
        <v>139</v>
      </c>
      <c r="Z1276" t="s">
        <v>413</v>
      </c>
      <c r="AA1276" t="s">
        <v>147</v>
      </c>
      <c r="AB1276" t="s">
        <v>163</v>
      </c>
      <c r="AC1276" t="s">
        <v>173</v>
      </c>
      <c r="AD1276" t="s">
        <v>155</v>
      </c>
      <c r="AE1276" t="s">
        <v>501</v>
      </c>
      <c r="AF1276" t="s">
        <v>21</v>
      </c>
    </row>
    <row r="1277" spans="1:32">
      <c r="A1277" t="s">
        <v>2167</v>
      </c>
      <c r="B1277" s="37">
        <v>39923</v>
      </c>
      <c r="C1277" s="38">
        <v>39923</v>
      </c>
      <c r="D1277" s="38">
        <v>39923</v>
      </c>
      <c r="E1277" s="38">
        <v>39904</v>
      </c>
      <c r="F1277" s="39">
        <v>18</v>
      </c>
      <c r="G1277" t="s">
        <v>21</v>
      </c>
      <c r="H1277" t="s">
        <v>21</v>
      </c>
      <c r="I1277">
        <v>0</v>
      </c>
      <c r="J1277">
        <v>0</v>
      </c>
      <c r="K1277">
        <v>0</v>
      </c>
      <c r="L1277">
        <v>1</v>
      </c>
      <c r="M1277">
        <v>0</v>
      </c>
      <c r="N1277" t="s">
        <v>201</v>
      </c>
      <c r="O1277" t="s">
        <v>214</v>
      </c>
      <c r="P1277" t="s">
        <v>204</v>
      </c>
      <c r="Q1277" t="s">
        <v>170</v>
      </c>
      <c r="R1277" t="s">
        <v>155</v>
      </c>
      <c r="T1277" t="s">
        <v>134</v>
      </c>
      <c r="U1277">
        <v>1</v>
      </c>
      <c r="W1277" t="s">
        <v>134</v>
      </c>
      <c r="X1277">
        <v>1</v>
      </c>
      <c r="Y1277" t="s">
        <v>140</v>
      </c>
      <c r="Z1277" t="s">
        <v>413</v>
      </c>
      <c r="AA1277" t="s">
        <v>142</v>
      </c>
      <c r="AB1277" t="s">
        <v>162</v>
      </c>
      <c r="AC1277" t="s">
        <v>21</v>
      </c>
      <c r="AD1277" t="s">
        <v>159</v>
      </c>
      <c r="AE1277" t="s">
        <v>126</v>
      </c>
      <c r="AF1277" t="s">
        <v>601</v>
      </c>
    </row>
    <row r="1278" spans="1:32">
      <c r="A1278" t="s">
        <v>2168</v>
      </c>
      <c r="B1278" s="37">
        <v>39947</v>
      </c>
      <c r="C1278" s="38">
        <v>39947</v>
      </c>
      <c r="D1278" s="38">
        <v>39944</v>
      </c>
      <c r="E1278" s="38">
        <v>39934</v>
      </c>
      <c r="F1278" s="39">
        <v>42</v>
      </c>
      <c r="G1278" t="s">
        <v>21</v>
      </c>
      <c r="H1278" t="s">
        <v>21</v>
      </c>
      <c r="I1278">
        <v>0</v>
      </c>
      <c r="J1278">
        <v>0</v>
      </c>
      <c r="K1278">
        <v>0</v>
      </c>
      <c r="L1278">
        <v>1</v>
      </c>
      <c r="M1278">
        <v>0</v>
      </c>
      <c r="N1278" t="s">
        <v>194</v>
      </c>
      <c r="O1278" t="s">
        <v>213</v>
      </c>
      <c r="P1278" t="s">
        <v>205</v>
      </c>
      <c r="Q1278" t="s">
        <v>170</v>
      </c>
      <c r="R1278" t="s">
        <v>155</v>
      </c>
      <c r="T1278" t="s">
        <v>134</v>
      </c>
      <c r="U1278">
        <v>1</v>
      </c>
      <c r="W1278" t="s">
        <v>134</v>
      </c>
      <c r="X1278">
        <v>1</v>
      </c>
      <c r="Y1278" t="s">
        <v>139</v>
      </c>
      <c r="Z1278" t="s">
        <v>179</v>
      </c>
      <c r="AA1278" t="s">
        <v>147</v>
      </c>
      <c r="AB1278" t="s">
        <v>165</v>
      </c>
      <c r="AC1278" t="s">
        <v>2169</v>
      </c>
      <c r="AD1278" t="s">
        <v>158</v>
      </c>
      <c r="AE1278" t="s">
        <v>122</v>
      </c>
      <c r="AF1278" t="s">
        <v>21</v>
      </c>
    </row>
    <row r="1279" spans="1:32">
      <c r="A1279" t="s">
        <v>2170</v>
      </c>
      <c r="B1279" s="37">
        <v>40007</v>
      </c>
      <c r="C1279" s="38">
        <v>40007</v>
      </c>
      <c r="D1279" s="38">
        <v>40007</v>
      </c>
      <c r="E1279" s="38">
        <v>39995</v>
      </c>
      <c r="F1279" s="39">
        <v>102</v>
      </c>
      <c r="G1279" t="s">
        <v>383</v>
      </c>
      <c r="H1279" t="s">
        <v>17</v>
      </c>
      <c r="I1279">
        <v>0</v>
      </c>
      <c r="J1279">
        <v>0</v>
      </c>
      <c r="K1279">
        <v>1</v>
      </c>
      <c r="L1279">
        <v>0</v>
      </c>
      <c r="M1279">
        <v>0</v>
      </c>
      <c r="N1279" t="s">
        <v>195</v>
      </c>
      <c r="O1279" t="s">
        <v>213</v>
      </c>
      <c r="P1279" t="s">
        <v>206</v>
      </c>
      <c r="Q1279" t="s">
        <v>170</v>
      </c>
      <c r="R1279" t="s">
        <v>155</v>
      </c>
      <c r="S1279">
        <v>5</v>
      </c>
      <c r="T1279" t="s">
        <v>135</v>
      </c>
      <c r="U1279">
        <v>0</v>
      </c>
      <c r="V1279">
        <v>3</v>
      </c>
      <c r="W1279" t="s">
        <v>137</v>
      </c>
      <c r="X1279">
        <v>0</v>
      </c>
      <c r="Y1279" t="s">
        <v>139</v>
      </c>
      <c r="Z1279" t="s">
        <v>179</v>
      </c>
      <c r="AA1279" t="s">
        <v>144</v>
      </c>
      <c r="AB1279" t="s">
        <v>162</v>
      </c>
      <c r="AC1279" t="s">
        <v>2171</v>
      </c>
      <c r="AD1279" t="s">
        <v>517</v>
      </c>
      <c r="AE1279" t="s">
        <v>2172</v>
      </c>
      <c r="AF1279" t="s">
        <v>2173</v>
      </c>
    </row>
    <row r="1280" spans="1:32">
      <c r="A1280" t="s">
        <v>2174</v>
      </c>
      <c r="B1280" s="37">
        <v>39980</v>
      </c>
      <c r="C1280" s="38">
        <v>39980</v>
      </c>
      <c r="D1280" s="38">
        <v>39979</v>
      </c>
      <c r="E1280" s="38">
        <v>39965</v>
      </c>
      <c r="F1280" s="39">
        <v>75</v>
      </c>
      <c r="G1280" t="s">
        <v>21</v>
      </c>
      <c r="H1280" t="s">
        <v>21</v>
      </c>
      <c r="I1280">
        <v>0</v>
      </c>
      <c r="J1280">
        <v>0</v>
      </c>
      <c r="K1280">
        <v>0</v>
      </c>
      <c r="L1280">
        <v>1</v>
      </c>
      <c r="M1280">
        <v>0</v>
      </c>
      <c r="N1280" t="s">
        <v>193</v>
      </c>
      <c r="O1280" t="s">
        <v>213</v>
      </c>
      <c r="P1280" t="s">
        <v>204</v>
      </c>
      <c r="Q1280" t="s">
        <v>170</v>
      </c>
      <c r="R1280" t="s">
        <v>155</v>
      </c>
      <c r="T1280" t="s">
        <v>134</v>
      </c>
      <c r="U1280">
        <v>1</v>
      </c>
      <c r="W1280" t="s">
        <v>134</v>
      </c>
      <c r="X1280">
        <v>1</v>
      </c>
      <c r="Y1280" t="s">
        <v>140</v>
      </c>
      <c r="Z1280" t="s">
        <v>189</v>
      </c>
      <c r="AA1280" t="s">
        <v>142</v>
      </c>
      <c r="AB1280" t="s">
        <v>162</v>
      </c>
      <c r="AC1280" t="s">
        <v>1184</v>
      </c>
      <c r="AD1280" t="s">
        <v>160</v>
      </c>
      <c r="AE1280" t="s">
        <v>126</v>
      </c>
      <c r="AF1280" t="s">
        <v>665</v>
      </c>
    </row>
    <row r="1281" spans="1:32">
      <c r="A1281" t="s">
        <v>2175</v>
      </c>
      <c r="B1281" s="37">
        <v>39974</v>
      </c>
      <c r="C1281" s="38">
        <v>39974</v>
      </c>
      <c r="D1281" s="38">
        <v>39972</v>
      </c>
      <c r="E1281" s="38">
        <v>39965</v>
      </c>
      <c r="F1281" s="39">
        <v>69</v>
      </c>
      <c r="G1281" t="s">
        <v>496</v>
      </c>
      <c r="H1281" t="s">
        <v>13</v>
      </c>
      <c r="I1281">
        <v>0</v>
      </c>
      <c r="J1281">
        <v>1</v>
      </c>
      <c r="K1281">
        <v>0</v>
      </c>
      <c r="L1281">
        <v>0</v>
      </c>
      <c r="M1281">
        <v>1</v>
      </c>
      <c r="N1281" t="s">
        <v>193</v>
      </c>
      <c r="O1281" t="s">
        <v>213</v>
      </c>
      <c r="P1281" t="s">
        <v>204</v>
      </c>
      <c r="Q1281" t="s">
        <v>170</v>
      </c>
      <c r="R1281" t="s">
        <v>155</v>
      </c>
      <c r="T1281" t="s">
        <v>134</v>
      </c>
      <c r="U1281">
        <v>1</v>
      </c>
      <c r="W1281" t="s">
        <v>134</v>
      </c>
      <c r="X1281">
        <v>1</v>
      </c>
      <c r="Y1281" t="s">
        <v>140</v>
      </c>
      <c r="Z1281" t="s">
        <v>179</v>
      </c>
      <c r="AA1281" t="s">
        <v>148</v>
      </c>
      <c r="AB1281" t="s">
        <v>162</v>
      </c>
      <c r="AC1281" t="s">
        <v>2176</v>
      </c>
      <c r="AD1281" t="s">
        <v>517</v>
      </c>
      <c r="AE1281" t="s">
        <v>123</v>
      </c>
      <c r="AF1281" t="s">
        <v>123</v>
      </c>
    </row>
    <row r="1282" spans="1:32">
      <c r="A1282" t="s">
        <v>2177</v>
      </c>
      <c r="B1282" s="37">
        <v>40039</v>
      </c>
      <c r="C1282" s="38">
        <v>40039</v>
      </c>
      <c r="D1282" s="38">
        <v>40035</v>
      </c>
      <c r="E1282" s="38">
        <v>40026</v>
      </c>
      <c r="F1282" s="39">
        <v>134</v>
      </c>
      <c r="G1282" t="s">
        <v>21</v>
      </c>
      <c r="H1282" t="s">
        <v>21</v>
      </c>
      <c r="I1282">
        <v>0</v>
      </c>
      <c r="J1282">
        <v>0</v>
      </c>
      <c r="K1282">
        <v>0</v>
      </c>
      <c r="L1282">
        <v>1</v>
      </c>
      <c r="M1282">
        <v>0</v>
      </c>
      <c r="N1282" t="s">
        <v>193</v>
      </c>
      <c r="O1282" t="s">
        <v>213</v>
      </c>
      <c r="P1282" t="s">
        <v>204</v>
      </c>
      <c r="Q1282" t="s">
        <v>170</v>
      </c>
      <c r="R1282" t="s">
        <v>155</v>
      </c>
      <c r="S1282">
        <v>5</v>
      </c>
      <c r="T1282" t="s">
        <v>135</v>
      </c>
      <c r="U1282">
        <v>0</v>
      </c>
      <c r="V1282">
        <v>4</v>
      </c>
      <c r="W1282" t="s">
        <v>137</v>
      </c>
      <c r="X1282">
        <v>0</v>
      </c>
      <c r="Y1282" t="s">
        <v>140</v>
      </c>
      <c r="Z1282" t="s">
        <v>179</v>
      </c>
      <c r="AA1282" t="s">
        <v>146</v>
      </c>
      <c r="AB1282" t="s">
        <v>162</v>
      </c>
      <c r="AC1282" t="s">
        <v>175</v>
      </c>
      <c r="AD1282" t="s">
        <v>155</v>
      </c>
      <c r="AE1282" t="s">
        <v>129</v>
      </c>
      <c r="AF1282" t="s">
        <v>21</v>
      </c>
    </row>
    <row r="1283" spans="1:32">
      <c r="A1283" t="s">
        <v>2178</v>
      </c>
      <c r="B1283" s="37">
        <v>40060</v>
      </c>
      <c r="C1283" s="38">
        <v>40060</v>
      </c>
      <c r="D1283" s="38">
        <v>40056</v>
      </c>
      <c r="E1283" s="38">
        <v>40057</v>
      </c>
      <c r="F1283" s="39">
        <v>155</v>
      </c>
      <c r="G1283" t="s">
        <v>21</v>
      </c>
      <c r="H1283" t="s">
        <v>21</v>
      </c>
      <c r="I1283">
        <v>0</v>
      </c>
      <c r="J1283">
        <v>0</v>
      </c>
      <c r="K1283">
        <v>0</v>
      </c>
      <c r="L1283">
        <v>1</v>
      </c>
      <c r="M1283">
        <v>0</v>
      </c>
      <c r="N1283" t="s">
        <v>195</v>
      </c>
      <c r="O1283" t="s">
        <v>213</v>
      </c>
      <c r="P1283" t="s">
        <v>206</v>
      </c>
      <c r="Q1283" t="s">
        <v>170</v>
      </c>
      <c r="R1283" t="s">
        <v>155</v>
      </c>
      <c r="S1283">
        <v>5</v>
      </c>
      <c r="T1283" t="s">
        <v>135</v>
      </c>
      <c r="U1283">
        <v>0</v>
      </c>
      <c r="V1283">
        <v>5</v>
      </c>
      <c r="W1283" t="s">
        <v>135</v>
      </c>
      <c r="X1283">
        <v>0</v>
      </c>
      <c r="Y1283" t="s">
        <v>139</v>
      </c>
      <c r="Z1283" t="s">
        <v>185</v>
      </c>
      <c r="AA1283" t="s">
        <v>143</v>
      </c>
      <c r="AB1283" t="s">
        <v>162</v>
      </c>
      <c r="AC1283" t="s">
        <v>21</v>
      </c>
      <c r="AD1283" t="s">
        <v>159</v>
      </c>
      <c r="AE1283" t="s">
        <v>126</v>
      </c>
      <c r="AF1283" t="s">
        <v>601</v>
      </c>
    </row>
    <row r="1284" spans="1:32">
      <c r="A1284" t="s">
        <v>2179</v>
      </c>
      <c r="B1284" s="37">
        <v>40035</v>
      </c>
      <c r="C1284" s="38">
        <v>40035</v>
      </c>
      <c r="D1284" s="38">
        <v>40035</v>
      </c>
      <c r="E1284" s="38">
        <v>40026</v>
      </c>
      <c r="F1284" s="39">
        <v>130</v>
      </c>
      <c r="G1284" t="s">
        <v>380</v>
      </c>
      <c r="H1284" t="s">
        <v>17</v>
      </c>
      <c r="I1284">
        <v>0</v>
      </c>
      <c r="J1284">
        <v>0</v>
      </c>
      <c r="K1284">
        <v>1</v>
      </c>
      <c r="L1284">
        <v>0</v>
      </c>
      <c r="M1284">
        <v>0</v>
      </c>
      <c r="N1284" t="s">
        <v>197</v>
      </c>
      <c r="O1284" t="s">
        <v>213</v>
      </c>
      <c r="P1284" t="s">
        <v>209</v>
      </c>
      <c r="Q1284" t="s">
        <v>170</v>
      </c>
      <c r="R1284" t="s">
        <v>155</v>
      </c>
      <c r="S1284">
        <v>5</v>
      </c>
      <c r="T1284" t="s">
        <v>135</v>
      </c>
      <c r="U1284">
        <v>0</v>
      </c>
      <c r="V1284">
        <v>5</v>
      </c>
      <c r="W1284" t="s">
        <v>135</v>
      </c>
      <c r="X1284">
        <v>0</v>
      </c>
      <c r="Y1284" t="s">
        <v>139</v>
      </c>
      <c r="Z1284" t="s">
        <v>179</v>
      </c>
      <c r="AA1284" t="s">
        <v>144</v>
      </c>
      <c r="AB1284" t="s">
        <v>163</v>
      </c>
      <c r="AC1284" t="s">
        <v>173</v>
      </c>
      <c r="AD1284" t="s">
        <v>155</v>
      </c>
      <c r="AE1284" t="s">
        <v>125</v>
      </c>
      <c r="AF1284" t="s">
        <v>21</v>
      </c>
    </row>
    <row r="1285" spans="1:32">
      <c r="A1285" t="s">
        <v>2180</v>
      </c>
      <c r="B1285" s="37">
        <v>39979</v>
      </c>
      <c r="C1285" s="38">
        <v>39979</v>
      </c>
      <c r="D1285" s="38">
        <v>39979</v>
      </c>
      <c r="E1285" s="38">
        <v>39965</v>
      </c>
      <c r="F1285" s="39">
        <v>74</v>
      </c>
      <c r="G1285" t="s">
        <v>21</v>
      </c>
      <c r="H1285" t="s">
        <v>21</v>
      </c>
      <c r="I1285">
        <v>0</v>
      </c>
      <c r="J1285">
        <v>0</v>
      </c>
      <c r="K1285">
        <v>0</v>
      </c>
      <c r="L1285">
        <v>1</v>
      </c>
      <c r="M1285">
        <v>0</v>
      </c>
      <c r="N1285" t="s">
        <v>195</v>
      </c>
      <c r="O1285" t="s">
        <v>213</v>
      </c>
      <c r="P1285" t="s">
        <v>206</v>
      </c>
      <c r="Q1285" t="s">
        <v>170</v>
      </c>
      <c r="R1285" t="s">
        <v>155</v>
      </c>
      <c r="T1285" t="s">
        <v>134</v>
      </c>
      <c r="U1285">
        <v>1</v>
      </c>
      <c r="W1285" t="s">
        <v>134</v>
      </c>
      <c r="X1285">
        <v>1</v>
      </c>
      <c r="Y1285" t="s">
        <v>139</v>
      </c>
      <c r="Z1285" t="s">
        <v>189</v>
      </c>
      <c r="AA1285" t="s">
        <v>145</v>
      </c>
      <c r="AB1285" t="s">
        <v>163</v>
      </c>
      <c r="AC1285" t="s">
        <v>173</v>
      </c>
      <c r="AD1285" t="s">
        <v>155</v>
      </c>
      <c r="AE1285" t="s">
        <v>406</v>
      </c>
      <c r="AF1285" t="s">
        <v>21</v>
      </c>
    </row>
    <row r="1286" spans="1:32">
      <c r="A1286" t="s">
        <v>2181</v>
      </c>
      <c r="B1286" s="37">
        <v>39931</v>
      </c>
      <c r="C1286" s="38">
        <v>39931</v>
      </c>
      <c r="D1286" s="38">
        <v>39930</v>
      </c>
      <c r="E1286" s="38">
        <v>39904</v>
      </c>
      <c r="F1286" s="39">
        <v>26</v>
      </c>
      <c r="G1286" t="s">
        <v>21</v>
      </c>
      <c r="H1286" t="s">
        <v>21</v>
      </c>
      <c r="I1286">
        <v>0</v>
      </c>
      <c r="J1286">
        <v>0</v>
      </c>
      <c r="K1286">
        <v>0</v>
      </c>
      <c r="L1286">
        <v>1</v>
      </c>
      <c r="M1286">
        <v>0</v>
      </c>
      <c r="N1286" t="s">
        <v>201</v>
      </c>
      <c r="O1286" t="s">
        <v>214</v>
      </c>
      <c r="P1286" t="s">
        <v>204</v>
      </c>
      <c r="Q1286" t="s">
        <v>170</v>
      </c>
      <c r="R1286" t="s">
        <v>155</v>
      </c>
      <c r="T1286" t="s">
        <v>134</v>
      </c>
      <c r="U1286">
        <v>1</v>
      </c>
      <c r="W1286" t="s">
        <v>134</v>
      </c>
      <c r="X1286">
        <v>1</v>
      </c>
      <c r="Y1286" t="s">
        <v>140</v>
      </c>
      <c r="Z1286" t="s">
        <v>179</v>
      </c>
      <c r="AA1286" t="s">
        <v>142</v>
      </c>
      <c r="AB1286" t="s">
        <v>163</v>
      </c>
      <c r="AC1286" t="s">
        <v>2182</v>
      </c>
      <c r="AD1286" t="s">
        <v>155</v>
      </c>
      <c r="AE1286" t="s">
        <v>692</v>
      </c>
      <c r="AF1286" t="s">
        <v>21</v>
      </c>
    </row>
    <row r="1287" spans="1:32">
      <c r="A1287" t="s">
        <v>2183</v>
      </c>
      <c r="B1287" s="37">
        <v>40000</v>
      </c>
      <c r="C1287" s="38">
        <v>40000</v>
      </c>
      <c r="D1287" s="38">
        <v>40000</v>
      </c>
      <c r="E1287" s="38">
        <v>39995</v>
      </c>
      <c r="F1287" s="39">
        <v>95</v>
      </c>
      <c r="G1287" t="s">
        <v>21</v>
      </c>
      <c r="H1287" t="s">
        <v>21</v>
      </c>
      <c r="I1287">
        <v>0</v>
      </c>
      <c r="J1287">
        <v>0</v>
      </c>
      <c r="K1287">
        <v>0</v>
      </c>
      <c r="L1287">
        <v>1</v>
      </c>
      <c r="M1287">
        <v>0</v>
      </c>
      <c r="N1287" t="s">
        <v>193</v>
      </c>
      <c r="O1287" t="s">
        <v>213</v>
      </c>
      <c r="P1287" t="s">
        <v>204</v>
      </c>
      <c r="Q1287" t="s">
        <v>170</v>
      </c>
      <c r="R1287" t="s">
        <v>155</v>
      </c>
      <c r="T1287" t="s">
        <v>134</v>
      </c>
      <c r="U1287">
        <v>1</v>
      </c>
      <c r="V1287">
        <v>3</v>
      </c>
      <c r="W1287" t="s">
        <v>137</v>
      </c>
      <c r="X1287">
        <v>0</v>
      </c>
      <c r="Y1287" t="s">
        <v>140</v>
      </c>
      <c r="Z1287" t="s">
        <v>179</v>
      </c>
      <c r="AA1287" t="s">
        <v>144</v>
      </c>
      <c r="AB1287" t="s">
        <v>162</v>
      </c>
      <c r="AC1287" t="s">
        <v>175</v>
      </c>
      <c r="AD1287" t="s">
        <v>155</v>
      </c>
      <c r="AE1287" t="s">
        <v>130</v>
      </c>
      <c r="AF1287" t="s">
        <v>21</v>
      </c>
    </row>
    <row r="1288" spans="1:32">
      <c r="A1288" t="s">
        <v>2184</v>
      </c>
      <c r="B1288" s="37">
        <v>40020</v>
      </c>
      <c r="C1288" s="38">
        <v>40020</v>
      </c>
      <c r="D1288" s="38">
        <v>40014</v>
      </c>
      <c r="E1288" s="38">
        <v>39995</v>
      </c>
      <c r="F1288" s="39">
        <v>115</v>
      </c>
      <c r="G1288" t="s">
        <v>21</v>
      </c>
      <c r="H1288" t="s">
        <v>21</v>
      </c>
      <c r="I1288">
        <v>0</v>
      </c>
      <c r="J1288">
        <v>0</v>
      </c>
      <c r="K1288">
        <v>0</v>
      </c>
      <c r="L1288">
        <v>1</v>
      </c>
      <c r="M1288">
        <v>0</v>
      </c>
      <c r="N1288" t="s">
        <v>197</v>
      </c>
      <c r="O1288" t="s">
        <v>213</v>
      </c>
      <c r="P1288" t="s">
        <v>209</v>
      </c>
      <c r="Q1288" t="s">
        <v>170</v>
      </c>
      <c r="R1288" t="s">
        <v>155</v>
      </c>
      <c r="S1288">
        <v>4</v>
      </c>
      <c r="T1288" t="s">
        <v>137</v>
      </c>
      <c r="U1288">
        <v>0</v>
      </c>
      <c r="V1288">
        <v>5</v>
      </c>
      <c r="W1288" t="s">
        <v>135</v>
      </c>
      <c r="X1288">
        <v>0</v>
      </c>
      <c r="Y1288" t="s">
        <v>139</v>
      </c>
      <c r="Z1288" t="s">
        <v>189</v>
      </c>
      <c r="AA1288" t="s">
        <v>148</v>
      </c>
      <c r="AB1288" t="s">
        <v>162</v>
      </c>
      <c r="AC1288" t="s">
        <v>174</v>
      </c>
      <c r="AD1288" t="s">
        <v>156</v>
      </c>
      <c r="AE1288" t="s">
        <v>120</v>
      </c>
      <c r="AF1288" t="s">
        <v>715</v>
      </c>
    </row>
    <row r="1289" spans="1:32">
      <c r="A1289" t="s">
        <v>2185</v>
      </c>
      <c r="B1289" s="37">
        <v>40028</v>
      </c>
      <c r="C1289" s="38">
        <v>40028</v>
      </c>
      <c r="D1289" s="38">
        <v>40028</v>
      </c>
      <c r="E1289" s="38">
        <v>40026</v>
      </c>
      <c r="F1289" s="39">
        <v>123</v>
      </c>
      <c r="G1289" t="s">
        <v>21</v>
      </c>
      <c r="H1289" t="s">
        <v>21</v>
      </c>
      <c r="I1289">
        <v>0</v>
      </c>
      <c r="J1289">
        <v>0</v>
      </c>
      <c r="K1289">
        <v>0</v>
      </c>
      <c r="L1289">
        <v>1</v>
      </c>
      <c r="M1289">
        <v>0</v>
      </c>
      <c r="N1289" t="s">
        <v>193</v>
      </c>
      <c r="O1289" t="s">
        <v>213</v>
      </c>
      <c r="P1289" t="s">
        <v>204</v>
      </c>
      <c r="Q1289" t="s">
        <v>170</v>
      </c>
      <c r="R1289" t="s">
        <v>155</v>
      </c>
      <c r="S1289">
        <v>5</v>
      </c>
      <c r="T1289" t="s">
        <v>135</v>
      </c>
      <c r="U1289">
        <v>0</v>
      </c>
      <c r="V1289">
        <v>3</v>
      </c>
      <c r="W1289" t="s">
        <v>137</v>
      </c>
      <c r="X1289">
        <v>0</v>
      </c>
      <c r="Y1289" t="s">
        <v>140</v>
      </c>
      <c r="Z1289" t="s">
        <v>189</v>
      </c>
      <c r="AA1289" t="s">
        <v>145</v>
      </c>
      <c r="AB1289" t="s">
        <v>162</v>
      </c>
      <c r="AC1289" t="s">
        <v>659</v>
      </c>
      <c r="AD1289" t="s">
        <v>156</v>
      </c>
      <c r="AE1289" t="s">
        <v>120</v>
      </c>
      <c r="AF1289" t="s">
        <v>1434</v>
      </c>
    </row>
    <row r="1290" spans="1:32">
      <c r="A1290" t="s">
        <v>2186</v>
      </c>
      <c r="B1290" s="37">
        <v>39913</v>
      </c>
      <c r="C1290" s="38">
        <v>39913</v>
      </c>
      <c r="D1290" s="38">
        <v>39909</v>
      </c>
      <c r="E1290" s="38">
        <v>39904</v>
      </c>
      <c r="F1290" s="39">
        <v>8</v>
      </c>
      <c r="G1290" t="s">
        <v>21</v>
      </c>
      <c r="H1290" t="s">
        <v>21</v>
      </c>
      <c r="I1290">
        <v>0</v>
      </c>
      <c r="J1290">
        <v>0</v>
      </c>
      <c r="K1290">
        <v>0</v>
      </c>
      <c r="L1290">
        <v>1</v>
      </c>
      <c r="M1290">
        <v>0</v>
      </c>
      <c r="N1290" t="s">
        <v>199</v>
      </c>
      <c r="O1290" t="s">
        <v>213</v>
      </c>
      <c r="P1290" t="s">
        <v>210</v>
      </c>
      <c r="Q1290" t="s">
        <v>170</v>
      </c>
      <c r="R1290" t="s">
        <v>155</v>
      </c>
      <c r="T1290" t="s">
        <v>134</v>
      </c>
      <c r="U1290">
        <v>1</v>
      </c>
      <c r="W1290" t="s">
        <v>134</v>
      </c>
      <c r="X1290">
        <v>1</v>
      </c>
      <c r="Y1290" t="s">
        <v>139</v>
      </c>
      <c r="Z1290" t="s">
        <v>179</v>
      </c>
      <c r="AA1290" t="s">
        <v>142</v>
      </c>
      <c r="AB1290" t="s">
        <v>165</v>
      </c>
      <c r="AC1290" t="s">
        <v>2187</v>
      </c>
      <c r="AD1290" t="s">
        <v>158</v>
      </c>
      <c r="AE1290" t="s">
        <v>122</v>
      </c>
      <c r="AF1290" t="s">
        <v>21</v>
      </c>
    </row>
    <row r="1291" spans="1:32">
      <c r="A1291" t="s">
        <v>2188</v>
      </c>
      <c r="B1291" s="37">
        <v>39925</v>
      </c>
      <c r="C1291" s="38">
        <v>39925</v>
      </c>
      <c r="D1291" s="38">
        <v>39923</v>
      </c>
      <c r="E1291" s="38">
        <v>39904</v>
      </c>
      <c r="F1291" s="39">
        <v>20</v>
      </c>
      <c r="G1291" t="s">
        <v>9</v>
      </c>
      <c r="H1291" t="s">
        <v>9</v>
      </c>
      <c r="I1291">
        <v>1</v>
      </c>
      <c r="J1291">
        <v>0</v>
      </c>
      <c r="K1291">
        <v>0</v>
      </c>
      <c r="L1291">
        <v>0</v>
      </c>
      <c r="M1291">
        <v>1</v>
      </c>
      <c r="N1291" t="s">
        <v>202</v>
      </c>
      <c r="O1291" t="s">
        <v>213</v>
      </c>
      <c r="P1291" t="s">
        <v>211</v>
      </c>
      <c r="Q1291" t="s">
        <v>170</v>
      </c>
      <c r="R1291" t="s">
        <v>155</v>
      </c>
      <c r="T1291" t="s">
        <v>134</v>
      </c>
      <c r="U1291">
        <v>1</v>
      </c>
      <c r="W1291" t="s">
        <v>134</v>
      </c>
      <c r="X1291">
        <v>1</v>
      </c>
      <c r="Y1291" t="s">
        <v>139</v>
      </c>
      <c r="Z1291" t="s">
        <v>179</v>
      </c>
      <c r="AA1291" t="s">
        <v>148</v>
      </c>
      <c r="AB1291" t="s">
        <v>163</v>
      </c>
      <c r="AC1291" t="s">
        <v>173</v>
      </c>
      <c r="AD1291" t="s">
        <v>155</v>
      </c>
      <c r="AE1291" t="s">
        <v>571</v>
      </c>
      <c r="AF1291" t="s">
        <v>21</v>
      </c>
    </row>
    <row r="1292" spans="1:32">
      <c r="A1292" t="s">
        <v>2189</v>
      </c>
      <c r="B1292" s="37">
        <v>40064</v>
      </c>
      <c r="C1292" s="38">
        <v>40064</v>
      </c>
      <c r="D1292" s="38">
        <v>40063</v>
      </c>
      <c r="E1292" s="38">
        <v>40057</v>
      </c>
      <c r="F1292" s="39">
        <v>159</v>
      </c>
      <c r="G1292" t="s">
        <v>525</v>
      </c>
      <c r="H1292" t="s">
        <v>17</v>
      </c>
      <c r="I1292">
        <v>0</v>
      </c>
      <c r="J1292">
        <v>0</v>
      </c>
      <c r="K1292">
        <v>1</v>
      </c>
      <c r="L1292">
        <v>0</v>
      </c>
      <c r="M1292">
        <v>0</v>
      </c>
      <c r="N1292" t="s">
        <v>544</v>
      </c>
      <c r="O1292" t="s">
        <v>213</v>
      </c>
      <c r="P1292" t="s">
        <v>545</v>
      </c>
      <c r="Q1292" t="s">
        <v>170</v>
      </c>
      <c r="R1292" t="s">
        <v>155</v>
      </c>
      <c r="S1292">
        <v>5</v>
      </c>
      <c r="T1292" t="s">
        <v>135</v>
      </c>
      <c r="U1292">
        <v>0</v>
      </c>
      <c r="V1292">
        <v>5</v>
      </c>
      <c r="W1292" t="s">
        <v>135</v>
      </c>
      <c r="X1292">
        <v>0</v>
      </c>
      <c r="Y1292" t="s">
        <v>139</v>
      </c>
      <c r="Z1292" t="s">
        <v>179</v>
      </c>
      <c r="AA1292" t="s">
        <v>148</v>
      </c>
      <c r="AB1292" t="s">
        <v>162</v>
      </c>
      <c r="AC1292" t="s">
        <v>174</v>
      </c>
      <c r="AD1292" t="s">
        <v>156</v>
      </c>
      <c r="AE1292" t="s">
        <v>120</v>
      </c>
      <c r="AF1292" t="s">
        <v>794</v>
      </c>
    </row>
    <row r="1293" spans="1:32">
      <c r="A1293" t="s">
        <v>2190</v>
      </c>
      <c r="B1293" s="37">
        <v>40038</v>
      </c>
      <c r="C1293" s="38">
        <v>40038</v>
      </c>
      <c r="D1293" s="38">
        <v>40035</v>
      </c>
      <c r="E1293" s="38">
        <v>40026</v>
      </c>
      <c r="F1293" s="39">
        <v>133</v>
      </c>
      <c r="G1293" t="s">
        <v>21</v>
      </c>
      <c r="H1293" t="s">
        <v>21</v>
      </c>
      <c r="I1293">
        <v>0</v>
      </c>
      <c r="J1293">
        <v>0</v>
      </c>
      <c r="K1293">
        <v>0</v>
      </c>
      <c r="L1293">
        <v>1</v>
      </c>
      <c r="M1293">
        <v>0</v>
      </c>
      <c r="N1293" t="s">
        <v>197</v>
      </c>
      <c r="O1293" t="s">
        <v>213</v>
      </c>
      <c r="P1293" t="s">
        <v>209</v>
      </c>
      <c r="Q1293" t="s">
        <v>170</v>
      </c>
      <c r="R1293" t="s">
        <v>155</v>
      </c>
      <c r="S1293">
        <v>5</v>
      </c>
      <c r="T1293" t="s">
        <v>135</v>
      </c>
      <c r="U1293">
        <v>0</v>
      </c>
      <c r="V1293">
        <v>5</v>
      </c>
      <c r="W1293" t="s">
        <v>135</v>
      </c>
      <c r="X1293">
        <v>0</v>
      </c>
      <c r="Y1293" t="s">
        <v>139</v>
      </c>
      <c r="Z1293" t="s">
        <v>509</v>
      </c>
      <c r="AA1293" t="s">
        <v>150</v>
      </c>
      <c r="AB1293" t="s">
        <v>162</v>
      </c>
      <c r="AC1293" t="s">
        <v>174</v>
      </c>
      <c r="AD1293" t="s">
        <v>156</v>
      </c>
      <c r="AE1293" t="s">
        <v>120</v>
      </c>
      <c r="AF1293" t="s">
        <v>425</v>
      </c>
    </row>
    <row r="1294" spans="1:32">
      <c r="A1294" t="s">
        <v>2191</v>
      </c>
      <c r="B1294" s="37">
        <v>39980</v>
      </c>
      <c r="C1294" s="38">
        <v>39980</v>
      </c>
      <c r="D1294" s="38">
        <v>39979</v>
      </c>
      <c r="E1294" s="38">
        <v>39965</v>
      </c>
      <c r="F1294" s="39">
        <v>75</v>
      </c>
      <c r="G1294" t="s">
        <v>21</v>
      </c>
      <c r="H1294" t="s">
        <v>21</v>
      </c>
      <c r="I1294">
        <v>0</v>
      </c>
      <c r="J1294">
        <v>0</v>
      </c>
      <c r="K1294">
        <v>0</v>
      </c>
      <c r="L1294">
        <v>1</v>
      </c>
      <c r="M1294">
        <v>0</v>
      </c>
      <c r="N1294" t="s">
        <v>195</v>
      </c>
      <c r="O1294" t="s">
        <v>213</v>
      </c>
      <c r="P1294" t="s">
        <v>206</v>
      </c>
      <c r="Q1294" t="s">
        <v>170</v>
      </c>
      <c r="R1294" t="s">
        <v>155</v>
      </c>
      <c r="T1294" t="s">
        <v>134</v>
      </c>
      <c r="U1294">
        <v>1</v>
      </c>
      <c r="W1294" t="s">
        <v>134</v>
      </c>
      <c r="X1294">
        <v>1</v>
      </c>
      <c r="Y1294" t="s">
        <v>139</v>
      </c>
      <c r="Z1294" t="s">
        <v>185</v>
      </c>
      <c r="AA1294" t="s">
        <v>149</v>
      </c>
      <c r="AB1294" t="s">
        <v>163</v>
      </c>
      <c r="AC1294" t="s">
        <v>173</v>
      </c>
      <c r="AD1294" t="s">
        <v>161</v>
      </c>
      <c r="AE1294" t="s">
        <v>638</v>
      </c>
      <c r="AF1294" t="s">
        <v>21</v>
      </c>
    </row>
    <row r="1295" spans="1:32">
      <c r="A1295" t="s">
        <v>2192</v>
      </c>
      <c r="B1295" s="37">
        <v>40074</v>
      </c>
      <c r="C1295" s="38">
        <v>40074</v>
      </c>
      <c r="D1295" s="38">
        <v>40070</v>
      </c>
      <c r="E1295" s="38">
        <v>40057</v>
      </c>
      <c r="F1295" s="39">
        <v>169</v>
      </c>
      <c r="G1295" t="s">
        <v>21</v>
      </c>
      <c r="H1295" t="s">
        <v>21</v>
      </c>
      <c r="I1295">
        <v>0</v>
      </c>
      <c r="J1295">
        <v>0</v>
      </c>
      <c r="K1295">
        <v>0</v>
      </c>
      <c r="L1295">
        <v>1</v>
      </c>
      <c r="M1295">
        <v>0</v>
      </c>
      <c r="N1295" t="s">
        <v>195</v>
      </c>
      <c r="O1295" t="s">
        <v>213</v>
      </c>
      <c r="P1295" t="s">
        <v>206</v>
      </c>
      <c r="Q1295" t="s">
        <v>170</v>
      </c>
      <c r="R1295" t="s">
        <v>155</v>
      </c>
      <c r="S1295">
        <v>5</v>
      </c>
      <c r="T1295" t="s">
        <v>135</v>
      </c>
      <c r="U1295">
        <v>0</v>
      </c>
      <c r="V1295">
        <v>5</v>
      </c>
      <c r="W1295" t="s">
        <v>135</v>
      </c>
      <c r="X1295">
        <v>0</v>
      </c>
      <c r="Y1295" t="s">
        <v>139</v>
      </c>
      <c r="Z1295" t="s">
        <v>178</v>
      </c>
      <c r="AA1295" t="s">
        <v>143</v>
      </c>
      <c r="AB1295" t="s">
        <v>162</v>
      </c>
      <c r="AC1295" t="s">
        <v>174</v>
      </c>
      <c r="AD1295" t="s">
        <v>156</v>
      </c>
      <c r="AE1295" t="s">
        <v>120</v>
      </c>
      <c r="AF1295" t="s">
        <v>620</v>
      </c>
    </row>
    <row r="1296" spans="1:32">
      <c r="A1296" t="s">
        <v>2193</v>
      </c>
      <c r="B1296" s="37">
        <v>39988</v>
      </c>
      <c r="C1296" s="38">
        <v>39988</v>
      </c>
      <c r="D1296" s="38">
        <v>39986</v>
      </c>
      <c r="E1296" s="38">
        <v>39965</v>
      </c>
      <c r="F1296" s="39">
        <v>83</v>
      </c>
      <c r="G1296" t="s">
        <v>9</v>
      </c>
      <c r="H1296" t="s">
        <v>9</v>
      </c>
      <c r="I1296">
        <v>1</v>
      </c>
      <c r="J1296">
        <v>0</v>
      </c>
      <c r="K1296">
        <v>0</v>
      </c>
      <c r="L1296">
        <v>0</v>
      </c>
      <c r="M1296">
        <v>1</v>
      </c>
      <c r="N1296" t="s">
        <v>196</v>
      </c>
      <c r="O1296" t="s">
        <v>213</v>
      </c>
      <c r="P1296" t="s">
        <v>207</v>
      </c>
      <c r="Q1296" t="s">
        <v>170</v>
      </c>
      <c r="R1296" t="s">
        <v>155</v>
      </c>
      <c r="T1296" t="s">
        <v>134</v>
      </c>
      <c r="U1296">
        <v>1</v>
      </c>
      <c r="W1296" t="s">
        <v>134</v>
      </c>
      <c r="X1296">
        <v>1</v>
      </c>
      <c r="Y1296" t="s">
        <v>139</v>
      </c>
      <c r="Z1296" t="s">
        <v>185</v>
      </c>
      <c r="AA1296" t="s">
        <v>146</v>
      </c>
      <c r="AB1296" t="s">
        <v>162</v>
      </c>
      <c r="AC1296" t="s">
        <v>2194</v>
      </c>
      <c r="AD1296" t="s">
        <v>159</v>
      </c>
      <c r="AE1296" t="s">
        <v>123</v>
      </c>
      <c r="AF1296" t="s">
        <v>123</v>
      </c>
    </row>
    <row r="1297" spans="1:32">
      <c r="A1297" t="s">
        <v>2195</v>
      </c>
      <c r="B1297" s="37">
        <v>40032</v>
      </c>
      <c r="C1297" s="38">
        <v>40032</v>
      </c>
      <c r="D1297" s="38">
        <v>40028</v>
      </c>
      <c r="E1297" s="38">
        <v>40026</v>
      </c>
      <c r="F1297" s="39">
        <v>127</v>
      </c>
      <c r="G1297" t="s">
        <v>21</v>
      </c>
      <c r="H1297" t="s">
        <v>21</v>
      </c>
      <c r="I1297">
        <v>0</v>
      </c>
      <c r="J1297">
        <v>0</v>
      </c>
      <c r="K1297">
        <v>0</v>
      </c>
      <c r="L1297">
        <v>1</v>
      </c>
      <c r="M1297">
        <v>0</v>
      </c>
      <c r="N1297" t="s">
        <v>196</v>
      </c>
      <c r="O1297" t="s">
        <v>213</v>
      </c>
      <c r="P1297" t="s">
        <v>207</v>
      </c>
      <c r="Q1297" t="s">
        <v>170</v>
      </c>
      <c r="R1297" t="s">
        <v>155</v>
      </c>
      <c r="S1297">
        <v>5</v>
      </c>
      <c r="T1297" t="s">
        <v>135</v>
      </c>
      <c r="U1297">
        <v>0</v>
      </c>
      <c r="V1297">
        <v>3</v>
      </c>
      <c r="W1297" t="s">
        <v>137</v>
      </c>
      <c r="X1297">
        <v>0</v>
      </c>
      <c r="Y1297" t="s">
        <v>139</v>
      </c>
      <c r="Z1297" t="s">
        <v>185</v>
      </c>
      <c r="AA1297" t="s">
        <v>149</v>
      </c>
      <c r="AB1297" t="s">
        <v>163</v>
      </c>
      <c r="AC1297" t="s">
        <v>173</v>
      </c>
      <c r="AD1297" t="s">
        <v>155</v>
      </c>
      <c r="AE1297" t="s">
        <v>127</v>
      </c>
      <c r="AF1297" t="s">
        <v>21</v>
      </c>
    </row>
    <row r="1298" spans="1:32">
      <c r="A1298" t="s">
        <v>2196</v>
      </c>
      <c r="B1298" s="37">
        <v>40074</v>
      </c>
      <c r="C1298" s="38">
        <v>40074</v>
      </c>
      <c r="D1298" s="38">
        <v>40070</v>
      </c>
      <c r="E1298" s="38">
        <v>40057</v>
      </c>
      <c r="F1298" s="39">
        <v>169</v>
      </c>
      <c r="G1298" t="s">
        <v>21</v>
      </c>
      <c r="H1298" t="s">
        <v>21</v>
      </c>
      <c r="I1298">
        <v>0</v>
      </c>
      <c r="J1298">
        <v>0</v>
      </c>
      <c r="K1298">
        <v>0</v>
      </c>
      <c r="L1298">
        <v>1</v>
      </c>
      <c r="M1298">
        <v>0</v>
      </c>
      <c r="N1298" t="s">
        <v>195</v>
      </c>
      <c r="O1298" t="s">
        <v>213</v>
      </c>
      <c r="P1298" t="s">
        <v>206</v>
      </c>
      <c r="Q1298" t="s">
        <v>170</v>
      </c>
      <c r="R1298" t="s">
        <v>155</v>
      </c>
      <c r="S1298">
        <v>5</v>
      </c>
      <c r="T1298" t="s">
        <v>135</v>
      </c>
      <c r="U1298">
        <v>0</v>
      </c>
      <c r="V1298">
        <v>5</v>
      </c>
      <c r="W1298" t="s">
        <v>135</v>
      </c>
      <c r="X1298">
        <v>0</v>
      </c>
      <c r="Y1298" t="s">
        <v>139</v>
      </c>
      <c r="Z1298" t="s">
        <v>182</v>
      </c>
      <c r="AA1298" t="s">
        <v>144</v>
      </c>
      <c r="AB1298" t="s">
        <v>163</v>
      </c>
      <c r="AC1298" t="s">
        <v>173</v>
      </c>
      <c r="AD1298" t="s">
        <v>155</v>
      </c>
      <c r="AE1298" t="s">
        <v>128</v>
      </c>
      <c r="AF1298" t="s">
        <v>21</v>
      </c>
    </row>
    <row r="1299" spans="1:32">
      <c r="A1299" t="s">
        <v>2197</v>
      </c>
      <c r="B1299" s="37">
        <v>40083</v>
      </c>
      <c r="C1299" s="38">
        <v>40083</v>
      </c>
      <c r="D1299" s="38">
        <v>40077</v>
      </c>
      <c r="E1299" s="38">
        <v>40057</v>
      </c>
      <c r="F1299" s="39">
        <v>178</v>
      </c>
      <c r="G1299" t="s">
        <v>21</v>
      </c>
      <c r="H1299" t="s">
        <v>21</v>
      </c>
      <c r="I1299">
        <v>0</v>
      </c>
      <c r="J1299">
        <v>0</v>
      </c>
      <c r="K1299">
        <v>0</v>
      </c>
      <c r="L1299">
        <v>1</v>
      </c>
      <c r="M1299">
        <v>0</v>
      </c>
      <c r="N1299" t="s">
        <v>193</v>
      </c>
      <c r="O1299" t="s">
        <v>213</v>
      </c>
      <c r="P1299" t="s">
        <v>204</v>
      </c>
      <c r="Q1299" t="s">
        <v>170</v>
      </c>
      <c r="R1299" t="s">
        <v>155</v>
      </c>
      <c r="S1299">
        <v>3</v>
      </c>
      <c r="T1299" t="s">
        <v>137</v>
      </c>
      <c r="U1299">
        <v>0</v>
      </c>
      <c r="V1299">
        <v>2</v>
      </c>
      <c r="W1299" t="s">
        <v>136</v>
      </c>
      <c r="X1299">
        <v>0</v>
      </c>
      <c r="Y1299" t="s">
        <v>140</v>
      </c>
      <c r="Z1299" t="s">
        <v>191</v>
      </c>
      <c r="AA1299" t="s">
        <v>145</v>
      </c>
      <c r="AB1299" t="s">
        <v>163</v>
      </c>
      <c r="AC1299" t="s">
        <v>1042</v>
      </c>
      <c r="AD1299" t="s">
        <v>155</v>
      </c>
      <c r="AE1299" t="s">
        <v>128</v>
      </c>
      <c r="AF1299" t="s">
        <v>21</v>
      </c>
    </row>
    <row r="1300" spans="1:32">
      <c r="A1300" t="s">
        <v>2198</v>
      </c>
      <c r="B1300" s="37">
        <v>39917</v>
      </c>
      <c r="C1300" s="38">
        <v>39917</v>
      </c>
      <c r="D1300" s="38">
        <v>39916</v>
      </c>
      <c r="E1300" s="38">
        <v>39904</v>
      </c>
      <c r="F1300" s="39">
        <v>12</v>
      </c>
      <c r="G1300" t="s">
        <v>21</v>
      </c>
      <c r="H1300" t="s">
        <v>21</v>
      </c>
      <c r="I1300">
        <v>0</v>
      </c>
      <c r="J1300">
        <v>0</v>
      </c>
      <c r="K1300">
        <v>0</v>
      </c>
      <c r="L1300">
        <v>1</v>
      </c>
      <c r="M1300">
        <v>0</v>
      </c>
      <c r="N1300" t="s">
        <v>199</v>
      </c>
      <c r="O1300" t="s">
        <v>213</v>
      </c>
      <c r="P1300" t="s">
        <v>210</v>
      </c>
      <c r="Q1300" t="s">
        <v>170</v>
      </c>
      <c r="R1300" t="s">
        <v>155</v>
      </c>
      <c r="T1300" t="s">
        <v>134</v>
      </c>
      <c r="U1300">
        <v>1</v>
      </c>
      <c r="W1300" t="s">
        <v>134</v>
      </c>
      <c r="X1300">
        <v>1</v>
      </c>
      <c r="Y1300" t="s">
        <v>139</v>
      </c>
      <c r="Z1300" t="s">
        <v>180</v>
      </c>
      <c r="AA1300" t="s">
        <v>145</v>
      </c>
      <c r="AB1300" t="s">
        <v>162</v>
      </c>
      <c r="AC1300" t="s">
        <v>863</v>
      </c>
      <c r="AD1300" t="s">
        <v>155</v>
      </c>
      <c r="AE1300" t="s">
        <v>439</v>
      </c>
      <c r="AF1300" t="s">
        <v>21</v>
      </c>
    </row>
    <row r="1301" spans="1:32">
      <c r="A1301" t="s">
        <v>2199</v>
      </c>
      <c r="B1301" s="37">
        <v>40057</v>
      </c>
      <c r="C1301" s="38">
        <v>40057</v>
      </c>
      <c r="D1301" s="38">
        <v>40056</v>
      </c>
      <c r="E1301" s="38">
        <v>40057</v>
      </c>
      <c r="F1301" s="39">
        <v>152</v>
      </c>
      <c r="G1301" t="s">
        <v>9</v>
      </c>
      <c r="H1301" t="s">
        <v>9</v>
      </c>
      <c r="I1301">
        <v>1</v>
      </c>
      <c r="J1301">
        <v>0</v>
      </c>
      <c r="K1301">
        <v>0</v>
      </c>
      <c r="L1301">
        <v>0</v>
      </c>
      <c r="M1301">
        <v>1</v>
      </c>
      <c r="N1301" t="s">
        <v>193</v>
      </c>
      <c r="O1301" t="s">
        <v>213</v>
      </c>
      <c r="P1301" t="s">
        <v>204</v>
      </c>
      <c r="Q1301" t="s">
        <v>170</v>
      </c>
      <c r="R1301" t="s">
        <v>155</v>
      </c>
      <c r="T1301" t="s">
        <v>134</v>
      </c>
      <c r="U1301">
        <v>1</v>
      </c>
      <c r="W1301" t="s">
        <v>134</v>
      </c>
      <c r="X1301">
        <v>1</v>
      </c>
      <c r="Y1301" t="s">
        <v>140</v>
      </c>
      <c r="Z1301" t="s">
        <v>178</v>
      </c>
      <c r="AA1301" t="s">
        <v>145</v>
      </c>
      <c r="AB1301" t="s">
        <v>162</v>
      </c>
      <c r="AC1301" t="s">
        <v>619</v>
      </c>
      <c r="AD1301" t="s">
        <v>159</v>
      </c>
      <c r="AE1301" t="s">
        <v>123</v>
      </c>
      <c r="AF1301" t="s">
        <v>123</v>
      </c>
    </row>
    <row r="1302" spans="1:32">
      <c r="A1302" t="s">
        <v>2200</v>
      </c>
      <c r="B1302" s="37">
        <v>40043</v>
      </c>
      <c r="C1302" s="38">
        <v>40043</v>
      </c>
      <c r="D1302" s="38">
        <v>40042</v>
      </c>
      <c r="E1302" s="38">
        <v>40026</v>
      </c>
      <c r="F1302" s="39">
        <v>138</v>
      </c>
      <c r="G1302" t="s">
        <v>21</v>
      </c>
      <c r="H1302" t="s">
        <v>21</v>
      </c>
      <c r="I1302">
        <v>0</v>
      </c>
      <c r="J1302">
        <v>0</v>
      </c>
      <c r="K1302">
        <v>0</v>
      </c>
      <c r="L1302">
        <v>1</v>
      </c>
      <c r="M1302">
        <v>0</v>
      </c>
      <c r="N1302" t="s">
        <v>195</v>
      </c>
      <c r="O1302" t="s">
        <v>213</v>
      </c>
      <c r="P1302" t="s">
        <v>206</v>
      </c>
      <c r="Q1302" t="s">
        <v>170</v>
      </c>
      <c r="R1302" t="s">
        <v>155</v>
      </c>
      <c r="S1302">
        <v>5</v>
      </c>
      <c r="T1302" t="s">
        <v>135</v>
      </c>
      <c r="U1302">
        <v>0</v>
      </c>
      <c r="V1302">
        <v>2</v>
      </c>
      <c r="W1302" t="s">
        <v>136</v>
      </c>
      <c r="X1302">
        <v>0</v>
      </c>
      <c r="Y1302" t="s">
        <v>139</v>
      </c>
      <c r="Z1302" t="s">
        <v>576</v>
      </c>
      <c r="AA1302" t="s">
        <v>142</v>
      </c>
      <c r="AB1302" t="s">
        <v>162</v>
      </c>
      <c r="AC1302" t="s">
        <v>2201</v>
      </c>
      <c r="AD1302" t="s">
        <v>157</v>
      </c>
      <c r="AE1302" t="s">
        <v>434</v>
      </c>
      <c r="AF1302" t="s">
        <v>435</v>
      </c>
    </row>
    <row r="1303" spans="1:32">
      <c r="A1303" t="s">
        <v>2202</v>
      </c>
      <c r="B1303" s="37">
        <v>39982</v>
      </c>
      <c r="C1303" s="38">
        <v>39982</v>
      </c>
      <c r="D1303" s="38">
        <v>39979</v>
      </c>
      <c r="E1303" s="38">
        <v>39965</v>
      </c>
      <c r="F1303" s="39">
        <v>77</v>
      </c>
      <c r="G1303" t="s">
        <v>9</v>
      </c>
      <c r="H1303" t="s">
        <v>9</v>
      </c>
      <c r="I1303">
        <v>1</v>
      </c>
      <c r="J1303">
        <v>0</v>
      </c>
      <c r="K1303">
        <v>0</v>
      </c>
      <c r="L1303">
        <v>0</v>
      </c>
      <c r="M1303">
        <v>1</v>
      </c>
      <c r="N1303" t="s">
        <v>194</v>
      </c>
      <c r="O1303" t="s">
        <v>213</v>
      </c>
      <c r="P1303" t="s">
        <v>205</v>
      </c>
      <c r="Q1303" t="s">
        <v>170</v>
      </c>
      <c r="R1303" t="s">
        <v>155</v>
      </c>
      <c r="T1303" t="s">
        <v>134</v>
      </c>
      <c r="U1303">
        <v>1</v>
      </c>
      <c r="W1303" t="s">
        <v>134</v>
      </c>
      <c r="X1303">
        <v>1</v>
      </c>
      <c r="Y1303" t="s">
        <v>139</v>
      </c>
      <c r="Z1303" t="s">
        <v>937</v>
      </c>
      <c r="AA1303" t="s">
        <v>144</v>
      </c>
      <c r="AB1303" t="s">
        <v>163</v>
      </c>
      <c r="AC1303" t="s">
        <v>173</v>
      </c>
      <c r="AD1303" t="s">
        <v>155</v>
      </c>
      <c r="AE1303" t="s">
        <v>125</v>
      </c>
      <c r="AF1303" t="s">
        <v>21</v>
      </c>
    </row>
    <row r="1304" spans="1:32">
      <c r="A1304" t="s">
        <v>2203</v>
      </c>
      <c r="B1304" s="37">
        <v>40018</v>
      </c>
      <c r="C1304" s="38">
        <v>40018</v>
      </c>
      <c r="D1304" s="38">
        <v>40014</v>
      </c>
      <c r="E1304" s="38">
        <v>39995</v>
      </c>
      <c r="F1304" s="39">
        <v>113</v>
      </c>
      <c r="G1304" t="s">
        <v>21</v>
      </c>
      <c r="H1304" t="s">
        <v>21</v>
      </c>
      <c r="I1304">
        <v>0</v>
      </c>
      <c r="J1304">
        <v>0</v>
      </c>
      <c r="K1304">
        <v>0</v>
      </c>
      <c r="L1304">
        <v>1</v>
      </c>
      <c r="M1304">
        <v>0</v>
      </c>
      <c r="N1304" t="s">
        <v>195</v>
      </c>
      <c r="O1304" t="s">
        <v>213</v>
      </c>
      <c r="P1304" t="s">
        <v>206</v>
      </c>
      <c r="Q1304" t="s">
        <v>170</v>
      </c>
      <c r="R1304" t="s">
        <v>155</v>
      </c>
      <c r="S1304">
        <v>5</v>
      </c>
      <c r="T1304" t="s">
        <v>135</v>
      </c>
      <c r="U1304">
        <v>0</v>
      </c>
      <c r="V1304">
        <v>4</v>
      </c>
      <c r="W1304" t="s">
        <v>137</v>
      </c>
      <c r="X1304">
        <v>0</v>
      </c>
      <c r="Y1304" t="s">
        <v>139</v>
      </c>
      <c r="Z1304" t="s">
        <v>181</v>
      </c>
      <c r="AA1304" t="s">
        <v>149</v>
      </c>
      <c r="AB1304" t="s">
        <v>162</v>
      </c>
      <c r="AC1304" t="s">
        <v>622</v>
      </c>
      <c r="AD1304" t="s">
        <v>155</v>
      </c>
      <c r="AE1304" t="s">
        <v>130</v>
      </c>
      <c r="AF1304" t="s">
        <v>21</v>
      </c>
    </row>
    <row r="1305" spans="1:32">
      <c r="A1305" t="s">
        <v>2204</v>
      </c>
      <c r="B1305" s="37">
        <v>40062</v>
      </c>
      <c r="C1305" s="38">
        <v>40062</v>
      </c>
      <c r="D1305" s="38">
        <v>40056</v>
      </c>
      <c r="E1305" s="38">
        <v>40057</v>
      </c>
      <c r="F1305" s="39">
        <v>157</v>
      </c>
      <c r="G1305" t="s">
        <v>525</v>
      </c>
      <c r="H1305" t="s">
        <v>17</v>
      </c>
      <c r="I1305">
        <v>0</v>
      </c>
      <c r="J1305">
        <v>0</v>
      </c>
      <c r="K1305">
        <v>1</v>
      </c>
      <c r="L1305">
        <v>0</v>
      </c>
      <c r="M1305">
        <v>0</v>
      </c>
      <c r="N1305" t="s">
        <v>196</v>
      </c>
      <c r="O1305" t="s">
        <v>213</v>
      </c>
      <c r="P1305" t="s">
        <v>207</v>
      </c>
      <c r="Q1305" t="s">
        <v>170</v>
      </c>
      <c r="R1305" t="s">
        <v>155</v>
      </c>
      <c r="S1305">
        <v>5</v>
      </c>
      <c r="T1305" t="s">
        <v>135</v>
      </c>
      <c r="U1305">
        <v>0</v>
      </c>
      <c r="V1305">
        <v>3</v>
      </c>
      <c r="W1305" t="s">
        <v>137</v>
      </c>
      <c r="X1305">
        <v>0</v>
      </c>
      <c r="Y1305" t="s">
        <v>139</v>
      </c>
      <c r="Z1305" t="s">
        <v>178</v>
      </c>
      <c r="AA1305" t="s">
        <v>146</v>
      </c>
      <c r="AB1305" t="s">
        <v>165</v>
      </c>
      <c r="AC1305" t="s">
        <v>21</v>
      </c>
      <c r="AD1305" t="s">
        <v>158</v>
      </c>
      <c r="AE1305" t="s">
        <v>122</v>
      </c>
      <c r="AF1305" t="s">
        <v>21</v>
      </c>
    </row>
    <row r="1306" spans="1:32">
      <c r="A1306" t="s">
        <v>2205</v>
      </c>
      <c r="B1306" s="37">
        <v>39929</v>
      </c>
      <c r="C1306" s="38">
        <v>39929</v>
      </c>
      <c r="D1306" s="38">
        <v>39923</v>
      </c>
      <c r="E1306" s="38">
        <v>39904</v>
      </c>
      <c r="F1306" s="39">
        <v>24</v>
      </c>
      <c r="G1306" t="s">
        <v>21</v>
      </c>
      <c r="H1306" t="s">
        <v>21</v>
      </c>
      <c r="I1306">
        <v>0</v>
      </c>
      <c r="J1306">
        <v>0</v>
      </c>
      <c r="K1306">
        <v>0</v>
      </c>
      <c r="L1306">
        <v>1</v>
      </c>
      <c r="M1306">
        <v>0</v>
      </c>
      <c r="N1306" t="s">
        <v>201</v>
      </c>
      <c r="O1306" t="s">
        <v>214</v>
      </c>
      <c r="P1306" t="s">
        <v>204</v>
      </c>
      <c r="Q1306" t="s">
        <v>170</v>
      </c>
      <c r="R1306" t="s">
        <v>155</v>
      </c>
      <c r="T1306" t="s">
        <v>134</v>
      </c>
      <c r="U1306">
        <v>1</v>
      </c>
      <c r="W1306" t="s">
        <v>134</v>
      </c>
      <c r="X1306">
        <v>1</v>
      </c>
      <c r="Y1306" t="s">
        <v>140</v>
      </c>
      <c r="Z1306" t="s">
        <v>178</v>
      </c>
      <c r="AA1306" t="s">
        <v>149</v>
      </c>
      <c r="AB1306" t="s">
        <v>162</v>
      </c>
      <c r="AC1306" t="s">
        <v>174</v>
      </c>
      <c r="AD1306" t="s">
        <v>157</v>
      </c>
      <c r="AE1306" t="s">
        <v>571</v>
      </c>
      <c r="AF1306" t="s">
        <v>1845</v>
      </c>
    </row>
    <row r="1307" spans="1:32">
      <c r="A1307" t="s">
        <v>2206</v>
      </c>
      <c r="B1307" s="37">
        <v>40021</v>
      </c>
      <c r="C1307" s="38">
        <v>40021</v>
      </c>
      <c r="D1307" s="38">
        <v>40021</v>
      </c>
      <c r="E1307" s="38">
        <v>39995</v>
      </c>
      <c r="F1307" s="39">
        <v>116</v>
      </c>
      <c r="G1307" t="s">
        <v>21</v>
      </c>
      <c r="H1307" t="s">
        <v>21</v>
      </c>
      <c r="I1307">
        <v>0</v>
      </c>
      <c r="J1307">
        <v>0</v>
      </c>
      <c r="K1307">
        <v>0</v>
      </c>
      <c r="L1307">
        <v>1</v>
      </c>
      <c r="M1307">
        <v>0</v>
      </c>
      <c r="N1307" t="s">
        <v>197</v>
      </c>
      <c r="O1307" t="s">
        <v>213</v>
      </c>
      <c r="P1307" t="s">
        <v>209</v>
      </c>
      <c r="Q1307" t="s">
        <v>170</v>
      </c>
      <c r="R1307" t="s">
        <v>155</v>
      </c>
      <c r="S1307">
        <v>5</v>
      </c>
      <c r="T1307" t="s">
        <v>135</v>
      </c>
      <c r="U1307">
        <v>0</v>
      </c>
      <c r="V1307">
        <v>5</v>
      </c>
      <c r="W1307" t="s">
        <v>135</v>
      </c>
      <c r="X1307">
        <v>0</v>
      </c>
      <c r="Y1307" t="s">
        <v>139</v>
      </c>
      <c r="Z1307" t="s">
        <v>576</v>
      </c>
      <c r="AA1307" t="s">
        <v>148</v>
      </c>
      <c r="AB1307" t="s">
        <v>162</v>
      </c>
      <c r="AC1307" t="s">
        <v>21</v>
      </c>
      <c r="AD1307" t="s">
        <v>155</v>
      </c>
      <c r="AE1307" t="s">
        <v>130</v>
      </c>
      <c r="AF1307" t="s">
        <v>21</v>
      </c>
    </row>
    <row r="1308" spans="1:32">
      <c r="A1308" t="s">
        <v>2207</v>
      </c>
      <c r="B1308" s="37">
        <v>39922</v>
      </c>
      <c r="C1308" s="38">
        <v>39922</v>
      </c>
      <c r="D1308" s="38">
        <v>39916</v>
      </c>
      <c r="E1308" s="38">
        <v>39904</v>
      </c>
      <c r="F1308" s="39">
        <v>17</v>
      </c>
      <c r="G1308" t="s">
        <v>21</v>
      </c>
      <c r="H1308" t="s">
        <v>21</v>
      </c>
      <c r="I1308">
        <v>0</v>
      </c>
      <c r="J1308">
        <v>0</v>
      </c>
      <c r="K1308">
        <v>0</v>
      </c>
      <c r="L1308">
        <v>1</v>
      </c>
      <c r="M1308">
        <v>0</v>
      </c>
      <c r="N1308" t="s">
        <v>202</v>
      </c>
      <c r="O1308" t="s">
        <v>213</v>
      </c>
      <c r="P1308" t="s">
        <v>211</v>
      </c>
      <c r="Q1308" t="s">
        <v>170</v>
      </c>
      <c r="R1308" t="s">
        <v>155</v>
      </c>
      <c r="T1308" t="s">
        <v>134</v>
      </c>
      <c r="U1308">
        <v>1</v>
      </c>
      <c r="W1308" t="s">
        <v>134</v>
      </c>
      <c r="X1308">
        <v>1</v>
      </c>
      <c r="Y1308" t="s">
        <v>139</v>
      </c>
      <c r="Z1308" t="s">
        <v>180</v>
      </c>
      <c r="AA1308" t="s">
        <v>145</v>
      </c>
      <c r="AB1308" t="s">
        <v>165</v>
      </c>
      <c r="AC1308" t="s">
        <v>614</v>
      </c>
      <c r="AD1308" t="s">
        <v>158</v>
      </c>
      <c r="AE1308" t="s">
        <v>122</v>
      </c>
      <c r="AF1308" t="s">
        <v>21</v>
      </c>
    </row>
    <row r="1309" spans="1:32">
      <c r="A1309" t="s">
        <v>2208</v>
      </c>
      <c r="B1309" s="37">
        <v>40064</v>
      </c>
      <c r="C1309" s="38">
        <v>40064</v>
      </c>
      <c r="D1309" s="38">
        <v>40063</v>
      </c>
      <c r="E1309" s="38">
        <v>40057</v>
      </c>
      <c r="F1309" s="39">
        <v>159</v>
      </c>
      <c r="G1309" t="s">
        <v>496</v>
      </c>
      <c r="H1309" t="s">
        <v>13</v>
      </c>
      <c r="I1309">
        <v>0</v>
      </c>
      <c r="J1309">
        <v>1</v>
      </c>
      <c r="K1309">
        <v>0</v>
      </c>
      <c r="L1309">
        <v>0</v>
      </c>
      <c r="M1309">
        <v>1</v>
      </c>
      <c r="N1309" t="s">
        <v>193</v>
      </c>
      <c r="O1309" t="s">
        <v>213</v>
      </c>
      <c r="P1309" t="s">
        <v>204</v>
      </c>
      <c r="Q1309" t="s">
        <v>170</v>
      </c>
      <c r="R1309" t="s">
        <v>155</v>
      </c>
      <c r="S1309">
        <v>1</v>
      </c>
      <c r="T1309" t="s">
        <v>136</v>
      </c>
      <c r="U1309">
        <v>0</v>
      </c>
      <c r="V1309">
        <v>3</v>
      </c>
      <c r="W1309" t="s">
        <v>137</v>
      </c>
      <c r="X1309">
        <v>0</v>
      </c>
      <c r="Y1309" t="s">
        <v>140</v>
      </c>
      <c r="Z1309" t="s">
        <v>189</v>
      </c>
      <c r="AA1309" t="s">
        <v>149</v>
      </c>
      <c r="AB1309" t="s">
        <v>162</v>
      </c>
      <c r="AC1309" t="s">
        <v>175</v>
      </c>
      <c r="AD1309" t="s">
        <v>155</v>
      </c>
      <c r="AE1309" t="s">
        <v>129</v>
      </c>
      <c r="AF1309" t="s">
        <v>21</v>
      </c>
    </row>
    <row r="1310" spans="1:32">
      <c r="A1310" t="s">
        <v>2209</v>
      </c>
      <c r="B1310" s="37">
        <v>39941</v>
      </c>
      <c r="C1310" s="38">
        <v>39941</v>
      </c>
      <c r="D1310" s="38">
        <v>39937</v>
      </c>
      <c r="E1310" s="38">
        <v>39934</v>
      </c>
      <c r="F1310" s="39">
        <v>36</v>
      </c>
      <c r="G1310" t="s">
        <v>9</v>
      </c>
      <c r="H1310" t="s">
        <v>9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193</v>
      </c>
      <c r="O1310" t="s">
        <v>213</v>
      </c>
      <c r="P1310" t="s">
        <v>204</v>
      </c>
      <c r="Q1310" t="s">
        <v>170</v>
      </c>
      <c r="R1310" t="s">
        <v>155</v>
      </c>
      <c r="T1310" t="s">
        <v>134</v>
      </c>
      <c r="U1310">
        <v>1</v>
      </c>
      <c r="W1310" t="s">
        <v>134</v>
      </c>
      <c r="X1310">
        <v>1</v>
      </c>
      <c r="Y1310" t="s">
        <v>140</v>
      </c>
      <c r="Z1310" t="s">
        <v>180</v>
      </c>
      <c r="AA1310" t="s">
        <v>142</v>
      </c>
      <c r="AB1310" t="s">
        <v>162</v>
      </c>
      <c r="AC1310" t="s">
        <v>174</v>
      </c>
      <c r="AD1310" t="s">
        <v>156</v>
      </c>
      <c r="AE1310" t="s">
        <v>120</v>
      </c>
      <c r="AF1310" t="s">
        <v>557</v>
      </c>
    </row>
    <row r="1311" spans="1:32">
      <c r="A1311" t="s">
        <v>2210</v>
      </c>
      <c r="B1311" s="37">
        <v>39999</v>
      </c>
      <c r="C1311" s="38">
        <v>39999</v>
      </c>
      <c r="D1311" s="38">
        <v>39993</v>
      </c>
      <c r="E1311" s="38">
        <v>39995</v>
      </c>
      <c r="F1311" s="39">
        <v>94</v>
      </c>
      <c r="G1311" t="s">
        <v>21</v>
      </c>
      <c r="H1311" t="s">
        <v>21</v>
      </c>
      <c r="I1311">
        <v>0</v>
      </c>
      <c r="J1311">
        <v>0</v>
      </c>
      <c r="K1311">
        <v>0</v>
      </c>
      <c r="L1311">
        <v>1</v>
      </c>
      <c r="M1311">
        <v>0</v>
      </c>
      <c r="N1311" t="s">
        <v>196</v>
      </c>
      <c r="O1311" t="s">
        <v>213</v>
      </c>
      <c r="P1311" t="s">
        <v>207</v>
      </c>
      <c r="Q1311" t="s">
        <v>170</v>
      </c>
      <c r="R1311" t="s">
        <v>155</v>
      </c>
      <c r="T1311" t="s">
        <v>134</v>
      </c>
      <c r="U1311">
        <v>1</v>
      </c>
      <c r="V1311">
        <v>5</v>
      </c>
      <c r="W1311" t="s">
        <v>135</v>
      </c>
      <c r="X1311">
        <v>0</v>
      </c>
      <c r="Y1311" t="s">
        <v>139</v>
      </c>
      <c r="Z1311" t="s">
        <v>178</v>
      </c>
      <c r="AA1311" t="s">
        <v>151</v>
      </c>
      <c r="AB1311" t="s">
        <v>163</v>
      </c>
      <c r="AC1311" t="s">
        <v>173</v>
      </c>
      <c r="AD1311" t="s">
        <v>155</v>
      </c>
      <c r="AE1311" t="s">
        <v>124</v>
      </c>
      <c r="AF1311" t="s">
        <v>21</v>
      </c>
    </row>
    <row r="1312" spans="1:32">
      <c r="A1312" t="s">
        <v>2211</v>
      </c>
      <c r="B1312" s="37">
        <v>39981</v>
      </c>
      <c r="C1312" s="38">
        <v>39981</v>
      </c>
      <c r="D1312" s="38">
        <v>39979</v>
      </c>
      <c r="E1312" s="38">
        <v>39965</v>
      </c>
      <c r="F1312" s="39">
        <v>76</v>
      </c>
      <c r="G1312" t="s">
        <v>21</v>
      </c>
      <c r="H1312" t="s">
        <v>21</v>
      </c>
      <c r="I1312">
        <v>0</v>
      </c>
      <c r="J1312">
        <v>0</v>
      </c>
      <c r="K1312">
        <v>0</v>
      </c>
      <c r="L1312">
        <v>1</v>
      </c>
      <c r="M1312">
        <v>0</v>
      </c>
      <c r="N1312" t="s">
        <v>196</v>
      </c>
      <c r="O1312" t="s">
        <v>213</v>
      </c>
      <c r="P1312" t="s">
        <v>207</v>
      </c>
      <c r="Q1312" t="s">
        <v>170</v>
      </c>
      <c r="R1312" t="s">
        <v>155</v>
      </c>
      <c r="T1312" t="s">
        <v>134</v>
      </c>
      <c r="U1312">
        <v>1</v>
      </c>
      <c r="W1312" t="s">
        <v>134</v>
      </c>
      <c r="X1312">
        <v>1</v>
      </c>
      <c r="Y1312" t="s">
        <v>139</v>
      </c>
      <c r="Z1312" t="s">
        <v>187</v>
      </c>
      <c r="AA1312" t="s">
        <v>145</v>
      </c>
      <c r="AB1312" t="s">
        <v>163</v>
      </c>
      <c r="AC1312" t="s">
        <v>173</v>
      </c>
      <c r="AD1312" t="s">
        <v>155</v>
      </c>
      <c r="AE1312" t="s">
        <v>734</v>
      </c>
      <c r="AF1312" t="s">
        <v>21</v>
      </c>
    </row>
    <row r="1313" spans="1:32">
      <c r="A1313" t="s">
        <v>2212</v>
      </c>
      <c r="B1313" s="37">
        <v>39908</v>
      </c>
      <c r="C1313" s="38">
        <v>39908</v>
      </c>
      <c r="D1313" s="38">
        <v>39902</v>
      </c>
      <c r="E1313" s="38">
        <v>39904</v>
      </c>
      <c r="F1313" s="39">
        <v>3</v>
      </c>
      <c r="G1313" t="s">
        <v>21</v>
      </c>
      <c r="H1313" t="s">
        <v>21</v>
      </c>
      <c r="I1313">
        <v>0</v>
      </c>
      <c r="J1313">
        <v>0</v>
      </c>
      <c r="K1313">
        <v>0</v>
      </c>
      <c r="L1313">
        <v>1</v>
      </c>
      <c r="M1313">
        <v>0</v>
      </c>
      <c r="N1313" t="s">
        <v>200</v>
      </c>
      <c r="O1313" t="s">
        <v>214</v>
      </c>
      <c r="P1313" t="s">
        <v>208</v>
      </c>
      <c r="Q1313" t="s">
        <v>170</v>
      </c>
      <c r="R1313" t="s">
        <v>155</v>
      </c>
      <c r="T1313" t="s">
        <v>134</v>
      </c>
      <c r="U1313">
        <v>1</v>
      </c>
      <c r="W1313" t="s">
        <v>134</v>
      </c>
      <c r="X1313">
        <v>1</v>
      </c>
      <c r="Y1313" t="s">
        <v>139</v>
      </c>
      <c r="Z1313" t="s">
        <v>180</v>
      </c>
      <c r="AA1313" t="s">
        <v>147</v>
      </c>
      <c r="AB1313" t="s">
        <v>163</v>
      </c>
      <c r="AC1313" t="s">
        <v>173</v>
      </c>
      <c r="AD1313" t="s">
        <v>155</v>
      </c>
      <c r="AE1313" t="s">
        <v>501</v>
      </c>
      <c r="AF1313" t="s">
        <v>21</v>
      </c>
    </row>
    <row r="1314" spans="1:32">
      <c r="A1314" t="s">
        <v>2213</v>
      </c>
      <c r="B1314" s="37">
        <v>39923</v>
      </c>
      <c r="C1314" s="38">
        <v>39923</v>
      </c>
      <c r="D1314" s="38">
        <v>39923</v>
      </c>
      <c r="E1314" s="38">
        <v>39904</v>
      </c>
      <c r="F1314" s="39">
        <v>18</v>
      </c>
      <c r="G1314" t="s">
        <v>21</v>
      </c>
      <c r="H1314" t="s">
        <v>21</v>
      </c>
      <c r="I1314">
        <v>0</v>
      </c>
      <c r="J1314">
        <v>0</v>
      </c>
      <c r="K1314">
        <v>0</v>
      </c>
      <c r="L1314">
        <v>1</v>
      </c>
      <c r="M1314">
        <v>0</v>
      </c>
      <c r="N1314" t="s">
        <v>202</v>
      </c>
      <c r="O1314" t="s">
        <v>213</v>
      </c>
      <c r="P1314" t="s">
        <v>211</v>
      </c>
      <c r="Q1314" t="s">
        <v>170</v>
      </c>
      <c r="R1314" t="s">
        <v>155</v>
      </c>
      <c r="T1314" t="s">
        <v>134</v>
      </c>
      <c r="U1314">
        <v>1</v>
      </c>
      <c r="W1314" t="s">
        <v>134</v>
      </c>
      <c r="X1314">
        <v>1</v>
      </c>
      <c r="Y1314" t="s">
        <v>139</v>
      </c>
      <c r="Z1314" t="s">
        <v>180</v>
      </c>
      <c r="AA1314" t="s">
        <v>145</v>
      </c>
      <c r="AB1314" t="s">
        <v>162</v>
      </c>
      <c r="AC1314" t="s">
        <v>175</v>
      </c>
      <c r="AD1314" t="s">
        <v>155</v>
      </c>
      <c r="AE1314" t="s">
        <v>130</v>
      </c>
      <c r="AF1314" t="s">
        <v>21</v>
      </c>
    </row>
    <row r="1315" spans="1:32">
      <c r="A1315" t="s">
        <v>2214</v>
      </c>
      <c r="B1315" s="37">
        <v>39932</v>
      </c>
      <c r="C1315" s="38">
        <v>39932</v>
      </c>
      <c r="D1315" s="38">
        <v>39930</v>
      </c>
      <c r="E1315" s="38">
        <v>39904</v>
      </c>
      <c r="F1315" s="39">
        <v>27</v>
      </c>
      <c r="G1315" t="s">
        <v>21</v>
      </c>
      <c r="H1315" t="s">
        <v>21</v>
      </c>
      <c r="I1315">
        <v>0</v>
      </c>
      <c r="J1315">
        <v>0</v>
      </c>
      <c r="K1315">
        <v>0</v>
      </c>
      <c r="L1315">
        <v>1</v>
      </c>
      <c r="M1315">
        <v>0</v>
      </c>
      <c r="N1315" t="s">
        <v>200</v>
      </c>
      <c r="O1315" t="s">
        <v>214</v>
      </c>
      <c r="P1315" t="s">
        <v>208</v>
      </c>
      <c r="Q1315" t="s">
        <v>170</v>
      </c>
      <c r="R1315" t="s">
        <v>155</v>
      </c>
      <c r="T1315" t="s">
        <v>134</v>
      </c>
      <c r="U1315">
        <v>1</v>
      </c>
      <c r="W1315" t="s">
        <v>134</v>
      </c>
      <c r="X1315">
        <v>1</v>
      </c>
      <c r="Y1315" t="s">
        <v>139</v>
      </c>
      <c r="Z1315" t="s">
        <v>180</v>
      </c>
      <c r="AA1315" t="s">
        <v>142</v>
      </c>
      <c r="AB1315" t="s">
        <v>163</v>
      </c>
      <c r="AC1315" t="s">
        <v>1228</v>
      </c>
      <c r="AD1315" t="s">
        <v>161</v>
      </c>
      <c r="AE1315" t="s">
        <v>1473</v>
      </c>
      <c r="AF1315" t="s">
        <v>21</v>
      </c>
    </row>
    <row r="1316" spans="1:32">
      <c r="A1316" t="s">
        <v>2215</v>
      </c>
      <c r="B1316" s="37">
        <v>40073</v>
      </c>
      <c r="C1316" s="38">
        <v>40073</v>
      </c>
      <c r="D1316" s="38">
        <v>40070</v>
      </c>
      <c r="E1316" s="38">
        <v>40057</v>
      </c>
      <c r="F1316" s="39">
        <v>168</v>
      </c>
      <c r="G1316" t="s">
        <v>21</v>
      </c>
      <c r="H1316" t="s">
        <v>21</v>
      </c>
      <c r="I1316">
        <v>0</v>
      </c>
      <c r="J1316">
        <v>0</v>
      </c>
      <c r="K1316">
        <v>0</v>
      </c>
      <c r="L1316">
        <v>1</v>
      </c>
      <c r="M1316">
        <v>0</v>
      </c>
      <c r="N1316" t="s">
        <v>197</v>
      </c>
      <c r="O1316" t="s">
        <v>213</v>
      </c>
      <c r="P1316" t="s">
        <v>209</v>
      </c>
      <c r="Q1316" t="s">
        <v>170</v>
      </c>
      <c r="R1316" t="s">
        <v>155</v>
      </c>
      <c r="S1316">
        <v>2</v>
      </c>
      <c r="T1316" t="s">
        <v>136</v>
      </c>
      <c r="U1316">
        <v>0</v>
      </c>
      <c r="V1316">
        <v>3</v>
      </c>
      <c r="W1316" t="s">
        <v>137</v>
      </c>
      <c r="X1316">
        <v>0</v>
      </c>
      <c r="Y1316" t="s">
        <v>139</v>
      </c>
      <c r="Z1316" t="s">
        <v>182</v>
      </c>
      <c r="AA1316" t="s">
        <v>142</v>
      </c>
      <c r="AB1316" t="s">
        <v>162</v>
      </c>
      <c r="AC1316" t="s">
        <v>176</v>
      </c>
      <c r="AD1316" t="s">
        <v>155</v>
      </c>
      <c r="AE1316" t="s">
        <v>129</v>
      </c>
      <c r="AF1316" t="s">
        <v>21</v>
      </c>
    </row>
    <row r="1317" spans="1:32">
      <c r="A1317" t="s">
        <v>2216</v>
      </c>
      <c r="B1317" s="37">
        <v>39933</v>
      </c>
      <c r="C1317" s="38">
        <v>39933</v>
      </c>
      <c r="D1317" s="38">
        <v>39930</v>
      </c>
      <c r="E1317" s="38">
        <v>39904</v>
      </c>
      <c r="F1317" s="39">
        <v>28</v>
      </c>
      <c r="G1317" t="s">
        <v>21</v>
      </c>
      <c r="H1317" t="s">
        <v>21</v>
      </c>
      <c r="I1317">
        <v>0</v>
      </c>
      <c r="J1317">
        <v>0</v>
      </c>
      <c r="K1317">
        <v>0</v>
      </c>
      <c r="L1317">
        <v>1</v>
      </c>
      <c r="M1317">
        <v>0</v>
      </c>
      <c r="N1317" t="s">
        <v>202</v>
      </c>
      <c r="O1317" t="s">
        <v>213</v>
      </c>
      <c r="P1317" t="s">
        <v>211</v>
      </c>
      <c r="Q1317" t="s">
        <v>170</v>
      </c>
      <c r="R1317" t="s">
        <v>155</v>
      </c>
      <c r="T1317" t="s">
        <v>134</v>
      </c>
      <c r="U1317">
        <v>1</v>
      </c>
      <c r="W1317" t="s">
        <v>134</v>
      </c>
      <c r="X1317">
        <v>1</v>
      </c>
      <c r="Y1317" t="s">
        <v>139</v>
      </c>
      <c r="Z1317" t="s">
        <v>180</v>
      </c>
      <c r="AA1317" t="s">
        <v>147</v>
      </c>
      <c r="AB1317" t="s">
        <v>163</v>
      </c>
      <c r="AC1317" t="s">
        <v>173</v>
      </c>
      <c r="AD1317" t="s">
        <v>155</v>
      </c>
      <c r="AE1317" t="s">
        <v>125</v>
      </c>
      <c r="AF1317" t="s">
        <v>21</v>
      </c>
    </row>
    <row r="1318" spans="1:32">
      <c r="A1318" t="s">
        <v>2217</v>
      </c>
      <c r="B1318" s="37">
        <v>40037</v>
      </c>
      <c r="C1318" s="38">
        <v>40037</v>
      </c>
      <c r="D1318" s="38">
        <v>40035</v>
      </c>
      <c r="E1318" s="38">
        <v>40026</v>
      </c>
      <c r="F1318" s="39">
        <v>132</v>
      </c>
      <c r="G1318" t="s">
        <v>21</v>
      </c>
      <c r="H1318" t="s">
        <v>21</v>
      </c>
      <c r="I1318">
        <v>0</v>
      </c>
      <c r="J1318">
        <v>0</v>
      </c>
      <c r="K1318">
        <v>0</v>
      </c>
      <c r="L1318">
        <v>1</v>
      </c>
      <c r="M1318">
        <v>0</v>
      </c>
      <c r="N1318" t="s">
        <v>544</v>
      </c>
      <c r="O1318" t="s">
        <v>213</v>
      </c>
      <c r="P1318" t="s">
        <v>545</v>
      </c>
      <c r="Q1318" t="s">
        <v>170</v>
      </c>
      <c r="R1318" t="s">
        <v>155</v>
      </c>
      <c r="S1318">
        <v>5</v>
      </c>
      <c r="T1318" t="s">
        <v>135</v>
      </c>
      <c r="U1318">
        <v>0</v>
      </c>
      <c r="V1318">
        <v>5</v>
      </c>
      <c r="W1318" t="s">
        <v>135</v>
      </c>
      <c r="X1318">
        <v>0</v>
      </c>
      <c r="Y1318" t="s">
        <v>139</v>
      </c>
      <c r="Z1318" t="s">
        <v>182</v>
      </c>
      <c r="AA1318" t="s">
        <v>144</v>
      </c>
      <c r="AB1318" t="s">
        <v>162</v>
      </c>
      <c r="AC1318" t="s">
        <v>174</v>
      </c>
      <c r="AD1318" t="s">
        <v>159</v>
      </c>
      <c r="AE1318" t="s">
        <v>123</v>
      </c>
      <c r="AF1318" t="s">
        <v>123</v>
      </c>
    </row>
    <row r="1319" spans="1:32">
      <c r="A1319" t="s">
        <v>2218</v>
      </c>
      <c r="B1319" s="37">
        <v>39994</v>
      </c>
      <c r="C1319" s="38">
        <v>39994</v>
      </c>
      <c r="D1319" s="38">
        <v>39993</v>
      </c>
      <c r="E1319" s="38">
        <v>39965</v>
      </c>
      <c r="F1319" s="39">
        <v>89</v>
      </c>
      <c r="G1319" t="s">
        <v>21</v>
      </c>
      <c r="H1319" t="s">
        <v>21</v>
      </c>
      <c r="I1319">
        <v>0</v>
      </c>
      <c r="J1319">
        <v>0</v>
      </c>
      <c r="K1319">
        <v>0</v>
      </c>
      <c r="L1319">
        <v>1</v>
      </c>
      <c r="M1319">
        <v>0</v>
      </c>
      <c r="N1319" t="s">
        <v>197</v>
      </c>
      <c r="O1319" t="s">
        <v>213</v>
      </c>
      <c r="P1319" t="s">
        <v>209</v>
      </c>
      <c r="Q1319" t="s">
        <v>170</v>
      </c>
      <c r="R1319" t="s">
        <v>155</v>
      </c>
      <c r="T1319" t="s">
        <v>134</v>
      </c>
      <c r="U1319">
        <v>1</v>
      </c>
      <c r="V1319">
        <v>5</v>
      </c>
      <c r="W1319" t="s">
        <v>135</v>
      </c>
      <c r="X1319">
        <v>0</v>
      </c>
      <c r="Y1319" t="s">
        <v>139</v>
      </c>
      <c r="Z1319" t="s">
        <v>182</v>
      </c>
      <c r="AA1319" t="s">
        <v>144</v>
      </c>
      <c r="AB1319" t="s">
        <v>162</v>
      </c>
      <c r="AC1319" t="s">
        <v>175</v>
      </c>
      <c r="AD1319" t="s">
        <v>155</v>
      </c>
      <c r="AE1319" t="s">
        <v>127</v>
      </c>
      <c r="AF1319" t="s">
        <v>21</v>
      </c>
    </row>
    <row r="1320" spans="1:32">
      <c r="A1320" t="s">
        <v>2219</v>
      </c>
      <c r="B1320" s="37">
        <v>39932</v>
      </c>
      <c r="C1320" s="38">
        <v>39932</v>
      </c>
      <c r="D1320" s="38">
        <v>39930</v>
      </c>
      <c r="E1320" s="38">
        <v>39904</v>
      </c>
      <c r="F1320" s="39">
        <v>27</v>
      </c>
      <c r="G1320" t="s">
        <v>21</v>
      </c>
      <c r="H1320" t="s">
        <v>21</v>
      </c>
      <c r="I1320">
        <v>0</v>
      </c>
      <c r="J1320">
        <v>0</v>
      </c>
      <c r="K1320">
        <v>0</v>
      </c>
      <c r="L1320">
        <v>1</v>
      </c>
      <c r="M1320">
        <v>0</v>
      </c>
      <c r="N1320" t="s">
        <v>200</v>
      </c>
      <c r="O1320" t="s">
        <v>214</v>
      </c>
      <c r="P1320" t="s">
        <v>208</v>
      </c>
      <c r="Q1320" t="s">
        <v>170</v>
      </c>
      <c r="R1320" t="s">
        <v>155</v>
      </c>
      <c r="T1320" t="s">
        <v>134</v>
      </c>
      <c r="U1320">
        <v>1</v>
      </c>
      <c r="W1320" t="s">
        <v>134</v>
      </c>
      <c r="X1320">
        <v>1</v>
      </c>
      <c r="Y1320" t="s">
        <v>139</v>
      </c>
      <c r="Z1320" t="s">
        <v>182</v>
      </c>
      <c r="AA1320" t="s">
        <v>148</v>
      </c>
      <c r="AB1320" t="s">
        <v>162</v>
      </c>
      <c r="AC1320" t="s">
        <v>176</v>
      </c>
      <c r="AD1320" t="s">
        <v>155</v>
      </c>
      <c r="AE1320" t="s">
        <v>129</v>
      </c>
      <c r="AF1320" t="s">
        <v>21</v>
      </c>
    </row>
    <row r="1321" spans="1:32">
      <c r="A1321" t="s">
        <v>2220</v>
      </c>
      <c r="B1321" s="37">
        <v>40053</v>
      </c>
      <c r="C1321" s="38">
        <v>40053</v>
      </c>
      <c r="D1321" s="38">
        <v>40049</v>
      </c>
      <c r="E1321" s="38">
        <v>40026</v>
      </c>
      <c r="F1321" s="39">
        <v>148</v>
      </c>
      <c r="G1321" t="s">
        <v>21</v>
      </c>
      <c r="H1321" t="s">
        <v>21</v>
      </c>
      <c r="I1321">
        <v>0</v>
      </c>
      <c r="J1321">
        <v>0</v>
      </c>
      <c r="K1321">
        <v>0</v>
      </c>
      <c r="L1321">
        <v>1</v>
      </c>
      <c r="M1321">
        <v>0</v>
      </c>
      <c r="N1321" t="s">
        <v>193</v>
      </c>
      <c r="O1321" t="s">
        <v>213</v>
      </c>
      <c r="P1321" t="s">
        <v>204</v>
      </c>
      <c r="Q1321" t="s">
        <v>170</v>
      </c>
      <c r="R1321" t="s">
        <v>155</v>
      </c>
      <c r="T1321" t="s">
        <v>134</v>
      </c>
      <c r="U1321">
        <v>1</v>
      </c>
      <c r="W1321" t="s">
        <v>134</v>
      </c>
      <c r="X1321">
        <v>1</v>
      </c>
      <c r="Y1321" t="s">
        <v>140</v>
      </c>
      <c r="Z1321" t="s">
        <v>603</v>
      </c>
      <c r="AA1321" t="s">
        <v>142</v>
      </c>
      <c r="AB1321" t="s">
        <v>162</v>
      </c>
      <c r="AC1321" t="s">
        <v>174</v>
      </c>
      <c r="AD1321" t="s">
        <v>156</v>
      </c>
      <c r="AE1321" t="s">
        <v>120</v>
      </c>
      <c r="AF1321" t="s">
        <v>1087</v>
      </c>
    </row>
    <row r="1322" spans="1:32">
      <c r="A1322" t="s">
        <v>2221</v>
      </c>
      <c r="B1322" s="37">
        <v>39957</v>
      </c>
      <c r="C1322" s="38">
        <v>39957</v>
      </c>
      <c r="D1322" s="38">
        <v>39951</v>
      </c>
      <c r="E1322" s="38">
        <v>39934</v>
      </c>
      <c r="F1322" s="39">
        <v>52</v>
      </c>
      <c r="G1322" t="s">
        <v>21</v>
      </c>
      <c r="H1322" t="s">
        <v>21</v>
      </c>
      <c r="I1322">
        <v>0</v>
      </c>
      <c r="J1322">
        <v>0</v>
      </c>
      <c r="K1322">
        <v>0</v>
      </c>
      <c r="L1322">
        <v>1</v>
      </c>
      <c r="M1322">
        <v>0</v>
      </c>
      <c r="N1322" t="s">
        <v>194</v>
      </c>
      <c r="O1322" t="s">
        <v>213</v>
      </c>
      <c r="P1322" t="s">
        <v>205</v>
      </c>
      <c r="Q1322" t="s">
        <v>170</v>
      </c>
      <c r="R1322" t="s">
        <v>155</v>
      </c>
      <c r="T1322" t="s">
        <v>134</v>
      </c>
      <c r="U1322">
        <v>1</v>
      </c>
      <c r="W1322" t="s">
        <v>134</v>
      </c>
      <c r="X1322">
        <v>1</v>
      </c>
      <c r="Y1322" t="s">
        <v>139</v>
      </c>
      <c r="Z1322" t="s">
        <v>178</v>
      </c>
      <c r="AA1322" t="s">
        <v>143</v>
      </c>
      <c r="AB1322" t="s">
        <v>163</v>
      </c>
      <c r="AC1322" t="s">
        <v>173</v>
      </c>
      <c r="AD1322" t="s">
        <v>155</v>
      </c>
      <c r="AE1322" t="s">
        <v>571</v>
      </c>
      <c r="AF1322" t="s">
        <v>21</v>
      </c>
    </row>
    <row r="1323" spans="1:32">
      <c r="A1323" t="s">
        <v>2222</v>
      </c>
      <c r="B1323" s="37">
        <v>40026</v>
      </c>
      <c r="C1323" s="38">
        <v>40026</v>
      </c>
      <c r="D1323" s="38">
        <v>40021</v>
      </c>
      <c r="E1323" s="38">
        <v>40026</v>
      </c>
      <c r="F1323" s="39">
        <v>121</v>
      </c>
      <c r="G1323" t="s">
        <v>21</v>
      </c>
      <c r="H1323" t="s">
        <v>21</v>
      </c>
      <c r="I1323">
        <v>0</v>
      </c>
      <c r="J1323">
        <v>0</v>
      </c>
      <c r="K1323">
        <v>0</v>
      </c>
      <c r="L1323">
        <v>1</v>
      </c>
      <c r="M1323">
        <v>0</v>
      </c>
      <c r="N1323" t="s">
        <v>193</v>
      </c>
      <c r="O1323" t="s">
        <v>213</v>
      </c>
      <c r="P1323" t="s">
        <v>204</v>
      </c>
      <c r="Q1323" t="s">
        <v>170</v>
      </c>
      <c r="R1323" t="s">
        <v>155</v>
      </c>
      <c r="S1323">
        <v>5</v>
      </c>
      <c r="T1323" t="s">
        <v>135</v>
      </c>
      <c r="U1323">
        <v>0</v>
      </c>
      <c r="V1323">
        <v>3</v>
      </c>
      <c r="W1323" t="s">
        <v>137</v>
      </c>
      <c r="X1323">
        <v>0</v>
      </c>
      <c r="Y1323" t="s">
        <v>140</v>
      </c>
      <c r="Z1323" t="s">
        <v>409</v>
      </c>
      <c r="AA1323" t="s">
        <v>142</v>
      </c>
      <c r="AB1323" t="s">
        <v>163</v>
      </c>
      <c r="AC1323" t="s">
        <v>173</v>
      </c>
      <c r="AD1323" t="s">
        <v>155</v>
      </c>
      <c r="AE1323" t="s">
        <v>2223</v>
      </c>
      <c r="AF1323" t="s">
        <v>21</v>
      </c>
    </row>
    <row r="1324" spans="1:32">
      <c r="A1324" t="s">
        <v>2224</v>
      </c>
      <c r="B1324" s="37">
        <v>40073</v>
      </c>
      <c r="C1324" s="38">
        <v>40073</v>
      </c>
      <c r="D1324" s="38">
        <v>40070</v>
      </c>
      <c r="E1324" s="38">
        <v>40057</v>
      </c>
      <c r="F1324" s="39">
        <v>168</v>
      </c>
      <c r="G1324" t="s">
        <v>21</v>
      </c>
      <c r="H1324" t="s">
        <v>21</v>
      </c>
      <c r="I1324">
        <v>0</v>
      </c>
      <c r="J1324">
        <v>0</v>
      </c>
      <c r="K1324">
        <v>0</v>
      </c>
      <c r="L1324">
        <v>1</v>
      </c>
      <c r="M1324">
        <v>0</v>
      </c>
      <c r="N1324" t="s">
        <v>196</v>
      </c>
      <c r="O1324" t="s">
        <v>213</v>
      </c>
      <c r="P1324" t="s">
        <v>207</v>
      </c>
      <c r="Q1324" t="s">
        <v>170</v>
      </c>
      <c r="R1324" t="s">
        <v>155</v>
      </c>
      <c r="S1324">
        <v>5</v>
      </c>
      <c r="T1324" t="s">
        <v>135</v>
      </c>
      <c r="U1324">
        <v>0</v>
      </c>
      <c r="V1324">
        <v>4</v>
      </c>
      <c r="W1324" t="s">
        <v>137</v>
      </c>
      <c r="X1324">
        <v>0</v>
      </c>
      <c r="Y1324" t="s">
        <v>139</v>
      </c>
      <c r="Z1324" t="s">
        <v>178</v>
      </c>
      <c r="AA1324" t="s">
        <v>144</v>
      </c>
      <c r="AB1324" t="s">
        <v>163</v>
      </c>
      <c r="AC1324" t="s">
        <v>1634</v>
      </c>
      <c r="AD1324" t="s">
        <v>155</v>
      </c>
      <c r="AE1324" t="s">
        <v>763</v>
      </c>
      <c r="AF1324" t="s">
        <v>21</v>
      </c>
    </row>
    <row r="1325" spans="1:32">
      <c r="A1325" t="s">
        <v>2225</v>
      </c>
      <c r="B1325" s="37">
        <v>40024</v>
      </c>
      <c r="C1325" s="38">
        <v>40024</v>
      </c>
      <c r="D1325" s="38">
        <v>40021</v>
      </c>
      <c r="E1325" s="38">
        <v>39995</v>
      </c>
      <c r="F1325" s="39">
        <v>119</v>
      </c>
      <c r="G1325" t="s">
        <v>9</v>
      </c>
      <c r="H1325" t="s">
        <v>9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196</v>
      </c>
      <c r="O1325" t="s">
        <v>213</v>
      </c>
      <c r="P1325" t="s">
        <v>207</v>
      </c>
      <c r="Q1325" t="s">
        <v>170</v>
      </c>
      <c r="R1325" t="s">
        <v>155</v>
      </c>
      <c r="S1325">
        <v>5</v>
      </c>
      <c r="T1325" t="s">
        <v>135</v>
      </c>
      <c r="U1325">
        <v>0</v>
      </c>
      <c r="V1325">
        <v>5</v>
      </c>
      <c r="W1325" t="s">
        <v>135</v>
      </c>
      <c r="X1325">
        <v>0</v>
      </c>
      <c r="Y1325" t="s">
        <v>139</v>
      </c>
      <c r="Z1325" t="s">
        <v>178</v>
      </c>
      <c r="AA1325" t="s">
        <v>145</v>
      </c>
      <c r="AB1325" t="s">
        <v>162</v>
      </c>
      <c r="AC1325" t="s">
        <v>174</v>
      </c>
      <c r="AD1325" t="s">
        <v>156</v>
      </c>
      <c r="AE1325" t="s">
        <v>120</v>
      </c>
      <c r="AF1325" t="s">
        <v>1404</v>
      </c>
    </row>
    <row r="1326" spans="1:32">
      <c r="A1326" t="s">
        <v>2226</v>
      </c>
      <c r="B1326" s="37">
        <v>39922</v>
      </c>
      <c r="C1326" s="38">
        <v>39922</v>
      </c>
      <c r="D1326" s="38">
        <v>39916</v>
      </c>
      <c r="E1326" s="38">
        <v>39904</v>
      </c>
      <c r="F1326" s="39">
        <v>17</v>
      </c>
      <c r="G1326" t="s">
        <v>21</v>
      </c>
      <c r="H1326" t="s">
        <v>21</v>
      </c>
      <c r="I1326">
        <v>0</v>
      </c>
      <c r="J1326">
        <v>0</v>
      </c>
      <c r="K1326">
        <v>0</v>
      </c>
      <c r="L1326">
        <v>1</v>
      </c>
      <c r="M1326">
        <v>0</v>
      </c>
      <c r="N1326" t="s">
        <v>202</v>
      </c>
      <c r="O1326" t="s">
        <v>213</v>
      </c>
      <c r="P1326" t="s">
        <v>211</v>
      </c>
      <c r="Q1326" t="s">
        <v>170</v>
      </c>
      <c r="R1326" t="s">
        <v>155</v>
      </c>
      <c r="T1326" t="s">
        <v>134</v>
      </c>
      <c r="U1326">
        <v>1</v>
      </c>
      <c r="W1326" t="s">
        <v>134</v>
      </c>
      <c r="X1326">
        <v>1</v>
      </c>
      <c r="Y1326" t="s">
        <v>139</v>
      </c>
      <c r="Z1326" t="s">
        <v>178</v>
      </c>
      <c r="AA1326" t="s">
        <v>145</v>
      </c>
      <c r="AB1326" t="s">
        <v>162</v>
      </c>
      <c r="AC1326" t="s">
        <v>174</v>
      </c>
      <c r="AD1326" t="s">
        <v>160</v>
      </c>
      <c r="AE1326" t="s">
        <v>392</v>
      </c>
      <c r="AF1326" t="s">
        <v>393</v>
      </c>
    </row>
    <row r="1327" spans="1:32">
      <c r="A1327" t="s">
        <v>2227</v>
      </c>
      <c r="B1327" s="37">
        <v>40044</v>
      </c>
      <c r="C1327" s="38">
        <v>40044</v>
      </c>
      <c r="D1327" s="38">
        <v>40042</v>
      </c>
      <c r="E1327" s="38">
        <v>40026</v>
      </c>
      <c r="F1327" s="39">
        <v>139</v>
      </c>
      <c r="G1327" t="s">
        <v>21</v>
      </c>
      <c r="H1327" t="s">
        <v>21</v>
      </c>
      <c r="I1327">
        <v>0</v>
      </c>
      <c r="J1327">
        <v>0</v>
      </c>
      <c r="K1327">
        <v>0</v>
      </c>
      <c r="L1327">
        <v>1</v>
      </c>
      <c r="M1327">
        <v>0</v>
      </c>
      <c r="N1327" t="s">
        <v>193</v>
      </c>
      <c r="O1327" t="s">
        <v>213</v>
      </c>
      <c r="P1327" t="s">
        <v>204</v>
      </c>
      <c r="Q1327" t="s">
        <v>170</v>
      </c>
      <c r="R1327" t="s">
        <v>155</v>
      </c>
      <c r="S1327">
        <v>5</v>
      </c>
      <c r="T1327" t="s">
        <v>135</v>
      </c>
      <c r="U1327">
        <v>0</v>
      </c>
      <c r="V1327">
        <v>5</v>
      </c>
      <c r="W1327" t="s">
        <v>135</v>
      </c>
      <c r="X1327">
        <v>0</v>
      </c>
      <c r="Y1327" t="s">
        <v>140</v>
      </c>
      <c r="Z1327" t="s">
        <v>178</v>
      </c>
      <c r="AA1327" t="s">
        <v>145</v>
      </c>
      <c r="AB1327" t="s">
        <v>162</v>
      </c>
      <c r="AC1327" t="s">
        <v>174</v>
      </c>
      <c r="AD1327" t="s">
        <v>156</v>
      </c>
      <c r="AE1327" t="s">
        <v>120</v>
      </c>
      <c r="AF1327" t="s">
        <v>2228</v>
      </c>
    </row>
    <row r="1328" spans="1:32">
      <c r="A1328" t="s">
        <v>2229</v>
      </c>
      <c r="B1328" s="37">
        <v>40020</v>
      </c>
      <c r="C1328" s="38">
        <v>40020</v>
      </c>
      <c r="D1328" s="38">
        <v>40014</v>
      </c>
      <c r="E1328" s="38">
        <v>39995</v>
      </c>
      <c r="F1328" s="39">
        <v>115</v>
      </c>
      <c r="G1328" t="s">
        <v>380</v>
      </c>
      <c r="H1328" t="s">
        <v>17</v>
      </c>
      <c r="I1328">
        <v>0</v>
      </c>
      <c r="J1328">
        <v>0</v>
      </c>
      <c r="K1328">
        <v>1</v>
      </c>
      <c r="L1328">
        <v>0</v>
      </c>
      <c r="M1328">
        <v>0</v>
      </c>
      <c r="N1328" t="s">
        <v>193</v>
      </c>
      <c r="O1328" t="s">
        <v>213</v>
      </c>
      <c r="P1328" t="s">
        <v>204</v>
      </c>
      <c r="Q1328" t="s">
        <v>170</v>
      </c>
      <c r="R1328" t="s">
        <v>155</v>
      </c>
      <c r="S1328">
        <v>5</v>
      </c>
      <c r="T1328" t="s">
        <v>135</v>
      </c>
      <c r="U1328">
        <v>0</v>
      </c>
      <c r="V1328">
        <v>3</v>
      </c>
      <c r="W1328" t="s">
        <v>137</v>
      </c>
      <c r="X1328">
        <v>0</v>
      </c>
      <c r="Y1328" t="s">
        <v>140</v>
      </c>
      <c r="Z1328" t="s">
        <v>178</v>
      </c>
      <c r="AA1328" t="s">
        <v>143</v>
      </c>
      <c r="AB1328" t="s">
        <v>162</v>
      </c>
      <c r="AC1328" t="s">
        <v>176</v>
      </c>
      <c r="AD1328" t="s">
        <v>540</v>
      </c>
      <c r="AE1328" t="s">
        <v>123</v>
      </c>
      <c r="AF1328" t="s">
        <v>123</v>
      </c>
    </row>
    <row r="1329" spans="1:32">
      <c r="A1329" t="s">
        <v>2230</v>
      </c>
      <c r="B1329" s="37">
        <v>40055</v>
      </c>
      <c r="C1329" s="38">
        <v>40055</v>
      </c>
      <c r="D1329" s="38">
        <v>40049</v>
      </c>
      <c r="E1329" s="38">
        <v>40026</v>
      </c>
      <c r="F1329" s="39">
        <v>150</v>
      </c>
      <c r="G1329" t="s">
        <v>21</v>
      </c>
      <c r="H1329" t="s">
        <v>21</v>
      </c>
      <c r="I1329">
        <v>0</v>
      </c>
      <c r="J1329">
        <v>0</v>
      </c>
      <c r="K1329">
        <v>0</v>
      </c>
      <c r="L1329">
        <v>1</v>
      </c>
      <c r="M1329">
        <v>0</v>
      </c>
      <c r="N1329" t="s">
        <v>195</v>
      </c>
      <c r="O1329" t="s">
        <v>213</v>
      </c>
      <c r="P1329" t="s">
        <v>206</v>
      </c>
      <c r="Q1329" t="s">
        <v>170</v>
      </c>
      <c r="R1329" t="s">
        <v>155</v>
      </c>
      <c r="S1329">
        <v>5</v>
      </c>
      <c r="T1329" t="s">
        <v>135</v>
      </c>
      <c r="U1329">
        <v>0</v>
      </c>
      <c r="V1329">
        <v>5</v>
      </c>
      <c r="W1329" t="s">
        <v>135</v>
      </c>
      <c r="X1329">
        <v>0</v>
      </c>
      <c r="Y1329" t="s">
        <v>139</v>
      </c>
      <c r="Z1329" t="s">
        <v>178</v>
      </c>
      <c r="AA1329" t="s">
        <v>143</v>
      </c>
      <c r="AB1329" t="s">
        <v>165</v>
      </c>
      <c r="AC1329" t="s">
        <v>2231</v>
      </c>
      <c r="AD1329" t="s">
        <v>158</v>
      </c>
      <c r="AE1329" t="s">
        <v>122</v>
      </c>
      <c r="AF1329" t="s">
        <v>21</v>
      </c>
    </row>
    <row r="1330" spans="1:32">
      <c r="A1330" t="s">
        <v>2232</v>
      </c>
      <c r="B1330" s="37">
        <v>39979</v>
      </c>
      <c r="C1330" s="38">
        <v>39979</v>
      </c>
      <c r="D1330" s="38">
        <v>39979</v>
      </c>
      <c r="E1330" s="38">
        <v>39965</v>
      </c>
      <c r="F1330" s="39">
        <v>74</v>
      </c>
      <c r="G1330" t="s">
        <v>21</v>
      </c>
      <c r="H1330" t="s">
        <v>21</v>
      </c>
      <c r="I1330">
        <v>0</v>
      </c>
      <c r="J1330">
        <v>0</v>
      </c>
      <c r="K1330">
        <v>0</v>
      </c>
      <c r="L1330">
        <v>1</v>
      </c>
      <c r="M1330">
        <v>0</v>
      </c>
      <c r="N1330" t="s">
        <v>193</v>
      </c>
      <c r="O1330" t="s">
        <v>213</v>
      </c>
      <c r="P1330" t="s">
        <v>204</v>
      </c>
      <c r="Q1330" t="s">
        <v>170</v>
      </c>
      <c r="R1330" t="s">
        <v>155</v>
      </c>
      <c r="T1330" t="s">
        <v>134</v>
      </c>
      <c r="U1330">
        <v>1</v>
      </c>
      <c r="W1330" t="s">
        <v>134</v>
      </c>
      <c r="X1330">
        <v>1</v>
      </c>
      <c r="Y1330" t="s">
        <v>140</v>
      </c>
      <c r="Z1330" t="s">
        <v>178</v>
      </c>
      <c r="AA1330" t="s">
        <v>150</v>
      </c>
      <c r="AB1330" t="s">
        <v>162</v>
      </c>
      <c r="AC1330" t="s">
        <v>1550</v>
      </c>
      <c r="AD1330" t="s">
        <v>156</v>
      </c>
      <c r="AE1330" t="s">
        <v>120</v>
      </c>
      <c r="AF1330" t="s">
        <v>609</v>
      </c>
    </row>
    <row r="1331" spans="1:32">
      <c r="A1331" t="s">
        <v>2233</v>
      </c>
      <c r="B1331" s="37">
        <v>39919</v>
      </c>
      <c r="C1331" s="38">
        <v>39919</v>
      </c>
      <c r="D1331" s="38">
        <v>39916</v>
      </c>
      <c r="E1331" s="38">
        <v>39904</v>
      </c>
      <c r="F1331" s="39">
        <v>14</v>
      </c>
      <c r="G1331" t="s">
        <v>380</v>
      </c>
      <c r="H1331" t="s">
        <v>17</v>
      </c>
      <c r="I1331">
        <v>0</v>
      </c>
      <c r="J1331">
        <v>0</v>
      </c>
      <c r="K1331">
        <v>1</v>
      </c>
      <c r="L1331">
        <v>0</v>
      </c>
      <c r="M1331">
        <v>0</v>
      </c>
      <c r="N1331" t="s">
        <v>201</v>
      </c>
      <c r="O1331" t="s">
        <v>214</v>
      </c>
      <c r="P1331" t="s">
        <v>204</v>
      </c>
      <c r="Q1331" t="s">
        <v>170</v>
      </c>
      <c r="R1331" t="s">
        <v>155</v>
      </c>
      <c r="T1331" t="s">
        <v>134</v>
      </c>
      <c r="U1331">
        <v>1</v>
      </c>
      <c r="W1331" t="s">
        <v>134</v>
      </c>
      <c r="X1331">
        <v>1</v>
      </c>
      <c r="Y1331" t="s">
        <v>140</v>
      </c>
      <c r="Z1331" t="s">
        <v>178</v>
      </c>
      <c r="AA1331" t="s">
        <v>142</v>
      </c>
      <c r="AB1331" t="s">
        <v>163</v>
      </c>
      <c r="AC1331" t="s">
        <v>2234</v>
      </c>
      <c r="AD1331" t="s">
        <v>155</v>
      </c>
      <c r="AE1331" t="s">
        <v>1133</v>
      </c>
      <c r="AF1331" t="s">
        <v>21</v>
      </c>
    </row>
    <row r="1332" spans="1:32">
      <c r="A1332" t="s">
        <v>2235</v>
      </c>
      <c r="B1332" s="37">
        <v>39991</v>
      </c>
      <c r="C1332" s="38">
        <v>39991</v>
      </c>
      <c r="D1332" s="38">
        <v>39986</v>
      </c>
      <c r="E1332" s="38">
        <v>39965</v>
      </c>
      <c r="F1332" s="39">
        <v>86</v>
      </c>
      <c r="G1332" t="s">
        <v>21</v>
      </c>
      <c r="H1332" t="s">
        <v>21</v>
      </c>
      <c r="I1332">
        <v>0</v>
      </c>
      <c r="J1332">
        <v>0</v>
      </c>
      <c r="K1332">
        <v>0</v>
      </c>
      <c r="L1332">
        <v>1</v>
      </c>
      <c r="M1332">
        <v>0</v>
      </c>
      <c r="N1332" t="s">
        <v>544</v>
      </c>
      <c r="O1332" t="s">
        <v>213</v>
      </c>
      <c r="P1332" t="s">
        <v>545</v>
      </c>
      <c r="Q1332" t="s">
        <v>170</v>
      </c>
      <c r="R1332" t="s">
        <v>155</v>
      </c>
      <c r="T1332" t="s">
        <v>134</v>
      </c>
      <c r="U1332">
        <v>1</v>
      </c>
      <c r="V1332">
        <v>5</v>
      </c>
      <c r="W1332" t="s">
        <v>135</v>
      </c>
      <c r="X1332">
        <v>0</v>
      </c>
      <c r="Y1332" t="s">
        <v>139</v>
      </c>
      <c r="Z1332" t="s">
        <v>178</v>
      </c>
      <c r="AA1332" t="s">
        <v>142</v>
      </c>
      <c r="AB1332" t="s">
        <v>162</v>
      </c>
      <c r="AC1332" t="s">
        <v>174</v>
      </c>
      <c r="AD1332" t="s">
        <v>157</v>
      </c>
      <c r="AE1332" t="s">
        <v>571</v>
      </c>
      <c r="AF1332" t="s">
        <v>636</v>
      </c>
    </row>
    <row r="1333" spans="1:32">
      <c r="A1333" t="s">
        <v>2236</v>
      </c>
      <c r="B1333" s="37">
        <v>40055</v>
      </c>
      <c r="C1333" s="38">
        <v>40055</v>
      </c>
      <c r="D1333" s="38">
        <v>40049</v>
      </c>
      <c r="E1333" s="38">
        <v>40026</v>
      </c>
      <c r="F1333" s="39">
        <v>150</v>
      </c>
      <c r="G1333" t="s">
        <v>21</v>
      </c>
      <c r="H1333" t="s">
        <v>21</v>
      </c>
      <c r="I1333">
        <v>0</v>
      </c>
      <c r="J1333">
        <v>0</v>
      </c>
      <c r="K1333">
        <v>0</v>
      </c>
      <c r="L1333">
        <v>1</v>
      </c>
      <c r="M1333">
        <v>0</v>
      </c>
      <c r="N1333" t="s">
        <v>193</v>
      </c>
      <c r="O1333" t="s">
        <v>213</v>
      </c>
      <c r="P1333" t="s">
        <v>204</v>
      </c>
      <c r="Q1333" t="s">
        <v>170</v>
      </c>
      <c r="R1333" t="s">
        <v>155</v>
      </c>
      <c r="S1333">
        <v>5</v>
      </c>
      <c r="T1333" t="s">
        <v>135</v>
      </c>
      <c r="U1333">
        <v>0</v>
      </c>
      <c r="V1333">
        <v>2</v>
      </c>
      <c r="W1333" t="s">
        <v>136</v>
      </c>
      <c r="X1333">
        <v>0</v>
      </c>
      <c r="Y1333" t="s">
        <v>140</v>
      </c>
      <c r="Z1333" t="s">
        <v>178</v>
      </c>
      <c r="AA1333" t="s">
        <v>142</v>
      </c>
      <c r="AB1333" t="s">
        <v>162</v>
      </c>
      <c r="AC1333" t="s">
        <v>175</v>
      </c>
      <c r="AD1333" t="s">
        <v>159</v>
      </c>
      <c r="AE1333" t="s">
        <v>126</v>
      </c>
      <c r="AF1333" t="s">
        <v>601</v>
      </c>
    </row>
    <row r="1334" spans="1:32">
      <c r="A1334" t="s">
        <v>2237</v>
      </c>
      <c r="B1334" s="37">
        <v>40004</v>
      </c>
      <c r="C1334" s="38">
        <v>40004</v>
      </c>
      <c r="D1334" s="38">
        <v>40000</v>
      </c>
      <c r="E1334" s="38">
        <v>39995</v>
      </c>
      <c r="F1334" s="39">
        <v>99</v>
      </c>
      <c r="G1334" t="s">
        <v>21</v>
      </c>
      <c r="H1334" t="s">
        <v>21</v>
      </c>
      <c r="I1334">
        <v>0</v>
      </c>
      <c r="J1334">
        <v>0</v>
      </c>
      <c r="K1334">
        <v>0</v>
      </c>
      <c r="L1334">
        <v>1</v>
      </c>
      <c r="M1334">
        <v>0</v>
      </c>
      <c r="N1334" t="s">
        <v>193</v>
      </c>
      <c r="O1334" t="s">
        <v>213</v>
      </c>
      <c r="P1334" t="s">
        <v>204</v>
      </c>
      <c r="Q1334" t="s">
        <v>170</v>
      </c>
      <c r="R1334" t="s">
        <v>155</v>
      </c>
      <c r="T1334" t="s">
        <v>134</v>
      </c>
      <c r="U1334">
        <v>1</v>
      </c>
      <c r="V1334">
        <v>4</v>
      </c>
      <c r="W1334" t="s">
        <v>137</v>
      </c>
      <c r="X1334">
        <v>0</v>
      </c>
      <c r="Y1334" t="s">
        <v>140</v>
      </c>
      <c r="Z1334" t="s">
        <v>178</v>
      </c>
      <c r="AA1334" t="s">
        <v>148</v>
      </c>
      <c r="AB1334" t="s">
        <v>162</v>
      </c>
      <c r="AC1334" t="s">
        <v>1231</v>
      </c>
      <c r="AD1334" t="s">
        <v>155</v>
      </c>
      <c r="AE1334" t="s">
        <v>130</v>
      </c>
      <c r="AF1334" t="s">
        <v>21</v>
      </c>
    </row>
    <row r="1335" spans="1:32">
      <c r="A1335" t="s">
        <v>2238</v>
      </c>
      <c r="B1335" s="37">
        <v>40039</v>
      </c>
      <c r="C1335" s="38">
        <v>40039</v>
      </c>
      <c r="D1335" s="38">
        <v>40035</v>
      </c>
      <c r="E1335" s="38">
        <v>40026</v>
      </c>
      <c r="F1335" s="39">
        <v>134</v>
      </c>
      <c r="G1335" t="s">
        <v>21</v>
      </c>
      <c r="H1335" t="s">
        <v>21</v>
      </c>
      <c r="I1335">
        <v>0</v>
      </c>
      <c r="J1335">
        <v>0</v>
      </c>
      <c r="K1335">
        <v>0</v>
      </c>
      <c r="L1335">
        <v>1</v>
      </c>
      <c r="M1335">
        <v>0</v>
      </c>
      <c r="N1335" t="s">
        <v>193</v>
      </c>
      <c r="O1335" t="s">
        <v>213</v>
      </c>
      <c r="P1335" t="s">
        <v>204</v>
      </c>
      <c r="Q1335" t="s">
        <v>170</v>
      </c>
      <c r="R1335" t="s">
        <v>155</v>
      </c>
      <c r="S1335">
        <v>5</v>
      </c>
      <c r="T1335" t="s">
        <v>135</v>
      </c>
      <c r="U1335">
        <v>0</v>
      </c>
      <c r="V1335">
        <v>3</v>
      </c>
      <c r="W1335" t="s">
        <v>137</v>
      </c>
      <c r="X1335">
        <v>0</v>
      </c>
      <c r="Y1335" t="s">
        <v>140</v>
      </c>
      <c r="Z1335" t="s">
        <v>178</v>
      </c>
      <c r="AA1335" t="s">
        <v>143</v>
      </c>
      <c r="AB1335" t="s">
        <v>162</v>
      </c>
      <c r="AC1335" t="s">
        <v>21</v>
      </c>
      <c r="AD1335" t="s">
        <v>160</v>
      </c>
      <c r="AE1335" t="s">
        <v>484</v>
      </c>
      <c r="AF1335" t="s">
        <v>924</v>
      </c>
    </row>
    <row r="1336" spans="1:32">
      <c r="A1336" t="s">
        <v>2239</v>
      </c>
      <c r="B1336" s="37">
        <v>40008</v>
      </c>
      <c r="C1336" s="38">
        <v>40008</v>
      </c>
      <c r="D1336" s="38">
        <v>40007</v>
      </c>
      <c r="E1336" s="38">
        <v>39995</v>
      </c>
      <c r="F1336" s="39">
        <v>103</v>
      </c>
      <c r="G1336" t="s">
        <v>380</v>
      </c>
      <c r="H1336" t="s">
        <v>17</v>
      </c>
      <c r="I1336">
        <v>0</v>
      </c>
      <c r="J1336">
        <v>0</v>
      </c>
      <c r="K1336">
        <v>1</v>
      </c>
      <c r="L1336">
        <v>0</v>
      </c>
      <c r="M1336">
        <v>0</v>
      </c>
      <c r="N1336" t="s">
        <v>193</v>
      </c>
      <c r="O1336" t="s">
        <v>213</v>
      </c>
      <c r="P1336" t="s">
        <v>204</v>
      </c>
      <c r="Q1336" t="s">
        <v>170</v>
      </c>
      <c r="R1336" t="s">
        <v>155</v>
      </c>
      <c r="T1336" t="s">
        <v>134</v>
      </c>
      <c r="U1336">
        <v>1</v>
      </c>
      <c r="W1336" t="s">
        <v>134</v>
      </c>
      <c r="X1336">
        <v>1</v>
      </c>
      <c r="Y1336" t="s">
        <v>140</v>
      </c>
      <c r="Z1336" t="s">
        <v>178</v>
      </c>
      <c r="AA1336" t="s">
        <v>149</v>
      </c>
      <c r="AB1336" t="s">
        <v>162</v>
      </c>
      <c r="AC1336" t="s">
        <v>175</v>
      </c>
      <c r="AD1336" t="s">
        <v>155</v>
      </c>
      <c r="AE1336" t="s">
        <v>130</v>
      </c>
      <c r="AF1336" t="s">
        <v>21</v>
      </c>
    </row>
    <row r="1337" spans="1:32">
      <c r="A1337" t="s">
        <v>2240</v>
      </c>
      <c r="B1337" s="37">
        <v>39917</v>
      </c>
      <c r="C1337" s="38">
        <v>39917</v>
      </c>
      <c r="D1337" s="38">
        <v>39916</v>
      </c>
      <c r="E1337" s="38">
        <v>39904</v>
      </c>
      <c r="F1337" s="39">
        <v>12</v>
      </c>
      <c r="G1337" t="s">
        <v>9</v>
      </c>
      <c r="H1337" t="s">
        <v>9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199</v>
      </c>
      <c r="O1337" t="s">
        <v>213</v>
      </c>
      <c r="P1337" t="s">
        <v>210</v>
      </c>
      <c r="Q1337" t="s">
        <v>170</v>
      </c>
      <c r="R1337" t="s">
        <v>155</v>
      </c>
      <c r="T1337" t="s">
        <v>134</v>
      </c>
      <c r="U1337">
        <v>1</v>
      </c>
      <c r="W1337" t="s">
        <v>134</v>
      </c>
      <c r="X1337">
        <v>1</v>
      </c>
      <c r="Y1337" t="s">
        <v>139</v>
      </c>
      <c r="Z1337" t="s">
        <v>178</v>
      </c>
      <c r="AA1337" t="s">
        <v>147</v>
      </c>
      <c r="AB1337" t="s">
        <v>162</v>
      </c>
      <c r="AC1337" t="s">
        <v>175</v>
      </c>
      <c r="AD1337" t="s">
        <v>155</v>
      </c>
      <c r="AE1337" t="s">
        <v>439</v>
      </c>
      <c r="AF1337" t="s">
        <v>21</v>
      </c>
    </row>
    <row r="1338" spans="1:32">
      <c r="A1338" t="s">
        <v>2241</v>
      </c>
      <c r="B1338" s="37">
        <v>39966</v>
      </c>
      <c r="C1338" s="38">
        <v>39966</v>
      </c>
      <c r="D1338" s="38">
        <v>39965</v>
      </c>
      <c r="E1338" s="38">
        <v>39965</v>
      </c>
      <c r="F1338" s="39">
        <v>61</v>
      </c>
      <c r="G1338" t="s">
        <v>21</v>
      </c>
      <c r="H1338" t="s">
        <v>21</v>
      </c>
      <c r="I1338">
        <v>0</v>
      </c>
      <c r="J1338">
        <v>0</v>
      </c>
      <c r="K1338">
        <v>0</v>
      </c>
      <c r="L1338">
        <v>1</v>
      </c>
      <c r="M1338">
        <v>0</v>
      </c>
      <c r="N1338" t="s">
        <v>195</v>
      </c>
      <c r="O1338" t="s">
        <v>213</v>
      </c>
      <c r="P1338" t="s">
        <v>206</v>
      </c>
      <c r="Q1338" t="s">
        <v>170</v>
      </c>
      <c r="R1338" t="s">
        <v>155</v>
      </c>
      <c r="T1338" t="s">
        <v>134</v>
      </c>
      <c r="U1338">
        <v>1</v>
      </c>
      <c r="W1338" t="s">
        <v>134</v>
      </c>
      <c r="X1338">
        <v>1</v>
      </c>
      <c r="Y1338" t="s">
        <v>139</v>
      </c>
      <c r="Z1338" t="s">
        <v>178</v>
      </c>
      <c r="AA1338" t="s">
        <v>145</v>
      </c>
      <c r="AB1338" t="s">
        <v>162</v>
      </c>
      <c r="AC1338" t="s">
        <v>175</v>
      </c>
      <c r="AD1338" t="s">
        <v>155</v>
      </c>
      <c r="AE1338" t="s">
        <v>130</v>
      </c>
      <c r="AF1338" t="s">
        <v>21</v>
      </c>
    </row>
    <row r="1339" spans="1:32">
      <c r="A1339" t="s">
        <v>2242</v>
      </c>
      <c r="B1339" s="37">
        <v>39945</v>
      </c>
      <c r="C1339" s="38">
        <v>39945</v>
      </c>
      <c r="D1339" s="38">
        <v>39944</v>
      </c>
      <c r="E1339" s="38">
        <v>39934</v>
      </c>
      <c r="F1339" s="39">
        <v>40</v>
      </c>
      <c r="G1339" t="s">
        <v>21</v>
      </c>
      <c r="H1339" t="s">
        <v>21</v>
      </c>
      <c r="I1339">
        <v>0</v>
      </c>
      <c r="J1339">
        <v>0</v>
      </c>
      <c r="K1339">
        <v>0</v>
      </c>
      <c r="L1339">
        <v>1</v>
      </c>
      <c r="M1339">
        <v>0</v>
      </c>
      <c r="N1339" t="s">
        <v>194</v>
      </c>
      <c r="O1339" t="s">
        <v>213</v>
      </c>
      <c r="P1339" t="s">
        <v>205</v>
      </c>
      <c r="Q1339" t="s">
        <v>170</v>
      </c>
      <c r="R1339" t="s">
        <v>155</v>
      </c>
      <c r="T1339" t="s">
        <v>134</v>
      </c>
      <c r="U1339">
        <v>1</v>
      </c>
      <c r="W1339" t="s">
        <v>134</v>
      </c>
      <c r="X1339">
        <v>1</v>
      </c>
      <c r="Y1339" t="s">
        <v>139</v>
      </c>
      <c r="Z1339" t="s">
        <v>409</v>
      </c>
      <c r="AA1339" t="s">
        <v>145</v>
      </c>
      <c r="AB1339" t="s">
        <v>163</v>
      </c>
      <c r="AC1339" t="s">
        <v>415</v>
      </c>
      <c r="AD1339" t="s">
        <v>155</v>
      </c>
      <c r="AE1339" t="s">
        <v>125</v>
      </c>
      <c r="AF1339" t="s">
        <v>21</v>
      </c>
    </row>
    <row r="1340" spans="1:32">
      <c r="A1340" t="s">
        <v>2243</v>
      </c>
      <c r="B1340" s="37">
        <v>39956</v>
      </c>
      <c r="C1340" s="38">
        <v>39956</v>
      </c>
      <c r="D1340" s="38">
        <v>39951</v>
      </c>
      <c r="E1340" s="38">
        <v>39934</v>
      </c>
      <c r="F1340" s="39">
        <v>51</v>
      </c>
      <c r="G1340" t="s">
        <v>21</v>
      </c>
      <c r="H1340" t="s">
        <v>21</v>
      </c>
      <c r="I1340">
        <v>0</v>
      </c>
      <c r="J1340">
        <v>0</v>
      </c>
      <c r="K1340">
        <v>0</v>
      </c>
      <c r="L1340">
        <v>1</v>
      </c>
      <c r="M1340">
        <v>0</v>
      </c>
      <c r="N1340" t="s">
        <v>195</v>
      </c>
      <c r="O1340" t="s">
        <v>213</v>
      </c>
      <c r="P1340" t="s">
        <v>206</v>
      </c>
      <c r="Q1340" t="s">
        <v>170</v>
      </c>
      <c r="R1340" t="s">
        <v>155</v>
      </c>
      <c r="T1340" t="s">
        <v>134</v>
      </c>
      <c r="U1340">
        <v>1</v>
      </c>
      <c r="W1340" t="s">
        <v>134</v>
      </c>
      <c r="X1340">
        <v>1</v>
      </c>
      <c r="Y1340" t="s">
        <v>139</v>
      </c>
      <c r="Z1340" t="s">
        <v>178</v>
      </c>
      <c r="AA1340" t="s">
        <v>143</v>
      </c>
      <c r="AB1340" t="s">
        <v>162</v>
      </c>
      <c r="AC1340" t="s">
        <v>174</v>
      </c>
      <c r="AD1340" t="s">
        <v>159</v>
      </c>
      <c r="AE1340" t="s">
        <v>126</v>
      </c>
      <c r="AF1340" t="s">
        <v>601</v>
      </c>
    </row>
    <row r="1341" spans="1:32">
      <c r="A1341" t="s">
        <v>2244</v>
      </c>
      <c r="B1341" s="37">
        <v>40056</v>
      </c>
      <c r="C1341" s="38">
        <v>40056</v>
      </c>
      <c r="D1341" s="38">
        <v>40056</v>
      </c>
      <c r="E1341" s="38">
        <v>40026</v>
      </c>
      <c r="F1341" s="39">
        <v>151</v>
      </c>
      <c r="G1341" t="s">
        <v>21</v>
      </c>
      <c r="H1341" t="s">
        <v>21</v>
      </c>
      <c r="I1341">
        <v>0</v>
      </c>
      <c r="J1341">
        <v>0</v>
      </c>
      <c r="K1341">
        <v>0</v>
      </c>
      <c r="L1341">
        <v>1</v>
      </c>
      <c r="M1341">
        <v>0</v>
      </c>
      <c r="N1341" t="s">
        <v>193</v>
      </c>
      <c r="O1341" t="s">
        <v>213</v>
      </c>
      <c r="P1341" t="s">
        <v>204</v>
      </c>
      <c r="Q1341" t="s">
        <v>170</v>
      </c>
      <c r="R1341" t="s">
        <v>155</v>
      </c>
      <c r="S1341">
        <v>5</v>
      </c>
      <c r="T1341" t="s">
        <v>135</v>
      </c>
      <c r="U1341">
        <v>0</v>
      </c>
      <c r="V1341">
        <v>5</v>
      </c>
      <c r="W1341" t="s">
        <v>135</v>
      </c>
      <c r="X1341">
        <v>0</v>
      </c>
      <c r="Y1341" t="s">
        <v>140</v>
      </c>
      <c r="Z1341" t="s">
        <v>178</v>
      </c>
      <c r="AA1341" t="s">
        <v>144</v>
      </c>
      <c r="AB1341" t="s">
        <v>162</v>
      </c>
      <c r="AC1341" t="s">
        <v>174</v>
      </c>
      <c r="AD1341" t="s">
        <v>156</v>
      </c>
      <c r="AE1341" t="s">
        <v>120</v>
      </c>
      <c r="AF1341" t="s">
        <v>2245</v>
      </c>
    </row>
    <row r="1342" spans="1:32">
      <c r="A1342" t="s">
        <v>2246</v>
      </c>
      <c r="B1342" s="37">
        <v>40043</v>
      </c>
      <c r="C1342" s="38">
        <v>40043</v>
      </c>
      <c r="D1342" s="38">
        <v>40042</v>
      </c>
      <c r="E1342" s="38">
        <v>40026</v>
      </c>
      <c r="F1342" s="39">
        <v>138</v>
      </c>
      <c r="G1342" t="s">
        <v>21</v>
      </c>
      <c r="H1342" t="s">
        <v>21</v>
      </c>
      <c r="I1342">
        <v>0</v>
      </c>
      <c r="J1342">
        <v>0</v>
      </c>
      <c r="K1342">
        <v>0</v>
      </c>
      <c r="L1342">
        <v>1</v>
      </c>
      <c r="M1342">
        <v>0</v>
      </c>
      <c r="N1342" t="s">
        <v>195</v>
      </c>
      <c r="O1342" t="s">
        <v>213</v>
      </c>
      <c r="P1342" t="s">
        <v>206</v>
      </c>
      <c r="Q1342" t="s">
        <v>170</v>
      </c>
      <c r="R1342" t="s">
        <v>155</v>
      </c>
      <c r="S1342">
        <v>5</v>
      </c>
      <c r="T1342" t="s">
        <v>135</v>
      </c>
      <c r="U1342">
        <v>0</v>
      </c>
      <c r="V1342">
        <v>3</v>
      </c>
      <c r="W1342" t="s">
        <v>137</v>
      </c>
      <c r="X1342">
        <v>0</v>
      </c>
      <c r="Y1342" t="s">
        <v>139</v>
      </c>
      <c r="Z1342" t="s">
        <v>178</v>
      </c>
      <c r="AA1342" t="s">
        <v>150</v>
      </c>
      <c r="AB1342" t="s">
        <v>163</v>
      </c>
      <c r="AC1342" t="s">
        <v>173</v>
      </c>
      <c r="AD1342" t="s">
        <v>155</v>
      </c>
      <c r="AE1342" t="s">
        <v>406</v>
      </c>
      <c r="AF1342" t="s">
        <v>21</v>
      </c>
    </row>
    <row r="1343" spans="1:32">
      <c r="A1343" t="s">
        <v>2247</v>
      </c>
      <c r="B1343" s="37">
        <v>40054</v>
      </c>
      <c r="C1343" s="38">
        <v>40054</v>
      </c>
      <c r="D1343" s="38">
        <v>40049</v>
      </c>
      <c r="E1343" s="38">
        <v>40026</v>
      </c>
      <c r="F1343" s="39">
        <v>149</v>
      </c>
      <c r="G1343" t="s">
        <v>21</v>
      </c>
      <c r="H1343" t="s">
        <v>21</v>
      </c>
      <c r="I1343">
        <v>0</v>
      </c>
      <c r="J1343">
        <v>0</v>
      </c>
      <c r="K1343">
        <v>0</v>
      </c>
      <c r="L1343">
        <v>1</v>
      </c>
      <c r="M1343">
        <v>0</v>
      </c>
      <c r="N1343" t="s">
        <v>193</v>
      </c>
      <c r="O1343" t="s">
        <v>213</v>
      </c>
      <c r="P1343" t="s">
        <v>204</v>
      </c>
      <c r="Q1343" t="s">
        <v>170</v>
      </c>
      <c r="R1343" t="s">
        <v>155</v>
      </c>
      <c r="S1343">
        <v>5</v>
      </c>
      <c r="T1343" t="s">
        <v>135</v>
      </c>
      <c r="U1343">
        <v>0</v>
      </c>
      <c r="V1343">
        <v>3</v>
      </c>
      <c r="W1343" t="s">
        <v>137</v>
      </c>
      <c r="X1343">
        <v>0</v>
      </c>
      <c r="Y1343" t="s">
        <v>140</v>
      </c>
      <c r="Z1343" t="s">
        <v>178</v>
      </c>
      <c r="AA1343" t="s">
        <v>145</v>
      </c>
      <c r="AB1343" t="s">
        <v>162</v>
      </c>
      <c r="AC1343" t="s">
        <v>176</v>
      </c>
      <c r="AD1343" t="s">
        <v>540</v>
      </c>
      <c r="AE1343" t="s">
        <v>123</v>
      </c>
      <c r="AF1343" t="s">
        <v>123</v>
      </c>
    </row>
    <row r="1344" spans="1:32">
      <c r="A1344" t="s">
        <v>2248</v>
      </c>
      <c r="B1344" s="37">
        <v>39954</v>
      </c>
      <c r="C1344" s="38">
        <v>39954</v>
      </c>
      <c r="D1344" s="38">
        <v>39951</v>
      </c>
      <c r="E1344" s="38">
        <v>39934</v>
      </c>
      <c r="F1344" s="39">
        <v>49</v>
      </c>
      <c r="G1344" t="s">
        <v>21</v>
      </c>
      <c r="H1344" t="s">
        <v>21</v>
      </c>
      <c r="I1344">
        <v>0</v>
      </c>
      <c r="J1344">
        <v>0</v>
      </c>
      <c r="K1344">
        <v>0</v>
      </c>
      <c r="L1344">
        <v>1</v>
      </c>
      <c r="M1344">
        <v>0</v>
      </c>
      <c r="N1344" t="s">
        <v>193</v>
      </c>
      <c r="O1344" t="s">
        <v>213</v>
      </c>
      <c r="P1344" t="s">
        <v>204</v>
      </c>
      <c r="Q1344" t="s">
        <v>170</v>
      </c>
      <c r="R1344" t="s">
        <v>155</v>
      </c>
      <c r="T1344" t="s">
        <v>134</v>
      </c>
      <c r="U1344">
        <v>1</v>
      </c>
      <c r="W1344" t="s">
        <v>134</v>
      </c>
      <c r="X1344">
        <v>1</v>
      </c>
      <c r="Y1344" t="s">
        <v>140</v>
      </c>
      <c r="Z1344" t="s">
        <v>178</v>
      </c>
      <c r="AA1344" t="s">
        <v>145</v>
      </c>
      <c r="AB1344" t="s">
        <v>163</v>
      </c>
      <c r="AC1344" t="s">
        <v>173</v>
      </c>
      <c r="AD1344" t="s">
        <v>155</v>
      </c>
      <c r="AE1344" t="s">
        <v>406</v>
      </c>
      <c r="AF1344" t="s">
        <v>21</v>
      </c>
    </row>
    <row r="1345" spans="1:32">
      <c r="A1345" t="s">
        <v>2249</v>
      </c>
      <c r="B1345" s="37">
        <v>39947</v>
      </c>
      <c r="C1345" s="38">
        <v>39947</v>
      </c>
      <c r="D1345" s="38">
        <v>39944</v>
      </c>
      <c r="E1345" s="38">
        <v>39934</v>
      </c>
      <c r="F1345" s="39">
        <v>42</v>
      </c>
      <c r="G1345" t="s">
        <v>21</v>
      </c>
      <c r="H1345" t="s">
        <v>21</v>
      </c>
      <c r="I1345">
        <v>0</v>
      </c>
      <c r="J1345">
        <v>0</v>
      </c>
      <c r="K1345">
        <v>0</v>
      </c>
      <c r="L1345">
        <v>1</v>
      </c>
      <c r="M1345">
        <v>0</v>
      </c>
      <c r="N1345" t="s">
        <v>194</v>
      </c>
      <c r="O1345" t="s">
        <v>213</v>
      </c>
      <c r="P1345" t="s">
        <v>205</v>
      </c>
      <c r="Q1345" t="s">
        <v>170</v>
      </c>
      <c r="R1345" t="s">
        <v>155</v>
      </c>
      <c r="T1345" t="s">
        <v>134</v>
      </c>
      <c r="U1345">
        <v>1</v>
      </c>
      <c r="W1345" t="s">
        <v>134</v>
      </c>
      <c r="X1345">
        <v>1</v>
      </c>
      <c r="Y1345" t="s">
        <v>139</v>
      </c>
      <c r="Z1345" t="s">
        <v>178</v>
      </c>
      <c r="AA1345" t="s">
        <v>143</v>
      </c>
      <c r="AB1345" t="s">
        <v>165</v>
      </c>
      <c r="AC1345" t="s">
        <v>1023</v>
      </c>
      <c r="AD1345" t="s">
        <v>158</v>
      </c>
      <c r="AE1345" t="s">
        <v>122</v>
      </c>
      <c r="AF1345" t="s">
        <v>21</v>
      </c>
    </row>
    <row r="1346" spans="1:32">
      <c r="A1346" t="s">
        <v>2250</v>
      </c>
      <c r="B1346" s="37">
        <v>39977</v>
      </c>
      <c r="C1346" s="38">
        <v>39977</v>
      </c>
      <c r="D1346" s="38">
        <v>39972</v>
      </c>
      <c r="E1346" s="38">
        <v>39965</v>
      </c>
      <c r="F1346" s="39">
        <v>72</v>
      </c>
      <c r="G1346" t="s">
        <v>9</v>
      </c>
      <c r="H1346" t="s">
        <v>9</v>
      </c>
      <c r="I1346">
        <v>1</v>
      </c>
      <c r="J1346">
        <v>0</v>
      </c>
      <c r="K1346">
        <v>0</v>
      </c>
      <c r="L1346">
        <v>0</v>
      </c>
      <c r="M1346">
        <v>1</v>
      </c>
      <c r="N1346" t="s">
        <v>195</v>
      </c>
      <c r="O1346" t="s">
        <v>213</v>
      </c>
      <c r="P1346" t="s">
        <v>206</v>
      </c>
      <c r="Q1346" t="s">
        <v>170</v>
      </c>
      <c r="R1346" t="s">
        <v>155</v>
      </c>
      <c r="T1346" t="s">
        <v>134</v>
      </c>
      <c r="U1346">
        <v>1</v>
      </c>
      <c r="W1346" t="s">
        <v>134</v>
      </c>
      <c r="X1346">
        <v>1</v>
      </c>
      <c r="Y1346" t="s">
        <v>139</v>
      </c>
      <c r="Z1346" t="s">
        <v>189</v>
      </c>
      <c r="AA1346" t="s">
        <v>142</v>
      </c>
      <c r="AB1346" t="s">
        <v>163</v>
      </c>
      <c r="AC1346" t="s">
        <v>173</v>
      </c>
      <c r="AD1346" t="s">
        <v>155</v>
      </c>
      <c r="AE1346" t="s">
        <v>387</v>
      </c>
      <c r="AF1346" t="s">
        <v>21</v>
      </c>
    </row>
    <row r="1347" spans="1:32">
      <c r="A1347" t="s">
        <v>2251</v>
      </c>
      <c r="B1347" s="37">
        <v>39931</v>
      </c>
      <c r="C1347" s="38">
        <v>39931</v>
      </c>
      <c r="D1347" s="38">
        <v>39930</v>
      </c>
      <c r="E1347" s="38">
        <v>39904</v>
      </c>
      <c r="F1347" s="39">
        <v>26</v>
      </c>
      <c r="G1347" t="s">
        <v>9</v>
      </c>
      <c r="H1347" t="s">
        <v>9</v>
      </c>
      <c r="I1347">
        <v>1</v>
      </c>
      <c r="J1347">
        <v>0</v>
      </c>
      <c r="K1347">
        <v>0</v>
      </c>
      <c r="L1347">
        <v>0</v>
      </c>
      <c r="M1347">
        <v>1</v>
      </c>
      <c r="N1347" t="s">
        <v>198</v>
      </c>
      <c r="O1347" t="s">
        <v>213</v>
      </c>
      <c r="P1347" t="s">
        <v>208</v>
      </c>
      <c r="Q1347" t="s">
        <v>170</v>
      </c>
      <c r="R1347" t="s">
        <v>155</v>
      </c>
      <c r="T1347" t="s">
        <v>134</v>
      </c>
      <c r="U1347">
        <v>1</v>
      </c>
      <c r="W1347" t="s">
        <v>134</v>
      </c>
      <c r="X1347">
        <v>1</v>
      </c>
      <c r="Y1347" t="s">
        <v>139</v>
      </c>
      <c r="Z1347" t="s">
        <v>191</v>
      </c>
      <c r="AA1347" t="s">
        <v>143</v>
      </c>
      <c r="AB1347" t="s">
        <v>163</v>
      </c>
      <c r="AC1347" t="s">
        <v>2234</v>
      </c>
      <c r="AD1347" t="s">
        <v>155</v>
      </c>
      <c r="AE1347" t="s">
        <v>124</v>
      </c>
      <c r="AF1347" t="s">
        <v>21</v>
      </c>
    </row>
    <row r="1348" spans="1:32">
      <c r="A1348" t="s">
        <v>2252</v>
      </c>
      <c r="B1348" s="37">
        <v>40031</v>
      </c>
      <c r="C1348" s="38">
        <v>40031</v>
      </c>
      <c r="D1348" s="38">
        <v>40028</v>
      </c>
      <c r="E1348" s="38">
        <v>40026</v>
      </c>
      <c r="F1348" s="39">
        <v>126</v>
      </c>
      <c r="G1348" t="s">
        <v>21</v>
      </c>
      <c r="H1348" t="s">
        <v>21</v>
      </c>
      <c r="I1348">
        <v>0</v>
      </c>
      <c r="J1348">
        <v>0</v>
      </c>
      <c r="K1348">
        <v>0</v>
      </c>
      <c r="L1348">
        <v>1</v>
      </c>
      <c r="M1348">
        <v>0</v>
      </c>
      <c r="N1348" t="s">
        <v>193</v>
      </c>
      <c r="O1348" t="s">
        <v>213</v>
      </c>
      <c r="P1348" t="s">
        <v>204</v>
      </c>
      <c r="Q1348" t="s">
        <v>170</v>
      </c>
      <c r="R1348" t="s">
        <v>155</v>
      </c>
      <c r="S1348">
        <v>3</v>
      </c>
      <c r="T1348" t="s">
        <v>137</v>
      </c>
      <c r="U1348">
        <v>0</v>
      </c>
      <c r="V1348">
        <v>2</v>
      </c>
      <c r="W1348" t="s">
        <v>136</v>
      </c>
      <c r="X1348">
        <v>0</v>
      </c>
      <c r="Y1348" t="s">
        <v>140</v>
      </c>
      <c r="Z1348" t="s">
        <v>191</v>
      </c>
      <c r="AA1348" t="s">
        <v>146</v>
      </c>
      <c r="AB1348" t="s">
        <v>162</v>
      </c>
      <c r="AC1348" t="s">
        <v>174</v>
      </c>
      <c r="AD1348" t="s">
        <v>160</v>
      </c>
      <c r="AE1348" t="s">
        <v>126</v>
      </c>
      <c r="AF1348" t="s">
        <v>2253</v>
      </c>
    </row>
    <row r="1349" spans="1:32">
      <c r="A1349" t="s">
        <v>2254</v>
      </c>
      <c r="B1349" s="37">
        <v>39925</v>
      </c>
      <c r="C1349" s="38">
        <v>39925</v>
      </c>
      <c r="D1349" s="38">
        <v>39923</v>
      </c>
      <c r="E1349" s="38">
        <v>39904</v>
      </c>
      <c r="F1349" s="39">
        <v>20</v>
      </c>
      <c r="G1349" t="s">
        <v>9</v>
      </c>
      <c r="H1349" t="s">
        <v>9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201</v>
      </c>
      <c r="O1349" t="s">
        <v>214</v>
      </c>
      <c r="P1349" t="s">
        <v>204</v>
      </c>
      <c r="Q1349" t="s">
        <v>170</v>
      </c>
      <c r="R1349" t="s">
        <v>155</v>
      </c>
      <c r="T1349" t="s">
        <v>134</v>
      </c>
      <c r="U1349">
        <v>1</v>
      </c>
      <c r="W1349" t="s">
        <v>134</v>
      </c>
      <c r="X1349">
        <v>1</v>
      </c>
      <c r="Y1349" t="s">
        <v>140</v>
      </c>
      <c r="Z1349" t="s">
        <v>183</v>
      </c>
      <c r="AA1349" t="s">
        <v>150</v>
      </c>
      <c r="AB1349" t="s">
        <v>163</v>
      </c>
      <c r="AC1349" t="s">
        <v>173</v>
      </c>
      <c r="AD1349" t="s">
        <v>155</v>
      </c>
      <c r="AE1349" t="s">
        <v>454</v>
      </c>
      <c r="AF1349" t="s">
        <v>21</v>
      </c>
    </row>
    <row r="1350" spans="1:32">
      <c r="A1350" t="s">
        <v>2255</v>
      </c>
      <c r="B1350" s="37">
        <v>40021</v>
      </c>
      <c r="C1350" s="38">
        <v>40021</v>
      </c>
      <c r="D1350" s="38">
        <v>40021</v>
      </c>
      <c r="E1350" s="38">
        <v>39995</v>
      </c>
      <c r="F1350" s="39">
        <v>116</v>
      </c>
      <c r="G1350" t="s">
        <v>21</v>
      </c>
      <c r="H1350" t="s">
        <v>21</v>
      </c>
      <c r="I1350">
        <v>0</v>
      </c>
      <c r="J1350">
        <v>0</v>
      </c>
      <c r="K1350">
        <v>0</v>
      </c>
      <c r="L1350">
        <v>1</v>
      </c>
      <c r="M1350">
        <v>0</v>
      </c>
      <c r="N1350" t="s">
        <v>197</v>
      </c>
      <c r="O1350" t="s">
        <v>213</v>
      </c>
      <c r="P1350" t="s">
        <v>209</v>
      </c>
      <c r="Q1350" t="s">
        <v>170</v>
      </c>
      <c r="R1350" t="s">
        <v>155</v>
      </c>
      <c r="S1350">
        <v>5</v>
      </c>
      <c r="T1350" t="s">
        <v>135</v>
      </c>
      <c r="U1350">
        <v>0</v>
      </c>
      <c r="V1350">
        <v>5</v>
      </c>
      <c r="W1350" t="s">
        <v>135</v>
      </c>
      <c r="X1350">
        <v>0</v>
      </c>
      <c r="Y1350" t="s">
        <v>139</v>
      </c>
      <c r="Z1350" t="s">
        <v>191</v>
      </c>
      <c r="AA1350" t="s">
        <v>146</v>
      </c>
      <c r="AB1350" t="s">
        <v>162</v>
      </c>
      <c r="AC1350" t="s">
        <v>176</v>
      </c>
      <c r="AD1350" t="s">
        <v>159</v>
      </c>
      <c r="AE1350" t="s">
        <v>126</v>
      </c>
      <c r="AF1350" t="s">
        <v>601</v>
      </c>
    </row>
    <row r="1351" spans="1:32">
      <c r="A1351" t="s">
        <v>2256</v>
      </c>
      <c r="B1351" s="37">
        <v>39997</v>
      </c>
      <c r="C1351" s="38">
        <v>39997</v>
      </c>
      <c r="D1351" s="38">
        <v>39993</v>
      </c>
      <c r="E1351" s="38">
        <v>39995</v>
      </c>
      <c r="F1351" s="39">
        <v>92</v>
      </c>
      <c r="G1351" t="s">
        <v>21</v>
      </c>
      <c r="H1351" t="s">
        <v>21</v>
      </c>
      <c r="I1351">
        <v>0</v>
      </c>
      <c r="J1351">
        <v>0</v>
      </c>
      <c r="K1351">
        <v>0</v>
      </c>
      <c r="L1351">
        <v>1</v>
      </c>
      <c r="M1351">
        <v>0</v>
      </c>
      <c r="N1351" t="s">
        <v>193</v>
      </c>
      <c r="O1351" t="s">
        <v>213</v>
      </c>
      <c r="P1351" t="s">
        <v>204</v>
      </c>
      <c r="Q1351" t="s">
        <v>170</v>
      </c>
      <c r="R1351" t="s">
        <v>155</v>
      </c>
      <c r="T1351" t="s">
        <v>134</v>
      </c>
      <c r="U1351">
        <v>1</v>
      </c>
      <c r="V1351">
        <v>3</v>
      </c>
      <c r="W1351" t="s">
        <v>137</v>
      </c>
      <c r="X1351">
        <v>0</v>
      </c>
      <c r="Y1351" t="s">
        <v>140</v>
      </c>
      <c r="Z1351" t="s">
        <v>184</v>
      </c>
      <c r="AA1351" t="s">
        <v>149</v>
      </c>
      <c r="AB1351" t="s">
        <v>163</v>
      </c>
      <c r="AC1351" t="s">
        <v>21</v>
      </c>
      <c r="AD1351" t="s">
        <v>155</v>
      </c>
      <c r="AE1351" t="s">
        <v>124</v>
      </c>
      <c r="AF1351" t="s">
        <v>21</v>
      </c>
    </row>
    <row r="1352" spans="1:32">
      <c r="A1352" t="s">
        <v>2257</v>
      </c>
      <c r="B1352" s="37">
        <v>40001</v>
      </c>
      <c r="C1352" s="38">
        <v>40001</v>
      </c>
      <c r="D1352" s="38">
        <v>40000</v>
      </c>
      <c r="E1352" s="38">
        <v>39995</v>
      </c>
      <c r="F1352" s="39">
        <v>96</v>
      </c>
      <c r="G1352" t="s">
        <v>21</v>
      </c>
      <c r="H1352" t="s">
        <v>21</v>
      </c>
      <c r="I1352">
        <v>0</v>
      </c>
      <c r="J1352">
        <v>0</v>
      </c>
      <c r="K1352">
        <v>0</v>
      </c>
      <c r="L1352">
        <v>1</v>
      </c>
      <c r="M1352">
        <v>0</v>
      </c>
      <c r="N1352" t="s">
        <v>194</v>
      </c>
      <c r="O1352" t="s">
        <v>213</v>
      </c>
      <c r="P1352" t="s">
        <v>205</v>
      </c>
      <c r="Q1352" t="s">
        <v>170</v>
      </c>
      <c r="R1352" t="s">
        <v>155</v>
      </c>
      <c r="T1352" t="s">
        <v>134</v>
      </c>
      <c r="U1352">
        <v>1</v>
      </c>
      <c r="V1352">
        <v>4</v>
      </c>
      <c r="W1352" t="s">
        <v>137</v>
      </c>
      <c r="X1352">
        <v>0</v>
      </c>
      <c r="Y1352" t="s">
        <v>139</v>
      </c>
      <c r="Z1352" t="s">
        <v>181</v>
      </c>
      <c r="AA1352" t="s">
        <v>144</v>
      </c>
      <c r="AB1352" t="s">
        <v>162</v>
      </c>
      <c r="AC1352" t="s">
        <v>174</v>
      </c>
      <c r="AD1352" t="s">
        <v>160</v>
      </c>
      <c r="AE1352" t="s">
        <v>392</v>
      </c>
      <c r="AF1352" t="s">
        <v>393</v>
      </c>
    </row>
    <row r="1353" spans="1:32">
      <c r="A1353" t="s">
        <v>2258</v>
      </c>
      <c r="B1353" s="37">
        <v>39911</v>
      </c>
      <c r="C1353" s="38">
        <v>39911</v>
      </c>
      <c r="D1353" s="38">
        <v>39909</v>
      </c>
      <c r="E1353" s="38">
        <v>39904</v>
      </c>
      <c r="F1353" s="39">
        <v>6</v>
      </c>
      <c r="G1353" t="s">
        <v>21</v>
      </c>
      <c r="H1353" t="s">
        <v>21</v>
      </c>
      <c r="I1353">
        <v>0</v>
      </c>
      <c r="J1353">
        <v>0</v>
      </c>
      <c r="K1353">
        <v>0</v>
      </c>
      <c r="L1353">
        <v>1</v>
      </c>
      <c r="M1353">
        <v>0</v>
      </c>
      <c r="N1353" t="s">
        <v>200</v>
      </c>
      <c r="O1353" t="s">
        <v>214</v>
      </c>
      <c r="P1353" t="s">
        <v>208</v>
      </c>
      <c r="Q1353" t="s">
        <v>170</v>
      </c>
      <c r="R1353" t="s">
        <v>155</v>
      </c>
      <c r="T1353" t="s">
        <v>134</v>
      </c>
      <c r="U1353">
        <v>1</v>
      </c>
      <c r="W1353" t="s">
        <v>134</v>
      </c>
      <c r="X1353">
        <v>1</v>
      </c>
      <c r="Y1353" t="s">
        <v>139</v>
      </c>
      <c r="Z1353" t="s">
        <v>186</v>
      </c>
      <c r="AA1353" t="s">
        <v>147</v>
      </c>
      <c r="AB1353" t="s">
        <v>162</v>
      </c>
      <c r="AC1353" t="s">
        <v>174</v>
      </c>
      <c r="AD1353" t="s">
        <v>155</v>
      </c>
      <c r="AE1353" t="s">
        <v>439</v>
      </c>
      <c r="AF1353" t="s">
        <v>21</v>
      </c>
    </row>
    <row r="1354" spans="1:32">
      <c r="A1354" t="s">
        <v>2259</v>
      </c>
      <c r="B1354" s="37">
        <v>40050</v>
      </c>
      <c r="C1354" s="38">
        <v>40050</v>
      </c>
      <c r="D1354" s="38">
        <v>40049</v>
      </c>
      <c r="E1354" s="38">
        <v>40026</v>
      </c>
      <c r="F1354" s="39">
        <v>145</v>
      </c>
      <c r="G1354" t="s">
        <v>21</v>
      </c>
      <c r="H1354" t="s">
        <v>21</v>
      </c>
      <c r="I1354">
        <v>0</v>
      </c>
      <c r="J1354">
        <v>0</v>
      </c>
      <c r="K1354">
        <v>0</v>
      </c>
      <c r="L1354">
        <v>1</v>
      </c>
      <c r="M1354">
        <v>0</v>
      </c>
      <c r="N1354" t="s">
        <v>193</v>
      </c>
      <c r="O1354" t="s">
        <v>213</v>
      </c>
      <c r="P1354" t="s">
        <v>204</v>
      </c>
      <c r="Q1354" t="s">
        <v>170</v>
      </c>
      <c r="R1354" t="s">
        <v>155</v>
      </c>
      <c r="S1354">
        <v>5</v>
      </c>
      <c r="T1354" t="s">
        <v>135</v>
      </c>
      <c r="U1354">
        <v>0</v>
      </c>
      <c r="V1354">
        <v>4</v>
      </c>
      <c r="W1354" t="s">
        <v>137</v>
      </c>
      <c r="X1354">
        <v>0</v>
      </c>
      <c r="Y1354" t="s">
        <v>140</v>
      </c>
      <c r="Z1354" t="s">
        <v>447</v>
      </c>
      <c r="AA1354" t="s">
        <v>142</v>
      </c>
      <c r="AB1354" t="s">
        <v>162</v>
      </c>
      <c r="AC1354" t="s">
        <v>1797</v>
      </c>
      <c r="AD1354" t="s">
        <v>160</v>
      </c>
      <c r="AE1354" t="s">
        <v>129</v>
      </c>
      <c r="AF1354" t="s">
        <v>2260</v>
      </c>
    </row>
    <row r="1355" spans="1:32">
      <c r="A1355" t="s">
        <v>2261</v>
      </c>
      <c r="B1355" s="37">
        <v>40056</v>
      </c>
      <c r="C1355" s="38">
        <v>40056</v>
      </c>
      <c r="D1355" s="38">
        <v>40056</v>
      </c>
      <c r="E1355" s="38">
        <v>40026</v>
      </c>
      <c r="F1355" s="39">
        <v>151</v>
      </c>
      <c r="G1355" t="s">
        <v>21</v>
      </c>
      <c r="H1355" t="s">
        <v>21</v>
      </c>
      <c r="I1355">
        <v>0</v>
      </c>
      <c r="J1355">
        <v>0</v>
      </c>
      <c r="K1355">
        <v>0</v>
      </c>
      <c r="L1355">
        <v>1</v>
      </c>
      <c r="M1355">
        <v>0</v>
      </c>
      <c r="N1355" t="s">
        <v>193</v>
      </c>
      <c r="O1355" t="s">
        <v>213</v>
      </c>
      <c r="P1355" t="s">
        <v>204</v>
      </c>
      <c r="Q1355" t="s">
        <v>170</v>
      </c>
      <c r="R1355" t="s">
        <v>155</v>
      </c>
      <c r="S1355">
        <v>5</v>
      </c>
      <c r="T1355" t="s">
        <v>135</v>
      </c>
      <c r="U1355">
        <v>0</v>
      </c>
      <c r="V1355">
        <v>5</v>
      </c>
      <c r="W1355" t="s">
        <v>135</v>
      </c>
      <c r="X1355">
        <v>0</v>
      </c>
      <c r="Y1355" t="s">
        <v>140</v>
      </c>
      <c r="Z1355" t="s">
        <v>447</v>
      </c>
      <c r="AA1355" t="s">
        <v>142</v>
      </c>
      <c r="AB1355" t="s">
        <v>162</v>
      </c>
      <c r="AC1355" t="s">
        <v>1984</v>
      </c>
      <c r="AD1355" t="s">
        <v>159</v>
      </c>
      <c r="AE1355" t="s">
        <v>123</v>
      </c>
      <c r="AF1355" t="s">
        <v>123</v>
      </c>
    </row>
    <row r="1356" spans="1:32">
      <c r="A1356" t="s">
        <v>2262</v>
      </c>
      <c r="B1356" s="37">
        <v>39923</v>
      </c>
      <c r="C1356" s="38">
        <v>39923</v>
      </c>
      <c r="D1356" s="38">
        <v>39923</v>
      </c>
      <c r="E1356" s="38">
        <v>39904</v>
      </c>
      <c r="F1356" s="39">
        <v>18</v>
      </c>
      <c r="G1356" t="s">
        <v>21</v>
      </c>
      <c r="H1356" t="s">
        <v>21</v>
      </c>
      <c r="I1356">
        <v>0</v>
      </c>
      <c r="J1356">
        <v>0</v>
      </c>
      <c r="K1356">
        <v>0</v>
      </c>
      <c r="L1356">
        <v>1</v>
      </c>
      <c r="M1356">
        <v>0</v>
      </c>
      <c r="N1356" t="s">
        <v>201</v>
      </c>
      <c r="O1356" t="s">
        <v>214</v>
      </c>
      <c r="P1356" t="s">
        <v>204</v>
      </c>
      <c r="Q1356" t="s">
        <v>170</v>
      </c>
      <c r="R1356" t="s">
        <v>155</v>
      </c>
      <c r="T1356" t="s">
        <v>134</v>
      </c>
      <c r="U1356">
        <v>1</v>
      </c>
      <c r="W1356" t="s">
        <v>134</v>
      </c>
      <c r="X1356">
        <v>1</v>
      </c>
      <c r="Y1356" t="s">
        <v>140</v>
      </c>
      <c r="Z1356" t="s">
        <v>184</v>
      </c>
      <c r="AA1356" t="s">
        <v>145</v>
      </c>
      <c r="AB1356" t="s">
        <v>162</v>
      </c>
      <c r="AC1356" t="s">
        <v>550</v>
      </c>
      <c r="AD1356" t="s">
        <v>157</v>
      </c>
      <c r="AE1356" t="s">
        <v>130</v>
      </c>
      <c r="AF1356" t="s">
        <v>437</v>
      </c>
    </row>
    <row r="1357" spans="1:32">
      <c r="A1357" t="s">
        <v>2263</v>
      </c>
      <c r="B1357" s="37">
        <v>40084</v>
      </c>
      <c r="C1357" s="38">
        <v>40084</v>
      </c>
      <c r="D1357" s="38">
        <v>40084</v>
      </c>
      <c r="E1357" s="38">
        <v>40057</v>
      </c>
      <c r="F1357" s="39">
        <v>179</v>
      </c>
      <c r="G1357" t="s">
        <v>21</v>
      </c>
      <c r="H1357" t="s">
        <v>21</v>
      </c>
      <c r="I1357">
        <v>0</v>
      </c>
      <c r="J1357">
        <v>0</v>
      </c>
      <c r="K1357">
        <v>0</v>
      </c>
      <c r="L1357">
        <v>1</v>
      </c>
      <c r="M1357">
        <v>0</v>
      </c>
      <c r="N1357" t="s">
        <v>197</v>
      </c>
      <c r="O1357" t="s">
        <v>213</v>
      </c>
      <c r="P1357" t="s">
        <v>209</v>
      </c>
      <c r="Q1357" t="s">
        <v>170</v>
      </c>
      <c r="R1357" t="s">
        <v>155</v>
      </c>
      <c r="S1357">
        <v>3</v>
      </c>
      <c r="T1357" t="s">
        <v>137</v>
      </c>
      <c r="U1357">
        <v>0</v>
      </c>
      <c r="V1357">
        <v>2</v>
      </c>
      <c r="W1357" t="s">
        <v>136</v>
      </c>
      <c r="X1357">
        <v>0</v>
      </c>
      <c r="Y1357" t="s">
        <v>139</v>
      </c>
      <c r="Z1357" t="s">
        <v>184</v>
      </c>
      <c r="AA1357" t="s">
        <v>144</v>
      </c>
      <c r="AB1357" t="s">
        <v>162</v>
      </c>
      <c r="AC1357" t="s">
        <v>174</v>
      </c>
      <c r="AD1357" t="s">
        <v>2264</v>
      </c>
      <c r="AE1357" t="s">
        <v>2265</v>
      </c>
      <c r="AF1357" t="s">
        <v>153</v>
      </c>
    </row>
    <row r="1358" spans="1:32">
      <c r="A1358" t="s">
        <v>2266</v>
      </c>
      <c r="B1358" s="37">
        <v>39929</v>
      </c>
      <c r="C1358" s="38">
        <v>39929</v>
      </c>
      <c r="D1358" s="38">
        <v>39923</v>
      </c>
      <c r="E1358" s="38">
        <v>39904</v>
      </c>
      <c r="F1358" s="39">
        <v>24</v>
      </c>
      <c r="G1358" t="s">
        <v>21</v>
      </c>
      <c r="H1358" t="s">
        <v>21</v>
      </c>
      <c r="I1358">
        <v>0</v>
      </c>
      <c r="J1358">
        <v>0</v>
      </c>
      <c r="K1358">
        <v>0</v>
      </c>
      <c r="L1358">
        <v>1</v>
      </c>
      <c r="M1358">
        <v>0</v>
      </c>
      <c r="N1358" t="s">
        <v>201</v>
      </c>
      <c r="O1358" t="s">
        <v>214</v>
      </c>
      <c r="P1358" t="s">
        <v>204</v>
      </c>
      <c r="Q1358" t="s">
        <v>170</v>
      </c>
      <c r="R1358" t="s">
        <v>155</v>
      </c>
      <c r="T1358" t="s">
        <v>134</v>
      </c>
      <c r="U1358">
        <v>1</v>
      </c>
      <c r="W1358" t="s">
        <v>134</v>
      </c>
      <c r="X1358">
        <v>1</v>
      </c>
      <c r="Y1358" t="s">
        <v>140</v>
      </c>
      <c r="Z1358" t="s">
        <v>184</v>
      </c>
      <c r="AA1358" t="s">
        <v>149</v>
      </c>
      <c r="AB1358" t="s">
        <v>162</v>
      </c>
      <c r="AC1358" t="s">
        <v>2267</v>
      </c>
      <c r="AD1358" t="s">
        <v>155</v>
      </c>
      <c r="AE1358" t="s">
        <v>130</v>
      </c>
      <c r="AF1358" t="s">
        <v>21</v>
      </c>
    </row>
    <row r="1359" spans="1:32">
      <c r="A1359" t="s">
        <v>2268</v>
      </c>
      <c r="B1359" s="37">
        <v>40054</v>
      </c>
      <c r="C1359" s="38">
        <v>40054</v>
      </c>
      <c r="D1359" s="38">
        <v>40049</v>
      </c>
      <c r="E1359" s="38">
        <v>40026</v>
      </c>
      <c r="F1359" s="39">
        <v>149</v>
      </c>
      <c r="G1359" t="s">
        <v>21</v>
      </c>
      <c r="H1359" t="s">
        <v>21</v>
      </c>
      <c r="I1359">
        <v>0</v>
      </c>
      <c r="J1359">
        <v>0</v>
      </c>
      <c r="K1359">
        <v>0</v>
      </c>
      <c r="L1359">
        <v>1</v>
      </c>
      <c r="M1359">
        <v>0</v>
      </c>
      <c r="N1359" t="s">
        <v>197</v>
      </c>
      <c r="O1359" t="s">
        <v>213</v>
      </c>
      <c r="P1359" t="s">
        <v>209</v>
      </c>
      <c r="Q1359" t="s">
        <v>170</v>
      </c>
      <c r="R1359" t="s">
        <v>155</v>
      </c>
      <c r="S1359">
        <v>5</v>
      </c>
      <c r="T1359" t="s">
        <v>135</v>
      </c>
      <c r="U1359">
        <v>0</v>
      </c>
      <c r="V1359">
        <v>2</v>
      </c>
      <c r="W1359" t="s">
        <v>136</v>
      </c>
      <c r="X1359">
        <v>0</v>
      </c>
      <c r="Y1359" t="s">
        <v>139</v>
      </c>
      <c r="Z1359" t="s">
        <v>189</v>
      </c>
      <c r="AA1359" t="s">
        <v>144</v>
      </c>
      <c r="AB1359" t="s">
        <v>162</v>
      </c>
      <c r="AC1359" t="s">
        <v>2269</v>
      </c>
      <c r="AD1359" t="s">
        <v>160</v>
      </c>
      <c r="AE1359" t="s">
        <v>126</v>
      </c>
      <c r="AF1359" t="s">
        <v>665</v>
      </c>
    </row>
    <row r="1360" spans="1:32">
      <c r="A1360" t="s">
        <v>2270</v>
      </c>
      <c r="B1360" s="37">
        <v>39947</v>
      </c>
      <c r="C1360" s="38">
        <v>39947</v>
      </c>
      <c r="D1360" s="38">
        <v>39944</v>
      </c>
      <c r="E1360" s="38">
        <v>39934</v>
      </c>
      <c r="F1360" s="39">
        <v>42</v>
      </c>
      <c r="G1360" t="s">
        <v>380</v>
      </c>
      <c r="H1360" t="s">
        <v>17</v>
      </c>
      <c r="I1360">
        <v>0</v>
      </c>
      <c r="J1360">
        <v>0</v>
      </c>
      <c r="K1360">
        <v>1</v>
      </c>
      <c r="L1360">
        <v>0</v>
      </c>
      <c r="M1360">
        <v>0</v>
      </c>
      <c r="N1360" t="s">
        <v>193</v>
      </c>
      <c r="O1360" t="s">
        <v>213</v>
      </c>
      <c r="P1360" t="s">
        <v>204</v>
      </c>
      <c r="Q1360" t="s">
        <v>170</v>
      </c>
      <c r="R1360" t="s">
        <v>155</v>
      </c>
      <c r="T1360" t="s">
        <v>134</v>
      </c>
      <c r="U1360">
        <v>1</v>
      </c>
      <c r="W1360" t="s">
        <v>134</v>
      </c>
      <c r="X1360">
        <v>1</v>
      </c>
      <c r="Y1360" t="s">
        <v>140</v>
      </c>
      <c r="Z1360" t="s">
        <v>191</v>
      </c>
      <c r="AA1360" t="s">
        <v>147</v>
      </c>
      <c r="AB1360" t="s">
        <v>165</v>
      </c>
      <c r="AC1360" t="s">
        <v>2016</v>
      </c>
      <c r="AD1360" t="s">
        <v>158</v>
      </c>
      <c r="AE1360" t="s">
        <v>122</v>
      </c>
      <c r="AF1360" t="s">
        <v>21</v>
      </c>
    </row>
    <row r="1361" spans="1:32">
      <c r="A1361" t="s">
        <v>2271</v>
      </c>
      <c r="B1361" s="37">
        <v>40002</v>
      </c>
      <c r="C1361" s="38">
        <v>40002</v>
      </c>
      <c r="D1361" s="38">
        <v>40000</v>
      </c>
      <c r="E1361" s="38">
        <v>39995</v>
      </c>
      <c r="F1361" s="39">
        <v>97</v>
      </c>
      <c r="G1361" t="s">
        <v>21</v>
      </c>
      <c r="H1361" t="s">
        <v>21</v>
      </c>
      <c r="I1361">
        <v>0</v>
      </c>
      <c r="J1361">
        <v>0</v>
      </c>
      <c r="K1361">
        <v>0</v>
      </c>
      <c r="L1361">
        <v>1</v>
      </c>
      <c r="M1361">
        <v>0</v>
      </c>
      <c r="N1361" t="s">
        <v>196</v>
      </c>
      <c r="O1361" t="s">
        <v>213</v>
      </c>
      <c r="P1361" t="s">
        <v>207</v>
      </c>
      <c r="Q1361" t="s">
        <v>170</v>
      </c>
      <c r="R1361" t="s">
        <v>155</v>
      </c>
      <c r="T1361" t="s">
        <v>134</v>
      </c>
      <c r="U1361">
        <v>1</v>
      </c>
      <c r="V1361">
        <v>4</v>
      </c>
      <c r="W1361" t="s">
        <v>137</v>
      </c>
      <c r="X1361">
        <v>0</v>
      </c>
      <c r="Y1361" t="s">
        <v>139</v>
      </c>
      <c r="Z1361" t="s">
        <v>186</v>
      </c>
      <c r="AA1361" t="s">
        <v>142</v>
      </c>
      <c r="AB1361" t="s">
        <v>162</v>
      </c>
      <c r="AC1361" t="s">
        <v>1624</v>
      </c>
      <c r="AD1361" t="s">
        <v>155</v>
      </c>
      <c r="AE1361" t="s">
        <v>130</v>
      </c>
      <c r="AF1361" t="s">
        <v>21</v>
      </c>
    </row>
    <row r="1362" spans="1:32">
      <c r="A1362" t="s">
        <v>2272</v>
      </c>
      <c r="B1362" s="37">
        <v>39980</v>
      </c>
      <c r="C1362" s="38">
        <v>39980</v>
      </c>
      <c r="D1362" s="38">
        <v>39979</v>
      </c>
      <c r="E1362" s="38">
        <v>39965</v>
      </c>
      <c r="F1362" s="39">
        <v>75</v>
      </c>
      <c r="G1362" t="s">
        <v>383</v>
      </c>
      <c r="H1362" t="s">
        <v>17</v>
      </c>
      <c r="I1362">
        <v>0</v>
      </c>
      <c r="J1362">
        <v>0</v>
      </c>
      <c r="K1362">
        <v>1</v>
      </c>
      <c r="L1362">
        <v>0</v>
      </c>
      <c r="M1362">
        <v>0</v>
      </c>
      <c r="N1362" t="s">
        <v>194</v>
      </c>
      <c r="O1362" t="s">
        <v>213</v>
      </c>
      <c r="P1362" t="s">
        <v>205</v>
      </c>
      <c r="Q1362" t="s">
        <v>170</v>
      </c>
      <c r="R1362" t="s">
        <v>155</v>
      </c>
      <c r="T1362" t="s">
        <v>134</v>
      </c>
      <c r="U1362">
        <v>1</v>
      </c>
      <c r="W1362" t="s">
        <v>134</v>
      </c>
      <c r="X1362">
        <v>1</v>
      </c>
      <c r="Y1362" t="s">
        <v>139</v>
      </c>
      <c r="Z1362" t="s">
        <v>186</v>
      </c>
      <c r="AA1362" t="s">
        <v>144</v>
      </c>
      <c r="AB1362" t="s">
        <v>162</v>
      </c>
      <c r="AC1362" t="s">
        <v>643</v>
      </c>
      <c r="AD1362" t="s">
        <v>157</v>
      </c>
      <c r="AE1362" t="s">
        <v>130</v>
      </c>
      <c r="AF1362" t="s">
        <v>437</v>
      </c>
    </row>
    <row r="1363" spans="1:32">
      <c r="A1363" t="s">
        <v>2273</v>
      </c>
      <c r="B1363" s="37">
        <v>40083</v>
      </c>
      <c r="C1363" s="38">
        <v>40083</v>
      </c>
      <c r="D1363" s="38">
        <v>40077</v>
      </c>
      <c r="E1363" s="38">
        <v>40057</v>
      </c>
      <c r="F1363" s="39">
        <v>178</v>
      </c>
      <c r="G1363" t="s">
        <v>21</v>
      </c>
      <c r="H1363" t="s">
        <v>21</v>
      </c>
      <c r="I1363">
        <v>0</v>
      </c>
      <c r="J1363">
        <v>0</v>
      </c>
      <c r="K1363">
        <v>0</v>
      </c>
      <c r="L1363">
        <v>1</v>
      </c>
      <c r="M1363">
        <v>0</v>
      </c>
      <c r="N1363" t="s">
        <v>193</v>
      </c>
      <c r="O1363" t="s">
        <v>213</v>
      </c>
      <c r="P1363" t="s">
        <v>204</v>
      </c>
      <c r="Q1363" t="s">
        <v>170</v>
      </c>
      <c r="R1363" t="s">
        <v>155</v>
      </c>
      <c r="S1363">
        <v>5</v>
      </c>
      <c r="T1363" t="s">
        <v>135</v>
      </c>
      <c r="U1363">
        <v>0</v>
      </c>
      <c r="V1363">
        <v>3</v>
      </c>
      <c r="W1363" t="s">
        <v>137</v>
      </c>
      <c r="X1363">
        <v>0</v>
      </c>
      <c r="Y1363" t="s">
        <v>140</v>
      </c>
      <c r="Z1363" t="s">
        <v>186</v>
      </c>
      <c r="AA1363" t="s">
        <v>144</v>
      </c>
      <c r="AB1363" t="s">
        <v>163</v>
      </c>
      <c r="AC1363" t="s">
        <v>173</v>
      </c>
      <c r="AD1363" t="s">
        <v>155</v>
      </c>
      <c r="AE1363" t="s">
        <v>125</v>
      </c>
      <c r="AF1363" t="s">
        <v>21</v>
      </c>
    </row>
    <row r="1364" spans="1:32">
      <c r="A1364" t="s">
        <v>2274</v>
      </c>
      <c r="B1364" s="37">
        <v>39981</v>
      </c>
      <c r="C1364" s="38">
        <v>39981</v>
      </c>
      <c r="D1364" s="38">
        <v>39979</v>
      </c>
      <c r="E1364" s="38">
        <v>39965</v>
      </c>
      <c r="F1364" s="39">
        <v>76</v>
      </c>
      <c r="G1364" t="s">
        <v>21</v>
      </c>
      <c r="H1364" t="s">
        <v>21</v>
      </c>
      <c r="I1364">
        <v>0</v>
      </c>
      <c r="J1364">
        <v>0</v>
      </c>
      <c r="K1364">
        <v>0</v>
      </c>
      <c r="L1364">
        <v>1</v>
      </c>
      <c r="M1364">
        <v>0</v>
      </c>
      <c r="N1364" t="s">
        <v>194</v>
      </c>
      <c r="O1364" t="s">
        <v>213</v>
      </c>
      <c r="P1364" t="s">
        <v>205</v>
      </c>
      <c r="Q1364" t="s">
        <v>170</v>
      </c>
      <c r="R1364" t="s">
        <v>155</v>
      </c>
      <c r="T1364" t="s">
        <v>134</v>
      </c>
      <c r="U1364">
        <v>1</v>
      </c>
      <c r="W1364" t="s">
        <v>134</v>
      </c>
      <c r="X1364">
        <v>1</v>
      </c>
      <c r="Y1364" t="s">
        <v>139</v>
      </c>
      <c r="Z1364" t="s">
        <v>186</v>
      </c>
      <c r="AA1364" t="s">
        <v>149</v>
      </c>
      <c r="AB1364" t="s">
        <v>162</v>
      </c>
      <c r="AC1364" t="s">
        <v>175</v>
      </c>
      <c r="AD1364" t="s">
        <v>155</v>
      </c>
      <c r="AE1364" t="s">
        <v>130</v>
      </c>
      <c r="AF1364" t="s">
        <v>21</v>
      </c>
    </row>
    <row r="1365" spans="1:32">
      <c r="A1365" t="s">
        <v>2275</v>
      </c>
      <c r="B1365" s="37">
        <v>40017</v>
      </c>
      <c r="C1365" s="38">
        <v>40017</v>
      </c>
      <c r="D1365" s="38">
        <v>40014</v>
      </c>
      <c r="E1365" s="38">
        <v>39995</v>
      </c>
      <c r="F1365" s="39">
        <v>112</v>
      </c>
      <c r="G1365" t="s">
        <v>21</v>
      </c>
      <c r="H1365" t="s">
        <v>21</v>
      </c>
      <c r="I1365">
        <v>0</v>
      </c>
      <c r="J1365">
        <v>0</v>
      </c>
      <c r="K1365">
        <v>0</v>
      </c>
      <c r="L1365">
        <v>1</v>
      </c>
      <c r="M1365">
        <v>0</v>
      </c>
      <c r="N1365" t="s">
        <v>197</v>
      </c>
      <c r="O1365" t="s">
        <v>213</v>
      </c>
      <c r="P1365" t="s">
        <v>209</v>
      </c>
      <c r="Q1365" t="s">
        <v>170</v>
      </c>
      <c r="R1365" t="s">
        <v>155</v>
      </c>
      <c r="S1365">
        <v>3</v>
      </c>
      <c r="T1365" t="s">
        <v>137</v>
      </c>
      <c r="U1365">
        <v>0</v>
      </c>
      <c r="V1365">
        <v>3</v>
      </c>
      <c r="W1365" t="s">
        <v>137</v>
      </c>
      <c r="X1365">
        <v>0</v>
      </c>
      <c r="Y1365" t="s">
        <v>139</v>
      </c>
      <c r="Z1365" t="s">
        <v>186</v>
      </c>
      <c r="AA1365" t="s">
        <v>150</v>
      </c>
      <c r="AB1365" t="s">
        <v>162</v>
      </c>
      <c r="AC1365" t="s">
        <v>567</v>
      </c>
      <c r="AD1365" t="s">
        <v>155</v>
      </c>
      <c r="AE1365" t="s">
        <v>130</v>
      </c>
      <c r="AF1365" t="s">
        <v>21</v>
      </c>
    </row>
    <row r="1366" spans="1:32">
      <c r="A1366" t="s">
        <v>2276</v>
      </c>
      <c r="B1366" s="37">
        <v>39938</v>
      </c>
      <c r="C1366" s="38">
        <v>39938</v>
      </c>
      <c r="D1366" s="38">
        <v>39937</v>
      </c>
      <c r="E1366" s="38">
        <v>39934</v>
      </c>
      <c r="F1366" s="39">
        <v>33</v>
      </c>
      <c r="G1366" t="s">
        <v>21</v>
      </c>
      <c r="H1366" t="s">
        <v>21</v>
      </c>
      <c r="I1366">
        <v>0</v>
      </c>
      <c r="J1366">
        <v>0</v>
      </c>
      <c r="K1366">
        <v>0</v>
      </c>
      <c r="L1366">
        <v>1</v>
      </c>
      <c r="M1366">
        <v>0</v>
      </c>
      <c r="N1366" t="s">
        <v>193</v>
      </c>
      <c r="O1366" t="s">
        <v>213</v>
      </c>
      <c r="P1366" t="s">
        <v>204</v>
      </c>
      <c r="Q1366" t="s">
        <v>170</v>
      </c>
      <c r="R1366" t="s">
        <v>155</v>
      </c>
      <c r="T1366" t="s">
        <v>134</v>
      </c>
      <c r="U1366">
        <v>1</v>
      </c>
      <c r="W1366" t="s">
        <v>134</v>
      </c>
      <c r="X1366">
        <v>1</v>
      </c>
      <c r="Y1366" t="s">
        <v>140</v>
      </c>
      <c r="Z1366" t="s">
        <v>479</v>
      </c>
      <c r="AA1366" t="s">
        <v>147</v>
      </c>
      <c r="AB1366" t="s">
        <v>162</v>
      </c>
      <c r="AC1366" t="s">
        <v>174</v>
      </c>
      <c r="AD1366" t="s">
        <v>157</v>
      </c>
      <c r="AE1366" t="s">
        <v>127</v>
      </c>
      <c r="AF1366" t="s">
        <v>153</v>
      </c>
    </row>
    <row r="1367" spans="1:32">
      <c r="A1367" t="s">
        <v>2277</v>
      </c>
      <c r="B1367" s="37">
        <v>39929</v>
      </c>
      <c r="C1367" s="38">
        <v>39929</v>
      </c>
      <c r="D1367" s="38">
        <v>39923</v>
      </c>
      <c r="E1367" s="38">
        <v>39904</v>
      </c>
      <c r="F1367" s="39">
        <v>24</v>
      </c>
      <c r="G1367" t="s">
        <v>21</v>
      </c>
      <c r="H1367" t="s">
        <v>21</v>
      </c>
      <c r="I1367">
        <v>0</v>
      </c>
      <c r="J1367">
        <v>0</v>
      </c>
      <c r="K1367">
        <v>0</v>
      </c>
      <c r="L1367">
        <v>1</v>
      </c>
      <c r="M1367">
        <v>0</v>
      </c>
      <c r="N1367" t="s">
        <v>199</v>
      </c>
      <c r="O1367" t="s">
        <v>213</v>
      </c>
      <c r="P1367" t="s">
        <v>210</v>
      </c>
      <c r="Q1367" t="s">
        <v>170</v>
      </c>
      <c r="R1367" t="s">
        <v>155</v>
      </c>
      <c r="T1367" t="s">
        <v>134</v>
      </c>
      <c r="U1367">
        <v>1</v>
      </c>
      <c r="W1367" t="s">
        <v>134</v>
      </c>
      <c r="X1367">
        <v>1</v>
      </c>
      <c r="Y1367" t="s">
        <v>139</v>
      </c>
      <c r="Z1367" t="s">
        <v>479</v>
      </c>
      <c r="AA1367" t="s">
        <v>148</v>
      </c>
      <c r="AB1367" t="s">
        <v>163</v>
      </c>
      <c r="AC1367" t="s">
        <v>21</v>
      </c>
      <c r="AD1367" t="s">
        <v>155</v>
      </c>
      <c r="AE1367" t="s">
        <v>439</v>
      </c>
      <c r="AF1367" t="s">
        <v>21</v>
      </c>
    </row>
    <row r="1368" spans="1:32">
      <c r="A1368" t="s">
        <v>2278</v>
      </c>
      <c r="B1368" s="37">
        <v>40030</v>
      </c>
      <c r="C1368" s="38">
        <v>40030</v>
      </c>
      <c r="D1368" s="38">
        <v>40028</v>
      </c>
      <c r="E1368" s="38">
        <v>40026</v>
      </c>
      <c r="F1368" s="39">
        <v>125</v>
      </c>
      <c r="G1368" t="s">
        <v>21</v>
      </c>
      <c r="H1368" t="s">
        <v>21</v>
      </c>
      <c r="I1368">
        <v>0</v>
      </c>
      <c r="J1368">
        <v>0</v>
      </c>
      <c r="K1368">
        <v>0</v>
      </c>
      <c r="L1368">
        <v>1</v>
      </c>
      <c r="M1368">
        <v>0</v>
      </c>
      <c r="N1368" t="s">
        <v>195</v>
      </c>
      <c r="O1368" t="s">
        <v>213</v>
      </c>
      <c r="P1368" t="s">
        <v>206</v>
      </c>
      <c r="Q1368" t="s">
        <v>170</v>
      </c>
      <c r="R1368" t="s">
        <v>155</v>
      </c>
      <c r="S1368">
        <v>5</v>
      </c>
      <c r="T1368" t="s">
        <v>135</v>
      </c>
      <c r="U1368">
        <v>0</v>
      </c>
      <c r="V1368">
        <v>5</v>
      </c>
      <c r="W1368" t="s">
        <v>135</v>
      </c>
      <c r="X1368">
        <v>0</v>
      </c>
      <c r="Y1368" t="s">
        <v>139</v>
      </c>
      <c r="Z1368" t="s">
        <v>186</v>
      </c>
      <c r="AA1368" t="s">
        <v>143</v>
      </c>
      <c r="AB1368" t="s">
        <v>162</v>
      </c>
      <c r="AC1368" t="s">
        <v>498</v>
      </c>
      <c r="AD1368" t="s">
        <v>159</v>
      </c>
      <c r="AE1368" t="s">
        <v>123</v>
      </c>
      <c r="AF1368" t="s">
        <v>123</v>
      </c>
    </row>
    <row r="1369" spans="1:32">
      <c r="A1369" t="s">
        <v>2279</v>
      </c>
      <c r="B1369" s="37">
        <v>40020</v>
      </c>
      <c r="C1369" s="38">
        <v>40020</v>
      </c>
      <c r="D1369" s="38">
        <v>40014</v>
      </c>
      <c r="E1369" s="38">
        <v>39995</v>
      </c>
      <c r="F1369" s="39">
        <v>115</v>
      </c>
      <c r="G1369" t="s">
        <v>21</v>
      </c>
      <c r="H1369" t="s">
        <v>21</v>
      </c>
      <c r="I1369">
        <v>0</v>
      </c>
      <c r="J1369">
        <v>0</v>
      </c>
      <c r="K1369">
        <v>0</v>
      </c>
      <c r="L1369">
        <v>1</v>
      </c>
      <c r="M1369">
        <v>0</v>
      </c>
      <c r="N1369" t="s">
        <v>195</v>
      </c>
      <c r="O1369" t="s">
        <v>213</v>
      </c>
      <c r="P1369" t="s">
        <v>206</v>
      </c>
      <c r="Q1369" t="s">
        <v>170</v>
      </c>
      <c r="R1369" t="s">
        <v>155</v>
      </c>
      <c r="S1369">
        <v>3</v>
      </c>
      <c r="T1369" t="s">
        <v>137</v>
      </c>
      <c r="U1369">
        <v>0</v>
      </c>
      <c r="V1369">
        <v>3</v>
      </c>
      <c r="W1369" t="s">
        <v>137</v>
      </c>
      <c r="X1369">
        <v>0</v>
      </c>
      <c r="Y1369" t="s">
        <v>139</v>
      </c>
      <c r="Z1369" t="s">
        <v>186</v>
      </c>
      <c r="AA1369" t="s">
        <v>142</v>
      </c>
      <c r="AB1369" t="s">
        <v>162</v>
      </c>
      <c r="AC1369" t="s">
        <v>21</v>
      </c>
      <c r="AD1369" t="s">
        <v>155</v>
      </c>
      <c r="AE1369" t="s">
        <v>130</v>
      </c>
      <c r="AF1369" t="s">
        <v>21</v>
      </c>
    </row>
    <row r="1370" spans="1:32">
      <c r="A1370" t="s">
        <v>2280</v>
      </c>
      <c r="B1370" s="37">
        <v>39923</v>
      </c>
      <c r="C1370" s="38">
        <v>39923</v>
      </c>
      <c r="D1370" s="38">
        <v>39923</v>
      </c>
      <c r="E1370" s="38">
        <v>39904</v>
      </c>
      <c r="F1370" s="39">
        <v>18</v>
      </c>
      <c r="G1370" t="s">
        <v>380</v>
      </c>
      <c r="H1370" t="s">
        <v>17</v>
      </c>
      <c r="I1370">
        <v>0</v>
      </c>
      <c r="J1370">
        <v>0</v>
      </c>
      <c r="K1370">
        <v>1</v>
      </c>
      <c r="L1370">
        <v>0</v>
      </c>
      <c r="M1370">
        <v>0</v>
      </c>
      <c r="N1370" t="s">
        <v>201</v>
      </c>
      <c r="O1370" t="s">
        <v>214</v>
      </c>
      <c r="P1370" t="s">
        <v>204</v>
      </c>
      <c r="Q1370" t="s">
        <v>170</v>
      </c>
      <c r="R1370" t="s">
        <v>155</v>
      </c>
      <c r="T1370" t="s">
        <v>134</v>
      </c>
      <c r="U1370">
        <v>1</v>
      </c>
      <c r="W1370" t="s">
        <v>134</v>
      </c>
      <c r="X1370">
        <v>1</v>
      </c>
      <c r="Y1370" t="s">
        <v>140</v>
      </c>
      <c r="Z1370" t="s">
        <v>591</v>
      </c>
      <c r="AA1370" t="s">
        <v>142</v>
      </c>
      <c r="AB1370" t="s">
        <v>163</v>
      </c>
      <c r="AC1370" t="s">
        <v>21</v>
      </c>
      <c r="AD1370" t="s">
        <v>155</v>
      </c>
      <c r="AE1370" t="s">
        <v>124</v>
      </c>
      <c r="AF1370" t="s">
        <v>21</v>
      </c>
    </row>
    <row r="1371" spans="1:32">
      <c r="A1371" t="s">
        <v>2281</v>
      </c>
      <c r="B1371" s="37">
        <v>39991</v>
      </c>
      <c r="C1371" s="38">
        <v>39991</v>
      </c>
      <c r="D1371" s="38">
        <v>39986</v>
      </c>
      <c r="E1371" s="38">
        <v>39965</v>
      </c>
      <c r="F1371" s="39">
        <v>86</v>
      </c>
      <c r="G1371" t="s">
        <v>21</v>
      </c>
      <c r="H1371" t="s">
        <v>21</v>
      </c>
      <c r="I1371">
        <v>0</v>
      </c>
      <c r="J1371">
        <v>0</v>
      </c>
      <c r="K1371">
        <v>0</v>
      </c>
      <c r="L1371">
        <v>1</v>
      </c>
      <c r="M1371">
        <v>0</v>
      </c>
      <c r="N1371" t="s">
        <v>195</v>
      </c>
      <c r="O1371" t="s">
        <v>213</v>
      </c>
      <c r="P1371" t="s">
        <v>206</v>
      </c>
      <c r="Q1371" t="s">
        <v>170</v>
      </c>
      <c r="R1371" t="s">
        <v>155</v>
      </c>
      <c r="T1371" t="s">
        <v>134</v>
      </c>
      <c r="U1371">
        <v>1</v>
      </c>
      <c r="V1371">
        <v>3</v>
      </c>
      <c r="W1371" t="s">
        <v>137</v>
      </c>
      <c r="X1371">
        <v>0</v>
      </c>
      <c r="Y1371" t="s">
        <v>139</v>
      </c>
      <c r="Z1371" t="s">
        <v>189</v>
      </c>
      <c r="AA1371" t="s">
        <v>144</v>
      </c>
      <c r="AB1371" t="s">
        <v>163</v>
      </c>
      <c r="AC1371" t="s">
        <v>173</v>
      </c>
      <c r="AD1371" t="s">
        <v>155</v>
      </c>
      <c r="AE1371" t="s">
        <v>830</v>
      </c>
      <c r="AF1371" t="s">
        <v>21</v>
      </c>
    </row>
    <row r="1372" spans="1:32">
      <c r="A1372" t="s">
        <v>2282</v>
      </c>
      <c r="B1372" s="37">
        <v>40026</v>
      </c>
      <c r="C1372" s="38">
        <v>40026</v>
      </c>
      <c r="D1372" s="38">
        <v>40021</v>
      </c>
      <c r="E1372" s="38">
        <v>40026</v>
      </c>
      <c r="F1372" s="39">
        <v>121</v>
      </c>
      <c r="G1372" t="s">
        <v>21</v>
      </c>
      <c r="H1372" t="s">
        <v>21</v>
      </c>
      <c r="I1372">
        <v>0</v>
      </c>
      <c r="J1372">
        <v>0</v>
      </c>
      <c r="K1372">
        <v>0</v>
      </c>
      <c r="L1372">
        <v>1</v>
      </c>
      <c r="M1372">
        <v>0</v>
      </c>
      <c r="N1372" t="s">
        <v>196</v>
      </c>
      <c r="O1372" t="s">
        <v>213</v>
      </c>
      <c r="P1372" t="s">
        <v>207</v>
      </c>
      <c r="Q1372" t="s">
        <v>170</v>
      </c>
      <c r="R1372" t="s">
        <v>155</v>
      </c>
      <c r="S1372">
        <v>3</v>
      </c>
      <c r="T1372" t="s">
        <v>137</v>
      </c>
      <c r="U1372">
        <v>0</v>
      </c>
      <c r="V1372">
        <v>4</v>
      </c>
      <c r="W1372" t="s">
        <v>137</v>
      </c>
      <c r="X1372">
        <v>0</v>
      </c>
      <c r="Y1372" t="s">
        <v>139</v>
      </c>
      <c r="Z1372" t="s">
        <v>509</v>
      </c>
      <c r="AA1372" t="s">
        <v>142</v>
      </c>
      <c r="AB1372" t="s">
        <v>163</v>
      </c>
      <c r="AC1372" t="s">
        <v>173</v>
      </c>
      <c r="AD1372" t="s">
        <v>155</v>
      </c>
      <c r="AE1372" t="s">
        <v>454</v>
      </c>
      <c r="AF1372" t="s">
        <v>21</v>
      </c>
    </row>
    <row r="1373" spans="1:32">
      <c r="A1373" t="s">
        <v>2283</v>
      </c>
      <c r="B1373" s="37">
        <v>39975</v>
      </c>
      <c r="C1373" s="38">
        <v>39975</v>
      </c>
      <c r="D1373" s="38">
        <v>39972</v>
      </c>
      <c r="E1373" s="38">
        <v>39965</v>
      </c>
      <c r="F1373" s="39">
        <v>70</v>
      </c>
      <c r="G1373" t="s">
        <v>21</v>
      </c>
      <c r="H1373" t="s">
        <v>21</v>
      </c>
      <c r="I1373">
        <v>0</v>
      </c>
      <c r="J1373">
        <v>0</v>
      </c>
      <c r="K1373">
        <v>0</v>
      </c>
      <c r="L1373">
        <v>1</v>
      </c>
      <c r="M1373">
        <v>0</v>
      </c>
      <c r="N1373" t="s">
        <v>193</v>
      </c>
      <c r="O1373" t="s">
        <v>213</v>
      </c>
      <c r="P1373" t="s">
        <v>204</v>
      </c>
      <c r="Q1373" t="s">
        <v>170</v>
      </c>
      <c r="R1373" t="s">
        <v>155</v>
      </c>
      <c r="T1373" t="s">
        <v>134</v>
      </c>
      <c r="U1373">
        <v>1</v>
      </c>
      <c r="W1373" t="s">
        <v>134</v>
      </c>
      <c r="X1373">
        <v>1</v>
      </c>
      <c r="Y1373" t="s">
        <v>140</v>
      </c>
      <c r="Z1373" t="s">
        <v>179</v>
      </c>
      <c r="AA1373" t="s">
        <v>144</v>
      </c>
      <c r="AB1373" t="s">
        <v>163</v>
      </c>
      <c r="AC1373" t="s">
        <v>2284</v>
      </c>
      <c r="AD1373" t="s">
        <v>155</v>
      </c>
      <c r="AE1373" t="s">
        <v>792</v>
      </c>
      <c r="AF1373" t="s">
        <v>21</v>
      </c>
    </row>
    <row r="1374" spans="1:32">
      <c r="A1374" t="s">
        <v>2285</v>
      </c>
      <c r="B1374" s="37">
        <v>40024</v>
      </c>
      <c r="C1374" s="38">
        <v>40024</v>
      </c>
      <c r="D1374" s="38">
        <v>40021</v>
      </c>
      <c r="E1374" s="38">
        <v>39995</v>
      </c>
      <c r="F1374" s="39">
        <v>119</v>
      </c>
      <c r="G1374" t="s">
        <v>21</v>
      </c>
      <c r="H1374" t="s">
        <v>21</v>
      </c>
      <c r="I1374">
        <v>0</v>
      </c>
      <c r="J1374">
        <v>0</v>
      </c>
      <c r="K1374">
        <v>0</v>
      </c>
      <c r="L1374">
        <v>1</v>
      </c>
      <c r="M1374">
        <v>0</v>
      </c>
      <c r="N1374" t="s">
        <v>193</v>
      </c>
      <c r="O1374" t="s">
        <v>213</v>
      </c>
      <c r="P1374" t="s">
        <v>204</v>
      </c>
      <c r="Q1374" t="s">
        <v>170</v>
      </c>
      <c r="R1374" t="s">
        <v>155</v>
      </c>
      <c r="S1374">
        <v>5</v>
      </c>
      <c r="T1374" t="s">
        <v>135</v>
      </c>
      <c r="U1374">
        <v>0</v>
      </c>
      <c r="V1374">
        <v>5</v>
      </c>
      <c r="W1374" t="s">
        <v>135</v>
      </c>
      <c r="X1374">
        <v>0</v>
      </c>
      <c r="Y1374" t="s">
        <v>140</v>
      </c>
      <c r="Z1374" t="s">
        <v>184</v>
      </c>
      <c r="AA1374" t="s">
        <v>143</v>
      </c>
      <c r="AB1374" t="s">
        <v>162</v>
      </c>
      <c r="AC1374" t="s">
        <v>459</v>
      </c>
      <c r="AD1374" t="s">
        <v>155</v>
      </c>
      <c r="AE1374" t="s">
        <v>129</v>
      </c>
      <c r="AF1374" t="s">
        <v>21</v>
      </c>
    </row>
    <row r="1375" spans="1:32">
      <c r="A1375" t="s">
        <v>2286</v>
      </c>
      <c r="B1375" s="37">
        <v>40010</v>
      </c>
      <c r="C1375" s="38">
        <v>40010</v>
      </c>
      <c r="D1375" s="38">
        <v>40007</v>
      </c>
      <c r="E1375" s="38">
        <v>39995</v>
      </c>
      <c r="F1375" s="39">
        <v>105</v>
      </c>
      <c r="G1375" t="s">
        <v>21</v>
      </c>
      <c r="H1375" t="s">
        <v>21</v>
      </c>
      <c r="I1375">
        <v>0</v>
      </c>
      <c r="J1375">
        <v>0</v>
      </c>
      <c r="K1375">
        <v>0</v>
      </c>
      <c r="L1375">
        <v>1</v>
      </c>
      <c r="M1375">
        <v>0</v>
      </c>
      <c r="N1375" t="s">
        <v>193</v>
      </c>
      <c r="O1375" t="s">
        <v>213</v>
      </c>
      <c r="P1375" t="s">
        <v>204</v>
      </c>
      <c r="Q1375" t="s">
        <v>170</v>
      </c>
      <c r="R1375" t="s">
        <v>155</v>
      </c>
      <c r="S1375">
        <v>2</v>
      </c>
      <c r="T1375" t="s">
        <v>136</v>
      </c>
      <c r="U1375">
        <v>0</v>
      </c>
      <c r="V1375">
        <v>3</v>
      </c>
      <c r="W1375" t="s">
        <v>137</v>
      </c>
      <c r="X1375">
        <v>0</v>
      </c>
      <c r="Y1375" t="s">
        <v>140</v>
      </c>
      <c r="Z1375" t="s">
        <v>576</v>
      </c>
      <c r="AA1375" t="s">
        <v>146</v>
      </c>
      <c r="AB1375" t="s">
        <v>165</v>
      </c>
      <c r="AC1375" t="s">
        <v>1618</v>
      </c>
      <c r="AD1375" t="s">
        <v>158</v>
      </c>
      <c r="AE1375" t="s">
        <v>122</v>
      </c>
      <c r="AF1375" t="s">
        <v>21</v>
      </c>
    </row>
    <row r="1376" spans="1:32">
      <c r="A1376" t="s">
        <v>2287</v>
      </c>
      <c r="B1376" s="37">
        <v>39958</v>
      </c>
      <c r="C1376" s="38">
        <v>39958</v>
      </c>
      <c r="D1376" s="38">
        <v>39958</v>
      </c>
      <c r="E1376" s="38">
        <v>39934</v>
      </c>
      <c r="F1376" s="39">
        <v>53</v>
      </c>
      <c r="G1376" t="s">
        <v>21</v>
      </c>
      <c r="H1376" t="s">
        <v>21</v>
      </c>
      <c r="I1376">
        <v>0</v>
      </c>
      <c r="J1376">
        <v>0</v>
      </c>
      <c r="K1376">
        <v>0</v>
      </c>
      <c r="L1376">
        <v>1</v>
      </c>
      <c r="M1376">
        <v>0</v>
      </c>
      <c r="N1376" t="s">
        <v>194</v>
      </c>
      <c r="O1376" t="s">
        <v>213</v>
      </c>
      <c r="P1376" t="s">
        <v>205</v>
      </c>
      <c r="Q1376" t="s">
        <v>170</v>
      </c>
      <c r="R1376" t="s">
        <v>155</v>
      </c>
      <c r="T1376" t="s">
        <v>134</v>
      </c>
      <c r="U1376">
        <v>1</v>
      </c>
      <c r="W1376" t="s">
        <v>134</v>
      </c>
      <c r="X1376">
        <v>1</v>
      </c>
      <c r="Y1376" t="s">
        <v>139</v>
      </c>
      <c r="Z1376" t="s">
        <v>182</v>
      </c>
      <c r="AA1376" t="s">
        <v>144</v>
      </c>
      <c r="AB1376" t="s">
        <v>162</v>
      </c>
      <c r="AC1376" t="s">
        <v>175</v>
      </c>
      <c r="AD1376" t="s">
        <v>155</v>
      </c>
      <c r="AE1376" t="s">
        <v>127</v>
      </c>
      <c r="AF1376" t="s">
        <v>21</v>
      </c>
    </row>
    <row r="1377" spans="1:32">
      <c r="A1377" t="s">
        <v>2288</v>
      </c>
      <c r="B1377" s="37">
        <v>39917</v>
      </c>
      <c r="C1377" s="38">
        <v>39917</v>
      </c>
      <c r="D1377" s="38">
        <v>39916</v>
      </c>
      <c r="E1377" s="38">
        <v>39904</v>
      </c>
      <c r="F1377" s="39">
        <v>12</v>
      </c>
      <c r="G1377" t="s">
        <v>21</v>
      </c>
      <c r="H1377" t="s">
        <v>21</v>
      </c>
      <c r="I1377">
        <v>0</v>
      </c>
      <c r="J1377">
        <v>0</v>
      </c>
      <c r="K1377">
        <v>0</v>
      </c>
      <c r="L1377">
        <v>1</v>
      </c>
      <c r="M1377">
        <v>0</v>
      </c>
      <c r="N1377" t="s">
        <v>201</v>
      </c>
      <c r="O1377" t="s">
        <v>214</v>
      </c>
      <c r="P1377" t="s">
        <v>204</v>
      </c>
      <c r="Q1377" t="s">
        <v>170</v>
      </c>
      <c r="R1377" t="s">
        <v>155</v>
      </c>
      <c r="T1377" t="s">
        <v>134</v>
      </c>
      <c r="U1377">
        <v>1</v>
      </c>
      <c r="W1377" t="s">
        <v>134</v>
      </c>
      <c r="X1377">
        <v>1</v>
      </c>
      <c r="Y1377" t="s">
        <v>140</v>
      </c>
      <c r="Z1377" t="s">
        <v>182</v>
      </c>
      <c r="AA1377" t="s">
        <v>148</v>
      </c>
      <c r="AB1377" t="s">
        <v>163</v>
      </c>
      <c r="AC1377" t="s">
        <v>173</v>
      </c>
      <c r="AD1377" t="s">
        <v>161</v>
      </c>
      <c r="AE1377" t="s">
        <v>939</v>
      </c>
      <c r="AF1377" t="s">
        <v>21</v>
      </c>
    </row>
    <row r="1378" spans="1:32">
      <c r="A1378" t="s">
        <v>2289</v>
      </c>
      <c r="B1378" s="37">
        <v>39914</v>
      </c>
      <c r="C1378" s="38">
        <v>39914</v>
      </c>
      <c r="D1378" s="38">
        <v>39909</v>
      </c>
      <c r="E1378" s="38">
        <v>39904</v>
      </c>
      <c r="F1378" s="39">
        <v>9</v>
      </c>
      <c r="G1378" t="s">
        <v>21</v>
      </c>
      <c r="H1378" t="s">
        <v>21</v>
      </c>
      <c r="I1378">
        <v>0</v>
      </c>
      <c r="J1378">
        <v>0</v>
      </c>
      <c r="K1378">
        <v>0</v>
      </c>
      <c r="L1378">
        <v>1</v>
      </c>
      <c r="M1378">
        <v>0</v>
      </c>
      <c r="N1378" t="s">
        <v>202</v>
      </c>
      <c r="O1378" t="s">
        <v>213</v>
      </c>
      <c r="P1378" t="s">
        <v>211</v>
      </c>
      <c r="Q1378" t="s">
        <v>170</v>
      </c>
      <c r="R1378" t="s">
        <v>155</v>
      </c>
      <c r="T1378" t="s">
        <v>134</v>
      </c>
      <c r="U1378">
        <v>1</v>
      </c>
      <c r="W1378" t="s">
        <v>134</v>
      </c>
      <c r="X1378">
        <v>1</v>
      </c>
      <c r="Y1378" t="s">
        <v>139</v>
      </c>
      <c r="Z1378" t="s">
        <v>182</v>
      </c>
      <c r="AA1378" t="s">
        <v>143</v>
      </c>
      <c r="AB1378" t="s">
        <v>162</v>
      </c>
      <c r="AC1378" t="s">
        <v>175</v>
      </c>
      <c r="AD1378" t="s">
        <v>161</v>
      </c>
      <c r="AE1378" t="s">
        <v>387</v>
      </c>
      <c r="AF1378" t="s">
        <v>21</v>
      </c>
    </row>
    <row r="1379" spans="1:32">
      <c r="A1379" t="s">
        <v>2290</v>
      </c>
      <c r="B1379" s="37">
        <v>39945</v>
      </c>
      <c r="C1379" s="38">
        <v>39945</v>
      </c>
      <c r="D1379" s="38">
        <v>39944</v>
      </c>
      <c r="E1379" s="38">
        <v>39934</v>
      </c>
      <c r="F1379" s="39">
        <v>40</v>
      </c>
      <c r="G1379" t="s">
        <v>21</v>
      </c>
      <c r="H1379" t="s">
        <v>21</v>
      </c>
      <c r="I1379">
        <v>0</v>
      </c>
      <c r="J1379">
        <v>0</v>
      </c>
      <c r="K1379">
        <v>0</v>
      </c>
      <c r="L1379">
        <v>1</v>
      </c>
      <c r="M1379">
        <v>0</v>
      </c>
      <c r="N1379" t="s">
        <v>194</v>
      </c>
      <c r="O1379" t="s">
        <v>213</v>
      </c>
      <c r="P1379" t="s">
        <v>205</v>
      </c>
      <c r="Q1379" t="s">
        <v>170</v>
      </c>
      <c r="R1379" t="s">
        <v>155</v>
      </c>
      <c r="T1379" t="s">
        <v>134</v>
      </c>
      <c r="U1379">
        <v>1</v>
      </c>
      <c r="W1379" t="s">
        <v>134</v>
      </c>
      <c r="X1379">
        <v>1</v>
      </c>
      <c r="Y1379" t="s">
        <v>139</v>
      </c>
      <c r="Z1379" t="s">
        <v>179</v>
      </c>
      <c r="AA1379" t="s">
        <v>150</v>
      </c>
      <c r="AB1379" t="s">
        <v>162</v>
      </c>
      <c r="AC1379" t="s">
        <v>459</v>
      </c>
      <c r="AD1379" t="s">
        <v>155</v>
      </c>
      <c r="AE1379" t="s">
        <v>130</v>
      </c>
      <c r="AF1379" t="s">
        <v>21</v>
      </c>
    </row>
    <row r="1380" spans="1:32">
      <c r="A1380" t="s">
        <v>2291</v>
      </c>
      <c r="B1380" s="37">
        <v>39960</v>
      </c>
      <c r="C1380" s="38">
        <v>39960</v>
      </c>
      <c r="D1380" s="38">
        <v>39958</v>
      </c>
      <c r="E1380" s="38">
        <v>39934</v>
      </c>
      <c r="F1380" s="39">
        <v>55</v>
      </c>
      <c r="G1380" t="s">
        <v>21</v>
      </c>
      <c r="H1380" t="s">
        <v>21</v>
      </c>
      <c r="I1380">
        <v>0</v>
      </c>
      <c r="J1380">
        <v>0</v>
      </c>
      <c r="K1380">
        <v>0</v>
      </c>
      <c r="L1380">
        <v>1</v>
      </c>
      <c r="M1380">
        <v>0</v>
      </c>
      <c r="N1380" t="s">
        <v>193</v>
      </c>
      <c r="O1380" t="s">
        <v>213</v>
      </c>
      <c r="P1380" t="s">
        <v>204</v>
      </c>
      <c r="Q1380" t="s">
        <v>170</v>
      </c>
      <c r="R1380" t="s">
        <v>155</v>
      </c>
      <c r="T1380" t="s">
        <v>134</v>
      </c>
      <c r="U1380">
        <v>1</v>
      </c>
      <c r="W1380" t="s">
        <v>134</v>
      </c>
      <c r="X1380">
        <v>1</v>
      </c>
      <c r="Y1380" t="s">
        <v>140</v>
      </c>
      <c r="Z1380" t="s">
        <v>179</v>
      </c>
      <c r="AA1380" t="s">
        <v>144</v>
      </c>
      <c r="AB1380" t="s">
        <v>162</v>
      </c>
      <c r="AC1380" t="s">
        <v>174</v>
      </c>
      <c r="AD1380" t="s">
        <v>160</v>
      </c>
      <c r="AE1380" t="s">
        <v>126</v>
      </c>
      <c r="AF1380" t="s">
        <v>551</v>
      </c>
    </row>
    <row r="1381" spans="1:32">
      <c r="A1381" t="s">
        <v>2292</v>
      </c>
      <c r="B1381" s="37">
        <v>39980</v>
      </c>
      <c r="C1381" s="38">
        <v>39980</v>
      </c>
      <c r="D1381" s="38">
        <v>39979</v>
      </c>
      <c r="E1381" s="38">
        <v>39965</v>
      </c>
      <c r="F1381" s="39">
        <v>75</v>
      </c>
      <c r="G1381" t="s">
        <v>380</v>
      </c>
      <c r="H1381" t="s">
        <v>17</v>
      </c>
      <c r="I1381">
        <v>0</v>
      </c>
      <c r="J1381">
        <v>0</v>
      </c>
      <c r="K1381">
        <v>1</v>
      </c>
      <c r="L1381">
        <v>0</v>
      </c>
      <c r="M1381">
        <v>0</v>
      </c>
      <c r="N1381" t="s">
        <v>194</v>
      </c>
      <c r="O1381" t="s">
        <v>213</v>
      </c>
      <c r="P1381" t="s">
        <v>205</v>
      </c>
      <c r="Q1381" t="s">
        <v>170</v>
      </c>
      <c r="R1381" t="s">
        <v>155</v>
      </c>
      <c r="T1381" t="s">
        <v>134</v>
      </c>
      <c r="U1381">
        <v>1</v>
      </c>
      <c r="W1381" t="s">
        <v>134</v>
      </c>
      <c r="X1381">
        <v>1</v>
      </c>
      <c r="Y1381" t="s">
        <v>139</v>
      </c>
      <c r="Z1381" t="s">
        <v>1034</v>
      </c>
      <c r="AA1381" t="s">
        <v>149</v>
      </c>
      <c r="AB1381" t="s">
        <v>162</v>
      </c>
      <c r="AC1381" t="s">
        <v>522</v>
      </c>
      <c r="AD1381" t="s">
        <v>155</v>
      </c>
      <c r="AE1381" t="s">
        <v>129</v>
      </c>
      <c r="AF1381" t="s">
        <v>21</v>
      </c>
    </row>
    <row r="1382" spans="1:32">
      <c r="A1382" t="s">
        <v>2293</v>
      </c>
      <c r="B1382" s="37">
        <v>39980</v>
      </c>
      <c r="C1382" s="38">
        <v>39980</v>
      </c>
      <c r="D1382" s="38">
        <v>39979</v>
      </c>
      <c r="E1382" s="38">
        <v>39965</v>
      </c>
      <c r="F1382" s="39">
        <v>75</v>
      </c>
      <c r="G1382" t="s">
        <v>21</v>
      </c>
      <c r="H1382" t="s">
        <v>21</v>
      </c>
      <c r="I1382">
        <v>0</v>
      </c>
      <c r="J1382">
        <v>0</v>
      </c>
      <c r="K1382">
        <v>0</v>
      </c>
      <c r="L1382">
        <v>1</v>
      </c>
      <c r="M1382">
        <v>0</v>
      </c>
      <c r="N1382" t="s">
        <v>193</v>
      </c>
      <c r="O1382" t="s">
        <v>213</v>
      </c>
      <c r="P1382" t="s">
        <v>204</v>
      </c>
      <c r="Q1382" t="s">
        <v>170</v>
      </c>
      <c r="R1382" t="s">
        <v>155</v>
      </c>
      <c r="T1382" t="s">
        <v>134</v>
      </c>
      <c r="U1382">
        <v>1</v>
      </c>
      <c r="W1382" t="s">
        <v>134</v>
      </c>
      <c r="X1382">
        <v>1</v>
      </c>
      <c r="Y1382" t="s">
        <v>140</v>
      </c>
      <c r="Z1382" t="s">
        <v>179</v>
      </c>
      <c r="AA1382" t="s">
        <v>145</v>
      </c>
      <c r="AB1382" t="s">
        <v>163</v>
      </c>
      <c r="AC1382" t="s">
        <v>173</v>
      </c>
      <c r="AD1382" t="s">
        <v>155</v>
      </c>
      <c r="AE1382" t="s">
        <v>1133</v>
      </c>
      <c r="AF1382" t="s">
        <v>21</v>
      </c>
    </row>
    <row r="1383" spans="1:32">
      <c r="A1383" t="s">
        <v>2294</v>
      </c>
      <c r="B1383" s="37">
        <v>39949</v>
      </c>
      <c r="C1383" s="38">
        <v>39949</v>
      </c>
      <c r="D1383" s="38">
        <v>39944</v>
      </c>
      <c r="E1383" s="38">
        <v>39934</v>
      </c>
      <c r="F1383" s="39">
        <v>44</v>
      </c>
      <c r="G1383" t="s">
        <v>496</v>
      </c>
      <c r="H1383" t="s">
        <v>13</v>
      </c>
      <c r="I1383">
        <v>0</v>
      </c>
      <c r="J1383">
        <v>1</v>
      </c>
      <c r="K1383">
        <v>0</v>
      </c>
      <c r="L1383">
        <v>0</v>
      </c>
      <c r="M1383">
        <v>1</v>
      </c>
      <c r="N1383" t="s">
        <v>194</v>
      </c>
      <c r="O1383" t="s">
        <v>213</v>
      </c>
      <c r="P1383" t="s">
        <v>205</v>
      </c>
      <c r="Q1383" t="s">
        <v>170</v>
      </c>
      <c r="R1383" t="s">
        <v>155</v>
      </c>
      <c r="T1383" t="s">
        <v>134</v>
      </c>
      <c r="U1383">
        <v>1</v>
      </c>
      <c r="W1383" t="s">
        <v>134</v>
      </c>
      <c r="X1383">
        <v>1</v>
      </c>
      <c r="Y1383" t="s">
        <v>139</v>
      </c>
      <c r="Z1383" t="s">
        <v>181</v>
      </c>
      <c r="AA1383" t="s">
        <v>142</v>
      </c>
      <c r="AB1383" t="s">
        <v>163</v>
      </c>
      <c r="AC1383" t="s">
        <v>21</v>
      </c>
      <c r="AD1383" t="s">
        <v>155</v>
      </c>
      <c r="AE1383" t="s">
        <v>392</v>
      </c>
      <c r="AF1383" t="s">
        <v>21</v>
      </c>
    </row>
    <row r="1384" spans="1:32">
      <c r="A1384" t="s">
        <v>2295</v>
      </c>
      <c r="B1384" s="37">
        <v>39949</v>
      </c>
      <c r="C1384" s="38">
        <v>39949</v>
      </c>
      <c r="D1384" s="38">
        <v>39944</v>
      </c>
      <c r="E1384" s="38">
        <v>39934</v>
      </c>
      <c r="F1384" s="39">
        <v>44</v>
      </c>
      <c r="G1384" t="s">
        <v>21</v>
      </c>
      <c r="H1384" t="s">
        <v>21</v>
      </c>
      <c r="I1384">
        <v>0</v>
      </c>
      <c r="J1384">
        <v>0</v>
      </c>
      <c r="K1384">
        <v>0</v>
      </c>
      <c r="L1384">
        <v>1</v>
      </c>
      <c r="M1384">
        <v>0</v>
      </c>
      <c r="N1384" t="s">
        <v>195</v>
      </c>
      <c r="O1384" t="s">
        <v>213</v>
      </c>
      <c r="P1384" t="s">
        <v>206</v>
      </c>
      <c r="Q1384" t="s">
        <v>170</v>
      </c>
      <c r="R1384" t="s">
        <v>155</v>
      </c>
      <c r="T1384" t="s">
        <v>134</v>
      </c>
      <c r="U1384">
        <v>1</v>
      </c>
      <c r="W1384" t="s">
        <v>134</v>
      </c>
      <c r="X1384">
        <v>1</v>
      </c>
      <c r="Y1384" t="s">
        <v>139</v>
      </c>
      <c r="Z1384" t="s">
        <v>181</v>
      </c>
      <c r="AA1384" t="s">
        <v>142</v>
      </c>
      <c r="AB1384" t="s">
        <v>163</v>
      </c>
      <c r="AC1384" t="s">
        <v>21</v>
      </c>
      <c r="AD1384" t="s">
        <v>155</v>
      </c>
      <c r="AE1384" t="s">
        <v>392</v>
      </c>
      <c r="AF1384" t="s">
        <v>21</v>
      </c>
    </row>
    <row r="1385" spans="1:32">
      <c r="A1385" t="s">
        <v>2296</v>
      </c>
      <c r="B1385" s="37">
        <v>39910</v>
      </c>
      <c r="C1385" s="38">
        <v>39910</v>
      </c>
      <c r="D1385" s="38">
        <v>39909</v>
      </c>
      <c r="E1385" s="38">
        <v>39904</v>
      </c>
      <c r="F1385" s="39">
        <v>5</v>
      </c>
      <c r="G1385" t="s">
        <v>21</v>
      </c>
      <c r="H1385" t="s">
        <v>21</v>
      </c>
      <c r="I1385">
        <v>0</v>
      </c>
      <c r="J1385">
        <v>0</v>
      </c>
      <c r="K1385">
        <v>0</v>
      </c>
      <c r="L1385">
        <v>1</v>
      </c>
      <c r="M1385">
        <v>0</v>
      </c>
      <c r="N1385" t="s">
        <v>199</v>
      </c>
      <c r="O1385" t="s">
        <v>213</v>
      </c>
      <c r="P1385" t="s">
        <v>210</v>
      </c>
      <c r="Q1385" t="s">
        <v>170</v>
      </c>
      <c r="R1385" t="s">
        <v>155</v>
      </c>
      <c r="T1385" t="s">
        <v>134</v>
      </c>
      <c r="U1385">
        <v>1</v>
      </c>
      <c r="W1385" t="s">
        <v>134</v>
      </c>
      <c r="X1385">
        <v>1</v>
      </c>
      <c r="Y1385" t="s">
        <v>139</v>
      </c>
      <c r="Z1385" t="s">
        <v>391</v>
      </c>
      <c r="AA1385" t="s">
        <v>145</v>
      </c>
      <c r="AB1385" t="s">
        <v>163</v>
      </c>
      <c r="AC1385" t="s">
        <v>2297</v>
      </c>
      <c r="AD1385" t="s">
        <v>155</v>
      </c>
      <c r="AE1385" t="s">
        <v>125</v>
      </c>
      <c r="AF1385" t="s">
        <v>21</v>
      </c>
    </row>
    <row r="1386" spans="1:32">
      <c r="A1386" t="s">
        <v>2298</v>
      </c>
      <c r="B1386" s="37">
        <v>39966</v>
      </c>
      <c r="C1386" s="38">
        <v>39966</v>
      </c>
      <c r="D1386" s="38">
        <v>39965</v>
      </c>
      <c r="E1386" s="38">
        <v>39965</v>
      </c>
      <c r="F1386" s="39">
        <v>61</v>
      </c>
      <c r="G1386" t="s">
        <v>383</v>
      </c>
      <c r="H1386" t="s">
        <v>17</v>
      </c>
      <c r="I1386">
        <v>0</v>
      </c>
      <c r="J1386">
        <v>0</v>
      </c>
      <c r="K1386">
        <v>1</v>
      </c>
      <c r="L1386">
        <v>0</v>
      </c>
      <c r="M1386">
        <v>0</v>
      </c>
      <c r="N1386" t="s">
        <v>195</v>
      </c>
      <c r="O1386" t="s">
        <v>213</v>
      </c>
      <c r="P1386" t="s">
        <v>206</v>
      </c>
      <c r="Q1386" t="s">
        <v>170</v>
      </c>
      <c r="R1386" t="s">
        <v>155</v>
      </c>
      <c r="T1386" t="s">
        <v>134</v>
      </c>
      <c r="U1386">
        <v>1</v>
      </c>
      <c r="W1386" t="s">
        <v>134</v>
      </c>
      <c r="X1386">
        <v>1</v>
      </c>
      <c r="Y1386" t="s">
        <v>139</v>
      </c>
      <c r="Z1386" t="s">
        <v>181</v>
      </c>
      <c r="AA1386" t="s">
        <v>143</v>
      </c>
      <c r="AB1386" t="s">
        <v>162</v>
      </c>
      <c r="AC1386" t="s">
        <v>2176</v>
      </c>
      <c r="AD1386" t="s">
        <v>159</v>
      </c>
      <c r="AE1386" t="s">
        <v>126</v>
      </c>
      <c r="AF1386" t="s">
        <v>601</v>
      </c>
    </row>
    <row r="1387" spans="1:32">
      <c r="A1387" t="s">
        <v>2299</v>
      </c>
      <c r="B1387" s="37">
        <v>39970</v>
      </c>
      <c r="C1387" s="38">
        <v>39970</v>
      </c>
      <c r="D1387" s="38">
        <v>39965</v>
      </c>
      <c r="E1387" s="38">
        <v>39965</v>
      </c>
      <c r="F1387" s="39">
        <v>65</v>
      </c>
      <c r="G1387" t="s">
        <v>9</v>
      </c>
      <c r="H1387" t="s">
        <v>9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195</v>
      </c>
      <c r="O1387" t="s">
        <v>213</v>
      </c>
      <c r="P1387" t="s">
        <v>206</v>
      </c>
      <c r="Q1387" t="s">
        <v>170</v>
      </c>
      <c r="R1387" t="s">
        <v>155</v>
      </c>
      <c r="T1387" t="s">
        <v>134</v>
      </c>
      <c r="U1387">
        <v>1</v>
      </c>
      <c r="W1387" t="s">
        <v>134</v>
      </c>
      <c r="X1387">
        <v>1</v>
      </c>
      <c r="Y1387" t="s">
        <v>139</v>
      </c>
      <c r="Z1387" t="s">
        <v>178</v>
      </c>
      <c r="AA1387" t="s">
        <v>143</v>
      </c>
      <c r="AB1387" t="s">
        <v>163</v>
      </c>
      <c r="AC1387" t="s">
        <v>173</v>
      </c>
      <c r="AD1387" t="s">
        <v>155</v>
      </c>
      <c r="AE1387" t="s">
        <v>125</v>
      </c>
      <c r="AF1387" t="s">
        <v>21</v>
      </c>
    </row>
    <row r="1388" spans="1:32">
      <c r="A1388" t="s">
        <v>2300</v>
      </c>
      <c r="B1388" s="37">
        <v>39911</v>
      </c>
      <c r="C1388" s="38">
        <v>39911</v>
      </c>
      <c r="D1388" s="38">
        <v>39909</v>
      </c>
      <c r="E1388" s="38">
        <v>39904</v>
      </c>
      <c r="F1388" s="39">
        <v>6</v>
      </c>
      <c r="G1388" t="s">
        <v>21</v>
      </c>
      <c r="H1388" t="s">
        <v>21</v>
      </c>
      <c r="I1388">
        <v>0</v>
      </c>
      <c r="J1388">
        <v>0</v>
      </c>
      <c r="K1388">
        <v>0</v>
      </c>
      <c r="L1388">
        <v>1</v>
      </c>
      <c r="M1388">
        <v>0</v>
      </c>
      <c r="N1388" t="s">
        <v>202</v>
      </c>
      <c r="O1388" t="s">
        <v>213</v>
      </c>
      <c r="P1388" t="s">
        <v>211</v>
      </c>
      <c r="Q1388" t="s">
        <v>170</v>
      </c>
      <c r="R1388" t="s">
        <v>155</v>
      </c>
      <c r="T1388" t="s">
        <v>134</v>
      </c>
      <c r="U1388">
        <v>1</v>
      </c>
      <c r="W1388" t="s">
        <v>134</v>
      </c>
      <c r="X1388">
        <v>1</v>
      </c>
      <c r="Y1388" t="s">
        <v>139</v>
      </c>
      <c r="Z1388" t="s">
        <v>178</v>
      </c>
      <c r="AA1388" t="s">
        <v>143</v>
      </c>
      <c r="AB1388" t="s">
        <v>163</v>
      </c>
      <c r="AC1388" t="s">
        <v>173</v>
      </c>
      <c r="AD1388" t="s">
        <v>155</v>
      </c>
      <c r="AE1388" t="s">
        <v>130</v>
      </c>
      <c r="AF1388" t="s">
        <v>21</v>
      </c>
    </row>
    <row r="1389" spans="1:32">
      <c r="A1389" t="s">
        <v>2301</v>
      </c>
      <c r="B1389" s="37">
        <v>39930</v>
      </c>
      <c r="C1389" s="38">
        <v>39930</v>
      </c>
      <c r="D1389" s="38">
        <v>39930</v>
      </c>
      <c r="E1389" s="38">
        <v>39904</v>
      </c>
      <c r="F1389" s="39">
        <v>25</v>
      </c>
      <c r="G1389" t="s">
        <v>21</v>
      </c>
      <c r="H1389" t="s">
        <v>21</v>
      </c>
      <c r="I1389">
        <v>0</v>
      </c>
      <c r="J1389">
        <v>0</v>
      </c>
      <c r="K1389">
        <v>0</v>
      </c>
      <c r="L1389">
        <v>1</v>
      </c>
      <c r="M1389">
        <v>0</v>
      </c>
      <c r="N1389" t="s">
        <v>199</v>
      </c>
      <c r="O1389" t="s">
        <v>213</v>
      </c>
      <c r="P1389" t="s">
        <v>210</v>
      </c>
      <c r="Q1389" t="s">
        <v>170</v>
      </c>
      <c r="R1389" t="s">
        <v>155</v>
      </c>
      <c r="T1389" t="s">
        <v>134</v>
      </c>
      <c r="U1389">
        <v>1</v>
      </c>
      <c r="W1389" t="s">
        <v>134</v>
      </c>
      <c r="X1389">
        <v>1</v>
      </c>
      <c r="Y1389" t="s">
        <v>139</v>
      </c>
      <c r="Z1389" t="s">
        <v>178</v>
      </c>
      <c r="AA1389" t="s">
        <v>143</v>
      </c>
      <c r="AB1389" t="s">
        <v>163</v>
      </c>
      <c r="AC1389" t="s">
        <v>1443</v>
      </c>
      <c r="AD1389" t="s">
        <v>155</v>
      </c>
      <c r="AE1389" t="s">
        <v>387</v>
      </c>
      <c r="AF1389" t="s">
        <v>21</v>
      </c>
    </row>
    <row r="1390" spans="1:32">
      <c r="A1390" t="s">
        <v>2302</v>
      </c>
      <c r="B1390" s="37">
        <v>39980</v>
      </c>
      <c r="C1390" s="38">
        <v>39980</v>
      </c>
      <c r="D1390" s="38">
        <v>39979</v>
      </c>
      <c r="E1390" s="38">
        <v>39965</v>
      </c>
      <c r="F1390" s="39">
        <v>75</v>
      </c>
      <c r="G1390" t="s">
        <v>21</v>
      </c>
      <c r="H1390" t="s">
        <v>21</v>
      </c>
      <c r="I1390">
        <v>0</v>
      </c>
      <c r="J1390">
        <v>0</v>
      </c>
      <c r="K1390">
        <v>0</v>
      </c>
      <c r="L1390">
        <v>1</v>
      </c>
      <c r="M1390">
        <v>0</v>
      </c>
      <c r="N1390" t="s">
        <v>194</v>
      </c>
      <c r="O1390" t="s">
        <v>213</v>
      </c>
      <c r="P1390" t="s">
        <v>205</v>
      </c>
      <c r="Q1390" t="s">
        <v>170</v>
      </c>
      <c r="R1390" t="s">
        <v>155</v>
      </c>
      <c r="T1390" t="s">
        <v>134</v>
      </c>
      <c r="U1390">
        <v>1</v>
      </c>
      <c r="W1390" t="s">
        <v>134</v>
      </c>
      <c r="X1390">
        <v>1</v>
      </c>
      <c r="Y1390" t="s">
        <v>139</v>
      </c>
      <c r="Z1390" t="s">
        <v>187</v>
      </c>
      <c r="AA1390" t="s">
        <v>145</v>
      </c>
      <c r="AB1390" t="s">
        <v>162</v>
      </c>
      <c r="AC1390" t="s">
        <v>174</v>
      </c>
      <c r="AD1390" t="s">
        <v>155</v>
      </c>
      <c r="AE1390" t="s">
        <v>127</v>
      </c>
      <c r="AF1390" t="s">
        <v>21</v>
      </c>
    </row>
    <row r="1391" spans="1:32">
      <c r="A1391" t="s">
        <v>2303</v>
      </c>
      <c r="B1391" s="37">
        <v>40075</v>
      </c>
      <c r="C1391" s="38">
        <v>40075</v>
      </c>
      <c r="D1391" s="38">
        <v>40070</v>
      </c>
      <c r="E1391" s="38">
        <v>40057</v>
      </c>
      <c r="F1391" s="39">
        <v>170</v>
      </c>
      <c r="G1391" t="s">
        <v>21</v>
      </c>
      <c r="H1391" t="s">
        <v>21</v>
      </c>
      <c r="I1391">
        <v>0</v>
      </c>
      <c r="J1391">
        <v>0</v>
      </c>
      <c r="K1391">
        <v>0</v>
      </c>
      <c r="L1391">
        <v>1</v>
      </c>
      <c r="M1391">
        <v>0</v>
      </c>
      <c r="N1391" t="s">
        <v>193</v>
      </c>
      <c r="O1391" t="s">
        <v>213</v>
      </c>
      <c r="P1391" t="s">
        <v>204</v>
      </c>
      <c r="Q1391" t="s">
        <v>170</v>
      </c>
      <c r="R1391" t="s">
        <v>155</v>
      </c>
      <c r="S1391">
        <v>2</v>
      </c>
      <c r="T1391" t="s">
        <v>136</v>
      </c>
      <c r="U1391">
        <v>0</v>
      </c>
      <c r="V1391">
        <v>4</v>
      </c>
      <c r="W1391" t="s">
        <v>137</v>
      </c>
      <c r="X1391">
        <v>0</v>
      </c>
      <c r="Y1391" t="s">
        <v>140</v>
      </c>
      <c r="Z1391" t="s">
        <v>180</v>
      </c>
      <c r="AA1391" t="s">
        <v>150</v>
      </c>
      <c r="AB1391" t="s">
        <v>163</v>
      </c>
      <c r="AC1391" t="s">
        <v>2304</v>
      </c>
      <c r="AD1391" t="s">
        <v>155</v>
      </c>
      <c r="AE1391" t="s">
        <v>387</v>
      </c>
      <c r="AF1391" t="s">
        <v>21</v>
      </c>
    </row>
    <row r="1392" spans="1:32">
      <c r="A1392" t="s">
        <v>2305</v>
      </c>
      <c r="B1392" s="37">
        <v>40004</v>
      </c>
      <c r="C1392" s="38">
        <v>40004</v>
      </c>
      <c r="D1392" s="38">
        <v>40000</v>
      </c>
      <c r="E1392" s="38">
        <v>39995</v>
      </c>
      <c r="F1392" s="39">
        <v>99</v>
      </c>
      <c r="G1392" t="s">
        <v>383</v>
      </c>
      <c r="H1392" t="s">
        <v>17</v>
      </c>
      <c r="I1392">
        <v>0</v>
      </c>
      <c r="J1392">
        <v>0</v>
      </c>
      <c r="K1392">
        <v>1</v>
      </c>
      <c r="L1392">
        <v>0</v>
      </c>
      <c r="M1392">
        <v>0</v>
      </c>
      <c r="N1392" t="s">
        <v>193</v>
      </c>
      <c r="O1392" t="s">
        <v>213</v>
      </c>
      <c r="P1392" t="s">
        <v>204</v>
      </c>
      <c r="Q1392" t="s">
        <v>170</v>
      </c>
      <c r="R1392" t="s">
        <v>155</v>
      </c>
      <c r="T1392" t="s">
        <v>134</v>
      </c>
      <c r="U1392">
        <v>1</v>
      </c>
      <c r="V1392">
        <v>5</v>
      </c>
      <c r="W1392" t="s">
        <v>135</v>
      </c>
      <c r="X1392">
        <v>0</v>
      </c>
      <c r="Y1392" t="s">
        <v>140</v>
      </c>
      <c r="Z1392" t="s">
        <v>188</v>
      </c>
      <c r="AA1392" t="s">
        <v>144</v>
      </c>
      <c r="AB1392" t="s">
        <v>162</v>
      </c>
      <c r="AC1392" t="s">
        <v>867</v>
      </c>
      <c r="AD1392" t="s">
        <v>157</v>
      </c>
      <c r="AE1392" t="s">
        <v>127</v>
      </c>
      <c r="AF1392" t="s">
        <v>153</v>
      </c>
    </row>
    <row r="1393" spans="1:32">
      <c r="A1393" t="s">
        <v>2306</v>
      </c>
      <c r="B1393" s="37">
        <v>39992</v>
      </c>
      <c r="C1393" s="38">
        <v>39992</v>
      </c>
      <c r="D1393" s="38">
        <v>39986</v>
      </c>
      <c r="E1393" s="38">
        <v>39965</v>
      </c>
      <c r="F1393" s="39">
        <v>87</v>
      </c>
      <c r="G1393" t="s">
        <v>21</v>
      </c>
      <c r="H1393" t="s">
        <v>21</v>
      </c>
      <c r="I1393">
        <v>0</v>
      </c>
      <c r="J1393">
        <v>0</v>
      </c>
      <c r="K1393">
        <v>0</v>
      </c>
      <c r="L1393">
        <v>1</v>
      </c>
      <c r="M1393">
        <v>0</v>
      </c>
      <c r="N1393" t="s">
        <v>194</v>
      </c>
      <c r="O1393" t="s">
        <v>213</v>
      </c>
      <c r="P1393" t="s">
        <v>205</v>
      </c>
      <c r="Q1393" t="s">
        <v>170</v>
      </c>
      <c r="R1393" t="s">
        <v>155</v>
      </c>
      <c r="T1393" t="s">
        <v>134</v>
      </c>
      <c r="U1393">
        <v>1</v>
      </c>
      <c r="V1393">
        <v>2</v>
      </c>
      <c r="W1393" t="s">
        <v>136</v>
      </c>
      <c r="X1393">
        <v>0</v>
      </c>
      <c r="Y1393" t="s">
        <v>139</v>
      </c>
      <c r="Z1393" t="s">
        <v>603</v>
      </c>
      <c r="AA1393" t="s">
        <v>146</v>
      </c>
      <c r="AB1393" t="s">
        <v>163</v>
      </c>
      <c r="AC1393" t="s">
        <v>21</v>
      </c>
      <c r="AD1393" t="s">
        <v>155</v>
      </c>
      <c r="AE1393" t="s">
        <v>130</v>
      </c>
      <c r="AF1393" t="s">
        <v>21</v>
      </c>
    </row>
    <row r="1394" spans="1:32">
      <c r="A1394" t="s">
        <v>2307</v>
      </c>
      <c r="B1394" s="37">
        <v>40002</v>
      </c>
      <c r="C1394" s="38">
        <v>40002</v>
      </c>
      <c r="D1394" s="38">
        <v>40000</v>
      </c>
      <c r="E1394" s="38">
        <v>39995</v>
      </c>
      <c r="F1394" s="39">
        <v>97</v>
      </c>
      <c r="G1394" t="s">
        <v>21</v>
      </c>
      <c r="H1394" t="s">
        <v>21</v>
      </c>
      <c r="I1394">
        <v>0</v>
      </c>
      <c r="J1394">
        <v>0</v>
      </c>
      <c r="K1394">
        <v>0</v>
      </c>
      <c r="L1394">
        <v>1</v>
      </c>
      <c r="M1394">
        <v>0</v>
      </c>
      <c r="N1394" t="s">
        <v>195</v>
      </c>
      <c r="O1394" t="s">
        <v>213</v>
      </c>
      <c r="P1394" t="s">
        <v>206</v>
      </c>
      <c r="Q1394" t="s">
        <v>170</v>
      </c>
      <c r="R1394" t="s">
        <v>155</v>
      </c>
      <c r="T1394" t="s">
        <v>134</v>
      </c>
      <c r="U1394">
        <v>1</v>
      </c>
      <c r="V1394">
        <v>5</v>
      </c>
      <c r="W1394" t="s">
        <v>135</v>
      </c>
      <c r="X1394">
        <v>0</v>
      </c>
      <c r="Y1394" t="s">
        <v>139</v>
      </c>
      <c r="Z1394" t="s">
        <v>479</v>
      </c>
      <c r="AA1394" t="s">
        <v>145</v>
      </c>
      <c r="AB1394" t="s">
        <v>162</v>
      </c>
      <c r="AC1394" t="s">
        <v>21</v>
      </c>
      <c r="AD1394" t="s">
        <v>155</v>
      </c>
      <c r="AE1394" t="s">
        <v>130</v>
      </c>
      <c r="AF1394" t="s">
        <v>21</v>
      </c>
    </row>
    <row r="1395" spans="1:32">
      <c r="A1395" t="s">
        <v>2308</v>
      </c>
      <c r="B1395" s="37">
        <v>39976</v>
      </c>
      <c r="C1395" s="38">
        <v>39976</v>
      </c>
      <c r="D1395" s="38">
        <v>39972</v>
      </c>
      <c r="E1395" s="38">
        <v>39965</v>
      </c>
      <c r="F1395" s="39">
        <v>71</v>
      </c>
      <c r="G1395" t="s">
        <v>21</v>
      </c>
      <c r="H1395" t="s">
        <v>21</v>
      </c>
      <c r="I1395">
        <v>0</v>
      </c>
      <c r="J1395">
        <v>0</v>
      </c>
      <c r="K1395">
        <v>0</v>
      </c>
      <c r="L1395">
        <v>1</v>
      </c>
      <c r="M1395">
        <v>0</v>
      </c>
      <c r="N1395" t="s">
        <v>193</v>
      </c>
      <c r="O1395" t="s">
        <v>213</v>
      </c>
      <c r="P1395" t="s">
        <v>204</v>
      </c>
      <c r="Q1395" t="s">
        <v>170</v>
      </c>
      <c r="R1395" t="s">
        <v>155</v>
      </c>
      <c r="T1395" t="s">
        <v>134</v>
      </c>
      <c r="U1395">
        <v>1</v>
      </c>
      <c r="W1395" t="s">
        <v>134</v>
      </c>
      <c r="X1395">
        <v>1</v>
      </c>
      <c r="Y1395" t="s">
        <v>140</v>
      </c>
      <c r="Z1395" t="s">
        <v>188</v>
      </c>
      <c r="AA1395" t="s">
        <v>144</v>
      </c>
      <c r="AB1395" t="s">
        <v>162</v>
      </c>
      <c r="AC1395" t="s">
        <v>21</v>
      </c>
      <c r="AD1395" t="s">
        <v>155</v>
      </c>
      <c r="AE1395" t="s">
        <v>130</v>
      </c>
      <c r="AF1395" t="s">
        <v>21</v>
      </c>
    </row>
    <row r="1396" spans="1:32">
      <c r="A1396" t="s">
        <v>2309</v>
      </c>
      <c r="B1396" s="37">
        <v>39941</v>
      </c>
      <c r="C1396" s="38">
        <v>39941</v>
      </c>
      <c r="D1396" s="38">
        <v>39937</v>
      </c>
      <c r="E1396" s="38">
        <v>39934</v>
      </c>
      <c r="F1396" s="39">
        <v>36</v>
      </c>
      <c r="G1396" t="s">
        <v>21</v>
      </c>
      <c r="H1396" t="s">
        <v>21</v>
      </c>
      <c r="I1396">
        <v>0</v>
      </c>
      <c r="J1396">
        <v>0</v>
      </c>
      <c r="K1396">
        <v>0</v>
      </c>
      <c r="L1396">
        <v>1</v>
      </c>
      <c r="M1396">
        <v>0</v>
      </c>
      <c r="N1396" t="s">
        <v>193</v>
      </c>
      <c r="O1396" t="s">
        <v>213</v>
      </c>
      <c r="P1396" t="s">
        <v>204</v>
      </c>
      <c r="Q1396" t="s">
        <v>170</v>
      </c>
      <c r="R1396" t="s">
        <v>155</v>
      </c>
      <c r="T1396" t="s">
        <v>134</v>
      </c>
      <c r="U1396">
        <v>1</v>
      </c>
      <c r="W1396" t="s">
        <v>134</v>
      </c>
      <c r="X1396">
        <v>1</v>
      </c>
      <c r="Y1396" t="s">
        <v>140</v>
      </c>
      <c r="Z1396" t="s">
        <v>180</v>
      </c>
      <c r="AA1396" t="s">
        <v>142</v>
      </c>
      <c r="AB1396" t="s">
        <v>162</v>
      </c>
      <c r="AC1396" t="s">
        <v>174</v>
      </c>
      <c r="AD1396" t="s">
        <v>156</v>
      </c>
      <c r="AE1396" t="s">
        <v>120</v>
      </c>
      <c r="AF1396" t="s">
        <v>2114</v>
      </c>
    </row>
    <row r="1397" spans="1:32">
      <c r="A1397" t="s">
        <v>2310</v>
      </c>
      <c r="B1397" s="37">
        <v>39914</v>
      </c>
      <c r="C1397" s="38">
        <v>39914</v>
      </c>
      <c r="D1397" s="38">
        <v>39909</v>
      </c>
      <c r="E1397" s="38">
        <v>39904</v>
      </c>
      <c r="F1397" s="39">
        <v>9</v>
      </c>
      <c r="G1397" t="s">
        <v>9</v>
      </c>
      <c r="H1397" t="s">
        <v>9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200</v>
      </c>
      <c r="O1397" t="s">
        <v>214</v>
      </c>
      <c r="P1397" t="s">
        <v>208</v>
      </c>
      <c r="Q1397" t="s">
        <v>170</v>
      </c>
      <c r="R1397" t="s">
        <v>155</v>
      </c>
      <c r="T1397" t="s">
        <v>134</v>
      </c>
      <c r="U1397">
        <v>1</v>
      </c>
      <c r="W1397" t="s">
        <v>134</v>
      </c>
      <c r="X1397">
        <v>1</v>
      </c>
      <c r="Y1397" t="s">
        <v>139</v>
      </c>
      <c r="Z1397" t="s">
        <v>183</v>
      </c>
      <c r="AA1397" t="s">
        <v>147</v>
      </c>
      <c r="AB1397" t="s">
        <v>165</v>
      </c>
      <c r="AC1397" t="s">
        <v>2169</v>
      </c>
      <c r="AD1397" t="s">
        <v>158</v>
      </c>
      <c r="AE1397" t="s">
        <v>122</v>
      </c>
      <c r="AF1397" t="s">
        <v>21</v>
      </c>
    </row>
    <row r="1398" spans="1:32">
      <c r="A1398" t="s">
        <v>2311</v>
      </c>
      <c r="B1398" s="37">
        <v>40011</v>
      </c>
      <c r="C1398" s="38">
        <v>40011</v>
      </c>
      <c r="D1398" s="38">
        <v>40007</v>
      </c>
      <c r="E1398" s="38">
        <v>39995</v>
      </c>
      <c r="F1398" s="39">
        <v>106</v>
      </c>
      <c r="G1398" t="s">
        <v>21</v>
      </c>
      <c r="H1398" t="s">
        <v>21</v>
      </c>
      <c r="I1398">
        <v>0</v>
      </c>
      <c r="J1398">
        <v>0</v>
      </c>
      <c r="K1398">
        <v>0</v>
      </c>
      <c r="L1398">
        <v>1</v>
      </c>
      <c r="M1398">
        <v>0</v>
      </c>
      <c r="N1398" t="s">
        <v>195</v>
      </c>
      <c r="O1398" t="s">
        <v>213</v>
      </c>
      <c r="P1398" t="s">
        <v>206</v>
      </c>
      <c r="Q1398" t="s">
        <v>170</v>
      </c>
      <c r="R1398" t="s">
        <v>155</v>
      </c>
      <c r="S1398">
        <v>5</v>
      </c>
      <c r="T1398" t="s">
        <v>135</v>
      </c>
      <c r="U1398">
        <v>0</v>
      </c>
      <c r="V1398">
        <v>5</v>
      </c>
      <c r="W1398" t="s">
        <v>135</v>
      </c>
      <c r="X1398">
        <v>0</v>
      </c>
      <c r="Y1398" t="s">
        <v>139</v>
      </c>
      <c r="Z1398" t="s">
        <v>182</v>
      </c>
      <c r="AA1398" t="s">
        <v>148</v>
      </c>
      <c r="AB1398" t="s">
        <v>163</v>
      </c>
      <c r="AC1398" t="s">
        <v>2312</v>
      </c>
      <c r="AD1398" t="s">
        <v>155</v>
      </c>
      <c r="AE1398" t="s">
        <v>124</v>
      </c>
      <c r="AF1398" t="s">
        <v>21</v>
      </c>
    </row>
    <row r="1399" spans="1:32">
      <c r="A1399" t="s">
        <v>2313</v>
      </c>
      <c r="B1399" s="37">
        <v>40054</v>
      </c>
      <c r="C1399" s="38">
        <v>40054</v>
      </c>
      <c r="D1399" s="38">
        <v>40049</v>
      </c>
      <c r="E1399" s="38">
        <v>40026</v>
      </c>
      <c r="F1399" s="39">
        <v>149</v>
      </c>
      <c r="G1399" t="s">
        <v>21</v>
      </c>
      <c r="H1399" t="s">
        <v>21</v>
      </c>
      <c r="I1399">
        <v>0</v>
      </c>
      <c r="J1399">
        <v>0</v>
      </c>
      <c r="K1399">
        <v>0</v>
      </c>
      <c r="L1399">
        <v>1</v>
      </c>
      <c r="M1399">
        <v>0</v>
      </c>
      <c r="N1399" t="s">
        <v>195</v>
      </c>
      <c r="O1399" t="s">
        <v>213</v>
      </c>
      <c r="P1399" t="s">
        <v>206</v>
      </c>
      <c r="Q1399" t="s">
        <v>170</v>
      </c>
      <c r="R1399" t="s">
        <v>155</v>
      </c>
      <c r="S1399">
        <v>1</v>
      </c>
      <c r="T1399" t="s">
        <v>136</v>
      </c>
      <c r="U1399">
        <v>0</v>
      </c>
      <c r="V1399">
        <v>4</v>
      </c>
      <c r="W1399" t="s">
        <v>137</v>
      </c>
      <c r="X1399">
        <v>0</v>
      </c>
      <c r="Y1399" t="s">
        <v>139</v>
      </c>
      <c r="Z1399" t="s">
        <v>534</v>
      </c>
      <c r="AA1399" t="s">
        <v>145</v>
      </c>
      <c r="AB1399" t="s">
        <v>162</v>
      </c>
      <c r="AC1399" t="s">
        <v>174</v>
      </c>
      <c r="AD1399" t="s">
        <v>157</v>
      </c>
      <c r="AE1399" t="s">
        <v>127</v>
      </c>
      <c r="AF1399" t="s">
        <v>1005</v>
      </c>
    </row>
    <row r="1400" spans="1:32">
      <c r="A1400" t="s">
        <v>2314</v>
      </c>
      <c r="B1400" s="37">
        <v>39956</v>
      </c>
      <c r="C1400" s="38">
        <v>39956</v>
      </c>
      <c r="D1400" s="38">
        <v>39951</v>
      </c>
      <c r="E1400" s="38">
        <v>39934</v>
      </c>
      <c r="F1400" s="39">
        <v>51</v>
      </c>
      <c r="G1400" t="s">
        <v>21</v>
      </c>
      <c r="H1400" t="s">
        <v>21</v>
      </c>
      <c r="I1400">
        <v>0</v>
      </c>
      <c r="J1400">
        <v>0</v>
      </c>
      <c r="K1400">
        <v>0</v>
      </c>
      <c r="L1400">
        <v>1</v>
      </c>
      <c r="M1400">
        <v>0</v>
      </c>
      <c r="N1400" t="s">
        <v>193</v>
      </c>
      <c r="O1400" t="s">
        <v>213</v>
      </c>
      <c r="P1400" t="s">
        <v>204</v>
      </c>
      <c r="Q1400" t="s">
        <v>170</v>
      </c>
      <c r="R1400" t="s">
        <v>155</v>
      </c>
      <c r="T1400" t="s">
        <v>134</v>
      </c>
      <c r="U1400">
        <v>1</v>
      </c>
      <c r="W1400" t="s">
        <v>134</v>
      </c>
      <c r="X1400">
        <v>1</v>
      </c>
      <c r="Y1400" t="s">
        <v>140</v>
      </c>
      <c r="Z1400" t="s">
        <v>182</v>
      </c>
      <c r="AA1400" t="s">
        <v>146</v>
      </c>
      <c r="AB1400" t="s">
        <v>162</v>
      </c>
      <c r="AC1400" t="s">
        <v>550</v>
      </c>
      <c r="AD1400" t="s">
        <v>160</v>
      </c>
      <c r="AE1400" t="s">
        <v>126</v>
      </c>
      <c r="AF1400" t="s">
        <v>2315</v>
      </c>
    </row>
    <row r="1401" spans="1:32">
      <c r="A1401" t="s">
        <v>2316</v>
      </c>
      <c r="B1401" s="37">
        <v>40086</v>
      </c>
      <c r="C1401" s="38">
        <v>40086</v>
      </c>
      <c r="D1401" s="38">
        <v>40084</v>
      </c>
      <c r="E1401" s="38">
        <v>40057</v>
      </c>
      <c r="F1401" s="39">
        <v>181</v>
      </c>
      <c r="G1401" t="s">
        <v>21</v>
      </c>
      <c r="H1401" t="s">
        <v>21</v>
      </c>
      <c r="I1401">
        <v>0</v>
      </c>
      <c r="J1401">
        <v>0</v>
      </c>
      <c r="K1401">
        <v>0</v>
      </c>
      <c r="L1401">
        <v>1</v>
      </c>
      <c r="M1401">
        <v>0</v>
      </c>
      <c r="N1401" t="s">
        <v>197</v>
      </c>
      <c r="O1401" t="s">
        <v>213</v>
      </c>
      <c r="P1401" t="s">
        <v>209</v>
      </c>
      <c r="Q1401" t="s">
        <v>170</v>
      </c>
      <c r="R1401" t="s">
        <v>155</v>
      </c>
      <c r="S1401">
        <v>5</v>
      </c>
      <c r="T1401" t="s">
        <v>135</v>
      </c>
      <c r="U1401">
        <v>0</v>
      </c>
      <c r="V1401">
        <v>5</v>
      </c>
      <c r="W1401" t="s">
        <v>135</v>
      </c>
      <c r="X1401">
        <v>0</v>
      </c>
      <c r="Y1401" t="s">
        <v>139</v>
      </c>
      <c r="Z1401" t="s">
        <v>534</v>
      </c>
      <c r="AA1401" t="s">
        <v>145</v>
      </c>
      <c r="AB1401" t="s">
        <v>163</v>
      </c>
      <c r="AC1401" t="s">
        <v>173</v>
      </c>
      <c r="AD1401" t="s">
        <v>155</v>
      </c>
      <c r="AE1401" t="s">
        <v>128</v>
      </c>
      <c r="AF1401" t="s">
        <v>21</v>
      </c>
    </row>
    <row r="1402" spans="1:32">
      <c r="A1402" t="s">
        <v>2317</v>
      </c>
      <c r="B1402" s="37">
        <v>39919</v>
      </c>
      <c r="C1402" s="38">
        <v>39919</v>
      </c>
      <c r="D1402" s="38">
        <v>39916</v>
      </c>
      <c r="E1402" s="38">
        <v>39904</v>
      </c>
      <c r="F1402" s="39">
        <v>14</v>
      </c>
      <c r="G1402" t="s">
        <v>21</v>
      </c>
      <c r="H1402" t="s">
        <v>21</v>
      </c>
      <c r="I1402">
        <v>0</v>
      </c>
      <c r="J1402">
        <v>0</v>
      </c>
      <c r="K1402">
        <v>0</v>
      </c>
      <c r="L1402">
        <v>1</v>
      </c>
      <c r="M1402">
        <v>0</v>
      </c>
      <c r="N1402" t="s">
        <v>201</v>
      </c>
      <c r="O1402" t="s">
        <v>214</v>
      </c>
      <c r="P1402" t="s">
        <v>204</v>
      </c>
      <c r="Q1402" t="s">
        <v>170</v>
      </c>
      <c r="R1402" t="s">
        <v>155</v>
      </c>
      <c r="T1402" t="s">
        <v>134</v>
      </c>
      <c r="U1402">
        <v>1</v>
      </c>
      <c r="W1402" t="s">
        <v>134</v>
      </c>
      <c r="X1402">
        <v>1</v>
      </c>
      <c r="Y1402" t="s">
        <v>140</v>
      </c>
      <c r="Z1402" t="s">
        <v>180</v>
      </c>
      <c r="AA1402" t="s">
        <v>145</v>
      </c>
      <c r="AB1402" t="s">
        <v>162</v>
      </c>
      <c r="AC1402" t="s">
        <v>654</v>
      </c>
      <c r="AD1402" t="s">
        <v>157</v>
      </c>
      <c r="AE1402" t="s">
        <v>434</v>
      </c>
      <c r="AF1402" t="s">
        <v>435</v>
      </c>
    </row>
    <row r="1403" spans="1:32">
      <c r="A1403" t="s">
        <v>2318</v>
      </c>
      <c r="B1403" s="37">
        <v>40054</v>
      </c>
      <c r="C1403" s="38">
        <v>40054</v>
      </c>
      <c r="D1403" s="38">
        <v>40049</v>
      </c>
      <c r="E1403" s="38">
        <v>40026</v>
      </c>
      <c r="F1403" s="39">
        <v>149</v>
      </c>
      <c r="G1403" t="s">
        <v>383</v>
      </c>
      <c r="H1403" t="s">
        <v>17</v>
      </c>
      <c r="I1403">
        <v>0</v>
      </c>
      <c r="J1403">
        <v>0</v>
      </c>
      <c r="K1403">
        <v>1</v>
      </c>
      <c r="L1403">
        <v>0</v>
      </c>
      <c r="M1403">
        <v>0</v>
      </c>
      <c r="N1403" t="s">
        <v>197</v>
      </c>
      <c r="O1403" t="s">
        <v>213</v>
      </c>
      <c r="P1403" t="s">
        <v>209</v>
      </c>
      <c r="Q1403" t="s">
        <v>170</v>
      </c>
      <c r="R1403" t="s">
        <v>155</v>
      </c>
      <c r="S1403">
        <v>5</v>
      </c>
      <c r="T1403" t="s">
        <v>135</v>
      </c>
      <c r="U1403">
        <v>0</v>
      </c>
      <c r="V1403">
        <v>5</v>
      </c>
      <c r="W1403" t="s">
        <v>135</v>
      </c>
      <c r="X1403">
        <v>0</v>
      </c>
      <c r="Y1403" t="s">
        <v>139</v>
      </c>
      <c r="Z1403" t="s">
        <v>180</v>
      </c>
      <c r="AA1403" t="s">
        <v>145</v>
      </c>
      <c r="AB1403" t="s">
        <v>162</v>
      </c>
      <c r="AC1403" t="s">
        <v>21</v>
      </c>
      <c r="AD1403" t="s">
        <v>157</v>
      </c>
      <c r="AE1403" t="s">
        <v>434</v>
      </c>
      <c r="AF1403" t="s">
        <v>435</v>
      </c>
    </row>
    <row r="1404" spans="1:32">
      <c r="A1404" t="s">
        <v>2319</v>
      </c>
      <c r="B1404" s="37">
        <v>40052</v>
      </c>
      <c r="C1404" s="38">
        <v>40052</v>
      </c>
      <c r="D1404" s="38">
        <v>40049</v>
      </c>
      <c r="E1404" s="38">
        <v>40026</v>
      </c>
      <c r="F1404" s="39">
        <v>147</v>
      </c>
      <c r="G1404" t="s">
        <v>21</v>
      </c>
      <c r="H1404" t="s">
        <v>21</v>
      </c>
      <c r="I1404">
        <v>0</v>
      </c>
      <c r="J1404">
        <v>0</v>
      </c>
      <c r="K1404">
        <v>0</v>
      </c>
      <c r="L1404">
        <v>1</v>
      </c>
      <c r="M1404">
        <v>0</v>
      </c>
      <c r="N1404" t="s">
        <v>195</v>
      </c>
      <c r="O1404" t="s">
        <v>213</v>
      </c>
      <c r="P1404" t="s">
        <v>206</v>
      </c>
      <c r="Q1404" t="s">
        <v>170</v>
      </c>
      <c r="R1404" t="s">
        <v>155</v>
      </c>
      <c r="S1404">
        <v>4</v>
      </c>
      <c r="T1404" t="s">
        <v>137</v>
      </c>
      <c r="U1404">
        <v>0</v>
      </c>
      <c r="V1404">
        <v>4</v>
      </c>
      <c r="W1404" t="s">
        <v>137</v>
      </c>
      <c r="X1404">
        <v>0</v>
      </c>
      <c r="Y1404" t="s">
        <v>139</v>
      </c>
      <c r="Z1404" t="s">
        <v>186</v>
      </c>
      <c r="AA1404" t="s">
        <v>146</v>
      </c>
      <c r="AB1404" t="s">
        <v>163</v>
      </c>
      <c r="AC1404" t="s">
        <v>173</v>
      </c>
      <c r="AD1404" t="s">
        <v>155</v>
      </c>
      <c r="AE1404" t="s">
        <v>501</v>
      </c>
      <c r="AF1404" t="s">
        <v>21</v>
      </c>
    </row>
    <row r="1405" spans="1:32">
      <c r="A1405" t="s">
        <v>2320</v>
      </c>
      <c r="B1405" s="37">
        <v>39967</v>
      </c>
      <c r="C1405" s="38">
        <v>39967</v>
      </c>
      <c r="D1405" s="38">
        <v>39965</v>
      </c>
      <c r="E1405" s="38">
        <v>39965</v>
      </c>
      <c r="F1405" s="39">
        <v>62</v>
      </c>
      <c r="G1405" t="s">
        <v>21</v>
      </c>
      <c r="H1405" t="s">
        <v>21</v>
      </c>
      <c r="I1405">
        <v>0</v>
      </c>
      <c r="J1405">
        <v>0</v>
      </c>
      <c r="K1405">
        <v>0</v>
      </c>
      <c r="L1405">
        <v>1</v>
      </c>
      <c r="M1405">
        <v>0</v>
      </c>
      <c r="N1405" t="s">
        <v>193</v>
      </c>
      <c r="O1405" t="s">
        <v>213</v>
      </c>
      <c r="P1405" t="s">
        <v>204</v>
      </c>
      <c r="Q1405" t="s">
        <v>170</v>
      </c>
      <c r="R1405" t="s">
        <v>155</v>
      </c>
      <c r="T1405" t="s">
        <v>134</v>
      </c>
      <c r="U1405">
        <v>1</v>
      </c>
      <c r="W1405" t="s">
        <v>134</v>
      </c>
      <c r="X1405">
        <v>1</v>
      </c>
      <c r="Y1405" t="s">
        <v>140</v>
      </c>
      <c r="Z1405" t="s">
        <v>186</v>
      </c>
      <c r="AA1405" t="s">
        <v>150</v>
      </c>
      <c r="AB1405" t="s">
        <v>163</v>
      </c>
      <c r="AC1405" t="s">
        <v>173</v>
      </c>
      <c r="AD1405" t="s">
        <v>155</v>
      </c>
      <c r="AE1405" t="s">
        <v>127</v>
      </c>
      <c r="AF1405" t="s">
        <v>21</v>
      </c>
    </row>
    <row r="1406" spans="1:32">
      <c r="A1406" t="s">
        <v>2321</v>
      </c>
      <c r="B1406" s="37">
        <v>39960</v>
      </c>
      <c r="C1406" s="38">
        <v>39960</v>
      </c>
      <c r="D1406" s="38">
        <v>39958</v>
      </c>
      <c r="E1406" s="38">
        <v>39934</v>
      </c>
      <c r="F1406" s="39">
        <v>55</v>
      </c>
      <c r="G1406" t="s">
        <v>21</v>
      </c>
      <c r="H1406" t="s">
        <v>21</v>
      </c>
      <c r="I1406">
        <v>0</v>
      </c>
      <c r="J1406">
        <v>0</v>
      </c>
      <c r="K1406">
        <v>0</v>
      </c>
      <c r="L1406">
        <v>1</v>
      </c>
      <c r="M1406">
        <v>0</v>
      </c>
      <c r="N1406" t="s">
        <v>195</v>
      </c>
      <c r="O1406" t="s">
        <v>213</v>
      </c>
      <c r="P1406" t="s">
        <v>206</v>
      </c>
      <c r="Q1406" t="s">
        <v>170</v>
      </c>
      <c r="R1406" t="s">
        <v>155</v>
      </c>
      <c r="T1406" t="s">
        <v>134</v>
      </c>
      <c r="U1406">
        <v>1</v>
      </c>
      <c r="W1406" t="s">
        <v>134</v>
      </c>
      <c r="X1406">
        <v>1</v>
      </c>
      <c r="Y1406" t="s">
        <v>139</v>
      </c>
      <c r="Z1406" t="s">
        <v>179</v>
      </c>
      <c r="AA1406" t="s">
        <v>144</v>
      </c>
      <c r="AB1406" t="s">
        <v>163</v>
      </c>
      <c r="AC1406" t="s">
        <v>173</v>
      </c>
      <c r="AD1406" t="s">
        <v>155</v>
      </c>
      <c r="AE1406" t="s">
        <v>704</v>
      </c>
      <c r="AF1406" t="s">
        <v>21</v>
      </c>
    </row>
    <row r="1407" spans="1:32">
      <c r="A1407" t="s">
        <v>2322</v>
      </c>
      <c r="B1407" s="37">
        <v>39977</v>
      </c>
      <c r="C1407" s="38">
        <v>39977</v>
      </c>
      <c r="D1407" s="38">
        <v>39972</v>
      </c>
      <c r="E1407" s="38">
        <v>39965</v>
      </c>
      <c r="F1407" s="39">
        <v>72</v>
      </c>
      <c r="G1407" t="s">
        <v>21</v>
      </c>
      <c r="H1407" t="s">
        <v>21</v>
      </c>
      <c r="I1407">
        <v>0</v>
      </c>
      <c r="J1407">
        <v>0</v>
      </c>
      <c r="K1407">
        <v>0</v>
      </c>
      <c r="L1407">
        <v>1</v>
      </c>
      <c r="M1407">
        <v>0</v>
      </c>
      <c r="N1407" t="s">
        <v>193</v>
      </c>
      <c r="O1407" t="s">
        <v>213</v>
      </c>
      <c r="P1407" t="s">
        <v>204</v>
      </c>
      <c r="Q1407" t="s">
        <v>170</v>
      </c>
      <c r="R1407" t="s">
        <v>155</v>
      </c>
      <c r="T1407" t="s">
        <v>134</v>
      </c>
      <c r="U1407">
        <v>1</v>
      </c>
      <c r="W1407" t="s">
        <v>134</v>
      </c>
      <c r="X1407">
        <v>1</v>
      </c>
      <c r="Y1407" t="s">
        <v>140</v>
      </c>
      <c r="Z1407" t="s">
        <v>179</v>
      </c>
      <c r="AA1407" t="s">
        <v>145</v>
      </c>
      <c r="AB1407" t="s">
        <v>162</v>
      </c>
      <c r="AC1407" t="s">
        <v>550</v>
      </c>
      <c r="AD1407" t="s">
        <v>156</v>
      </c>
      <c r="AE1407" t="s">
        <v>120</v>
      </c>
      <c r="AF1407" t="s">
        <v>794</v>
      </c>
    </row>
    <row r="1408" spans="1:32">
      <c r="A1408" t="s">
        <v>2323</v>
      </c>
      <c r="B1408" s="37">
        <v>40001</v>
      </c>
      <c r="C1408" s="38">
        <v>40001</v>
      </c>
      <c r="D1408" s="38">
        <v>40000</v>
      </c>
      <c r="E1408" s="38">
        <v>39995</v>
      </c>
      <c r="F1408" s="39">
        <v>96</v>
      </c>
      <c r="G1408" t="s">
        <v>21</v>
      </c>
      <c r="H1408" t="s">
        <v>21</v>
      </c>
      <c r="I1408">
        <v>0</v>
      </c>
      <c r="J1408">
        <v>0</v>
      </c>
      <c r="K1408">
        <v>0</v>
      </c>
      <c r="L1408">
        <v>1</v>
      </c>
      <c r="M1408">
        <v>0</v>
      </c>
      <c r="N1408" t="s">
        <v>193</v>
      </c>
      <c r="O1408" t="s">
        <v>213</v>
      </c>
      <c r="P1408" t="s">
        <v>204</v>
      </c>
      <c r="Q1408" t="s">
        <v>170</v>
      </c>
      <c r="R1408" t="s">
        <v>155</v>
      </c>
      <c r="T1408" t="s">
        <v>134</v>
      </c>
      <c r="U1408">
        <v>1</v>
      </c>
      <c r="V1408">
        <v>2</v>
      </c>
      <c r="W1408" t="s">
        <v>136</v>
      </c>
      <c r="X1408">
        <v>0</v>
      </c>
      <c r="Y1408" t="s">
        <v>140</v>
      </c>
      <c r="Z1408" t="s">
        <v>179</v>
      </c>
      <c r="AA1408" t="s">
        <v>145</v>
      </c>
      <c r="AB1408" t="s">
        <v>163</v>
      </c>
      <c r="AC1408" t="s">
        <v>21</v>
      </c>
      <c r="AD1408" t="s">
        <v>155</v>
      </c>
      <c r="AE1408" t="s">
        <v>128</v>
      </c>
      <c r="AF1408" t="s">
        <v>21</v>
      </c>
    </row>
    <row r="1409" spans="1:32">
      <c r="A1409" t="s">
        <v>2324</v>
      </c>
      <c r="B1409" s="37">
        <v>39959</v>
      </c>
      <c r="C1409" s="38">
        <v>39959</v>
      </c>
      <c r="D1409" s="38">
        <v>39958</v>
      </c>
      <c r="E1409" s="38">
        <v>39934</v>
      </c>
      <c r="F1409" s="39">
        <v>54</v>
      </c>
      <c r="G1409" t="s">
        <v>21</v>
      </c>
      <c r="H1409" t="s">
        <v>21</v>
      </c>
      <c r="I1409">
        <v>0</v>
      </c>
      <c r="J1409">
        <v>0</v>
      </c>
      <c r="K1409">
        <v>0</v>
      </c>
      <c r="L1409">
        <v>1</v>
      </c>
      <c r="M1409">
        <v>0</v>
      </c>
      <c r="N1409" t="s">
        <v>193</v>
      </c>
      <c r="O1409" t="s">
        <v>213</v>
      </c>
      <c r="P1409" t="s">
        <v>204</v>
      </c>
      <c r="Q1409" t="s">
        <v>170</v>
      </c>
      <c r="R1409" t="s">
        <v>155</v>
      </c>
      <c r="T1409" t="s">
        <v>134</v>
      </c>
      <c r="U1409">
        <v>1</v>
      </c>
      <c r="W1409" t="s">
        <v>134</v>
      </c>
      <c r="X1409">
        <v>1</v>
      </c>
      <c r="Y1409" t="s">
        <v>140</v>
      </c>
      <c r="Z1409" t="s">
        <v>179</v>
      </c>
      <c r="AA1409" t="s">
        <v>148</v>
      </c>
      <c r="AB1409" t="s">
        <v>162</v>
      </c>
      <c r="AC1409" t="s">
        <v>174</v>
      </c>
      <c r="AD1409" t="s">
        <v>156</v>
      </c>
      <c r="AE1409" t="s">
        <v>120</v>
      </c>
      <c r="AF1409" t="s">
        <v>1479</v>
      </c>
    </row>
    <row r="1410" spans="1:32">
      <c r="A1410" t="s">
        <v>2325</v>
      </c>
      <c r="B1410" s="37">
        <v>39971</v>
      </c>
      <c r="C1410" s="38">
        <v>39971</v>
      </c>
      <c r="D1410" s="38">
        <v>39965</v>
      </c>
      <c r="E1410" s="38">
        <v>39965</v>
      </c>
      <c r="F1410" s="39">
        <v>66</v>
      </c>
      <c r="G1410" t="s">
        <v>21</v>
      </c>
      <c r="H1410" t="s">
        <v>21</v>
      </c>
      <c r="I1410">
        <v>0</v>
      </c>
      <c r="J1410">
        <v>0</v>
      </c>
      <c r="K1410">
        <v>0</v>
      </c>
      <c r="L1410">
        <v>1</v>
      </c>
      <c r="M1410">
        <v>0</v>
      </c>
      <c r="N1410" t="s">
        <v>193</v>
      </c>
      <c r="O1410" t="s">
        <v>213</v>
      </c>
      <c r="P1410" t="s">
        <v>204</v>
      </c>
      <c r="Q1410" t="s">
        <v>170</v>
      </c>
      <c r="R1410" t="s">
        <v>155</v>
      </c>
      <c r="T1410" t="s">
        <v>134</v>
      </c>
      <c r="U1410">
        <v>1</v>
      </c>
      <c r="W1410" t="s">
        <v>134</v>
      </c>
      <c r="X1410">
        <v>1</v>
      </c>
      <c r="Y1410" t="s">
        <v>140</v>
      </c>
      <c r="Z1410" t="s">
        <v>179</v>
      </c>
      <c r="AA1410" t="s">
        <v>145</v>
      </c>
      <c r="AB1410" t="s">
        <v>162</v>
      </c>
      <c r="AC1410" t="s">
        <v>2041</v>
      </c>
      <c r="AD1410" t="s">
        <v>160</v>
      </c>
      <c r="AE1410" t="s">
        <v>126</v>
      </c>
      <c r="AF1410" t="s">
        <v>551</v>
      </c>
    </row>
    <row r="1411" spans="1:32">
      <c r="A1411" t="s">
        <v>2326</v>
      </c>
      <c r="B1411" s="37">
        <v>39926</v>
      </c>
      <c r="C1411" s="38">
        <v>39926</v>
      </c>
      <c r="D1411" s="38">
        <v>39923</v>
      </c>
      <c r="E1411" s="38">
        <v>39904</v>
      </c>
      <c r="F1411" s="39">
        <v>21</v>
      </c>
      <c r="G1411" t="s">
        <v>525</v>
      </c>
      <c r="H1411" t="s">
        <v>17</v>
      </c>
      <c r="I1411">
        <v>0</v>
      </c>
      <c r="J1411">
        <v>0</v>
      </c>
      <c r="K1411">
        <v>1</v>
      </c>
      <c r="L1411">
        <v>0</v>
      </c>
      <c r="M1411">
        <v>0</v>
      </c>
      <c r="N1411" t="s">
        <v>194</v>
      </c>
      <c r="O1411" t="s">
        <v>213</v>
      </c>
      <c r="P1411" t="s">
        <v>205</v>
      </c>
      <c r="Q1411" t="s">
        <v>170</v>
      </c>
      <c r="R1411" t="s">
        <v>155</v>
      </c>
      <c r="T1411" t="s">
        <v>134</v>
      </c>
      <c r="U1411">
        <v>1</v>
      </c>
      <c r="W1411" t="s">
        <v>134</v>
      </c>
      <c r="X1411">
        <v>1</v>
      </c>
      <c r="Y1411" t="s">
        <v>139</v>
      </c>
      <c r="Z1411" t="s">
        <v>179</v>
      </c>
      <c r="AA1411" t="s">
        <v>145</v>
      </c>
      <c r="AB1411" t="s">
        <v>163</v>
      </c>
      <c r="AC1411" t="s">
        <v>21</v>
      </c>
      <c r="AD1411" t="s">
        <v>155</v>
      </c>
      <c r="AE1411" t="s">
        <v>387</v>
      </c>
      <c r="AF1411" t="s">
        <v>21</v>
      </c>
    </row>
    <row r="1412" spans="1:32">
      <c r="A1412" t="s">
        <v>2327</v>
      </c>
      <c r="B1412" s="37">
        <v>40069</v>
      </c>
      <c r="C1412" s="38">
        <v>40069</v>
      </c>
      <c r="D1412" s="38">
        <v>40063</v>
      </c>
      <c r="E1412" s="38">
        <v>40057</v>
      </c>
      <c r="F1412" s="39">
        <v>164</v>
      </c>
      <c r="G1412" t="s">
        <v>570</v>
      </c>
      <c r="H1412" t="s">
        <v>13</v>
      </c>
      <c r="I1412">
        <v>0</v>
      </c>
      <c r="J1412">
        <v>1</v>
      </c>
      <c r="K1412">
        <v>0</v>
      </c>
      <c r="L1412">
        <v>0</v>
      </c>
      <c r="M1412">
        <v>1</v>
      </c>
      <c r="N1412" t="s">
        <v>544</v>
      </c>
      <c r="O1412" t="s">
        <v>213</v>
      </c>
      <c r="P1412" t="s">
        <v>545</v>
      </c>
      <c r="Q1412" t="s">
        <v>170</v>
      </c>
      <c r="R1412" t="s">
        <v>155</v>
      </c>
      <c r="S1412">
        <v>5</v>
      </c>
      <c r="T1412" t="s">
        <v>135</v>
      </c>
      <c r="U1412">
        <v>0</v>
      </c>
      <c r="V1412">
        <v>3</v>
      </c>
      <c r="W1412" t="s">
        <v>137</v>
      </c>
      <c r="X1412">
        <v>0</v>
      </c>
      <c r="Y1412" t="s">
        <v>139</v>
      </c>
      <c r="Z1412" t="s">
        <v>181</v>
      </c>
      <c r="AA1412" t="s">
        <v>143</v>
      </c>
      <c r="AB1412" t="s">
        <v>162</v>
      </c>
      <c r="AC1412" t="s">
        <v>531</v>
      </c>
      <c r="AD1412" t="s">
        <v>155</v>
      </c>
      <c r="AE1412" t="s">
        <v>129</v>
      </c>
      <c r="AF1412" t="s">
        <v>21</v>
      </c>
    </row>
    <row r="1413" spans="1:32">
      <c r="A1413" t="s">
        <v>2328</v>
      </c>
      <c r="B1413" s="37">
        <v>39971</v>
      </c>
      <c r="C1413" s="38">
        <v>39971</v>
      </c>
      <c r="D1413" s="38">
        <v>39965</v>
      </c>
      <c r="E1413" s="38">
        <v>39965</v>
      </c>
      <c r="F1413" s="39">
        <v>66</v>
      </c>
      <c r="G1413" t="s">
        <v>383</v>
      </c>
      <c r="H1413" t="s">
        <v>17</v>
      </c>
      <c r="I1413">
        <v>0</v>
      </c>
      <c r="J1413">
        <v>0</v>
      </c>
      <c r="K1413">
        <v>1</v>
      </c>
      <c r="L1413">
        <v>0</v>
      </c>
      <c r="M1413">
        <v>0</v>
      </c>
      <c r="N1413" t="s">
        <v>195</v>
      </c>
      <c r="O1413" t="s">
        <v>213</v>
      </c>
      <c r="P1413" t="s">
        <v>206</v>
      </c>
      <c r="Q1413" t="s">
        <v>170</v>
      </c>
      <c r="R1413" t="s">
        <v>155</v>
      </c>
      <c r="T1413" t="s">
        <v>134</v>
      </c>
      <c r="U1413">
        <v>1</v>
      </c>
      <c r="W1413" t="s">
        <v>134</v>
      </c>
      <c r="X1413">
        <v>1</v>
      </c>
      <c r="Y1413" t="s">
        <v>139</v>
      </c>
      <c r="Z1413" t="s">
        <v>179</v>
      </c>
      <c r="AA1413" t="s">
        <v>150</v>
      </c>
      <c r="AB1413" t="s">
        <v>162</v>
      </c>
      <c r="AC1413" t="s">
        <v>174</v>
      </c>
      <c r="AD1413" t="s">
        <v>157</v>
      </c>
      <c r="AE1413" t="s">
        <v>387</v>
      </c>
      <c r="AF1413" t="s">
        <v>2329</v>
      </c>
    </row>
    <row r="1414" spans="1:32">
      <c r="A1414" t="s">
        <v>2330</v>
      </c>
      <c r="B1414" s="37">
        <v>40028</v>
      </c>
      <c r="C1414" s="38">
        <v>40028</v>
      </c>
      <c r="D1414" s="38">
        <v>40028</v>
      </c>
      <c r="E1414" s="38">
        <v>40026</v>
      </c>
      <c r="F1414" s="39">
        <v>123</v>
      </c>
      <c r="G1414" t="s">
        <v>21</v>
      </c>
      <c r="H1414" t="s">
        <v>21</v>
      </c>
      <c r="I1414">
        <v>0</v>
      </c>
      <c r="J1414">
        <v>0</v>
      </c>
      <c r="K1414">
        <v>0</v>
      </c>
      <c r="L1414">
        <v>1</v>
      </c>
      <c r="M1414">
        <v>0</v>
      </c>
      <c r="N1414" t="s">
        <v>195</v>
      </c>
      <c r="O1414" t="s">
        <v>213</v>
      </c>
      <c r="P1414" t="s">
        <v>206</v>
      </c>
      <c r="Q1414" t="s">
        <v>170</v>
      </c>
      <c r="R1414" t="s">
        <v>155</v>
      </c>
      <c r="S1414">
        <v>5</v>
      </c>
      <c r="T1414" t="s">
        <v>135</v>
      </c>
      <c r="U1414">
        <v>0</v>
      </c>
      <c r="V1414">
        <v>5</v>
      </c>
      <c r="W1414" t="s">
        <v>135</v>
      </c>
      <c r="X1414">
        <v>0</v>
      </c>
      <c r="Y1414" t="s">
        <v>139</v>
      </c>
      <c r="Z1414" t="s">
        <v>179</v>
      </c>
      <c r="AA1414" t="s">
        <v>146</v>
      </c>
      <c r="AB1414" t="s">
        <v>162</v>
      </c>
      <c r="AC1414" t="s">
        <v>174</v>
      </c>
      <c r="AD1414" t="s">
        <v>156</v>
      </c>
      <c r="AE1414" t="s">
        <v>120</v>
      </c>
      <c r="AF1414" t="s">
        <v>2331</v>
      </c>
    </row>
    <row r="1415" spans="1:32">
      <c r="A1415" t="s">
        <v>2332</v>
      </c>
      <c r="B1415" s="37">
        <v>40015</v>
      </c>
      <c r="C1415" s="38">
        <v>40015</v>
      </c>
      <c r="D1415" s="38">
        <v>40014</v>
      </c>
      <c r="E1415" s="38">
        <v>39995</v>
      </c>
      <c r="F1415" s="39">
        <v>110</v>
      </c>
      <c r="G1415" t="s">
        <v>21</v>
      </c>
      <c r="H1415" t="s">
        <v>21</v>
      </c>
      <c r="I1415">
        <v>0</v>
      </c>
      <c r="J1415">
        <v>0</v>
      </c>
      <c r="K1415">
        <v>0</v>
      </c>
      <c r="L1415">
        <v>1</v>
      </c>
      <c r="M1415">
        <v>0</v>
      </c>
      <c r="N1415" t="s">
        <v>195</v>
      </c>
      <c r="O1415" t="s">
        <v>213</v>
      </c>
      <c r="P1415" t="s">
        <v>206</v>
      </c>
      <c r="Q1415" t="s">
        <v>170</v>
      </c>
      <c r="R1415" t="s">
        <v>155</v>
      </c>
      <c r="S1415">
        <v>5</v>
      </c>
      <c r="T1415" t="s">
        <v>135</v>
      </c>
      <c r="U1415">
        <v>0</v>
      </c>
      <c r="V1415">
        <v>5</v>
      </c>
      <c r="W1415" t="s">
        <v>135</v>
      </c>
      <c r="X1415">
        <v>0</v>
      </c>
      <c r="Y1415" t="s">
        <v>139</v>
      </c>
      <c r="Z1415" t="s">
        <v>181</v>
      </c>
      <c r="AA1415" t="s">
        <v>144</v>
      </c>
      <c r="AB1415" t="s">
        <v>162</v>
      </c>
      <c r="AC1415" t="s">
        <v>174</v>
      </c>
      <c r="AD1415" t="s">
        <v>157</v>
      </c>
      <c r="AE1415" t="s">
        <v>434</v>
      </c>
      <c r="AF1415" t="s">
        <v>435</v>
      </c>
    </row>
    <row r="1416" spans="1:32">
      <c r="A1416" t="s">
        <v>2333</v>
      </c>
      <c r="B1416" s="37">
        <v>40020</v>
      </c>
      <c r="C1416" s="38">
        <v>40020</v>
      </c>
      <c r="D1416" s="38">
        <v>40014</v>
      </c>
      <c r="E1416" s="38">
        <v>39995</v>
      </c>
      <c r="F1416" s="39">
        <v>115</v>
      </c>
      <c r="G1416" t="s">
        <v>21</v>
      </c>
      <c r="H1416" t="s">
        <v>21</v>
      </c>
      <c r="I1416">
        <v>0</v>
      </c>
      <c r="J1416">
        <v>0</v>
      </c>
      <c r="K1416">
        <v>0</v>
      </c>
      <c r="L1416">
        <v>1</v>
      </c>
      <c r="M1416">
        <v>0</v>
      </c>
      <c r="N1416" t="s">
        <v>193</v>
      </c>
      <c r="O1416" t="s">
        <v>213</v>
      </c>
      <c r="P1416" t="s">
        <v>204</v>
      </c>
      <c r="Q1416" t="s">
        <v>170</v>
      </c>
      <c r="R1416" t="s">
        <v>155</v>
      </c>
      <c r="S1416">
        <v>5</v>
      </c>
      <c r="T1416" t="s">
        <v>135</v>
      </c>
      <c r="U1416">
        <v>0</v>
      </c>
      <c r="V1416">
        <v>2</v>
      </c>
      <c r="W1416" t="s">
        <v>136</v>
      </c>
      <c r="X1416">
        <v>0</v>
      </c>
      <c r="Y1416" t="s">
        <v>140</v>
      </c>
      <c r="Z1416" t="s">
        <v>179</v>
      </c>
      <c r="AA1416" t="s">
        <v>146</v>
      </c>
      <c r="AB1416" t="s">
        <v>162</v>
      </c>
      <c r="AC1416" t="s">
        <v>21</v>
      </c>
      <c r="AD1416" t="s">
        <v>155</v>
      </c>
      <c r="AE1416" t="s">
        <v>130</v>
      </c>
      <c r="AF1416" t="s">
        <v>21</v>
      </c>
    </row>
    <row r="1417" spans="1:32">
      <c r="A1417" t="s">
        <v>2334</v>
      </c>
      <c r="B1417" s="37">
        <v>40035</v>
      </c>
      <c r="C1417" s="38">
        <v>40035</v>
      </c>
      <c r="D1417" s="38">
        <v>40035</v>
      </c>
      <c r="E1417" s="38">
        <v>40026</v>
      </c>
      <c r="F1417" s="39">
        <v>130</v>
      </c>
      <c r="G1417" t="s">
        <v>380</v>
      </c>
      <c r="H1417" t="s">
        <v>17</v>
      </c>
      <c r="I1417">
        <v>0</v>
      </c>
      <c r="J1417">
        <v>0</v>
      </c>
      <c r="K1417">
        <v>1</v>
      </c>
      <c r="L1417">
        <v>0</v>
      </c>
      <c r="M1417">
        <v>0</v>
      </c>
      <c r="N1417" t="s">
        <v>193</v>
      </c>
      <c r="O1417" t="s">
        <v>213</v>
      </c>
      <c r="P1417" t="s">
        <v>204</v>
      </c>
      <c r="Q1417" t="s">
        <v>170</v>
      </c>
      <c r="R1417" t="s">
        <v>155</v>
      </c>
      <c r="S1417">
        <v>5</v>
      </c>
      <c r="T1417" t="s">
        <v>135</v>
      </c>
      <c r="U1417">
        <v>0</v>
      </c>
      <c r="V1417">
        <v>2</v>
      </c>
      <c r="W1417" t="s">
        <v>136</v>
      </c>
      <c r="X1417">
        <v>0</v>
      </c>
      <c r="Y1417" t="s">
        <v>140</v>
      </c>
      <c r="Z1417" t="s">
        <v>179</v>
      </c>
      <c r="AA1417" t="s">
        <v>143</v>
      </c>
      <c r="AB1417" t="s">
        <v>163</v>
      </c>
      <c r="AC1417" t="s">
        <v>173</v>
      </c>
      <c r="AD1417" t="s">
        <v>155</v>
      </c>
      <c r="AE1417" t="s">
        <v>501</v>
      </c>
      <c r="AF1417" t="s">
        <v>21</v>
      </c>
    </row>
    <row r="1418" spans="1:32">
      <c r="A1418" t="s">
        <v>2335</v>
      </c>
      <c r="B1418" s="37">
        <v>39992</v>
      </c>
      <c r="C1418" s="38">
        <v>39992</v>
      </c>
      <c r="D1418" s="38">
        <v>39986</v>
      </c>
      <c r="E1418" s="38">
        <v>39965</v>
      </c>
      <c r="F1418" s="39">
        <v>87</v>
      </c>
      <c r="G1418" t="s">
        <v>21</v>
      </c>
      <c r="H1418" t="s">
        <v>21</v>
      </c>
      <c r="I1418">
        <v>0</v>
      </c>
      <c r="J1418">
        <v>0</v>
      </c>
      <c r="K1418">
        <v>0</v>
      </c>
      <c r="L1418">
        <v>1</v>
      </c>
      <c r="M1418">
        <v>0</v>
      </c>
      <c r="N1418" t="s">
        <v>193</v>
      </c>
      <c r="O1418" t="s">
        <v>213</v>
      </c>
      <c r="P1418" t="s">
        <v>204</v>
      </c>
      <c r="Q1418" t="s">
        <v>170</v>
      </c>
      <c r="R1418" t="s">
        <v>155</v>
      </c>
      <c r="T1418" t="s">
        <v>134</v>
      </c>
      <c r="U1418">
        <v>1</v>
      </c>
      <c r="V1418">
        <v>3</v>
      </c>
      <c r="W1418" t="s">
        <v>137</v>
      </c>
      <c r="X1418">
        <v>0</v>
      </c>
      <c r="Y1418" t="s">
        <v>140</v>
      </c>
      <c r="Z1418" t="s">
        <v>179</v>
      </c>
      <c r="AA1418" t="s">
        <v>150</v>
      </c>
      <c r="AB1418" t="s">
        <v>162</v>
      </c>
      <c r="AC1418" t="s">
        <v>21</v>
      </c>
      <c r="AD1418" t="s">
        <v>156</v>
      </c>
      <c r="AE1418" t="s">
        <v>120</v>
      </c>
      <c r="AF1418" t="s">
        <v>425</v>
      </c>
    </row>
    <row r="1419" spans="1:32">
      <c r="A1419" t="s">
        <v>2336</v>
      </c>
      <c r="B1419" s="37">
        <v>39910</v>
      </c>
      <c r="C1419" s="38">
        <v>39910</v>
      </c>
      <c r="D1419" s="38">
        <v>39909</v>
      </c>
      <c r="E1419" s="38">
        <v>39904</v>
      </c>
      <c r="F1419" s="39">
        <v>5</v>
      </c>
      <c r="G1419" t="s">
        <v>21</v>
      </c>
      <c r="H1419" t="s">
        <v>21</v>
      </c>
      <c r="I1419">
        <v>0</v>
      </c>
      <c r="J1419">
        <v>0</v>
      </c>
      <c r="K1419">
        <v>0</v>
      </c>
      <c r="L1419">
        <v>1</v>
      </c>
      <c r="M1419">
        <v>0</v>
      </c>
      <c r="N1419" t="s">
        <v>199</v>
      </c>
      <c r="O1419" t="s">
        <v>213</v>
      </c>
      <c r="P1419" t="s">
        <v>210</v>
      </c>
      <c r="Q1419" t="s">
        <v>170</v>
      </c>
      <c r="R1419" t="s">
        <v>155</v>
      </c>
      <c r="T1419" t="s">
        <v>134</v>
      </c>
      <c r="U1419">
        <v>1</v>
      </c>
      <c r="W1419" t="s">
        <v>134</v>
      </c>
      <c r="X1419">
        <v>1</v>
      </c>
      <c r="Y1419" t="s">
        <v>139</v>
      </c>
      <c r="Z1419" t="s">
        <v>181</v>
      </c>
      <c r="AA1419" t="s">
        <v>145</v>
      </c>
      <c r="AB1419" t="s">
        <v>165</v>
      </c>
      <c r="AC1419" t="s">
        <v>614</v>
      </c>
      <c r="AD1419" t="s">
        <v>158</v>
      </c>
      <c r="AE1419" t="s">
        <v>122</v>
      </c>
      <c r="AF1419" t="s">
        <v>21</v>
      </c>
    </row>
    <row r="1420" spans="1:32">
      <c r="A1420" t="s">
        <v>2337</v>
      </c>
      <c r="B1420" s="37">
        <v>39997</v>
      </c>
      <c r="C1420" s="38">
        <v>39997</v>
      </c>
      <c r="D1420" s="38">
        <v>39993</v>
      </c>
      <c r="E1420" s="38">
        <v>39995</v>
      </c>
      <c r="F1420" s="39">
        <v>92</v>
      </c>
      <c r="G1420" t="s">
        <v>496</v>
      </c>
      <c r="H1420" t="s">
        <v>13</v>
      </c>
      <c r="I1420">
        <v>0</v>
      </c>
      <c r="J1420">
        <v>1</v>
      </c>
      <c r="K1420">
        <v>0</v>
      </c>
      <c r="L1420">
        <v>0</v>
      </c>
      <c r="M1420">
        <v>1</v>
      </c>
      <c r="N1420" t="s">
        <v>197</v>
      </c>
      <c r="O1420" t="s">
        <v>213</v>
      </c>
      <c r="P1420" t="s">
        <v>209</v>
      </c>
      <c r="Q1420" t="s">
        <v>170</v>
      </c>
      <c r="R1420" t="s">
        <v>155</v>
      </c>
      <c r="T1420" t="s">
        <v>134</v>
      </c>
      <c r="U1420">
        <v>1</v>
      </c>
      <c r="V1420">
        <v>5</v>
      </c>
      <c r="W1420" t="s">
        <v>135</v>
      </c>
      <c r="X1420">
        <v>0</v>
      </c>
      <c r="Y1420" t="s">
        <v>139</v>
      </c>
      <c r="Z1420" t="s">
        <v>181</v>
      </c>
      <c r="AA1420" t="s">
        <v>143</v>
      </c>
      <c r="AB1420" t="s">
        <v>163</v>
      </c>
      <c r="AC1420" t="s">
        <v>173</v>
      </c>
      <c r="AD1420" t="s">
        <v>155</v>
      </c>
      <c r="AE1420" t="s">
        <v>124</v>
      </c>
      <c r="AF1420" t="s">
        <v>21</v>
      </c>
    </row>
    <row r="1421" spans="1:32">
      <c r="A1421" t="s">
        <v>2338</v>
      </c>
      <c r="B1421" s="37">
        <v>39994</v>
      </c>
      <c r="C1421" s="38">
        <v>39994</v>
      </c>
      <c r="D1421" s="38">
        <v>39993</v>
      </c>
      <c r="E1421" s="38">
        <v>39965</v>
      </c>
      <c r="F1421" s="39">
        <v>89</v>
      </c>
      <c r="G1421" t="s">
        <v>380</v>
      </c>
      <c r="H1421" t="s">
        <v>17</v>
      </c>
      <c r="I1421">
        <v>0</v>
      </c>
      <c r="J1421">
        <v>0</v>
      </c>
      <c r="K1421">
        <v>1</v>
      </c>
      <c r="L1421">
        <v>0</v>
      </c>
      <c r="M1421">
        <v>0</v>
      </c>
      <c r="N1421" t="s">
        <v>193</v>
      </c>
      <c r="O1421" t="s">
        <v>213</v>
      </c>
      <c r="P1421" t="s">
        <v>204</v>
      </c>
      <c r="Q1421" t="s">
        <v>170</v>
      </c>
      <c r="R1421" t="s">
        <v>155</v>
      </c>
      <c r="T1421" t="s">
        <v>134</v>
      </c>
      <c r="U1421">
        <v>1</v>
      </c>
      <c r="V1421">
        <v>2</v>
      </c>
      <c r="W1421" t="s">
        <v>136</v>
      </c>
      <c r="X1421">
        <v>0</v>
      </c>
      <c r="Y1421" t="s">
        <v>140</v>
      </c>
      <c r="Z1421" t="s">
        <v>603</v>
      </c>
      <c r="AA1421" t="s">
        <v>143</v>
      </c>
      <c r="AB1421" t="s">
        <v>163</v>
      </c>
      <c r="AC1421" t="s">
        <v>173</v>
      </c>
      <c r="AD1421" t="s">
        <v>155</v>
      </c>
      <c r="AE1421" t="s">
        <v>127</v>
      </c>
      <c r="AF1421" t="s">
        <v>21</v>
      </c>
    </row>
    <row r="1422" spans="1:32">
      <c r="A1422" t="s">
        <v>2339</v>
      </c>
      <c r="B1422" s="37">
        <v>39987</v>
      </c>
      <c r="C1422" s="38">
        <v>39987</v>
      </c>
      <c r="D1422" s="38">
        <v>39986</v>
      </c>
      <c r="E1422" s="38">
        <v>39965</v>
      </c>
      <c r="F1422" s="39">
        <v>82</v>
      </c>
      <c r="G1422" t="s">
        <v>496</v>
      </c>
      <c r="H1422" t="s">
        <v>13</v>
      </c>
      <c r="I1422">
        <v>0</v>
      </c>
      <c r="J1422">
        <v>1</v>
      </c>
      <c r="K1422">
        <v>0</v>
      </c>
      <c r="L1422">
        <v>0</v>
      </c>
      <c r="M1422">
        <v>1</v>
      </c>
      <c r="N1422" t="s">
        <v>196</v>
      </c>
      <c r="O1422" t="s">
        <v>213</v>
      </c>
      <c r="P1422" t="s">
        <v>207</v>
      </c>
      <c r="Q1422" t="s">
        <v>170</v>
      </c>
      <c r="R1422" t="s">
        <v>155</v>
      </c>
      <c r="T1422" t="s">
        <v>134</v>
      </c>
      <c r="U1422">
        <v>1</v>
      </c>
      <c r="W1422" t="s">
        <v>134</v>
      </c>
      <c r="X1422">
        <v>1</v>
      </c>
      <c r="Y1422" t="s">
        <v>139</v>
      </c>
      <c r="Z1422" t="s">
        <v>189</v>
      </c>
      <c r="AA1422" t="s">
        <v>142</v>
      </c>
      <c r="AB1422" t="s">
        <v>163</v>
      </c>
      <c r="AC1422" t="s">
        <v>173</v>
      </c>
      <c r="AD1422" t="s">
        <v>788</v>
      </c>
      <c r="AE1422" t="s">
        <v>1407</v>
      </c>
      <c r="AF1422" t="s">
        <v>21</v>
      </c>
    </row>
    <row r="1423" spans="1:32">
      <c r="A1423" t="s">
        <v>2340</v>
      </c>
      <c r="B1423" s="37">
        <v>39911</v>
      </c>
      <c r="C1423" s="38">
        <v>39911</v>
      </c>
      <c r="D1423" s="38">
        <v>39909</v>
      </c>
      <c r="E1423" s="38">
        <v>39904</v>
      </c>
      <c r="F1423" s="39">
        <v>6</v>
      </c>
      <c r="G1423" t="s">
        <v>21</v>
      </c>
      <c r="H1423" t="s">
        <v>21</v>
      </c>
      <c r="I1423">
        <v>0</v>
      </c>
      <c r="J1423">
        <v>0</v>
      </c>
      <c r="K1423">
        <v>0</v>
      </c>
      <c r="L1423">
        <v>1</v>
      </c>
      <c r="M1423">
        <v>0</v>
      </c>
      <c r="N1423" t="s">
        <v>194</v>
      </c>
      <c r="O1423" t="s">
        <v>213</v>
      </c>
      <c r="P1423" t="s">
        <v>205</v>
      </c>
      <c r="Q1423" t="s">
        <v>170</v>
      </c>
      <c r="R1423" t="s">
        <v>155</v>
      </c>
      <c r="T1423" t="s">
        <v>134</v>
      </c>
      <c r="U1423">
        <v>1</v>
      </c>
      <c r="W1423" t="s">
        <v>134</v>
      </c>
      <c r="X1423">
        <v>1</v>
      </c>
      <c r="Y1423" t="s">
        <v>139</v>
      </c>
      <c r="Z1423" t="s">
        <v>189</v>
      </c>
      <c r="AA1423" t="s">
        <v>147</v>
      </c>
      <c r="AB1423" t="s">
        <v>163</v>
      </c>
      <c r="AC1423" t="s">
        <v>173</v>
      </c>
      <c r="AD1423" t="s">
        <v>155</v>
      </c>
      <c r="AE1423" t="s">
        <v>434</v>
      </c>
      <c r="AF1423" t="s">
        <v>21</v>
      </c>
    </row>
    <row r="1424" spans="1:32">
      <c r="A1424" t="s">
        <v>2341</v>
      </c>
      <c r="B1424" s="37">
        <v>40042</v>
      </c>
      <c r="C1424" s="38">
        <v>40042</v>
      </c>
      <c r="D1424" s="38">
        <v>40042</v>
      </c>
      <c r="E1424" s="38">
        <v>40026</v>
      </c>
      <c r="F1424" s="39">
        <v>137</v>
      </c>
      <c r="G1424" t="s">
        <v>383</v>
      </c>
      <c r="H1424" t="s">
        <v>17</v>
      </c>
      <c r="I1424">
        <v>0</v>
      </c>
      <c r="J1424">
        <v>0</v>
      </c>
      <c r="K1424">
        <v>1</v>
      </c>
      <c r="L1424">
        <v>0</v>
      </c>
      <c r="M1424">
        <v>0</v>
      </c>
      <c r="N1424" t="s">
        <v>193</v>
      </c>
      <c r="O1424" t="s">
        <v>213</v>
      </c>
      <c r="P1424" t="s">
        <v>204</v>
      </c>
      <c r="Q1424" t="s">
        <v>170</v>
      </c>
      <c r="R1424" t="s">
        <v>155</v>
      </c>
      <c r="S1424">
        <v>5</v>
      </c>
      <c r="T1424" t="s">
        <v>135</v>
      </c>
      <c r="U1424">
        <v>0</v>
      </c>
      <c r="V1424">
        <v>5</v>
      </c>
      <c r="W1424" t="s">
        <v>135</v>
      </c>
      <c r="X1424">
        <v>0</v>
      </c>
      <c r="Y1424" t="s">
        <v>140</v>
      </c>
      <c r="Z1424" t="s">
        <v>182</v>
      </c>
      <c r="AA1424" t="s">
        <v>145</v>
      </c>
      <c r="AB1424" t="s">
        <v>163</v>
      </c>
      <c r="AC1424" t="s">
        <v>2342</v>
      </c>
      <c r="AD1424" t="s">
        <v>155</v>
      </c>
      <c r="AE1424" t="s">
        <v>406</v>
      </c>
      <c r="AF1424" t="s">
        <v>21</v>
      </c>
    </row>
    <row r="1425" spans="1:32">
      <c r="A1425" t="s">
        <v>2343</v>
      </c>
      <c r="B1425" s="37">
        <v>39929</v>
      </c>
      <c r="C1425" s="38">
        <v>39929</v>
      </c>
      <c r="D1425" s="38">
        <v>39923</v>
      </c>
      <c r="E1425" s="38">
        <v>39904</v>
      </c>
      <c r="F1425" s="39">
        <v>24</v>
      </c>
      <c r="G1425" t="s">
        <v>21</v>
      </c>
      <c r="H1425" t="s">
        <v>21</v>
      </c>
      <c r="I1425">
        <v>0</v>
      </c>
      <c r="J1425">
        <v>0</v>
      </c>
      <c r="K1425">
        <v>0</v>
      </c>
      <c r="L1425">
        <v>1</v>
      </c>
      <c r="M1425">
        <v>0</v>
      </c>
      <c r="N1425" t="s">
        <v>200</v>
      </c>
      <c r="O1425" t="s">
        <v>214</v>
      </c>
      <c r="P1425" t="s">
        <v>208</v>
      </c>
      <c r="Q1425" t="s">
        <v>170</v>
      </c>
      <c r="R1425" t="s">
        <v>155</v>
      </c>
      <c r="T1425" t="s">
        <v>134</v>
      </c>
      <c r="U1425">
        <v>1</v>
      </c>
      <c r="W1425" t="s">
        <v>134</v>
      </c>
      <c r="X1425">
        <v>1</v>
      </c>
      <c r="Y1425" t="s">
        <v>139</v>
      </c>
      <c r="Z1425" t="s">
        <v>182</v>
      </c>
      <c r="AA1425" t="s">
        <v>143</v>
      </c>
      <c r="AB1425" t="s">
        <v>163</v>
      </c>
      <c r="AC1425" t="s">
        <v>173</v>
      </c>
      <c r="AD1425" t="s">
        <v>155</v>
      </c>
      <c r="AE1425" t="s">
        <v>124</v>
      </c>
      <c r="AF1425" t="s">
        <v>21</v>
      </c>
    </row>
    <row r="1426" spans="1:32">
      <c r="A1426" t="s">
        <v>2344</v>
      </c>
      <c r="B1426" s="37">
        <v>39933</v>
      </c>
      <c r="C1426" s="38">
        <v>39933</v>
      </c>
      <c r="D1426" s="38">
        <v>39930</v>
      </c>
      <c r="E1426" s="38">
        <v>39904</v>
      </c>
      <c r="F1426" s="39">
        <v>28</v>
      </c>
      <c r="G1426" t="s">
        <v>21</v>
      </c>
      <c r="H1426" t="s">
        <v>21</v>
      </c>
      <c r="I1426">
        <v>0</v>
      </c>
      <c r="J1426">
        <v>0</v>
      </c>
      <c r="K1426">
        <v>0</v>
      </c>
      <c r="L1426">
        <v>1</v>
      </c>
      <c r="M1426">
        <v>0</v>
      </c>
      <c r="N1426" t="s">
        <v>198</v>
      </c>
      <c r="O1426" t="s">
        <v>213</v>
      </c>
      <c r="P1426" t="s">
        <v>208</v>
      </c>
      <c r="Q1426" t="s">
        <v>170</v>
      </c>
      <c r="R1426" t="s">
        <v>155</v>
      </c>
      <c r="T1426" t="s">
        <v>134</v>
      </c>
      <c r="U1426">
        <v>1</v>
      </c>
      <c r="W1426" t="s">
        <v>134</v>
      </c>
      <c r="X1426">
        <v>1</v>
      </c>
      <c r="Y1426" t="s">
        <v>139</v>
      </c>
      <c r="Z1426" t="s">
        <v>179</v>
      </c>
      <c r="AA1426" t="s">
        <v>147</v>
      </c>
      <c r="AB1426" t="s">
        <v>163</v>
      </c>
      <c r="AC1426" t="s">
        <v>173</v>
      </c>
      <c r="AD1426" t="s">
        <v>155</v>
      </c>
      <c r="AE1426" t="s">
        <v>454</v>
      </c>
      <c r="AF1426" t="s">
        <v>21</v>
      </c>
    </row>
    <row r="1427" spans="1:32">
      <c r="A1427" t="s">
        <v>2345</v>
      </c>
      <c r="B1427" s="37">
        <v>40017</v>
      </c>
      <c r="C1427" s="38">
        <v>40017</v>
      </c>
      <c r="D1427" s="38">
        <v>40014</v>
      </c>
      <c r="E1427" s="38">
        <v>39995</v>
      </c>
      <c r="F1427" s="39">
        <v>112</v>
      </c>
      <c r="G1427" t="s">
        <v>9</v>
      </c>
      <c r="H1427" t="s">
        <v>9</v>
      </c>
      <c r="I1427">
        <v>1</v>
      </c>
      <c r="J1427">
        <v>0</v>
      </c>
      <c r="K1427">
        <v>0</v>
      </c>
      <c r="L1427">
        <v>0</v>
      </c>
      <c r="M1427">
        <v>1</v>
      </c>
      <c r="N1427" t="s">
        <v>194</v>
      </c>
      <c r="O1427" t="s">
        <v>213</v>
      </c>
      <c r="P1427" t="s">
        <v>205</v>
      </c>
      <c r="Q1427" t="s">
        <v>170</v>
      </c>
      <c r="R1427" t="s">
        <v>155</v>
      </c>
      <c r="S1427">
        <v>5</v>
      </c>
      <c r="T1427" t="s">
        <v>135</v>
      </c>
      <c r="U1427">
        <v>0</v>
      </c>
      <c r="V1427">
        <v>3</v>
      </c>
      <c r="W1427" t="s">
        <v>137</v>
      </c>
      <c r="X1427">
        <v>0</v>
      </c>
      <c r="Y1427" t="s">
        <v>139</v>
      </c>
      <c r="Z1427" t="s">
        <v>178</v>
      </c>
      <c r="AA1427" t="s">
        <v>148</v>
      </c>
      <c r="AB1427" t="s">
        <v>162</v>
      </c>
      <c r="AC1427" t="s">
        <v>1241</v>
      </c>
      <c r="AD1427" t="s">
        <v>159</v>
      </c>
      <c r="AE1427" t="s">
        <v>123</v>
      </c>
      <c r="AF1427" t="s">
        <v>123</v>
      </c>
    </row>
    <row r="1428" spans="1:32">
      <c r="A1428" t="s">
        <v>2346</v>
      </c>
      <c r="B1428" s="37">
        <v>40015</v>
      </c>
      <c r="C1428" s="38">
        <v>40015</v>
      </c>
      <c r="D1428" s="38">
        <v>40014</v>
      </c>
      <c r="E1428" s="38">
        <v>39995</v>
      </c>
      <c r="F1428" s="39">
        <v>110</v>
      </c>
      <c r="G1428" t="s">
        <v>9</v>
      </c>
      <c r="H1428" t="s">
        <v>9</v>
      </c>
      <c r="I1428">
        <v>1</v>
      </c>
      <c r="J1428">
        <v>0</v>
      </c>
      <c r="K1428">
        <v>0</v>
      </c>
      <c r="L1428">
        <v>0</v>
      </c>
      <c r="M1428">
        <v>1</v>
      </c>
      <c r="N1428" t="s">
        <v>193</v>
      </c>
      <c r="O1428" t="s">
        <v>213</v>
      </c>
      <c r="P1428" t="s">
        <v>204</v>
      </c>
      <c r="Q1428" t="s">
        <v>170</v>
      </c>
      <c r="R1428" t="s">
        <v>155</v>
      </c>
      <c r="S1428">
        <v>5</v>
      </c>
      <c r="T1428" t="s">
        <v>135</v>
      </c>
      <c r="U1428">
        <v>0</v>
      </c>
      <c r="V1428">
        <v>5</v>
      </c>
      <c r="W1428" t="s">
        <v>135</v>
      </c>
      <c r="X1428">
        <v>0</v>
      </c>
      <c r="Y1428" t="s">
        <v>140</v>
      </c>
      <c r="Z1428" t="s">
        <v>179</v>
      </c>
      <c r="AA1428" t="s">
        <v>150</v>
      </c>
      <c r="AB1428" t="s">
        <v>162</v>
      </c>
      <c r="AC1428" t="s">
        <v>175</v>
      </c>
      <c r="AD1428" t="s">
        <v>155</v>
      </c>
      <c r="AE1428" t="s">
        <v>387</v>
      </c>
      <c r="AF1428" t="s">
        <v>21</v>
      </c>
    </row>
    <row r="1429" spans="1:32">
      <c r="A1429" t="s">
        <v>2347</v>
      </c>
      <c r="B1429" s="37">
        <v>39946</v>
      </c>
      <c r="C1429" s="38">
        <v>39946</v>
      </c>
      <c r="D1429" s="38">
        <v>39944</v>
      </c>
      <c r="E1429" s="38">
        <v>39934</v>
      </c>
      <c r="F1429" s="39">
        <v>41</v>
      </c>
      <c r="G1429" t="s">
        <v>21</v>
      </c>
      <c r="H1429" t="s">
        <v>21</v>
      </c>
      <c r="I1429">
        <v>0</v>
      </c>
      <c r="J1429">
        <v>0</v>
      </c>
      <c r="K1429">
        <v>0</v>
      </c>
      <c r="L1429">
        <v>1</v>
      </c>
      <c r="M1429">
        <v>0</v>
      </c>
      <c r="N1429" t="s">
        <v>194</v>
      </c>
      <c r="O1429" t="s">
        <v>213</v>
      </c>
      <c r="P1429" t="s">
        <v>205</v>
      </c>
      <c r="Q1429" t="s">
        <v>170</v>
      </c>
      <c r="R1429" t="s">
        <v>155</v>
      </c>
      <c r="T1429" t="s">
        <v>134</v>
      </c>
      <c r="U1429">
        <v>1</v>
      </c>
      <c r="W1429" t="s">
        <v>134</v>
      </c>
      <c r="X1429">
        <v>1</v>
      </c>
      <c r="Y1429" t="s">
        <v>139</v>
      </c>
      <c r="Z1429" t="s">
        <v>179</v>
      </c>
      <c r="AA1429" t="s">
        <v>147</v>
      </c>
      <c r="AB1429" t="s">
        <v>165</v>
      </c>
      <c r="AC1429" t="s">
        <v>2169</v>
      </c>
      <c r="AD1429" t="s">
        <v>158</v>
      </c>
      <c r="AE1429" t="s">
        <v>122</v>
      </c>
      <c r="AF1429" t="s">
        <v>21</v>
      </c>
    </row>
    <row r="1430" spans="1:32">
      <c r="A1430" t="s">
        <v>2348</v>
      </c>
      <c r="B1430" s="37">
        <v>40023</v>
      </c>
      <c r="C1430" s="38">
        <v>40023</v>
      </c>
      <c r="D1430" s="38">
        <v>40021</v>
      </c>
      <c r="E1430" s="38">
        <v>39995</v>
      </c>
      <c r="F1430" s="39">
        <v>118</v>
      </c>
      <c r="G1430" t="s">
        <v>21</v>
      </c>
      <c r="H1430" t="s">
        <v>21</v>
      </c>
      <c r="I1430">
        <v>0</v>
      </c>
      <c r="J1430">
        <v>0</v>
      </c>
      <c r="K1430">
        <v>0</v>
      </c>
      <c r="L1430">
        <v>1</v>
      </c>
      <c r="M1430">
        <v>0</v>
      </c>
      <c r="N1430" t="s">
        <v>193</v>
      </c>
      <c r="O1430" t="s">
        <v>213</v>
      </c>
      <c r="P1430" t="s">
        <v>204</v>
      </c>
      <c r="Q1430" t="s">
        <v>170</v>
      </c>
      <c r="R1430" t="s">
        <v>155</v>
      </c>
      <c r="S1430">
        <v>5</v>
      </c>
      <c r="T1430" t="s">
        <v>135</v>
      </c>
      <c r="U1430">
        <v>0</v>
      </c>
      <c r="V1430">
        <v>5</v>
      </c>
      <c r="W1430" t="s">
        <v>135</v>
      </c>
      <c r="X1430">
        <v>0</v>
      </c>
      <c r="Y1430" t="s">
        <v>140</v>
      </c>
      <c r="Z1430" t="s">
        <v>603</v>
      </c>
      <c r="AA1430" t="s">
        <v>143</v>
      </c>
      <c r="AB1430" t="s">
        <v>162</v>
      </c>
      <c r="AC1430" t="s">
        <v>175</v>
      </c>
      <c r="AD1430" t="s">
        <v>155</v>
      </c>
      <c r="AE1430" t="s">
        <v>129</v>
      </c>
      <c r="AF1430" t="s">
        <v>21</v>
      </c>
    </row>
    <row r="1431" spans="1:32">
      <c r="A1431" t="s">
        <v>2349</v>
      </c>
      <c r="B1431" s="37">
        <v>40072</v>
      </c>
      <c r="C1431" s="38">
        <v>40072</v>
      </c>
      <c r="D1431" s="38">
        <v>40070</v>
      </c>
      <c r="E1431" s="38">
        <v>40057</v>
      </c>
      <c r="F1431" s="39">
        <v>167</v>
      </c>
      <c r="G1431" t="s">
        <v>21</v>
      </c>
      <c r="H1431" t="s">
        <v>21</v>
      </c>
      <c r="I1431">
        <v>0</v>
      </c>
      <c r="J1431">
        <v>0</v>
      </c>
      <c r="K1431">
        <v>0</v>
      </c>
      <c r="L1431">
        <v>1</v>
      </c>
      <c r="M1431">
        <v>0</v>
      </c>
      <c r="N1431" t="s">
        <v>195</v>
      </c>
      <c r="O1431" t="s">
        <v>213</v>
      </c>
      <c r="P1431" t="s">
        <v>206</v>
      </c>
      <c r="Q1431" t="s">
        <v>170</v>
      </c>
      <c r="R1431" t="s">
        <v>155</v>
      </c>
      <c r="S1431">
        <v>5</v>
      </c>
      <c r="T1431" t="s">
        <v>135</v>
      </c>
      <c r="U1431">
        <v>0</v>
      </c>
      <c r="V1431">
        <v>5</v>
      </c>
      <c r="W1431" t="s">
        <v>135</v>
      </c>
      <c r="X1431">
        <v>0</v>
      </c>
      <c r="Y1431" t="s">
        <v>139</v>
      </c>
      <c r="Z1431" t="s">
        <v>603</v>
      </c>
      <c r="AA1431" t="s">
        <v>142</v>
      </c>
      <c r="AB1431" t="s">
        <v>163</v>
      </c>
      <c r="AC1431" t="s">
        <v>173</v>
      </c>
      <c r="AD1431" t="s">
        <v>155</v>
      </c>
      <c r="AE1431" t="s">
        <v>128</v>
      </c>
      <c r="AF1431" t="s">
        <v>21</v>
      </c>
    </row>
    <row r="1432" spans="1:32">
      <c r="A1432" t="s">
        <v>2350</v>
      </c>
      <c r="B1432" s="37">
        <v>40035</v>
      </c>
      <c r="C1432" s="38">
        <v>40035</v>
      </c>
      <c r="D1432" s="38">
        <v>40035</v>
      </c>
      <c r="E1432" s="38">
        <v>40026</v>
      </c>
      <c r="F1432" s="39">
        <v>130</v>
      </c>
      <c r="G1432" t="s">
        <v>21</v>
      </c>
      <c r="H1432" t="s">
        <v>21</v>
      </c>
      <c r="I1432">
        <v>0</v>
      </c>
      <c r="J1432">
        <v>0</v>
      </c>
      <c r="K1432">
        <v>0</v>
      </c>
      <c r="L1432">
        <v>1</v>
      </c>
      <c r="M1432">
        <v>0</v>
      </c>
      <c r="N1432" t="s">
        <v>193</v>
      </c>
      <c r="O1432" t="s">
        <v>213</v>
      </c>
      <c r="P1432" t="s">
        <v>204</v>
      </c>
      <c r="Q1432" t="s">
        <v>170</v>
      </c>
      <c r="R1432" t="s">
        <v>155</v>
      </c>
      <c r="S1432">
        <v>5</v>
      </c>
      <c r="T1432" t="s">
        <v>135</v>
      </c>
      <c r="U1432">
        <v>0</v>
      </c>
      <c r="V1432">
        <v>2</v>
      </c>
      <c r="W1432" t="s">
        <v>136</v>
      </c>
      <c r="X1432">
        <v>0</v>
      </c>
      <c r="Y1432" t="s">
        <v>140</v>
      </c>
      <c r="Z1432" t="s">
        <v>187</v>
      </c>
      <c r="AA1432" t="s">
        <v>144</v>
      </c>
      <c r="AB1432" t="s">
        <v>163</v>
      </c>
      <c r="AC1432" t="s">
        <v>173</v>
      </c>
      <c r="AD1432" t="s">
        <v>155</v>
      </c>
      <c r="AE1432" t="s">
        <v>125</v>
      </c>
      <c r="AF1432" t="s">
        <v>21</v>
      </c>
    </row>
    <row r="1433" spans="1:32">
      <c r="A1433" t="s">
        <v>2351</v>
      </c>
      <c r="B1433" s="37">
        <v>40017</v>
      </c>
      <c r="C1433" s="38">
        <v>40017</v>
      </c>
      <c r="D1433" s="38">
        <v>40014</v>
      </c>
      <c r="E1433" s="38">
        <v>39995</v>
      </c>
      <c r="F1433" s="39">
        <v>112</v>
      </c>
      <c r="G1433" t="s">
        <v>21</v>
      </c>
      <c r="H1433" t="s">
        <v>21</v>
      </c>
      <c r="I1433">
        <v>0</v>
      </c>
      <c r="J1433">
        <v>0</v>
      </c>
      <c r="K1433">
        <v>0</v>
      </c>
      <c r="L1433">
        <v>1</v>
      </c>
      <c r="M1433">
        <v>0</v>
      </c>
      <c r="N1433" t="s">
        <v>193</v>
      </c>
      <c r="O1433" t="s">
        <v>213</v>
      </c>
      <c r="P1433" t="s">
        <v>204</v>
      </c>
      <c r="Q1433" t="s">
        <v>170</v>
      </c>
      <c r="R1433" t="s">
        <v>155</v>
      </c>
      <c r="S1433">
        <v>5</v>
      </c>
      <c r="T1433" t="s">
        <v>135</v>
      </c>
      <c r="U1433">
        <v>0</v>
      </c>
      <c r="V1433">
        <v>2</v>
      </c>
      <c r="W1433" t="s">
        <v>136</v>
      </c>
      <c r="X1433">
        <v>0</v>
      </c>
      <c r="Y1433" t="s">
        <v>140</v>
      </c>
      <c r="Z1433" t="s">
        <v>187</v>
      </c>
      <c r="AA1433" t="s">
        <v>142</v>
      </c>
      <c r="AB1433" t="s">
        <v>163</v>
      </c>
      <c r="AC1433" t="s">
        <v>173</v>
      </c>
      <c r="AD1433" t="s">
        <v>155</v>
      </c>
      <c r="AE1433" t="s">
        <v>125</v>
      </c>
      <c r="AF1433" t="s">
        <v>21</v>
      </c>
    </row>
    <row r="1434" spans="1:32">
      <c r="A1434" t="s">
        <v>2352</v>
      </c>
      <c r="B1434" s="37">
        <v>40084</v>
      </c>
      <c r="C1434" s="38">
        <v>40084</v>
      </c>
      <c r="D1434" s="38">
        <v>40084</v>
      </c>
      <c r="E1434" s="38">
        <v>40057</v>
      </c>
      <c r="F1434" s="39">
        <v>179</v>
      </c>
      <c r="G1434" t="s">
        <v>21</v>
      </c>
      <c r="H1434" t="s">
        <v>21</v>
      </c>
      <c r="I1434">
        <v>0</v>
      </c>
      <c r="J1434">
        <v>0</v>
      </c>
      <c r="K1434">
        <v>0</v>
      </c>
      <c r="L1434">
        <v>1</v>
      </c>
      <c r="M1434">
        <v>0</v>
      </c>
      <c r="N1434" t="s">
        <v>193</v>
      </c>
      <c r="O1434" t="s">
        <v>213</v>
      </c>
      <c r="P1434" t="s">
        <v>204</v>
      </c>
      <c r="Q1434" t="s">
        <v>170</v>
      </c>
      <c r="R1434" t="s">
        <v>155</v>
      </c>
      <c r="S1434">
        <v>5</v>
      </c>
      <c r="T1434" t="s">
        <v>135</v>
      </c>
      <c r="U1434">
        <v>0</v>
      </c>
      <c r="V1434">
        <v>4</v>
      </c>
      <c r="W1434" t="s">
        <v>137</v>
      </c>
      <c r="X1434">
        <v>0</v>
      </c>
      <c r="Y1434" t="s">
        <v>140</v>
      </c>
      <c r="Z1434" t="s">
        <v>181</v>
      </c>
      <c r="AA1434" t="s">
        <v>150</v>
      </c>
      <c r="AB1434" t="s">
        <v>163</v>
      </c>
      <c r="AC1434" t="s">
        <v>173</v>
      </c>
      <c r="AD1434" t="s">
        <v>155</v>
      </c>
      <c r="AE1434" t="s">
        <v>128</v>
      </c>
      <c r="AF1434" t="s">
        <v>21</v>
      </c>
    </row>
    <row r="1435" spans="1:32">
      <c r="A1435" t="s">
        <v>2353</v>
      </c>
      <c r="B1435" s="37">
        <v>39938</v>
      </c>
      <c r="C1435" s="38">
        <v>39938</v>
      </c>
      <c r="D1435" s="38">
        <v>39937</v>
      </c>
      <c r="E1435" s="38">
        <v>39934</v>
      </c>
      <c r="F1435" s="39">
        <v>33</v>
      </c>
      <c r="G1435" t="s">
        <v>21</v>
      </c>
      <c r="H1435" t="s">
        <v>21</v>
      </c>
      <c r="I1435">
        <v>0</v>
      </c>
      <c r="J1435">
        <v>0</v>
      </c>
      <c r="K1435">
        <v>0</v>
      </c>
      <c r="L1435">
        <v>1</v>
      </c>
      <c r="M1435">
        <v>0</v>
      </c>
      <c r="N1435" t="s">
        <v>193</v>
      </c>
      <c r="O1435" t="s">
        <v>213</v>
      </c>
      <c r="P1435" t="s">
        <v>204</v>
      </c>
      <c r="Q1435" t="s">
        <v>170</v>
      </c>
      <c r="R1435" t="s">
        <v>155</v>
      </c>
      <c r="T1435" t="s">
        <v>134</v>
      </c>
      <c r="U1435">
        <v>1</v>
      </c>
      <c r="W1435" t="s">
        <v>134</v>
      </c>
      <c r="X1435">
        <v>1</v>
      </c>
      <c r="Y1435" t="s">
        <v>140</v>
      </c>
      <c r="Z1435" t="s">
        <v>181</v>
      </c>
      <c r="AA1435" t="s">
        <v>147</v>
      </c>
      <c r="AB1435" t="s">
        <v>163</v>
      </c>
      <c r="AC1435" t="s">
        <v>173</v>
      </c>
      <c r="AD1435" t="s">
        <v>155</v>
      </c>
      <c r="AE1435" t="s">
        <v>125</v>
      </c>
      <c r="AF1435" t="s">
        <v>21</v>
      </c>
    </row>
    <row r="1436" spans="1:32">
      <c r="A1436" t="s">
        <v>2354</v>
      </c>
      <c r="B1436" s="37">
        <v>39910</v>
      </c>
      <c r="C1436" s="38">
        <v>39910</v>
      </c>
      <c r="D1436" s="38">
        <v>39909</v>
      </c>
      <c r="E1436" s="38">
        <v>39904</v>
      </c>
      <c r="F1436" s="39">
        <v>5</v>
      </c>
      <c r="G1436" t="s">
        <v>21</v>
      </c>
      <c r="H1436" t="s">
        <v>21</v>
      </c>
      <c r="I1436">
        <v>0</v>
      </c>
      <c r="J1436">
        <v>0</v>
      </c>
      <c r="K1436">
        <v>0</v>
      </c>
      <c r="L1436">
        <v>1</v>
      </c>
      <c r="M1436">
        <v>0</v>
      </c>
      <c r="N1436" t="s">
        <v>194</v>
      </c>
      <c r="O1436" t="s">
        <v>213</v>
      </c>
      <c r="P1436" t="s">
        <v>205</v>
      </c>
      <c r="Q1436" t="s">
        <v>170</v>
      </c>
      <c r="R1436" t="s">
        <v>155</v>
      </c>
      <c r="T1436" t="s">
        <v>134</v>
      </c>
      <c r="U1436">
        <v>1</v>
      </c>
      <c r="W1436" t="s">
        <v>134</v>
      </c>
      <c r="X1436">
        <v>1</v>
      </c>
      <c r="Y1436" t="s">
        <v>139</v>
      </c>
      <c r="Z1436" t="s">
        <v>181</v>
      </c>
      <c r="AA1436" t="s">
        <v>145</v>
      </c>
      <c r="AB1436" t="s">
        <v>162</v>
      </c>
      <c r="AC1436" t="s">
        <v>2355</v>
      </c>
      <c r="AD1436" t="s">
        <v>156</v>
      </c>
      <c r="AE1436" t="s">
        <v>120</v>
      </c>
      <c r="AF1436" t="s">
        <v>470</v>
      </c>
    </row>
    <row r="1437" spans="1:32">
      <c r="A1437" t="s">
        <v>2356</v>
      </c>
      <c r="B1437" s="37">
        <v>39927</v>
      </c>
      <c r="C1437" s="38">
        <v>39927</v>
      </c>
      <c r="D1437" s="38">
        <v>39923</v>
      </c>
      <c r="E1437" s="38">
        <v>39904</v>
      </c>
      <c r="F1437" s="39">
        <v>22</v>
      </c>
      <c r="G1437" t="s">
        <v>21</v>
      </c>
      <c r="H1437" t="s">
        <v>21</v>
      </c>
      <c r="I1437">
        <v>0</v>
      </c>
      <c r="J1437">
        <v>0</v>
      </c>
      <c r="K1437">
        <v>0</v>
      </c>
      <c r="L1437">
        <v>1</v>
      </c>
      <c r="M1437">
        <v>0</v>
      </c>
      <c r="N1437" t="s">
        <v>200</v>
      </c>
      <c r="O1437" t="s">
        <v>214</v>
      </c>
      <c r="P1437" t="s">
        <v>208</v>
      </c>
      <c r="Q1437" t="s">
        <v>170</v>
      </c>
      <c r="R1437" t="s">
        <v>155</v>
      </c>
      <c r="T1437" t="s">
        <v>134</v>
      </c>
      <c r="U1437">
        <v>1</v>
      </c>
      <c r="W1437" t="s">
        <v>134</v>
      </c>
      <c r="X1437">
        <v>1</v>
      </c>
      <c r="Y1437" t="s">
        <v>139</v>
      </c>
      <c r="Z1437" t="s">
        <v>181</v>
      </c>
      <c r="AA1437" t="s">
        <v>151</v>
      </c>
      <c r="AB1437" t="s">
        <v>162</v>
      </c>
      <c r="AC1437" t="s">
        <v>174</v>
      </c>
      <c r="AD1437" t="s">
        <v>156</v>
      </c>
      <c r="AE1437" t="s">
        <v>120</v>
      </c>
      <c r="AF1437" t="s">
        <v>2357</v>
      </c>
    </row>
    <row r="1438" spans="1:32">
      <c r="A1438" t="s">
        <v>2358</v>
      </c>
      <c r="B1438" s="37">
        <v>40021</v>
      </c>
      <c r="C1438" s="38">
        <v>40021</v>
      </c>
      <c r="D1438" s="38">
        <v>40021</v>
      </c>
      <c r="E1438" s="38">
        <v>39995</v>
      </c>
      <c r="F1438" s="39">
        <v>116</v>
      </c>
      <c r="G1438" t="s">
        <v>21</v>
      </c>
      <c r="H1438" t="s">
        <v>21</v>
      </c>
      <c r="I1438">
        <v>0</v>
      </c>
      <c r="J1438">
        <v>0</v>
      </c>
      <c r="K1438">
        <v>0</v>
      </c>
      <c r="L1438">
        <v>1</v>
      </c>
      <c r="M1438">
        <v>0</v>
      </c>
      <c r="N1438" t="s">
        <v>193</v>
      </c>
      <c r="O1438" t="s">
        <v>213</v>
      </c>
      <c r="P1438" t="s">
        <v>204</v>
      </c>
      <c r="Q1438" t="s">
        <v>170</v>
      </c>
      <c r="R1438" t="s">
        <v>155</v>
      </c>
      <c r="S1438">
        <v>5</v>
      </c>
      <c r="T1438" t="s">
        <v>135</v>
      </c>
      <c r="U1438">
        <v>0</v>
      </c>
      <c r="V1438">
        <v>5</v>
      </c>
      <c r="W1438" t="s">
        <v>135</v>
      </c>
      <c r="X1438">
        <v>0</v>
      </c>
      <c r="Y1438" t="s">
        <v>140</v>
      </c>
      <c r="Z1438" t="s">
        <v>190</v>
      </c>
      <c r="AA1438" t="s">
        <v>142</v>
      </c>
      <c r="AB1438" t="s">
        <v>162</v>
      </c>
      <c r="AC1438" t="s">
        <v>567</v>
      </c>
      <c r="AD1438" t="s">
        <v>155</v>
      </c>
      <c r="AE1438" t="s">
        <v>130</v>
      </c>
      <c r="AF1438" t="s">
        <v>21</v>
      </c>
    </row>
    <row r="1439" spans="1:32">
      <c r="A1439" t="s">
        <v>2359</v>
      </c>
      <c r="B1439" s="37">
        <v>39964</v>
      </c>
      <c r="C1439" s="38">
        <v>39964</v>
      </c>
      <c r="D1439" s="38">
        <v>39958</v>
      </c>
      <c r="E1439" s="38">
        <v>39934</v>
      </c>
      <c r="F1439" s="39">
        <v>59</v>
      </c>
      <c r="G1439" t="s">
        <v>21</v>
      </c>
      <c r="H1439" t="s">
        <v>21</v>
      </c>
      <c r="I1439">
        <v>0</v>
      </c>
      <c r="J1439">
        <v>0</v>
      </c>
      <c r="K1439">
        <v>0</v>
      </c>
      <c r="L1439">
        <v>1</v>
      </c>
      <c r="M1439">
        <v>0</v>
      </c>
      <c r="N1439" t="s">
        <v>195</v>
      </c>
      <c r="O1439" t="s">
        <v>213</v>
      </c>
      <c r="P1439" t="s">
        <v>206</v>
      </c>
      <c r="Q1439" t="s">
        <v>170</v>
      </c>
      <c r="R1439" t="s">
        <v>155</v>
      </c>
      <c r="T1439" t="s">
        <v>134</v>
      </c>
      <c r="U1439">
        <v>1</v>
      </c>
      <c r="W1439" t="s">
        <v>134</v>
      </c>
      <c r="X1439">
        <v>1</v>
      </c>
      <c r="Y1439" t="s">
        <v>139</v>
      </c>
      <c r="Z1439" t="s">
        <v>190</v>
      </c>
      <c r="AA1439" t="s">
        <v>143</v>
      </c>
      <c r="AB1439" t="s">
        <v>163</v>
      </c>
      <c r="AC1439" t="s">
        <v>173</v>
      </c>
      <c r="AD1439" t="s">
        <v>155</v>
      </c>
      <c r="AE1439" t="s">
        <v>704</v>
      </c>
      <c r="AF1439" t="s">
        <v>21</v>
      </c>
    </row>
    <row r="1440" spans="1:32">
      <c r="A1440" t="s">
        <v>2360</v>
      </c>
      <c r="B1440" s="37">
        <v>39928</v>
      </c>
      <c r="C1440" s="38">
        <v>39928</v>
      </c>
      <c r="D1440" s="38">
        <v>39923</v>
      </c>
      <c r="E1440" s="38">
        <v>39904</v>
      </c>
      <c r="F1440" s="39">
        <v>23</v>
      </c>
      <c r="G1440" t="s">
        <v>21</v>
      </c>
      <c r="H1440" t="s">
        <v>21</v>
      </c>
      <c r="I1440">
        <v>0</v>
      </c>
      <c r="J1440">
        <v>0</v>
      </c>
      <c r="K1440">
        <v>0</v>
      </c>
      <c r="L1440">
        <v>1</v>
      </c>
      <c r="M1440">
        <v>0</v>
      </c>
      <c r="N1440" t="s">
        <v>201</v>
      </c>
      <c r="O1440" t="s">
        <v>214</v>
      </c>
      <c r="P1440" t="s">
        <v>204</v>
      </c>
      <c r="Q1440" t="s">
        <v>170</v>
      </c>
      <c r="R1440" t="s">
        <v>155</v>
      </c>
      <c r="T1440" t="s">
        <v>134</v>
      </c>
      <c r="U1440">
        <v>1</v>
      </c>
      <c r="W1440" t="s">
        <v>134</v>
      </c>
      <c r="X1440">
        <v>1</v>
      </c>
      <c r="Y1440" t="s">
        <v>140</v>
      </c>
      <c r="Z1440" t="s">
        <v>180</v>
      </c>
      <c r="AA1440" t="s">
        <v>142</v>
      </c>
      <c r="AB1440" t="s">
        <v>163</v>
      </c>
      <c r="AC1440" t="s">
        <v>2361</v>
      </c>
      <c r="AD1440" t="s">
        <v>155</v>
      </c>
      <c r="AE1440" t="s">
        <v>692</v>
      </c>
      <c r="AF1440" t="s">
        <v>21</v>
      </c>
    </row>
    <row r="1441" spans="1:32">
      <c r="A1441" t="s">
        <v>2362</v>
      </c>
      <c r="B1441" s="37">
        <v>39994</v>
      </c>
      <c r="C1441" s="38">
        <v>39994</v>
      </c>
      <c r="D1441" s="38">
        <v>39993</v>
      </c>
      <c r="E1441" s="38">
        <v>39965</v>
      </c>
      <c r="F1441" s="39">
        <v>89</v>
      </c>
      <c r="G1441" t="s">
        <v>380</v>
      </c>
      <c r="H1441" t="s">
        <v>17</v>
      </c>
      <c r="I1441">
        <v>0</v>
      </c>
      <c r="J1441">
        <v>0</v>
      </c>
      <c r="K1441">
        <v>1</v>
      </c>
      <c r="L1441">
        <v>0</v>
      </c>
      <c r="M1441">
        <v>0</v>
      </c>
      <c r="N1441" t="s">
        <v>196</v>
      </c>
      <c r="O1441" t="s">
        <v>213</v>
      </c>
      <c r="P1441" t="s">
        <v>207</v>
      </c>
      <c r="Q1441" t="s">
        <v>170</v>
      </c>
      <c r="R1441" t="s">
        <v>155</v>
      </c>
      <c r="T1441" t="s">
        <v>134</v>
      </c>
      <c r="U1441">
        <v>1</v>
      </c>
      <c r="V1441">
        <v>3</v>
      </c>
      <c r="W1441" t="s">
        <v>137</v>
      </c>
      <c r="X1441">
        <v>0</v>
      </c>
      <c r="Y1441" t="s">
        <v>139</v>
      </c>
      <c r="Z1441" t="s">
        <v>183</v>
      </c>
      <c r="AA1441" t="s">
        <v>142</v>
      </c>
      <c r="AB1441" t="s">
        <v>162</v>
      </c>
      <c r="AC1441" t="s">
        <v>174</v>
      </c>
      <c r="AD1441" t="s">
        <v>156</v>
      </c>
      <c r="AE1441" t="s">
        <v>120</v>
      </c>
      <c r="AF1441" t="s">
        <v>1427</v>
      </c>
    </row>
    <row r="1442" spans="1:32">
      <c r="A1442" t="s">
        <v>2363</v>
      </c>
      <c r="B1442" s="37">
        <v>40008</v>
      </c>
      <c r="C1442" s="38">
        <v>40008</v>
      </c>
      <c r="D1442" s="38">
        <v>40007</v>
      </c>
      <c r="E1442" s="38">
        <v>39995</v>
      </c>
      <c r="F1442" s="39">
        <v>103</v>
      </c>
      <c r="G1442" t="s">
        <v>21</v>
      </c>
      <c r="H1442" t="s">
        <v>21</v>
      </c>
      <c r="I1442">
        <v>0</v>
      </c>
      <c r="J1442">
        <v>0</v>
      </c>
      <c r="K1442">
        <v>0</v>
      </c>
      <c r="L1442">
        <v>1</v>
      </c>
      <c r="M1442">
        <v>0</v>
      </c>
      <c r="N1442" t="s">
        <v>196</v>
      </c>
      <c r="O1442" t="s">
        <v>213</v>
      </c>
      <c r="P1442" t="s">
        <v>207</v>
      </c>
      <c r="Q1442" t="s">
        <v>170</v>
      </c>
      <c r="R1442" t="s">
        <v>155</v>
      </c>
      <c r="S1442">
        <v>5</v>
      </c>
      <c r="T1442" t="s">
        <v>135</v>
      </c>
      <c r="U1442">
        <v>0</v>
      </c>
      <c r="V1442">
        <v>5</v>
      </c>
      <c r="W1442" t="s">
        <v>135</v>
      </c>
      <c r="X1442">
        <v>0</v>
      </c>
      <c r="Y1442" t="s">
        <v>139</v>
      </c>
      <c r="Z1442" t="s">
        <v>183</v>
      </c>
      <c r="AA1442" t="s">
        <v>150</v>
      </c>
      <c r="AB1442" t="s">
        <v>162</v>
      </c>
      <c r="AC1442" t="s">
        <v>176</v>
      </c>
      <c r="AD1442" t="s">
        <v>155</v>
      </c>
      <c r="AE1442" t="s">
        <v>129</v>
      </c>
      <c r="AF1442" t="s">
        <v>21</v>
      </c>
    </row>
    <row r="1443" spans="1:32">
      <c r="A1443" t="s">
        <v>2364</v>
      </c>
      <c r="B1443" s="37">
        <v>40080</v>
      </c>
      <c r="C1443" s="38">
        <v>40080</v>
      </c>
      <c r="D1443" s="38">
        <v>40077</v>
      </c>
      <c r="E1443" s="38">
        <v>40057</v>
      </c>
      <c r="F1443" s="39">
        <v>175</v>
      </c>
      <c r="G1443" t="s">
        <v>21</v>
      </c>
      <c r="H1443" t="s">
        <v>21</v>
      </c>
      <c r="I1443">
        <v>0</v>
      </c>
      <c r="J1443">
        <v>0</v>
      </c>
      <c r="K1443">
        <v>0</v>
      </c>
      <c r="L1443">
        <v>1</v>
      </c>
      <c r="M1443">
        <v>0</v>
      </c>
      <c r="N1443" t="s">
        <v>544</v>
      </c>
      <c r="O1443" t="s">
        <v>213</v>
      </c>
      <c r="P1443" t="s">
        <v>545</v>
      </c>
      <c r="Q1443" t="s">
        <v>170</v>
      </c>
      <c r="R1443" t="s">
        <v>155</v>
      </c>
      <c r="S1443">
        <v>5</v>
      </c>
      <c r="T1443" t="s">
        <v>135</v>
      </c>
      <c r="U1443">
        <v>0</v>
      </c>
      <c r="V1443">
        <v>5</v>
      </c>
      <c r="W1443" t="s">
        <v>135</v>
      </c>
      <c r="X1443">
        <v>0</v>
      </c>
      <c r="Y1443" t="s">
        <v>139</v>
      </c>
      <c r="Z1443" t="s">
        <v>183</v>
      </c>
      <c r="AA1443" t="s">
        <v>144</v>
      </c>
      <c r="AB1443" t="s">
        <v>163</v>
      </c>
      <c r="AC1443" t="s">
        <v>173</v>
      </c>
      <c r="AD1443" t="s">
        <v>155</v>
      </c>
      <c r="AE1443" t="s">
        <v>128</v>
      </c>
      <c r="AF1443" t="s">
        <v>21</v>
      </c>
    </row>
    <row r="1444" spans="1:32">
      <c r="A1444" t="s">
        <v>2365</v>
      </c>
      <c r="B1444" s="37">
        <v>40063</v>
      </c>
      <c r="C1444" s="38">
        <v>40063</v>
      </c>
      <c r="D1444" s="38">
        <v>40063</v>
      </c>
      <c r="E1444" s="38">
        <v>40057</v>
      </c>
      <c r="F1444" s="39">
        <v>158</v>
      </c>
      <c r="G1444" t="s">
        <v>21</v>
      </c>
      <c r="H1444" t="s">
        <v>21</v>
      </c>
      <c r="I1444">
        <v>0</v>
      </c>
      <c r="J1444">
        <v>0</v>
      </c>
      <c r="K1444">
        <v>0</v>
      </c>
      <c r="L1444">
        <v>1</v>
      </c>
      <c r="M1444">
        <v>0</v>
      </c>
      <c r="N1444" t="s">
        <v>544</v>
      </c>
      <c r="O1444" t="s">
        <v>213</v>
      </c>
      <c r="P1444" t="s">
        <v>545</v>
      </c>
      <c r="Q1444" t="s">
        <v>170</v>
      </c>
      <c r="R1444" t="s">
        <v>155</v>
      </c>
      <c r="S1444">
        <v>5</v>
      </c>
      <c r="T1444" t="s">
        <v>135</v>
      </c>
      <c r="U1444">
        <v>0</v>
      </c>
      <c r="V1444">
        <v>5</v>
      </c>
      <c r="W1444" t="s">
        <v>135</v>
      </c>
      <c r="X1444">
        <v>0</v>
      </c>
      <c r="Y1444" t="s">
        <v>139</v>
      </c>
      <c r="Z1444" t="s">
        <v>183</v>
      </c>
      <c r="AA1444" t="s">
        <v>143</v>
      </c>
      <c r="AB1444" t="s">
        <v>162</v>
      </c>
      <c r="AC1444" t="s">
        <v>1823</v>
      </c>
      <c r="AD1444" t="s">
        <v>156</v>
      </c>
      <c r="AE1444" t="s">
        <v>120</v>
      </c>
      <c r="AF1444" t="s">
        <v>741</v>
      </c>
    </row>
    <row r="1445" spans="1:32">
      <c r="A1445" t="s">
        <v>2366</v>
      </c>
      <c r="B1445" s="37">
        <v>39941</v>
      </c>
      <c r="C1445" s="38">
        <v>39941</v>
      </c>
      <c r="D1445" s="38">
        <v>39937</v>
      </c>
      <c r="E1445" s="38">
        <v>39934</v>
      </c>
      <c r="F1445" s="39">
        <v>36</v>
      </c>
      <c r="G1445" t="s">
        <v>21</v>
      </c>
      <c r="H1445" t="s">
        <v>21</v>
      </c>
      <c r="I1445">
        <v>0</v>
      </c>
      <c r="J1445">
        <v>0</v>
      </c>
      <c r="K1445">
        <v>0</v>
      </c>
      <c r="L1445">
        <v>1</v>
      </c>
      <c r="M1445">
        <v>0</v>
      </c>
      <c r="N1445" t="s">
        <v>194</v>
      </c>
      <c r="O1445" t="s">
        <v>213</v>
      </c>
      <c r="P1445" t="s">
        <v>205</v>
      </c>
      <c r="Q1445" t="s">
        <v>170</v>
      </c>
      <c r="R1445" t="s">
        <v>155</v>
      </c>
      <c r="T1445" t="s">
        <v>134</v>
      </c>
      <c r="U1445">
        <v>1</v>
      </c>
      <c r="W1445" t="s">
        <v>134</v>
      </c>
      <c r="X1445">
        <v>1</v>
      </c>
      <c r="Y1445" t="s">
        <v>139</v>
      </c>
      <c r="Z1445" t="s">
        <v>183</v>
      </c>
      <c r="AA1445" t="s">
        <v>143</v>
      </c>
      <c r="AB1445" t="s">
        <v>163</v>
      </c>
      <c r="AC1445" t="s">
        <v>173</v>
      </c>
      <c r="AD1445" t="s">
        <v>155</v>
      </c>
      <c r="AE1445" t="s">
        <v>692</v>
      </c>
      <c r="AF1445" t="s">
        <v>21</v>
      </c>
    </row>
    <row r="1446" spans="1:32">
      <c r="A1446" t="s">
        <v>2367</v>
      </c>
      <c r="B1446" s="37">
        <v>39950</v>
      </c>
      <c r="C1446" s="38">
        <v>39950</v>
      </c>
      <c r="D1446" s="38">
        <v>39944</v>
      </c>
      <c r="E1446" s="38">
        <v>39934</v>
      </c>
      <c r="F1446" s="39">
        <v>45</v>
      </c>
      <c r="G1446" t="s">
        <v>21</v>
      </c>
      <c r="H1446" t="s">
        <v>21</v>
      </c>
      <c r="I1446">
        <v>0</v>
      </c>
      <c r="J1446">
        <v>0</v>
      </c>
      <c r="K1446">
        <v>0</v>
      </c>
      <c r="L1446">
        <v>1</v>
      </c>
      <c r="M1446">
        <v>0</v>
      </c>
      <c r="N1446" t="s">
        <v>193</v>
      </c>
      <c r="O1446" t="s">
        <v>213</v>
      </c>
      <c r="P1446" t="s">
        <v>204</v>
      </c>
      <c r="Q1446" t="s">
        <v>170</v>
      </c>
      <c r="R1446" t="s">
        <v>155</v>
      </c>
      <c r="T1446" t="s">
        <v>134</v>
      </c>
      <c r="U1446">
        <v>1</v>
      </c>
      <c r="W1446" t="s">
        <v>134</v>
      </c>
      <c r="X1446">
        <v>1</v>
      </c>
      <c r="Y1446" t="s">
        <v>140</v>
      </c>
      <c r="Z1446" t="s">
        <v>183</v>
      </c>
      <c r="AA1446" t="s">
        <v>143</v>
      </c>
      <c r="AB1446" t="s">
        <v>163</v>
      </c>
      <c r="AC1446" t="s">
        <v>415</v>
      </c>
      <c r="AD1446" t="s">
        <v>155</v>
      </c>
      <c r="AE1446" t="s">
        <v>125</v>
      </c>
      <c r="AF1446" t="s">
        <v>21</v>
      </c>
    </row>
    <row r="1447" spans="1:32">
      <c r="A1447" t="s">
        <v>2368</v>
      </c>
      <c r="B1447" s="37">
        <v>39964</v>
      </c>
      <c r="C1447" s="38">
        <v>39964</v>
      </c>
      <c r="D1447" s="38">
        <v>39958</v>
      </c>
      <c r="E1447" s="38">
        <v>39934</v>
      </c>
      <c r="F1447" s="39">
        <v>59</v>
      </c>
      <c r="G1447" t="s">
        <v>21</v>
      </c>
      <c r="H1447" t="s">
        <v>21</v>
      </c>
      <c r="I1447">
        <v>0</v>
      </c>
      <c r="J1447">
        <v>0</v>
      </c>
      <c r="K1447">
        <v>0</v>
      </c>
      <c r="L1447">
        <v>1</v>
      </c>
      <c r="M1447">
        <v>0</v>
      </c>
      <c r="N1447" t="s">
        <v>194</v>
      </c>
      <c r="O1447" t="s">
        <v>213</v>
      </c>
      <c r="P1447" t="s">
        <v>205</v>
      </c>
      <c r="Q1447" t="s">
        <v>170</v>
      </c>
      <c r="R1447" t="s">
        <v>155</v>
      </c>
      <c r="T1447" t="s">
        <v>134</v>
      </c>
      <c r="U1447">
        <v>1</v>
      </c>
      <c r="W1447" t="s">
        <v>134</v>
      </c>
      <c r="X1447">
        <v>1</v>
      </c>
      <c r="Y1447" t="s">
        <v>139</v>
      </c>
      <c r="Z1447" t="s">
        <v>183</v>
      </c>
      <c r="AA1447" t="s">
        <v>143</v>
      </c>
      <c r="AB1447" t="s">
        <v>162</v>
      </c>
      <c r="AC1447" t="s">
        <v>21</v>
      </c>
      <c r="AD1447" t="s">
        <v>155</v>
      </c>
      <c r="AE1447" t="s">
        <v>129</v>
      </c>
      <c r="AF1447" t="s">
        <v>21</v>
      </c>
    </row>
    <row r="1448" spans="1:32">
      <c r="A1448" t="s">
        <v>2369</v>
      </c>
      <c r="B1448" s="37">
        <v>40057</v>
      </c>
      <c r="C1448" s="38">
        <v>40057</v>
      </c>
      <c r="D1448" s="38">
        <v>40056</v>
      </c>
      <c r="E1448" s="38">
        <v>40057</v>
      </c>
      <c r="F1448" s="39">
        <v>152</v>
      </c>
      <c r="G1448" t="s">
        <v>496</v>
      </c>
      <c r="H1448" t="s">
        <v>13</v>
      </c>
      <c r="I1448">
        <v>0</v>
      </c>
      <c r="J1448">
        <v>1</v>
      </c>
      <c r="K1448">
        <v>0</v>
      </c>
      <c r="L1448">
        <v>0</v>
      </c>
      <c r="M1448">
        <v>1</v>
      </c>
      <c r="N1448" t="s">
        <v>193</v>
      </c>
      <c r="O1448" t="s">
        <v>213</v>
      </c>
      <c r="P1448" t="s">
        <v>204</v>
      </c>
      <c r="Q1448" t="s">
        <v>170</v>
      </c>
      <c r="R1448" t="s">
        <v>155</v>
      </c>
      <c r="S1448">
        <v>5</v>
      </c>
      <c r="T1448" t="s">
        <v>135</v>
      </c>
      <c r="U1448">
        <v>0</v>
      </c>
      <c r="V1448">
        <v>5</v>
      </c>
      <c r="W1448" t="s">
        <v>135</v>
      </c>
      <c r="X1448">
        <v>0</v>
      </c>
      <c r="Y1448" t="s">
        <v>140</v>
      </c>
      <c r="Z1448" t="s">
        <v>188</v>
      </c>
      <c r="AA1448" t="s">
        <v>145</v>
      </c>
      <c r="AB1448" t="s">
        <v>163</v>
      </c>
      <c r="AC1448" t="s">
        <v>173</v>
      </c>
      <c r="AD1448" t="s">
        <v>155</v>
      </c>
      <c r="AE1448" t="s">
        <v>125</v>
      </c>
      <c r="AF1448" t="s">
        <v>21</v>
      </c>
    </row>
    <row r="1449" spans="1:32">
      <c r="A1449" t="s">
        <v>2370</v>
      </c>
      <c r="B1449" s="37">
        <v>40036</v>
      </c>
      <c r="C1449" s="38">
        <v>40036</v>
      </c>
      <c r="D1449" s="38">
        <v>40035</v>
      </c>
      <c r="E1449" s="38">
        <v>40026</v>
      </c>
      <c r="F1449" s="39">
        <v>131</v>
      </c>
      <c r="G1449" t="s">
        <v>21</v>
      </c>
      <c r="H1449" t="s">
        <v>21</v>
      </c>
      <c r="I1449">
        <v>0</v>
      </c>
      <c r="J1449">
        <v>0</v>
      </c>
      <c r="K1449">
        <v>0</v>
      </c>
      <c r="L1449">
        <v>1</v>
      </c>
      <c r="M1449">
        <v>0</v>
      </c>
      <c r="N1449" t="s">
        <v>197</v>
      </c>
      <c r="O1449" t="s">
        <v>213</v>
      </c>
      <c r="P1449" t="s">
        <v>209</v>
      </c>
      <c r="Q1449" t="s">
        <v>170</v>
      </c>
      <c r="R1449" t="s">
        <v>155</v>
      </c>
      <c r="S1449">
        <v>5</v>
      </c>
      <c r="T1449" t="s">
        <v>135</v>
      </c>
      <c r="U1449">
        <v>0</v>
      </c>
      <c r="V1449">
        <v>4</v>
      </c>
      <c r="W1449" t="s">
        <v>137</v>
      </c>
      <c r="X1449">
        <v>0</v>
      </c>
      <c r="Y1449" t="s">
        <v>139</v>
      </c>
      <c r="Z1449" t="s">
        <v>188</v>
      </c>
      <c r="AA1449" t="s">
        <v>146</v>
      </c>
      <c r="AB1449" t="s">
        <v>162</v>
      </c>
      <c r="AC1449" t="s">
        <v>2371</v>
      </c>
      <c r="AD1449" t="s">
        <v>155</v>
      </c>
      <c r="AE1449" t="s">
        <v>129</v>
      </c>
      <c r="AF1449" t="s">
        <v>21</v>
      </c>
    </row>
    <row r="1450" spans="1:32">
      <c r="A1450" t="s">
        <v>2372</v>
      </c>
      <c r="B1450" s="37">
        <v>39939</v>
      </c>
      <c r="C1450" s="38">
        <v>39939</v>
      </c>
      <c r="D1450" s="38">
        <v>39937</v>
      </c>
      <c r="E1450" s="38">
        <v>39934</v>
      </c>
      <c r="F1450" s="39">
        <v>34</v>
      </c>
      <c r="G1450" t="s">
        <v>380</v>
      </c>
      <c r="H1450" t="s">
        <v>17</v>
      </c>
      <c r="I1450">
        <v>0</v>
      </c>
      <c r="J1450">
        <v>0</v>
      </c>
      <c r="K1450">
        <v>1</v>
      </c>
      <c r="L1450">
        <v>0</v>
      </c>
      <c r="M1450">
        <v>0</v>
      </c>
      <c r="N1450" t="s">
        <v>194</v>
      </c>
      <c r="O1450" t="s">
        <v>213</v>
      </c>
      <c r="P1450" t="s">
        <v>205</v>
      </c>
      <c r="Q1450" t="s">
        <v>170</v>
      </c>
      <c r="R1450" t="s">
        <v>155</v>
      </c>
      <c r="T1450" t="s">
        <v>134</v>
      </c>
      <c r="U1450">
        <v>1</v>
      </c>
      <c r="W1450" t="s">
        <v>134</v>
      </c>
      <c r="X1450">
        <v>1</v>
      </c>
      <c r="Y1450" t="s">
        <v>139</v>
      </c>
      <c r="Z1450" t="s">
        <v>810</v>
      </c>
      <c r="AA1450" t="s">
        <v>142</v>
      </c>
      <c r="AB1450" t="s">
        <v>162</v>
      </c>
      <c r="AC1450" t="s">
        <v>174</v>
      </c>
      <c r="AD1450" t="s">
        <v>157</v>
      </c>
      <c r="AE1450" t="s">
        <v>130</v>
      </c>
      <c r="AF1450" t="s">
        <v>437</v>
      </c>
    </row>
    <row r="1451" spans="1:32">
      <c r="A1451" t="s">
        <v>2373</v>
      </c>
      <c r="B1451" s="37">
        <v>39938</v>
      </c>
      <c r="C1451" s="38">
        <v>39938</v>
      </c>
      <c r="D1451" s="38">
        <v>39937</v>
      </c>
      <c r="E1451" s="38">
        <v>39934</v>
      </c>
      <c r="F1451" s="39">
        <v>33</v>
      </c>
      <c r="G1451" t="s">
        <v>21</v>
      </c>
      <c r="H1451" t="s">
        <v>21</v>
      </c>
      <c r="I1451">
        <v>0</v>
      </c>
      <c r="J1451">
        <v>0</v>
      </c>
      <c r="K1451">
        <v>0</v>
      </c>
      <c r="L1451">
        <v>1</v>
      </c>
      <c r="M1451">
        <v>0</v>
      </c>
      <c r="N1451" t="s">
        <v>200</v>
      </c>
      <c r="O1451" t="s">
        <v>214</v>
      </c>
      <c r="P1451" t="s">
        <v>208</v>
      </c>
      <c r="Q1451" t="s">
        <v>170</v>
      </c>
      <c r="R1451" t="s">
        <v>155</v>
      </c>
      <c r="T1451" t="s">
        <v>134</v>
      </c>
      <c r="U1451">
        <v>1</v>
      </c>
      <c r="W1451" t="s">
        <v>134</v>
      </c>
      <c r="X1451">
        <v>1</v>
      </c>
      <c r="Y1451" t="s">
        <v>139</v>
      </c>
      <c r="Z1451" t="s">
        <v>178</v>
      </c>
      <c r="AA1451" t="s">
        <v>143</v>
      </c>
      <c r="AB1451" t="s">
        <v>162</v>
      </c>
      <c r="AC1451" t="s">
        <v>174</v>
      </c>
      <c r="AD1451" t="s">
        <v>156</v>
      </c>
      <c r="AE1451" t="s">
        <v>120</v>
      </c>
      <c r="AF1451" t="s">
        <v>2374</v>
      </c>
    </row>
    <row r="1452" spans="1:32">
      <c r="A1452" t="s">
        <v>2375</v>
      </c>
      <c r="B1452" s="37">
        <v>39927</v>
      </c>
      <c r="C1452" s="38">
        <v>39927</v>
      </c>
      <c r="D1452" s="38">
        <v>39923</v>
      </c>
      <c r="E1452" s="38">
        <v>39904</v>
      </c>
      <c r="F1452" s="39">
        <v>22</v>
      </c>
      <c r="G1452" t="s">
        <v>21</v>
      </c>
      <c r="H1452" t="s">
        <v>21</v>
      </c>
      <c r="I1452">
        <v>0</v>
      </c>
      <c r="J1452">
        <v>0</v>
      </c>
      <c r="K1452">
        <v>0</v>
      </c>
      <c r="L1452">
        <v>1</v>
      </c>
      <c r="M1452">
        <v>0</v>
      </c>
      <c r="N1452" t="s">
        <v>198</v>
      </c>
      <c r="O1452" t="s">
        <v>213</v>
      </c>
      <c r="P1452" t="s">
        <v>208</v>
      </c>
      <c r="Q1452" t="s">
        <v>170</v>
      </c>
      <c r="R1452" t="s">
        <v>155</v>
      </c>
      <c r="T1452" t="s">
        <v>134</v>
      </c>
      <c r="U1452">
        <v>1</v>
      </c>
      <c r="W1452" t="s">
        <v>134</v>
      </c>
      <c r="X1452">
        <v>1</v>
      </c>
      <c r="Y1452" t="s">
        <v>139</v>
      </c>
      <c r="Z1452" t="s">
        <v>183</v>
      </c>
      <c r="AA1452" t="s">
        <v>142</v>
      </c>
      <c r="AB1452" t="s">
        <v>162</v>
      </c>
      <c r="AC1452" t="s">
        <v>2376</v>
      </c>
      <c r="AD1452" t="s">
        <v>155</v>
      </c>
      <c r="AE1452" t="s">
        <v>129</v>
      </c>
      <c r="AF1452" t="s">
        <v>21</v>
      </c>
    </row>
    <row r="1453" spans="1:32">
      <c r="A1453" t="s">
        <v>2377</v>
      </c>
      <c r="B1453" s="37">
        <v>39928</v>
      </c>
      <c r="C1453" s="38">
        <v>39928</v>
      </c>
      <c r="D1453" s="38">
        <v>39923</v>
      </c>
      <c r="E1453" s="38">
        <v>39904</v>
      </c>
      <c r="F1453" s="39">
        <v>23</v>
      </c>
      <c r="G1453" t="s">
        <v>21</v>
      </c>
      <c r="H1453" t="s">
        <v>21</v>
      </c>
      <c r="I1453">
        <v>0</v>
      </c>
      <c r="J1453">
        <v>0</v>
      </c>
      <c r="K1453">
        <v>0</v>
      </c>
      <c r="L1453">
        <v>1</v>
      </c>
      <c r="M1453">
        <v>0</v>
      </c>
      <c r="N1453" t="s">
        <v>199</v>
      </c>
      <c r="O1453" t="s">
        <v>213</v>
      </c>
      <c r="P1453" t="s">
        <v>210</v>
      </c>
      <c r="Q1453" t="s">
        <v>170</v>
      </c>
      <c r="R1453" t="s">
        <v>155</v>
      </c>
      <c r="T1453" t="s">
        <v>134</v>
      </c>
      <c r="U1453">
        <v>1</v>
      </c>
      <c r="W1453" t="s">
        <v>134</v>
      </c>
      <c r="X1453">
        <v>1</v>
      </c>
      <c r="Y1453" t="s">
        <v>139</v>
      </c>
      <c r="Z1453" t="s">
        <v>186</v>
      </c>
      <c r="AA1453" t="s">
        <v>142</v>
      </c>
      <c r="AB1453" t="s">
        <v>163</v>
      </c>
      <c r="AC1453" t="s">
        <v>21</v>
      </c>
      <c r="AD1453" t="s">
        <v>155</v>
      </c>
      <c r="AE1453" t="s">
        <v>125</v>
      </c>
      <c r="AF1453" t="s">
        <v>21</v>
      </c>
    </row>
    <row r="1454" spans="1:32">
      <c r="A1454" t="s">
        <v>2378</v>
      </c>
      <c r="B1454" s="37">
        <v>39980</v>
      </c>
      <c r="C1454" s="38">
        <v>39980</v>
      </c>
      <c r="D1454" s="38">
        <v>39979</v>
      </c>
      <c r="E1454" s="38">
        <v>39965</v>
      </c>
      <c r="F1454" s="39">
        <v>75</v>
      </c>
      <c r="G1454" t="s">
        <v>21</v>
      </c>
      <c r="H1454" t="s">
        <v>21</v>
      </c>
      <c r="I1454">
        <v>0</v>
      </c>
      <c r="J1454">
        <v>0</v>
      </c>
      <c r="K1454">
        <v>0</v>
      </c>
      <c r="L1454">
        <v>1</v>
      </c>
      <c r="M1454">
        <v>0</v>
      </c>
      <c r="N1454" t="s">
        <v>193</v>
      </c>
      <c r="O1454" t="s">
        <v>213</v>
      </c>
      <c r="P1454" t="s">
        <v>204</v>
      </c>
      <c r="Q1454" t="s">
        <v>170</v>
      </c>
      <c r="R1454" t="s">
        <v>155</v>
      </c>
      <c r="T1454" t="s">
        <v>134</v>
      </c>
      <c r="U1454">
        <v>1</v>
      </c>
      <c r="W1454" t="s">
        <v>134</v>
      </c>
      <c r="X1454">
        <v>1</v>
      </c>
      <c r="Y1454" t="s">
        <v>140</v>
      </c>
      <c r="Z1454" t="s">
        <v>409</v>
      </c>
      <c r="AA1454" t="s">
        <v>148</v>
      </c>
      <c r="AB1454" t="s">
        <v>163</v>
      </c>
      <c r="AC1454" t="s">
        <v>173</v>
      </c>
      <c r="AD1454" t="s">
        <v>155</v>
      </c>
      <c r="AE1454" t="s">
        <v>467</v>
      </c>
      <c r="AF1454" t="s">
        <v>21</v>
      </c>
    </row>
    <row r="1455" spans="1:32">
      <c r="A1455" t="s">
        <v>2379</v>
      </c>
      <c r="B1455" s="37">
        <v>39946</v>
      </c>
      <c r="C1455" s="38">
        <v>39946</v>
      </c>
      <c r="D1455" s="38">
        <v>39944</v>
      </c>
      <c r="E1455" s="38">
        <v>39934</v>
      </c>
      <c r="F1455" s="39">
        <v>41</v>
      </c>
      <c r="G1455" t="s">
        <v>21</v>
      </c>
      <c r="H1455" t="s">
        <v>21</v>
      </c>
      <c r="I1455">
        <v>0</v>
      </c>
      <c r="J1455">
        <v>0</v>
      </c>
      <c r="K1455">
        <v>0</v>
      </c>
      <c r="L1455">
        <v>1</v>
      </c>
      <c r="M1455">
        <v>0</v>
      </c>
      <c r="N1455" t="s">
        <v>193</v>
      </c>
      <c r="O1455" t="s">
        <v>213</v>
      </c>
      <c r="P1455" t="s">
        <v>204</v>
      </c>
      <c r="Q1455" t="s">
        <v>170</v>
      </c>
      <c r="R1455" t="s">
        <v>155</v>
      </c>
      <c r="T1455" t="s">
        <v>134</v>
      </c>
      <c r="U1455">
        <v>1</v>
      </c>
      <c r="W1455" t="s">
        <v>134</v>
      </c>
      <c r="X1455">
        <v>1</v>
      </c>
      <c r="Y1455" t="s">
        <v>140</v>
      </c>
      <c r="Z1455" t="s">
        <v>188</v>
      </c>
      <c r="AA1455" t="s">
        <v>147</v>
      </c>
      <c r="AB1455" t="s">
        <v>163</v>
      </c>
      <c r="AC1455" t="s">
        <v>173</v>
      </c>
      <c r="AD1455" t="s">
        <v>155</v>
      </c>
      <c r="AE1455" t="s">
        <v>439</v>
      </c>
      <c r="AF1455" t="s">
        <v>21</v>
      </c>
    </row>
    <row r="1456" spans="1:32">
      <c r="A1456" t="s">
        <v>2380</v>
      </c>
      <c r="B1456" s="37">
        <v>39932</v>
      </c>
      <c r="C1456" s="38">
        <v>39932</v>
      </c>
      <c r="D1456" s="38">
        <v>39930</v>
      </c>
      <c r="E1456" s="38">
        <v>39904</v>
      </c>
      <c r="F1456" s="39">
        <v>27</v>
      </c>
      <c r="G1456" t="s">
        <v>21</v>
      </c>
      <c r="H1456" t="s">
        <v>21</v>
      </c>
      <c r="I1456">
        <v>0</v>
      </c>
      <c r="J1456">
        <v>0</v>
      </c>
      <c r="K1456">
        <v>0</v>
      </c>
      <c r="L1456">
        <v>1</v>
      </c>
      <c r="M1456">
        <v>0</v>
      </c>
      <c r="N1456" t="s">
        <v>202</v>
      </c>
      <c r="O1456" t="s">
        <v>213</v>
      </c>
      <c r="P1456" t="s">
        <v>211</v>
      </c>
      <c r="Q1456" t="s">
        <v>170</v>
      </c>
      <c r="R1456" t="s">
        <v>155</v>
      </c>
      <c r="T1456" t="s">
        <v>134</v>
      </c>
      <c r="U1456">
        <v>1</v>
      </c>
      <c r="W1456" t="s">
        <v>134</v>
      </c>
      <c r="X1456">
        <v>1</v>
      </c>
      <c r="Y1456" t="s">
        <v>139</v>
      </c>
      <c r="Z1456" t="s">
        <v>190</v>
      </c>
      <c r="AA1456" t="s">
        <v>149</v>
      </c>
      <c r="AB1456" t="s">
        <v>163</v>
      </c>
      <c r="AC1456" t="s">
        <v>173</v>
      </c>
      <c r="AD1456" t="s">
        <v>155</v>
      </c>
      <c r="AE1456" t="s">
        <v>127</v>
      </c>
      <c r="AF1456" t="s">
        <v>21</v>
      </c>
    </row>
    <row r="1457" spans="1:32">
      <c r="A1457" t="s">
        <v>2381</v>
      </c>
      <c r="B1457" s="37">
        <v>40003</v>
      </c>
      <c r="C1457" s="38">
        <v>40003</v>
      </c>
      <c r="D1457" s="38">
        <v>40000</v>
      </c>
      <c r="E1457" s="38">
        <v>39995</v>
      </c>
      <c r="F1457" s="39">
        <v>98</v>
      </c>
      <c r="G1457" t="s">
        <v>21</v>
      </c>
      <c r="H1457" t="s">
        <v>21</v>
      </c>
      <c r="I1457">
        <v>0</v>
      </c>
      <c r="J1457">
        <v>0</v>
      </c>
      <c r="K1457">
        <v>0</v>
      </c>
      <c r="L1457">
        <v>1</v>
      </c>
      <c r="M1457">
        <v>0</v>
      </c>
      <c r="N1457" t="s">
        <v>195</v>
      </c>
      <c r="O1457" t="s">
        <v>213</v>
      </c>
      <c r="P1457" t="s">
        <v>206</v>
      </c>
      <c r="Q1457" t="s">
        <v>170</v>
      </c>
      <c r="R1457" t="s">
        <v>155</v>
      </c>
      <c r="T1457" t="s">
        <v>134</v>
      </c>
      <c r="U1457">
        <v>1</v>
      </c>
      <c r="V1457">
        <v>3</v>
      </c>
      <c r="W1457" t="s">
        <v>137</v>
      </c>
      <c r="X1457">
        <v>0</v>
      </c>
      <c r="Y1457" t="s">
        <v>139</v>
      </c>
      <c r="Z1457" t="s">
        <v>409</v>
      </c>
      <c r="AA1457" t="s">
        <v>144</v>
      </c>
      <c r="AB1457" t="s">
        <v>162</v>
      </c>
      <c r="AC1457" t="s">
        <v>459</v>
      </c>
      <c r="AD1457" t="s">
        <v>155</v>
      </c>
      <c r="AE1457" t="s">
        <v>130</v>
      </c>
      <c r="AF1457" t="s">
        <v>21</v>
      </c>
    </row>
    <row r="1458" spans="1:32">
      <c r="A1458" t="s">
        <v>2382</v>
      </c>
      <c r="B1458" s="37">
        <v>40054</v>
      </c>
      <c r="C1458" s="38">
        <v>40054</v>
      </c>
      <c r="D1458" s="38">
        <v>40049</v>
      </c>
      <c r="E1458" s="38">
        <v>40026</v>
      </c>
      <c r="F1458" s="39">
        <v>149</v>
      </c>
      <c r="G1458" t="s">
        <v>9</v>
      </c>
      <c r="H1458" t="s">
        <v>9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544</v>
      </c>
      <c r="O1458" t="s">
        <v>213</v>
      </c>
      <c r="P1458" t="s">
        <v>545</v>
      </c>
      <c r="Q1458" t="s">
        <v>170</v>
      </c>
      <c r="R1458" t="s">
        <v>155</v>
      </c>
      <c r="S1458">
        <v>5</v>
      </c>
      <c r="T1458" t="s">
        <v>135</v>
      </c>
      <c r="U1458">
        <v>0</v>
      </c>
      <c r="V1458">
        <v>4</v>
      </c>
      <c r="W1458" t="s">
        <v>137</v>
      </c>
      <c r="X1458">
        <v>0</v>
      </c>
      <c r="Y1458" t="s">
        <v>139</v>
      </c>
      <c r="Z1458" t="s">
        <v>409</v>
      </c>
      <c r="AA1458" t="s">
        <v>145</v>
      </c>
      <c r="AB1458" t="s">
        <v>162</v>
      </c>
      <c r="AC1458" t="s">
        <v>174</v>
      </c>
      <c r="AD1458" t="s">
        <v>156</v>
      </c>
      <c r="AE1458" t="s">
        <v>120</v>
      </c>
      <c r="AF1458" t="s">
        <v>620</v>
      </c>
    </row>
    <row r="1459" spans="1:32">
      <c r="A1459" t="s">
        <v>2383</v>
      </c>
      <c r="B1459" s="37">
        <v>39991</v>
      </c>
      <c r="C1459" s="38">
        <v>39991</v>
      </c>
      <c r="D1459" s="38">
        <v>39986</v>
      </c>
      <c r="E1459" s="38">
        <v>39965</v>
      </c>
      <c r="F1459" s="39">
        <v>86</v>
      </c>
      <c r="G1459" t="s">
        <v>21</v>
      </c>
      <c r="H1459" t="s">
        <v>21</v>
      </c>
      <c r="I1459">
        <v>0</v>
      </c>
      <c r="J1459">
        <v>0</v>
      </c>
      <c r="K1459">
        <v>0</v>
      </c>
      <c r="L1459">
        <v>1</v>
      </c>
      <c r="M1459">
        <v>0</v>
      </c>
      <c r="N1459" t="s">
        <v>193</v>
      </c>
      <c r="O1459" t="s">
        <v>213</v>
      </c>
      <c r="P1459" t="s">
        <v>204</v>
      </c>
      <c r="Q1459" t="s">
        <v>170</v>
      </c>
      <c r="R1459" t="s">
        <v>155</v>
      </c>
      <c r="T1459" t="s">
        <v>134</v>
      </c>
      <c r="U1459">
        <v>1</v>
      </c>
      <c r="V1459">
        <v>3</v>
      </c>
      <c r="W1459" t="s">
        <v>137</v>
      </c>
      <c r="X1459">
        <v>0</v>
      </c>
      <c r="Y1459" t="s">
        <v>140</v>
      </c>
      <c r="Z1459" t="s">
        <v>183</v>
      </c>
      <c r="AA1459" t="s">
        <v>144</v>
      </c>
      <c r="AB1459" t="s">
        <v>163</v>
      </c>
      <c r="AC1459" t="s">
        <v>173</v>
      </c>
      <c r="AD1459" t="s">
        <v>155</v>
      </c>
      <c r="AE1459" t="s">
        <v>124</v>
      </c>
      <c r="AF1459" t="s">
        <v>21</v>
      </c>
    </row>
    <row r="1460" spans="1:32">
      <c r="A1460" t="s">
        <v>2384</v>
      </c>
      <c r="B1460" s="37">
        <v>39933</v>
      </c>
      <c r="C1460" s="38">
        <v>39933</v>
      </c>
      <c r="D1460" s="38">
        <v>39930</v>
      </c>
      <c r="E1460" s="38">
        <v>39904</v>
      </c>
      <c r="F1460" s="39">
        <v>28</v>
      </c>
      <c r="G1460" t="s">
        <v>21</v>
      </c>
      <c r="H1460" t="s">
        <v>21</v>
      </c>
      <c r="I1460">
        <v>0</v>
      </c>
      <c r="J1460">
        <v>0</v>
      </c>
      <c r="K1460">
        <v>0</v>
      </c>
      <c r="L1460">
        <v>1</v>
      </c>
      <c r="M1460">
        <v>0</v>
      </c>
      <c r="N1460" t="s">
        <v>198</v>
      </c>
      <c r="O1460" t="s">
        <v>213</v>
      </c>
      <c r="P1460" t="s">
        <v>208</v>
      </c>
      <c r="Q1460" t="s">
        <v>170</v>
      </c>
      <c r="R1460" t="s">
        <v>155</v>
      </c>
      <c r="T1460" t="s">
        <v>134</v>
      </c>
      <c r="U1460">
        <v>1</v>
      </c>
      <c r="W1460" t="s">
        <v>134</v>
      </c>
      <c r="X1460">
        <v>1</v>
      </c>
      <c r="Y1460" t="s">
        <v>139</v>
      </c>
      <c r="Z1460" t="s">
        <v>183</v>
      </c>
      <c r="AA1460" t="s">
        <v>142</v>
      </c>
      <c r="AB1460" t="s">
        <v>162</v>
      </c>
      <c r="AC1460" t="s">
        <v>174</v>
      </c>
      <c r="AD1460" t="s">
        <v>157</v>
      </c>
      <c r="AE1460" t="s">
        <v>434</v>
      </c>
      <c r="AF1460" t="s">
        <v>449</v>
      </c>
    </row>
    <row r="1461" spans="1:32">
      <c r="A1461" t="s">
        <v>2385</v>
      </c>
      <c r="B1461" s="37">
        <v>40054</v>
      </c>
      <c r="C1461" s="38">
        <v>40054</v>
      </c>
      <c r="D1461" s="38">
        <v>40049</v>
      </c>
      <c r="E1461" s="38">
        <v>40026</v>
      </c>
      <c r="F1461" s="39">
        <v>149</v>
      </c>
      <c r="G1461" t="s">
        <v>21</v>
      </c>
      <c r="H1461" t="s">
        <v>21</v>
      </c>
      <c r="I1461">
        <v>0</v>
      </c>
      <c r="J1461">
        <v>0</v>
      </c>
      <c r="K1461">
        <v>0</v>
      </c>
      <c r="L1461">
        <v>1</v>
      </c>
      <c r="M1461">
        <v>0</v>
      </c>
      <c r="N1461" t="s">
        <v>193</v>
      </c>
      <c r="O1461" t="s">
        <v>213</v>
      </c>
      <c r="P1461" t="s">
        <v>204</v>
      </c>
      <c r="Q1461" t="s">
        <v>170</v>
      </c>
      <c r="R1461" t="s">
        <v>155</v>
      </c>
      <c r="S1461">
        <v>5</v>
      </c>
      <c r="T1461" t="s">
        <v>135</v>
      </c>
      <c r="U1461">
        <v>0</v>
      </c>
      <c r="V1461">
        <v>5</v>
      </c>
      <c r="W1461" t="s">
        <v>135</v>
      </c>
      <c r="X1461">
        <v>0</v>
      </c>
      <c r="Y1461" t="s">
        <v>140</v>
      </c>
      <c r="Z1461" t="s">
        <v>188</v>
      </c>
      <c r="AA1461" t="s">
        <v>142</v>
      </c>
      <c r="AB1461" t="s">
        <v>163</v>
      </c>
      <c r="AC1461" t="s">
        <v>173</v>
      </c>
      <c r="AD1461" t="s">
        <v>155</v>
      </c>
      <c r="AE1461" t="s">
        <v>125</v>
      </c>
      <c r="AF1461" t="s">
        <v>21</v>
      </c>
    </row>
    <row r="1462" spans="1:32">
      <c r="A1462" t="s">
        <v>2386</v>
      </c>
      <c r="B1462" s="37">
        <v>39931</v>
      </c>
      <c r="C1462" s="38">
        <v>39931</v>
      </c>
      <c r="D1462" s="38">
        <v>39930</v>
      </c>
      <c r="E1462" s="38">
        <v>39904</v>
      </c>
      <c r="F1462" s="39">
        <v>26</v>
      </c>
      <c r="G1462" t="s">
        <v>21</v>
      </c>
      <c r="H1462" t="s">
        <v>21</v>
      </c>
      <c r="I1462">
        <v>0</v>
      </c>
      <c r="J1462">
        <v>0</v>
      </c>
      <c r="K1462">
        <v>0</v>
      </c>
      <c r="L1462">
        <v>1</v>
      </c>
      <c r="M1462">
        <v>0</v>
      </c>
      <c r="N1462" t="s">
        <v>198</v>
      </c>
      <c r="O1462" t="s">
        <v>213</v>
      </c>
      <c r="P1462" t="s">
        <v>208</v>
      </c>
      <c r="Q1462" t="s">
        <v>170</v>
      </c>
      <c r="R1462" t="s">
        <v>155</v>
      </c>
      <c r="T1462" t="s">
        <v>134</v>
      </c>
      <c r="U1462">
        <v>1</v>
      </c>
      <c r="W1462" t="s">
        <v>134</v>
      </c>
      <c r="X1462">
        <v>1</v>
      </c>
      <c r="Y1462" t="s">
        <v>139</v>
      </c>
      <c r="Z1462" t="s">
        <v>184</v>
      </c>
      <c r="AA1462" t="s">
        <v>142</v>
      </c>
      <c r="AB1462" t="s">
        <v>162</v>
      </c>
      <c r="AC1462" t="s">
        <v>175</v>
      </c>
      <c r="AD1462" t="s">
        <v>155</v>
      </c>
      <c r="AE1462" t="s">
        <v>129</v>
      </c>
      <c r="AF1462" t="s">
        <v>21</v>
      </c>
    </row>
    <row r="1463" spans="1:32">
      <c r="A1463" t="s">
        <v>2387</v>
      </c>
      <c r="B1463" s="37">
        <v>39934</v>
      </c>
      <c r="C1463" s="38">
        <v>39934</v>
      </c>
      <c r="D1463" s="38">
        <v>39930</v>
      </c>
      <c r="E1463" s="38">
        <v>39934</v>
      </c>
      <c r="F1463" s="39">
        <v>29</v>
      </c>
      <c r="G1463" t="s">
        <v>21</v>
      </c>
      <c r="H1463" t="s">
        <v>21</v>
      </c>
      <c r="I1463">
        <v>0</v>
      </c>
      <c r="J1463">
        <v>0</v>
      </c>
      <c r="K1463">
        <v>0</v>
      </c>
      <c r="L1463">
        <v>1</v>
      </c>
      <c r="M1463">
        <v>0</v>
      </c>
      <c r="N1463" t="s">
        <v>202</v>
      </c>
      <c r="O1463" t="s">
        <v>213</v>
      </c>
      <c r="P1463" t="s">
        <v>211</v>
      </c>
      <c r="Q1463" t="s">
        <v>170</v>
      </c>
      <c r="R1463" t="s">
        <v>155</v>
      </c>
      <c r="T1463" t="s">
        <v>134</v>
      </c>
      <c r="U1463">
        <v>1</v>
      </c>
      <c r="W1463" t="s">
        <v>134</v>
      </c>
      <c r="X1463">
        <v>1</v>
      </c>
      <c r="Y1463" t="s">
        <v>139</v>
      </c>
      <c r="Z1463" t="s">
        <v>178</v>
      </c>
      <c r="AA1463" t="s">
        <v>147</v>
      </c>
      <c r="AB1463" t="s">
        <v>163</v>
      </c>
      <c r="AC1463" t="s">
        <v>173</v>
      </c>
      <c r="AD1463" t="s">
        <v>155</v>
      </c>
      <c r="AE1463" t="s">
        <v>125</v>
      </c>
      <c r="AF1463" t="s">
        <v>21</v>
      </c>
    </row>
    <row r="1464" spans="1:32">
      <c r="A1464" t="s">
        <v>2388</v>
      </c>
      <c r="B1464" s="37">
        <v>40007</v>
      </c>
      <c r="C1464" s="38">
        <v>40007</v>
      </c>
      <c r="D1464" s="38">
        <v>40007</v>
      </c>
      <c r="E1464" s="38">
        <v>39995</v>
      </c>
      <c r="F1464" s="39">
        <v>102</v>
      </c>
      <c r="G1464" t="s">
        <v>21</v>
      </c>
      <c r="H1464" t="s">
        <v>21</v>
      </c>
      <c r="I1464">
        <v>0</v>
      </c>
      <c r="J1464">
        <v>0</v>
      </c>
      <c r="K1464">
        <v>0</v>
      </c>
      <c r="L1464">
        <v>1</v>
      </c>
      <c r="M1464">
        <v>0</v>
      </c>
      <c r="N1464" t="s">
        <v>193</v>
      </c>
      <c r="O1464" t="s">
        <v>213</v>
      </c>
      <c r="P1464" t="s">
        <v>204</v>
      </c>
      <c r="Q1464" t="s">
        <v>170</v>
      </c>
      <c r="R1464" t="s">
        <v>155</v>
      </c>
      <c r="S1464">
        <v>5</v>
      </c>
      <c r="T1464" t="s">
        <v>135</v>
      </c>
      <c r="U1464">
        <v>0</v>
      </c>
      <c r="V1464">
        <v>4</v>
      </c>
      <c r="W1464" t="s">
        <v>137</v>
      </c>
      <c r="X1464">
        <v>0</v>
      </c>
      <c r="Y1464" t="s">
        <v>140</v>
      </c>
      <c r="Z1464" t="s">
        <v>183</v>
      </c>
      <c r="AA1464" t="s">
        <v>143</v>
      </c>
      <c r="AB1464" t="s">
        <v>162</v>
      </c>
      <c r="AC1464" t="s">
        <v>867</v>
      </c>
      <c r="AD1464" t="s">
        <v>157</v>
      </c>
      <c r="AE1464" t="s">
        <v>127</v>
      </c>
      <c r="AF1464" t="s">
        <v>153</v>
      </c>
    </row>
    <row r="1465" spans="1:32">
      <c r="A1465" t="s">
        <v>2389</v>
      </c>
      <c r="B1465" s="37">
        <v>39959</v>
      </c>
      <c r="C1465" s="38">
        <v>39959</v>
      </c>
      <c r="D1465" s="38">
        <v>39958</v>
      </c>
      <c r="E1465" s="38">
        <v>39934</v>
      </c>
      <c r="F1465" s="39">
        <v>54</v>
      </c>
      <c r="G1465" t="s">
        <v>21</v>
      </c>
      <c r="H1465" t="s">
        <v>21</v>
      </c>
      <c r="I1465">
        <v>0</v>
      </c>
      <c r="J1465">
        <v>0</v>
      </c>
      <c r="K1465">
        <v>0</v>
      </c>
      <c r="L1465">
        <v>1</v>
      </c>
      <c r="M1465">
        <v>0</v>
      </c>
      <c r="N1465" t="s">
        <v>194</v>
      </c>
      <c r="O1465" t="s">
        <v>213</v>
      </c>
      <c r="P1465" t="s">
        <v>205</v>
      </c>
      <c r="Q1465" t="s">
        <v>170</v>
      </c>
      <c r="R1465" t="s">
        <v>155</v>
      </c>
      <c r="T1465" t="s">
        <v>134</v>
      </c>
      <c r="U1465">
        <v>1</v>
      </c>
      <c r="W1465" t="s">
        <v>134</v>
      </c>
      <c r="X1465">
        <v>1</v>
      </c>
      <c r="Y1465" t="s">
        <v>139</v>
      </c>
      <c r="Z1465" t="s">
        <v>409</v>
      </c>
      <c r="AA1465" t="s">
        <v>149</v>
      </c>
      <c r="AB1465" t="s">
        <v>162</v>
      </c>
      <c r="AC1465" t="s">
        <v>176</v>
      </c>
      <c r="AD1465" t="s">
        <v>155</v>
      </c>
      <c r="AE1465" t="s">
        <v>130</v>
      </c>
      <c r="AF1465" t="s">
        <v>21</v>
      </c>
    </row>
    <row r="1466" spans="1:32">
      <c r="A1466" t="s">
        <v>2390</v>
      </c>
      <c r="B1466" s="37">
        <v>39983</v>
      </c>
      <c r="C1466" s="38">
        <v>39983</v>
      </c>
      <c r="D1466" s="38">
        <v>39979</v>
      </c>
      <c r="E1466" s="38">
        <v>39965</v>
      </c>
      <c r="F1466" s="39">
        <v>78</v>
      </c>
      <c r="G1466" t="s">
        <v>383</v>
      </c>
      <c r="H1466" t="s">
        <v>17</v>
      </c>
      <c r="I1466">
        <v>0</v>
      </c>
      <c r="J1466">
        <v>0</v>
      </c>
      <c r="K1466">
        <v>1</v>
      </c>
      <c r="L1466">
        <v>0</v>
      </c>
      <c r="M1466">
        <v>0</v>
      </c>
      <c r="N1466" t="s">
        <v>193</v>
      </c>
      <c r="O1466" t="s">
        <v>213</v>
      </c>
      <c r="P1466" t="s">
        <v>204</v>
      </c>
      <c r="Q1466" t="s">
        <v>170</v>
      </c>
      <c r="R1466" t="s">
        <v>155</v>
      </c>
      <c r="T1466" t="s">
        <v>134</v>
      </c>
      <c r="U1466">
        <v>1</v>
      </c>
      <c r="W1466" t="s">
        <v>134</v>
      </c>
      <c r="X1466">
        <v>1</v>
      </c>
      <c r="Y1466" t="s">
        <v>140</v>
      </c>
      <c r="Z1466" t="s">
        <v>409</v>
      </c>
      <c r="AA1466" t="s">
        <v>148</v>
      </c>
      <c r="AB1466" t="s">
        <v>163</v>
      </c>
      <c r="AC1466" t="s">
        <v>173</v>
      </c>
      <c r="AD1466" t="s">
        <v>788</v>
      </c>
      <c r="AE1466" t="s">
        <v>903</v>
      </c>
      <c r="AF1466" t="s">
        <v>21</v>
      </c>
    </row>
    <row r="1467" spans="1:32">
      <c r="A1467" t="s">
        <v>2391</v>
      </c>
      <c r="B1467" s="37">
        <v>39980</v>
      </c>
      <c r="C1467" s="38">
        <v>39980</v>
      </c>
      <c r="D1467" s="38">
        <v>39979</v>
      </c>
      <c r="E1467" s="38">
        <v>39965</v>
      </c>
      <c r="F1467" s="39">
        <v>75</v>
      </c>
      <c r="G1467" t="s">
        <v>21</v>
      </c>
      <c r="H1467" t="s">
        <v>21</v>
      </c>
      <c r="I1467">
        <v>0</v>
      </c>
      <c r="J1467">
        <v>0</v>
      </c>
      <c r="K1467">
        <v>0</v>
      </c>
      <c r="L1467">
        <v>1</v>
      </c>
      <c r="M1467">
        <v>0</v>
      </c>
      <c r="N1467" t="s">
        <v>193</v>
      </c>
      <c r="O1467" t="s">
        <v>213</v>
      </c>
      <c r="P1467" t="s">
        <v>204</v>
      </c>
      <c r="Q1467" t="s">
        <v>170</v>
      </c>
      <c r="R1467" t="s">
        <v>155</v>
      </c>
      <c r="T1467" t="s">
        <v>134</v>
      </c>
      <c r="U1467">
        <v>1</v>
      </c>
      <c r="W1467" t="s">
        <v>134</v>
      </c>
      <c r="X1467">
        <v>1</v>
      </c>
      <c r="Y1467" t="s">
        <v>140</v>
      </c>
      <c r="Z1467" t="s">
        <v>409</v>
      </c>
      <c r="AA1467" t="s">
        <v>145</v>
      </c>
      <c r="AB1467" t="s">
        <v>163</v>
      </c>
      <c r="AC1467" t="s">
        <v>415</v>
      </c>
      <c r="AD1467" t="s">
        <v>155</v>
      </c>
      <c r="AE1467" t="s">
        <v>125</v>
      </c>
      <c r="AF1467" t="s">
        <v>21</v>
      </c>
    </row>
    <row r="1468" spans="1:32">
      <c r="A1468" t="s">
        <v>2392</v>
      </c>
      <c r="B1468" s="37">
        <v>39969</v>
      </c>
      <c r="C1468" s="38">
        <v>39969</v>
      </c>
      <c r="D1468" s="38">
        <v>39965</v>
      </c>
      <c r="E1468" s="38">
        <v>39965</v>
      </c>
      <c r="F1468" s="39">
        <v>64</v>
      </c>
      <c r="G1468" t="s">
        <v>383</v>
      </c>
      <c r="H1468" t="s">
        <v>17</v>
      </c>
      <c r="I1468">
        <v>0</v>
      </c>
      <c r="J1468">
        <v>0</v>
      </c>
      <c r="K1468">
        <v>1</v>
      </c>
      <c r="L1468">
        <v>0</v>
      </c>
      <c r="M1468">
        <v>0</v>
      </c>
      <c r="N1468" t="s">
        <v>193</v>
      </c>
      <c r="O1468" t="s">
        <v>213</v>
      </c>
      <c r="P1468" t="s">
        <v>204</v>
      </c>
      <c r="Q1468" t="s">
        <v>170</v>
      </c>
      <c r="R1468" t="s">
        <v>155</v>
      </c>
      <c r="T1468" t="s">
        <v>134</v>
      </c>
      <c r="U1468">
        <v>1</v>
      </c>
      <c r="W1468" t="s">
        <v>134</v>
      </c>
      <c r="X1468">
        <v>1</v>
      </c>
      <c r="Y1468" t="s">
        <v>140</v>
      </c>
      <c r="Z1468" t="s">
        <v>409</v>
      </c>
      <c r="AA1468" t="s">
        <v>150</v>
      </c>
      <c r="AB1468" t="s">
        <v>163</v>
      </c>
      <c r="AC1468" t="s">
        <v>2393</v>
      </c>
      <c r="AD1468" t="s">
        <v>155</v>
      </c>
      <c r="AE1468" t="s">
        <v>1133</v>
      </c>
      <c r="AF1468" t="s">
        <v>21</v>
      </c>
    </row>
    <row r="1469" spans="1:32">
      <c r="A1469" t="s">
        <v>2394</v>
      </c>
      <c r="B1469" s="37">
        <v>39922</v>
      </c>
      <c r="C1469" s="38">
        <v>39922</v>
      </c>
      <c r="D1469" s="38">
        <v>39916</v>
      </c>
      <c r="E1469" s="38">
        <v>39904</v>
      </c>
      <c r="F1469" s="39">
        <v>17</v>
      </c>
      <c r="G1469" t="s">
        <v>21</v>
      </c>
      <c r="H1469" t="s">
        <v>21</v>
      </c>
      <c r="I1469">
        <v>0</v>
      </c>
      <c r="J1469">
        <v>0</v>
      </c>
      <c r="K1469">
        <v>0</v>
      </c>
      <c r="L1469">
        <v>1</v>
      </c>
      <c r="M1469">
        <v>0</v>
      </c>
      <c r="N1469" t="s">
        <v>199</v>
      </c>
      <c r="O1469" t="s">
        <v>213</v>
      </c>
      <c r="P1469" t="s">
        <v>210</v>
      </c>
      <c r="Q1469" t="s">
        <v>170</v>
      </c>
      <c r="R1469" t="s">
        <v>155</v>
      </c>
      <c r="T1469" t="s">
        <v>134</v>
      </c>
      <c r="U1469">
        <v>1</v>
      </c>
      <c r="W1469" t="s">
        <v>134</v>
      </c>
      <c r="X1469">
        <v>1</v>
      </c>
      <c r="Y1469" t="s">
        <v>139</v>
      </c>
      <c r="Z1469" t="s">
        <v>178</v>
      </c>
      <c r="AA1469" t="s">
        <v>150</v>
      </c>
      <c r="AB1469" t="s">
        <v>162</v>
      </c>
      <c r="AC1469" t="s">
        <v>174</v>
      </c>
      <c r="AD1469" t="s">
        <v>156</v>
      </c>
      <c r="AE1469" t="s">
        <v>120</v>
      </c>
      <c r="AF1469" t="s">
        <v>794</v>
      </c>
    </row>
    <row r="1470" spans="1:32">
      <c r="A1470" t="s">
        <v>2395</v>
      </c>
      <c r="B1470" s="37">
        <v>39987</v>
      </c>
      <c r="C1470" s="38">
        <v>39987</v>
      </c>
      <c r="D1470" s="38">
        <v>39986</v>
      </c>
      <c r="E1470" s="38">
        <v>39965</v>
      </c>
      <c r="F1470" s="39">
        <v>82</v>
      </c>
      <c r="G1470" t="s">
        <v>21</v>
      </c>
      <c r="H1470" t="s">
        <v>21</v>
      </c>
      <c r="I1470">
        <v>0</v>
      </c>
      <c r="J1470">
        <v>0</v>
      </c>
      <c r="K1470">
        <v>0</v>
      </c>
      <c r="L1470">
        <v>1</v>
      </c>
      <c r="M1470">
        <v>0</v>
      </c>
      <c r="N1470" t="s">
        <v>196</v>
      </c>
      <c r="O1470" t="s">
        <v>213</v>
      </c>
      <c r="P1470" t="s">
        <v>207</v>
      </c>
      <c r="Q1470" t="s">
        <v>170</v>
      </c>
      <c r="R1470" t="s">
        <v>155</v>
      </c>
      <c r="T1470" t="s">
        <v>134</v>
      </c>
      <c r="U1470">
        <v>1</v>
      </c>
      <c r="W1470" t="s">
        <v>134</v>
      </c>
      <c r="X1470">
        <v>1</v>
      </c>
      <c r="Y1470" t="s">
        <v>139</v>
      </c>
      <c r="Z1470" t="s">
        <v>509</v>
      </c>
      <c r="AA1470" t="s">
        <v>144</v>
      </c>
      <c r="AB1470" t="s">
        <v>162</v>
      </c>
      <c r="AC1470" t="s">
        <v>1550</v>
      </c>
      <c r="AD1470" t="s">
        <v>155</v>
      </c>
      <c r="AE1470" t="s">
        <v>129</v>
      </c>
      <c r="AF1470" t="s">
        <v>21</v>
      </c>
    </row>
    <row r="1471" spans="1:32">
      <c r="A1471" t="s">
        <v>2396</v>
      </c>
      <c r="B1471" s="37">
        <v>39921</v>
      </c>
      <c r="C1471" s="38">
        <v>39921</v>
      </c>
      <c r="D1471" s="38">
        <v>39916</v>
      </c>
      <c r="E1471" s="38">
        <v>39904</v>
      </c>
      <c r="F1471" s="39">
        <v>16</v>
      </c>
      <c r="G1471" t="s">
        <v>21</v>
      </c>
      <c r="H1471" t="s">
        <v>21</v>
      </c>
      <c r="I1471">
        <v>0</v>
      </c>
      <c r="J1471">
        <v>0</v>
      </c>
      <c r="K1471">
        <v>0</v>
      </c>
      <c r="L1471">
        <v>1</v>
      </c>
      <c r="M1471">
        <v>0</v>
      </c>
      <c r="N1471" t="s">
        <v>201</v>
      </c>
      <c r="O1471" t="s">
        <v>214</v>
      </c>
      <c r="P1471" t="s">
        <v>204</v>
      </c>
      <c r="Q1471" t="s">
        <v>170</v>
      </c>
      <c r="R1471" t="s">
        <v>155</v>
      </c>
      <c r="T1471" t="s">
        <v>134</v>
      </c>
      <c r="U1471">
        <v>1</v>
      </c>
      <c r="W1471" t="s">
        <v>134</v>
      </c>
      <c r="X1471">
        <v>1</v>
      </c>
      <c r="Y1471" t="s">
        <v>140</v>
      </c>
      <c r="Z1471" t="s">
        <v>178</v>
      </c>
      <c r="AA1471" t="s">
        <v>150</v>
      </c>
      <c r="AB1471" t="s">
        <v>163</v>
      </c>
      <c r="AC1471" t="s">
        <v>173</v>
      </c>
      <c r="AD1471" t="s">
        <v>161</v>
      </c>
      <c r="AE1471" t="s">
        <v>939</v>
      </c>
      <c r="AF1471" t="s">
        <v>21</v>
      </c>
    </row>
    <row r="1472" spans="1:32">
      <c r="A1472" t="s">
        <v>2397</v>
      </c>
      <c r="B1472" s="37">
        <v>39976</v>
      </c>
      <c r="C1472" s="38">
        <v>39976</v>
      </c>
      <c r="D1472" s="38">
        <v>39972</v>
      </c>
      <c r="E1472" s="38">
        <v>39965</v>
      </c>
      <c r="F1472" s="39">
        <v>71</v>
      </c>
      <c r="G1472" t="s">
        <v>9</v>
      </c>
      <c r="H1472" t="s">
        <v>9</v>
      </c>
      <c r="I1472">
        <v>1</v>
      </c>
      <c r="J1472">
        <v>0</v>
      </c>
      <c r="K1472">
        <v>0</v>
      </c>
      <c r="L1472">
        <v>0</v>
      </c>
      <c r="M1472">
        <v>1</v>
      </c>
      <c r="N1472" t="s">
        <v>193</v>
      </c>
      <c r="O1472" t="s">
        <v>213</v>
      </c>
      <c r="P1472" t="s">
        <v>204</v>
      </c>
      <c r="Q1472" t="s">
        <v>170</v>
      </c>
      <c r="R1472" t="s">
        <v>155</v>
      </c>
      <c r="T1472" t="s">
        <v>134</v>
      </c>
      <c r="U1472">
        <v>1</v>
      </c>
      <c r="W1472" t="s">
        <v>134</v>
      </c>
      <c r="X1472">
        <v>1</v>
      </c>
      <c r="Y1472" t="s">
        <v>140</v>
      </c>
      <c r="Z1472" t="s">
        <v>183</v>
      </c>
      <c r="AA1472" t="s">
        <v>149</v>
      </c>
      <c r="AB1472" t="s">
        <v>163</v>
      </c>
      <c r="AC1472" t="s">
        <v>1042</v>
      </c>
      <c r="AD1472" t="s">
        <v>155</v>
      </c>
      <c r="AE1472" t="s">
        <v>124</v>
      </c>
      <c r="AF1472" t="s">
        <v>21</v>
      </c>
    </row>
    <row r="1473" spans="1:32">
      <c r="A1473" t="s">
        <v>2398</v>
      </c>
      <c r="B1473" s="37">
        <v>39956</v>
      </c>
      <c r="C1473" s="38">
        <v>39956</v>
      </c>
      <c r="D1473" s="38">
        <v>39951</v>
      </c>
      <c r="E1473" s="38">
        <v>39934</v>
      </c>
      <c r="F1473" s="39">
        <v>51</v>
      </c>
      <c r="G1473" t="s">
        <v>21</v>
      </c>
      <c r="H1473" t="s">
        <v>21</v>
      </c>
      <c r="I1473">
        <v>0</v>
      </c>
      <c r="J1473">
        <v>0</v>
      </c>
      <c r="K1473">
        <v>0</v>
      </c>
      <c r="L1473">
        <v>1</v>
      </c>
      <c r="M1473">
        <v>0</v>
      </c>
      <c r="N1473" t="s">
        <v>193</v>
      </c>
      <c r="O1473" t="s">
        <v>213</v>
      </c>
      <c r="P1473" t="s">
        <v>204</v>
      </c>
      <c r="Q1473" t="s">
        <v>170</v>
      </c>
      <c r="R1473" t="s">
        <v>155</v>
      </c>
      <c r="T1473" t="s">
        <v>134</v>
      </c>
      <c r="U1473">
        <v>1</v>
      </c>
      <c r="W1473" t="s">
        <v>134</v>
      </c>
      <c r="X1473">
        <v>1</v>
      </c>
      <c r="Y1473" t="s">
        <v>140</v>
      </c>
      <c r="Z1473" t="s">
        <v>810</v>
      </c>
      <c r="AA1473" t="s">
        <v>146</v>
      </c>
      <c r="AB1473" t="s">
        <v>162</v>
      </c>
      <c r="AC1473" t="s">
        <v>2399</v>
      </c>
      <c r="AD1473" t="s">
        <v>155</v>
      </c>
      <c r="AE1473" t="s">
        <v>129</v>
      </c>
      <c r="AF1473" t="s">
        <v>21</v>
      </c>
    </row>
    <row r="1474" spans="1:32">
      <c r="A1474" t="s">
        <v>2400</v>
      </c>
      <c r="B1474" s="37">
        <v>39979</v>
      </c>
      <c r="C1474" s="38">
        <v>39979</v>
      </c>
      <c r="D1474" s="38">
        <v>39979</v>
      </c>
      <c r="E1474" s="38">
        <v>39965</v>
      </c>
      <c r="F1474" s="39">
        <v>74</v>
      </c>
      <c r="G1474" t="s">
        <v>380</v>
      </c>
      <c r="H1474" t="s">
        <v>17</v>
      </c>
      <c r="I1474">
        <v>0</v>
      </c>
      <c r="J1474">
        <v>0</v>
      </c>
      <c r="K1474">
        <v>1</v>
      </c>
      <c r="L1474">
        <v>0</v>
      </c>
      <c r="M1474">
        <v>0</v>
      </c>
      <c r="N1474" t="s">
        <v>194</v>
      </c>
      <c r="O1474" t="s">
        <v>213</v>
      </c>
      <c r="P1474" t="s">
        <v>205</v>
      </c>
      <c r="Q1474" t="s">
        <v>170</v>
      </c>
      <c r="R1474" t="s">
        <v>155</v>
      </c>
      <c r="T1474" t="s">
        <v>134</v>
      </c>
      <c r="U1474">
        <v>1</v>
      </c>
      <c r="W1474" t="s">
        <v>134</v>
      </c>
      <c r="X1474">
        <v>1</v>
      </c>
      <c r="Y1474" t="s">
        <v>139</v>
      </c>
      <c r="Z1474" t="s">
        <v>190</v>
      </c>
      <c r="AA1474" t="s">
        <v>144</v>
      </c>
      <c r="AB1474" t="s">
        <v>163</v>
      </c>
      <c r="AC1474" t="s">
        <v>1042</v>
      </c>
      <c r="AD1474" t="s">
        <v>155</v>
      </c>
      <c r="AE1474" t="s">
        <v>406</v>
      </c>
      <c r="AF1474" t="s">
        <v>21</v>
      </c>
    </row>
    <row r="1475" spans="1:32">
      <c r="A1475" t="s">
        <v>2401</v>
      </c>
      <c r="B1475" s="37">
        <v>39966</v>
      </c>
      <c r="C1475" s="38">
        <v>39966</v>
      </c>
      <c r="D1475" s="38">
        <v>39965</v>
      </c>
      <c r="E1475" s="38">
        <v>39965</v>
      </c>
      <c r="F1475" s="39">
        <v>61</v>
      </c>
      <c r="G1475" t="s">
        <v>21</v>
      </c>
      <c r="H1475" t="s">
        <v>21</v>
      </c>
      <c r="I1475">
        <v>0</v>
      </c>
      <c r="J1475">
        <v>0</v>
      </c>
      <c r="K1475">
        <v>0</v>
      </c>
      <c r="L1475">
        <v>1</v>
      </c>
      <c r="M1475">
        <v>0</v>
      </c>
      <c r="N1475" t="s">
        <v>194</v>
      </c>
      <c r="O1475" t="s">
        <v>213</v>
      </c>
      <c r="P1475" t="s">
        <v>205</v>
      </c>
      <c r="Q1475" t="s">
        <v>170</v>
      </c>
      <c r="R1475" t="s">
        <v>155</v>
      </c>
      <c r="T1475" t="s">
        <v>134</v>
      </c>
      <c r="U1475">
        <v>1</v>
      </c>
      <c r="W1475" t="s">
        <v>134</v>
      </c>
      <c r="X1475">
        <v>1</v>
      </c>
      <c r="Y1475" t="s">
        <v>139</v>
      </c>
      <c r="Z1475" t="s">
        <v>603</v>
      </c>
      <c r="AA1475" t="s">
        <v>142</v>
      </c>
      <c r="AB1475" t="s">
        <v>165</v>
      </c>
      <c r="AC1475" t="s">
        <v>2402</v>
      </c>
      <c r="AD1475" t="s">
        <v>158</v>
      </c>
      <c r="AE1475" t="s">
        <v>122</v>
      </c>
      <c r="AF1475" t="s">
        <v>21</v>
      </c>
    </row>
    <row r="1476" spans="1:32">
      <c r="A1476" t="s">
        <v>2403</v>
      </c>
      <c r="B1476" s="37">
        <v>39917</v>
      </c>
      <c r="C1476" s="38">
        <v>39917</v>
      </c>
      <c r="D1476" s="38">
        <v>39916</v>
      </c>
      <c r="E1476" s="38">
        <v>39904</v>
      </c>
      <c r="F1476" s="39">
        <v>12</v>
      </c>
      <c r="G1476" t="s">
        <v>21</v>
      </c>
      <c r="H1476" t="s">
        <v>21</v>
      </c>
      <c r="I1476">
        <v>0</v>
      </c>
      <c r="J1476">
        <v>0</v>
      </c>
      <c r="K1476">
        <v>0</v>
      </c>
      <c r="L1476">
        <v>1</v>
      </c>
      <c r="M1476">
        <v>0</v>
      </c>
      <c r="N1476" t="s">
        <v>199</v>
      </c>
      <c r="O1476" t="s">
        <v>213</v>
      </c>
      <c r="P1476" t="s">
        <v>210</v>
      </c>
      <c r="Q1476" t="s">
        <v>170</v>
      </c>
      <c r="R1476" t="s">
        <v>155</v>
      </c>
      <c r="T1476" t="s">
        <v>134</v>
      </c>
      <c r="U1476">
        <v>1</v>
      </c>
      <c r="W1476" t="s">
        <v>134</v>
      </c>
      <c r="X1476">
        <v>1</v>
      </c>
      <c r="Y1476" t="s">
        <v>139</v>
      </c>
      <c r="Z1476" t="s">
        <v>190</v>
      </c>
      <c r="AA1476" t="s">
        <v>148</v>
      </c>
      <c r="AB1476" t="s">
        <v>162</v>
      </c>
      <c r="AC1476" t="s">
        <v>174</v>
      </c>
      <c r="AD1476" t="s">
        <v>156</v>
      </c>
      <c r="AE1476" t="s">
        <v>120</v>
      </c>
      <c r="AF1476" t="s">
        <v>794</v>
      </c>
    </row>
    <row r="1477" spans="1:32">
      <c r="A1477" t="s">
        <v>2404</v>
      </c>
      <c r="B1477" s="37">
        <v>40057</v>
      </c>
      <c r="C1477" s="38">
        <v>40057</v>
      </c>
      <c r="D1477" s="38">
        <v>40056</v>
      </c>
      <c r="E1477" s="38">
        <v>40057</v>
      </c>
      <c r="F1477" s="39">
        <v>152</v>
      </c>
      <c r="G1477" t="s">
        <v>21</v>
      </c>
      <c r="H1477" t="s">
        <v>21</v>
      </c>
      <c r="I1477">
        <v>0</v>
      </c>
      <c r="J1477">
        <v>0</v>
      </c>
      <c r="K1477">
        <v>0</v>
      </c>
      <c r="L1477">
        <v>1</v>
      </c>
      <c r="M1477">
        <v>0</v>
      </c>
      <c r="N1477" t="s">
        <v>197</v>
      </c>
      <c r="O1477" t="s">
        <v>213</v>
      </c>
      <c r="P1477" t="s">
        <v>209</v>
      </c>
      <c r="Q1477" t="s">
        <v>170</v>
      </c>
      <c r="R1477" t="s">
        <v>155</v>
      </c>
      <c r="S1477">
        <v>1</v>
      </c>
      <c r="T1477" t="s">
        <v>136</v>
      </c>
      <c r="U1477">
        <v>0</v>
      </c>
      <c r="V1477">
        <v>5</v>
      </c>
      <c r="W1477" t="s">
        <v>135</v>
      </c>
      <c r="X1477">
        <v>0</v>
      </c>
      <c r="Y1477" t="s">
        <v>139</v>
      </c>
      <c r="Z1477" t="s">
        <v>603</v>
      </c>
      <c r="AA1477" t="s">
        <v>146</v>
      </c>
      <c r="AB1477" t="s">
        <v>163</v>
      </c>
      <c r="AC1477" t="s">
        <v>173</v>
      </c>
      <c r="AD1477" t="s">
        <v>155</v>
      </c>
      <c r="AE1477" t="s">
        <v>406</v>
      </c>
      <c r="AF1477" t="s">
        <v>21</v>
      </c>
    </row>
    <row r="1478" spans="1:32">
      <c r="A1478" t="s">
        <v>2405</v>
      </c>
      <c r="B1478" s="37">
        <v>40085</v>
      </c>
      <c r="C1478" s="38">
        <v>40085</v>
      </c>
      <c r="D1478" s="38">
        <v>40084</v>
      </c>
      <c r="E1478" s="38">
        <v>40057</v>
      </c>
      <c r="F1478" s="39">
        <v>180</v>
      </c>
      <c r="G1478" t="s">
        <v>383</v>
      </c>
      <c r="H1478" t="s">
        <v>17</v>
      </c>
      <c r="I1478">
        <v>0</v>
      </c>
      <c r="J1478">
        <v>0</v>
      </c>
      <c r="K1478">
        <v>1</v>
      </c>
      <c r="L1478">
        <v>0</v>
      </c>
      <c r="M1478">
        <v>0</v>
      </c>
      <c r="N1478" t="s">
        <v>196</v>
      </c>
      <c r="O1478" t="s">
        <v>213</v>
      </c>
      <c r="P1478" t="s">
        <v>207</v>
      </c>
      <c r="Q1478" t="s">
        <v>170</v>
      </c>
      <c r="R1478" t="s">
        <v>155</v>
      </c>
      <c r="S1478">
        <v>2</v>
      </c>
      <c r="T1478" t="s">
        <v>136</v>
      </c>
      <c r="U1478">
        <v>0</v>
      </c>
      <c r="V1478">
        <v>4</v>
      </c>
      <c r="W1478" t="s">
        <v>137</v>
      </c>
      <c r="X1478">
        <v>0</v>
      </c>
      <c r="Y1478" t="s">
        <v>139</v>
      </c>
      <c r="Z1478" t="s">
        <v>180</v>
      </c>
      <c r="AA1478" t="s">
        <v>144</v>
      </c>
      <c r="AB1478" t="s">
        <v>162</v>
      </c>
      <c r="AC1478" t="s">
        <v>578</v>
      </c>
      <c r="AD1478" t="s">
        <v>2264</v>
      </c>
      <c r="AE1478" t="s">
        <v>2265</v>
      </c>
      <c r="AF1478" t="s">
        <v>153</v>
      </c>
    </row>
    <row r="1479" spans="1:32">
      <c r="A1479" t="s">
        <v>2406</v>
      </c>
      <c r="B1479" s="37">
        <v>39971</v>
      </c>
      <c r="C1479" s="38">
        <v>39971</v>
      </c>
      <c r="D1479" s="38">
        <v>39965</v>
      </c>
      <c r="E1479" s="38">
        <v>39965</v>
      </c>
      <c r="F1479" s="39">
        <v>66</v>
      </c>
      <c r="G1479" t="s">
        <v>21</v>
      </c>
      <c r="H1479" t="s">
        <v>21</v>
      </c>
      <c r="I1479">
        <v>0</v>
      </c>
      <c r="J1479">
        <v>0</v>
      </c>
      <c r="K1479">
        <v>0</v>
      </c>
      <c r="L1479">
        <v>1</v>
      </c>
      <c r="M1479">
        <v>0</v>
      </c>
      <c r="N1479" t="s">
        <v>195</v>
      </c>
      <c r="O1479" t="s">
        <v>213</v>
      </c>
      <c r="P1479" t="s">
        <v>206</v>
      </c>
      <c r="Q1479" t="s">
        <v>170</v>
      </c>
      <c r="R1479" t="s">
        <v>155</v>
      </c>
      <c r="T1479" t="s">
        <v>134</v>
      </c>
      <c r="U1479">
        <v>1</v>
      </c>
      <c r="W1479" t="s">
        <v>134</v>
      </c>
      <c r="X1479">
        <v>1</v>
      </c>
      <c r="Y1479" t="s">
        <v>139</v>
      </c>
      <c r="Z1479" t="s">
        <v>188</v>
      </c>
      <c r="AA1479" t="s">
        <v>146</v>
      </c>
      <c r="AB1479" t="s">
        <v>163</v>
      </c>
      <c r="AC1479" t="s">
        <v>173</v>
      </c>
      <c r="AD1479" t="s">
        <v>155</v>
      </c>
      <c r="AE1479" t="s">
        <v>406</v>
      </c>
      <c r="AF1479" t="s">
        <v>21</v>
      </c>
    </row>
    <row r="1480" spans="1:32">
      <c r="A1480" t="s">
        <v>2407</v>
      </c>
      <c r="B1480" s="37">
        <v>40012</v>
      </c>
      <c r="C1480" s="38">
        <v>40012</v>
      </c>
      <c r="D1480" s="38">
        <v>40007</v>
      </c>
      <c r="E1480" s="38">
        <v>39995</v>
      </c>
      <c r="F1480" s="39">
        <v>107</v>
      </c>
      <c r="G1480" t="s">
        <v>380</v>
      </c>
      <c r="H1480" t="s">
        <v>17</v>
      </c>
      <c r="I1480">
        <v>0</v>
      </c>
      <c r="J1480">
        <v>0</v>
      </c>
      <c r="K1480">
        <v>1</v>
      </c>
      <c r="L1480">
        <v>0</v>
      </c>
      <c r="M1480">
        <v>0</v>
      </c>
      <c r="N1480" t="s">
        <v>196</v>
      </c>
      <c r="O1480" t="s">
        <v>213</v>
      </c>
      <c r="P1480" t="s">
        <v>207</v>
      </c>
      <c r="Q1480" t="s">
        <v>170</v>
      </c>
      <c r="R1480" t="s">
        <v>155</v>
      </c>
      <c r="S1480">
        <v>3</v>
      </c>
      <c r="T1480" t="s">
        <v>137</v>
      </c>
      <c r="U1480">
        <v>0</v>
      </c>
      <c r="V1480">
        <v>2</v>
      </c>
      <c r="W1480" t="s">
        <v>136</v>
      </c>
      <c r="X1480">
        <v>0</v>
      </c>
      <c r="Y1480" t="s">
        <v>139</v>
      </c>
      <c r="Z1480" t="s">
        <v>181</v>
      </c>
      <c r="AA1480" t="s">
        <v>144</v>
      </c>
      <c r="AB1480" t="s">
        <v>162</v>
      </c>
      <c r="AC1480" t="s">
        <v>174</v>
      </c>
      <c r="AD1480" t="s">
        <v>157</v>
      </c>
      <c r="AE1480" t="s">
        <v>127</v>
      </c>
      <c r="AF1480" t="s">
        <v>1005</v>
      </c>
    </row>
    <row r="1481" spans="1:32">
      <c r="A1481" t="s">
        <v>2408</v>
      </c>
      <c r="B1481" s="37">
        <v>39964</v>
      </c>
      <c r="C1481" s="38">
        <v>39964</v>
      </c>
      <c r="D1481" s="38">
        <v>39958</v>
      </c>
      <c r="E1481" s="38">
        <v>39934</v>
      </c>
      <c r="F1481" s="39">
        <v>59</v>
      </c>
      <c r="G1481" t="s">
        <v>21</v>
      </c>
      <c r="H1481" t="s">
        <v>21</v>
      </c>
      <c r="I1481">
        <v>0</v>
      </c>
      <c r="J1481">
        <v>0</v>
      </c>
      <c r="K1481">
        <v>0</v>
      </c>
      <c r="L1481">
        <v>1</v>
      </c>
      <c r="M1481">
        <v>0</v>
      </c>
      <c r="N1481" t="s">
        <v>193</v>
      </c>
      <c r="O1481" t="s">
        <v>213</v>
      </c>
      <c r="P1481" t="s">
        <v>204</v>
      </c>
      <c r="Q1481" t="s">
        <v>170</v>
      </c>
      <c r="R1481" t="s">
        <v>155</v>
      </c>
      <c r="T1481" t="s">
        <v>134</v>
      </c>
      <c r="U1481">
        <v>1</v>
      </c>
      <c r="W1481" t="s">
        <v>134</v>
      </c>
      <c r="X1481">
        <v>1</v>
      </c>
      <c r="Y1481" t="s">
        <v>140</v>
      </c>
      <c r="Z1481" t="s">
        <v>179</v>
      </c>
      <c r="AA1481" t="s">
        <v>142</v>
      </c>
      <c r="AB1481" t="s">
        <v>162</v>
      </c>
      <c r="AC1481" t="s">
        <v>176</v>
      </c>
      <c r="AD1481" t="s">
        <v>155</v>
      </c>
      <c r="AE1481" t="s">
        <v>130</v>
      </c>
      <c r="AF1481" t="s">
        <v>21</v>
      </c>
    </row>
    <row r="1482" spans="1:32">
      <c r="A1482" t="s">
        <v>2409</v>
      </c>
      <c r="B1482" s="37">
        <v>40001</v>
      </c>
      <c r="C1482" s="38">
        <v>40001</v>
      </c>
      <c r="D1482" s="38">
        <v>40000</v>
      </c>
      <c r="E1482" s="38">
        <v>39995</v>
      </c>
      <c r="F1482" s="39">
        <v>96</v>
      </c>
      <c r="G1482" t="s">
        <v>380</v>
      </c>
      <c r="H1482" t="s">
        <v>17</v>
      </c>
      <c r="I1482">
        <v>0</v>
      </c>
      <c r="J1482">
        <v>0</v>
      </c>
      <c r="K1482">
        <v>1</v>
      </c>
      <c r="L1482">
        <v>0</v>
      </c>
      <c r="M1482">
        <v>0</v>
      </c>
      <c r="N1482" t="s">
        <v>196</v>
      </c>
      <c r="O1482" t="s">
        <v>213</v>
      </c>
      <c r="P1482" t="s">
        <v>207</v>
      </c>
      <c r="Q1482" t="s">
        <v>170</v>
      </c>
      <c r="R1482" t="s">
        <v>155</v>
      </c>
      <c r="T1482" t="s">
        <v>134</v>
      </c>
      <c r="U1482">
        <v>1</v>
      </c>
      <c r="V1482">
        <v>3</v>
      </c>
      <c r="W1482" t="s">
        <v>137</v>
      </c>
      <c r="X1482">
        <v>0</v>
      </c>
      <c r="Y1482" t="s">
        <v>139</v>
      </c>
      <c r="Z1482" t="s">
        <v>180</v>
      </c>
      <c r="AA1482" t="s">
        <v>144</v>
      </c>
      <c r="AB1482" t="s">
        <v>162</v>
      </c>
      <c r="AC1482" t="s">
        <v>506</v>
      </c>
      <c r="AD1482" t="s">
        <v>156</v>
      </c>
      <c r="AE1482" t="s">
        <v>120</v>
      </c>
      <c r="AF1482" t="s">
        <v>2410</v>
      </c>
    </row>
    <row r="1483" spans="1:32">
      <c r="A1483" t="s">
        <v>2411</v>
      </c>
      <c r="B1483" s="37">
        <v>39950</v>
      </c>
      <c r="C1483" s="38">
        <v>39950</v>
      </c>
      <c r="D1483" s="38">
        <v>39944</v>
      </c>
      <c r="E1483" s="38">
        <v>39934</v>
      </c>
      <c r="F1483" s="39">
        <v>45</v>
      </c>
      <c r="G1483" t="s">
        <v>21</v>
      </c>
      <c r="H1483" t="s">
        <v>21</v>
      </c>
      <c r="I1483">
        <v>0</v>
      </c>
      <c r="J1483">
        <v>0</v>
      </c>
      <c r="K1483">
        <v>0</v>
      </c>
      <c r="L1483">
        <v>1</v>
      </c>
      <c r="M1483">
        <v>0</v>
      </c>
      <c r="N1483" t="s">
        <v>193</v>
      </c>
      <c r="O1483" t="s">
        <v>213</v>
      </c>
      <c r="P1483" t="s">
        <v>204</v>
      </c>
      <c r="Q1483" t="s">
        <v>170</v>
      </c>
      <c r="R1483" t="s">
        <v>155</v>
      </c>
      <c r="T1483" t="s">
        <v>134</v>
      </c>
      <c r="U1483">
        <v>1</v>
      </c>
      <c r="W1483" t="s">
        <v>134</v>
      </c>
      <c r="X1483">
        <v>1</v>
      </c>
      <c r="Y1483" t="s">
        <v>140</v>
      </c>
      <c r="Z1483" t="s">
        <v>182</v>
      </c>
      <c r="AA1483" t="s">
        <v>147</v>
      </c>
      <c r="AB1483" t="s">
        <v>162</v>
      </c>
      <c r="AC1483" t="s">
        <v>174</v>
      </c>
      <c r="AD1483" t="s">
        <v>157</v>
      </c>
      <c r="AE1483" t="s">
        <v>406</v>
      </c>
      <c r="AF1483" t="s">
        <v>891</v>
      </c>
    </row>
    <row r="1484" spans="1:32">
      <c r="A1484" t="s">
        <v>2412</v>
      </c>
      <c r="B1484" s="37">
        <v>39955</v>
      </c>
      <c r="C1484" s="38">
        <v>39955</v>
      </c>
      <c r="D1484" s="38">
        <v>39951</v>
      </c>
      <c r="E1484" s="38">
        <v>39934</v>
      </c>
      <c r="F1484" s="39">
        <v>50</v>
      </c>
      <c r="G1484" t="s">
        <v>21</v>
      </c>
      <c r="H1484" t="s">
        <v>21</v>
      </c>
      <c r="I1484">
        <v>0</v>
      </c>
      <c r="J1484">
        <v>0</v>
      </c>
      <c r="K1484">
        <v>0</v>
      </c>
      <c r="L1484">
        <v>1</v>
      </c>
      <c r="M1484">
        <v>0</v>
      </c>
      <c r="N1484" t="s">
        <v>195</v>
      </c>
      <c r="O1484" t="s">
        <v>213</v>
      </c>
      <c r="P1484" t="s">
        <v>206</v>
      </c>
      <c r="Q1484" t="s">
        <v>170</v>
      </c>
      <c r="R1484" t="s">
        <v>155</v>
      </c>
      <c r="T1484" t="s">
        <v>134</v>
      </c>
      <c r="U1484">
        <v>1</v>
      </c>
      <c r="W1484" t="s">
        <v>134</v>
      </c>
      <c r="X1484">
        <v>1</v>
      </c>
      <c r="Y1484" t="s">
        <v>139</v>
      </c>
      <c r="Z1484" t="s">
        <v>810</v>
      </c>
      <c r="AA1484" t="s">
        <v>142</v>
      </c>
      <c r="AB1484" t="s">
        <v>162</v>
      </c>
      <c r="AC1484" t="s">
        <v>176</v>
      </c>
      <c r="AD1484" t="s">
        <v>159</v>
      </c>
      <c r="AE1484" t="s">
        <v>126</v>
      </c>
      <c r="AF1484" t="s">
        <v>601</v>
      </c>
    </row>
    <row r="1485" spans="1:32">
      <c r="A1485" t="s">
        <v>2413</v>
      </c>
      <c r="B1485" s="37">
        <v>39910</v>
      </c>
      <c r="C1485" s="38">
        <v>39910</v>
      </c>
      <c r="D1485" s="38">
        <v>39909</v>
      </c>
      <c r="E1485" s="38">
        <v>39904</v>
      </c>
      <c r="F1485" s="39">
        <v>5</v>
      </c>
      <c r="G1485" t="s">
        <v>21</v>
      </c>
      <c r="H1485" t="s">
        <v>21</v>
      </c>
      <c r="I1485">
        <v>0</v>
      </c>
      <c r="J1485">
        <v>0</v>
      </c>
      <c r="K1485">
        <v>0</v>
      </c>
      <c r="L1485">
        <v>1</v>
      </c>
      <c r="M1485">
        <v>0</v>
      </c>
      <c r="N1485" t="s">
        <v>199</v>
      </c>
      <c r="O1485" t="s">
        <v>213</v>
      </c>
      <c r="P1485" t="s">
        <v>210</v>
      </c>
      <c r="Q1485" t="s">
        <v>170</v>
      </c>
      <c r="R1485" t="s">
        <v>155</v>
      </c>
      <c r="T1485" t="s">
        <v>134</v>
      </c>
      <c r="U1485">
        <v>1</v>
      </c>
      <c r="W1485" t="s">
        <v>134</v>
      </c>
      <c r="X1485">
        <v>1</v>
      </c>
      <c r="Y1485" t="s">
        <v>139</v>
      </c>
      <c r="Z1485" t="s">
        <v>186</v>
      </c>
      <c r="AA1485" t="s">
        <v>142</v>
      </c>
      <c r="AB1485" t="s">
        <v>162</v>
      </c>
      <c r="AC1485" t="s">
        <v>2371</v>
      </c>
      <c r="AD1485" t="s">
        <v>155</v>
      </c>
      <c r="AE1485" t="s">
        <v>130</v>
      </c>
      <c r="AF1485" t="s">
        <v>21</v>
      </c>
    </row>
    <row r="1486" spans="1:32">
      <c r="A1486" t="s">
        <v>2414</v>
      </c>
      <c r="B1486" s="37">
        <v>40079</v>
      </c>
      <c r="C1486" s="38">
        <v>40079</v>
      </c>
      <c r="D1486" s="38">
        <v>40077</v>
      </c>
      <c r="E1486" s="38">
        <v>40057</v>
      </c>
      <c r="F1486" s="39">
        <v>174</v>
      </c>
      <c r="G1486" t="s">
        <v>21</v>
      </c>
      <c r="H1486" t="s">
        <v>21</v>
      </c>
      <c r="I1486">
        <v>0</v>
      </c>
      <c r="J1486">
        <v>0</v>
      </c>
      <c r="K1486">
        <v>0</v>
      </c>
      <c r="L1486">
        <v>1</v>
      </c>
      <c r="M1486">
        <v>0</v>
      </c>
      <c r="N1486" t="s">
        <v>196</v>
      </c>
      <c r="O1486" t="s">
        <v>213</v>
      </c>
      <c r="P1486" t="s">
        <v>207</v>
      </c>
      <c r="Q1486" t="s">
        <v>170</v>
      </c>
      <c r="R1486" t="s">
        <v>155</v>
      </c>
      <c r="S1486">
        <v>1</v>
      </c>
      <c r="T1486" t="s">
        <v>136</v>
      </c>
      <c r="U1486">
        <v>0</v>
      </c>
      <c r="V1486">
        <v>3</v>
      </c>
      <c r="W1486" t="s">
        <v>137</v>
      </c>
      <c r="X1486">
        <v>0</v>
      </c>
      <c r="Y1486" t="s">
        <v>139</v>
      </c>
      <c r="Z1486" t="s">
        <v>179</v>
      </c>
      <c r="AA1486" t="s">
        <v>145</v>
      </c>
      <c r="AB1486" t="s">
        <v>162</v>
      </c>
      <c r="AC1486" t="s">
        <v>174</v>
      </c>
      <c r="AD1486" t="s">
        <v>159</v>
      </c>
      <c r="AE1486" t="s">
        <v>123</v>
      </c>
      <c r="AF1486" t="s">
        <v>123</v>
      </c>
    </row>
    <row r="1487" spans="1:32">
      <c r="A1487" t="s">
        <v>2415</v>
      </c>
      <c r="B1487" s="37">
        <v>39911</v>
      </c>
      <c r="C1487" s="38">
        <v>39911</v>
      </c>
      <c r="D1487" s="38">
        <v>39909</v>
      </c>
      <c r="E1487" s="38">
        <v>39904</v>
      </c>
      <c r="F1487" s="39">
        <v>6</v>
      </c>
      <c r="G1487" t="s">
        <v>9</v>
      </c>
      <c r="H1487" t="s">
        <v>9</v>
      </c>
      <c r="I1487">
        <v>1</v>
      </c>
      <c r="J1487">
        <v>0</v>
      </c>
      <c r="K1487">
        <v>0</v>
      </c>
      <c r="L1487">
        <v>0</v>
      </c>
      <c r="M1487">
        <v>1</v>
      </c>
      <c r="N1487" t="s">
        <v>201</v>
      </c>
      <c r="O1487" t="s">
        <v>214</v>
      </c>
      <c r="P1487" t="s">
        <v>204</v>
      </c>
      <c r="Q1487" t="s">
        <v>170</v>
      </c>
      <c r="R1487" t="s">
        <v>155</v>
      </c>
      <c r="T1487" t="s">
        <v>134</v>
      </c>
      <c r="U1487">
        <v>1</v>
      </c>
      <c r="W1487" t="s">
        <v>134</v>
      </c>
      <c r="X1487">
        <v>1</v>
      </c>
      <c r="Y1487" t="s">
        <v>140</v>
      </c>
      <c r="Z1487" t="s">
        <v>183</v>
      </c>
      <c r="AA1487" t="s">
        <v>142</v>
      </c>
      <c r="AB1487" t="s">
        <v>162</v>
      </c>
      <c r="AC1487" t="s">
        <v>175</v>
      </c>
      <c r="AD1487" t="s">
        <v>155</v>
      </c>
      <c r="AE1487" t="s">
        <v>439</v>
      </c>
      <c r="AF1487" t="s">
        <v>21</v>
      </c>
    </row>
    <row r="1488" spans="1:32">
      <c r="A1488" t="s">
        <v>2416</v>
      </c>
      <c r="B1488" s="37">
        <v>40034</v>
      </c>
      <c r="C1488" s="38">
        <v>40034</v>
      </c>
      <c r="D1488" s="38">
        <v>40028</v>
      </c>
      <c r="E1488" s="38">
        <v>40026</v>
      </c>
      <c r="F1488" s="39">
        <v>129</v>
      </c>
      <c r="G1488" t="s">
        <v>21</v>
      </c>
      <c r="H1488" t="s">
        <v>21</v>
      </c>
      <c r="I1488">
        <v>0</v>
      </c>
      <c r="J1488">
        <v>0</v>
      </c>
      <c r="K1488">
        <v>0</v>
      </c>
      <c r="L1488">
        <v>1</v>
      </c>
      <c r="M1488">
        <v>0</v>
      </c>
      <c r="N1488" t="s">
        <v>195</v>
      </c>
      <c r="O1488" t="s">
        <v>213</v>
      </c>
      <c r="P1488" t="s">
        <v>206</v>
      </c>
      <c r="Q1488" t="s">
        <v>170</v>
      </c>
      <c r="R1488" t="s">
        <v>155</v>
      </c>
      <c r="S1488">
        <v>3</v>
      </c>
      <c r="T1488" t="s">
        <v>137</v>
      </c>
      <c r="U1488">
        <v>0</v>
      </c>
      <c r="V1488">
        <v>4</v>
      </c>
      <c r="W1488" t="s">
        <v>137</v>
      </c>
      <c r="X1488">
        <v>0</v>
      </c>
      <c r="Y1488" t="s">
        <v>139</v>
      </c>
      <c r="Z1488" t="s">
        <v>186</v>
      </c>
      <c r="AA1488" t="s">
        <v>142</v>
      </c>
      <c r="AB1488" t="s">
        <v>163</v>
      </c>
      <c r="AC1488" t="s">
        <v>2234</v>
      </c>
      <c r="AD1488" t="s">
        <v>155</v>
      </c>
      <c r="AE1488" t="s">
        <v>692</v>
      </c>
      <c r="AF1488" t="s">
        <v>21</v>
      </c>
    </row>
    <row r="1489" spans="1:32">
      <c r="A1489" t="s">
        <v>2417</v>
      </c>
      <c r="B1489" s="37">
        <v>39924</v>
      </c>
      <c r="C1489" s="38">
        <v>39924</v>
      </c>
      <c r="D1489" s="38">
        <v>39923</v>
      </c>
      <c r="E1489" s="38">
        <v>39904</v>
      </c>
      <c r="F1489" s="39">
        <v>19</v>
      </c>
      <c r="G1489" t="s">
        <v>525</v>
      </c>
      <c r="H1489" t="s">
        <v>17</v>
      </c>
      <c r="I1489">
        <v>0</v>
      </c>
      <c r="J1489">
        <v>0</v>
      </c>
      <c r="K1489">
        <v>1</v>
      </c>
      <c r="L1489">
        <v>0</v>
      </c>
      <c r="M1489">
        <v>0</v>
      </c>
      <c r="N1489" t="s">
        <v>194</v>
      </c>
      <c r="O1489" t="s">
        <v>213</v>
      </c>
      <c r="P1489" t="s">
        <v>205</v>
      </c>
      <c r="Q1489" t="s">
        <v>170</v>
      </c>
      <c r="R1489" t="s">
        <v>155</v>
      </c>
      <c r="T1489" t="s">
        <v>134</v>
      </c>
      <c r="U1489">
        <v>1</v>
      </c>
      <c r="W1489" t="s">
        <v>134</v>
      </c>
      <c r="X1489">
        <v>1</v>
      </c>
      <c r="Y1489" t="s">
        <v>139</v>
      </c>
      <c r="Z1489" t="s">
        <v>179</v>
      </c>
      <c r="AA1489" t="s">
        <v>143</v>
      </c>
      <c r="AB1489" t="s">
        <v>162</v>
      </c>
      <c r="AC1489" t="s">
        <v>174</v>
      </c>
      <c r="AD1489" t="s">
        <v>156</v>
      </c>
      <c r="AE1489" t="s">
        <v>120</v>
      </c>
      <c r="AF1489" t="s">
        <v>715</v>
      </c>
    </row>
    <row r="1490" spans="1:32">
      <c r="A1490" t="s">
        <v>2418</v>
      </c>
      <c r="B1490" s="37">
        <v>39915</v>
      </c>
      <c r="C1490" s="38">
        <v>39915</v>
      </c>
      <c r="D1490" s="38">
        <v>39909</v>
      </c>
      <c r="E1490" s="38">
        <v>39904</v>
      </c>
      <c r="F1490" s="39">
        <v>10</v>
      </c>
      <c r="G1490" t="s">
        <v>21</v>
      </c>
      <c r="H1490" t="s">
        <v>21</v>
      </c>
      <c r="I1490">
        <v>0</v>
      </c>
      <c r="J1490">
        <v>0</v>
      </c>
      <c r="K1490">
        <v>0</v>
      </c>
      <c r="L1490">
        <v>1</v>
      </c>
      <c r="M1490">
        <v>0</v>
      </c>
      <c r="N1490" t="s">
        <v>202</v>
      </c>
      <c r="O1490" t="s">
        <v>213</v>
      </c>
      <c r="P1490" t="s">
        <v>211</v>
      </c>
      <c r="Q1490" t="s">
        <v>170</v>
      </c>
      <c r="R1490" t="s">
        <v>155</v>
      </c>
      <c r="T1490" t="s">
        <v>134</v>
      </c>
      <c r="U1490">
        <v>1</v>
      </c>
      <c r="W1490" t="s">
        <v>134</v>
      </c>
      <c r="X1490">
        <v>1</v>
      </c>
      <c r="Y1490" t="s">
        <v>139</v>
      </c>
      <c r="Z1490" t="s">
        <v>179</v>
      </c>
      <c r="AA1490" t="s">
        <v>143</v>
      </c>
      <c r="AB1490" t="s">
        <v>162</v>
      </c>
      <c r="AC1490" t="s">
        <v>550</v>
      </c>
      <c r="AD1490" t="s">
        <v>157</v>
      </c>
      <c r="AE1490" t="s">
        <v>434</v>
      </c>
      <c r="AF1490" t="s">
        <v>449</v>
      </c>
    </row>
    <row r="1491" spans="1:32">
      <c r="A1491" t="s">
        <v>2419</v>
      </c>
      <c r="B1491" s="37">
        <v>40021</v>
      </c>
      <c r="C1491" s="38">
        <v>40021</v>
      </c>
      <c r="D1491" s="38">
        <v>40021</v>
      </c>
      <c r="E1491" s="38">
        <v>39995</v>
      </c>
      <c r="F1491" s="39">
        <v>116</v>
      </c>
      <c r="G1491" t="s">
        <v>21</v>
      </c>
      <c r="H1491" t="s">
        <v>21</v>
      </c>
      <c r="I1491">
        <v>0</v>
      </c>
      <c r="J1491">
        <v>0</v>
      </c>
      <c r="K1491">
        <v>0</v>
      </c>
      <c r="L1491">
        <v>1</v>
      </c>
      <c r="M1491">
        <v>0</v>
      </c>
      <c r="N1491" t="s">
        <v>193</v>
      </c>
      <c r="O1491" t="s">
        <v>213</v>
      </c>
      <c r="P1491" t="s">
        <v>204</v>
      </c>
      <c r="Q1491" t="s">
        <v>170</v>
      </c>
      <c r="R1491" t="s">
        <v>155</v>
      </c>
      <c r="S1491">
        <v>5</v>
      </c>
      <c r="T1491" t="s">
        <v>135</v>
      </c>
      <c r="U1491">
        <v>0</v>
      </c>
      <c r="V1491">
        <v>4</v>
      </c>
      <c r="W1491" t="s">
        <v>137</v>
      </c>
      <c r="X1491">
        <v>0</v>
      </c>
      <c r="Y1491" t="s">
        <v>140</v>
      </c>
      <c r="Z1491" t="s">
        <v>509</v>
      </c>
      <c r="AA1491" t="s">
        <v>149</v>
      </c>
      <c r="AB1491" t="s">
        <v>162</v>
      </c>
      <c r="AC1491" t="s">
        <v>175</v>
      </c>
      <c r="AD1491" t="s">
        <v>155</v>
      </c>
      <c r="AE1491" t="s">
        <v>130</v>
      </c>
      <c r="AF1491" t="s">
        <v>21</v>
      </c>
    </row>
    <row r="1492" spans="1:32">
      <c r="A1492" t="s">
        <v>2420</v>
      </c>
      <c r="B1492" s="37">
        <v>39930</v>
      </c>
      <c r="C1492" s="38">
        <v>39930</v>
      </c>
      <c r="D1492" s="38">
        <v>39930</v>
      </c>
      <c r="E1492" s="38">
        <v>39904</v>
      </c>
      <c r="F1492" s="39">
        <v>25</v>
      </c>
      <c r="G1492" t="s">
        <v>21</v>
      </c>
      <c r="H1492" t="s">
        <v>21</v>
      </c>
      <c r="I1492">
        <v>0</v>
      </c>
      <c r="J1492">
        <v>0</v>
      </c>
      <c r="K1492">
        <v>0</v>
      </c>
      <c r="L1492">
        <v>1</v>
      </c>
      <c r="M1492">
        <v>0</v>
      </c>
      <c r="N1492" t="s">
        <v>198</v>
      </c>
      <c r="O1492" t="s">
        <v>213</v>
      </c>
      <c r="P1492" t="s">
        <v>208</v>
      </c>
      <c r="Q1492" t="s">
        <v>170</v>
      </c>
      <c r="R1492" t="s">
        <v>155</v>
      </c>
      <c r="T1492" t="s">
        <v>134</v>
      </c>
      <c r="U1492">
        <v>1</v>
      </c>
      <c r="W1492" t="s">
        <v>134</v>
      </c>
      <c r="X1492">
        <v>1</v>
      </c>
      <c r="Y1492" t="s">
        <v>139</v>
      </c>
      <c r="Z1492" t="s">
        <v>181</v>
      </c>
      <c r="AA1492" t="s">
        <v>143</v>
      </c>
      <c r="AB1492" t="s">
        <v>163</v>
      </c>
      <c r="AC1492" t="s">
        <v>173</v>
      </c>
      <c r="AD1492" t="s">
        <v>155</v>
      </c>
      <c r="AE1492" t="s">
        <v>510</v>
      </c>
      <c r="AF1492" t="s">
        <v>21</v>
      </c>
    </row>
    <row r="1493" spans="1:32">
      <c r="A1493" t="s">
        <v>2421</v>
      </c>
      <c r="B1493" s="37">
        <v>40040</v>
      </c>
      <c r="C1493" s="38">
        <v>40040</v>
      </c>
      <c r="D1493" s="38">
        <v>40035</v>
      </c>
      <c r="E1493" s="38">
        <v>40026</v>
      </c>
      <c r="F1493" s="39">
        <v>135</v>
      </c>
      <c r="G1493" t="s">
        <v>21</v>
      </c>
      <c r="H1493" t="s">
        <v>21</v>
      </c>
      <c r="I1493">
        <v>0</v>
      </c>
      <c r="J1493">
        <v>0</v>
      </c>
      <c r="K1493">
        <v>0</v>
      </c>
      <c r="L1493">
        <v>1</v>
      </c>
      <c r="M1493">
        <v>0</v>
      </c>
      <c r="N1493" t="s">
        <v>193</v>
      </c>
      <c r="O1493" t="s">
        <v>213</v>
      </c>
      <c r="P1493" t="s">
        <v>204</v>
      </c>
      <c r="Q1493" t="s">
        <v>170</v>
      </c>
      <c r="R1493" t="s">
        <v>155</v>
      </c>
      <c r="S1493">
        <v>5</v>
      </c>
      <c r="T1493" t="s">
        <v>135</v>
      </c>
      <c r="U1493">
        <v>0</v>
      </c>
      <c r="V1493">
        <v>5</v>
      </c>
      <c r="W1493" t="s">
        <v>135</v>
      </c>
      <c r="X1493">
        <v>0</v>
      </c>
      <c r="Y1493" t="s">
        <v>140</v>
      </c>
      <c r="Z1493" t="s">
        <v>184</v>
      </c>
      <c r="AA1493" t="s">
        <v>146</v>
      </c>
      <c r="AB1493" t="s">
        <v>162</v>
      </c>
      <c r="AC1493" t="s">
        <v>175</v>
      </c>
      <c r="AD1493" t="s">
        <v>155</v>
      </c>
      <c r="AE1493" t="s">
        <v>129</v>
      </c>
      <c r="AF1493" t="s">
        <v>21</v>
      </c>
    </row>
    <row r="1494" spans="1:32">
      <c r="A1494" t="s">
        <v>2422</v>
      </c>
      <c r="B1494" s="37">
        <v>39983</v>
      </c>
      <c r="C1494" s="38">
        <v>39983</v>
      </c>
      <c r="D1494" s="38">
        <v>39979</v>
      </c>
      <c r="E1494" s="38">
        <v>39965</v>
      </c>
      <c r="F1494" s="39">
        <v>78</v>
      </c>
      <c r="G1494" t="s">
        <v>380</v>
      </c>
      <c r="H1494" t="s">
        <v>17</v>
      </c>
      <c r="I1494">
        <v>0</v>
      </c>
      <c r="J1494">
        <v>0</v>
      </c>
      <c r="K1494">
        <v>1</v>
      </c>
      <c r="L1494">
        <v>0</v>
      </c>
      <c r="M1494">
        <v>0</v>
      </c>
      <c r="N1494" t="s">
        <v>196</v>
      </c>
      <c r="O1494" t="s">
        <v>213</v>
      </c>
      <c r="P1494" t="s">
        <v>207</v>
      </c>
      <c r="Q1494" t="s">
        <v>170</v>
      </c>
      <c r="R1494" t="s">
        <v>155</v>
      </c>
      <c r="T1494" t="s">
        <v>134</v>
      </c>
      <c r="U1494">
        <v>1</v>
      </c>
      <c r="W1494" t="s">
        <v>134</v>
      </c>
      <c r="X1494">
        <v>1</v>
      </c>
      <c r="Y1494" t="s">
        <v>139</v>
      </c>
      <c r="Z1494" t="s">
        <v>182</v>
      </c>
      <c r="AA1494" t="s">
        <v>144</v>
      </c>
      <c r="AB1494" t="s">
        <v>163</v>
      </c>
      <c r="AC1494" t="s">
        <v>173</v>
      </c>
      <c r="AD1494" t="s">
        <v>788</v>
      </c>
      <c r="AE1494" t="s">
        <v>2423</v>
      </c>
      <c r="AF1494" t="s">
        <v>21</v>
      </c>
    </row>
    <row r="1495" spans="1:32">
      <c r="A1495" t="s">
        <v>2424</v>
      </c>
      <c r="B1495" s="37">
        <v>40055</v>
      </c>
      <c r="C1495" s="38">
        <v>40055</v>
      </c>
      <c r="D1495" s="38">
        <v>40049</v>
      </c>
      <c r="E1495" s="38">
        <v>40026</v>
      </c>
      <c r="F1495" s="39">
        <v>150</v>
      </c>
      <c r="G1495" t="s">
        <v>21</v>
      </c>
      <c r="H1495" t="s">
        <v>21</v>
      </c>
      <c r="I1495">
        <v>0</v>
      </c>
      <c r="J1495">
        <v>0</v>
      </c>
      <c r="K1495">
        <v>0</v>
      </c>
      <c r="L1495">
        <v>1</v>
      </c>
      <c r="M1495">
        <v>0</v>
      </c>
      <c r="N1495" t="s">
        <v>196</v>
      </c>
      <c r="O1495" t="s">
        <v>213</v>
      </c>
      <c r="P1495" t="s">
        <v>207</v>
      </c>
      <c r="Q1495" t="s">
        <v>170</v>
      </c>
      <c r="R1495" t="s">
        <v>155</v>
      </c>
      <c r="S1495">
        <v>1</v>
      </c>
      <c r="T1495" t="s">
        <v>136</v>
      </c>
      <c r="U1495">
        <v>0</v>
      </c>
      <c r="V1495">
        <v>5</v>
      </c>
      <c r="W1495" t="s">
        <v>135</v>
      </c>
      <c r="X1495">
        <v>0</v>
      </c>
      <c r="Y1495" t="s">
        <v>139</v>
      </c>
      <c r="Z1495" t="s">
        <v>509</v>
      </c>
      <c r="AA1495" t="s">
        <v>151</v>
      </c>
      <c r="AB1495" t="s">
        <v>163</v>
      </c>
      <c r="AC1495" t="s">
        <v>173</v>
      </c>
      <c r="AD1495" t="s">
        <v>155</v>
      </c>
      <c r="AE1495" t="s">
        <v>692</v>
      </c>
      <c r="AF1495" t="s">
        <v>21</v>
      </c>
    </row>
    <row r="1496" spans="1:32">
      <c r="A1496" t="s">
        <v>2425</v>
      </c>
      <c r="B1496" s="37">
        <v>40074</v>
      </c>
      <c r="C1496" s="38">
        <v>40074</v>
      </c>
      <c r="D1496" s="38">
        <v>40070</v>
      </c>
      <c r="E1496" s="38">
        <v>40057</v>
      </c>
      <c r="F1496" s="39">
        <v>169</v>
      </c>
      <c r="G1496" t="s">
        <v>496</v>
      </c>
      <c r="H1496" t="s">
        <v>13</v>
      </c>
      <c r="I1496">
        <v>0</v>
      </c>
      <c r="J1496">
        <v>1</v>
      </c>
      <c r="K1496">
        <v>0</v>
      </c>
      <c r="L1496">
        <v>0</v>
      </c>
      <c r="M1496">
        <v>1</v>
      </c>
      <c r="N1496" t="s">
        <v>195</v>
      </c>
      <c r="O1496" t="s">
        <v>213</v>
      </c>
      <c r="P1496" t="s">
        <v>206</v>
      </c>
      <c r="Q1496" t="s">
        <v>170</v>
      </c>
      <c r="R1496" t="s">
        <v>155</v>
      </c>
      <c r="S1496">
        <v>5</v>
      </c>
      <c r="T1496" t="s">
        <v>135</v>
      </c>
      <c r="U1496">
        <v>0</v>
      </c>
      <c r="V1496">
        <v>5</v>
      </c>
      <c r="W1496" t="s">
        <v>135</v>
      </c>
      <c r="X1496">
        <v>0</v>
      </c>
      <c r="Y1496" t="s">
        <v>139</v>
      </c>
      <c r="Z1496" t="s">
        <v>509</v>
      </c>
      <c r="AA1496" t="s">
        <v>144</v>
      </c>
      <c r="AB1496" t="s">
        <v>163</v>
      </c>
      <c r="AC1496" t="s">
        <v>173</v>
      </c>
      <c r="AD1496" t="s">
        <v>155</v>
      </c>
      <c r="AE1496" t="s">
        <v>128</v>
      </c>
      <c r="AF1496" t="s">
        <v>21</v>
      </c>
    </row>
    <row r="1497" spans="1:32">
      <c r="A1497" t="s">
        <v>2426</v>
      </c>
      <c r="B1497" s="37">
        <v>39916</v>
      </c>
      <c r="C1497" s="38">
        <v>39916</v>
      </c>
      <c r="D1497" s="38">
        <v>39916</v>
      </c>
      <c r="E1497" s="38">
        <v>39904</v>
      </c>
      <c r="F1497" s="39">
        <v>11</v>
      </c>
      <c r="G1497" t="s">
        <v>21</v>
      </c>
      <c r="H1497" t="s">
        <v>21</v>
      </c>
      <c r="I1497">
        <v>0</v>
      </c>
      <c r="J1497">
        <v>0</v>
      </c>
      <c r="K1497">
        <v>0</v>
      </c>
      <c r="L1497">
        <v>1</v>
      </c>
      <c r="M1497">
        <v>0</v>
      </c>
      <c r="N1497" t="s">
        <v>198</v>
      </c>
      <c r="O1497" t="s">
        <v>213</v>
      </c>
      <c r="P1497" t="s">
        <v>208</v>
      </c>
      <c r="Q1497" t="s">
        <v>170</v>
      </c>
      <c r="R1497" t="s">
        <v>155</v>
      </c>
      <c r="T1497" t="s">
        <v>134</v>
      </c>
      <c r="U1497">
        <v>1</v>
      </c>
      <c r="W1497" t="s">
        <v>134</v>
      </c>
      <c r="X1497">
        <v>1</v>
      </c>
      <c r="Y1497" t="s">
        <v>139</v>
      </c>
      <c r="Z1497" t="s">
        <v>603</v>
      </c>
      <c r="AA1497" t="s">
        <v>143</v>
      </c>
      <c r="AB1497" t="s">
        <v>163</v>
      </c>
      <c r="AC1497" t="s">
        <v>173</v>
      </c>
      <c r="AD1497" t="s">
        <v>155</v>
      </c>
      <c r="AE1497" t="s">
        <v>125</v>
      </c>
      <c r="AF1497" t="s">
        <v>21</v>
      </c>
    </row>
    <row r="1498" spans="1:32">
      <c r="A1498" t="s">
        <v>2427</v>
      </c>
      <c r="B1498" s="37">
        <v>40065</v>
      </c>
      <c r="C1498" s="38">
        <v>40065</v>
      </c>
      <c r="D1498" s="38">
        <v>40063</v>
      </c>
      <c r="E1498" s="38">
        <v>40057</v>
      </c>
      <c r="F1498" s="39">
        <v>160</v>
      </c>
      <c r="G1498" t="s">
        <v>383</v>
      </c>
      <c r="H1498" t="s">
        <v>17</v>
      </c>
      <c r="I1498">
        <v>0</v>
      </c>
      <c r="J1498">
        <v>0</v>
      </c>
      <c r="K1498">
        <v>1</v>
      </c>
      <c r="L1498">
        <v>0</v>
      </c>
      <c r="M1498">
        <v>0</v>
      </c>
      <c r="N1498" t="s">
        <v>197</v>
      </c>
      <c r="O1498" t="s">
        <v>213</v>
      </c>
      <c r="P1498" t="s">
        <v>209</v>
      </c>
      <c r="Q1498" t="s">
        <v>170</v>
      </c>
      <c r="R1498" t="s">
        <v>155</v>
      </c>
      <c r="S1498">
        <v>5</v>
      </c>
      <c r="T1498" t="s">
        <v>135</v>
      </c>
      <c r="U1498">
        <v>0</v>
      </c>
      <c r="V1498">
        <v>5</v>
      </c>
      <c r="W1498" t="s">
        <v>135</v>
      </c>
      <c r="X1498">
        <v>0</v>
      </c>
      <c r="Y1498" t="s">
        <v>139</v>
      </c>
      <c r="Z1498" t="s">
        <v>603</v>
      </c>
      <c r="AA1498" t="s">
        <v>144</v>
      </c>
      <c r="AB1498" t="s">
        <v>163</v>
      </c>
      <c r="AC1498" t="s">
        <v>173</v>
      </c>
      <c r="AD1498" t="s">
        <v>155</v>
      </c>
      <c r="AE1498" t="s">
        <v>125</v>
      </c>
      <c r="AF1498" t="s">
        <v>21</v>
      </c>
    </row>
    <row r="1499" spans="1:32">
      <c r="A1499" t="s">
        <v>2428</v>
      </c>
      <c r="B1499" s="37">
        <v>39934</v>
      </c>
      <c r="C1499" s="38">
        <v>39934</v>
      </c>
      <c r="D1499" s="38">
        <v>39930</v>
      </c>
      <c r="E1499" s="38">
        <v>39934</v>
      </c>
      <c r="F1499" s="39">
        <v>29</v>
      </c>
      <c r="G1499" t="s">
        <v>21</v>
      </c>
      <c r="H1499" t="s">
        <v>21</v>
      </c>
      <c r="I1499">
        <v>0</v>
      </c>
      <c r="J1499">
        <v>0</v>
      </c>
      <c r="K1499">
        <v>0</v>
      </c>
      <c r="L1499">
        <v>1</v>
      </c>
      <c r="M1499">
        <v>0</v>
      </c>
      <c r="N1499" t="s">
        <v>200</v>
      </c>
      <c r="O1499" t="s">
        <v>214</v>
      </c>
      <c r="P1499" t="s">
        <v>208</v>
      </c>
      <c r="Q1499" t="s">
        <v>170</v>
      </c>
      <c r="R1499" t="s">
        <v>155</v>
      </c>
      <c r="T1499" t="s">
        <v>134</v>
      </c>
      <c r="U1499">
        <v>1</v>
      </c>
      <c r="W1499" t="s">
        <v>134</v>
      </c>
      <c r="X1499">
        <v>1</v>
      </c>
      <c r="Y1499" t="s">
        <v>139</v>
      </c>
      <c r="Z1499" t="s">
        <v>179</v>
      </c>
      <c r="AA1499" t="s">
        <v>147</v>
      </c>
      <c r="AB1499" t="s">
        <v>162</v>
      </c>
      <c r="AC1499" t="s">
        <v>2429</v>
      </c>
      <c r="AD1499" t="s">
        <v>157</v>
      </c>
      <c r="AE1499" t="s">
        <v>130</v>
      </c>
      <c r="AF1499" t="s">
        <v>437</v>
      </c>
    </row>
    <row r="1500" spans="1:32">
      <c r="A1500" t="s">
        <v>2430</v>
      </c>
      <c r="B1500" s="37">
        <v>39908</v>
      </c>
      <c r="C1500" s="38">
        <v>39908</v>
      </c>
      <c r="D1500" s="38">
        <v>39902</v>
      </c>
      <c r="E1500" s="38">
        <v>39904</v>
      </c>
      <c r="F1500" s="39">
        <v>3</v>
      </c>
      <c r="G1500" t="s">
        <v>21</v>
      </c>
      <c r="H1500" t="s">
        <v>21</v>
      </c>
      <c r="I1500">
        <v>0</v>
      </c>
      <c r="J1500">
        <v>0</v>
      </c>
      <c r="K1500">
        <v>0</v>
      </c>
      <c r="L1500">
        <v>1</v>
      </c>
      <c r="M1500">
        <v>0</v>
      </c>
      <c r="N1500" t="s">
        <v>200</v>
      </c>
      <c r="O1500" t="s">
        <v>214</v>
      </c>
      <c r="P1500" t="s">
        <v>208</v>
      </c>
      <c r="Q1500" t="s">
        <v>170</v>
      </c>
      <c r="R1500" t="s">
        <v>155</v>
      </c>
      <c r="T1500" t="s">
        <v>134</v>
      </c>
      <c r="U1500">
        <v>1</v>
      </c>
      <c r="W1500" t="s">
        <v>134</v>
      </c>
      <c r="X1500">
        <v>1</v>
      </c>
      <c r="Y1500" t="s">
        <v>139</v>
      </c>
      <c r="Z1500" t="s">
        <v>179</v>
      </c>
      <c r="AA1500" t="s">
        <v>143</v>
      </c>
      <c r="AB1500" t="s">
        <v>163</v>
      </c>
      <c r="AC1500" t="s">
        <v>173</v>
      </c>
      <c r="AD1500" t="s">
        <v>161</v>
      </c>
      <c r="AE1500" t="s">
        <v>939</v>
      </c>
      <c r="AF1500" t="s">
        <v>21</v>
      </c>
    </row>
    <row r="1501" spans="1:32">
      <c r="A1501" t="s">
        <v>2431</v>
      </c>
      <c r="B1501" s="37">
        <v>39944</v>
      </c>
      <c r="C1501" s="38">
        <v>39944</v>
      </c>
      <c r="D1501" s="38">
        <v>39944</v>
      </c>
      <c r="E1501" s="38">
        <v>39934</v>
      </c>
      <c r="F1501" s="39">
        <v>39</v>
      </c>
      <c r="G1501" t="s">
        <v>21</v>
      </c>
      <c r="H1501" t="s">
        <v>21</v>
      </c>
      <c r="I1501">
        <v>0</v>
      </c>
      <c r="J1501">
        <v>0</v>
      </c>
      <c r="K1501">
        <v>0</v>
      </c>
      <c r="L1501">
        <v>1</v>
      </c>
      <c r="M1501">
        <v>0</v>
      </c>
      <c r="N1501" t="s">
        <v>195</v>
      </c>
      <c r="O1501" t="s">
        <v>213</v>
      </c>
      <c r="P1501" t="s">
        <v>206</v>
      </c>
      <c r="Q1501" t="s">
        <v>170</v>
      </c>
      <c r="R1501" t="s">
        <v>155</v>
      </c>
      <c r="T1501" t="s">
        <v>134</v>
      </c>
      <c r="U1501">
        <v>1</v>
      </c>
      <c r="W1501" t="s">
        <v>134</v>
      </c>
      <c r="X1501">
        <v>1</v>
      </c>
      <c r="Y1501" t="s">
        <v>139</v>
      </c>
      <c r="Z1501" t="s">
        <v>179</v>
      </c>
      <c r="AA1501" t="s">
        <v>147</v>
      </c>
      <c r="AB1501" t="s">
        <v>162</v>
      </c>
      <c r="AC1501" t="s">
        <v>2432</v>
      </c>
      <c r="AD1501" t="s">
        <v>157</v>
      </c>
      <c r="AE1501" t="s">
        <v>127</v>
      </c>
      <c r="AF1501" t="s">
        <v>153</v>
      </c>
    </row>
    <row r="1502" spans="1:32">
      <c r="A1502" t="s">
        <v>2433</v>
      </c>
      <c r="B1502" s="37">
        <v>39982</v>
      </c>
      <c r="C1502" s="38">
        <v>39982</v>
      </c>
      <c r="D1502" s="38">
        <v>39979</v>
      </c>
      <c r="E1502" s="38">
        <v>39965</v>
      </c>
      <c r="F1502" s="39">
        <v>77</v>
      </c>
      <c r="G1502" t="s">
        <v>21</v>
      </c>
      <c r="H1502" t="s">
        <v>21</v>
      </c>
      <c r="I1502">
        <v>0</v>
      </c>
      <c r="J1502">
        <v>0</v>
      </c>
      <c r="K1502">
        <v>0</v>
      </c>
      <c r="L1502">
        <v>1</v>
      </c>
      <c r="M1502">
        <v>0</v>
      </c>
      <c r="N1502" t="s">
        <v>193</v>
      </c>
      <c r="O1502" t="s">
        <v>213</v>
      </c>
      <c r="P1502" t="s">
        <v>204</v>
      </c>
      <c r="Q1502" t="s">
        <v>170</v>
      </c>
      <c r="R1502" t="s">
        <v>155</v>
      </c>
      <c r="T1502" t="s">
        <v>134</v>
      </c>
      <c r="U1502">
        <v>1</v>
      </c>
      <c r="W1502" t="s">
        <v>134</v>
      </c>
      <c r="X1502">
        <v>1</v>
      </c>
      <c r="Y1502" t="s">
        <v>140</v>
      </c>
      <c r="Z1502" t="s">
        <v>189</v>
      </c>
      <c r="AA1502" t="s">
        <v>146</v>
      </c>
      <c r="AB1502" t="s">
        <v>163</v>
      </c>
      <c r="AC1502" t="s">
        <v>173</v>
      </c>
      <c r="AD1502" t="s">
        <v>155</v>
      </c>
      <c r="AE1502" t="s">
        <v>125</v>
      </c>
      <c r="AF1502" t="s">
        <v>21</v>
      </c>
    </row>
    <row r="1503" spans="1:32">
      <c r="A1503" t="s">
        <v>2434</v>
      </c>
      <c r="B1503" s="37">
        <v>39961</v>
      </c>
      <c r="C1503" s="38">
        <v>39961</v>
      </c>
      <c r="D1503" s="38">
        <v>39958</v>
      </c>
      <c r="E1503" s="38">
        <v>39934</v>
      </c>
      <c r="F1503" s="39">
        <v>56</v>
      </c>
      <c r="G1503" t="s">
        <v>21</v>
      </c>
      <c r="H1503" t="s">
        <v>21</v>
      </c>
      <c r="I1503">
        <v>0</v>
      </c>
      <c r="J1503">
        <v>0</v>
      </c>
      <c r="K1503">
        <v>0</v>
      </c>
      <c r="L1503">
        <v>1</v>
      </c>
      <c r="M1503">
        <v>0</v>
      </c>
      <c r="N1503" t="s">
        <v>195</v>
      </c>
      <c r="O1503" t="s">
        <v>213</v>
      </c>
      <c r="P1503" t="s">
        <v>206</v>
      </c>
      <c r="Q1503" t="s">
        <v>170</v>
      </c>
      <c r="R1503" t="s">
        <v>155</v>
      </c>
      <c r="T1503" t="s">
        <v>134</v>
      </c>
      <c r="U1503">
        <v>1</v>
      </c>
      <c r="W1503" t="s">
        <v>134</v>
      </c>
      <c r="X1503">
        <v>1</v>
      </c>
      <c r="Y1503" t="s">
        <v>139</v>
      </c>
      <c r="Z1503" t="s">
        <v>179</v>
      </c>
      <c r="AA1503" t="s">
        <v>143</v>
      </c>
      <c r="AB1503" t="s">
        <v>163</v>
      </c>
      <c r="AC1503" t="s">
        <v>173</v>
      </c>
      <c r="AD1503" t="s">
        <v>155</v>
      </c>
      <c r="AE1503" t="s">
        <v>127</v>
      </c>
      <c r="AF1503" t="s">
        <v>21</v>
      </c>
    </row>
    <row r="1504" spans="1:32">
      <c r="A1504" t="s">
        <v>2435</v>
      </c>
      <c r="B1504" s="37">
        <v>40022</v>
      </c>
      <c r="C1504" s="38">
        <v>40022</v>
      </c>
      <c r="D1504" s="38">
        <v>40021</v>
      </c>
      <c r="E1504" s="38">
        <v>39995</v>
      </c>
      <c r="F1504" s="39">
        <v>117</v>
      </c>
      <c r="G1504" t="s">
        <v>9</v>
      </c>
      <c r="H1504" t="s">
        <v>9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195</v>
      </c>
      <c r="O1504" t="s">
        <v>213</v>
      </c>
      <c r="P1504" t="s">
        <v>206</v>
      </c>
      <c r="Q1504" t="s">
        <v>170</v>
      </c>
      <c r="R1504" t="s">
        <v>155</v>
      </c>
      <c r="S1504">
        <v>1</v>
      </c>
      <c r="T1504" t="s">
        <v>136</v>
      </c>
      <c r="U1504">
        <v>0</v>
      </c>
      <c r="V1504">
        <v>5</v>
      </c>
      <c r="W1504" t="s">
        <v>135</v>
      </c>
      <c r="X1504">
        <v>0</v>
      </c>
      <c r="Y1504" t="s">
        <v>139</v>
      </c>
      <c r="Z1504" t="s">
        <v>179</v>
      </c>
      <c r="AA1504" t="s">
        <v>146</v>
      </c>
      <c r="AB1504" t="s">
        <v>162</v>
      </c>
      <c r="AC1504" t="s">
        <v>21</v>
      </c>
      <c r="AD1504" t="s">
        <v>155</v>
      </c>
      <c r="AE1504" t="s">
        <v>127</v>
      </c>
      <c r="AF1504" t="s">
        <v>21</v>
      </c>
    </row>
    <row r="1505" spans="1:32">
      <c r="A1505" t="s">
        <v>2436</v>
      </c>
      <c r="B1505" s="37">
        <v>40058</v>
      </c>
      <c r="C1505" s="38">
        <v>40058</v>
      </c>
      <c r="D1505" s="38">
        <v>40056</v>
      </c>
      <c r="E1505" s="38">
        <v>40057</v>
      </c>
      <c r="F1505" s="39">
        <v>153</v>
      </c>
      <c r="G1505" t="s">
        <v>21</v>
      </c>
      <c r="H1505" t="s">
        <v>21</v>
      </c>
      <c r="I1505">
        <v>0</v>
      </c>
      <c r="J1505">
        <v>0</v>
      </c>
      <c r="K1505">
        <v>0</v>
      </c>
      <c r="L1505">
        <v>1</v>
      </c>
      <c r="M1505">
        <v>0</v>
      </c>
      <c r="N1505" t="s">
        <v>193</v>
      </c>
      <c r="O1505" t="s">
        <v>213</v>
      </c>
      <c r="P1505" t="s">
        <v>204</v>
      </c>
      <c r="Q1505" t="s">
        <v>170</v>
      </c>
      <c r="R1505" t="s">
        <v>155</v>
      </c>
      <c r="S1505">
        <v>2</v>
      </c>
      <c r="T1505" t="s">
        <v>136</v>
      </c>
      <c r="U1505">
        <v>0</v>
      </c>
      <c r="V1505">
        <v>3</v>
      </c>
      <c r="W1505" t="s">
        <v>137</v>
      </c>
      <c r="X1505">
        <v>0</v>
      </c>
      <c r="Y1505" t="s">
        <v>140</v>
      </c>
      <c r="Z1505" t="s">
        <v>179</v>
      </c>
      <c r="AA1505" t="s">
        <v>143</v>
      </c>
      <c r="AB1505" t="s">
        <v>163</v>
      </c>
      <c r="AC1505" t="s">
        <v>173</v>
      </c>
      <c r="AD1505" t="s">
        <v>155</v>
      </c>
      <c r="AE1505" t="s">
        <v>127</v>
      </c>
      <c r="AF1505" t="s">
        <v>21</v>
      </c>
    </row>
    <row r="1506" spans="1:32">
      <c r="A1506" t="s">
        <v>2437</v>
      </c>
      <c r="B1506" s="37">
        <v>40024</v>
      </c>
      <c r="C1506" s="38">
        <v>40024</v>
      </c>
      <c r="D1506" s="38">
        <v>40021</v>
      </c>
      <c r="E1506" s="38">
        <v>39995</v>
      </c>
      <c r="F1506" s="39">
        <v>119</v>
      </c>
      <c r="G1506" t="s">
        <v>21</v>
      </c>
      <c r="H1506" t="s">
        <v>21</v>
      </c>
      <c r="I1506">
        <v>0</v>
      </c>
      <c r="J1506">
        <v>0</v>
      </c>
      <c r="K1506">
        <v>0</v>
      </c>
      <c r="L1506">
        <v>1</v>
      </c>
      <c r="M1506">
        <v>0</v>
      </c>
      <c r="N1506" t="s">
        <v>195</v>
      </c>
      <c r="O1506" t="s">
        <v>213</v>
      </c>
      <c r="P1506" t="s">
        <v>206</v>
      </c>
      <c r="Q1506" t="s">
        <v>170</v>
      </c>
      <c r="R1506" t="s">
        <v>155</v>
      </c>
      <c r="S1506">
        <v>5</v>
      </c>
      <c r="T1506" t="s">
        <v>135</v>
      </c>
      <c r="U1506">
        <v>0</v>
      </c>
      <c r="V1506">
        <v>5</v>
      </c>
      <c r="W1506" t="s">
        <v>135</v>
      </c>
      <c r="X1506">
        <v>0</v>
      </c>
      <c r="Y1506" t="s">
        <v>139</v>
      </c>
      <c r="Z1506" t="s">
        <v>189</v>
      </c>
      <c r="AA1506" t="s">
        <v>142</v>
      </c>
      <c r="AB1506" t="s">
        <v>162</v>
      </c>
      <c r="AC1506" t="s">
        <v>2438</v>
      </c>
      <c r="AD1506" t="s">
        <v>157</v>
      </c>
      <c r="AE1506" t="s">
        <v>406</v>
      </c>
      <c r="AF1506" t="s">
        <v>2439</v>
      </c>
    </row>
    <row r="1507" spans="1:32">
      <c r="A1507" t="s">
        <v>2440</v>
      </c>
      <c r="B1507" s="37">
        <v>39914</v>
      </c>
      <c r="C1507" s="38">
        <v>39914</v>
      </c>
      <c r="D1507" s="38">
        <v>39909</v>
      </c>
      <c r="E1507" s="38">
        <v>39904</v>
      </c>
      <c r="F1507" s="39">
        <v>9</v>
      </c>
      <c r="G1507" t="s">
        <v>380</v>
      </c>
      <c r="H1507" t="s">
        <v>17</v>
      </c>
      <c r="I1507">
        <v>0</v>
      </c>
      <c r="J1507">
        <v>0</v>
      </c>
      <c r="K1507">
        <v>1</v>
      </c>
      <c r="L1507">
        <v>0</v>
      </c>
      <c r="M1507">
        <v>0</v>
      </c>
      <c r="N1507" t="s">
        <v>202</v>
      </c>
      <c r="O1507" t="s">
        <v>213</v>
      </c>
      <c r="P1507" t="s">
        <v>211</v>
      </c>
      <c r="Q1507" t="s">
        <v>170</v>
      </c>
      <c r="R1507" t="s">
        <v>155</v>
      </c>
      <c r="T1507" t="s">
        <v>134</v>
      </c>
      <c r="U1507">
        <v>1</v>
      </c>
      <c r="W1507" t="s">
        <v>134</v>
      </c>
      <c r="X1507">
        <v>1</v>
      </c>
      <c r="Y1507" t="s">
        <v>139</v>
      </c>
      <c r="Z1507" t="s">
        <v>189</v>
      </c>
      <c r="AA1507" t="s">
        <v>145</v>
      </c>
      <c r="AB1507" t="s">
        <v>165</v>
      </c>
      <c r="AC1507" t="s">
        <v>758</v>
      </c>
      <c r="AD1507" t="s">
        <v>158</v>
      </c>
      <c r="AE1507" t="s">
        <v>122</v>
      </c>
      <c r="AF1507" t="s">
        <v>21</v>
      </c>
    </row>
    <row r="1508" spans="1:32">
      <c r="A1508" t="s">
        <v>2441</v>
      </c>
      <c r="B1508" s="37">
        <v>39909</v>
      </c>
      <c r="C1508" s="38">
        <v>39909</v>
      </c>
      <c r="D1508" s="38">
        <v>39909</v>
      </c>
      <c r="E1508" s="38">
        <v>39904</v>
      </c>
      <c r="F1508" s="39">
        <v>4</v>
      </c>
      <c r="G1508" t="s">
        <v>9</v>
      </c>
      <c r="H1508" t="s">
        <v>9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194</v>
      </c>
      <c r="O1508" t="s">
        <v>213</v>
      </c>
      <c r="P1508" t="s">
        <v>205</v>
      </c>
      <c r="Q1508" t="s">
        <v>170</v>
      </c>
      <c r="R1508" t="s">
        <v>155</v>
      </c>
      <c r="T1508" t="s">
        <v>134</v>
      </c>
      <c r="U1508">
        <v>1</v>
      </c>
      <c r="W1508" t="s">
        <v>134</v>
      </c>
      <c r="X1508">
        <v>1</v>
      </c>
      <c r="Y1508" t="s">
        <v>139</v>
      </c>
      <c r="Z1508" t="s">
        <v>189</v>
      </c>
      <c r="AA1508" t="s">
        <v>143</v>
      </c>
      <c r="AB1508" t="s">
        <v>165</v>
      </c>
      <c r="AC1508" t="s">
        <v>2442</v>
      </c>
      <c r="AD1508" t="s">
        <v>158</v>
      </c>
      <c r="AE1508" t="s">
        <v>122</v>
      </c>
      <c r="AF1508" t="s">
        <v>21</v>
      </c>
    </row>
    <row r="1509" spans="1:32">
      <c r="A1509" t="s">
        <v>2443</v>
      </c>
      <c r="B1509" s="37">
        <v>39942</v>
      </c>
      <c r="C1509" s="38">
        <v>39942</v>
      </c>
      <c r="D1509" s="38">
        <v>39937</v>
      </c>
      <c r="E1509" s="38">
        <v>39934</v>
      </c>
      <c r="F1509" s="39">
        <v>37</v>
      </c>
      <c r="G1509" t="s">
        <v>496</v>
      </c>
      <c r="H1509" t="s">
        <v>13</v>
      </c>
      <c r="I1509">
        <v>0</v>
      </c>
      <c r="J1509">
        <v>1</v>
      </c>
      <c r="K1509">
        <v>0</v>
      </c>
      <c r="L1509">
        <v>0</v>
      </c>
      <c r="M1509">
        <v>1</v>
      </c>
      <c r="N1509" t="s">
        <v>195</v>
      </c>
      <c r="O1509" t="s">
        <v>213</v>
      </c>
      <c r="P1509" t="s">
        <v>206</v>
      </c>
      <c r="Q1509" t="s">
        <v>170</v>
      </c>
      <c r="R1509" t="s">
        <v>155</v>
      </c>
      <c r="T1509" t="s">
        <v>134</v>
      </c>
      <c r="U1509">
        <v>1</v>
      </c>
      <c r="W1509" t="s">
        <v>134</v>
      </c>
      <c r="X1509">
        <v>1</v>
      </c>
      <c r="Y1509" t="s">
        <v>139</v>
      </c>
      <c r="Z1509" t="s">
        <v>179</v>
      </c>
      <c r="AA1509" t="s">
        <v>151</v>
      </c>
      <c r="AB1509" t="s">
        <v>162</v>
      </c>
      <c r="AC1509" t="s">
        <v>567</v>
      </c>
      <c r="AD1509" t="s">
        <v>155</v>
      </c>
      <c r="AE1509" t="s">
        <v>130</v>
      </c>
      <c r="AF1509" t="s">
        <v>21</v>
      </c>
    </row>
    <row r="1510" spans="1:32">
      <c r="A1510" t="s">
        <v>2444</v>
      </c>
      <c r="B1510" s="37">
        <v>39952</v>
      </c>
      <c r="C1510" s="38">
        <v>39952</v>
      </c>
      <c r="D1510" s="38">
        <v>39951</v>
      </c>
      <c r="E1510" s="38">
        <v>39934</v>
      </c>
      <c r="F1510" s="39">
        <v>47</v>
      </c>
      <c r="G1510" t="s">
        <v>21</v>
      </c>
      <c r="H1510" t="s">
        <v>21</v>
      </c>
      <c r="I1510">
        <v>0</v>
      </c>
      <c r="J1510">
        <v>0</v>
      </c>
      <c r="K1510">
        <v>0</v>
      </c>
      <c r="L1510">
        <v>1</v>
      </c>
      <c r="M1510">
        <v>0</v>
      </c>
      <c r="N1510" t="s">
        <v>193</v>
      </c>
      <c r="O1510" t="s">
        <v>213</v>
      </c>
      <c r="P1510" t="s">
        <v>204</v>
      </c>
      <c r="Q1510" t="s">
        <v>170</v>
      </c>
      <c r="R1510" t="s">
        <v>155</v>
      </c>
      <c r="T1510" t="s">
        <v>134</v>
      </c>
      <c r="U1510">
        <v>1</v>
      </c>
      <c r="W1510" t="s">
        <v>134</v>
      </c>
      <c r="X1510">
        <v>1</v>
      </c>
      <c r="Y1510" t="s">
        <v>140</v>
      </c>
      <c r="Z1510" t="s">
        <v>189</v>
      </c>
      <c r="AA1510" t="s">
        <v>147</v>
      </c>
      <c r="AB1510" t="s">
        <v>162</v>
      </c>
      <c r="AC1510" t="s">
        <v>175</v>
      </c>
      <c r="AD1510" t="s">
        <v>155</v>
      </c>
      <c r="AE1510" t="s">
        <v>129</v>
      </c>
      <c r="AF1510" t="s">
        <v>21</v>
      </c>
    </row>
    <row r="1511" spans="1:32">
      <c r="A1511" t="s">
        <v>2445</v>
      </c>
      <c r="B1511" s="37">
        <v>40005</v>
      </c>
      <c r="C1511" s="38">
        <v>40005</v>
      </c>
      <c r="D1511" s="38">
        <v>40000</v>
      </c>
      <c r="E1511" s="38">
        <v>39995</v>
      </c>
      <c r="F1511" s="39">
        <v>100</v>
      </c>
      <c r="G1511" t="s">
        <v>9</v>
      </c>
      <c r="H1511" t="s">
        <v>9</v>
      </c>
      <c r="I1511">
        <v>1</v>
      </c>
      <c r="J1511">
        <v>0</v>
      </c>
      <c r="K1511">
        <v>0</v>
      </c>
      <c r="L1511">
        <v>0</v>
      </c>
      <c r="M1511">
        <v>1</v>
      </c>
      <c r="N1511" t="s">
        <v>194</v>
      </c>
      <c r="O1511" t="s">
        <v>213</v>
      </c>
      <c r="P1511" t="s">
        <v>205</v>
      </c>
      <c r="Q1511" t="s">
        <v>170</v>
      </c>
      <c r="R1511" t="s">
        <v>155</v>
      </c>
      <c r="S1511">
        <v>5</v>
      </c>
      <c r="T1511" t="s">
        <v>135</v>
      </c>
      <c r="U1511">
        <v>0</v>
      </c>
      <c r="V1511">
        <v>5</v>
      </c>
      <c r="W1511" t="s">
        <v>135</v>
      </c>
      <c r="X1511">
        <v>0</v>
      </c>
      <c r="Y1511" t="s">
        <v>139</v>
      </c>
      <c r="Z1511" t="s">
        <v>179</v>
      </c>
      <c r="AA1511" t="s">
        <v>142</v>
      </c>
      <c r="AB1511" t="s">
        <v>162</v>
      </c>
      <c r="AC1511" t="s">
        <v>174</v>
      </c>
      <c r="AD1511" t="s">
        <v>156</v>
      </c>
      <c r="AE1511" t="s">
        <v>120</v>
      </c>
      <c r="AF1511" t="s">
        <v>832</v>
      </c>
    </row>
    <row r="1512" spans="1:32">
      <c r="A1512" t="s">
        <v>2446</v>
      </c>
      <c r="B1512" s="37">
        <v>40019</v>
      </c>
      <c r="C1512" s="38">
        <v>40019</v>
      </c>
      <c r="D1512" s="38">
        <v>40014</v>
      </c>
      <c r="E1512" s="38">
        <v>39995</v>
      </c>
      <c r="F1512" s="39">
        <v>114</v>
      </c>
      <c r="G1512" t="s">
        <v>21</v>
      </c>
      <c r="H1512" t="s">
        <v>21</v>
      </c>
      <c r="I1512">
        <v>0</v>
      </c>
      <c r="J1512">
        <v>0</v>
      </c>
      <c r="K1512">
        <v>0</v>
      </c>
      <c r="L1512">
        <v>1</v>
      </c>
      <c r="M1512">
        <v>0</v>
      </c>
      <c r="N1512" t="s">
        <v>193</v>
      </c>
      <c r="O1512" t="s">
        <v>213</v>
      </c>
      <c r="P1512" t="s">
        <v>204</v>
      </c>
      <c r="Q1512" t="s">
        <v>170</v>
      </c>
      <c r="R1512" t="s">
        <v>155</v>
      </c>
      <c r="S1512">
        <v>5</v>
      </c>
      <c r="T1512" t="s">
        <v>135</v>
      </c>
      <c r="U1512">
        <v>0</v>
      </c>
      <c r="V1512">
        <v>5</v>
      </c>
      <c r="W1512" t="s">
        <v>135</v>
      </c>
      <c r="X1512">
        <v>0</v>
      </c>
      <c r="Y1512" t="s">
        <v>140</v>
      </c>
      <c r="Z1512" t="s">
        <v>179</v>
      </c>
      <c r="AA1512" t="s">
        <v>151</v>
      </c>
      <c r="AB1512" t="s">
        <v>163</v>
      </c>
      <c r="AC1512" t="s">
        <v>2447</v>
      </c>
      <c r="AD1512" t="s">
        <v>155</v>
      </c>
      <c r="AE1512" t="s">
        <v>127</v>
      </c>
      <c r="AF1512" t="s">
        <v>21</v>
      </c>
    </row>
    <row r="1513" spans="1:32">
      <c r="A1513" t="s">
        <v>2448</v>
      </c>
      <c r="B1513" s="37">
        <v>40075</v>
      </c>
      <c r="C1513" s="38">
        <v>40075</v>
      </c>
      <c r="D1513" s="38">
        <v>40070</v>
      </c>
      <c r="E1513" s="38">
        <v>40057</v>
      </c>
      <c r="F1513" s="39">
        <v>170</v>
      </c>
      <c r="G1513" t="s">
        <v>21</v>
      </c>
      <c r="H1513" t="s">
        <v>21</v>
      </c>
      <c r="I1513">
        <v>0</v>
      </c>
      <c r="J1513">
        <v>0</v>
      </c>
      <c r="K1513">
        <v>0</v>
      </c>
      <c r="L1513">
        <v>1</v>
      </c>
      <c r="M1513">
        <v>0</v>
      </c>
      <c r="N1513" t="s">
        <v>196</v>
      </c>
      <c r="O1513" t="s">
        <v>213</v>
      </c>
      <c r="P1513" t="s">
        <v>207</v>
      </c>
      <c r="Q1513" t="s">
        <v>170</v>
      </c>
      <c r="R1513" t="s">
        <v>155</v>
      </c>
      <c r="S1513">
        <v>5</v>
      </c>
      <c r="T1513" t="s">
        <v>135</v>
      </c>
      <c r="U1513">
        <v>0</v>
      </c>
      <c r="V1513">
        <v>5</v>
      </c>
      <c r="W1513" t="s">
        <v>135</v>
      </c>
      <c r="X1513">
        <v>0</v>
      </c>
      <c r="Y1513" t="s">
        <v>139</v>
      </c>
      <c r="Z1513" t="s">
        <v>179</v>
      </c>
      <c r="AA1513" t="s">
        <v>144</v>
      </c>
      <c r="AB1513" t="s">
        <v>162</v>
      </c>
      <c r="AC1513" t="s">
        <v>174</v>
      </c>
      <c r="AD1513" t="s">
        <v>156</v>
      </c>
      <c r="AE1513" t="s">
        <v>120</v>
      </c>
      <c r="AF1513" t="s">
        <v>1868</v>
      </c>
    </row>
    <row r="1514" spans="1:32">
      <c r="A1514" t="s">
        <v>2449</v>
      </c>
      <c r="B1514" s="37">
        <v>39991</v>
      </c>
      <c r="C1514" s="38">
        <v>39991</v>
      </c>
      <c r="D1514" s="38">
        <v>39986</v>
      </c>
      <c r="E1514" s="38">
        <v>39965</v>
      </c>
      <c r="F1514" s="39">
        <v>86</v>
      </c>
      <c r="G1514" t="s">
        <v>21</v>
      </c>
      <c r="H1514" t="s">
        <v>21</v>
      </c>
      <c r="I1514">
        <v>0</v>
      </c>
      <c r="J1514">
        <v>0</v>
      </c>
      <c r="K1514">
        <v>0</v>
      </c>
      <c r="L1514">
        <v>1</v>
      </c>
      <c r="M1514">
        <v>0</v>
      </c>
      <c r="N1514" t="s">
        <v>193</v>
      </c>
      <c r="O1514" t="s">
        <v>213</v>
      </c>
      <c r="P1514" t="s">
        <v>204</v>
      </c>
      <c r="Q1514" t="s">
        <v>170</v>
      </c>
      <c r="R1514" t="s">
        <v>155</v>
      </c>
      <c r="T1514" t="s">
        <v>134</v>
      </c>
      <c r="U1514">
        <v>1</v>
      </c>
      <c r="V1514">
        <v>5</v>
      </c>
      <c r="W1514" t="s">
        <v>135</v>
      </c>
      <c r="X1514">
        <v>0</v>
      </c>
      <c r="Y1514" t="s">
        <v>140</v>
      </c>
      <c r="Z1514" t="s">
        <v>189</v>
      </c>
      <c r="AA1514" t="s">
        <v>142</v>
      </c>
      <c r="AB1514" t="s">
        <v>163</v>
      </c>
      <c r="AC1514" t="s">
        <v>21</v>
      </c>
      <c r="AD1514" t="s">
        <v>155</v>
      </c>
      <c r="AE1514" t="s">
        <v>125</v>
      </c>
      <c r="AF1514" t="s">
        <v>21</v>
      </c>
    </row>
    <row r="1515" spans="1:32">
      <c r="A1515" t="s">
        <v>2450</v>
      </c>
      <c r="B1515" s="37">
        <v>40085</v>
      </c>
      <c r="C1515" s="38">
        <v>40085</v>
      </c>
      <c r="D1515" s="38">
        <v>40084</v>
      </c>
      <c r="E1515" s="38">
        <v>40057</v>
      </c>
      <c r="F1515" s="39">
        <v>180</v>
      </c>
      <c r="G1515" t="s">
        <v>21</v>
      </c>
      <c r="H1515" t="s">
        <v>21</v>
      </c>
      <c r="I1515">
        <v>0</v>
      </c>
      <c r="J1515">
        <v>0</v>
      </c>
      <c r="K1515">
        <v>0</v>
      </c>
      <c r="L1515">
        <v>1</v>
      </c>
      <c r="M1515">
        <v>0</v>
      </c>
      <c r="N1515" t="s">
        <v>193</v>
      </c>
      <c r="O1515" t="s">
        <v>213</v>
      </c>
      <c r="P1515" t="s">
        <v>204</v>
      </c>
      <c r="Q1515" t="s">
        <v>170</v>
      </c>
      <c r="R1515" t="s">
        <v>155</v>
      </c>
      <c r="S1515">
        <v>5</v>
      </c>
      <c r="T1515" t="s">
        <v>135</v>
      </c>
      <c r="U1515">
        <v>0</v>
      </c>
      <c r="V1515">
        <v>5</v>
      </c>
      <c r="W1515" t="s">
        <v>135</v>
      </c>
      <c r="X1515">
        <v>0</v>
      </c>
      <c r="Y1515" t="s">
        <v>140</v>
      </c>
      <c r="Z1515" t="s">
        <v>179</v>
      </c>
      <c r="AA1515" t="s">
        <v>143</v>
      </c>
      <c r="AB1515" t="s">
        <v>163</v>
      </c>
      <c r="AC1515" t="s">
        <v>173</v>
      </c>
      <c r="AD1515" t="s">
        <v>155</v>
      </c>
      <c r="AE1515" t="s">
        <v>128</v>
      </c>
      <c r="AF1515" t="s">
        <v>21</v>
      </c>
    </row>
    <row r="1516" spans="1:32">
      <c r="A1516" t="s">
        <v>2451</v>
      </c>
      <c r="B1516" s="37">
        <v>39927</v>
      </c>
      <c r="C1516" s="38">
        <v>39927</v>
      </c>
      <c r="D1516" s="38">
        <v>39923</v>
      </c>
      <c r="E1516" s="38">
        <v>39904</v>
      </c>
      <c r="F1516" s="39">
        <v>22</v>
      </c>
      <c r="G1516" t="s">
        <v>9</v>
      </c>
      <c r="H1516" t="s">
        <v>9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193</v>
      </c>
      <c r="O1516" t="s">
        <v>213</v>
      </c>
      <c r="P1516" t="s">
        <v>204</v>
      </c>
      <c r="Q1516" t="s">
        <v>170</v>
      </c>
      <c r="R1516" t="s">
        <v>155</v>
      </c>
      <c r="T1516" t="s">
        <v>134</v>
      </c>
      <c r="U1516">
        <v>1</v>
      </c>
      <c r="W1516" t="s">
        <v>134</v>
      </c>
      <c r="X1516">
        <v>1</v>
      </c>
      <c r="Y1516" t="s">
        <v>140</v>
      </c>
      <c r="Z1516" t="s">
        <v>603</v>
      </c>
      <c r="AA1516" t="s">
        <v>148</v>
      </c>
      <c r="AB1516" t="s">
        <v>163</v>
      </c>
      <c r="AC1516" t="s">
        <v>173</v>
      </c>
      <c r="AD1516" t="s">
        <v>155</v>
      </c>
      <c r="AE1516" t="s">
        <v>734</v>
      </c>
      <c r="AF1516" t="s">
        <v>21</v>
      </c>
    </row>
    <row r="1517" spans="1:32">
      <c r="A1517" t="s">
        <v>2452</v>
      </c>
      <c r="B1517" s="37">
        <v>40058</v>
      </c>
      <c r="C1517" s="38">
        <v>40058</v>
      </c>
      <c r="D1517" s="38">
        <v>40056</v>
      </c>
      <c r="E1517" s="38">
        <v>40057</v>
      </c>
      <c r="F1517" s="39">
        <v>153</v>
      </c>
      <c r="G1517" t="s">
        <v>21</v>
      </c>
      <c r="H1517" t="s">
        <v>21</v>
      </c>
      <c r="I1517">
        <v>0</v>
      </c>
      <c r="J1517">
        <v>0</v>
      </c>
      <c r="K1517">
        <v>0</v>
      </c>
      <c r="L1517">
        <v>1</v>
      </c>
      <c r="M1517">
        <v>0</v>
      </c>
      <c r="N1517" t="s">
        <v>193</v>
      </c>
      <c r="O1517" t="s">
        <v>213</v>
      </c>
      <c r="P1517" t="s">
        <v>204</v>
      </c>
      <c r="Q1517" t="s">
        <v>170</v>
      </c>
      <c r="R1517" t="s">
        <v>155</v>
      </c>
      <c r="S1517">
        <v>5</v>
      </c>
      <c r="T1517" t="s">
        <v>135</v>
      </c>
      <c r="U1517">
        <v>0</v>
      </c>
      <c r="V1517">
        <v>5</v>
      </c>
      <c r="W1517" t="s">
        <v>135</v>
      </c>
      <c r="X1517">
        <v>0</v>
      </c>
      <c r="Y1517" t="s">
        <v>140</v>
      </c>
      <c r="Z1517" t="s">
        <v>179</v>
      </c>
      <c r="AA1517" t="s">
        <v>144</v>
      </c>
      <c r="AB1517" t="s">
        <v>165</v>
      </c>
      <c r="AC1517" t="s">
        <v>948</v>
      </c>
      <c r="AD1517" t="s">
        <v>158</v>
      </c>
      <c r="AE1517" t="s">
        <v>122</v>
      </c>
      <c r="AF1517" t="s">
        <v>21</v>
      </c>
    </row>
    <row r="1518" spans="1:32">
      <c r="A1518" t="s">
        <v>2453</v>
      </c>
      <c r="B1518" s="37">
        <v>39956</v>
      </c>
      <c r="C1518" s="38">
        <v>39956</v>
      </c>
      <c r="D1518" s="38">
        <v>39951</v>
      </c>
      <c r="E1518" s="38">
        <v>39934</v>
      </c>
      <c r="F1518" s="39">
        <v>51</v>
      </c>
      <c r="G1518" t="s">
        <v>21</v>
      </c>
      <c r="H1518" t="s">
        <v>21</v>
      </c>
      <c r="I1518">
        <v>0</v>
      </c>
      <c r="J1518">
        <v>0</v>
      </c>
      <c r="K1518">
        <v>0</v>
      </c>
      <c r="L1518">
        <v>1</v>
      </c>
      <c r="M1518">
        <v>0</v>
      </c>
      <c r="N1518" t="s">
        <v>194</v>
      </c>
      <c r="O1518" t="s">
        <v>213</v>
      </c>
      <c r="P1518" t="s">
        <v>205</v>
      </c>
      <c r="Q1518" t="s">
        <v>170</v>
      </c>
      <c r="R1518" t="s">
        <v>155</v>
      </c>
      <c r="T1518" t="s">
        <v>134</v>
      </c>
      <c r="U1518">
        <v>1</v>
      </c>
      <c r="W1518" t="s">
        <v>134</v>
      </c>
      <c r="X1518">
        <v>1</v>
      </c>
      <c r="Y1518" t="s">
        <v>139</v>
      </c>
      <c r="Z1518" t="s">
        <v>603</v>
      </c>
      <c r="AA1518" t="s">
        <v>145</v>
      </c>
      <c r="AB1518" t="s">
        <v>163</v>
      </c>
      <c r="AC1518" t="s">
        <v>173</v>
      </c>
      <c r="AD1518" t="s">
        <v>155</v>
      </c>
      <c r="AE1518" t="s">
        <v>406</v>
      </c>
      <c r="AF1518" t="s">
        <v>21</v>
      </c>
    </row>
    <row r="1519" spans="1:32">
      <c r="A1519" t="s">
        <v>2454</v>
      </c>
      <c r="B1519" s="37">
        <v>39958</v>
      </c>
      <c r="C1519" s="38">
        <v>39958</v>
      </c>
      <c r="D1519" s="38">
        <v>39958</v>
      </c>
      <c r="E1519" s="38">
        <v>39934</v>
      </c>
      <c r="F1519" s="39">
        <v>53</v>
      </c>
      <c r="G1519" t="s">
        <v>21</v>
      </c>
      <c r="H1519" t="s">
        <v>21</v>
      </c>
      <c r="I1519">
        <v>0</v>
      </c>
      <c r="J1519">
        <v>0</v>
      </c>
      <c r="K1519">
        <v>0</v>
      </c>
      <c r="L1519">
        <v>1</v>
      </c>
      <c r="M1519">
        <v>0</v>
      </c>
      <c r="N1519" t="s">
        <v>194</v>
      </c>
      <c r="O1519" t="s">
        <v>213</v>
      </c>
      <c r="P1519" t="s">
        <v>205</v>
      </c>
      <c r="Q1519" t="s">
        <v>170</v>
      </c>
      <c r="R1519" t="s">
        <v>155</v>
      </c>
      <c r="T1519" t="s">
        <v>134</v>
      </c>
      <c r="U1519">
        <v>1</v>
      </c>
      <c r="W1519" t="s">
        <v>134</v>
      </c>
      <c r="X1519">
        <v>1</v>
      </c>
      <c r="Y1519" t="s">
        <v>139</v>
      </c>
      <c r="Z1519" t="s">
        <v>179</v>
      </c>
      <c r="AA1519" t="s">
        <v>146</v>
      </c>
      <c r="AB1519" t="s">
        <v>2455</v>
      </c>
      <c r="AC1519" t="s">
        <v>2456</v>
      </c>
      <c r="AD1519" t="s">
        <v>123</v>
      </c>
      <c r="AE1519" t="s">
        <v>601</v>
      </c>
      <c r="AF1519" t="s">
        <v>21</v>
      </c>
    </row>
    <row r="1520" spans="1:32">
      <c r="A1520" t="s">
        <v>2457</v>
      </c>
      <c r="B1520" s="37">
        <v>39999</v>
      </c>
      <c r="C1520" s="38">
        <v>39999</v>
      </c>
      <c r="D1520" s="38">
        <v>39993</v>
      </c>
      <c r="E1520" s="38">
        <v>39995</v>
      </c>
      <c r="F1520" s="39">
        <v>94</v>
      </c>
      <c r="G1520" t="s">
        <v>380</v>
      </c>
      <c r="H1520" t="s">
        <v>17</v>
      </c>
      <c r="I1520">
        <v>0</v>
      </c>
      <c r="J1520">
        <v>0</v>
      </c>
      <c r="K1520">
        <v>1</v>
      </c>
      <c r="L1520">
        <v>0</v>
      </c>
      <c r="M1520">
        <v>0</v>
      </c>
      <c r="N1520" t="s">
        <v>193</v>
      </c>
      <c r="O1520" t="s">
        <v>213</v>
      </c>
      <c r="P1520" t="s">
        <v>204</v>
      </c>
      <c r="Q1520" t="s">
        <v>170</v>
      </c>
      <c r="R1520" t="s">
        <v>155</v>
      </c>
      <c r="T1520" t="s">
        <v>134</v>
      </c>
      <c r="U1520">
        <v>1</v>
      </c>
      <c r="V1520">
        <v>2</v>
      </c>
      <c r="W1520" t="s">
        <v>136</v>
      </c>
      <c r="X1520">
        <v>0</v>
      </c>
      <c r="Y1520" t="s">
        <v>140</v>
      </c>
      <c r="Z1520" t="s">
        <v>179</v>
      </c>
      <c r="AA1520" t="s">
        <v>144</v>
      </c>
      <c r="AB1520" t="s">
        <v>162</v>
      </c>
      <c r="AC1520" t="s">
        <v>21</v>
      </c>
      <c r="AD1520" t="s">
        <v>155</v>
      </c>
      <c r="AE1520" t="s">
        <v>130</v>
      </c>
      <c r="AF1520" t="s">
        <v>21</v>
      </c>
    </row>
    <row r="1521" spans="1:32">
      <c r="A1521" t="s">
        <v>2458</v>
      </c>
      <c r="B1521" s="37">
        <v>39971</v>
      </c>
      <c r="C1521" s="38">
        <v>39971</v>
      </c>
      <c r="D1521" s="38">
        <v>39965</v>
      </c>
      <c r="E1521" s="38">
        <v>39965</v>
      </c>
      <c r="F1521" s="39">
        <v>66</v>
      </c>
      <c r="G1521" t="s">
        <v>21</v>
      </c>
      <c r="H1521" t="s">
        <v>21</v>
      </c>
      <c r="I1521">
        <v>0</v>
      </c>
      <c r="J1521">
        <v>0</v>
      </c>
      <c r="K1521">
        <v>0</v>
      </c>
      <c r="L1521">
        <v>1</v>
      </c>
      <c r="M1521">
        <v>0</v>
      </c>
      <c r="N1521" t="s">
        <v>195</v>
      </c>
      <c r="O1521" t="s">
        <v>213</v>
      </c>
      <c r="P1521" t="s">
        <v>206</v>
      </c>
      <c r="Q1521" t="s">
        <v>170</v>
      </c>
      <c r="R1521" t="s">
        <v>155</v>
      </c>
      <c r="T1521" t="s">
        <v>134</v>
      </c>
      <c r="U1521">
        <v>1</v>
      </c>
      <c r="W1521" t="s">
        <v>134</v>
      </c>
      <c r="X1521">
        <v>1</v>
      </c>
      <c r="Y1521" t="s">
        <v>139</v>
      </c>
      <c r="Z1521" t="s">
        <v>179</v>
      </c>
      <c r="AA1521" t="s">
        <v>144</v>
      </c>
      <c r="AB1521" t="s">
        <v>162</v>
      </c>
      <c r="AC1521" t="s">
        <v>174</v>
      </c>
      <c r="AD1521" t="s">
        <v>156</v>
      </c>
      <c r="AE1521" t="s">
        <v>120</v>
      </c>
      <c r="AF1521" t="s">
        <v>2459</v>
      </c>
    </row>
    <row r="1522" spans="1:32">
      <c r="A1522" t="s">
        <v>2460</v>
      </c>
      <c r="B1522" s="37">
        <v>40033</v>
      </c>
      <c r="C1522" s="38">
        <v>40033</v>
      </c>
      <c r="D1522" s="38">
        <v>40028</v>
      </c>
      <c r="E1522" s="38">
        <v>40026</v>
      </c>
      <c r="F1522" s="39">
        <v>128</v>
      </c>
      <c r="G1522" t="s">
        <v>21</v>
      </c>
      <c r="H1522" t="s">
        <v>21</v>
      </c>
      <c r="I1522">
        <v>0</v>
      </c>
      <c r="J1522">
        <v>0</v>
      </c>
      <c r="K1522">
        <v>0</v>
      </c>
      <c r="L1522">
        <v>1</v>
      </c>
      <c r="M1522">
        <v>0</v>
      </c>
      <c r="N1522" t="s">
        <v>193</v>
      </c>
      <c r="O1522" t="s">
        <v>213</v>
      </c>
      <c r="P1522" t="s">
        <v>204</v>
      </c>
      <c r="Q1522" t="s">
        <v>170</v>
      </c>
      <c r="R1522" t="s">
        <v>155</v>
      </c>
      <c r="S1522">
        <v>5</v>
      </c>
      <c r="T1522" t="s">
        <v>135</v>
      </c>
      <c r="U1522">
        <v>0</v>
      </c>
      <c r="V1522">
        <v>5</v>
      </c>
      <c r="W1522" t="s">
        <v>135</v>
      </c>
      <c r="X1522">
        <v>0</v>
      </c>
      <c r="Y1522" t="s">
        <v>140</v>
      </c>
      <c r="Z1522" t="s">
        <v>180</v>
      </c>
      <c r="AA1522" t="s">
        <v>146</v>
      </c>
      <c r="AB1522" t="s">
        <v>162</v>
      </c>
      <c r="AC1522" t="s">
        <v>175</v>
      </c>
      <c r="AD1522" t="s">
        <v>155</v>
      </c>
      <c r="AE1522" t="s">
        <v>129</v>
      </c>
      <c r="AF1522" t="s">
        <v>21</v>
      </c>
    </row>
    <row r="1523" spans="1:32">
      <c r="A1523" t="s">
        <v>2461</v>
      </c>
      <c r="B1523" s="37">
        <v>39999</v>
      </c>
      <c r="C1523" s="38">
        <v>39999</v>
      </c>
      <c r="D1523" s="38">
        <v>39993</v>
      </c>
      <c r="E1523" s="38">
        <v>39995</v>
      </c>
      <c r="F1523" s="39">
        <v>94</v>
      </c>
      <c r="G1523" t="s">
        <v>9</v>
      </c>
      <c r="H1523" t="s">
        <v>9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196</v>
      </c>
      <c r="O1523" t="s">
        <v>213</v>
      </c>
      <c r="P1523" t="s">
        <v>207</v>
      </c>
      <c r="Q1523" t="s">
        <v>170</v>
      </c>
      <c r="R1523" t="s">
        <v>155</v>
      </c>
      <c r="T1523" t="s">
        <v>134</v>
      </c>
      <c r="U1523">
        <v>1</v>
      </c>
      <c r="V1523">
        <v>5</v>
      </c>
      <c r="W1523" t="s">
        <v>135</v>
      </c>
      <c r="X1523">
        <v>0</v>
      </c>
      <c r="Y1523" t="s">
        <v>139</v>
      </c>
      <c r="Z1523" t="s">
        <v>178</v>
      </c>
      <c r="AA1523" t="s">
        <v>151</v>
      </c>
      <c r="AB1523" t="s">
        <v>163</v>
      </c>
      <c r="AC1523" t="s">
        <v>1182</v>
      </c>
      <c r="AD1523" t="s">
        <v>155</v>
      </c>
      <c r="AE1523" t="s">
        <v>746</v>
      </c>
      <c r="AF1523" t="s">
        <v>21</v>
      </c>
    </row>
    <row r="1524" spans="1:32">
      <c r="A1524" t="s">
        <v>2462</v>
      </c>
      <c r="B1524" s="37">
        <v>40051</v>
      </c>
      <c r="C1524" s="38">
        <v>40051</v>
      </c>
      <c r="D1524" s="38">
        <v>40049</v>
      </c>
      <c r="E1524" s="38">
        <v>40026</v>
      </c>
      <c r="F1524" s="39">
        <v>146</v>
      </c>
      <c r="G1524" t="s">
        <v>383</v>
      </c>
      <c r="H1524" t="s">
        <v>17</v>
      </c>
      <c r="I1524">
        <v>0</v>
      </c>
      <c r="J1524">
        <v>0</v>
      </c>
      <c r="K1524">
        <v>1</v>
      </c>
      <c r="L1524">
        <v>0</v>
      </c>
      <c r="M1524">
        <v>0</v>
      </c>
      <c r="N1524" t="s">
        <v>195</v>
      </c>
      <c r="O1524" t="s">
        <v>213</v>
      </c>
      <c r="P1524" t="s">
        <v>206</v>
      </c>
      <c r="Q1524" t="s">
        <v>170</v>
      </c>
      <c r="R1524" t="s">
        <v>155</v>
      </c>
      <c r="S1524">
        <v>5</v>
      </c>
      <c r="T1524" t="s">
        <v>135</v>
      </c>
      <c r="U1524">
        <v>0</v>
      </c>
      <c r="V1524">
        <v>3</v>
      </c>
      <c r="W1524" t="s">
        <v>137</v>
      </c>
      <c r="X1524">
        <v>0</v>
      </c>
      <c r="Y1524" t="s">
        <v>139</v>
      </c>
      <c r="Z1524" t="s">
        <v>189</v>
      </c>
      <c r="AA1524" t="s">
        <v>145</v>
      </c>
      <c r="AB1524" t="s">
        <v>163</v>
      </c>
      <c r="AC1524" t="s">
        <v>1308</v>
      </c>
      <c r="AD1524" t="s">
        <v>155</v>
      </c>
      <c r="AE1524" t="s">
        <v>510</v>
      </c>
      <c r="AF1524" t="s">
        <v>21</v>
      </c>
    </row>
    <row r="1525" spans="1:32">
      <c r="A1525" t="s">
        <v>2463</v>
      </c>
      <c r="B1525" s="37">
        <v>40036</v>
      </c>
      <c r="C1525" s="38">
        <v>40036</v>
      </c>
      <c r="D1525" s="38">
        <v>40035</v>
      </c>
      <c r="E1525" s="38">
        <v>40026</v>
      </c>
      <c r="F1525" s="39">
        <v>131</v>
      </c>
      <c r="G1525" t="s">
        <v>383</v>
      </c>
      <c r="H1525" t="s">
        <v>17</v>
      </c>
      <c r="I1525">
        <v>0</v>
      </c>
      <c r="J1525">
        <v>0</v>
      </c>
      <c r="K1525">
        <v>1</v>
      </c>
      <c r="L1525">
        <v>0</v>
      </c>
      <c r="M1525">
        <v>0</v>
      </c>
      <c r="N1525" t="s">
        <v>195</v>
      </c>
      <c r="O1525" t="s">
        <v>213</v>
      </c>
      <c r="P1525" t="s">
        <v>206</v>
      </c>
      <c r="Q1525" t="s">
        <v>170</v>
      </c>
      <c r="R1525" t="s">
        <v>155</v>
      </c>
      <c r="S1525">
        <v>5</v>
      </c>
      <c r="T1525" t="s">
        <v>135</v>
      </c>
      <c r="U1525">
        <v>0</v>
      </c>
      <c r="V1525">
        <v>5</v>
      </c>
      <c r="W1525" t="s">
        <v>135</v>
      </c>
      <c r="X1525">
        <v>0</v>
      </c>
      <c r="Y1525" t="s">
        <v>139</v>
      </c>
      <c r="Z1525" t="s">
        <v>188</v>
      </c>
      <c r="AA1525" t="s">
        <v>149</v>
      </c>
      <c r="AB1525" t="s">
        <v>163</v>
      </c>
      <c r="AC1525" t="s">
        <v>974</v>
      </c>
      <c r="AD1525" t="s">
        <v>155</v>
      </c>
      <c r="AE1525" t="s">
        <v>439</v>
      </c>
      <c r="AF1525" t="s">
        <v>21</v>
      </c>
    </row>
    <row r="1526" spans="1:32">
      <c r="A1526" t="s">
        <v>2464</v>
      </c>
      <c r="B1526" s="37">
        <v>39916</v>
      </c>
      <c r="C1526" s="38">
        <v>39916</v>
      </c>
      <c r="D1526" s="38">
        <v>39916</v>
      </c>
      <c r="E1526" s="38">
        <v>39904</v>
      </c>
      <c r="F1526" s="39">
        <v>11</v>
      </c>
      <c r="G1526" t="s">
        <v>21</v>
      </c>
      <c r="H1526" t="s">
        <v>21</v>
      </c>
      <c r="I1526">
        <v>0</v>
      </c>
      <c r="J1526">
        <v>0</v>
      </c>
      <c r="K1526">
        <v>0</v>
      </c>
      <c r="L1526">
        <v>1</v>
      </c>
      <c r="M1526">
        <v>0</v>
      </c>
      <c r="N1526" t="s">
        <v>199</v>
      </c>
      <c r="O1526" t="s">
        <v>213</v>
      </c>
      <c r="P1526" t="s">
        <v>210</v>
      </c>
      <c r="Q1526" t="s">
        <v>170</v>
      </c>
      <c r="R1526" t="s">
        <v>155</v>
      </c>
      <c r="T1526" t="s">
        <v>134</v>
      </c>
      <c r="U1526">
        <v>1</v>
      </c>
      <c r="W1526" t="s">
        <v>134</v>
      </c>
      <c r="X1526">
        <v>1</v>
      </c>
      <c r="Y1526" t="s">
        <v>139</v>
      </c>
      <c r="Z1526" t="s">
        <v>185</v>
      </c>
      <c r="AA1526" t="s">
        <v>142</v>
      </c>
      <c r="AB1526" t="s">
        <v>162</v>
      </c>
      <c r="AC1526" t="s">
        <v>506</v>
      </c>
      <c r="AD1526" t="s">
        <v>156</v>
      </c>
      <c r="AE1526" t="s">
        <v>120</v>
      </c>
      <c r="AF1526" t="s">
        <v>2465</v>
      </c>
    </row>
    <row r="1527" spans="1:32">
      <c r="A1527" t="s">
        <v>2466</v>
      </c>
      <c r="B1527" s="37">
        <v>39966</v>
      </c>
      <c r="C1527" s="38">
        <v>39966</v>
      </c>
      <c r="D1527" s="38">
        <v>39965</v>
      </c>
      <c r="E1527" s="38">
        <v>39965</v>
      </c>
      <c r="F1527" s="39">
        <v>61</v>
      </c>
      <c r="G1527" t="s">
        <v>21</v>
      </c>
      <c r="H1527" t="s">
        <v>21</v>
      </c>
      <c r="I1527">
        <v>0</v>
      </c>
      <c r="J1527">
        <v>0</v>
      </c>
      <c r="K1527">
        <v>0</v>
      </c>
      <c r="L1527">
        <v>1</v>
      </c>
      <c r="M1527">
        <v>0</v>
      </c>
      <c r="N1527" t="s">
        <v>193</v>
      </c>
      <c r="O1527" t="s">
        <v>213</v>
      </c>
      <c r="P1527" t="s">
        <v>204</v>
      </c>
      <c r="Q1527" t="s">
        <v>170</v>
      </c>
      <c r="R1527" t="s">
        <v>155</v>
      </c>
      <c r="T1527" t="s">
        <v>134</v>
      </c>
      <c r="U1527">
        <v>1</v>
      </c>
      <c r="W1527" t="s">
        <v>134</v>
      </c>
      <c r="X1527">
        <v>1</v>
      </c>
      <c r="Y1527" t="s">
        <v>140</v>
      </c>
      <c r="Z1527" t="s">
        <v>185</v>
      </c>
      <c r="AA1527" t="s">
        <v>148</v>
      </c>
      <c r="AB1527" t="s">
        <v>162</v>
      </c>
      <c r="AC1527" t="s">
        <v>597</v>
      </c>
      <c r="AD1527" t="s">
        <v>155</v>
      </c>
      <c r="AE1527" t="s">
        <v>130</v>
      </c>
      <c r="AF1527" t="s">
        <v>21</v>
      </c>
    </row>
    <row r="1528" spans="1:32">
      <c r="A1528" t="s">
        <v>2467</v>
      </c>
      <c r="B1528" s="37">
        <v>39922</v>
      </c>
      <c r="C1528" s="38">
        <v>39922</v>
      </c>
      <c r="D1528" s="38">
        <v>39916</v>
      </c>
      <c r="E1528" s="38">
        <v>39904</v>
      </c>
      <c r="F1528" s="39">
        <v>17</v>
      </c>
      <c r="G1528" t="s">
        <v>525</v>
      </c>
      <c r="H1528" t="s">
        <v>17</v>
      </c>
      <c r="I1528">
        <v>0</v>
      </c>
      <c r="J1528">
        <v>0</v>
      </c>
      <c r="K1528">
        <v>1</v>
      </c>
      <c r="L1528">
        <v>0</v>
      </c>
      <c r="M1528">
        <v>0</v>
      </c>
      <c r="N1528" t="s">
        <v>201</v>
      </c>
      <c r="O1528" t="s">
        <v>214</v>
      </c>
      <c r="P1528" t="s">
        <v>204</v>
      </c>
      <c r="Q1528" t="s">
        <v>170</v>
      </c>
      <c r="R1528" t="s">
        <v>155</v>
      </c>
      <c r="T1528" t="s">
        <v>134</v>
      </c>
      <c r="U1528">
        <v>1</v>
      </c>
      <c r="W1528" t="s">
        <v>134</v>
      </c>
      <c r="X1528">
        <v>1</v>
      </c>
      <c r="Y1528" t="s">
        <v>140</v>
      </c>
      <c r="Z1528" t="s">
        <v>810</v>
      </c>
      <c r="AA1528" t="s">
        <v>151</v>
      </c>
      <c r="AB1528" t="s">
        <v>163</v>
      </c>
      <c r="AC1528" t="s">
        <v>173</v>
      </c>
      <c r="AD1528" t="s">
        <v>161</v>
      </c>
      <c r="AE1528" t="s">
        <v>420</v>
      </c>
      <c r="AF1528" t="s">
        <v>21</v>
      </c>
    </row>
    <row r="1529" spans="1:32">
      <c r="A1529" t="s">
        <v>2468</v>
      </c>
      <c r="B1529" s="37">
        <v>39954</v>
      </c>
      <c r="C1529" s="38">
        <v>39954</v>
      </c>
      <c r="D1529" s="38">
        <v>39951</v>
      </c>
      <c r="E1529" s="38">
        <v>39934</v>
      </c>
      <c r="F1529" s="39">
        <v>49</v>
      </c>
      <c r="G1529" t="s">
        <v>21</v>
      </c>
      <c r="H1529" t="s">
        <v>21</v>
      </c>
      <c r="I1529">
        <v>0</v>
      </c>
      <c r="J1529">
        <v>0</v>
      </c>
      <c r="K1529">
        <v>0</v>
      </c>
      <c r="L1529">
        <v>1</v>
      </c>
      <c r="M1529">
        <v>0</v>
      </c>
      <c r="N1529" t="s">
        <v>193</v>
      </c>
      <c r="O1529" t="s">
        <v>213</v>
      </c>
      <c r="P1529" t="s">
        <v>204</v>
      </c>
      <c r="Q1529" t="s">
        <v>170</v>
      </c>
      <c r="R1529" t="s">
        <v>155</v>
      </c>
      <c r="T1529" t="s">
        <v>134</v>
      </c>
      <c r="U1529">
        <v>1</v>
      </c>
      <c r="W1529" t="s">
        <v>134</v>
      </c>
      <c r="X1529">
        <v>1</v>
      </c>
      <c r="Y1529" t="s">
        <v>140</v>
      </c>
      <c r="Z1529" t="s">
        <v>188</v>
      </c>
      <c r="AA1529" t="s">
        <v>145</v>
      </c>
      <c r="AB1529" t="s">
        <v>163</v>
      </c>
      <c r="AC1529" t="s">
        <v>797</v>
      </c>
      <c r="AD1529" t="s">
        <v>155</v>
      </c>
      <c r="AE1529" t="s">
        <v>124</v>
      </c>
      <c r="AF1529" t="s">
        <v>21</v>
      </c>
    </row>
    <row r="1530" spans="1:32">
      <c r="A1530" t="s">
        <v>2469</v>
      </c>
      <c r="B1530" s="37">
        <v>39981</v>
      </c>
      <c r="C1530" s="38">
        <v>39981</v>
      </c>
      <c r="D1530" s="38">
        <v>39979</v>
      </c>
      <c r="E1530" s="38">
        <v>39965</v>
      </c>
      <c r="F1530" s="39">
        <v>76</v>
      </c>
      <c r="G1530" t="s">
        <v>570</v>
      </c>
      <c r="H1530" t="s">
        <v>13</v>
      </c>
      <c r="I1530">
        <v>0</v>
      </c>
      <c r="J1530">
        <v>1</v>
      </c>
      <c r="K1530">
        <v>0</v>
      </c>
      <c r="L1530">
        <v>0</v>
      </c>
      <c r="M1530">
        <v>1</v>
      </c>
      <c r="N1530" t="s">
        <v>193</v>
      </c>
      <c r="O1530" t="s">
        <v>213</v>
      </c>
      <c r="P1530" t="s">
        <v>204</v>
      </c>
      <c r="Q1530" t="s">
        <v>170</v>
      </c>
      <c r="R1530" t="s">
        <v>155</v>
      </c>
      <c r="T1530" t="s">
        <v>134</v>
      </c>
      <c r="U1530">
        <v>1</v>
      </c>
      <c r="W1530" t="s">
        <v>134</v>
      </c>
      <c r="X1530">
        <v>1</v>
      </c>
      <c r="Y1530" t="s">
        <v>140</v>
      </c>
      <c r="Z1530" t="s">
        <v>191</v>
      </c>
      <c r="AA1530" t="s">
        <v>146</v>
      </c>
      <c r="AB1530" t="s">
        <v>163</v>
      </c>
      <c r="AC1530" t="s">
        <v>173</v>
      </c>
      <c r="AD1530" t="s">
        <v>155</v>
      </c>
      <c r="AE1530" t="s">
        <v>125</v>
      </c>
      <c r="AF1530" t="s">
        <v>21</v>
      </c>
    </row>
    <row r="1531" spans="1:32">
      <c r="A1531" t="s">
        <v>2470</v>
      </c>
      <c r="B1531" s="37">
        <v>39982</v>
      </c>
      <c r="C1531" s="38">
        <v>39982</v>
      </c>
      <c r="D1531" s="38">
        <v>39979</v>
      </c>
      <c r="E1531" s="38">
        <v>39965</v>
      </c>
      <c r="F1531" s="39">
        <v>77</v>
      </c>
      <c r="G1531" t="s">
        <v>21</v>
      </c>
      <c r="H1531" t="s">
        <v>21</v>
      </c>
      <c r="I1531">
        <v>0</v>
      </c>
      <c r="J1531">
        <v>0</v>
      </c>
      <c r="K1531">
        <v>0</v>
      </c>
      <c r="L1531">
        <v>1</v>
      </c>
      <c r="M1531">
        <v>0</v>
      </c>
      <c r="N1531" t="s">
        <v>193</v>
      </c>
      <c r="O1531" t="s">
        <v>213</v>
      </c>
      <c r="P1531" t="s">
        <v>204</v>
      </c>
      <c r="Q1531" t="s">
        <v>170</v>
      </c>
      <c r="R1531" t="s">
        <v>155</v>
      </c>
      <c r="T1531" t="s">
        <v>134</v>
      </c>
      <c r="U1531">
        <v>1</v>
      </c>
      <c r="W1531" t="s">
        <v>134</v>
      </c>
      <c r="X1531">
        <v>1</v>
      </c>
      <c r="Y1531" t="s">
        <v>140</v>
      </c>
      <c r="Z1531" t="s">
        <v>191</v>
      </c>
      <c r="AA1531" t="s">
        <v>143</v>
      </c>
      <c r="AB1531" t="s">
        <v>162</v>
      </c>
      <c r="AC1531" t="s">
        <v>176</v>
      </c>
      <c r="AD1531" t="s">
        <v>155</v>
      </c>
      <c r="AE1531" t="s">
        <v>454</v>
      </c>
      <c r="AF1531" t="s">
        <v>21</v>
      </c>
    </row>
    <row r="1532" spans="1:32">
      <c r="A1532" t="s">
        <v>2471</v>
      </c>
      <c r="B1532" s="37">
        <v>39991</v>
      </c>
      <c r="C1532" s="38">
        <v>39991</v>
      </c>
      <c r="D1532" s="38">
        <v>39986</v>
      </c>
      <c r="E1532" s="38">
        <v>39965</v>
      </c>
      <c r="F1532" s="39">
        <v>86</v>
      </c>
      <c r="G1532" t="s">
        <v>21</v>
      </c>
      <c r="H1532" t="s">
        <v>21</v>
      </c>
      <c r="I1532">
        <v>0</v>
      </c>
      <c r="J1532">
        <v>0</v>
      </c>
      <c r="K1532">
        <v>0</v>
      </c>
      <c r="L1532">
        <v>1</v>
      </c>
      <c r="M1532">
        <v>0</v>
      </c>
      <c r="N1532" t="s">
        <v>193</v>
      </c>
      <c r="O1532" t="s">
        <v>213</v>
      </c>
      <c r="P1532" t="s">
        <v>204</v>
      </c>
      <c r="Q1532" t="s">
        <v>170</v>
      </c>
      <c r="R1532" t="s">
        <v>155</v>
      </c>
      <c r="T1532" t="s">
        <v>134</v>
      </c>
      <c r="U1532">
        <v>1</v>
      </c>
      <c r="V1532">
        <v>3</v>
      </c>
      <c r="W1532" t="s">
        <v>137</v>
      </c>
      <c r="X1532">
        <v>0</v>
      </c>
      <c r="Y1532" t="s">
        <v>140</v>
      </c>
      <c r="Z1532" t="s">
        <v>189</v>
      </c>
      <c r="AA1532" t="s">
        <v>144</v>
      </c>
      <c r="AB1532" t="s">
        <v>163</v>
      </c>
      <c r="AC1532" t="s">
        <v>173</v>
      </c>
      <c r="AD1532" t="s">
        <v>155</v>
      </c>
      <c r="AE1532" t="s">
        <v>962</v>
      </c>
      <c r="AF1532" t="s">
        <v>21</v>
      </c>
    </row>
    <row r="1533" spans="1:32">
      <c r="A1533" t="s">
        <v>2472</v>
      </c>
      <c r="B1533" s="37">
        <v>39984</v>
      </c>
      <c r="C1533" s="38">
        <v>39984</v>
      </c>
      <c r="D1533" s="38">
        <v>39979</v>
      </c>
      <c r="E1533" s="38">
        <v>39965</v>
      </c>
      <c r="F1533" s="39">
        <v>79</v>
      </c>
      <c r="G1533" t="s">
        <v>525</v>
      </c>
      <c r="H1533" t="s">
        <v>17</v>
      </c>
      <c r="I1533">
        <v>0</v>
      </c>
      <c r="J1533">
        <v>0</v>
      </c>
      <c r="K1533">
        <v>1</v>
      </c>
      <c r="L1533">
        <v>0</v>
      </c>
      <c r="M1533">
        <v>0</v>
      </c>
      <c r="N1533" t="s">
        <v>196</v>
      </c>
      <c r="O1533" t="s">
        <v>213</v>
      </c>
      <c r="P1533" t="s">
        <v>207</v>
      </c>
      <c r="Q1533" t="s">
        <v>170</v>
      </c>
      <c r="R1533" t="s">
        <v>155</v>
      </c>
      <c r="T1533" t="s">
        <v>134</v>
      </c>
      <c r="U1533">
        <v>1</v>
      </c>
      <c r="W1533" t="s">
        <v>134</v>
      </c>
      <c r="X1533">
        <v>1</v>
      </c>
      <c r="Y1533" t="s">
        <v>139</v>
      </c>
      <c r="Z1533" t="s">
        <v>181</v>
      </c>
      <c r="AA1533" t="s">
        <v>149</v>
      </c>
      <c r="AB1533" t="s">
        <v>162</v>
      </c>
      <c r="AC1533" t="s">
        <v>175</v>
      </c>
      <c r="AD1533" t="s">
        <v>155</v>
      </c>
      <c r="AE1533" t="s">
        <v>130</v>
      </c>
      <c r="AF1533" t="s">
        <v>21</v>
      </c>
    </row>
    <row r="1534" spans="1:32">
      <c r="A1534" t="s">
        <v>2473</v>
      </c>
      <c r="B1534" s="37">
        <v>39944</v>
      </c>
      <c r="C1534" s="38">
        <v>39944</v>
      </c>
      <c r="D1534" s="38">
        <v>39944</v>
      </c>
      <c r="E1534" s="38">
        <v>39934</v>
      </c>
      <c r="F1534" s="39">
        <v>39</v>
      </c>
      <c r="G1534" t="s">
        <v>21</v>
      </c>
      <c r="H1534" t="s">
        <v>21</v>
      </c>
      <c r="I1534">
        <v>0</v>
      </c>
      <c r="J1534">
        <v>0</v>
      </c>
      <c r="K1534">
        <v>0</v>
      </c>
      <c r="L1534">
        <v>1</v>
      </c>
      <c r="M1534">
        <v>0</v>
      </c>
      <c r="N1534" t="s">
        <v>193</v>
      </c>
      <c r="O1534" t="s">
        <v>213</v>
      </c>
      <c r="P1534" t="s">
        <v>204</v>
      </c>
      <c r="Q1534" t="s">
        <v>170</v>
      </c>
      <c r="R1534" t="s">
        <v>155</v>
      </c>
      <c r="T1534" t="s">
        <v>134</v>
      </c>
      <c r="U1534">
        <v>1</v>
      </c>
      <c r="W1534" t="s">
        <v>134</v>
      </c>
      <c r="X1534">
        <v>1</v>
      </c>
      <c r="Y1534" t="s">
        <v>140</v>
      </c>
      <c r="Z1534" t="s">
        <v>184</v>
      </c>
      <c r="AA1534" t="s">
        <v>143</v>
      </c>
      <c r="AB1534" t="s">
        <v>165</v>
      </c>
      <c r="AC1534" t="s">
        <v>2169</v>
      </c>
      <c r="AD1534" t="s">
        <v>158</v>
      </c>
      <c r="AE1534" t="s">
        <v>122</v>
      </c>
      <c r="AF1534" t="s">
        <v>21</v>
      </c>
    </row>
    <row r="1535" spans="1:32">
      <c r="A1535" t="s">
        <v>2474</v>
      </c>
      <c r="B1535" s="37">
        <v>40082</v>
      </c>
      <c r="C1535" s="38">
        <v>40082</v>
      </c>
      <c r="D1535" s="38">
        <v>40077</v>
      </c>
      <c r="E1535" s="38">
        <v>40057</v>
      </c>
      <c r="F1535" s="39">
        <v>177</v>
      </c>
      <c r="G1535" t="s">
        <v>21</v>
      </c>
      <c r="H1535" t="s">
        <v>21</v>
      </c>
      <c r="I1535">
        <v>0</v>
      </c>
      <c r="J1535">
        <v>0</v>
      </c>
      <c r="K1535">
        <v>0</v>
      </c>
      <c r="L1535">
        <v>1</v>
      </c>
      <c r="M1535">
        <v>0</v>
      </c>
      <c r="N1535" t="s">
        <v>197</v>
      </c>
      <c r="O1535" t="s">
        <v>213</v>
      </c>
      <c r="P1535" t="s">
        <v>209</v>
      </c>
      <c r="Q1535" t="s">
        <v>170</v>
      </c>
      <c r="R1535" t="s">
        <v>155</v>
      </c>
      <c r="S1535">
        <v>5</v>
      </c>
      <c r="T1535" t="s">
        <v>135</v>
      </c>
      <c r="U1535">
        <v>0</v>
      </c>
      <c r="V1535">
        <v>5</v>
      </c>
      <c r="W1535" t="s">
        <v>135</v>
      </c>
      <c r="X1535">
        <v>0</v>
      </c>
      <c r="Y1535" t="s">
        <v>139</v>
      </c>
      <c r="Z1535" t="s">
        <v>184</v>
      </c>
      <c r="AA1535" t="s">
        <v>144</v>
      </c>
      <c r="AB1535" t="s">
        <v>162</v>
      </c>
      <c r="AC1535" t="s">
        <v>175</v>
      </c>
      <c r="AD1535" t="s">
        <v>155</v>
      </c>
      <c r="AE1535" t="s">
        <v>129</v>
      </c>
      <c r="AF1535" t="s">
        <v>21</v>
      </c>
    </row>
    <row r="1536" spans="1:32">
      <c r="A1536" t="s">
        <v>2475</v>
      </c>
      <c r="B1536" s="37">
        <v>39920</v>
      </c>
      <c r="C1536" s="38">
        <v>39920</v>
      </c>
      <c r="D1536" s="38">
        <v>39916</v>
      </c>
      <c r="E1536" s="38">
        <v>39904</v>
      </c>
      <c r="F1536" s="39">
        <v>15</v>
      </c>
      <c r="G1536" t="s">
        <v>9</v>
      </c>
      <c r="H1536" t="s">
        <v>9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193</v>
      </c>
      <c r="O1536" t="s">
        <v>213</v>
      </c>
      <c r="P1536" t="s">
        <v>204</v>
      </c>
      <c r="Q1536" t="s">
        <v>170</v>
      </c>
      <c r="R1536" t="s">
        <v>155</v>
      </c>
      <c r="T1536" t="s">
        <v>134</v>
      </c>
      <c r="U1536">
        <v>1</v>
      </c>
      <c r="W1536" t="s">
        <v>134</v>
      </c>
      <c r="X1536">
        <v>1</v>
      </c>
      <c r="Y1536" t="s">
        <v>140</v>
      </c>
      <c r="Z1536" t="s">
        <v>184</v>
      </c>
      <c r="AA1536" t="s">
        <v>145</v>
      </c>
      <c r="AB1536" t="s">
        <v>163</v>
      </c>
      <c r="AC1536" t="s">
        <v>2476</v>
      </c>
      <c r="AD1536" t="s">
        <v>155</v>
      </c>
      <c r="AE1536" t="s">
        <v>439</v>
      </c>
      <c r="AF1536" t="s">
        <v>21</v>
      </c>
    </row>
    <row r="1537" spans="1:32">
      <c r="A1537" t="s">
        <v>2477</v>
      </c>
      <c r="B1537" s="37">
        <v>39912</v>
      </c>
      <c r="C1537" s="38">
        <v>39912</v>
      </c>
      <c r="D1537" s="38">
        <v>39909</v>
      </c>
      <c r="E1537" s="38">
        <v>39904</v>
      </c>
      <c r="F1537" s="39">
        <v>7</v>
      </c>
      <c r="G1537" t="s">
        <v>21</v>
      </c>
      <c r="H1537" t="s">
        <v>21</v>
      </c>
      <c r="I1537">
        <v>0</v>
      </c>
      <c r="J1537">
        <v>0</v>
      </c>
      <c r="K1537">
        <v>0</v>
      </c>
      <c r="L1537">
        <v>1</v>
      </c>
      <c r="M1537">
        <v>0</v>
      </c>
      <c r="N1537" t="s">
        <v>193</v>
      </c>
      <c r="O1537" t="s">
        <v>213</v>
      </c>
      <c r="P1537" t="s">
        <v>204</v>
      </c>
      <c r="Q1537" t="s">
        <v>170</v>
      </c>
      <c r="R1537" t="s">
        <v>155</v>
      </c>
      <c r="T1537" t="s">
        <v>134</v>
      </c>
      <c r="U1537">
        <v>1</v>
      </c>
      <c r="W1537" t="s">
        <v>134</v>
      </c>
      <c r="X1537">
        <v>1</v>
      </c>
      <c r="Y1537" t="s">
        <v>140</v>
      </c>
      <c r="Z1537" t="s">
        <v>181</v>
      </c>
      <c r="AA1537" t="s">
        <v>145</v>
      </c>
      <c r="AB1537" t="s">
        <v>163</v>
      </c>
      <c r="AC1537" t="s">
        <v>173</v>
      </c>
      <c r="AD1537" t="s">
        <v>155</v>
      </c>
      <c r="AE1537" t="s">
        <v>127</v>
      </c>
      <c r="AF1537" t="s">
        <v>21</v>
      </c>
    </row>
    <row r="1538" spans="1:32">
      <c r="A1538" t="s">
        <v>2478</v>
      </c>
      <c r="B1538" s="37">
        <v>39973</v>
      </c>
      <c r="C1538" s="38">
        <v>39973</v>
      </c>
      <c r="D1538" s="38">
        <v>39972</v>
      </c>
      <c r="E1538" s="38">
        <v>39965</v>
      </c>
      <c r="F1538" s="39">
        <v>68</v>
      </c>
      <c r="G1538" t="s">
        <v>21</v>
      </c>
      <c r="H1538" t="s">
        <v>21</v>
      </c>
      <c r="I1538">
        <v>0</v>
      </c>
      <c r="J1538">
        <v>0</v>
      </c>
      <c r="K1538">
        <v>0</v>
      </c>
      <c r="L1538">
        <v>1</v>
      </c>
      <c r="M1538">
        <v>0</v>
      </c>
      <c r="N1538" t="s">
        <v>193</v>
      </c>
      <c r="O1538" t="s">
        <v>213</v>
      </c>
      <c r="P1538" t="s">
        <v>204</v>
      </c>
      <c r="Q1538" t="s">
        <v>170</v>
      </c>
      <c r="R1538" t="s">
        <v>155</v>
      </c>
      <c r="T1538" t="s">
        <v>134</v>
      </c>
      <c r="U1538">
        <v>1</v>
      </c>
      <c r="W1538" t="s">
        <v>134</v>
      </c>
      <c r="X1538">
        <v>1</v>
      </c>
      <c r="Y1538" t="s">
        <v>140</v>
      </c>
      <c r="Z1538" t="s">
        <v>181</v>
      </c>
      <c r="AA1538" t="s">
        <v>143</v>
      </c>
      <c r="AB1538" t="s">
        <v>162</v>
      </c>
      <c r="AC1538" t="s">
        <v>175</v>
      </c>
      <c r="AD1538" t="s">
        <v>155</v>
      </c>
      <c r="AE1538" t="s">
        <v>129</v>
      </c>
      <c r="AF1538" t="s">
        <v>21</v>
      </c>
    </row>
    <row r="1539" spans="1:32">
      <c r="A1539" t="s">
        <v>2479</v>
      </c>
      <c r="B1539" s="37">
        <v>39994</v>
      </c>
      <c r="C1539" s="38">
        <v>39994</v>
      </c>
      <c r="D1539" s="38">
        <v>39993</v>
      </c>
      <c r="E1539" s="38">
        <v>39965</v>
      </c>
      <c r="F1539" s="39">
        <v>89</v>
      </c>
      <c r="G1539" t="s">
        <v>496</v>
      </c>
      <c r="H1539" t="s">
        <v>13</v>
      </c>
      <c r="I1539">
        <v>0</v>
      </c>
      <c r="J1539">
        <v>1</v>
      </c>
      <c r="K1539">
        <v>0</v>
      </c>
      <c r="L1539">
        <v>0</v>
      </c>
      <c r="M1539">
        <v>1</v>
      </c>
      <c r="N1539" t="s">
        <v>193</v>
      </c>
      <c r="O1539" t="s">
        <v>213</v>
      </c>
      <c r="P1539" t="s">
        <v>204</v>
      </c>
      <c r="Q1539" t="s">
        <v>170</v>
      </c>
      <c r="R1539" t="s">
        <v>155</v>
      </c>
      <c r="T1539" t="s">
        <v>134</v>
      </c>
      <c r="U1539">
        <v>1</v>
      </c>
      <c r="V1539">
        <v>3</v>
      </c>
      <c r="W1539" t="s">
        <v>137</v>
      </c>
      <c r="X1539">
        <v>0</v>
      </c>
      <c r="Y1539" t="s">
        <v>140</v>
      </c>
      <c r="Z1539" t="s">
        <v>178</v>
      </c>
      <c r="AA1539" t="s">
        <v>150</v>
      </c>
      <c r="AB1539" t="s">
        <v>163</v>
      </c>
      <c r="AC1539" t="s">
        <v>415</v>
      </c>
      <c r="AD1539" t="s">
        <v>155</v>
      </c>
      <c r="AE1539" t="s">
        <v>125</v>
      </c>
      <c r="AF1539" t="s">
        <v>21</v>
      </c>
    </row>
    <row r="1540" spans="1:32">
      <c r="A1540" t="s">
        <v>2480</v>
      </c>
      <c r="B1540" s="37">
        <v>39964</v>
      </c>
      <c r="C1540" s="38">
        <v>39964</v>
      </c>
      <c r="D1540" s="38">
        <v>39958</v>
      </c>
      <c r="E1540" s="38">
        <v>39934</v>
      </c>
      <c r="F1540" s="39">
        <v>59</v>
      </c>
      <c r="G1540" t="s">
        <v>21</v>
      </c>
      <c r="H1540" t="s">
        <v>21</v>
      </c>
      <c r="I1540">
        <v>0</v>
      </c>
      <c r="J1540">
        <v>0</v>
      </c>
      <c r="K1540">
        <v>0</v>
      </c>
      <c r="L1540">
        <v>1</v>
      </c>
      <c r="M1540">
        <v>0</v>
      </c>
      <c r="N1540" t="s">
        <v>193</v>
      </c>
      <c r="O1540" t="s">
        <v>213</v>
      </c>
      <c r="P1540" t="s">
        <v>204</v>
      </c>
      <c r="Q1540" t="s">
        <v>170</v>
      </c>
      <c r="R1540" t="s">
        <v>155</v>
      </c>
      <c r="T1540" t="s">
        <v>134</v>
      </c>
      <c r="U1540">
        <v>1</v>
      </c>
      <c r="W1540" t="s">
        <v>134</v>
      </c>
      <c r="X1540">
        <v>1</v>
      </c>
      <c r="Y1540" t="s">
        <v>140</v>
      </c>
      <c r="Z1540" t="s">
        <v>178</v>
      </c>
      <c r="AA1540" t="s">
        <v>149</v>
      </c>
      <c r="AB1540" t="s">
        <v>162</v>
      </c>
      <c r="AC1540" t="s">
        <v>175</v>
      </c>
      <c r="AD1540" t="s">
        <v>125</v>
      </c>
      <c r="AE1540" t="s">
        <v>628</v>
      </c>
      <c r="AF1540" t="s">
        <v>2481</v>
      </c>
    </row>
    <row r="1541" spans="1:32">
      <c r="A1541" t="s">
        <v>2482</v>
      </c>
      <c r="B1541" s="37">
        <v>39953</v>
      </c>
      <c r="C1541" s="38">
        <v>39953</v>
      </c>
      <c r="D1541" s="38">
        <v>39951</v>
      </c>
      <c r="E1541" s="38">
        <v>39934</v>
      </c>
      <c r="F1541" s="39">
        <v>48</v>
      </c>
      <c r="G1541" t="s">
        <v>21</v>
      </c>
      <c r="H1541" t="s">
        <v>21</v>
      </c>
      <c r="I1541">
        <v>0</v>
      </c>
      <c r="J1541">
        <v>0</v>
      </c>
      <c r="K1541">
        <v>0</v>
      </c>
      <c r="L1541">
        <v>1</v>
      </c>
      <c r="M1541">
        <v>0</v>
      </c>
      <c r="N1541" t="s">
        <v>194</v>
      </c>
      <c r="O1541" t="s">
        <v>213</v>
      </c>
      <c r="P1541" t="s">
        <v>205</v>
      </c>
      <c r="Q1541" t="s">
        <v>170</v>
      </c>
      <c r="R1541" t="s">
        <v>155</v>
      </c>
      <c r="T1541" t="s">
        <v>134</v>
      </c>
      <c r="U1541">
        <v>1</v>
      </c>
      <c r="W1541" t="s">
        <v>134</v>
      </c>
      <c r="X1541">
        <v>1</v>
      </c>
      <c r="Y1541" t="s">
        <v>139</v>
      </c>
      <c r="Z1541" t="s">
        <v>178</v>
      </c>
      <c r="AA1541" t="s">
        <v>148</v>
      </c>
      <c r="AB1541" t="s">
        <v>163</v>
      </c>
      <c r="AC1541" t="s">
        <v>415</v>
      </c>
      <c r="AD1541" t="s">
        <v>155</v>
      </c>
      <c r="AE1541" t="s">
        <v>125</v>
      </c>
      <c r="AF1541" t="s">
        <v>21</v>
      </c>
    </row>
    <row r="1542" spans="1:32">
      <c r="A1542" t="s">
        <v>2483</v>
      </c>
      <c r="B1542" s="37">
        <v>40015</v>
      </c>
      <c r="C1542" s="38">
        <v>40015</v>
      </c>
      <c r="D1542" s="38">
        <v>40014</v>
      </c>
      <c r="E1542" s="38">
        <v>39995</v>
      </c>
      <c r="F1542" s="39">
        <v>110</v>
      </c>
      <c r="G1542" t="s">
        <v>380</v>
      </c>
      <c r="H1542" t="s">
        <v>17</v>
      </c>
      <c r="I1542">
        <v>0</v>
      </c>
      <c r="J1542">
        <v>0</v>
      </c>
      <c r="K1542">
        <v>1</v>
      </c>
      <c r="L1542">
        <v>0</v>
      </c>
      <c r="M1542">
        <v>0</v>
      </c>
      <c r="N1542" t="s">
        <v>193</v>
      </c>
      <c r="O1542" t="s">
        <v>213</v>
      </c>
      <c r="P1542" t="s">
        <v>204</v>
      </c>
      <c r="Q1542" t="s">
        <v>170</v>
      </c>
      <c r="R1542" t="s">
        <v>155</v>
      </c>
      <c r="S1542">
        <v>5</v>
      </c>
      <c r="T1542" t="s">
        <v>135</v>
      </c>
      <c r="U1542">
        <v>0</v>
      </c>
      <c r="V1542">
        <v>5</v>
      </c>
      <c r="W1542" t="s">
        <v>135</v>
      </c>
      <c r="X1542">
        <v>0</v>
      </c>
      <c r="Y1542" t="s">
        <v>140</v>
      </c>
      <c r="Z1542" t="s">
        <v>178</v>
      </c>
      <c r="AA1542" t="s">
        <v>145</v>
      </c>
      <c r="AB1542" t="s">
        <v>163</v>
      </c>
      <c r="AC1542" t="s">
        <v>2123</v>
      </c>
      <c r="AD1542" t="s">
        <v>155</v>
      </c>
      <c r="AE1542" t="s">
        <v>387</v>
      </c>
      <c r="AF1542" t="s">
        <v>21</v>
      </c>
    </row>
    <row r="1543" spans="1:32">
      <c r="A1543" t="s">
        <v>2484</v>
      </c>
      <c r="B1543" s="37">
        <v>40066</v>
      </c>
      <c r="C1543" s="38">
        <v>40066</v>
      </c>
      <c r="D1543" s="38">
        <v>40063</v>
      </c>
      <c r="E1543" s="38">
        <v>40057</v>
      </c>
      <c r="F1543" s="39">
        <v>161</v>
      </c>
      <c r="G1543" t="s">
        <v>380</v>
      </c>
      <c r="H1543" t="s">
        <v>17</v>
      </c>
      <c r="I1543">
        <v>0</v>
      </c>
      <c r="J1543">
        <v>0</v>
      </c>
      <c r="K1543">
        <v>1</v>
      </c>
      <c r="L1543">
        <v>0</v>
      </c>
      <c r="M1543">
        <v>0</v>
      </c>
      <c r="N1543" t="s">
        <v>193</v>
      </c>
      <c r="O1543" t="s">
        <v>213</v>
      </c>
      <c r="P1543" t="s">
        <v>204</v>
      </c>
      <c r="Q1543" t="s">
        <v>170</v>
      </c>
      <c r="R1543" t="s">
        <v>155</v>
      </c>
      <c r="S1543">
        <v>3</v>
      </c>
      <c r="T1543" t="s">
        <v>137</v>
      </c>
      <c r="U1543">
        <v>0</v>
      </c>
      <c r="V1543">
        <v>4</v>
      </c>
      <c r="W1543" t="s">
        <v>137</v>
      </c>
      <c r="X1543">
        <v>0</v>
      </c>
      <c r="Y1543" t="s">
        <v>140</v>
      </c>
      <c r="Z1543" t="s">
        <v>178</v>
      </c>
      <c r="AA1543" t="s">
        <v>151</v>
      </c>
      <c r="AB1543" t="s">
        <v>162</v>
      </c>
      <c r="AC1543" t="s">
        <v>459</v>
      </c>
      <c r="AD1543" t="s">
        <v>155</v>
      </c>
      <c r="AE1543" t="s">
        <v>129</v>
      </c>
      <c r="AF1543" t="s">
        <v>21</v>
      </c>
    </row>
    <row r="1544" spans="1:32">
      <c r="A1544" t="s">
        <v>2485</v>
      </c>
      <c r="B1544" s="37">
        <v>39942</v>
      </c>
      <c r="C1544" s="38">
        <v>39942</v>
      </c>
      <c r="D1544" s="38">
        <v>39937</v>
      </c>
      <c r="E1544" s="38">
        <v>39934</v>
      </c>
      <c r="F1544" s="39">
        <v>37</v>
      </c>
      <c r="G1544" t="s">
        <v>21</v>
      </c>
      <c r="H1544" t="s">
        <v>21</v>
      </c>
      <c r="I1544">
        <v>0</v>
      </c>
      <c r="J1544">
        <v>0</v>
      </c>
      <c r="K1544">
        <v>0</v>
      </c>
      <c r="L1544">
        <v>1</v>
      </c>
      <c r="M1544">
        <v>0</v>
      </c>
      <c r="N1544" t="s">
        <v>194</v>
      </c>
      <c r="O1544" t="s">
        <v>213</v>
      </c>
      <c r="P1544" t="s">
        <v>205</v>
      </c>
      <c r="Q1544" t="s">
        <v>170</v>
      </c>
      <c r="R1544" t="s">
        <v>155</v>
      </c>
      <c r="T1544" t="s">
        <v>134</v>
      </c>
      <c r="U1544">
        <v>1</v>
      </c>
      <c r="W1544" t="s">
        <v>134</v>
      </c>
      <c r="X1544">
        <v>1</v>
      </c>
      <c r="Y1544" t="s">
        <v>139</v>
      </c>
      <c r="Z1544" t="s">
        <v>178</v>
      </c>
      <c r="AA1544" t="s">
        <v>142</v>
      </c>
      <c r="AB1544" t="s">
        <v>163</v>
      </c>
      <c r="AC1544" t="s">
        <v>21</v>
      </c>
      <c r="AD1544" t="s">
        <v>155</v>
      </c>
      <c r="AE1544" t="s">
        <v>2486</v>
      </c>
      <c r="AF1544" t="s">
        <v>21</v>
      </c>
    </row>
    <row r="1545" spans="1:32">
      <c r="A1545" t="s">
        <v>2487</v>
      </c>
      <c r="B1545" s="37">
        <v>39960</v>
      </c>
      <c r="C1545" s="38">
        <v>39960</v>
      </c>
      <c r="D1545" s="38">
        <v>39958</v>
      </c>
      <c r="E1545" s="38">
        <v>39934</v>
      </c>
      <c r="F1545" s="39">
        <v>55</v>
      </c>
      <c r="G1545" t="s">
        <v>525</v>
      </c>
      <c r="H1545" t="s">
        <v>17</v>
      </c>
      <c r="I1545">
        <v>0</v>
      </c>
      <c r="J1545">
        <v>0</v>
      </c>
      <c r="K1545">
        <v>1</v>
      </c>
      <c r="L1545">
        <v>0</v>
      </c>
      <c r="M1545">
        <v>0</v>
      </c>
      <c r="N1545" t="s">
        <v>195</v>
      </c>
      <c r="O1545" t="s">
        <v>213</v>
      </c>
      <c r="P1545" t="s">
        <v>206</v>
      </c>
      <c r="Q1545" t="s">
        <v>170</v>
      </c>
      <c r="R1545" t="s">
        <v>155</v>
      </c>
      <c r="T1545" t="s">
        <v>134</v>
      </c>
      <c r="U1545">
        <v>1</v>
      </c>
      <c r="W1545" t="s">
        <v>134</v>
      </c>
      <c r="X1545">
        <v>1</v>
      </c>
      <c r="Y1545" t="s">
        <v>139</v>
      </c>
      <c r="Z1545" t="s">
        <v>178</v>
      </c>
      <c r="AA1545" t="s">
        <v>144</v>
      </c>
      <c r="AB1545" t="s">
        <v>162</v>
      </c>
      <c r="AC1545" t="s">
        <v>174</v>
      </c>
      <c r="AD1545" t="s">
        <v>157</v>
      </c>
      <c r="AE1545" t="s">
        <v>127</v>
      </c>
      <c r="AF1545" t="s">
        <v>153</v>
      </c>
    </row>
    <row r="1546" spans="1:32">
      <c r="A1546" t="s">
        <v>2488</v>
      </c>
      <c r="B1546" s="37">
        <v>40025</v>
      </c>
      <c r="C1546" s="38">
        <v>40025</v>
      </c>
      <c r="D1546" s="38">
        <v>40021</v>
      </c>
      <c r="E1546" s="38">
        <v>39995</v>
      </c>
      <c r="F1546" s="39">
        <v>120</v>
      </c>
      <c r="G1546" t="s">
        <v>21</v>
      </c>
      <c r="H1546" t="s">
        <v>21</v>
      </c>
      <c r="I1546">
        <v>0</v>
      </c>
      <c r="J1546">
        <v>0</v>
      </c>
      <c r="K1546">
        <v>0</v>
      </c>
      <c r="L1546">
        <v>1</v>
      </c>
      <c r="M1546">
        <v>0</v>
      </c>
      <c r="N1546" t="s">
        <v>193</v>
      </c>
      <c r="O1546" t="s">
        <v>213</v>
      </c>
      <c r="P1546" t="s">
        <v>204</v>
      </c>
      <c r="Q1546" t="s">
        <v>170</v>
      </c>
      <c r="R1546" t="s">
        <v>155</v>
      </c>
      <c r="S1546">
        <v>1</v>
      </c>
      <c r="T1546" t="s">
        <v>136</v>
      </c>
      <c r="U1546">
        <v>0</v>
      </c>
      <c r="V1546">
        <v>4</v>
      </c>
      <c r="W1546" t="s">
        <v>137</v>
      </c>
      <c r="X1546">
        <v>0</v>
      </c>
      <c r="Y1546" t="s">
        <v>140</v>
      </c>
      <c r="Z1546" t="s">
        <v>178</v>
      </c>
      <c r="AA1546" t="s">
        <v>145</v>
      </c>
      <c r="AB1546" t="s">
        <v>163</v>
      </c>
      <c r="AC1546" t="s">
        <v>173</v>
      </c>
      <c r="AD1546" t="s">
        <v>155</v>
      </c>
      <c r="AE1546" t="s">
        <v>751</v>
      </c>
      <c r="AF1546" t="s">
        <v>21</v>
      </c>
    </row>
    <row r="1547" spans="1:32">
      <c r="A1547" t="s">
        <v>2489</v>
      </c>
      <c r="B1547" s="37">
        <v>39937</v>
      </c>
      <c r="C1547" s="38">
        <v>39937</v>
      </c>
      <c r="D1547" s="38">
        <v>39937</v>
      </c>
      <c r="E1547" s="38">
        <v>39934</v>
      </c>
      <c r="F1547" s="39">
        <v>32</v>
      </c>
      <c r="G1547" t="s">
        <v>21</v>
      </c>
      <c r="H1547" t="s">
        <v>21</v>
      </c>
      <c r="I1547">
        <v>0</v>
      </c>
      <c r="J1547">
        <v>0</v>
      </c>
      <c r="K1547">
        <v>0</v>
      </c>
      <c r="L1547">
        <v>1</v>
      </c>
      <c r="M1547">
        <v>0</v>
      </c>
      <c r="N1547" t="s">
        <v>202</v>
      </c>
      <c r="O1547" t="s">
        <v>213</v>
      </c>
      <c r="P1547" t="s">
        <v>211</v>
      </c>
      <c r="Q1547" t="s">
        <v>170</v>
      </c>
      <c r="R1547" t="s">
        <v>155</v>
      </c>
      <c r="T1547" t="s">
        <v>134</v>
      </c>
      <c r="U1547">
        <v>1</v>
      </c>
      <c r="W1547" t="s">
        <v>134</v>
      </c>
      <c r="X1547">
        <v>1</v>
      </c>
      <c r="Y1547" t="s">
        <v>139</v>
      </c>
      <c r="Z1547" t="s">
        <v>178</v>
      </c>
      <c r="AA1547" t="s">
        <v>147</v>
      </c>
      <c r="AB1547" t="s">
        <v>163</v>
      </c>
      <c r="AC1547" t="s">
        <v>173</v>
      </c>
      <c r="AD1547" t="s">
        <v>155</v>
      </c>
      <c r="AE1547" t="s">
        <v>454</v>
      </c>
      <c r="AF1547" t="s">
        <v>21</v>
      </c>
    </row>
    <row r="1548" spans="1:32">
      <c r="A1548" t="s">
        <v>2490</v>
      </c>
      <c r="B1548" s="37">
        <v>39925</v>
      </c>
      <c r="C1548" s="38">
        <v>39925</v>
      </c>
      <c r="D1548" s="38">
        <v>39923</v>
      </c>
      <c r="E1548" s="38">
        <v>39904</v>
      </c>
      <c r="F1548" s="39">
        <v>20</v>
      </c>
      <c r="G1548" t="s">
        <v>21</v>
      </c>
      <c r="H1548" t="s">
        <v>21</v>
      </c>
      <c r="I1548">
        <v>0</v>
      </c>
      <c r="J1548">
        <v>0</v>
      </c>
      <c r="K1548">
        <v>0</v>
      </c>
      <c r="L1548">
        <v>1</v>
      </c>
      <c r="M1548">
        <v>0</v>
      </c>
      <c r="N1548" t="s">
        <v>200</v>
      </c>
      <c r="O1548" t="s">
        <v>214</v>
      </c>
      <c r="P1548" t="s">
        <v>208</v>
      </c>
      <c r="Q1548" t="s">
        <v>170</v>
      </c>
      <c r="R1548" t="s">
        <v>155</v>
      </c>
      <c r="T1548" t="s">
        <v>134</v>
      </c>
      <c r="U1548">
        <v>1</v>
      </c>
      <c r="W1548" t="s">
        <v>134</v>
      </c>
      <c r="X1548">
        <v>1</v>
      </c>
      <c r="Y1548" t="s">
        <v>139</v>
      </c>
      <c r="Z1548" t="s">
        <v>182</v>
      </c>
      <c r="AA1548" t="s">
        <v>145</v>
      </c>
      <c r="AB1548" t="s">
        <v>163</v>
      </c>
      <c r="AC1548" t="s">
        <v>1679</v>
      </c>
      <c r="AD1548" t="s">
        <v>155</v>
      </c>
      <c r="AE1548" t="s">
        <v>125</v>
      </c>
      <c r="AF1548" t="s">
        <v>21</v>
      </c>
    </row>
    <row r="1549" spans="1:32">
      <c r="A1549" t="s">
        <v>2491</v>
      </c>
      <c r="B1549" s="37">
        <v>40036</v>
      </c>
      <c r="C1549" s="38">
        <v>40036</v>
      </c>
      <c r="D1549" s="38">
        <v>40035</v>
      </c>
      <c r="E1549" s="38">
        <v>40026</v>
      </c>
      <c r="F1549" s="39">
        <v>131</v>
      </c>
      <c r="G1549" t="s">
        <v>21</v>
      </c>
      <c r="H1549" t="s">
        <v>21</v>
      </c>
      <c r="I1549">
        <v>0</v>
      </c>
      <c r="J1549">
        <v>0</v>
      </c>
      <c r="K1549">
        <v>0</v>
      </c>
      <c r="L1549">
        <v>1</v>
      </c>
      <c r="M1549">
        <v>0</v>
      </c>
      <c r="N1549" t="s">
        <v>197</v>
      </c>
      <c r="O1549" t="s">
        <v>213</v>
      </c>
      <c r="P1549" t="s">
        <v>209</v>
      </c>
      <c r="Q1549" t="s">
        <v>170</v>
      </c>
      <c r="R1549" t="s">
        <v>155</v>
      </c>
      <c r="S1549">
        <v>1</v>
      </c>
      <c r="T1549" t="s">
        <v>136</v>
      </c>
      <c r="U1549">
        <v>0</v>
      </c>
      <c r="V1549">
        <v>4</v>
      </c>
      <c r="W1549" t="s">
        <v>137</v>
      </c>
      <c r="X1549">
        <v>0</v>
      </c>
      <c r="Y1549" t="s">
        <v>139</v>
      </c>
      <c r="Z1549" t="s">
        <v>178</v>
      </c>
      <c r="AA1549" t="s">
        <v>144</v>
      </c>
      <c r="AB1549" t="s">
        <v>162</v>
      </c>
      <c r="AC1549" t="s">
        <v>867</v>
      </c>
      <c r="AD1549" t="s">
        <v>157</v>
      </c>
      <c r="AE1549" t="s">
        <v>127</v>
      </c>
      <c r="AF1549" t="s">
        <v>153</v>
      </c>
    </row>
    <row r="1550" spans="1:32">
      <c r="A1550" t="s">
        <v>2492</v>
      </c>
      <c r="B1550" s="37">
        <v>39995</v>
      </c>
      <c r="C1550" s="38">
        <v>39995</v>
      </c>
      <c r="D1550" s="38">
        <v>39993</v>
      </c>
      <c r="E1550" s="38">
        <v>39995</v>
      </c>
      <c r="F1550" s="39">
        <v>90</v>
      </c>
      <c r="G1550" t="s">
        <v>21</v>
      </c>
      <c r="H1550" t="s">
        <v>21</v>
      </c>
      <c r="I1550">
        <v>0</v>
      </c>
      <c r="J1550">
        <v>0</v>
      </c>
      <c r="K1550">
        <v>0</v>
      </c>
      <c r="L1550">
        <v>1</v>
      </c>
      <c r="M1550">
        <v>0</v>
      </c>
      <c r="N1550" t="s">
        <v>193</v>
      </c>
      <c r="O1550" t="s">
        <v>213</v>
      </c>
      <c r="P1550" t="s">
        <v>204</v>
      </c>
      <c r="Q1550" t="s">
        <v>170</v>
      </c>
      <c r="R1550" t="s">
        <v>155</v>
      </c>
      <c r="T1550" t="s">
        <v>134</v>
      </c>
      <c r="U1550">
        <v>1</v>
      </c>
      <c r="V1550">
        <v>3</v>
      </c>
      <c r="W1550" t="s">
        <v>137</v>
      </c>
      <c r="X1550">
        <v>0</v>
      </c>
      <c r="Y1550" t="s">
        <v>140</v>
      </c>
      <c r="Z1550" t="s">
        <v>178</v>
      </c>
      <c r="AA1550" t="s">
        <v>145</v>
      </c>
      <c r="AB1550" t="s">
        <v>163</v>
      </c>
      <c r="AC1550" t="s">
        <v>2234</v>
      </c>
      <c r="AD1550" t="s">
        <v>155</v>
      </c>
      <c r="AE1550" t="s">
        <v>1302</v>
      </c>
      <c r="AF1550" t="s">
        <v>21</v>
      </c>
    </row>
    <row r="1551" spans="1:32">
      <c r="A1551" t="s">
        <v>2493</v>
      </c>
      <c r="B1551" s="37">
        <v>39938</v>
      </c>
      <c r="C1551" s="38">
        <v>39938</v>
      </c>
      <c r="D1551" s="38">
        <v>39937</v>
      </c>
      <c r="E1551" s="38">
        <v>39934</v>
      </c>
      <c r="F1551" s="39">
        <v>33</v>
      </c>
      <c r="G1551" t="s">
        <v>21</v>
      </c>
      <c r="H1551" t="s">
        <v>21</v>
      </c>
      <c r="I1551">
        <v>0</v>
      </c>
      <c r="J1551">
        <v>0</v>
      </c>
      <c r="K1551">
        <v>0</v>
      </c>
      <c r="L1551">
        <v>1</v>
      </c>
      <c r="M1551">
        <v>0</v>
      </c>
      <c r="N1551" t="s">
        <v>198</v>
      </c>
      <c r="O1551" t="s">
        <v>213</v>
      </c>
      <c r="P1551" t="s">
        <v>208</v>
      </c>
      <c r="Q1551" t="s">
        <v>170</v>
      </c>
      <c r="R1551" t="s">
        <v>155</v>
      </c>
      <c r="T1551" t="s">
        <v>134</v>
      </c>
      <c r="U1551">
        <v>1</v>
      </c>
      <c r="W1551" t="s">
        <v>134</v>
      </c>
      <c r="X1551">
        <v>1</v>
      </c>
      <c r="Y1551" t="s">
        <v>139</v>
      </c>
      <c r="Z1551" t="s">
        <v>178</v>
      </c>
      <c r="AA1551" t="s">
        <v>147</v>
      </c>
      <c r="AB1551" t="s">
        <v>162</v>
      </c>
      <c r="AC1551" t="s">
        <v>429</v>
      </c>
      <c r="AD1551" t="s">
        <v>159</v>
      </c>
      <c r="AE1551" t="s">
        <v>126</v>
      </c>
      <c r="AF1551" t="s">
        <v>601</v>
      </c>
    </row>
    <row r="1552" spans="1:32">
      <c r="A1552" t="s">
        <v>2494</v>
      </c>
      <c r="B1552" s="37">
        <v>39912</v>
      </c>
      <c r="C1552" s="38">
        <v>39912</v>
      </c>
      <c r="D1552" s="38">
        <v>39909</v>
      </c>
      <c r="E1552" s="38">
        <v>39904</v>
      </c>
      <c r="F1552" s="39">
        <v>7</v>
      </c>
      <c r="G1552" t="s">
        <v>21</v>
      </c>
      <c r="H1552" t="s">
        <v>21</v>
      </c>
      <c r="I1552">
        <v>0</v>
      </c>
      <c r="J1552">
        <v>0</v>
      </c>
      <c r="K1552">
        <v>0</v>
      </c>
      <c r="L1552">
        <v>1</v>
      </c>
      <c r="M1552">
        <v>0</v>
      </c>
      <c r="N1552" t="s">
        <v>200</v>
      </c>
      <c r="O1552" t="s">
        <v>214</v>
      </c>
      <c r="P1552" t="s">
        <v>208</v>
      </c>
      <c r="Q1552" t="s">
        <v>170</v>
      </c>
      <c r="R1552" t="s">
        <v>155</v>
      </c>
      <c r="T1552" t="s">
        <v>134</v>
      </c>
      <c r="U1552">
        <v>1</v>
      </c>
      <c r="W1552" t="s">
        <v>134</v>
      </c>
      <c r="X1552">
        <v>1</v>
      </c>
      <c r="Y1552" t="s">
        <v>139</v>
      </c>
      <c r="Z1552" t="s">
        <v>178</v>
      </c>
      <c r="AA1552" t="s">
        <v>143</v>
      </c>
      <c r="AB1552" t="s">
        <v>163</v>
      </c>
      <c r="AC1552" t="s">
        <v>173</v>
      </c>
      <c r="AD1552" t="s">
        <v>155</v>
      </c>
      <c r="AE1552" t="s">
        <v>124</v>
      </c>
      <c r="AF1552" t="s">
        <v>21</v>
      </c>
    </row>
    <row r="1553" spans="1:32">
      <c r="A1553" t="s">
        <v>2495</v>
      </c>
      <c r="B1553" s="37">
        <v>39945</v>
      </c>
      <c r="C1553" s="38">
        <v>39945</v>
      </c>
      <c r="D1553" s="38">
        <v>39944</v>
      </c>
      <c r="E1553" s="38">
        <v>39934</v>
      </c>
      <c r="F1553" s="39">
        <v>40</v>
      </c>
      <c r="G1553" t="s">
        <v>21</v>
      </c>
      <c r="H1553" t="s">
        <v>21</v>
      </c>
      <c r="I1553">
        <v>0</v>
      </c>
      <c r="J1553">
        <v>0</v>
      </c>
      <c r="K1553">
        <v>0</v>
      </c>
      <c r="L1553">
        <v>1</v>
      </c>
      <c r="M1553">
        <v>0</v>
      </c>
      <c r="N1553" t="s">
        <v>193</v>
      </c>
      <c r="O1553" t="s">
        <v>213</v>
      </c>
      <c r="P1553" t="s">
        <v>204</v>
      </c>
      <c r="Q1553" t="s">
        <v>170</v>
      </c>
      <c r="R1553" t="s">
        <v>155</v>
      </c>
      <c r="T1553" t="s">
        <v>134</v>
      </c>
      <c r="U1553">
        <v>1</v>
      </c>
      <c r="W1553" t="s">
        <v>134</v>
      </c>
      <c r="X1553">
        <v>1</v>
      </c>
      <c r="Y1553" t="s">
        <v>140</v>
      </c>
      <c r="Z1553" t="s">
        <v>528</v>
      </c>
      <c r="AA1553" t="s">
        <v>143</v>
      </c>
      <c r="AB1553" t="s">
        <v>163</v>
      </c>
      <c r="AC1553" t="s">
        <v>173</v>
      </c>
      <c r="AD1553" t="s">
        <v>155</v>
      </c>
      <c r="AE1553" t="s">
        <v>501</v>
      </c>
      <c r="AF1553" t="s">
        <v>21</v>
      </c>
    </row>
    <row r="1554" spans="1:32">
      <c r="A1554" t="s">
        <v>2496</v>
      </c>
      <c r="B1554" s="37">
        <v>40083</v>
      </c>
      <c r="C1554" s="38">
        <v>40083</v>
      </c>
      <c r="D1554" s="38">
        <v>40077</v>
      </c>
      <c r="E1554" s="38">
        <v>40057</v>
      </c>
      <c r="F1554" s="39">
        <v>178</v>
      </c>
      <c r="G1554" t="s">
        <v>570</v>
      </c>
      <c r="H1554" t="s">
        <v>13</v>
      </c>
      <c r="I1554">
        <v>0</v>
      </c>
      <c r="J1554">
        <v>1</v>
      </c>
      <c r="K1554">
        <v>0</v>
      </c>
      <c r="L1554">
        <v>0</v>
      </c>
      <c r="M1554">
        <v>1</v>
      </c>
      <c r="N1554" t="s">
        <v>197</v>
      </c>
      <c r="O1554" t="s">
        <v>213</v>
      </c>
      <c r="P1554" t="s">
        <v>209</v>
      </c>
      <c r="Q1554" t="s">
        <v>170</v>
      </c>
      <c r="R1554" t="s">
        <v>155</v>
      </c>
      <c r="S1554">
        <v>5</v>
      </c>
      <c r="T1554" t="s">
        <v>135</v>
      </c>
      <c r="U1554">
        <v>0</v>
      </c>
      <c r="V1554">
        <v>5</v>
      </c>
      <c r="W1554" t="s">
        <v>135</v>
      </c>
      <c r="X1554">
        <v>0</v>
      </c>
      <c r="Y1554" t="s">
        <v>139</v>
      </c>
      <c r="Z1554" t="s">
        <v>528</v>
      </c>
      <c r="AA1554" t="s">
        <v>149</v>
      </c>
      <c r="AB1554" t="s">
        <v>163</v>
      </c>
      <c r="AC1554" t="s">
        <v>173</v>
      </c>
      <c r="AD1554" t="s">
        <v>155</v>
      </c>
      <c r="AE1554" t="s">
        <v>127</v>
      </c>
      <c r="AF1554" t="s">
        <v>21</v>
      </c>
    </row>
    <row r="1555" spans="1:32">
      <c r="A1555" t="s">
        <v>2497</v>
      </c>
      <c r="B1555" s="37">
        <v>39982</v>
      </c>
      <c r="C1555" s="38">
        <v>39982</v>
      </c>
      <c r="D1555" s="38">
        <v>39979</v>
      </c>
      <c r="E1555" s="38">
        <v>39965</v>
      </c>
      <c r="F1555" s="39">
        <v>77</v>
      </c>
      <c r="G1555" t="s">
        <v>525</v>
      </c>
      <c r="H1555" t="s">
        <v>17</v>
      </c>
      <c r="I1555">
        <v>0</v>
      </c>
      <c r="J1555">
        <v>0</v>
      </c>
      <c r="K1555">
        <v>1</v>
      </c>
      <c r="L1555">
        <v>0</v>
      </c>
      <c r="M1555">
        <v>0</v>
      </c>
      <c r="N1555" t="s">
        <v>193</v>
      </c>
      <c r="O1555" t="s">
        <v>213</v>
      </c>
      <c r="P1555" t="s">
        <v>204</v>
      </c>
      <c r="Q1555" t="s">
        <v>170</v>
      </c>
      <c r="R1555" t="s">
        <v>155</v>
      </c>
      <c r="T1555" t="s">
        <v>134</v>
      </c>
      <c r="U1555">
        <v>1</v>
      </c>
      <c r="W1555" t="s">
        <v>134</v>
      </c>
      <c r="X1555">
        <v>1</v>
      </c>
      <c r="Y1555" t="s">
        <v>140</v>
      </c>
      <c r="Z1555" t="s">
        <v>528</v>
      </c>
      <c r="AA1555" t="s">
        <v>145</v>
      </c>
      <c r="AB1555" t="s">
        <v>163</v>
      </c>
      <c r="AC1555" t="s">
        <v>2498</v>
      </c>
      <c r="AD1555" t="s">
        <v>155</v>
      </c>
      <c r="AE1555" t="s">
        <v>734</v>
      </c>
      <c r="AF1555" t="s">
        <v>21</v>
      </c>
    </row>
    <row r="1556" spans="1:32">
      <c r="A1556" t="s">
        <v>2499</v>
      </c>
      <c r="B1556" s="37">
        <v>40041</v>
      </c>
      <c r="C1556" s="38">
        <v>40041</v>
      </c>
      <c r="D1556" s="38">
        <v>40035</v>
      </c>
      <c r="E1556" s="38">
        <v>40026</v>
      </c>
      <c r="F1556" s="39">
        <v>136</v>
      </c>
      <c r="G1556" t="s">
        <v>21</v>
      </c>
      <c r="H1556" t="s">
        <v>21</v>
      </c>
      <c r="I1556">
        <v>0</v>
      </c>
      <c r="J1556">
        <v>0</v>
      </c>
      <c r="K1556">
        <v>0</v>
      </c>
      <c r="L1556">
        <v>1</v>
      </c>
      <c r="M1556">
        <v>0</v>
      </c>
      <c r="N1556" t="s">
        <v>196</v>
      </c>
      <c r="O1556" t="s">
        <v>213</v>
      </c>
      <c r="P1556" t="s">
        <v>207</v>
      </c>
      <c r="Q1556" t="s">
        <v>170</v>
      </c>
      <c r="R1556" t="s">
        <v>155</v>
      </c>
      <c r="S1556">
        <v>5</v>
      </c>
      <c r="T1556" t="s">
        <v>135</v>
      </c>
      <c r="U1556">
        <v>0</v>
      </c>
      <c r="V1556">
        <v>5</v>
      </c>
      <c r="W1556" t="s">
        <v>135</v>
      </c>
      <c r="X1556">
        <v>0</v>
      </c>
      <c r="Y1556" t="s">
        <v>139</v>
      </c>
      <c r="Z1556" t="s">
        <v>528</v>
      </c>
      <c r="AA1556" t="s">
        <v>146</v>
      </c>
      <c r="AB1556" t="s">
        <v>162</v>
      </c>
      <c r="AC1556" t="s">
        <v>1899</v>
      </c>
      <c r="AD1556" t="s">
        <v>155</v>
      </c>
      <c r="AE1556" t="s">
        <v>127</v>
      </c>
      <c r="AF1556" t="s">
        <v>21</v>
      </c>
    </row>
    <row r="1557" spans="1:32">
      <c r="A1557" t="s">
        <v>2500</v>
      </c>
      <c r="B1557" s="37">
        <v>39915</v>
      </c>
      <c r="C1557" s="38">
        <v>39915</v>
      </c>
      <c r="D1557" s="38">
        <v>39909</v>
      </c>
      <c r="E1557" s="38">
        <v>39904</v>
      </c>
      <c r="F1557" s="39">
        <v>10</v>
      </c>
      <c r="G1557" t="s">
        <v>9</v>
      </c>
      <c r="H1557" t="s">
        <v>9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198</v>
      </c>
      <c r="O1557" t="s">
        <v>213</v>
      </c>
      <c r="P1557" t="s">
        <v>208</v>
      </c>
      <c r="Q1557" t="s">
        <v>170</v>
      </c>
      <c r="R1557" t="s">
        <v>155</v>
      </c>
      <c r="T1557" t="s">
        <v>134</v>
      </c>
      <c r="U1557">
        <v>1</v>
      </c>
      <c r="W1557" t="s">
        <v>134</v>
      </c>
      <c r="X1557">
        <v>1</v>
      </c>
      <c r="Y1557" t="s">
        <v>139</v>
      </c>
      <c r="Z1557" t="s">
        <v>182</v>
      </c>
      <c r="AA1557" t="s">
        <v>142</v>
      </c>
      <c r="AB1557" t="s">
        <v>163</v>
      </c>
      <c r="AC1557" t="s">
        <v>173</v>
      </c>
      <c r="AD1557" t="s">
        <v>155</v>
      </c>
      <c r="AE1557" t="s">
        <v>484</v>
      </c>
      <c r="AF1557" t="s">
        <v>21</v>
      </c>
    </row>
    <row r="1558" spans="1:32">
      <c r="A1558" t="s">
        <v>2501</v>
      </c>
      <c r="B1558" s="37">
        <v>39927</v>
      </c>
      <c r="C1558" s="38">
        <v>39927</v>
      </c>
      <c r="D1558" s="38">
        <v>39923</v>
      </c>
      <c r="E1558" s="38">
        <v>39904</v>
      </c>
      <c r="F1558" s="39">
        <v>22</v>
      </c>
      <c r="G1558" t="s">
        <v>21</v>
      </c>
      <c r="H1558" t="s">
        <v>21</v>
      </c>
      <c r="I1558">
        <v>0</v>
      </c>
      <c r="J1558">
        <v>0</v>
      </c>
      <c r="K1558">
        <v>0</v>
      </c>
      <c r="L1558">
        <v>1</v>
      </c>
      <c r="M1558">
        <v>0</v>
      </c>
      <c r="N1558" t="s">
        <v>200</v>
      </c>
      <c r="O1558" t="s">
        <v>214</v>
      </c>
      <c r="P1558" t="s">
        <v>208</v>
      </c>
      <c r="Q1558" t="s">
        <v>170</v>
      </c>
      <c r="R1558" t="s">
        <v>155</v>
      </c>
      <c r="T1558" t="s">
        <v>134</v>
      </c>
      <c r="U1558">
        <v>1</v>
      </c>
      <c r="W1558" t="s">
        <v>134</v>
      </c>
      <c r="X1558">
        <v>1</v>
      </c>
      <c r="Y1558" t="s">
        <v>139</v>
      </c>
      <c r="Z1558" t="s">
        <v>179</v>
      </c>
      <c r="AA1558" t="s">
        <v>142</v>
      </c>
      <c r="AB1558" t="s">
        <v>163</v>
      </c>
      <c r="AC1558" t="s">
        <v>173</v>
      </c>
      <c r="AD1558" t="s">
        <v>155</v>
      </c>
      <c r="AE1558" t="s">
        <v>406</v>
      </c>
      <c r="AF1558" t="s">
        <v>21</v>
      </c>
    </row>
    <row r="1559" spans="1:32">
      <c r="A1559" t="s">
        <v>2502</v>
      </c>
      <c r="B1559" s="37">
        <v>40047</v>
      </c>
      <c r="C1559" s="38">
        <v>40047</v>
      </c>
      <c r="D1559" s="38">
        <v>40042</v>
      </c>
      <c r="E1559" s="38">
        <v>40026</v>
      </c>
      <c r="F1559" s="39">
        <v>142</v>
      </c>
      <c r="G1559" t="s">
        <v>21</v>
      </c>
      <c r="H1559" t="s">
        <v>21</v>
      </c>
      <c r="I1559">
        <v>0</v>
      </c>
      <c r="J1559">
        <v>0</v>
      </c>
      <c r="K1559">
        <v>0</v>
      </c>
      <c r="L1559">
        <v>1</v>
      </c>
      <c r="M1559">
        <v>0</v>
      </c>
      <c r="N1559" t="s">
        <v>193</v>
      </c>
      <c r="O1559" t="s">
        <v>213</v>
      </c>
      <c r="P1559" t="s">
        <v>204</v>
      </c>
      <c r="Q1559" t="s">
        <v>170</v>
      </c>
      <c r="R1559" t="s">
        <v>155</v>
      </c>
      <c r="S1559">
        <v>5</v>
      </c>
      <c r="T1559" t="s">
        <v>135</v>
      </c>
      <c r="U1559">
        <v>0</v>
      </c>
      <c r="V1559">
        <v>2</v>
      </c>
      <c r="W1559" t="s">
        <v>136</v>
      </c>
      <c r="X1559">
        <v>0</v>
      </c>
      <c r="Y1559" t="s">
        <v>140</v>
      </c>
      <c r="Z1559" t="s">
        <v>183</v>
      </c>
      <c r="AA1559" t="s">
        <v>143</v>
      </c>
      <c r="AB1559" t="s">
        <v>162</v>
      </c>
      <c r="AC1559" t="s">
        <v>174</v>
      </c>
      <c r="AD1559" t="s">
        <v>159</v>
      </c>
      <c r="AE1559" t="s">
        <v>123</v>
      </c>
      <c r="AF1559" t="s">
        <v>123</v>
      </c>
    </row>
    <row r="1560" spans="1:32">
      <c r="A1560" t="s">
        <v>2503</v>
      </c>
      <c r="B1560" s="37">
        <v>40074</v>
      </c>
      <c r="C1560" s="38">
        <v>40074</v>
      </c>
      <c r="D1560" s="38">
        <v>40070</v>
      </c>
      <c r="E1560" s="38">
        <v>40057</v>
      </c>
      <c r="F1560" s="39">
        <v>169</v>
      </c>
      <c r="G1560" t="s">
        <v>21</v>
      </c>
      <c r="H1560" t="s">
        <v>21</v>
      </c>
      <c r="I1560">
        <v>0</v>
      </c>
      <c r="J1560">
        <v>0</v>
      </c>
      <c r="K1560">
        <v>0</v>
      </c>
      <c r="L1560">
        <v>1</v>
      </c>
      <c r="M1560">
        <v>0</v>
      </c>
      <c r="N1560" t="s">
        <v>193</v>
      </c>
      <c r="O1560" t="s">
        <v>213</v>
      </c>
      <c r="P1560" t="s">
        <v>204</v>
      </c>
      <c r="Q1560" t="s">
        <v>170</v>
      </c>
      <c r="R1560" t="s">
        <v>155</v>
      </c>
      <c r="S1560">
        <v>5</v>
      </c>
      <c r="T1560" t="s">
        <v>135</v>
      </c>
      <c r="U1560">
        <v>0</v>
      </c>
      <c r="V1560">
        <v>3</v>
      </c>
      <c r="W1560" t="s">
        <v>137</v>
      </c>
      <c r="X1560">
        <v>0</v>
      </c>
      <c r="Y1560" t="s">
        <v>140</v>
      </c>
      <c r="Z1560" t="s">
        <v>183</v>
      </c>
      <c r="AA1560" t="s">
        <v>142</v>
      </c>
      <c r="AB1560" t="s">
        <v>162</v>
      </c>
      <c r="AC1560" t="s">
        <v>176</v>
      </c>
      <c r="AD1560" t="s">
        <v>155</v>
      </c>
      <c r="AE1560" t="s">
        <v>129</v>
      </c>
      <c r="AF1560" t="s">
        <v>21</v>
      </c>
    </row>
    <row r="1561" spans="1:32">
      <c r="A1561" t="s">
        <v>2504</v>
      </c>
      <c r="B1561" s="37">
        <v>39940</v>
      </c>
      <c r="C1561" s="38">
        <v>39940</v>
      </c>
      <c r="D1561" s="38">
        <v>39937</v>
      </c>
      <c r="E1561" s="38">
        <v>39934</v>
      </c>
      <c r="F1561" s="39">
        <v>35</v>
      </c>
      <c r="G1561" t="s">
        <v>380</v>
      </c>
      <c r="H1561" t="s">
        <v>17</v>
      </c>
      <c r="I1561">
        <v>0</v>
      </c>
      <c r="J1561">
        <v>0</v>
      </c>
      <c r="K1561">
        <v>1</v>
      </c>
      <c r="L1561">
        <v>0</v>
      </c>
      <c r="M1561">
        <v>0</v>
      </c>
      <c r="N1561" t="s">
        <v>195</v>
      </c>
      <c r="O1561" t="s">
        <v>213</v>
      </c>
      <c r="P1561" t="s">
        <v>206</v>
      </c>
      <c r="Q1561" t="s">
        <v>170</v>
      </c>
      <c r="R1561" t="s">
        <v>155</v>
      </c>
      <c r="T1561" t="s">
        <v>134</v>
      </c>
      <c r="U1561">
        <v>1</v>
      </c>
      <c r="W1561" t="s">
        <v>134</v>
      </c>
      <c r="X1561">
        <v>1</v>
      </c>
      <c r="Y1561" t="s">
        <v>139</v>
      </c>
      <c r="Z1561" t="s">
        <v>179</v>
      </c>
      <c r="AA1561" t="s">
        <v>148</v>
      </c>
      <c r="AB1561" t="s">
        <v>162</v>
      </c>
      <c r="AC1561" t="s">
        <v>174</v>
      </c>
      <c r="AD1561" t="s">
        <v>157</v>
      </c>
      <c r="AE1561" t="s">
        <v>434</v>
      </c>
      <c r="AF1561" t="s">
        <v>435</v>
      </c>
    </row>
    <row r="1562" spans="1:32">
      <c r="A1562" t="s">
        <v>2505</v>
      </c>
      <c r="B1562" s="37">
        <v>39971</v>
      </c>
      <c r="C1562" s="38">
        <v>39971</v>
      </c>
      <c r="D1562" s="38">
        <v>39965</v>
      </c>
      <c r="E1562" s="38">
        <v>39965</v>
      </c>
      <c r="F1562" s="39">
        <v>66</v>
      </c>
      <c r="G1562" t="s">
        <v>380</v>
      </c>
      <c r="H1562" t="s">
        <v>17</v>
      </c>
      <c r="I1562">
        <v>0</v>
      </c>
      <c r="J1562">
        <v>0</v>
      </c>
      <c r="K1562">
        <v>1</v>
      </c>
      <c r="L1562">
        <v>0</v>
      </c>
      <c r="M1562">
        <v>0</v>
      </c>
      <c r="N1562" t="s">
        <v>193</v>
      </c>
      <c r="O1562" t="s">
        <v>213</v>
      </c>
      <c r="P1562" t="s">
        <v>204</v>
      </c>
      <c r="Q1562" t="s">
        <v>170</v>
      </c>
      <c r="R1562" t="s">
        <v>155</v>
      </c>
      <c r="T1562" t="s">
        <v>134</v>
      </c>
      <c r="U1562">
        <v>1</v>
      </c>
      <c r="W1562" t="s">
        <v>134</v>
      </c>
      <c r="X1562">
        <v>1</v>
      </c>
      <c r="Y1562" t="s">
        <v>140</v>
      </c>
      <c r="Z1562" t="s">
        <v>184</v>
      </c>
      <c r="AA1562" t="s">
        <v>145</v>
      </c>
      <c r="AB1562" t="s">
        <v>163</v>
      </c>
      <c r="AC1562" t="s">
        <v>173</v>
      </c>
      <c r="AD1562" t="s">
        <v>155</v>
      </c>
      <c r="AE1562" t="s">
        <v>124</v>
      </c>
      <c r="AF1562" t="s">
        <v>21</v>
      </c>
    </row>
    <row r="1563" spans="1:32">
      <c r="A1563" t="s">
        <v>2506</v>
      </c>
      <c r="B1563" s="37">
        <v>40022</v>
      </c>
      <c r="C1563" s="38">
        <v>40022</v>
      </c>
      <c r="D1563" s="38">
        <v>40021</v>
      </c>
      <c r="E1563" s="38">
        <v>39995</v>
      </c>
      <c r="F1563" s="39">
        <v>117</v>
      </c>
      <c r="G1563" t="s">
        <v>21</v>
      </c>
      <c r="H1563" t="s">
        <v>21</v>
      </c>
      <c r="I1563">
        <v>0</v>
      </c>
      <c r="J1563">
        <v>0</v>
      </c>
      <c r="K1563">
        <v>0</v>
      </c>
      <c r="L1563">
        <v>1</v>
      </c>
      <c r="M1563">
        <v>0</v>
      </c>
      <c r="N1563" t="s">
        <v>193</v>
      </c>
      <c r="O1563" t="s">
        <v>213</v>
      </c>
      <c r="P1563" t="s">
        <v>204</v>
      </c>
      <c r="Q1563" t="s">
        <v>170</v>
      </c>
      <c r="R1563" t="s">
        <v>155</v>
      </c>
      <c r="S1563">
        <v>5</v>
      </c>
      <c r="T1563" t="s">
        <v>135</v>
      </c>
      <c r="U1563">
        <v>0</v>
      </c>
      <c r="V1563">
        <v>5</v>
      </c>
      <c r="W1563" t="s">
        <v>135</v>
      </c>
      <c r="X1563">
        <v>0</v>
      </c>
      <c r="Y1563" t="s">
        <v>140</v>
      </c>
      <c r="Z1563" t="s">
        <v>447</v>
      </c>
      <c r="AA1563" t="s">
        <v>144</v>
      </c>
      <c r="AB1563" t="s">
        <v>162</v>
      </c>
      <c r="AC1563" t="s">
        <v>174</v>
      </c>
      <c r="AD1563" t="s">
        <v>159</v>
      </c>
      <c r="AE1563" t="s">
        <v>123</v>
      </c>
      <c r="AF1563" t="s">
        <v>123</v>
      </c>
    </row>
    <row r="1564" spans="1:32">
      <c r="A1564" t="s">
        <v>2507</v>
      </c>
      <c r="B1564" s="37">
        <v>39915</v>
      </c>
      <c r="C1564" s="38">
        <v>39915</v>
      </c>
      <c r="D1564" s="38">
        <v>39909</v>
      </c>
      <c r="E1564" s="38">
        <v>39904</v>
      </c>
      <c r="F1564" s="39">
        <v>10</v>
      </c>
      <c r="G1564" t="s">
        <v>21</v>
      </c>
      <c r="H1564" t="s">
        <v>21</v>
      </c>
      <c r="I1564">
        <v>0</v>
      </c>
      <c r="J1564">
        <v>0</v>
      </c>
      <c r="K1564">
        <v>0</v>
      </c>
      <c r="L1564">
        <v>1</v>
      </c>
      <c r="M1564">
        <v>0</v>
      </c>
      <c r="N1564" t="s">
        <v>199</v>
      </c>
      <c r="O1564" t="s">
        <v>213</v>
      </c>
      <c r="P1564" t="s">
        <v>210</v>
      </c>
      <c r="Q1564" t="s">
        <v>170</v>
      </c>
      <c r="R1564" t="s">
        <v>155</v>
      </c>
      <c r="T1564" t="s">
        <v>134</v>
      </c>
      <c r="U1564">
        <v>1</v>
      </c>
      <c r="W1564" t="s">
        <v>134</v>
      </c>
      <c r="X1564">
        <v>1</v>
      </c>
      <c r="Y1564" t="s">
        <v>139</v>
      </c>
      <c r="Z1564" t="s">
        <v>528</v>
      </c>
      <c r="AA1564" t="s">
        <v>142</v>
      </c>
      <c r="AB1564" t="s">
        <v>165</v>
      </c>
      <c r="AC1564" t="s">
        <v>948</v>
      </c>
      <c r="AD1564" t="s">
        <v>158</v>
      </c>
      <c r="AE1564" t="s">
        <v>122</v>
      </c>
      <c r="AF1564" t="s">
        <v>21</v>
      </c>
    </row>
    <row r="1565" spans="1:32">
      <c r="A1565" t="s">
        <v>2508</v>
      </c>
      <c r="B1565" s="37">
        <v>39991</v>
      </c>
      <c r="C1565" s="38">
        <v>39991</v>
      </c>
      <c r="D1565" s="38">
        <v>39986</v>
      </c>
      <c r="E1565" s="38">
        <v>39965</v>
      </c>
      <c r="F1565" s="39">
        <v>86</v>
      </c>
      <c r="G1565" t="s">
        <v>21</v>
      </c>
      <c r="H1565" t="s">
        <v>21</v>
      </c>
      <c r="I1565">
        <v>0</v>
      </c>
      <c r="J1565">
        <v>0</v>
      </c>
      <c r="K1565">
        <v>0</v>
      </c>
      <c r="L1565">
        <v>1</v>
      </c>
      <c r="M1565">
        <v>0</v>
      </c>
      <c r="N1565" t="s">
        <v>196</v>
      </c>
      <c r="O1565" t="s">
        <v>213</v>
      </c>
      <c r="P1565" t="s">
        <v>207</v>
      </c>
      <c r="Q1565" t="s">
        <v>170</v>
      </c>
      <c r="R1565" t="s">
        <v>155</v>
      </c>
      <c r="T1565" t="s">
        <v>134</v>
      </c>
      <c r="U1565">
        <v>1</v>
      </c>
      <c r="V1565">
        <v>4</v>
      </c>
      <c r="W1565" t="s">
        <v>137</v>
      </c>
      <c r="X1565">
        <v>0</v>
      </c>
      <c r="Y1565" t="s">
        <v>139</v>
      </c>
      <c r="Z1565" t="s">
        <v>528</v>
      </c>
      <c r="AA1565" t="s">
        <v>142</v>
      </c>
      <c r="AB1565" t="s">
        <v>162</v>
      </c>
      <c r="AC1565" t="s">
        <v>175</v>
      </c>
      <c r="AD1565" t="s">
        <v>155</v>
      </c>
      <c r="AE1565" t="s">
        <v>130</v>
      </c>
      <c r="AF1565" t="s">
        <v>21</v>
      </c>
    </row>
    <row r="1566" spans="1:32">
      <c r="A1566" t="s">
        <v>2509</v>
      </c>
      <c r="B1566" s="37">
        <v>39999</v>
      </c>
      <c r="C1566" s="38">
        <v>39999</v>
      </c>
      <c r="D1566" s="38">
        <v>39993</v>
      </c>
      <c r="E1566" s="38">
        <v>39995</v>
      </c>
      <c r="F1566" s="39">
        <v>94</v>
      </c>
      <c r="G1566" t="s">
        <v>21</v>
      </c>
      <c r="H1566" t="s">
        <v>21</v>
      </c>
      <c r="I1566">
        <v>0</v>
      </c>
      <c r="J1566">
        <v>0</v>
      </c>
      <c r="K1566">
        <v>0</v>
      </c>
      <c r="L1566">
        <v>1</v>
      </c>
      <c r="M1566">
        <v>0</v>
      </c>
      <c r="N1566" t="s">
        <v>193</v>
      </c>
      <c r="O1566" t="s">
        <v>213</v>
      </c>
      <c r="P1566" t="s">
        <v>204</v>
      </c>
      <c r="Q1566" t="s">
        <v>170</v>
      </c>
      <c r="R1566" t="s">
        <v>155</v>
      </c>
      <c r="T1566" t="s">
        <v>134</v>
      </c>
      <c r="U1566">
        <v>1</v>
      </c>
      <c r="V1566">
        <v>3</v>
      </c>
      <c r="W1566" t="s">
        <v>137</v>
      </c>
      <c r="X1566">
        <v>0</v>
      </c>
      <c r="Y1566" t="s">
        <v>140</v>
      </c>
      <c r="Z1566" t="s">
        <v>187</v>
      </c>
      <c r="AA1566" t="s">
        <v>142</v>
      </c>
      <c r="AB1566" t="s">
        <v>162</v>
      </c>
      <c r="AC1566" t="s">
        <v>174</v>
      </c>
      <c r="AD1566" t="s">
        <v>159</v>
      </c>
      <c r="AE1566" t="s">
        <v>123</v>
      </c>
      <c r="AF1566" t="s">
        <v>123</v>
      </c>
    </row>
    <row r="1567" spans="1:32">
      <c r="A1567" t="s">
        <v>2510</v>
      </c>
      <c r="B1567" s="37">
        <v>40021</v>
      </c>
      <c r="C1567" s="38">
        <v>40021</v>
      </c>
      <c r="D1567" s="38">
        <v>40021</v>
      </c>
      <c r="E1567" s="38">
        <v>39995</v>
      </c>
      <c r="F1567" s="39">
        <v>116</v>
      </c>
      <c r="G1567" t="s">
        <v>21</v>
      </c>
      <c r="H1567" t="s">
        <v>21</v>
      </c>
      <c r="I1567">
        <v>0</v>
      </c>
      <c r="J1567">
        <v>0</v>
      </c>
      <c r="K1567">
        <v>0</v>
      </c>
      <c r="L1567">
        <v>1</v>
      </c>
      <c r="M1567">
        <v>0</v>
      </c>
      <c r="N1567" t="s">
        <v>193</v>
      </c>
      <c r="O1567" t="s">
        <v>213</v>
      </c>
      <c r="P1567" t="s">
        <v>204</v>
      </c>
      <c r="Q1567" t="s">
        <v>170</v>
      </c>
      <c r="R1567" t="s">
        <v>155</v>
      </c>
      <c r="S1567">
        <v>5</v>
      </c>
      <c r="T1567" t="s">
        <v>135</v>
      </c>
      <c r="U1567">
        <v>0</v>
      </c>
      <c r="V1567">
        <v>5</v>
      </c>
      <c r="W1567" t="s">
        <v>135</v>
      </c>
      <c r="X1567">
        <v>0</v>
      </c>
      <c r="Y1567" t="s">
        <v>140</v>
      </c>
      <c r="Z1567" t="s">
        <v>187</v>
      </c>
      <c r="AA1567" t="s">
        <v>142</v>
      </c>
      <c r="AB1567" t="s">
        <v>162</v>
      </c>
      <c r="AC1567" t="s">
        <v>174</v>
      </c>
      <c r="AD1567" t="s">
        <v>156</v>
      </c>
      <c r="AE1567" t="s">
        <v>120</v>
      </c>
      <c r="AF1567" t="s">
        <v>2511</v>
      </c>
    </row>
    <row r="1568" spans="1:32">
      <c r="A1568" t="s">
        <v>2512</v>
      </c>
      <c r="B1568" s="37">
        <v>39972</v>
      </c>
      <c r="C1568" s="38">
        <v>39972</v>
      </c>
      <c r="D1568" s="38">
        <v>39972</v>
      </c>
      <c r="E1568" s="38">
        <v>39965</v>
      </c>
      <c r="F1568" s="39">
        <v>67</v>
      </c>
      <c r="G1568" t="s">
        <v>380</v>
      </c>
      <c r="H1568" t="s">
        <v>17</v>
      </c>
      <c r="I1568">
        <v>0</v>
      </c>
      <c r="J1568">
        <v>0</v>
      </c>
      <c r="K1568">
        <v>1</v>
      </c>
      <c r="L1568">
        <v>0</v>
      </c>
      <c r="M1568">
        <v>0</v>
      </c>
      <c r="N1568" t="s">
        <v>193</v>
      </c>
      <c r="O1568" t="s">
        <v>213</v>
      </c>
      <c r="P1568" t="s">
        <v>204</v>
      </c>
      <c r="Q1568" t="s">
        <v>170</v>
      </c>
      <c r="R1568" t="s">
        <v>155</v>
      </c>
      <c r="T1568" t="s">
        <v>134</v>
      </c>
      <c r="U1568">
        <v>1</v>
      </c>
      <c r="W1568" t="s">
        <v>134</v>
      </c>
      <c r="X1568">
        <v>1</v>
      </c>
      <c r="Y1568" t="s">
        <v>140</v>
      </c>
      <c r="Z1568" t="s">
        <v>180</v>
      </c>
      <c r="AA1568" t="s">
        <v>148</v>
      </c>
      <c r="AB1568" t="s">
        <v>162</v>
      </c>
      <c r="AC1568" t="s">
        <v>175</v>
      </c>
      <c r="AD1568" t="s">
        <v>155</v>
      </c>
      <c r="AE1568" t="s">
        <v>129</v>
      </c>
      <c r="AF1568" t="s">
        <v>21</v>
      </c>
    </row>
    <row r="1569" spans="1:32">
      <c r="A1569" t="s">
        <v>2513</v>
      </c>
      <c r="B1569" s="37">
        <v>39917</v>
      </c>
      <c r="C1569" s="38">
        <v>39917</v>
      </c>
      <c r="D1569" s="38">
        <v>39916</v>
      </c>
      <c r="E1569" s="38">
        <v>39904</v>
      </c>
      <c r="F1569" s="39">
        <v>12</v>
      </c>
      <c r="G1569" t="s">
        <v>21</v>
      </c>
      <c r="H1569" t="s">
        <v>21</v>
      </c>
      <c r="I1569">
        <v>0</v>
      </c>
      <c r="J1569">
        <v>0</v>
      </c>
      <c r="K1569">
        <v>0</v>
      </c>
      <c r="L1569">
        <v>1</v>
      </c>
      <c r="M1569">
        <v>0</v>
      </c>
      <c r="N1569" t="s">
        <v>194</v>
      </c>
      <c r="O1569" t="s">
        <v>213</v>
      </c>
      <c r="P1569" t="s">
        <v>205</v>
      </c>
      <c r="Q1569" t="s">
        <v>170</v>
      </c>
      <c r="R1569" t="s">
        <v>155</v>
      </c>
      <c r="T1569" t="s">
        <v>134</v>
      </c>
      <c r="U1569">
        <v>1</v>
      </c>
      <c r="W1569" t="s">
        <v>134</v>
      </c>
      <c r="X1569">
        <v>1</v>
      </c>
      <c r="Y1569" t="s">
        <v>139</v>
      </c>
      <c r="Z1569" t="s">
        <v>433</v>
      </c>
      <c r="AA1569" t="s">
        <v>147</v>
      </c>
      <c r="AB1569" t="s">
        <v>162</v>
      </c>
      <c r="AC1569" t="s">
        <v>176</v>
      </c>
      <c r="AD1569" t="s">
        <v>155</v>
      </c>
      <c r="AE1569" t="s">
        <v>439</v>
      </c>
      <c r="AF1569" t="s">
        <v>21</v>
      </c>
    </row>
    <row r="1570" spans="1:32">
      <c r="A1570" t="s">
        <v>2514</v>
      </c>
      <c r="B1570" s="37">
        <v>40016</v>
      </c>
      <c r="C1570" s="38">
        <v>40016</v>
      </c>
      <c r="D1570" s="38">
        <v>40014</v>
      </c>
      <c r="E1570" s="38">
        <v>39995</v>
      </c>
      <c r="F1570" s="39">
        <v>111</v>
      </c>
      <c r="G1570" t="s">
        <v>383</v>
      </c>
      <c r="H1570" t="s">
        <v>17</v>
      </c>
      <c r="I1570">
        <v>0</v>
      </c>
      <c r="J1570">
        <v>0</v>
      </c>
      <c r="K1570">
        <v>1</v>
      </c>
      <c r="L1570">
        <v>0</v>
      </c>
      <c r="M1570">
        <v>0</v>
      </c>
      <c r="N1570" t="s">
        <v>194</v>
      </c>
      <c r="O1570" t="s">
        <v>213</v>
      </c>
      <c r="P1570" t="s">
        <v>205</v>
      </c>
      <c r="Q1570" t="s">
        <v>170</v>
      </c>
      <c r="R1570" t="s">
        <v>155</v>
      </c>
      <c r="S1570">
        <v>5</v>
      </c>
      <c r="T1570" t="s">
        <v>135</v>
      </c>
      <c r="U1570">
        <v>0</v>
      </c>
      <c r="V1570">
        <v>5</v>
      </c>
      <c r="W1570" t="s">
        <v>135</v>
      </c>
      <c r="X1570">
        <v>0</v>
      </c>
      <c r="Y1570" t="s">
        <v>139</v>
      </c>
      <c r="Z1570" t="s">
        <v>180</v>
      </c>
      <c r="AA1570" t="s">
        <v>143</v>
      </c>
      <c r="AB1570" t="s">
        <v>162</v>
      </c>
      <c r="AC1570" t="s">
        <v>567</v>
      </c>
      <c r="AD1570" t="s">
        <v>155</v>
      </c>
      <c r="AE1570" t="s">
        <v>130</v>
      </c>
      <c r="AF1570" t="s">
        <v>21</v>
      </c>
    </row>
    <row r="1571" spans="1:32">
      <c r="A1571" t="s">
        <v>2515</v>
      </c>
      <c r="B1571" s="37">
        <v>39908</v>
      </c>
      <c r="C1571" s="38">
        <v>39908</v>
      </c>
      <c r="D1571" s="38">
        <v>39902</v>
      </c>
      <c r="E1571" s="38">
        <v>39904</v>
      </c>
      <c r="F1571" s="39">
        <v>3</v>
      </c>
      <c r="G1571" t="s">
        <v>21</v>
      </c>
      <c r="H1571" t="s">
        <v>21</v>
      </c>
      <c r="I1571">
        <v>0</v>
      </c>
      <c r="J1571">
        <v>0</v>
      </c>
      <c r="K1571">
        <v>0</v>
      </c>
      <c r="L1571">
        <v>1</v>
      </c>
      <c r="M1571">
        <v>0</v>
      </c>
      <c r="N1571" t="s">
        <v>198</v>
      </c>
      <c r="O1571" t="s">
        <v>213</v>
      </c>
      <c r="P1571" t="s">
        <v>208</v>
      </c>
      <c r="Q1571" t="s">
        <v>170</v>
      </c>
      <c r="R1571" t="s">
        <v>155</v>
      </c>
      <c r="T1571" t="s">
        <v>134</v>
      </c>
      <c r="U1571">
        <v>1</v>
      </c>
      <c r="W1571" t="s">
        <v>134</v>
      </c>
      <c r="X1571">
        <v>1</v>
      </c>
      <c r="Y1571" t="s">
        <v>139</v>
      </c>
      <c r="Z1571" t="s">
        <v>191</v>
      </c>
      <c r="AA1571" t="s">
        <v>145</v>
      </c>
      <c r="AB1571" t="s">
        <v>165</v>
      </c>
      <c r="AC1571" t="s">
        <v>21</v>
      </c>
      <c r="AD1571" t="s">
        <v>158</v>
      </c>
      <c r="AE1571" t="s">
        <v>122</v>
      </c>
      <c r="AF1571" t="s">
        <v>21</v>
      </c>
    </row>
    <row r="1572" spans="1:32">
      <c r="A1572" t="s">
        <v>2516</v>
      </c>
      <c r="B1572" s="37">
        <v>39977</v>
      </c>
      <c r="C1572" s="38">
        <v>39977</v>
      </c>
      <c r="D1572" s="38">
        <v>39972</v>
      </c>
      <c r="E1572" s="38">
        <v>39965</v>
      </c>
      <c r="F1572" s="39">
        <v>72</v>
      </c>
      <c r="G1572" t="s">
        <v>21</v>
      </c>
      <c r="H1572" t="s">
        <v>21</v>
      </c>
      <c r="I1572">
        <v>0</v>
      </c>
      <c r="J1572">
        <v>0</v>
      </c>
      <c r="K1572">
        <v>0</v>
      </c>
      <c r="L1572">
        <v>1</v>
      </c>
      <c r="M1572">
        <v>0</v>
      </c>
      <c r="N1572" t="s">
        <v>193</v>
      </c>
      <c r="O1572" t="s">
        <v>213</v>
      </c>
      <c r="P1572" t="s">
        <v>204</v>
      </c>
      <c r="Q1572" t="s">
        <v>170</v>
      </c>
      <c r="R1572" t="s">
        <v>155</v>
      </c>
      <c r="T1572" t="s">
        <v>134</v>
      </c>
      <c r="U1572">
        <v>1</v>
      </c>
      <c r="W1572" t="s">
        <v>134</v>
      </c>
      <c r="X1572">
        <v>1</v>
      </c>
      <c r="Y1572" t="s">
        <v>140</v>
      </c>
      <c r="Z1572" t="s">
        <v>433</v>
      </c>
      <c r="AA1572" t="s">
        <v>143</v>
      </c>
      <c r="AB1572" t="s">
        <v>162</v>
      </c>
      <c r="AC1572" t="s">
        <v>174</v>
      </c>
      <c r="AD1572" t="s">
        <v>156</v>
      </c>
      <c r="AE1572" t="s">
        <v>120</v>
      </c>
      <c r="AF1572" t="s">
        <v>1479</v>
      </c>
    </row>
    <row r="1573" spans="1:32">
      <c r="A1573" t="s">
        <v>2517</v>
      </c>
      <c r="B1573" s="37">
        <v>39938</v>
      </c>
      <c r="C1573" s="38">
        <v>39938</v>
      </c>
      <c r="D1573" s="38">
        <v>39937</v>
      </c>
      <c r="E1573" s="38">
        <v>39934</v>
      </c>
      <c r="F1573" s="39">
        <v>33</v>
      </c>
      <c r="G1573" t="s">
        <v>21</v>
      </c>
      <c r="H1573" t="s">
        <v>21</v>
      </c>
      <c r="I1573">
        <v>0</v>
      </c>
      <c r="J1573">
        <v>0</v>
      </c>
      <c r="K1573">
        <v>0</v>
      </c>
      <c r="L1573">
        <v>1</v>
      </c>
      <c r="M1573">
        <v>0</v>
      </c>
      <c r="N1573" t="s">
        <v>201</v>
      </c>
      <c r="O1573" t="s">
        <v>214</v>
      </c>
      <c r="P1573" t="s">
        <v>204</v>
      </c>
      <c r="Q1573" t="s">
        <v>170</v>
      </c>
      <c r="R1573" t="s">
        <v>155</v>
      </c>
      <c r="T1573" t="s">
        <v>134</v>
      </c>
      <c r="U1573">
        <v>1</v>
      </c>
      <c r="W1573" t="s">
        <v>134</v>
      </c>
      <c r="X1573">
        <v>1</v>
      </c>
      <c r="Y1573" t="s">
        <v>140</v>
      </c>
      <c r="Z1573" t="s">
        <v>537</v>
      </c>
      <c r="AA1573" t="s">
        <v>149</v>
      </c>
      <c r="AB1573" t="s">
        <v>163</v>
      </c>
      <c r="AC1573" t="s">
        <v>173</v>
      </c>
      <c r="AD1573" t="s">
        <v>155</v>
      </c>
      <c r="AE1573" t="s">
        <v>692</v>
      </c>
      <c r="AF1573" t="s">
        <v>21</v>
      </c>
    </row>
    <row r="1574" spans="1:32">
      <c r="A1574" t="s">
        <v>2518</v>
      </c>
      <c r="B1574" s="37">
        <v>39912</v>
      </c>
      <c r="C1574" s="38">
        <v>39912</v>
      </c>
      <c r="D1574" s="38">
        <v>39909</v>
      </c>
      <c r="E1574" s="38">
        <v>39904</v>
      </c>
      <c r="F1574" s="39">
        <v>7</v>
      </c>
      <c r="G1574" t="s">
        <v>21</v>
      </c>
      <c r="H1574" t="s">
        <v>21</v>
      </c>
      <c r="I1574">
        <v>0</v>
      </c>
      <c r="J1574">
        <v>0</v>
      </c>
      <c r="K1574">
        <v>0</v>
      </c>
      <c r="L1574">
        <v>1</v>
      </c>
      <c r="M1574">
        <v>0</v>
      </c>
      <c r="N1574" t="s">
        <v>194</v>
      </c>
      <c r="O1574" t="s">
        <v>213</v>
      </c>
      <c r="P1574" t="s">
        <v>205</v>
      </c>
      <c r="Q1574" t="s">
        <v>170</v>
      </c>
      <c r="R1574" t="s">
        <v>155</v>
      </c>
      <c r="T1574" t="s">
        <v>134</v>
      </c>
      <c r="U1574">
        <v>1</v>
      </c>
      <c r="W1574" t="s">
        <v>134</v>
      </c>
      <c r="X1574">
        <v>1</v>
      </c>
      <c r="Y1574" t="s">
        <v>139</v>
      </c>
      <c r="Z1574" t="s">
        <v>178</v>
      </c>
      <c r="AA1574" t="s">
        <v>142</v>
      </c>
      <c r="AB1574" t="s">
        <v>162</v>
      </c>
      <c r="AC1574" t="s">
        <v>933</v>
      </c>
      <c r="AD1574" t="s">
        <v>159</v>
      </c>
      <c r="AE1574" t="s">
        <v>126</v>
      </c>
      <c r="AF1574" t="s">
        <v>601</v>
      </c>
    </row>
    <row r="1575" spans="1:32">
      <c r="A1575" t="s">
        <v>2519</v>
      </c>
      <c r="B1575" s="37">
        <v>40071</v>
      </c>
      <c r="C1575" s="38">
        <v>40071</v>
      </c>
      <c r="D1575" s="38">
        <v>40070</v>
      </c>
      <c r="E1575" s="38">
        <v>40057</v>
      </c>
      <c r="F1575" s="39">
        <v>166</v>
      </c>
      <c r="G1575" t="s">
        <v>383</v>
      </c>
      <c r="H1575" t="s">
        <v>17</v>
      </c>
      <c r="I1575">
        <v>0</v>
      </c>
      <c r="J1575">
        <v>0</v>
      </c>
      <c r="K1575">
        <v>1</v>
      </c>
      <c r="L1575">
        <v>0</v>
      </c>
      <c r="M1575">
        <v>0</v>
      </c>
      <c r="N1575" t="s">
        <v>197</v>
      </c>
      <c r="O1575" t="s">
        <v>213</v>
      </c>
      <c r="P1575" t="s">
        <v>209</v>
      </c>
      <c r="Q1575" t="s">
        <v>170</v>
      </c>
      <c r="R1575" t="s">
        <v>155</v>
      </c>
      <c r="S1575">
        <v>5</v>
      </c>
      <c r="T1575" t="s">
        <v>135</v>
      </c>
      <c r="U1575">
        <v>0</v>
      </c>
      <c r="V1575">
        <v>3</v>
      </c>
      <c r="W1575" t="s">
        <v>137</v>
      </c>
      <c r="X1575">
        <v>0</v>
      </c>
      <c r="Y1575" t="s">
        <v>139</v>
      </c>
      <c r="Z1575" t="s">
        <v>178</v>
      </c>
      <c r="AA1575" t="s">
        <v>144</v>
      </c>
      <c r="AB1575" t="s">
        <v>163</v>
      </c>
      <c r="AC1575" t="s">
        <v>173</v>
      </c>
      <c r="AD1575" t="s">
        <v>155</v>
      </c>
      <c r="AE1575" t="s">
        <v>128</v>
      </c>
      <c r="AF1575" t="s">
        <v>21</v>
      </c>
    </row>
    <row r="1576" spans="1:32">
      <c r="A1576" t="s">
        <v>2520</v>
      </c>
      <c r="B1576" s="37">
        <v>40075</v>
      </c>
      <c r="C1576" s="38">
        <v>40075</v>
      </c>
      <c r="D1576" s="38">
        <v>40070</v>
      </c>
      <c r="E1576" s="38">
        <v>40057</v>
      </c>
      <c r="F1576" s="39">
        <v>170</v>
      </c>
      <c r="G1576" t="s">
        <v>21</v>
      </c>
      <c r="H1576" t="s">
        <v>21</v>
      </c>
      <c r="I1576">
        <v>0</v>
      </c>
      <c r="J1576">
        <v>0</v>
      </c>
      <c r="K1576">
        <v>0</v>
      </c>
      <c r="L1576">
        <v>1</v>
      </c>
      <c r="M1576">
        <v>0</v>
      </c>
      <c r="N1576" t="s">
        <v>195</v>
      </c>
      <c r="O1576" t="s">
        <v>213</v>
      </c>
      <c r="P1576" t="s">
        <v>206</v>
      </c>
      <c r="Q1576" t="s">
        <v>170</v>
      </c>
      <c r="R1576" t="s">
        <v>155</v>
      </c>
      <c r="S1576">
        <v>5</v>
      </c>
      <c r="T1576" t="s">
        <v>135</v>
      </c>
      <c r="U1576">
        <v>0</v>
      </c>
      <c r="V1576">
        <v>5</v>
      </c>
      <c r="W1576" t="s">
        <v>135</v>
      </c>
      <c r="X1576">
        <v>0</v>
      </c>
      <c r="Y1576" t="s">
        <v>139</v>
      </c>
      <c r="Z1576" t="s">
        <v>178</v>
      </c>
      <c r="AA1576" t="s">
        <v>145</v>
      </c>
      <c r="AB1576" t="s">
        <v>162</v>
      </c>
      <c r="AC1576" t="s">
        <v>429</v>
      </c>
      <c r="AD1576" t="s">
        <v>540</v>
      </c>
      <c r="AE1576" t="s">
        <v>123</v>
      </c>
      <c r="AF1576" t="s">
        <v>123</v>
      </c>
    </row>
    <row r="1577" spans="1:32">
      <c r="A1577" t="s">
        <v>2521</v>
      </c>
      <c r="B1577" s="37">
        <v>39932</v>
      </c>
      <c r="C1577" s="38">
        <v>39932</v>
      </c>
      <c r="D1577" s="38">
        <v>39930</v>
      </c>
      <c r="E1577" s="38">
        <v>39904</v>
      </c>
      <c r="F1577" s="39">
        <v>27</v>
      </c>
      <c r="G1577" t="s">
        <v>9</v>
      </c>
      <c r="H1577" t="s">
        <v>9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202</v>
      </c>
      <c r="O1577" t="s">
        <v>213</v>
      </c>
      <c r="P1577" t="s">
        <v>211</v>
      </c>
      <c r="Q1577" t="s">
        <v>170</v>
      </c>
      <c r="R1577" t="s">
        <v>155</v>
      </c>
      <c r="T1577" t="s">
        <v>134</v>
      </c>
      <c r="U1577">
        <v>1</v>
      </c>
      <c r="W1577" t="s">
        <v>134</v>
      </c>
      <c r="X1577">
        <v>1</v>
      </c>
      <c r="Y1577" t="s">
        <v>139</v>
      </c>
      <c r="Z1577" t="s">
        <v>178</v>
      </c>
      <c r="AA1577" t="s">
        <v>145</v>
      </c>
      <c r="AB1577" t="s">
        <v>163</v>
      </c>
      <c r="AC1577" t="s">
        <v>173</v>
      </c>
      <c r="AD1577" t="s">
        <v>155</v>
      </c>
      <c r="AE1577" t="s">
        <v>692</v>
      </c>
      <c r="AF1577" t="s">
        <v>21</v>
      </c>
    </row>
    <row r="1578" spans="1:32">
      <c r="A1578" t="s">
        <v>2522</v>
      </c>
      <c r="B1578" s="37">
        <v>39965</v>
      </c>
      <c r="C1578" s="38">
        <v>39965</v>
      </c>
      <c r="D1578" s="38">
        <v>39965</v>
      </c>
      <c r="E1578" s="38">
        <v>39965</v>
      </c>
      <c r="F1578" s="39">
        <v>60</v>
      </c>
      <c r="G1578" t="s">
        <v>21</v>
      </c>
      <c r="H1578" t="s">
        <v>21</v>
      </c>
      <c r="I1578">
        <v>0</v>
      </c>
      <c r="J1578">
        <v>0</v>
      </c>
      <c r="K1578">
        <v>0</v>
      </c>
      <c r="L1578">
        <v>1</v>
      </c>
      <c r="M1578">
        <v>0</v>
      </c>
      <c r="N1578" t="s">
        <v>195</v>
      </c>
      <c r="O1578" t="s">
        <v>213</v>
      </c>
      <c r="P1578" t="s">
        <v>206</v>
      </c>
      <c r="Q1578" t="s">
        <v>170</v>
      </c>
      <c r="R1578" t="s">
        <v>155</v>
      </c>
      <c r="T1578" t="s">
        <v>134</v>
      </c>
      <c r="U1578">
        <v>1</v>
      </c>
      <c r="W1578" t="s">
        <v>134</v>
      </c>
      <c r="X1578">
        <v>1</v>
      </c>
      <c r="Y1578" t="s">
        <v>139</v>
      </c>
      <c r="Z1578" t="s">
        <v>178</v>
      </c>
      <c r="AA1578" t="s">
        <v>143</v>
      </c>
      <c r="AB1578" t="s">
        <v>163</v>
      </c>
      <c r="AC1578" t="s">
        <v>173</v>
      </c>
      <c r="AD1578" t="s">
        <v>155</v>
      </c>
      <c r="AE1578" t="s">
        <v>128</v>
      </c>
      <c r="AF1578" t="s">
        <v>21</v>
      </c>
    </row>
    <row r="1579" spans="1:32">
      <c r="A1579" t="s">
        <v>2523</v>
      </c>
      <c r="B1579" s="37">
        <v>39990</v>
      </c>
      <c r="C1579" s="38">
        <v>39990</v>
      </c>
      <c r="D1579" s="38">
        <v>39986</v>
      </c>
      <c r="E1579" s="38">
        <v>39965</v>
      </c>
      <c r="F1579" s="39">
        <v>85</v>
      </c>
      <c r="G1579" t="s">
        <v>21</v>
      </c>
      <c r="H1579" t="s">
        <v>21</v>
      </c>
      <c r="I1579">
        <v>0</v>
      </c>
      <c r="J1579">
        <v>0</v>
      </c>
      <c r="K1579">
        <v>0</v>
      </c>
      <c r="L1579">
        <v>1</v>
      </c>
      <c r="M1579">
        <v>0</v>
      </c>
      <c r="N1579" t="s">
        <v>193</v>
      </c>
      <c r="O1579" t="s">
        <v>213</v>
      </c>
      <c r="P1579" t="s">
        <v>204</v>
      </c>
      <c r="Q1579" t="s">
        <v>170</v>
      </c>
      <c r="R1579" t="s">
        <v>155</v>
      </c>
      <c r="T1579" t="s">
        <v>134</v>
      </c>
      <c r="U1579">
        <v>1</v>
      </c>
      <c r="V1579">
        <v>5</v>
      </c>
      <c r="W1579" t="s">
        <v>135</v>
      </c>
      <c r="X1579">
        <v>0</v>
      </c>
      <c r="Y1579" t="s">
        <v>140</v>
      </c>
      <c r="Z1579" t="s">
        <v>178</v>
      </c>
      <c r="AA1579" t="s">
        <v>149</v>
      </c>
      <c r="AB1579" t="s">
        <v>162</v>
      </c>
      <c r="AC1579" t="s">
        <v>174</v>
      </c>
      <c r="AD1579" t="s">
        <v>157</v>
      </c>
      <c r="AE1579" t="s">
        <v>127</v>
      </c>
      <c r="AF1579" t="s">
        <v>808</v>
      </c>
    </row>
    <row r="1580" spans="1:32">
      <c r="A1580" t="s">
        <v>2524</v>
      </c>
      <c r="B1580" s="37">
        <v>39973</v>
      </c>
      <c r="C1580" s="38">
        <v>39973</v>
      </c>
      <c r="D1580" s="38">
        <v>39972</v>
      </c>
      <c r="E1580" s="38">
        <v>39965</v>
      </c>
      <c r="F1580" s="39">
        <v>68</v>
      </c>
      <c r="G1580" t="s">
        <v>21</v>
      </c>
      <c r="H1580" t="s">
        <v>21</v>
      </c>
      <c r="I1580">
        <v>0</v>
      </c>
      <c r="J1580">
        <v>0</v>
      </c>
      <c r="K1580">
        <v>0</v>
      </c>
      <c r="L1580">
        <v>1</v>
      </c>
      <c r="M1580">
        <v>0</v>
      </c>
      <c r="N1580" t="s">
        <v>193</v>
      </c>
      <c r="O1580" t="s">
        <v>213</v>
      </c>
      <c r="P1580" t="s">
        <v>204</v>
      </c>
      <c r="Q1580" t="s">
        <v>170</v>
      </c>
      <c r="R1580" t="s">
        <v>155</v>
      </c>
      <c r="T1580" t="s">
        <v>134</v>
      </c>
      <c r="U1580">
        <v>1</v>
      </c>
      <c r="W1580" t="s">
        <v>134</v>
      </c>
      <c r="X1580">
        <v>1</v>
      </c>
      <c r="Y1580" t="s">
        <v>140</v>
      </c>
      <c r="Z1580" t="s">
        <v>179</v>
      </c>
      <c r="AA1580" t="s">
        <v>146</v>
      </c>
      <c r="AB1580" t="s">
        <v>163</v>
      </c>
      <c r="AC1580" t="s">
        <v>173</v>
      </c>
      <c r="AD1580" t="s">
        <v>155</v>
      </c>
      <c r="AE1580" t="s">
        <v>670</v>
      </c>
      <c r="AF1580" t="s">
        <v>21</v>
      </c>
    </row>
    <row r="1581" spans="1:32">
      <c r="A1581" t="s">
        <v>2525</v>
      </c>
      <c r="B1581" s="37">
        <v>39940</v>
      </c>
      <c r="C1581" s="38">
        <v>39940</v>
      </c>
      <c r="D1581" s="38">
        <v>39937</v>
      </c>
      <c r="E1581" s="38">
        <v>39934</v>
      </c>
      <c r="F1581" s="39">
        <v>35</v>
      </c>
      <c r="G1581" t="s">
        <v>21</v>
      </c>
      <c r="H1581" t="s">
        <v>21</v>
      </c>
      <c r="I1581">
        <v>0</v>
      </c>
      <c r="J1581">
        <v>0</v>
      </c>
      <c r="K1581">
        <v>0</v>
      </c>
      <c r="L1581">
        <v>1</v>
      </c>
      <c r="M1581">
        <v>0</v>
      </c>
      <c r="N1581" t="s">
        <v>194</v>
      </c>
      <c r="O1581" t="s">
        <v>213</v>
      </c>
      <c r="P1581" t="s">
        <v>205</v>
      </c>
      <c r="Q1581" t="s">
        <v>170</v>
      </c>
      <c r="R1581" t="s">
        <v>155</v>
      </c>
      <c r="T1581" t="s">
        <v>134</v>
      </c>
      <c r="U1581">
        <v>1</v>
      </c>
      <c r="W1581" t="s">
        <v>134</v>
      </c>
      <c r="X1581">
        <v>1</v>
      </c>
      <c r="Y1581" t="s">
        <v>139</v>
      </c>
      <c r="Z1581" t="s">
        <v>409</v>
      </c>
      <c r="AA1581" t="s">
        <v>145</v>
      </c>
      <c r="AB1581" t="s">
        <v>162</v>
      </c>
      <c r="AC1581" t="s">
        <v>174</v>
      </c>
      <c r="AD1581" t="s">
        <v>157</v>
      </c>
      <c r="AE1581" t="s">
        <v>130</v>
      </c>
      <c r="AF1581" t="s">
        <v>437</v>
      </c>
    </row>
    <row r="1582" spans="1:32">
      <c r="A1582" t="s">
        <v>2526</v>
      </c>
      <c r="B1582" s="37">
        <v>40056</v>
      </c>
      <c r="C1582" s="38">
        <v>40056</v>
      </c>
      <c r="D1582" s="38">
        <v>40056</v>
      </c>
      <c r="E1582" s="38">
        <v>40026</v>
      </c>
      <c r="F1582" s="39">
        <v>151</v>
      </c>
      <c r="G1582" t="s">
        <v>21</v>
      </c>
      <c r="H1582" t="s">
        <v>21</v>
      </c>
      <c r="I1582">
        <v>0</v>
      </c>
      <c r="J1582">
        <v>0</v>
      </c>
      <c r="K1582">
        <v>0</v>
      </c>
      <c r="L1582">
        <v>1</v>
      </c>
      <c r="M1582">
        <v>0</v>
      </c>
      <c r="N1582" t="s">
        <v>195</v>
      </c>
      <c r="O1582" t="s">
        <v>213</v>
      </c>
      <c r="P1582" t="s">
        <v>206</v>
      </c>
      <c r="Q1582" t="s">
        <v>170</v>
      </c>
      <c r="R1582" t="s">
        <v>155</v>
      </c>
      <c r="S1582">
        <v>5</v>
      </c>
      <c r="T1582" t="s">
        <v>135</v>
      </c>
      <c r="U1582">
        <v>0</v>
      </c>
      <c r="V1582">
        <v>5</v>
      </c>
      <c r="W1582" t="s">
        <v>135</v>
      </c>
      <c r="X1582">
        <v>0</v>
      </c>
      <c r="Y1582" t="s">
        <v>139</v>
      </c>
      <c r="Z1582" t="s">
        <v>178</v>
      </c>
      <c r="AA1582" t="s">
        <v>144</v>
      </c>
      <c r="AB1582" t="s">
        <v>163</v>
      </c>
      <c r="AC1582" t="s">
        <v>173</v>
      </c>
      <c r="AD1582" t="s">
        <v>155</v>
      </c>
      <c r="AE1582" t="s">
        <v>127</v>
      </c>
      <c r="AF1582" t="s">
        <v>21</v>
      </c>
    </row>
    <row r="1583" spans="1:32">
      <c r="A1583" t="s">
        <v>2527</v>
      </c>
      <c r="B1583" s="37">
        <v>39972</v>
      </c>
      <c r="C1583" s="38">
        <v>39972</v>
      </c>
      <c r="D1583" s="38">
        <v>39972</v>
      </c>
      <c r="E1583" s="38">
        <v>39965</v>
      </c>
      <c r="F1583" s="39">
        <v>67</v>
      </c>
      <c r="G1583" t="s">
        <v>21</v>
      </c>
      <c r="H1583" t="s">
        <v>21</v>
      </c>
      <c r="I1583">
        <v>0</v>
      </c>
      <c r="J1583">
        <v>0</v>
      </c>
      <c r="K1583">
        <v>0</v>
      </c>
      <c r="L1583">
        <v>1</v>
      </c>
      <c r="M1583">
        <v>0</v>
      </c>
      <c r="N1583" t="s">
        <v>193</v>
      </c>
      <c r="O1583" t="s">
        <v>213</v>
      </c>
      <c r="P1583" t="s">
        <v>204</v>
      </c>
      <c r="Q1583" t="s">
        <v>170</v>
      </c>
      <c r="R1583" t="s">
        <v>155</v>
      </c>
      <c r="T1583" t="s">
        <v>134</v>
      </c>
      <c r="U1583">
        <v>1</v>
      </c>
      <c r="W1583" t="s">
        <v>134</v>
      </c>
      <c r="X1583">
        <v>1</v>
      </c>
      <c r="Y1583" t="s">
        <v>140</v>
      </c>
      <c r="Z1583" t="s">
        <v>178</v>
      </c>
      <c r="AA1583" t="s">
        <v>146</v>
      </c>
      <c r="AB1583" t="s">
        <v>163</v>
      </c>
      <c r="AC1583" t="s">
        <v>415</v>
      </c>
      <c r="AD1583" t="s">
        <v>155</v>
      </c>
      <c r="AE1583" t="s">
        <v>125</v>
      </c>
      <c r="AF1583" t="s">
        <v>21</v>
      </c>
    </row>
    <row r="1584" spans="1:32">
      <c r="A1584" t="s">
        <v>2528</v>
      </c>
      <c r="B1584" s="37">
        <v>39978</v>
      </c>
      <c r="C1584" s="38">
        <v>39978</v>
      </c>
      <c r="D1584" s="38">
        <v>39972</v>
      </c>
      <c r="E1584" s="38">
        <v>39965</v>
      </c>
      <c r="F1584" s="39">
        <v>73</v>
      </c>
      <c r="G1584" t="s">
        <v>496</v>
      </c>
      <c r="H1584" t="s">
        <v>13</v>
      </c>
      <c r="I1584">
        <v>0</v>
      </c>
      <c r="J1584">
        <v>1</v>
      </c>
      <c r="K1584">
        <v>0</v>
      </c>
      <c r="L1584">
        <v>0</v>
      </c>
      <c r="M1584">
        <v>1</v>
      </c>
      <c r="N1584" t="s">
        <v>193</v>
      </c>
      <c r="O1584" t="s">
        <v>213</v>
      </c>
      <c r="P1584" t="s">
        <v>204</v>
      </c>
      <c r="Q1584" t="s">
        <v>170</v>
      </c>
      <c r="R1584" t="s">
        <v>155</v>
      </c>
      <c r="T1584" t="s">
        <v>134</v>
      </c>
      <c r="U1584">
        <v>1</v>
      </c>
      <c r="W1584" t="s">
        <v>134</v>
      </c>
      <c r="X1584">
        <v>1</v>
      </c>
      <c r="Y1584" t="s">
        <v>140</v>
      </c>
      <c r="Z1584" t="s">
        <v>178</v>
      </c>
      <c r="AA1584" t="s">
        <v>142</v>
      </c>
      <c r="AB1584" t="s">
        <v>163</v>
      </c>
      <c r="AC1584" t="s">
        <v>415</v>
      </c>
      <c r="AD1584" t="s">
        <v>155</v>
      </c>
      <c r="AE1584" t="s">
        <v>125</v>
      </c>
      <c r="AF1584" t="s">
        <v>21</v>
      </c>
    </row>
    <row r="1585" spans="1:32">
      <c r="A1585" t="s">
        <v>2529</v>
      </c>
      <c r="B1585" s="37">
        <v>40082</v>
      </c>
      <c r="C1585" s="38">
        <v>40082</v>
      </c>
      <c r="D1585" s="38">
        <v>40077</v>
      </c>
      <c r="E1585" s="38">
        <v>40057</v>
      </c>
      <c r="F1585" s="39">
        <v>177</v>
      </c>
      <c r="G1585" t="s">
        <v>21</v>
      </c>
      <c r="H1585" t="s">
        <v>21</v>
      </c>
      <c r="I1585">
        <v>0</v>
      </c>
      <c r="J1585">
        <v>0</v>
      </c>
      <c r="K1585">
        <v>0</v>
      </c>
      <c r="L1585">
        <v>1</v>
      </c>
      <c r="M1585">
        <v>0</v>
      </c>
      <c r="N1585" t="s">
        <v>193</v>
      </c>
      <c r="O1585" t="s">
        <v>213</v>
      </c>
      <c r="P1585" t="s">
        <v>204</v>
      </c>
      <c r="Q1585" t="s">
        <v>170</v>
      </c>
      <c r="R1585" t="s">
        <v>155</v>
      </c>
      <c r="S1585">
        <v>5</v>
      </c>
      <c r="T1585" t="s">
        <v>135</v>
      </c>
      <c r="U1585">
        <v>0</v>
      </c>
      <c r="V1585">
        <v>5</v>
      </c>
      <c r="W1585" t="s">
        <v>135</v>
      </c>
      <c r="X1585">
        <v>0</v>
      </c>
      <c r="Y1585" t="s">
        <v>140</v>
      </c>
      <c r="Z1585" t="s">
        <v>178</v>
      </c>
      <c r="AA1585" t="s">
        <v>145</v>
      </c>
      <c r="AB1585" t="s">
        <v>163</v>
      </c>
      <c r="AC1585" t="s">
        <v>173</v>
      </c>
      <c r="AD1585" t="s">
        <v>155</v>
      </c>
      <c r="AE1585" t="s">
        <v>128</v>
      </c>
      <c r="AF1585" t="s">
        <v>21</v>
      </c>
    </row>
    <row r="1586" spans="1:32">
      <c r="A1586" t="s">
        <v>2530</v>
      </c>
      <c r="B1586" s="37">
        <v>40081</v>
      </c>
      <c r="C1586" s="38">
        <v>40081</v>
      </c>
      <c r="D1586" s="38">
        <v>40077</v>
      </c>
      <c r="E1586" s="38">
        <v>40057</v>
      </c>
      <c r="F1586" s="39">
        <v>176</v>
      </c>
      <c r="G1586" t="s">
        <v>21</v>
      </c>
      <c r="H1586" t="s">
        <v>21</v>
      </c>
      <c r="I1586">
        <v>0</v>
      </c>
      <c r="J1586">
        <v>0</v>
      </c>
      <c r="K1586">
        <v>0</v>
      </c>
      <c r="L1586">
        <v>1</v>
      </c>
      <c r="M1586">
        <v>0</v>
      </c>
      <c r="N1586" t="s">
        <v>193</v>
      </c>
      <c r="O1586" t="s">
        <v>213</v>
      </c>
      <c r="P1586" t="s">
        <v>204</v>
      </c>
      <c r="Q1586" t="s">
        <v>170</v>
      </c>
      <c r="R1586" t="s">
        <v>155</v>
      </c>
      <c r="S1586">
        <v>2</v>
      </c>
      <c r="T1586" t="s">
        <v>136</v>
      </c>
      <c r="U1586">
        <v>0</v>
      </c>
      <c r="V1586">
        <v>5</v>
      </c>
      <c r="W1586" t="s">
        <v>135</v>
      </c>
      <c r="X1586">
        <v>0</v>
      </c>
      <c r="Y1586" t="s">
        <v>140</v>
      </c>
      <c r="Z1586" t="s">
        <v>178</v>
      </c>
      <c r="AA1586" t="s">
        <v>145</v>
      </c>
      <c r="AB1586" t="s">
        <v>162</v>
      </c>
      <c r="AC1586" t="s">
        <v>1624</v>
      </c>
      <c r="AD1586" t="s">
        <v>540</v>
      </c>
      <c r="AE1586" t="s">
        <v>123</v>
      </c>
      <c r="AF1586" t="s">
        <v>123</v>
      </c>
    </row>
    <row r="1587" spans="1:32">
      <c r="A1587" t="s">
        <v>2531</v>
      </c>
      <c r="B1587" s="37">
        <v>40002</v>
      </c>
      <c r="C1587" s="38">
        <v>40002</v>
      </c>
      <c r="D1587" s="38">
        <v>40000</v>
      </c>
      <c r="E1587" s="38">
        <v>39995</v>
      </c>
      <c r="F1587" s="39">
        <v>97</v>
      </c>
      <c r="G1587" t="s">
        <v>9</v>
      </c>
      <c r="H1587" t="s">
        <v>9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195</v>
      </c>
      <c r="O1587" t="s">
        <v>213</v>
      </c>
      <c r="P1587" t="s">
        <v>206</v>
      </c>
      <c r="Q1587" t="s">
        <v>170</v>
      </c>
      <c r="R1587" t="s">
        <v>155</v>
      </c>
      <c r="T1587" t="s">
        <v>134</v>
      </c>
      <c r="U1587">
        <v>1</v>
      </c>
      <c r="V1587">
        <v>5</v>
      </c>
      <c r="W1587" t="s">
        <v>135</v>
      </c>
      <c r="X1587">
        <v>0</v>
      </c>
      <c r="Y1587" t="s">
        <v>139</v>
      </c>
      <c r="Z1587" t="s">
        <v>178</v>
      </c>
      <c r="AA1587" t="s">
        <v>143</v>
      </c>
      <c r="AB1587" t="s">
        <v>162</v>
      </c>
      <c r="AC1587" t="s">
        <v>21</v>
      </c>
      <c r="AD1587" t="s">
        <v>160</v>
      </c>
      <c r="AE1587" t="s">
        <v>454</v>
      </c>
      <c r="AF1587" t="s">
        <v>2532</v>
      </c>
    </row>
    <row r="1588" spans="1:32">
      <c r="A1588" t="s">
        <v>2533</v>
      </c>
      <c r="B1588" s="37">
        <v>39936</v>
      </c>
      <c r="C1588" s="38">
        <v>39936</v>
      </c>
      <c r="D1588" s="38">
        <v>39930</v>
      </c>
      <c r="E1588" s="38">
        <v>39934</v>
      </c>
      <c r="F1588" s="39">
        <v>31</v>
      </c>
      <c r="G1588" t="s">
        <v>496</v>
      </c>
      <c r="H1588" t="s">
        <v>13</v>
      </c>
      <c r="I1588">
        <v>0</v>
      </c>
      <c r="J1588">
        <v>1</v>
      </c>
      <c r="K1588">
        <v>0</v>
      </c>
      <c r="L1588">
        <v>0</v>
      </c>
      <c r="M1588">
        <v>1</v>
      </c>
      <c r="N1588" t="s">
        <v>200</v>
      </c>
      <c r="O1588" t="s">
        <v>214</v>
      </c>
      <c r="P1588" t="s">
        <v>208</v>
      </c>
      <c r="Q1588" t="s">
        <v>170</v>
      </c>
      <c r="R1588" t="s">
        <v>155</v>
      </c>
      <c r="T1588" t="s">
        <v>134</v>
      </c>
      <c r="U1588">
        <v>1</v>
      </c>
      <c r="W1588" t="s">
        <v>134</v>
      </c>
      <c r="X1588">
        <v>1</v>
      </c>
      <c r="Y1588" t="s">
        <v>139</v>
      </c>
      <c r="Z1588" t="s">
        <v>603</v>
      </c>
      <c r="AA1588" t="s">
        <v>142</v>
      </c>
      <c r="AB1588" t="s">
        <v>162</v>
      </c>
      <c r="AC1588" t="s">
        <v>21</v>
      </c>
      <c r="AD1588" t="s">
        <v>155</v>
      </c>
      <c r="AE1588" t="s">
        <v>129</v>
      </c>
      <c r="AF1588" t="s">
        <v>21</v>
      </c>
    </row>
    <row r="1589" spans="1:32">
      <c r="A1589" t="s">
        <v>2534</v>
      </c>
      <c r="B1589" s="37">
        <v>39944</v>
      </c>
      <c r="C1589" s="38">
        <v>39944</v>
      </c>
      <c r="D1589" s="38">
        <v>39944</v>
      </c>
      <c r="E1589" s="38">
        <v>39934</v>
      </c>
      <c r="F1589" s="39">
        <v>39</v>
      </c>
      <c r="G1589" t="s">
        <v>380</v>
      </c>
      <c r="H1589" t="s">
        <v>17</v>
      </c>
      <c r="I1589">
        <v>0</v>
      </c>
      <c r="J1589">
        <v>0</v>
      </c>
      <c r="K1589">
        <v>1</v>
      </c>
      <c r="L1589">
        <v>0</v>
      </c>
      <c r="M1589">
        <v>0</v>
      </c>
      <c r="N1589" t="s">
        <v>193</v>
      </c>
      <c r="O1589" t="s">
        <v>213</v>
      </c>
      <c r="P1589" t="s">
        <v>204</v>
      </c>
      <c r="Q1589" t="s">
        <v>170</v>
      </c>
      <c r="R1589" t="s">
        <v>155</v>
      </c>
      <c r="T1589" t="s">
        <v>134</v>
      </c>
      <c r="U1589">
        <v>1</v>
      </c>
      <c r="W1589" t="s">
        <v>134</v>
      </c>
      <c r="X1589">
        <v>1</v>
      </c>
      <c r="Y1589" t="s">
        <v>140</v>
      </c>
      <c r="Z1589" t="s">
        <v>178</v>
      </c>
      <c r="AA1589" t="s">
        <v>147</v>
      </c>
      <c r="AB1589" t="s">
        <v>163</v>
      </c>
      <c r="AC1589" t="s">
        <v>173</v>
      </c>
      <c r="AD1589" t="s">
        <v>155</v>
      </c>
      <c r="AE1589" t="s">
        <v>501</v>
      </c>
      <c r="AF1589" t="s">
        <v>21</v>
      </c>
    </row>
    <row r="1590" spans="1:32">
      <c r="A1590" t="s">
        <v>2535</v>
      </c>
      <c r="B1590" s="37">
        <v>39983</v>
      </c>
      <c r="C1590" s="38">
        <v>39983</v>
      </c>
      <c r="D1590" s="38">
        <v>39979</v>
      </c>
      <c r="E1590" s="38">
        <v>39965</v>
      </c>
      <c r="F1590" s="39">
        <v>78</v>
      </c>
      <c r="G1590" t="s">
        <v>21</v>
      </c>
      <c r="H1590" t="s">
        <v>21</v>
      </c>
      <c r="I1590">
        <v>0</v>
      </c>
      <c r="J1590">
        <v>0</v>
      </c>
      <c r="K1590">
        <v>0</v>
      </c>
      <c r="L1590">
        <v>1</v>
      </c>
      <c r="M1590">
        <v>0</v>
      </c>
      <c r="N1590" t="s">
        <v>195</v>
      </c>
      <c r="O1590" t="s">
        <v>213</v>
      </c>
      <c r="P1590" t="s">
        <v>206</v>
      </c>
      <c r="Q1590" t="s">
        <v>170</v>
      </c>
      <c r="R1590" t="s">
        <v>155</v>
      </c>
      <c r="T1590" t="s">
        <v>134</v>
      </c>
      <c r="U1590">
        <v>1</v>
      </c>
      <c r="W1590" t="s">
        <v>134</v>
      </c>
      <c r="X1590">
        <v>1</v>
      </c>
      <c r="Y1590" t="s">
        <v>139</v>
      </c>
      <c r="Z1590" t="s">
        <v>181</v>
      </c>
      <c r="AA1590" t="s">
        <v>142</v>
      </c>
      <c r="AB1590" t="s">
        <v>162</v>
      </c>
      <c r="AC1590" t="s">
        <v>459</v>
      </c>
      <c r="AD1590" t="s">
        <v>155</v>
      </c>
      <c r="AE1590" t="s">
        <v>129</v>
      </c>
      <c r="AF1590" t="s">
        <v>21</v>
      </c>
    </row>
    <row r="1591" spans="1:32">
      <c r="A1591" t="s">
        <v>2536</v>
      </c>
      <c r="B1591" s="37">
        <v>39947</v>
      </c>
      <c r="C1591" s="38">
        <v>39947</v>
      </c>
      <c r="D1591" s="38">
        <v>39944</v>
      </c>
      <c r="E1591" s="38">
        <v>39934</v>
      </c>
      <c r="F1591" s="39">
        <v>42</v>
      </c>
      <c r="G1591" t="s">
        <v>525</v>
      </c>
      <c r="H1591" t="s">
        <v>17</v>
      </c>
      <c r="I1591">
        <v>0</v>
      </c>
      <c r="J1591">
        <v>0</v>
      </c>
      <c r="K1591">
        <v>1</v>
      </c>
      <c r="L1591">
        <v>0</v>
      </c>
      <c r="M1591">
        <v>0</v>
      </c>
      <c r="N1591" t="s">
        <v>193</v>
      </c>
      <c r="O1591" t="s">
        <v>213</v>
      </c>
      <c r="P1591" t="s">
        <v>204</v>
      </c>
      <c r="Q1591" t="s">
        <v>170</v>
      </c>
      <c r="R1591" t="s">
        <v>155</v>
      </c>
      <c r="T1591" t="s">
        <v>134</v>
      </c>
      <c r="U1591">
        <v>1</v>
      </c>
      <c r="W1591" t="s">
        <v>134</v>
      </c>
      <c r="X1591">
        <v>1</v>
      </c>
      <c r="Y1591" t="s">
        <v>140</v>
      </c>
      <c r="Z1591" t="s">
        <v>178</v>
      </c>
      <c r="AA1591" t="s">
        <v>143</v>
      </c>
      <c r="AB1591" t="s">
        <v>163</v>
      </c>
      <c r="AC1591" t="s">
        <v>2537</v>
      </c>
      <c r="AD1591" t="s">
        <v>155</v>
      </c>
      <c r="AE1591" t="s">
        <v>127</v>
      </c>
      <c r="AF1591" t="s">
        <v>21</v>
      </c>
    </row>
    <row r="1592" spans="1:32">
      <c r="A1592" t="s">
        <v>2538</v>
      </c>
      <c r="B1592" s="37">
        <v>39967</v>
      </c>
      <c r="C1592" s="38">
        <v>39967</v>
      </c>
      <c r="D1592" s="38">
        <v>39965</v>
      </c>
      <c r="E1592" s="38">
        <v>39965</v>
      </c>
      <c r="F1592" s="39">
        <v>62</v>
      </c>
      <c r="G1592" t="s">
        <v>383</v>
      </c>
      <c r="H1592" t="s">
        <v>17</v>
      </c>
      <c r="I1592">
        <v>0</v>
      </c>
      <c r="J1592">
        <v>0</v>
      </c>
      <c r="K1592">
        <v>1</v>
      </c>
      <c r="L1592">
        <v>0</v>
      </c>
      <c r="M1592">
        <v>0</v>
      </c>
      <c r="N1592" t="s">
        <v>195</v>
      </c>
      <c r="O1592" t="s">
        <v>213</v>
      </c>
      <c r="P1592" t="s">
        <v>206</v>
      </c>
      <c r="Q1592" t="s">
        <v>170</v>
      </c>
      <c r="R1592" t="s">
        <v>155</v>
      </c>
      <c r="T1592" t="s">
        <v>134</v>
      </c>
      <c r="U1592">
        <v>1</v>
      </c>
      <c r="W1592" t="s">
        <v>134</v>
      </c>
      <c r="X1592">
        <v>1</v>
      </c>
      <c r="Y1592" t="s">
        <v>139</v>
      </c>
      <c r="Z1592" t="s">
        <v>183</v>
      </c>
      <c r="AA1592" t="s">
        <v>143</v>
      </c>
      <c r="AB1592" t="s">
        <v>162</v>
      </c>
      <c r="AC1592" t="s">
        <v>550</v>
      </c>
      <c r="AD1592" t="s">
        <v>160</v>
      </c>
      <c r="AE1592" t="s">
        <v>126</v>
      </c>
      <c r="AF1592" t="s">
        <v>685</v>
      </c>
    </row>
    <row r="1593" spans="1:32">
      <c r="A1593" t="s">
        <v>2539</v>
      </c>
      <c r="B1593" s="37">
        <v>39961</v>
      </c>
      <c r="C1593" s="38">
        <v>39961</v>
      </c>
      <c r="D1593" s="38">
        <v>39958</v>
      </c>
      <c r="E1593" s="38">
        <v>39934</v>
      </c>
      <c r="F1593" s="39">
        <v>56</v>
      </c>
      <c r="G1593" t="s">
        <v>21</v>
      </c>
      <c r="H1593" t="s">
        <v>21</v>
      </c>
      <c r="I1593">
        <v>0</v>
      </c>
      <c r="J1593">
        <v>0</v>
      </c>
      <c r="K1593">
        <v>0</v>
      </c>
      <c r="L1593">
        <v>1</v>
      </c>
      <c r="M1593">
        <v>0</v>
      </c>
      <c r="N1593" t="s">
        <v>193</v>
      </c>
      <c r="O1593" t="s">
        <v>213</v>
      </c>
      <c r="P1593" t="s">
        <v>204</v>
      </c>
      <c r="Q1593" t="s">
        <v>170</v>
      </c>
      <c r="R1593" t="s">
        <v>155</v>
      </c>
      <c r="T1593" t="s">
        <v>134</v>
      </c>
      <c r="U1593">
        <v>1</v>
      </c>
      <c r="W1593" t="s">
        <v>134</v>
      </c>
      <c r="X1593">
        <v>1</v>
      </c>
      <c r="Y1593" t="s">
        <v>140</v>
      </c>
      <c r="Z1593" t="s">
        <v>191</v>
      </c>
      <c r="AA1593" t="s">
        <v>143</v>
      </c>
      <c r="AB1593" t="s">
        <v>162</v>
      </c>
      <c r="AC1593" t="s">
        <v>985</v>
      </c>
      <c r="AD1593" t="s">
        <v>156</v>
      </c>
      <c r="AE1593" t="s">
        <v>120</v>
      </c>
      <c r="AF1593" t="s">
        <v>1001</v>
      </c>
    </row>
    <row r="1594" spans="1:32">
      <c r="A1594" t="s">
        <v>2540</v>
      </c>
      <c r="B1594" s="37">
        <v>40018</v>
      </c>
      <c r="C1594" s="38">
        <v>40018</v>
      </c>
      <c r="D1594" s="38">
        <v>40014</v>
      </c>
      <c r="E1594" s="38">
        <v>39995</v>
      </c>
      <c r="F1594" s="39">
        <v>113</v>
      </c>
      <c r="G1594" t="s">
        <v>383</v>
      </c>
      <c r="H1594" t="s">
        <v>17</v>
      </c>
      <c r="I1594">
        <v>0</v>
      </c>
      <c r="J1594">
        <v>0</v>
      </c>
      <c r="K1594">
        <v>1</v>
      </c>
      <c r="L1594">
        <v>0</v>
      </c>
      <c r="M1594">
        <v>0</v>
      </c>
      <c r="N1594" t="s">
        <v>193</v>
      </c>
      <c r="O1594" t="s">
        <v>213</v>
      </c>
      <c r="P1594" t="s">
        <v>204</v>
      </c>
      <c r="Q1594" t="s">
        <v>170</v>
      </c>
      <c r="R1594" t="s">
        <v>155</v>
      </c>
      <c r="S1594">
        <v>5</v>
      </c>
      <c r="T1594" t="s">
        <v>135</v>
      </c>
      <c r="U1594">
        <v>0</v>
      </c>
      <c r="V1594">
        <v>3</v>
      </c>
      <c r="W1594" t="s">
        <v>137</v>
      </c>
      <c r="X1594">
        <v>0</v>
      </c>
      <c r="Y1594" t="s">
        <v>140</v>
      </c>
      <c r="Z1594" t="s">
        <v>433</v>
      </c>
      <c r="AA1594" t="s">
        <v>143</v>
      </c>
      <c r="AB1594" t="s">
        <v>162</v>
      </c>
      <c r="AC1594" t="s">
        <v>21</v>
      </c>
      <c r="AD1594" t="s">
        <v>155</v>
      </c>
      <c r="AE1594" t="s">
        <v>130</v>
      </c>
      <c r="AF1594" t="s">
        <v>21</v>
      </c>
    </row>
    <row r="1595" spans="1:32">
      <c r="A1595" t="s">
        <v>2541</v>
      </c>
      <c r="B1595" s="37">
        <v>40010</v>
      </c>
      <c r="C1595" s="38">
        <v>40010</v>
      </c>
      <c r="D1595" s="38">
        <v>40007</v>
      </c>
      <c r="E1595" s="38">
        <v>39995</v>
      </c>
      <c r="F1595" s="39">
        <v>105</v>
      </c>
      <c r="G1595" t="s">
        <v>21</v>
      </c>
      <c r="H1595" t="s">
        <v>21</v>
      </c>
      <c r="I1595">
        <v>0</v>
      </c>
      <c r="J1595">
        <v>0</v>
      </c>
      <c r="K1595">
        <v>0</v>
      </c>
      <c r="L1595">
        <v>1</v>
      </c>
      <c r="M1595">
        <v>0</v>
      </c>
      <c r="N1595" t="s">
        <v>195</v>
      </c>
      <c r="O1595" t="s">
        <v>213</v>
      </c>
      <c r="P1595" t="s">
        <v>206</v>
      </c>
      <c r="Q1595" t="s">
        <v>170</v>
      </c>
      <c r="R1595" t="s">
        <v>155</v>
      </c>
      <c r="S1595">
        <v>5</v>
      </c>
      <c r="T1595" t="s">
        <v>135</v>
      </c>
      <c r="U1595">
        <v>0</v>
      </c>
      <c r="V1595">
        <v>3</v>
      </c>
      <c r="W1595" t="s">
        <v>137</v>
      </c>
      <c r="X1595">
        <v>0</v>
      </c>
      <c r="Y1595" t="s">
        <v>139</v>
      </c>
      <c r="Z1595" t="s">
        <v>433</v>
      </c>
      <c r="AA1595" t="s">
        <v>142</v>
      </c>
      <c r="AB1595" t="s">
        <v>165</v>
      </c>
      <c r="AC1595" t="s">
        <v>589</v>
      </c>
      <c r="AD1595" t="s">
        <v>158</v>
      </c>
      <c r="AE1595" t="s">
        <v>122</v>
      </c>
      <c r="AF1595" t="s">
        <v>21</v>
      </c>
    </row>
    <row r="1596" spans="1:32">
      <c r="A1596" t="s">
        <v>2542</v>
      </c>
      <c r="B1596" s="37">
        <v>39990</v>
      </c>
      <c r="C1596" s="38">
        <v>39990</v>
      </c>
      <c r="D1596" s="38">
        <v>39986</v>
      </c>
      <c r="E1596" s="38">
        <v>39965</v>
      </c>
      <c r="F1596" s="39">
        <v>85</v>
      </c>
      <c r="G1596" t="s">
        <v>525</v>
      </c>
      <c r="H1596" t="s">
        <v>17</v>
      </c>
      <c r="I1596">
        <v>0</v>
      </c>
      <c r="J1596">
        <v>0</v>
      </c>
      <c r="K1596">
        <v>1</v>
      </c>
      <c r="L1596">
        <v>0</v>
      </c>
      <c r="M1596">
        <v>0</v>
      </c>
      <c r="N1596" t="s">
        <v>193</v>
      </c>
      <c r="O1596" t="s">
        <v>213</v>
      </c>
      <c r="P1596" t="s">
        <v>204</v>
      </c>
      <c r="Q1596" t="s">
        <v>170</v>
      </c>
      <c r="R1596" t="s">
        <v>155</v>
      </c>
      <c r="T1596" t="s">
        <v>134</v>
      </c>
      <c r="U1596">
        <v>1</v>
      </c>
      <c r="V1596">
        <v>2</v>
      </c>
      <c r="W1596" t="s">
        <v>136</v>
      </c>
      <c r="X1596">
        <v>0</v>
      </c>
      <c r="Y1596" t="s">
        <v>140</v>
      </c>
      <c r="Z1596" t="s">
        <v>433</v>
      </c>
      <c r="AA1596" t="s">
        <v>142</v>
      </c>
      <c r="AB1596" t="s">
        <v>162</v>
      </c>
      <c r="AC1596" t="s">
        <v>619</v>
      </c>
      <c r="AD1596" t="s">
        <v>160</v>
      </c>
      <c r="AE1596" t="s">
        <v>726</v>
      </c>
      <c r="AF1596" t="s">
        <v>2543</v>
      </c>
    </row>
    <row r="1597" spans="1:32">
      <c r="A1597" t="s">
        <v>2544</v>
      </c>
      <c r="B1597" s="37">
        <v>39964</v>
      </c>
      <c r="C1597" s="38">
        <v>39964</v>
      </c>
      <c r="D1597" s="38">
        <v>39958</v>
      </c>
      <c r="E1597" s="38">
        <v>39934</v>
      </c>
      <c r="F1597" s="39">
        <v>59</v>
      </c>
      <c r="G1597" t="s">
        <v>9</v>
      </c>
      <c r="H1597" t="s">
        <v>9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193</v>
      </c>
      <c r="O1597" t="s">
        <v>213</v>
      </c>
      <c r="P1597" t="s">
        <v>204</v>
      </c>
      <c r="Q1597" t="s">
        <v>170</v>
      </c>
      <c r="R1597" t="s">
        <v>155</v>
      </c>
      <c r="T1597" t="s">
        <v>134</v>
      </c>
      <c r="U1597">
        <v>1</v>
      </c>
      <c r="W1597" t="s">
        <v>134</v>
      </c>
      <c r="X1597">
        <v>1</v>
      </c>
      <c r="Y1597" t="s">
        <v>140</v>
      </c>
      <c r="Z1597" t="s">
        <v>186</v>
      </c>
      <c r="AA1597" t="s">
        <v>142</v>
      </c>
      <c r="AB1597" t="s">
        <v>2455</v>
      </c>
      <c r="AC1597" t="s">
        <v>2456</v>
      </c>
      <c r="AD1597" t="s">
        <v>123</v>
      </c>
      <c r="AE1597" t="s">
        <v>601</v>
      </c>
      <c r="AF1597" t="s">
        <v>21</v>
      </c>
    </row>
    <row r="1598" spans="1:32">
      <c r="A1598" t="s">
        <v>2545</v>
      </c>
      <c r="B1598" s="37">
        <v>39937</v>
      </c>
      <c r="C1598" s="38">
        <v>39937</v>
      </c>
      <c r="D1598" s="38">
        <v>39937</v>
      </c>
      <c r="E1598" s="38">
        <v>39934</v>
      </c>
      <c r="F1598" s="39">
        <v>32</v>
      </c>
      <c r="G1598" t="s">
        <v>21</v>
      </c>
      <c r="H1598" t="s">
        <v>21</v>
      </c>
      <c r="I1598">
        <v>0</v>
      </c>
      <c r="J1598">
        <v>0</v>
      </c>
      <c r="K1598">
        <v>0</v>
      </c>
      <c r="L1598">
        <v>1</v>
      </c>
      <c r="M1598">
        <v>0</v>
      </c>
      <c r="N1598" t="s">
        <v>194</v>
      </c>
      <c r="O1598" t="s">
        <v>213</v>
      </c>
      <c r="P1598" t="s">
        <v>205</v>
      </c>
      <c r="Q1598" t="s">
        <v>170</v>
      </c>
      <c r="R1598" t="s">
        <v>155</v>
      </c>
      <c r="T1598" t="s">
        <v>134</v>
      </c>
      <c r="U1598">
        <v>1</v>
      </c>
      <c r="W1598" t="s">
        <v>134</v>
      </c>
      <c r="X1598">
        <v>1</v>
      </c>
      <c r="Y1598" t="s">
        <v>139</v>
      </c>
      <c r="Z1598" t="s">
        <v>186</v>
      </c>
      <c r="AA1598" t="s">
        <v>147</v>
      </c>
      <c r="AB1598" t="s">
        <v>163</v>
      </c>
      <c r="AC1598" t="s">
        <v>173</v>
      </c>
      <c r="AD1598" t="s">
        <v>155</v>
      </c>
      <c r="AE1598" t="s">
        <v>406</v>
      </c>
      <c r="AF1598" t="s">
        <v>21</v>
      </c>
    </row>
    <row r="1599" spans="1:32">
      <c r="A1599" t="s">
        <v>2546</v>
      </c>
      <c r="B1599" s="37">
        <v>39943</v>
      </c>
      <c r="C1599" s="38">
        <v>39943</v>
      </c>
      <c r="D1599" s="38">
        <v>39937</v>
      </c>
      <c r="E1599" s="38">
        <v>39934</v>
      </c>
      <c r="F1599" s="39">
        <v>38</v>
      </c>
      <c r="G1599" t="s">
        <v>21</v>
      </c>
      <c r="H1599" t="s">
        <v>21</v>
      </c>
      <c r="I1599">
        <v>0</v>
      </c>
      <c r="J1599">
        <v>0</v>
      </c>
      <c r="K1599">
        <v>0</v>
      </c>
      <c r="L1599">
        <v>1</v>
      </c>
      <c r="M1599">
        <v>0</v>
      </c>
      <c r="N1599" t="s">
        <v>194</v>
      </c>
      <c r="O1599" t="s">
        <v>213</v>
      </c>
      <c r="P1599" t="s">
        <v>205</v>
      </c>
      <c r="Q1599" t="s">
        <v>170</v>
      </c>
      <c r="R1599" t="s">
        <v>155</v>
      </c>
      <c r="T1599" t="s">
        <v>134</v>
      </c>
      <c r="U1599">
        <v>1</v>
      </c>
      <c r="W1599" t="s">
        <v>134</v>
      </c>
      <c r="X1599">
        <v>1</v>
      </c>
      <c r="Y1599" t="s">
        <v>139</v>
      </c>
      <c r="Z1599" t="s">
        <v>186</v>
      </c>
      <c r="AA1599" t="s">
        <v>148</v>
      </c>
      <c r="AB1599" t="s">
        <v>163</v>
      </c>
      <c r="AC1599" t="s">
        <v>415</v>
      </c>
      <c r="AD1599" t="s">
        <v>155</v>
      </c>
      <c r="AE1599" t="s">
        <v>125</v>
      </c>
      <c r="AF1599" t="s">
        <v>21</v>
      </c>
    </row>
    <row r="1600" spans="1:32">
      <c r="A1600" t="s">
        <v>2547</v>
      </c>
      <c r="B1600" s="37">
        <v>39942</v>
      </c>
      <c r="C1600" s="38">
        <v>39942</v>
      </c>
      <c r="D1600" s="38">
        <v>39937</v>
      </c>
      <c r="E1600" s="38">
        <v>39934</v>
      </c>
      <c r="F1600" s="39">
        <v>37</v>
      </c>
      <c r="G1600" t="s">
        <v>21</v>
      </c>
      <c r="H1600" t="s">
        <v>21</v>
      </c>
      <c r="I1600">
        <v>0</v>
      </c>
      <c r="J1600">
        <v>0</v>
      </c>
      <c r="K1600">
        <v>0</v>
      </c>
      <c r="L1600">
        <v>1</v>
      </c>
      <c r="M1600">
        <v>0</v>
      </c>
      <c r="N1600" t="s">
        <v>193</v>
      </c>
      <c r="O1600" t="s">
        <v>213</v>
      </c>
      <c r="P1600" t="s">
        <v>204</v>
      </c>
      <c r="Q1600" t="s">
        <v>170</v>
      </c>
      <c r="R1600" t="s">
        <v>155</v>
      </c>
      <c r="T1600" t="s">
        <v>134</v>
      </c>
      <c r="U1600">
        <v>1</v>
      </c>
      <c r="W1600" t="s">
        <v>134</v>
      </c>
      <c r="X1600">
        <v>1</v>
      </c>
      <c r="Y1600" t="s">
        <v>140</v>
      </c>
      <c r="Z1600" t="s">
        <v>186</v>
      </c>
      <c r="AA1600" t="s">
        <v>143</v>
      </c>
      <c r="AB1600" t="s">
        <v>163</v>
      </c>
      <c r="AC1600" t="s">
        <v>415</v>
      </c>
      <c r="AD1600" t="s">
        <v>155</v>
      </c>
      <c r="AE1600" t="s">
        <v>125</v>
      </c>
      <c r="AF1600" t="s">
        <v>21</v>
      </c>
    </row>
    <row r="1601" spans="1:32">
      <c r="A1601" t="s">
        <v>2548</v>
      </c>
      <c r="B1601" s="37">
        <v>39992</v>
      </c>
      <c r="C1601" s="38">
        <v>39992</v>
      </c>
      <c r="D1601" s="38">
        <v>39986</v>
      </c>
      <c r="E1601" s="38">
        <v>39965</v>
      </c>
      <c r="F1601" s="39">
        <v>87</v>
      </c>
      <c r="G1601" t="s">
        <v>21</v>
      </c>
      <c r="H1601" t="s">
        <v>21</v>
      </c>
      <c r="I1601">
        <v>0</v>
      </c>
      <c r="J1601">
        <v>0</v>
      </c>
      <c r="K1601">
        <v>0</v>
      </c>
      <c r="L1601">
        <v>1</v>
      </c>
      <c r="M1601">
        <v>0</v>
      </c>
      <c r="N1601" t="s">
        <v>193</v>
      </c>
      <c r="O1601" t="s">
        <v>213</v>
      </c>
      <c r="P1601" t="s">
        <v>204</v>
      </c>
      <c r="Q1601" t="s">
        <v>170</v>
      </c>
      <c r="R1601" t="s">
        <v>155</v>
      </c>
      <c r="T1601" t="s">
        <v>134</v>
      </c>
      <c r="U1601">
        <v>1</v>
      </c>
      <c r="V1601">
        <v>5</v>
      </c>
      <c r="W1601" t="s">
        <v>135</v>
      </c>
      <c r="X1601">
        <v>0</v>
      </c>
      <c r="Y1601" t="s">
        <v>140</v>
      </c>
      <c r="Z1601" t="s">
        <v>180</v>
      </c>
      <c r="AA1601" t="s">
        <v>145</v>
      </c>
      <c r="AB1601" t="s">
        <v>162</v>
      </c>
      <c r="AC1601" t="s">
        <v>175</v>
      </c>
      <c r="AD1601" t="s">
        <v>155</v>
      </c>
      <c r="AE1601" t="s">
        <v>129</v>
      </c>
      <c r="AF1601" t="s">
        <v>21</v>
      </c>
    </row>
    <row r="1602" spans="1:32">
      <c r="A1602" t="s">
        <v>2549</v>
      </c>
      <c r="B1602" s="37">
        <v>40082</v>
      </c>
      <c r="C1602" s="38">
        <v>40082</v>
      </c>
      <c r="D1602" s="38">
        <v>40077</v>
      </c>
      <c r="E1602" s="38">
        <v>40057</v>
      </c>
      <c r="F1602" s="39">
        <v>177</v>
      </c>
      <c r="G1602" t="s">
        <v>21</v>
      </c>
      <c r="H1602" t="s">
        <v>21</v>
      </c>
      <c r="I1602">
        <v>0</v>
      </c>
      <c r="J1602">
        <v>0</v>
      </c>
      <c r="K1602">
        <v>0</v>
      </c>
      <c r="L1602">
        <v>1</v>
      </c>
      <c r="M1602">
        <v>0</v>
      </c>
      <c r="N1602" t="s">
        <v>193</v>
      </c>
      <c r="O1602" t="s">
        <v>213</v>
      </c>
      <c r="P1602" t="s">
        <v>204</v>
      </c>
      <c r="Q1602" t="s">
        <v>170</v>
      </c>
      <c r="R1602" t="s">
        <v>155</v>
      </c>
      <c r="S1602">
        <v>3</v>
      </c>
      <c r="T1602" t="s">
        <v>137</v>
      </c>
      <c r="U1602">
        <v>0</v>
      </c>
      <c r="V1602">
        <v>2</v>
      </c>
      <c r="W1602" t="s">
        <v>136</v>
      </c>
      <c r="X1602">
        <v>0</v>
      </c>
      <c r="Y1602" t="s">
        <v>140</v>
      </c>
      <c r="Z1602" t="s">
        <v>178</v>
      </c>
      <c r="AA1602" t="s">
        <v>143</v>
      </c>
      <c r="AB1602" t="s">
        <v>163</v>
      </c>
      <c r="AC1602" t="s">
        <v>173</v>
      </c>
      <c r="AD1602" t="s">
        <v>155</v>
      </c>
      <c r="AE1602" t="s">
        <v>128</v>
      </c>
      <c r="AF1602" t="s">
        <v>21</v>
      </c>
    </row>
    <row r="1603" spans="1:32">
      <c r="A1603" t="s">
        <v>2550</v>
      </c>
      <c r="B1603" s="37">
        <v>39932</v>
      </c>
      <c r="C1603" s="38">
        <v>39932</v>
      </c>
      <c r="D1603" s="38">
        <v>39930</v>
      </c>
      <c r="E1603" s="38">
        <v>39904</v>
      </c>
      <c r="F1603" s="39">
        <v>27</v>
      </c>
      <c r="G1603" t="s">
        <v>380</v>
      </c>
      <c r="H1603" t="s">
        <v>17</v>
      </c>
      <c r="I1603">
        <v>0</v>
      </c>
      <c r="J1603">
        <v>0</v>
      </c>
      <c r="K1603">
        <v>1</v>
      </c>
      <c r="L1603">
        <v>0</v>
      </c>
      <c r="M1603">
        <v>0</v>
      </c>
      <c r="N1603" t="s">
        <v>202</v>
      </c>
      <c r="O1603" t="s">
        <v>213</v>
      </c>
      <c r="P1603" t="s">
        <v>211</v>
      </c>
      <c r="Q1603" t="s">
        <v>170</v>
      </c>
      <c r="R1603" t="s">
        <v>155</v>
      </c>
      <c r="T1603" t="s">
        <v>134</v>
      </c>
      <c r="U1603">
        <v>1</v>
      </c>
      <c r="W1603" t="s">
        <v>134</v>
      </c>
      <c r="X1603">
        <v>1</v>
      </c>
      <c r="Y1603" t="s">
        <v>139</v>
      </c>
      <c r="Z1603" t="s">
        <v>186</v>
      </c>
      <c r="AA1603" t="s">
        <v>149</v>
      </c>
      <c r="AB1603" t="s">
        <v>163</v>
      </c>
      <c r="AC1603" t="s">
        <v>173</v>
      </c>
      <c r="AD1603" t="s">
        <v>155</v>
      </c>
      <c r="AE1603" t="s">
        <v>692</v>
      </c>
      <c r="AF1603" t="s">
        <v>21</v>
      </c>
    </row>
    <row r="1604" spans="1:32">
      <c r="A1604" t="s">
        <v>2551</v>
      </c>
      <c r="B1604" s="37">
        <v>40008</v>
      </c>
      <c r="C1604" s="38">
        <v>40008</v>
      </c>
      <c r="D1604" s="38">
        <v>40007</v>
      </c>
      <c r="E1604" s="38">
        <v>39995</v>
      </c>
      <c r="F1604" s="39">
        <v>103</v>
      </c>
      <c r="G1604" t="s">
        <v>21</v>
      </c>
      <c r="H1604" t="s">
        <v>21</v>
      </c>
      <c r="I1604">
        <v>0</v>
      </c>
      <c r="J1604">
        <v>0</v>
      </c>
      <c r="K1604">
        <v>0</v>
      </c>
      <c r="L1604">
        <v>1</v>
      </c>
      <c r="M1604">
        <v>0</v>
      </c>
      <c r="N1604" t="s">
        <v>193</v>
      </c>
      <c r="O1604" t="s">
        <v>213</v>
      </c>
      <c r="P1604" t="s">
        <v>204</v>
      </c>
      <c r="Q1604" t="s">
        <v>170</v>
      </c>
      <c r="R1604" t="s">
        <v>155</v>
      </c>
      <c r="S1604">
        <v>5</v>
      </c>
      <c r="T1604" t="s">
        <v>135</v>
      </c>
      <c r="U1604">
        <v>0</v>
      </c>
      <c r="V1604">
        <v>4</v>
      </c>
      <c r="W1604" t="s">
        <v>137</v>
      </c>
      <c r="X1604">
        <v>0</v>
      </c>
      <c r="Y1604" t="s">
        <v>140</v>
      </c>
      <c r="Z1604" t="s">
        <v>180</v>
      </c>
      <c r="AA1604" t="s">
        <v>145</v>
      </c>
      <c r="AB1604" t="s">
        <v>162</v>
      </c>
      <c r="AC1604" t="s">
        <v>175</v>
      </c>
      <c r="AD1604" t="s">
        <v>159</v>
      </c>
      <c r="AE1604" t="s">
        <v>126</v>
      </c>
      <c r="AF1604" t="s">
        <v>601</v>
      </c>
    </row>
    <row r="1605" spans="1:32">
      <c r="A1605" t="s">
        <v>2552</v>
      </c>
      <c r="B1605" s="37">
        <v>39998</v>
      </c>
      <c r="C1605" s="38">
        <v>39998</v>
      </c>
      <c r="D1605" s="38">
        <v>39993</v>
      </c>
      <c r="E1605" s="38">
        <v>39995</v>
      </c>
      <c r="F1605" s="39">
        <v>93</v>
      </c>
      <c r="G1605" t="s">
        <v>383</v>
      </c>
      <c r="H1605" t="s">
        <v>17</v>
      </c>
      <c r="I1605">
        <v>0</v>
      </c>
      <c r="J1605">
        <v>0</v>
      </c>
      <c r="K1605">
        <v>1</v>
      </c>
      <c r="L1605">
        <v>0</v>
      </c>
      <c r="M1605">
        <v>0</v>
      </c>
      <c r="N1605" t="s">
        <v>194</v>
      </c>
      <c r="O1605" t="s">
        <v>213</v>
      </c>
      <c r="P1605" t="s">
        <v>205</v>
      </c>
      <c r="Q1605" t="s">
        <v>170</v>
      </c>
      <c r="R1605" t="s">
        <v>155</v>
      </c>
      <c r="T1605" t="s">
        <v>134</v>
      </c>
      <c r="U1605">
        <v>1</v>
      </c>
      <c r="V1605">
        <v>3</v>
      </c>
      <c r="W1605" t="s">
        <v>137</v>
      </c>
      <c r="X1605">
        <v>0</v>
      </c>
      <c r="Y1605" t="s">
        <v>139</v>
      </c>
      <c r="Z1605" t="s">
        <v>180</v>
      </c>
      <c r="AA1605" t="s">
        <v>150</v>
      </c>
      <c r="AB1605" t="s">
        <v>162</v>
      </c>
      <c r="AC1605" t="s">
        <v>1957</v>
      </c>
      <c r="AD1605" t="s">
        <v>155</v>
      </c>
      <c r="AE1605" t="s">
        <v>130</v>
      </c>
      <c r="AF1605" t="s">
        <v>21</v>
      </c>
    </row>
    <row r="1606" spans="1:32">
      <c r="A1606" t="s">
        <v>2553</v>
      </c>
      <c r="B1606" s="37">
        <v>40020</v>
      </c>
      <c r="C1606" s="38">
        <v>40020</v>
      </c>
      <c r="D1606" s="38">
        <v>40014</v>
      </c>
      <c r="E1606" s="38">
        <v>39995</v>
      </c>
      <c r="F1606" s="39">
        <v>115</v>
      </c>
      <c r="G1606" t="s">
        <v>383</v>
      </c>
      <c r="H1606" t="s">
        <v>17</v>
      </c>
      <c r="I1606">
        <v>0</v>
      </c>
      <c r="J1606">
        <v>0</v>
      </c>
      <c r="K1606">
        <v>1</v>
      </c>
      <c r="L1606">
        <v>0</v>
      </c>
      <c r="M1606">
        <v>0</v>
      </c>
      <c r="N1606" t="s">
        <v>193</v>
      </c>
      <c r="O1606" t="s">
        <v>213</v>
      </c>
      <c r="P1606" t="s">
        <v>204</v>
      </c>
      <c r="Q1606" t="s">
        <v>170</v>
      </c>
      <c r="R1606" t="s">
        <v>155</v>
      </c>
      <c r="S1606">
        <v>3</v>
      </c>
      <c r="T1606" t="s">
        <v>137</v>
      </c>
      <c r="U1606">
        <v>0</v>
      </c>
      <c r="V1606">
        <v>4</v>
      </c>
      <c r="W1606" t="s">
        <v>137</v>
      </c>
      <c r="X1606">
        <v>0</v>
      </c>
      <c r="Y1606" t="s">
        <v>140</v>
      </c>
      <c r="Z1606" t="s">
        <v>180</v>
      </c>
      <c r="AA1606" t="s">
        <v>142</v>
      </c>
      <c r="AB1606" t="s">
        <v>162</v>
      </c>
      <c r="AC1606" t="s">
        <v>21</v>
      </c>
      <c r="AD1606" t="s">
        <v>155</v>
      </c>
      <c r="AE1606" t="s">
        <v>130</v>
      </c>
      <c r="AF1606" t="s">
        <v>21</v>
      </c>
    </row>
    <row r="1607" spans="1:32">
      <c r="A1607" t="s">
        <v>2554</v>
      </c>
      <c r="B1607" s="37">
        <v>39982</v>
      </c>
      <c r="C1607" s="38">
        <v>39982</v>
      </c>
      <c r="D1607" s="38">
        <v>39979</v>
      </c>
      <c r="E1607" s="38">
        <v>39965</v>
      </c>
      <c r="F1607" s="39">
        <v>77</v>
      </c>
      <c r="G1607" t="s">
        <v>21</v>
      </c>
      <c r="H1607" t="s">
        <v>21</v>
      </c>
      <c r="I1607">
        <v>0</v>
      </c>
      <c r="J1607">
        <v>0</v>
      </c>
      <c r="K1607">
        <v>0</v>
      </c>
      <c r="L1607">
        <v>1</v>
      </c>
      <c r="M1607">
        <v>0</v>
      </c>
      <c r="N1607" t="s">
        <v>193</v>
      </c>
      <c r="O1607" t="s">
        <v>213</v>
      </c>
      <c r="P1607" t="s">
        <v>204</v>
      </c>
      <c r="Q1607" t="s">
        <v>170</v>
      </c>
      <c r="R1607" t="s">
        <v>155</v>
      </c>
      <c r="T1607" t="s">
        <v>134</v>
      </c>
      <c r="U1607">
        <v>1</v>
      </c>
      <c r="W1607" t="s">
        <v>134</v>
      </c>
      <c r="X1607">
        <v>1</v>
      </c>
      <c r="Y1607" t="s">
        <v>140</v>
      </c>
      <c r="Z1607" t="s">
        <v>180</v>
      </c>
      <c r="AA1607" t="s">
        <v>146</v>
      </c>
      <c r="AB1607" t="s">
        <v>163</v>
      </c>
      <c r="AC1607" t="s">
        <v>173</v>
      </c>
      <c r="AD1607" t="s">
        <v>155</v>
      </c>
      <c r="AE1607" t="s">
        <v>467</v>
      </c>
      <c r="AF1607" t="s">
        <v>21</v>
      </c>
    </row>
    <row r="1608" spans="1:32">
      <c r="A1608" t="s">
        <v>2555</v>
      </c>
      <c r="B1608" s="37">
        <v>39911</v>
      </c>
      <c r="C1608" s="38">
        <v>39911</v>
      </c>
      <c r="D1608" s="38">
        <v>39909</v>
      </c>
      <c r="E1608" s="38">
        <v>39904</v>
      </c>
      <c r="F1608" s="39">
        <v>6</v>
      </c>
      <c r="G1608" t="s">
        <v>9</v>
      </c>
      <c r="H1608" t="s">
        <v>9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199</v>
      </c>
      <c r="O1608" t="s">
        <v>213</v>
      </c>
      <c r="P1608" t="s">
        <v>210</v>
      </c>
      <c r="Q1608" t="s">
        <v>170</v>
      </c>
      <c r="R1608" t="s">
        <v>155</v>
      </c>
      <c r="T1608" t="s">
        <v>134</v>
      </c>
      <c r="U1608">
        <v>1</v>
      </c>
      <c r="W1608" t="s">
        <v>134</v>
      </c>
      <c r="X1608">
        <v>1</v>
      </c>
      <c r="Y1608" t="s">
        <v>139</v>
      </c>
      <c r="Z1608" t="s">
        <v>179</v>
      </c>
      <c r="AA1608" t="s">
        <v>145</v>
      </c>
      <c r="AB1608" t="s">
        <v>162</v>
      </c>
      <c r="AC1608" t="s">
        <v>175</v>
      </c>
      <c r="AD1608" t="s">
        <v>517</v>
      </c>
      <c r="AE1608" t="s">
        <v>123</v>
      </c>
      <c r="AF1608" t="s">
        <v>123</v>
      </c>
    </row>
    <row r="1609" spans="1:32">
      <c r="A1609" t="s">
        <v>2556</v>
      </c>
      <c r="B1609" s="37">
        <v>39932</v>
      </c>
      <c r="C1609" s="38">
        <v>39932</v>
      </c>
      <c r="D1609" s="38">
        <v>39930</v>
      </c>
      <c r="E1609" s="38">
        <v>39904</v>
      </c>
      <c r="F1609" s="39">
        <v>27</v>
      </c>
      <c r="G1609" t="s">
        <v>21</v>
      </c>
      <c r="H1609" t="s">
        <v>21</v>
      </c>
      <c r="I1609">
        <v>0</v>
      </c>
      <c r="J1609">
        <v>0</v>
      </c>
      <c r="K1609">
        <v>0</v>
      </c>
      <c r="L1609">
        <v>1</v>
      </c>
      <c r="M1609">
        <v>0</v>
      </c>
      <c r="N1609" t="s">
        <v>202</v>
      </c>
      <c r="O1609" t="s">
        <v>213</v>
      </c>
      <c r="P1609" t="s">
        <v>211</v>
      </c>
      <c r="Q1609" t="s">
        <v>170</v>
      </c>
      <c r="R1609" t="s">
        <v>155</v>
      </c>
      <c r="T1609" t="s">
        <v>134</v>
      </c>
      <c r="U1609">
        <v>1</v>
      </c>
      <c r="W1609" t="s">
        <v>134</v>
      </c>
      <c r="X1609">
        <v>1</v>
      </c>
      <c r="Y1609" t="s">
        <v>139</v>
      </c>
      <c r="Z1609" t="s">
        <v>183</v>
      </c>
      <c r="AA1609" t="s">
        <v>147</v>
      </c>
      <c r="AB1609" t="s">
        <v>163</v>
      </c>
      <c r="AC1609" t="s">
        <v>2557</v>
      </c>
      <c r="AD1609" t="s">
        <v>155</v>
      </c>
      <c r="AE1609" t="s">
        <v>454</v>
      </c>
      <c r="AF1609" t="s">
        <v>21</v>
      </c>
    </row>
    <row r="1610" spans="1:32">
      <c r="A1610" t="s">
        <v>2558</v>
      </c>
      <c r="B1610" s="37">
        <v>39994</v>
      </c>
      <c r="C1610" s="38">
        <v>39994</v>
      </c>
      <c r="D1610" s="38">
        <v>39993</v>
      </c>
      <c r="E1610" s="38">
        <v>39965</v>
      </c>
      <c r="F1610" s="39">
        <v>89</v>
      </c>
      <c r="G1610" t="s">
        <v>21</v>
      </c>
      <c r="H1610" t="s">
        <v>21</v>
      </c>
      <c r="I1610">
        <v>0</v>
      </c>
      <c r="J1610">
        <v>0</v>
      </c>
      <c r="K1610">
        <v>0</v>
      </c>
      <c r="L1610">
        <v>1</v>
      </c>
      <c r="M1610">
        <v>0</v>
      </c>
      <c r="N1610" t="s">
        <v>544</v>
      </c>
      <c r="O1610" t="s">
        <v>213</v>
      </c>
      <c r="P1610" t="s">
        <v>545</v>
      </c>
      <c r="Q1610" t="s">
        <v>170</v>
      </c>
      <c r="R1610" t="s">
        <v>155</v>
      </c>
      <c r="T1610" t="s">
        <v>134</v>
      </c>
      <c r="U1610">
        <v>1</v>
      </c>
      <c r="V1610">
        <v>5</v>
      </c>
      <c r="W1610" t="s">
        <v>135</v>
      </c>
      <c r="X1610">
        <v>0</v>
      </c>
      <c r="Y1610" t="s">
        <v>139</v>
      </c>
      <c r="Z1610" t="s">
        <v>447</v>
      </c>
      <c r="AA1610" t="s">
        <v>144</v>
      </c>
      <c r="AB1610" t="s">
        <v>165</v>
      </c>
      <c r="AC1610" t="s">
        <v>589</v>
      </c>
      <c r="AD1610" t="s">
        <v>158</v>
      </c>
      <c r="AE1610" t="s">
        <v>122</v>
      </c>
      <c r="AF1610" t="s">
        <v>21</v>
      </c>
    </row>
    <row r="1611" spans="1:32">
      <c r="A1611" t="s">
        <v>2559</v>
      </c>
      <c r="B1611" s="37">
        <v>39980</v>
      </c>
      <c r="C1611" s="38">
        <v>39980</v>
      </c>
      <c r="D1611" s="38">
        <v>39979</v>
      </c>
      <c r="E1611" s="38">
        <v>39965</v>
      </c>
      <c r="F1611" s="39">
        <v>75</v>
      </c>
      <c r="G1611" t="s">
        <v>380</v>
      </c>
      <c r="H1611" t="s">
        <v>17</v>
      </c>
      <c r="I1611">
        <v>0</v>
      </c>
      <c r="J1611">
        <v>0</v>
      </c>
      <c r="K1611">
        <v>1</v>
      </c>
      <c r="L1611">
        <v>0</v>
      </c>
      <c r="M1611">
        <v>0</v>
      </c>
      <c r="N1611" t="s">
        <v>195</v>
      </c>
      <c r="O1611" t="s">
        <v>213</v>
      </c>
      <c r="P1611" t="s">
        <v>206</v>
      </c>
      <c r="Q1611" t="s">
        <v>170</v>
      </c>
      <c r="R1611" t="s">
        <v>155</v>
      </c>
      <c r="T1611" t="s">
        <v>134</v>
      </c>
      <c r="U1611">
        <v>1</v>
      </c>
      <c r="W1611" t="s">
        <v>134</v>
      </c>
      <c r="X1611">
        <v>1</v>
      </c>
      <c r="Y1611" t="s">
        <v>139</v>
      </c>
      <c r="Z1611" t="s">
        <v>183</v>
      </c>
      <c r="AA1611" t="s">
        <v>144</v>
      </c>
      <c r="AB1611" t="s">
        <v>162</v>
      </c>
      <c r="AC1611" t="s">
        <v>175</v>
      </c>
      <c r="AD1611" t="s">
        <v>159</v>
      </c>
      <c r="AE1611" t="s">
        <v>126</v>
      </c>
      <c r="AF1611" t="s">
        <v>601</v>
      </c>
    </row>
    <row r="1612" spans="1:32">
      <c r="A1612" t="s">
        <v>2560</v>
      </c>
      <c r="B1612" s="37">
        <v>40080</v>
      </c>
      <c r="C1612" s="38">
        <v>40080</v>
      </c>
      <c r="D1612" s="38">
        <v>40077</v>
      </c>
      <c r="E1612" s="38">
        <v>40057</v>
      </c>
      <c r="F1612" s="39">
        <v>175</v>
      </c>
      <c r="G1612" t="s">
        <v>21</v>
      </c>
      <c r="H1612" t="s">
        <v>21</v>
      </c>
      <c r="I1612">
        <v>0</v>
      </c>
      <c r="J1612">
        <v>0</v>
      </c>
      <c r="K1612">
        <v>0</v>
      </c>
      <c r="L1612">
        <v>1</v>
      </c>
      <c r="M1612">
        <v>0</v>
      </c>
      <c r="N1612" t="s">
        <v>193</v>
      </c>
      <c r="O1612" t="s">
        <v>213</v>
      </c>
      <c r="P1612" t="s">
        <v>204</v>
      </c>
      <c r="Q1612" t="s">
        <v>170</v>
      </c>
      <c r="R1612" t="s">
        <v>155</v>
      </c>
      <c r="S1612">
        <v>5</v>
      </c>
      <c r="T1612" t="s">
        <v>135</v>
      </c>
      <c r="U1612">
        <v>0</v>
      </c>
      <c r="V1612">
        <v>3</v>
      </c>
      <c r="W1612" t="s">
        <v>137</v>
      </c>
      <c r="X1612">
        <v>0</v>
      </c>
      <c r="Y1612" t="s">
        <v>140</v>
      </c>
      <c r="Z1612" t="s">
        <v>191</v>
      </c>
      <c r="AA1612" t="s">
        <v>148</v>
      </c>
      <c r="AB1612" t="s">
        <v>162</v>
      </c>
      <c r="AC1612" t="s">
        <v>175</v>
      </c>
      <c r="AD1612" t="s">
        <v>155</v>
      </c>
      <c r="AE1612" t="s">
        <v>129</v>
      </c>
      <c r="AF1612" t="s">
        <v>21</v>
      </c>
    </row>
    <row r="1613" spans="1:32">
      <c r="A1613" t="s">
        <v>2561</v>
      </c>
      <c r="B1613" s="37">
        <v>39906</v>
      </c>
      <c r="C1613" s="38">
        <v>39906</v>
      </c>
      <c r="D1613" s="38">
        <v>39902</v>
      </c>
      <c r="E1613" s="38">
        <v>39904</v>
      </c>
      <c r="F1613" s="39">
        <v>1</v>
      </c>
      <c r="G1613" t="s">
        <v>9</v>
      </c>
      <c r="H1613" t="s">
        <v>9</v>
      </c>
      <c r="I1613">
        <v>1</v>
      </c>
      <c r="J1613">
        <v>0</v>
      </c>
      <c r="K1613">
        <v>0</v>
      </c>
      <c r="L1613">
        <v>0</v>
      </c>
      <c r="M1613">
        <v>1</v>
      </c>
      <c r="N1613" t="s">
        <v>194</v>
      </c>
      <c r="O1613" t="s">
        <v>213</v>
      </c>
      <c r="P1613" t="s">
        <v>205</v>
      </c>
      <c r="Q1613" t="s">
        <v>170</v>
      </c>
      <c r="R1613" t="s">
        <v>155</v>
      </c>
      <c r="T1613" t="s">
        <v>134</v>
      </c>
      <c r="U1613">
        <v>1</v>
      </c>
      <c r="W1613" t="s">
        <v>134</v>
      </c>
      <c r="X1613">
        <v>1</v>
      </c>
      <c r="Y1613" t="s">
        <v>139</v>
      </c>
      <c r="Z1613" t="s">
        <v>186</v>
      </c>
      <c r="AA1613" t="s">
        <v>147</v>
      </c>
      <c r="AB1613" t="s">
        <v>163</v>
      </c>
      <c r="AC1613" t="s">
        <v>173</v>
      </c>
      <c r="AD1613" t="s">
        <v>155</v>
      </c>
      <c r="AE1613" t="s">
        <v>127</v>
      </c>
      <c r="AF1613" t="s">
        <v>21</v>
      </c>
    </row>
    <row r="1614" spans="1:32">
      <c r="A1614" t="s">
        <v>2562</v>
      </c>
      <c r="B1614" s="37">
        <v>39914</v>
      </c>
      <c r="C1614" s="38">
        <v>39914</v>
      </c>
      <c r="D1614" s="38">
        <v>39909</v>
      </c>
      <c r="E1614" s="38">
        <v>39904</v>
      </c>
      <c r="F1614" s="39">
        <v>9</v>
      </c>
      <c r="G1614" t="s">
        <v>21</v>
      </c>
      <c r="H1614" t="s">
        <v>21</v>
      </c>
      <c r="I1614">
        <v>0</v>
      </c>
      <c r="J1614">
        <v>0</v>
      </c>
      <c r="K1614">
        <v>0</v>
      </c>
      <c r="L1614">
        <v>1</v>
      </c>
      <c r="M1614">
        <v>0</v>
      </c>
      <c r="N1614" t="s">
        <v>202</v>
      </c>
      <c r="O1614" t="s">
        <v>213</v>
      </c>
      <c r="P1614" t="s">
        <v>211</v>
      </c>
      <c r="Q1614" t="s">
        <v>170</v>
      </c>
      <c r="R1614" t="s">
        <v>155</v>
      </c>
      <c r="T1614" t="s">
        <v>134</v>
      </c>
      <c r="U1614">
        <v>1</v>
      </c>
      <c r="W1614" t="s">
        <v>134</v>
      </c>
      <c r="X1614">
        <v>1</v>
      </c>
      <c r="Y1614" t="s">
        <v>139</v>
      </c>
      <c r="Z1614" t="s">
        <v>183</v>
      </c>
      <c r="AA1614" t="s">
        <v>147</v>
      </c>
      <c r="AB1614" t="s">
        <v>162</v>
      </c>
      <c r="AC1614" t="s">
        <v>175</v>
      </c>
      <c r="AD1614" t="s">
        <v>159</v>
      </c>
      <c r="AE1614" t="s">
        <v>126</v>
      </c>
      <c r="AF1614" t="s">
        <v>601</v>
      </c>
    </row>
    <row r="1615" spans="1:32">
      <c r="A1615" t="s">
        <v>2563</v>
      </c>
      <c r="B1615" s="37">
        <v>40058</v>
      </c>
      <c r="C1615" s="38">
        <v>40058</v>
      </c>
      <c r="D1615" s="38">
        <v>40056</v>
      </c>
      <c r="E1615" s="38">
        <v>40057</v>
      </c>
      <c r="F1615" s="39">
        <v>153</v>
      </c>
      <c r="G1615" t="s">
        <v>383</v>
      </c>
      <c r="H1615" t="s">
        <v>17</v>
      </c>
      <c r="I1615">
        <v>0</v>
      </c>
      <c r="J1615">
        <v>0</v>
      </c>
      <c r="K1615">
        <v>1</v>
      </c>
      <c r="L1615">
        <v>0</v>
      </c>
      <c r="M1615">
        <v>0</v>
      </c>
      <c r="N1615" t="s">
        <v>193</v>
      </c>
      <c r="O1615" t="s">
        <v>213</v>
      </c>
      <c r="P1615" t="s">
        <v>204</v>
      </c>
      <c r="Q1615" t="s">
        <v>170</v>
      </c>
      <c r="R1615" t="s">
        <v>155</v>
      </c>
      <c r="S1615">
        <v>2</v>
      </c>
      <c r="T1615" t="s">
        <v>136</v>
      </c>
      <c r="U1615">
        <v>0</v>
      </c>
      <c r="V1615">
        <v>5</v>
      </c>
      <c r="W1615" t="s">
        <v>135</v>
      </c>
      <c r="X1615">
        <v>0</v>
      </c>
      <c r="Y1615" t="s">
        <v>140</v>
      </c>
      <c r="Z1615" t="s">
        <v>186</v>
      </c>
      <c r="AA1615" t="s">
        <v>143</v>
      </c>
      <c r="AB1615" t="s">
        <v>165</v>
      </c>
      <c r="AC1615" t="s">
        <v>2564</v>
      </c>
      <c r="AD1615" t="s">
        <v>158</v>
      </c>
      <c r="AE1615" t="s">
        <v>122</v>
      </c>
      <c r="AF1615" t="s">
        <v>21</v>
      </c>
    </row>
    <row r="1616" spans="1:32">
      <c r="A1616" t="s">
        <v>2565</v>
      </c>
      <c r="B1616" s="37">
        <v>39982</v>
      </c>
      <c r="C1616" s="38">
        <v>39982</v>
      </c>
      <c r="D1616" s="38">
        <v>39979</v>
      </c>
      <c r="E1616" s="38">
        <v>39965</v>
      </c>
      <c r="F1616" s="39">
        <v>77</v>
      </c>
      <c r="G1616" t="s">
        <v>21</v>
      </c>
      <c r="H1616" t="s">
        <v>21</v>
      </c>
      <c r="I1616">
        <v>0</v>
      </c>
      <c r="J1616">
        <v>0</v>
      </c>
      <c r="K1616">
        <v>0</v>
      </c>
      <c r="L1616">
        <v>1</v>
      </c>
      <c r="M1616">
        <v>0</v>
      </c>
      <c r="N1616" t="s">
        <v>193</v>
      </c>
      <c r="O1616" t="s">
        <v>213</v>
      </c>
      <c r="P1616" t="s">
        <v>204</v>
      </c>
      <c r="Q1616" t="s">
        <v>170</v>
      </c>
      <c r="R1616" t="s">
        <v>155</v>
      </c>
      <c r="T1616" t="s">
        <v>134</v>
      </c>
      <c r="U1616">
        <v>1</v>
      </c>
      <c r="W1616" t="s">
        <v>134</v>
      </c>
      <c r="X1616">
        <v>1</v>
      </c>
      <c r="Y1616" t="s">
        <v>140</v>
      </c>
      <c r="Z1616" t="s">
        <v>537</v>
      </c>
      <c r="AA1616" t="s">
        <v>144</v>
      </c>
      <c r="AB1616" t="s">
        <v>163</v>
      </c>
      <c r="AC1616" t="s">
        <v>173</v>
      </c>
      <c r="AD1616" t="s">
        <v>155</v>
      </c>
      <c r="AE1616" t="s">
        <v>439</v>
      </c>
      <c r="AF1616" t="s">
        <v>21</v>
      </c>
    </row>
    <row r="1617" spans="1:32">
      <c r="A1617" t="s">
        <v>2566</v>
      </c>
      <c r="B1617" s="37">
        <v>39929</v>
      </c>
      <c r="C1617" s="38">
        <v>39929</v>
      </c>
      <c r="D1617" s="38">
        <v>39923</v>
      </c>
      <c r="E1617" s="38">
        <v>39904</v>
      </c>
      <c r="F1617" s="39">
        <v>24</v>
      </c>
      <c r="G1617" t="s">
        <v>21</v>
      </c>
      <c r="H1617" t="s">
        <v>21</v>
      </c>
      <c r="I1617">
        <v>0</v>
      </c>
      <c r="J1617">
        <v>0</v>
      </c>
      <c r="K1617">
        <v>0</v>
      </c>
      <c r="L1617">
        <v>1</v>
      </c>
      <c r="M1617">
        <v>0</v>
      </c>
      <c r="N1617" t="s">
        <v>194</v>
      </c>
      <c r="O1617" t="s">
        <v>213</v>
      </c>
      <c r="P1617" t="s">
        <v>205</v>
      </c>
      <c r="Q1617" t="s">
        <v>170</v>
      </c>
      <c r="R1617" t="s">
        <v>155</v>
      </c>
      <c r="T1617" t="s">
        <v>134</v>
      </c>
      <c r="U1617">
        <v>1</v>
      </c>
      <c r="W1617" t="s">
        <v>134</v>
      </c>
      <c r="X1617">
        <v>1</v>
      </c>
      <c r="Y1617" t="s">
        <v>139</v>
      </c>
      <c r="Z1617" t="s">
        <v>537</v>
      </c>
      <c r="AA1617" t="s">
        <v>147</v>
      </c>
      <c r="AB1617" t="s">
        <v>162</v>
      </c>
      <c r="AC1617" t="s">
        <v>174</v>
      </c>
      <c r="AD1617" t="s">
        <v>156</v>
      </c>
      <c r="AE1617" t="s">
        <v>120</v>
      </c>
      <c r="AF1617" t="s">
        <v>2567</v>
      </c>
    </row>
    <row r="1618" spans="1:32">
      <c r="A1618" t="s">
        <v>2568</v>
      </c>
      <c r="B1618" s="37">
        <v>40065</v>
      </c>
      <c r="C1618" s="38">
        <v>40065</v>
      </c>
      <c r="D1618" s="38">
        <v>40063</v>
      </c>
      <c r="E1618" s="38">
        <v>40057</v>
      </c>
      <c r="F1618" s="39">
        <v>160</v>
      </c>
      <c r="G1618" t="s">
        <v>496</v>
      </c>
      <c r="H1618" t="s">
        <v>13</v>
      </c>
      <c r="I1618">
        <v>0</v>
      </c>
      <c r="J1618">
        <v>1</v>
      </c>
      <c r="K1618">
        <v>0</v>
      </c>
      <c r="L1618">
        <v>0</v>
      </c>
      <c r="M1618">
        <v>1</v>
      </c>
      <c r="N1618" t="s">
        <v>193</v>
      </c>
      <c r="O1618" t="s">
        <v>213</v>
      </c>
      <c r="P1618" t="s">
        <v>204</v>
      </c>
      <c r="Q1618" t="s">
        <v>170</v>
      </c>
      <c r="R1618" t="s">
        <v>155</v>
      </c>
      <c r="S1618">
        <v>5</v>
      </c>
      <c r="T1618" t="s">
        <v>135</v>
      </c>
      <c r="U1618">
        <v>0</v>
      </c>
      <c r="V1618">
        <v>5</v>
      </c>
      <c r="W1618" t="s">
        <v>135</v>
      </c>
      <c r="X1618">
        <v>0</v>
      </c>
      <c r="Y1618" t="s">
        <v>140</v>
      </c>
      <c r="Z1618" t="s">
        <v>186</v>
      </c>
      <c r="AA1618" t="s">
        <v>143</v>
      </c>
      <c r="AB1618" t="s">
        <v>162</v>
      </c>
      <c r="AC1618" t="s">
        <v>2569</v>
      </c>
      <c r="AD1618" t="s">
        <v>159</v>
      </c>
      <c r="AE1618" t="s">
        <v>123</v>
      </c>
      <c r="AF1618" t="s">
        <v>123</v>
      </c>
    </row>
    <row r="1619" spans="1:32">
      <c r="A1619" t="s">
        <v>2570</v>
      </c>
      <c r="B1619" s="37">
        <v>39982</v>
      </c>
      <c r="C1619" s="38">
        <v>39982</v>
      </c>
      <c r="D1619" s="38">
        <v>39979</v>
      </c>
      <c r="E1619" s="38">
        <v>39965</v>
      </c>
      <c r="F1619" s="39">
        <v>77</v>
      </c>
      <c r="G1619" t="s">
        <v>383</v>
      </c>
      <c r="H1619" t="s">
        <v>17</v>
      </c>
      <c r="I1619">
        <v>0</v>
      </c>
      <c r="J1619">
        <v>0</v>
      </c>
      <c r="K1619">
        <v>1</v>
      </c>
      <c r="L1619">
        <v>0</v>
      </c>
      <c r="M1619">
        <v>0</v>
      </c>
      <c r="N1619" t="s">
        <v>195</v>
      </c>
      <c r="O1619" t="s">
        <v>213</v>
      </c>
      <c r="P1619" t="s">
        <v>206</v>
      </c>
      <c r="Q1619" t="s">
        <v>170</v>
      </c>
      <c r="R1619" t="s">
        <v>155</v>
      </c>
      <c r="T1619" t="s">
        <v>134</v>
      </c>
      <c r="U1619">
        <v>1</v>
      </c>
      <c r="W1619" t="s">
        <v>134</v>
      </c>
      <c r="X1619">
        <v>1</v>
      </c>
      <c r="Y1619" t="s">
        <v>139</v>
      </c>
      <c r="Z1619" t="s">
        <v>181</v>
      </c>
      <c r="AA1619" t="s">
        <v>142</v>
      </c>
      <c r="AB1619" t="s">
        <v>162</v>
      </c>
      <c r="AC1619" t="s">
        <v>175</v>
      </c>
      <c r="AD1619" t="s">
        <v>155</v>
      </c>
      <c r="AE1619" t="s">
        <v>130</v>
      </c>
      <c r="AF1619" t="s">
        <v>21</v>
      </c>
    </row>
    <row r="1620" spans="1:32">
      <c r="A1620" t="s">
        <v>2571</v>
      </c>
      <c r="B1620" s="37">
        <v>40006</v>
      </c>
      <c r="C1620" s="38">
        <v>40006</v>
      </c>
      <c r="D1620" s="38">
        <v>40000</v>
      </c>
      <c r="E1620" s="38">
        <v>39995</v>
      </c>
      <c r="F1620" s="39">
        <v>101</v>
      </c>
      <c r="G1620" t="s">
        <v>21</v>
      </c>
      <c r="H1620" t="s">
        <v>21</v>
      </c>
      <c r="I1620">
        <v>0</v>
      </c>
      <c r="J1620">
        <v>0</v>
      </c>
      <c r="K1620">
        <v>0</v>
      </c>
      <c r="L1620">
        <v>1</v>
      </c>
      <c r="M1620">
        <v>0</v>
      </c>
      <c r="N1620" t="s">
        <v>193</v>
      </c>
      <c r="O1620" t="s">
        <v>213</v>
      </c>
      <c r="P1620" t="s">
        <v>204</v>
      </c>
      <c r="Q1620" t="s">
        <v>170</v>
      </c>
      <c r="R1620" t="s">
        <v>155</v>
      </c>
      <c r="S1620">
        <v>5</v>
      </c>
      <c r="T1620" t="s">
        <v>135</v>
      </c>
      <c r="U1620">
        <v>0</v>
      </c>
      <c r="V1620">
        <v>5</v>
      </c>
      <c r="W1620" t="s">
        <v>135</v>
      </c>
      <c r="X1620">
        <v>0</v>
      </c>
      <c r="Y1620" t="s">
        <v>140</v>
      </c>
      <c r="Z1620" t="s">
        <v>191</v>
      </c>
      <c r="AA1620" t="s">
        <v>143</v>
      </c>
      <c r="AB1620" t="s">
        <v>162</v>
      </c>
      <c r="AC1620" t="s">
        <v>459</v>
      </c>
      <c r="AD1620" t="s">
        <v>155</v>
      </c>
      <c r="AE1620" t="s">
        <v>129</v>
      </c>
      <c r="AF1620" t="s">
        <v>21</v>
      </c>
    </row>
    <row r="1621" spans="1:32">
      <c r="A1621" t="s">
        <v>2572</v>
      </c>
      <c r="B1621" s="37">
        <v>40038</v>
      </c>
      <c r="C1621" s="38">
        <v>40038</v>
      </c>
      <c r="D1621" s="38">
        <v>40035</v>
      </c>
      <c r="E1621" s="38">
        <v>40026</v>
      </c>
      <c r="F1621" s="39">
        <v>133</v>
      </c>
      <c r="G1621" t="s">
        <v>21</v>
      </c>
      <c r="H1621" t="s">
        <v>21</v>
      </c>
      <c r="I1621">
        <v>0</v>
      </c>
      <c r="J1621">
        <v>0</v>
      </c>
      <c r="K1621">
        <v>0</v>
      </c>
      <c r="L1621">
        <v>1</v>
      </c>
      <c r="M1621">
        <v>0</v>
      </c>
      <c r="N1621" t="s">
        <v>193</v>
      </c>
      <c r="O1621" t="s">
        <v>213</v>
      </c>
      <c r="P1621" t="s">
        <v>204</v>
      </c>
      <c r="Q1621" t="s">
        <v>170</v>
      </c>
      <c r="R1621" t="s">
        <v>155</v>
      </c>
      <c r="S1621">
        <v>3</v>
      </c>
      <c r="T1621" t="s">
        <v>137</v>
      </c>
      <c r="U1621">
        <v>0</v>
      </c>
      <c r="V1621">
        <v>3</v>
      </c>
      <c r="W1621" t="s">
        <v>137</v>
      </c>
      <c r="X1621">
        <v>0</v>
      </c>
      <c r="Y1621" t="s">
        <v>140</v>
      </c>
      <c r="Z1621" t="s">
        <v>191</v>
      </c>
      <c r="AA1621" t="s">
        <v>146</v>
      </c>
      <c r="AB1621" t="s">
        <v>162</v>
      </c>
      <c r="AC1621" t="s">
        <v>174</v>
      </c>
      <c r="AD1621" t="s">
        <v>156</v>
      </c>
      <c r="AE1621" t="s">
        <v>120</v>
      </c>
      <c r="AF1621" t="s">
        <v>827</v>
      </c>
    </row>
    <row r="1622" spans="1:32">
      <c r="A1622" t="s">
        <v>2573</v>
      </c>
      <c r="B1622" s="37">
        <v>40074</v>
      </c>
      <c r="C1622" s="38">
        <v>40074</v>
      </c>
      <c r="D1622" s="38">
        <v>40070</v>
      </c>
      <c r="E1622" s="38">
        <v>40057</v>
      </c>
      <c r="F1622" s="39">
        <v>169</v>
      </c>
      <c r="G1622" t="s">
        <v>21</v>
      </c>
      <c r="H1622" t="s">
        <v>21</v>
      </c>
      <c r="I1622">
        <v>0</v>
      </c>
      <c r="J1622">
        <v>0</v>
      </c>
      <c r="K1622">
        <v>0</v>
      </c>
      <c r="L1622">
        <v>1</v>
      </c>
      <c r="M1622">
        <v>0</v>
      </c>
      <c r="N1622" t="s">
        <v>195</v>
      </c>
      <c r="O1622" t="s">
        <v>213</v>
      </c>
      <c r="P1622" t="s">
        <v>206</v>
      </c>
      <c r="Q1622" t="s">
        <v>170</v>
      </c>
      <c r="R1622" t="s">
        <v>155</v>
      </c>
      <c r="S1622">
        <v>3</v>
      </c>
      <c r="T1622" t="s">
        <v>137</v>
      </c>
      <c r="U1622">
        <v>0</v>
      </c>
      <c r="V1622">
        <v>4</v>
      </c>
      <c r="W1622" t="s">
        <v>137</v>
      </c>
      <c r="X1622">
        <v>0</v>
      </c>
      <c r="Y1622" t="s">
        <v>139</v>
      </c>
      <c r="Z1622" t="s">
        <v>534</v>
      </c>
      <c r="AA1622" t="s">
        <v>146</v>
      </c>
      <c r="AB1622" t="s">
        <v>163</v>
      </c>
      <c r="AC1622" t="s">
        <v>2574</v>
      </c>
      <c r="AD1622" t="s">
        <v>155</v>
      </c>
      <c r="AE1622" t="s">
        <v>128</v>
      </c>
      <c r="AF1622" t="s">
        <v>21</v>
      </c>
    </row>
    <row r="1623" spans="1:32">
      <c r="A1623" t="s">
        <v>2575</v>
      </c>
      <c r="B1623" s="37">
        <v>40074</v>
      </c>
      <c r="C1623" s="38">
        <v>40074</v>
      </c>
      <c r="D1623" s="38">
        <v>40070</v>
      </c>
      <c r="E1623" s="38">
        <v>40057</v>
      </c>
      <c r="F1623" s="39">
        <v>169</v>
      </c>
      <c r="G1623" t="s">
        <v>21</v>
      </c>
      <c r="H1623" t="s">
        <v>21</v>
      </c>
      <c r="I1623">
        <v>0</v>
      </c>
      <c r="J1623">
        <v>0</v>
      </c>
      <c r="K1623">
        <v>0</v>
      </c>
      <c r="L1623">
        <v>1</v>
      </c>
      <c r="M1623">
        <v>0</v>
      </c>
      <c r="N1623" t="s">
        <v>196</v>
      </c>
      <c r="O1623" t="s">
        <v>213</v>
      </c>
      <c r="P1623" t="s">
        <v>207</v>
      </c>
      <c r="Q1623" t="s">
        <v>170</v>
      </c>
      <c r="R1623" t="s">
        <v>155</v>
      </c>
      <c r="S1623">
        <v>5</v>
      </c>
      <c r="T1623" t="s">
        <v>135</v>
      </c>
      <c r="U1623">
        <v>0</v>
      </c>
      <c r="V1623">
        <v>5</v>
      </c>
      <c r="W1623" t="s">
        <v>135</v>
      </c>
      <c r="X1623">
        <v>0</v>
      </c>
      <c r="Y1623" t="s">
        <v>139</v>
      </c>
      <c r="Z1623" t="s">
        <v>534</v>
      </c>
      <c r="AA1623" t="s">
        <v>151</v>
      </c>
      <c r="AB1623" t="s">
        <v>163</v>
      </c>
      <c r="AC1623" t="s">
        <v>2574</v>
      </c>
      <c r="AD1623" t="s">
        <v>155</v>
      </c>
      <c r="AE1623" t="s">
        <v>128</v>
      </c>
      <c r="AF1623" t="s">
        <v>21</v>
      </c>
    </row>
    <row r="1624" spans="1:32">
      <c r="A1624" t="s">
        <v>2576</v>
      </c>
      <c r="B1624" s="37">
        <v>39971</v>
      </c>
      <c r="C1624" s="38">
        <v>39971</v>
      </c>
      <c r="D1624" s="38">
        <v>39965</v>
      </c>
      <c r="E1624" s="38">
        <v>39965</v>
      </c>
      <c r="F1624" s="39">
        <v>66</v>
      </c>
      <c r="G1624" t="s">
        <v>21</v>
      </c>
      <c r="H1624" t="s">
        <v>21</v>
      </c>
      <c r="I1624">
        <v>0</v>
      </c>
      <c r="J1624">
        <v>0</v>
      </c>
      <c r="K1624">
        <v>0</v>
      </c>
      <c r="L1624">
        <v>1</v>
      </c>
      <c r="M1624">
        <v>0</v>
      </c>
      <c r="N1624" t="s">
        <v>195</v>
      </c>
      <c r="O1624" t="s">
        <v>213</v>
      </c>
      <c r="P1624" t="s">
        <v>206</v>
      </c>
      <c r="Q1624" t="s">
        <v>170</v>
      </c>
      <c r="R1624" t="s">
        <v>155</v>
      </c>
      <c r="T1624" t="s">
        <v>134</v>
      </c>
      <c r="U1624">
        <v>1</v>
      </c>
      <c r="W1624" t="s">
        <v>134</v>
      </c>
      <c r="X1624">
        <v>1</v>
      </c>
      <c r="Y1624" t="s">
        <v>139</v>
      </c>
      <c r="Z1624" t="s">
        <v>534</v>
      </c>
      <c r="AA1624" t="s">
        <v>144</v>
      </c>
      <c r="AB1624" t="s">
        <v>163</v>
      </c>
      <c r="AC1624" t="s">
        <v>173</v>
      </c>
      <c r="AD1624" t="s">
        <v>155</v>
      </c>
      <c r="AE1624" t="s">
        <v>454</v>
      </c>
      <c r="AF1624" t="s">
        <v>21</v>
      </c>
    </row>
    <row r="1625" spans="1:32">
      <c r="A1625" t="s">
        <v>2577</v>
      </c>
      <c r="B1625" s="37">
        <v>39929</v>
      </c>
      <c r="C1625" s="38">
        <v>39929</v>
      </c>
      <c r="D1625" s="38">
        <v>39923</v>
      </c>
      <c r="E1625" s="38">
        <v>39904</v>
      </c>
      <c r="F1625" s="39">
        <v>24</v>
      </c>
      <c r="G1625" t="s">
        <v>9</v>
      </c>
      <c r="H1625" t="s">
        <v>9</v>
      </c>
      <c r="I1625">
        <v>1</v>
      </c>
      <c r="J1625">
        <v>0</v>
      </c>
      <c r="K1625">
        <v>0</v>
      </c>
      <c r="L1625">
        <v>0</v>
      </c>
      <c r="M1625">
        <v>1</v>
      </c>
      <c r="N1625" t="s">
        <v>193</v>
      </c>
      <c r="O1625" t="s">
        <v>213</v>
      </c>
      <c r="P1625" t="s">
        <v>204</v>
      </c>
      <c r="Q1625" t="s">
        <v>170</v>
      </c>
      <c r="R1625" t="s">
        <v>155</v>
      </c>
      <c r="T1625" t="s">
        <v>134</v>
      </c>
      <c r="U1625">
        <v>1</v>
      </c>
      <c r="W1625" t="s">
        <v>134</v>
      </c>
      <c r="X1625">
        <v>1</v>
      </c>
      <c r="Y1625" t="s">
        <v>140</v>
      </c>
      <c r="Z1625" t="s">
        <v>534</v>
      </c>
      <c r="AA1625" t="s">
        <v>151</v>
      </c>
      <c r="AB1625" t="s">
        <v>162</v>
      </c>
      <c r="AC1625" t="s">
        <v>174</v>
      </c>
      <c r="AD1625" t="s">
        <v>156</v>
      </c>
      <c r="AE1625" t="s">
        <v>120</v>
      </c>
      <c r="AF1625" t="s">
        <v>620</v>
      </c>
    </row>
    <row r="1626" spans="1:32">
      <c r="A1626" t="s">
        <v>2578</v>
      </c>
      <c r="B1626" s="37">
        <v>39927</v>
      </c>
      <c r="C1626" s="38">
        <v>39927</v>
      </c>
      <c r="D1626" s="38">
        <v>39923</v>
      </c>
      <c r="E1626" s="38">
        <v>39904</v>
      </c>
      <c r="F1626" s="39">
        <v>22</v>
      </c>
      <c r="G1626" t="s">
        <v>21</v>
      </c>
      <c r="H1626" t="s">
        <v>21</v>
      </c>
      <c r="I1626">
        <v>0</v>
      </c>
      <c r="J1626">
        <v>0</v>
      </c>
      <c r="K1626">
        <v>0</v>
      </c>
      <c r="L1626">
        <v>1</v>
      </c>
      <c r="M1626">
        <v>0</v>
      </c>
      <c r="N1626" t="s">
        <v>201</v>
      </c>
      <c r="O1626" t="s">
        <v>214</v>
      </c>
      <c r="P1626" t="s">
        <v>204</v>
      </c>
      <c r="Q1626" t="s">
        <v>170</v>
      </c>
      <c r="R1626" t="s">
        <v>155</v>
      </c>
      <c r="T1626" t="s">
        <v>134</v>
      </c>
      <c r="U1626">
        <v>1</v>
      </c>
      <c r="W1626" t="s">
        <v>134</v>
      </c>
      <c r="X1626">
        <v>1</v>
      </c>
      <c r="Y1626" t="s">
        <v>140</v>
      </c>
      <c r="Z1626" t="s">
        <v>180</v>
      </c>
      <c r="AA1626" t="s">
        <v>147</v>
      </c>
      <c r="AB1626" t="s">
        <v>162</v>
      </c>
      <c r="AC1626" t="s">
        <v>174</v>
      </c>
      <c r="AD1626" t="s">
        <v>160</v>
      </c>
      <c r="AE1626" t="s">
        <v>126</v>
      </c>
      <c r="AF1626" t="s">
        <v>685</v>
      </c>
    </row>
    <row r="1627" spans="1:32">
      <c r="A1627" t="s">
        <v>2579</v>
      </c>
      <c r="B1627" s="37">
        <v>39997</v>
      </c>
      <c r="C1627" s="38">
        <v>39997</v>
      </c>
      <c r="D1627" s="38">
        <v>39993</v>
      </c>
      <c r="E1627" s="38">
        <v>39995</v>
      </c>
      <c r="F1627" s="39">
        <v>92</v>
      </c>
      <c r="G1627" t="s">
        <v>21</v>
      </c>
      <c r="H1627" t="s">
        <v>21</v>
      </c>
      <c r="I1627">
        <v>0</v>
      </c>
      <c r="J1627">
        <v>0</v>
      </c>
      <c r="K1627">
        <v>0</v>
      </c>
      <c r="L1627">
        <v>1</v>
      </c>
      <c r="M1627">
        <v>0</v>
      </c>
      <c r="N1627" t="s">
        <v>194</v>
      </c>
      <c r="O1627" t="s">
        <v>213</v>
      </c>
      <c r="P1627" t="s">
        <v>205</v>
      </c>
      <c r="Q1627" t="s">
        <v>170</v>
      </c>
      <c r="R1627" t="s">
        <v>155</v>
      </c>
      <c r="T1627" t="s">
        <v>134</v>
      </c>
      <c r="U1627">
        <v>1</v>
      </c>
      <c r="V1627">
        <v>2</v>
      </c>
      <c r="W1627" t="s">
        <v>136</v>
      </c>
      <c r="X1627">
        <v>0</v>
      </c>
      <c r="Y1627" t="s">
        <v>139</v>
      </c>
      <c r="Z1627" t="s">
        <v>180</v>
      </c>
      <c r="AA1627" t="s">
        <v>151</v>
      </c>
      <c r="AB1627" t="s">
        <v>162</v>
      </c>
      <c r="AC1627" t="s">
        <v>1572</v>
      </c>
      <c r="AD1627" t="s">
        <v>157</v>
      </c>
      <c r="AE1627" t="s">
        <v>406</v>
      </c>
      <c r="AF1627" t="s">
        <v>922</v>
      </c>
    </row>
    <row r="1628" spans="1:32">
      <c r="A1628" t="s">
        <v>2580</v>
      </c>
      <c r="B1628" s="37">
        <v>40065</v>
      </c>
      <c r="C1628" s="38">
        <v>40065</v>
      </c>
      <c r="D1628" s="38">
        <v>40063</v>
      </c>
      <c r="E1628" s="38">
        <v>40057</v>
      </c>
      <c r="F1628" s="39">
        <v>160</v>
      </c>
      <c r="G1628" t="s">
        <v>21</v>
      </c>
      <c r="H1628" t="s">
        <v>21</v>
      </c>
      <c r="I1628">
        <v>0</v>
      </c>
      <c r="J1628">
        <v>0</v>
      </c>
      <c r="K1628">
        <v>0</v>
      </c>
      <c r="L1628">
        <v>1</v>
      </c>
      <c r="M1628">
        <v>0</v>
      </c>
      <c r="N1628" t="s">
        <v>193</v>
      </c>
      <c r="O1628" t="s">
        <v>213</v>
      </c>
      <c r="P1628" t="s">
        <v>204</v>
      </c>
      <c r="Q1628" t="s">
        <v>170</v>
      </c>
      <c r="R1628" t="s">
        <v>155</v>
      </c>
      <c r="S1628">
        <v>5</v>
      </c>
      <c r="T1628" t="s">
        <v>135</v>
      </c>
      <c r="U1628">
        <v>0</v>
      </c>
      <c r="V1628">
        <v>3</v>
      </c>
      <c r="W1628" t="s">
        <v>137</v>
      </c>
      <c r="X1628">
        <v>0</v>
      </c>
      <c r="Y1628" t="s">
        <v>140</v>
      </c>
      <c r="Z1628" t="s">
        <v>433</v>
      </c>
      <c r="AA1628" t="s">
        <v>143</v>
      </c>
      <c r="AB1628" t="s">
        <v>165</v>
      </c>
      <c r="AC1628" t="s">
        <v>2581</v>
      </c>
      <c r="AD1628" t="s">
        <v>158</v>
      </c>
      <c r="AE1628" t="s">
        <v>122</v>
      </c>
      <c r="AF1628" t="s">
        <v>21</v>
      </c>
    </row>
    <row r="1629" spans="1:32">
      <c r="A1629" t="s">
        <v>2582</v>
      </c>
      <c r="B1629" s="37">
        <v>40020</v>
      </c>
      <c r="C1629" s="38">
        <v>40020</v>
      </c>
      <c r="D1629" s="38">
        <v>40014</v>
      </c>
      <c r="E1629" s="38">
        <v>39995</v>
      </c>
      <c r="F1629" s="39">
        <v>115</v>
      </c>
      <c r="G1629" t="s">
        <v>21</v>
      </c>
      <c r="H1629" t="s">
        <v>21</v>
      </c>
      <c r="I1629">
        <v>0</v>
      </c>
      <c r="J1629">
        <v>0</v>
      </c>
      <c r="K1629">
        <v>0</v>
      </c>
      <c r="L1629">
        <v>1</v>
      </c>
      <c r="M1629">
        <v>0</v>
      </c>
      <c r="N1629" t="s">
        <v>196</v>
      </c>
      <c r="O1629" t="s">
        <v>213</v>
      </c>
      <c r="P1629" t="s">
        <v>207</v>
      </c>
      <c r="Q1629" t="s">
        <v>170</v>
      </c>
      <c r="R1629" t="s">
        <v>155</v>
      </c>
      <c r="S1629">
        <v>5</v>
      </c>
      <c r="T1629" t="s">
        <v>135</v>
      </c>
      <c r="U1629">
        <v>0</v>
      </c>
      <c r="V1629">
        <v>5</v>
      </c>
      <c r="W1629" t="s">
        <v>135</v>
      </c>
      <c r="X1629">
        <v>0</v>
      </c>
      <c r="Y1629" t="s">
        <v>139</v>
      </c>
      <c r="Z1629" t="s">
        <v>433</v>
      </c>
      <c r="AA1629" t="s">
        <v>151</v>
      </c>
      <c r="AB1629" t="s">
        <v>162</v>
      </c>
      <c r="AC1629" t="s">
        <v>176</v>
      </c>
      <c r="AD1629" t="s">
        <v>155</v>
      </c>
      <c r="AE1629" t="s">
        <v>127</v>
      </c>
      <c r="AF1629" t="s">
        <v>21</v>
      </c>
    </row>
    <row r="1630" spans="1:32">
      <c r="A1630" t="s">
        <v>2583</v>
      </c>
      <c r="B1630" s="37">
        <v>40057</v>
      </c>
      <c r="C1630" s="38">
        <v>40057</v>
      </c>
      <c r="D1630" s="38">
        <v>40056</v>
      </c>
      <c r="E1630" s="38">
        <v>40057</v>
      </c>
      <c r="F1630" s="39">
        <v>152</v>
      </c>
      <c r="G1630" t="s">
        <v>21</v>
      </c>
      <c r="H1630" t="s">
        <v>21</v>
      </c>
      <c r="I1630">
        <v>0</v>
      </c>
      <c r="J1630">
        <v>0</v>
      </c>
      <c r="K1630">
        <v>0</v>
      </c>
      <c r="L1630">
        <v>1</v>
      </c>
      <c r="M1630">
        <v>0</v>
      </c>
      <c r="N1630" t="s">
        <v>195</v>
      </c>
      <c r="O1630" t="s">
        <v>213</v>
      </c>
      <c r="P1630" t="s">
        <v>206</v>
      </c>
      <c r="Q1630" t="s">
        <v>170</v>
      </c>
      <c r="R1630" t="s">
        <v>155</v>
      </c>
      <c r="S1630">
        <v>5</v>
      </c>
      <c r="T1630" t="s">
        <v>135</v>
      </c>
      <c r="U1630">
        <v>0</v>
      </c>
      <c r="V1630">
        <v>3</v>
      </c>
      <c r="W1630" t="s">
        <v>137</v>
      </c>
      <c r="X1630">
        <v>0</v>
      </c>
      <c r="Y1630" t="s">
        <v>139</v>
      </c>
      <c r="Z1630" t="s">
        <v>191</v>
      </c>
      <c r="AA1630" t="s">
        <v>143</v>
      </c>
      <c r="AB1630" t="s">
        <v>162</v>
      </c>
      <c r="AC1630" t="s">
        <v>802</v>
      </c>
      <c r="AD1630" t="s">
        <v>155</v>
      </c>
      <c r="AE1630" t="s">
        <v>129</v>
      </c>
      <c r="AF1630" t="s">
        <v>21</v>
      </c>
    </row>
    <row r="1631" spans="1:32">
      <c r="A1631" t="s">
        <v>2584</v>
      </c>
      <c r="B1631" s="37">
        <v>40060</v>
      </c>
      <c r="C1631" s="38">
        <v>40060</v>
      </c>
      <c r="D1631" s="38">
        <v>40056</v>
      </c>
      <c r="E1631" s="38">
        <v>40057</v>
      </c>
      <c r="F1631" s="39">
        <v>155</v>
      </c>
      <c r="G1631" t="s">
        <v>383</v>
      </c>
      <c r="H1631" t="s">
        <v>17</v>
      </c>
      <c r="I1631">
        <v>0</v>
      </c>
      <c r="J1631">
        <v>0</v>
      </c>
      <c r="K1631">
        <v>1</v>
      </c>
      <c r="L1631">
        <v>0</v>
      </c>
      <c r="M1631">
        <v>0</v>
      </c>
      <c r="N1631" t="s">
        <v>193</v>
      </c>
      <c r="O1631" t="s">
        <v>213</v>
      </c>
      <c r="P1631" t="s">
        <v>204</v>
      </c>
      <c r="Q1631" t="s">
        <v>170</v>
      </c>
      <c r="R1631" t="s">
        <v>155</v>
      </c>
      <c r="S1631">
        <v>5</v>
      </c>
      <c r="T1631" t="s">
        <v>135</v>
      </c>
      <c r="U1631">
        <v>0</v>
      </c>
      <c r="V1631">
        <v>3</v>
      </c>
      <c r="W1631" t="s">
        <v>137</v>
      </c>
      <c r="X1631">
        <v>0</v>
      </c>
      <c r="Y1631" t="s">
        <v>140</v>
      </c>
      <c r="Z1631" t="s">
        <v>191</v>
      </c>
      <c r="AA1631" t="s">
        <v>146</v>
      </c>
      <c r="AB1631" t="s">
        <v>162</v>
      </c>
      <c r="AC1631" t="s">
        <v>619</v>
      </c>
      <c r="AD1631" t="s">
        <v>157</v>
      </c>
      <c r="AE1631" t="s">
        <v>830</v>
      </c>
      <c r="AF1631" t="s">
        <v>1610</v>
      </c>
    </row>
    <row r="1632" spans="1:32">
      <c r="A1632" t="s">
        <v>2585</v>
      </c>
      <c r="B1632" s="37">
        <v>40022</v>
      </c>
      <c r="C1632" s="38">
        <v>40022</v>
      </c>
      <c r="D1632" s="38">
        <v>40021</v>
      </c>
      <c r="E1632" s="38">
        <v>39995</v>
      </c>
      <c r="F1632" s="39">
        <v>117</v>
      </c>
      <c r="G1632" t="s">
        <v>21</v>
      </c>
      <c r="H1632" t="s">
        <v>21</v>
      </c>
      <c r="I1632">
        <v>0</v>
      </c>
      <c r="J1632">
        <v>0</v>
      </c>
      <c r="K1632">
        <v>0</v>
      </c>
      <c r="L1632">
        <v>1</v>
      </c>
      <c r="M1632">
        <v>0</v>
      </c>
      <c r="N1632" t="s">
        <v>193</v>
      </c>
      <c r="O1632" t="s">
        <v>213</v>
      </c>
      <c r="P1632" t="s">
        <v>204</v>
      </c>
      <c r="Q1632" t="s">
        <v>170</v>
      </c>
      <c r="R1632" t="s">
        <v>155</v>
      </c>
      <c r="S1632">
        <v>4</v>
      </c>
      <c r="T1632" t="s">
        <v>137</v>
      </c>
      <c r="U1632">
        <v>0</v>
      </c>
      <c r="V1632">
        <v>5</v>
      </c>
      <c r="W1632" t="s">
        <v>135</v>
      </c>
      <c r="X1632">
        <v>0</v>
      </c>
      <c r="Y1632" t="s">
        <v>140</v>
      </c>
      <c r="Z1632" t="s">
        <v>191</v>
      </c>
      <c r="AA1632" t="s">
        <v>144</v>
      </c>
      <c r="AB1632" t="s">
        <v>162</v>
      </c>
      <c r="AC1632" t="s">
        <v>1728</v>
      </c>
      <c r="AD1632" t="s">
        <v>157</v>
      </c>
      <c r="AE1632" t="s">
        <v>127</v>
      </c>
      <c r="AF1632" t="s">
        <v>153</v>
      </c>
    </row>
    <row r="1633" spans="1:32">
      <c r="A1633" t="s">
        <v>2586</v>
      </c>
      <c r="B1633" s="37">
        <v>39905</v>
      </c>
      <c r="C1633" s="38">
        <v>39905</v>
      </c>
      <c r="D1633" s="38">
        <v>39902</v>
      </c>
      <c r="E1633" s="38">
        <v>39904</v>
      </c>
      <c r="F1633" s="39">
        <v>0</v>
      </c>
      <c r="G1633" t="s">
        <v>21</v>
      </c>
      <c r="H1633" t="s">
        <v>21</v>
      </c>
      <c r="I1633">
        <v>0</v>
      </c>
      <c r="J1633">
        <v>0</v>
      </c>
      <c r="K1633">
        <v>0</v>
      </c>
      <c r="L1633">
        <v>1</v>
      </c>
      <c r="M1633">
        <v>0</v>
      </c>
      <c r="N1633" t="s">
        <v>194</v>
      </c>
      <c r="O1633" t="s">
        <v>213</v>
      </c>
      <c r="P1633" t="s">
        <v>205</v>
      </c>
      <c r="Q1633" t="s">
        <v>170</v>
      </c>
      <c r="R1633" t="s">
        <v>155</v>
      </c>
      <c r="T1633" t="s">
        <v>134</v>
      </c>
      <c r="U1633">
        <v>1</v>
      </c>
      <c r="W1633" t="s">
        <v>134</v>
      </c>
      <c r="X1633">
        <v>1</v>
      </c>
      <c r="Y1633" t="s">
        <v>139</v>
      </c>
      <c r="Z1633" t="s">
        <v>180</v>
      </c>
      <c r="AA1633" t="s">
        <v>147</v>
      </c>
      <c r="AB1633" t="s">
        <v>165</v>
      </c>
      <c r="AC1633" t="s">
        <v>614</v>
      </c>
      <c r="AD1633" t="s">
        <v>158</v>
      </c>
      <c r="AE1633" t="s">
        <v>122</v>
      </c>
      <c r="AF1633" t="s">
        <v>21</v>
      </c>
    </row>
    <row r="1634" spans="1:32">
      <c r="A1634" t="s">
        <v>2587</v>
      </c>
      <c r="B1634" s="37">
        <v>40064</v>
      </c>
      <c r="C1634" s="38">
        <v>40064</v>
      </c>
      <c r="D1634" s="38">
        <v>40063</v>
      </c>
      <c r="E1634" s="38">
        <v>40057</v>
      </c>
      <c r="F1634" s="39">
        <v>159</v>
      </c>
      <c r="G1634" t="s">
        <v>570</v>
      </c>
      <c r="H1634" t="s">
        <v>13</v>
      </c>
      <c r="I1634">
        <v>0</v>
      </c>
      <c r="J1634">
        <v>1</v>
      </c>
      <c r="K1634">
        <v>0</v>
      </c>
      <c r="L1634">
        <v>0</v>
      </c>
      <c r="M1634">
        <v>1</v>
      </c>
      <c r="N1634" t="s">
        <v>195</v>
      </c>
      <c r="O1634" t="s">
        <v>213</v>
      </c>
      <c r="P1634" t="s">
        <v>206</v>
      </c>
      <c r="Q1634" t="s">
        <v>170</v>
      </c>
      <c r="R1634" t="s">
        <v>155</v>
      </c>
      <c r="T1634" t="s">
        <v>134</v>
      </c>
      <c r="U1634">
        <v>1</v>
      </c>
      <c r="W1634" t="s">
        <v>134</v>
      </c>
      <c r="X1634">
        <v>1</v>
      </c>
      <c r="Y1634" t="s">
        <v>139</v>
      </c>
      <c r="Z1634" t="s">
        <v>180</v>
      </c>
      <c r="AA1634" t="s">
        <v>145</v>
      </c>
      <c r="AB1634" t="s">
        <v>162</v>
      </c>
      <c r="AC1634" t="s">
        <v>1123</v>
      </c>
      <c r="AD1634" t="s">
        <v>156</v>
      </c>
      <c r="AE1634" t="s">
        <v>120</v>
      </c>
      <c r="AF1634" t="s">
        <v>1087</v>
      </c>
    </row>
    <row r="1635" spans="1:32">
      <c r="A1635" t="s">
        <v>2588</v>
      </c>
      <c r="B1635" s="37">
        <v>40013</v>
      </c>
      <c r="C1635" s="38">
        <v>40013</v>
      </c>
      <c r="D1635" s="38">
        <v>40007</v>
      </c>
      <c r="E1635" s="38">
        <v>39995</v>
      </c>
      <c r="F1635" s="39">
        <v>108</v>
      </c>
      <c r="G1635" t="s">
        <v>9</v>
      </c>
      <c r="H1635" t="s">
        <v>9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195</v>
      </c>
      <c r="O1635" t="s">
        <v>213</v>
      </c>
      <c r="P1635" t="s">
        <v>206</v>
      </c>
      <c r="Q1635" t="s">
        <v>170</v>
      </c>
      <c r="R1635" t="s">
        <v>155</v>
      </c>
      <c r="S1635">
        <v>5</v>
      </c>
      <c r="T1635" t="s">
        <v>135</v>
      </c>
      <c r="U1635">
        <v>0</v>
      </c>
      <c r="V1635">
        <v>4</v>
      </c>
      <c r="W1635" t="s">
        <v>137</v>
      </c>
      <c r="X1635">
        <v>0</v>
      </c>
      <c r="Y1635" t="s">
        <v>139</v>
      </c>
      <c r="Z1635" t="s">
        <v>447</v>
      </c>
      <c r="AA1635" t="s">
        <v>148</v>
      </c>
      <c r="AB1635" t="s">
        <v>162</v>
      </c>
      <c r="AC1635" t="s">
        <v>176</v>
      </c>
      <c r="AD1635" t="s">
        <v>155</v>
      </c>
      <c r="AE1635" t="s">
        <v>129</v>
      </c>
      <c r="AF1635" t="s">
        <v>21</v>
      </c>
    </row>
    <row r="1636" spans="1:32">
      <c r="A1636" t="s">
        <v>2589</v>
      </c>
      <c r="B1636" s="37">
        <v>40076</v>
      </c>
      <c r="C1636" s="38">
        <v>40076</v>
      </c>
      <c r="D1636" s="38">
        <v>40070</v>
      </c>
      <c r="E1636" s="38">
        <v>40057</v>
      </c>
      <c r="F1636" s="39">
        <v>171</v>
      </c>
      <c r="G1636" t="s">
        <v>21</v>
      </c>
      <c r="H1636" t="s">
        <v>21</v>
      </c>
      <c r="I1636">
        <v>0</v>
      </c>
      <c r="J1636">
        <v>0</v>
      </c>
      <c r="K1636">
        <v>0</v>
      </c>
      <c r="L1636">
        <v>1</v>
      </c>
      <c r="M1636">
        <v>0</v>
      </c>
      <c r="N1636" t="s">
        <v>196</v>
      </c>
      <c r="O1636" t="s">
        <v>213</v>
      </c>
      <c r="P1636" t="s">
        <v>207</v>
      </c>
      <c r="Q1636" t="s">
        <v>170</v>
      </c>
      <c r="R1636" t="s">
        <v>155</v>
      </c>
      <c r="S1636">
        <v>5</v>
      </c>
      <c r="T1636" t="s">
        <v>135</v>
      </c>
      <c r="U1636">
        <v>0</v>
      </c>
      <c r="V1636">
        <v>5</v>
      </c>
      <c r="W1636" t="s">
        <v>135</v>
      </c>
      <c r="X1636">
        <v>0</v>
      </c>
      <c r="Y1636" t="s">
        <v>139</v>
      </c>
      <c r="Z1636" t="s">
        <v>447</v>
      </c>
      <c r="AA1636" t="s">
        <v>148</v>
      </c>
      <c r="AB1636" t="s">
        <v>162</v>
      </c>
      <c r="AC1636" t="s">
        <v>174</v>
      </c>
      <c r="AD1636" t="s">
        <v>156</v>
      </c>
      <c r="AE1636" t="s">
        <v>120</v>
      </c>
      <c r="AF1636" t="s">
        <v>2590</v>
      </c>
    </row>
    <row r="1637" spans="1:32">
      <c r="A1637" t="s">
        <v>2591</v>
      </c>
      <c r="B1637" s="37">
        <v>39952</v>
      </c>
      <c r="C1637" s="38">
        <v>39952</v>
      </c>
      <c r="D1637" s="38">
        <v>39951</v>
      </c>
      <c r="E1637" s="38">
        <v>39934</v>
      </c>
      <c r="F1637" s="39">
        <v>47</v>
      </c>
      <c r="G1637" t="s">
        <v>21</v>
      </c>
      <c r="H1637" t="s">
        <v>21</v>
      </c>
      <c r="I1637">
        <v>0</v>
      </c>
      <c r="J1637">
        <v>0</v>
      </c>
      <c r="K1637">
        <v>0</v>
      </c>
      <c r="L1637">
        <v>1</v>
      </c>
      <c r="M1637">
        <v>0</v>
      </c>
      <c r="N1637" t="s">
        <v>194</v>
      </c>
      <c r="O1637" t="s">
        <v>213</v>
      </c>
      <c r="P1637" t="s">
        <v>205</v>
      </c>
      <c r="Q1637" t="s">
        <v>170</v>
      </c>
      <c r="R1637" t="s">
        <v>155</v>
      </c>
      <c r="T1637" t="s">
        <v>134</v>
      </c>
      <c r="U1637">
        <v>1</v>
      </c>
      <c r="W1637" t="s">
        <v>134</v>
      </c>
      <c r="X1637">
        <v>1</v>
      </c>
      <c r="Y1637" t="s">
        <v>139</v>
      </c>
      <c r="Z1637" t="s">
        <v>180</v>
      </c>
      <c r="AA1637" t="s">
        <v>147</v>
      </c>
      <c r="AB1637" t="s">
        <v>163</v>
      </c>
      <c r="AC1637" t="s">
        <v>173</v>
      </c>
      <c r="AD1637" t="s">
        <v>155</v>
      </c>
      <c r="AE1637" t="s">
        <v>406</v>
      </c>
      <c r="AF1637" t="s">
        <v>21</v>
      </c>
    </row>
    <row r="1638" spans="1:32">
      <c r="A1638" t="s">
        <v>2592</v>
      </c>
      <c r="B1638" s="37">
        <v>39934</v>
      </c>
      <c r="C1638" s="38">
        <v>39934</v>
      </c>
      <c r="D1638" s="38">
        <v>39930</v>
      </c>
      <c r="E1638" s="38">
        <v>39934</v>
      </c>
      <c r="F1638" s="39">
        <v>29</v>
      </c>
      <c r="G1638" t="s">
        <v>9</v>
      </c>
      <c r="H1638" t="s">
        <v>9</v>
      </c>
      <c r="I1638">
        <v>1</v>
      </c>
      <c r="J1638">
        <v>0</v>
      </c>
      <c r="K1638">
        <v>0</v>
      </c>
      <c r="L1638">
        <v>0</v>
      </c>
      <c r="M1638">
        <v>1</v>
      </c>
      <c r="N1638" t="s">
        <v>198</v>
      </c>
      <c r="O1638" t="s">
        <v>213</v>
      </c>
      <c r="P1638" t="s">
        <v>208</v>
      </c>
      <c r="Q1638" t="s">
        <v>170</v>
      </c>
      <c r="R1638" t="s">
        <v>155</v>
      </c>
      <c r="T1638" t="s">
        <v>134</v>
      </c>
      <c r="U1638">
        <v>1</v>
      </c>
      <c r="W1638" t="s">
        <v>134</v>
      </c>
      <c r="X1638">
        <v>1</v>
      </c>
      <c r="Y1638" t="s">
        <v>139</v>
      </c>
      <c r="Z1638" t="s">
        <v>178</v>
      </c>
      <c r="AA1638" t="s">
        <v>148</v>
      </c>
      <c r="AB1638" t="s">
        <v>163</v>
      </c>
      <c r="AC1638" t="s">
        <v>173</v>
      </c>
      <c r="AD1638" t="s">
        <v>161</v>
      </c>
      <c r="AE1638" t="s">
        <v>939</v>
      </c>
      <c r="AF1638" t="s">
        <v>21</v>
      </c>
    </row>
    <row r="1639" spans="1:32">
      <c r="A1639" t="s">
        <v>2593</v>
      </c>
      <c r="B1639" s="37">
        <v>40020</v>
      </c>
      <c r="C1639" s="38">
        <v>40020</v>
      </c>
      <c r="D1639" s="38">
        <v>40014</v>
      </c>
      <c r="E1639" s="38">
        <v>39995</v>
      </c>
      <c r="F1639" s="39">
        <v>115</v>
      </c>
      <c r="G1639" t="s">
        <v>21</v>
      </c>
      <c r="H1639" t="s">
        <v>21</v>
      </c>
      <c r="I1639">
        <v>0</v>
      </c>
      <c r="J1639">
        <v>0</v>
      </c>
      <c r="K1639">
        <v>0</v>
      </c>
      <c r="L1639">
        <v>1</v>
      </c>
      <c r="M1639">
        <v>0</v>
      </c>
      <c r="N1639" t="s">
        <v>193</v>
      </c>
      <c r="O1639" t="s">
        <v>213</v>
      </c>
      <c r="P1639" t="s">
        <v>204</v>
      </c>
      <c r="Q1639" t="s">
        <v>170</v>
      </c>
      <c r="R1639" t="s">
        <v>155</v>
      </c>
      <c r="S1639">
        <v>5</v>
      </c>
      <c r="T1639" t="s">
        <v>135</v>
      </c>
      <c r="U1639">
        <v>0</v>
      </c>
      <c r="V1639">
        <v>5</v>
      </c>
      <c r="W1639" t="s">
        <v>135</v>
      </c>
      <c r="X1639">
        <v>0</v>
      </c>
      <c r="Y1639" t="s">
        <v>140</v>
      </c>
      <c r="Z1639" t="s">
        <v>178</v>
      </c>
      <c r="AA1639" t="s">
        <v>149</v>
      </c>
      <c r="AB1639" t="s">
        <v>163</v>
      </c>
      <c r="AC1639" t="s">
        <v>173</v>
      </c>
      <c r="AD1639" t="s">
        <v>155</v>
      </c>
      <c r="AE1639" t="s">
        <v>406</v>
      </c>
      <c r="AF1639" t="s">
        <v>21</v>
      </c>
    </row>
    <row r="1640" spans="1:32">
      <c r="A1640" t="s">
        <v>2594</v>
      </c>
      <c r="B1640" s="37">
        <v>39937</v>
      </c>
      <c r="C1640" s="38">
        <v>39937</v>
      </c>
      <c r="D1640" s="38">
        <v>39937</v>
      </c>
      <c r="E1640" s="38">
        <v>39934</v>
      </c>
      <c r="F1640" s="39">
        <v>32</v>
      </c>
      <c r="G1640" t="s">
        <v>21</v>
      </c>
      <c r="H1640" t="s">
        <v>21</v>
      </c>
      <c r="I1640">
        <v>0</v>
      </c>
      <c r="J1640">
        <v>0</v>
      </c>
      <c r="K1640">
        <v>0</v>
      </c>
      <c r="L1640">
        <v>1</v>
      </c>
      <c r="M1640">
        <v>0</v>
      </c>
      <c r="N1640" t="s">
        <v>201</v>
      </c>
      <c r="O1640" t="s">
        <v>214</v>
      </c>
      <c r="P1640" t="s">
        <v>204</v>
      </c>
      <c r="Q1640" t="s">
        <v>170</v>
      </c>
      <c r="R1640" t="s">
        <v>155</v>
      </c>
      <c r="T1640" t="s">
        <v>134</v>
      </c>
      <c r="U1640">
        <v>1</v>
      </c>
      <c r="W1640" t="s">
        <v>134</v>
      </c>
      <c r="X1640">
        <v>1</v>
      </c>
      <c r="Y1640" t="s">
        <v>140</v>
      </c>
      <c r="Z1640" t="s">
        <v>180</v>
      </c>
      <c r="AA1640" t="s">
        <v>147</v>
      </c>
      <c r="AB1640" t="s">
        <v>162</v>
      </c>
      <c r="AC1640" t="s">
        <v>933</v>
      </c>
      <c r="AD1640" t="s">
        <v>159</v>
      </c>
      <c r="AE1640" t="s">
        <v>126</v>
      </c>
      <c r="AF1640" t="s">
        <v>601</v>
      </c>
    </row>
    <row r="1641" spans="1:32">
      <c r="A1641" t="s">
        <v>2595</v>
      </c>
      <c r="B1641" s="37">
        <v>39969</v>
      </c>
      <c r="C1641" s="38">
        <v>39969</v>
      </c>
      <c r="D1641" s="38">
        <v>39965</v>
      </c>
      <c r="E1641" s="38">
        <v>39965</v>
      </c>
      <c r="F1641" s="39">
        <v>64</v>
      </c>
      <c r="G1641" t="s">
        <v>21</v>
      </c>
      <c r="H1641" t="s">
        <v>21</v>
      </c>
      <c r="I1641">
        <v>0</v>
      </c>
      <c r="J1641">
        <v>0</v>
      </c>
      <c r="K1641">
        <v>0</v>
      </c>
      <c r="L1641">
        <v>1</v>
      </c>
      <c r="M1641">
        <v>0</v>
      </c>
      <c r="N1641" t="s">
        <v>194</v>
      </c>
      <c r="O1641" t="s">
        <v>213</v>
      </c>
      <c r="P1641" t="s">
        <v>205</v>
      </c>
      <c r="Q1641" t="s">
        <v>170</v>
      </c>
      <c r="R1641" t="s">
        <v>155</v>
      </c>
      <c r="T1641" t="s">
        <v>134</v>
      </c>
      <c r="U1641">
        <v>1</v>
      </c>
      <c r="W1641" t="s">
        <v>134</v>
      </c>
      <c r="X1641">
        <v>1</v>
      </c>
      <c r="Y1641" t="s">
        <v>139</v>
      </c>
      <c r="Z1641" t="s">
        <v>180</v>
      </c>
      <c r="AA1641" t="s">
        <v>144</v>
      </c>
      <c r="AB1641" t="s">
        <v>162</v>
      </c>
      <c r="AC1641" t="s">
        <v>867</v>
      </c>
      <c r="AD1641" t="s">
        <v>157</v>
      </c>
      <c r="AE1641" t="s">
        <v>127</v>
      </c>
      <c r="AF1641" t="s">
        <v>153</v>
      </c>
    </row>
    <row r="1642" spans="1:32">
      <c r="A1642" t="s">
        <v>2596</v>
      </c>
      <c r="B1642" s="37">
        <v>39953</v>
      </c>
      <c r="C1642" s="38">
        <v>39953</v>
      </c>
      <c r="D1642" s="38">
        <v>39951</v>
      </c>
      <c r="E1642" s="38">
        <v>39934</v>
      </c>
      <c r="F1642" s="39">
        <v>48</v>
      </c>
      <c r="G1642" t="s">
        <v>21</v>
      </c>
      <c r="H1642" t="s">
        <v>21</v>
      </c>
      <c r="I1642">
        <v>0</v>
      </c>
      <c r="J1642">
        <v>0</v>
      </c>
      <c r="K1642">
        <v>0</v>
      </c>
      <c r="L1642">
        <v>1</v>
      </c>
      <c r="M1642">
        <v>0</v>
      </c>
      <c r="N1642" t="s">
        <v>195</v>
      </c>
      <c r="O1642" t="s">
        <v>213</v>
      </c>
      <c r="P1642" t="s">
        <v>206</v>
      </c>
      <c r="Q1642" t="s">
        <v>170</v>
      </c>
      <c r="R1642" t="s">
        <v>155</v>
      </c>
      <c r="T1642" t="s">
        <v>134</v>
      </c>
      <c r="U1642">
        <v>1</v>
      </c>
      <c r="W1642" t="s">
        <v>134</v>
      </c>
      <c r="X1642">
        <v>1</v>
      </c>
      <c r="Y1642" t="s">
        <v>139</v>
      </c>
      <c r="Z1642" t="s">
        <v>186</v>
      </c>
      <c r="AA1642" t="s">
        <v>142</v>
      </c>
      <c r="AB1642" t="s">
        <v>163</v>
      </c>
      <c r="AC1642" t="s">
        <v>2597</v>
      </c>
      <c r="AD1642" t="s">
        <v>155</v>
      </c>
      <c r="AE1642" t="s">
        <v>125</v>
      </c>
      <c r="AF1642" t="s">
        <v>21</v>
      </c>
    </row>
    <row r="1643" spans="1:32">
      <c r="A1643" t="s">
        <v>2598</v>
      </c>
      <c r="B1643" s="37">
        <v>39947</v>
      </c>
      <c r="C1643" s="38">
        <v>39947</v>
      </c>
      <c r="D1643" s="38">
        <v>39944</v>
      </c>
      <c r="E1643" s="38">
        <v>39934</v>
      </c>
      <c r="F1643" s="39">
        <v>42</v>
      </c>
      <c r="G1643" t="s">
        <v>21</v>
      </c>
      <c r="H1643" t="s">
        <v>21</v>
      </c>
      <c r="I1643">
        <v>0</v>
      </c>
      <c r="J1643">
        <v>0</v>
      </c>
      <c r="K1643">
        <v>0</v>
      </c>
      <c r="L1643">
        <v>1</v>
      </c>
      <c r="M1643">
        <v>0</v>
      </c>
      <c r="N1643" t="s">
        <v>194</v>
      </c>
      <c r="O1643" t="s">
        <v>213</v>
      </c>
      <c r="P1643" t="s">
        <v>205</v>
      </c>
      <c r="Q1643" t="s">
        <v>170</v>
      </c>
      <c r="R1643" t="s">
        <v>155</v>
      </c>
      <c r="T1643" t="s">
        <v>134</v>
      </c>
      <c r="U1643">
        <v>1</v>
      </c>
      <c r="W1643" t="s">
        <v>134</v>
      </c>
      <c r="X1643">
        <v>1</v>
      </c>
      <c r="Y1643" t="s">
        <v>139</v>
      </c>
      <c r="Z1643" t="s">
        <v>186</v>
      </c>
      <c r="AA1643" t="s">
        <v>143</v>
      </c>
      <c r="AB1643" t="s">
        <v>162</v>
      </c>
      <c r="AC1643" t="s">
        <v>175</v>
      </c>
      <c r="AD1643" t="s">
        <v>155</v>
      </c>
      <c r="AE1643" t="s">
        <v>129</v>
      </c>
      <c r="AF1643" t="s">
        <v>21</v>
      </c>
    </row>
    <row r="1644" spans="1:32">
      <c r="A1644" t="s">
        <v>2599</v>
      </c>
      <c r="B1644" s="37">
        <v>39948</v>
      </c>
      <c r="C1644" s="38">
        <v>39948</v>
      </c>
      <c r="D1644" s="38">
        <v>39944</v>
      </c>
      <c r="E1644" s="38">
        <v>39934</v>
      </c>
      <c r="F1644" s="39">
        <v>43</v>
      </c>
      <c r="G1644" t="s">
        <v>380</v>
      </c>
      <c r="H1644" t="s">
        <v>17</v>
      </c>
      <c r="I1644">
        <v>0</v>
      </c>
      <c r="J1644">
        <v>0</v>
      </c>
      <c r="K1644">
        <v>1</v>
      </c>
      <c r="L1644">
        <v>0</v>
      </c>
      <c r="M1644">
        <v>0</v>
      </c>
      <c r="N1644" t="s">
        <v>193</v>
      </c>
      <c r="O1644" t="s">
        <v>213</v>
      </c>
      <c r="P1644" t="s">
        <v>204</v>
      </c>
      <c r="Q1644" t="s">
        <v>170</v>
      </c>
      <c r="R1644" t="s">
        <v>155</v>
      </c>
      <c r="T1644" t="s">
        <v>134</v>
      </c>
      <c r="U1644">
        <v>1</v>
      </c>
      <c r="W1644" t="s">
        <v>134</v>
      </c>
      <c r="X1644">
        <v>1</v>
      </c>
      <c r="Y1644" t="s">
        <v>140</v>
      </c>
      <c r="Z1644" t="s">
        <v>433</v>
      </c>
      <c r="AA1644" t="s">
        <v>147</v>
      </c>
      <c r="AB1644" t="s">
        <v>162</v>
      </c>
      <c r="AC1644" t="s">
        <v>175</v>
      </c>
      <c r="AD1644" t="s">
        <v>155</v>
      </c>
      <c r="AE1644" t="s">
        <v>129</v>
      </c>
      <c r="AF1644" t="s">
        <v>21</v>
      </c>
    </row>
    <row r="1645" spans="1:32">
      <c r="A1645" t="s">
        <v>2600</v>
      </c>
      <c r="B1645" s="37">
        <v>39987</v>
      </c>
      <c r="C1645" s="38">
        <v>39987</v>
      </c>
      <c r="D1645" s="38">
        <v>39986</v>
      </c>
      <c r="E1645" s="38">
        <v>39965</v>
      </c>
      <c r="F1645" s="39">
        <v>82</v>
      </c>
      <c r="G1645" t="s">
        <v>21</v>
      </c>
      <c r="H1645" t="s">
        <v>21</v>
      </c>
      <c r="I1645">
        <v>0</v>
      </c>
      <c r="J1645">
        <v>0</v>
      </c>
      <c r="K1645">
        <v>0</v>
      </c>
      <c r="L1645">
        <v>1</v>
      </c>
      <c r="M1645">
        <v>0</v>
      </c>
      <c r="N1645" t="s">
        <v>193</v>
      </c>
      <c r="O1645" t="s">
        <v>213</v>
      </c>
      <c r="P1645" t="s">
        <v>204</v>
      </c>
      <c r="Q1645" t="s">
        <v>170</v>
      </c>
      <c r="R1645" t="s">
        <v>155</v>
      </c>
      <c r="T1645" t="s">
        <v>134</v>
      </c>
      <c r="U1645">
        <v>1</v>
      </c>
      <c r="W1645" t="s">
        <v>134</v>
      </c>
      <c r="X1645">
        <v>1</v>
      </c>
      <c r="Y1645" t="s">
        <v>140</v>
      </c>
      <c r="Z1645" t="s">
        <v>182</v>
      </c>
      <c r="AA1645" t="s">
        <v>150</v>
      </c>
      <c r="AB1645" t="s">
        <v>162</v>
      </c>
      <c r="AC1645" t="s">
        <v>176</v>
      </c>
      <c r="AD1645" t="s">
        <v>155</v>
      </c>
      <c r="AE1645" t="s">
        <v>130</v>
      </c>
      <c r="AF1645" t="s">
        <v>21</v>
      </c>
    </row>
    <row r="1646" spans="1:32">
      <c r="A1646" t="s">
        <v>2601</v>
      </c>
      <c r="B1646" s="37">
        <v>39980</v>
      </c>
      <c r="C1646" s="38">
        <v>39980</v>
      </c>
      <c r="D1646" s="38">
        <v>39979</v>
      </c>
      <c r="E1646" s="38">
        <v>39965</v>
      </c>
      <c r="F1646" s="39">
        <v>75</v>
      </c>
      <c r="G1646" t="s">
        <v>21</v>
      </c>
      <c r="H1646" t="s">
        <v>21</v>
      </c>
      <c r="I1646">
        <v>0</v>
      </c>
      <c r="J1646">
        <v>0</v>
      </c>
      <c r="K1646">
        <v>0</v>
      </c>
      <c r="L1646">
        <v>1</v>
      </c>
      <c r="M1646">
        <v>0</v>
      </c>
      <c r="N1646" t="s">
        <v>194</v>
      </c>
      <c r="O1646" t="s">
        <v>213</v>
      </c>
      <c r="P1646" t="s">
        <v>205</v>
      </c>
      <c r="Q1646" t="s">
        <v>170</v>
      </c>
      <c r="R1646" t="s">
        <v>155</v>
      </c>
      <c r="T1646" t="s">
        <v>134</v>
      </c>
      <c r="U1646">
        <v>1</v>
      </c>
      <c r="W1646" t="s">
        <v>134</v>
      </c>
      <c r="X1646">
        <v>1</v>
      </c>
      <c r="Y1646" t="s">
        <v>139</v>
      </c>
      <c r="Z1646" t="s">
        <v>178</v>
      </c>
      <c r="AA1646" t="s">
        <v>146</v>
      </c>
      <c r="AB1646" t="s">
        <v>163</v>
      </c>
      <c r="AC1646" t="s">
        <v>173</v>
      </c>
      <c r="AD1646" t="s">
        <v>161</v>
      </c>
      <c r="AE1646" t="s">
        <v>420</v>
      </c>
      <c r="AF1646" t="s">
        <v>21</v>
      </c>
    </row>
    <row r="1647" spans="1:32">
      <c r="A1647" t="s">
        <v>2602</v>
      </c>
      <c r="B1647" s="37">
        <v>39920</v>
      </c>
      <c r="C1647" s="38">
        <v>39920</v>
      </c>
      <c r="D1647" s="38">
        <v>39916</v>
      </c>
      <c r="E1647" s="38">
        <v>39904</v>
      </c>
      <c r="F1647" s="39">
        <v>15</v>
      </c>
      <c r="G1647" t="s">
        <v>21</v>
      </c>
      <c r="H1647" t="s">
        <v>21</v>
      </c>
      <c r="I1647">
        <v>0</v>
      </c>
      <c r="J1647">
        <v>0</v>
      </c>
      <c r="K1647">
        <v>0</v>
      </c>
      <c r="L1647">
        <v>1</v>
      </c>
      <c r="M1647">
        <v>0</v>
      </c>
      <c r="N1647" t="s">
        <v>200</v>
      </c>
      <c r="O1647" t="s">
        <v>214</v>
      </c>
      <c r="P1647" t="s">
        <v>208</v>
      </c>
      <c r="Q1647" t="s">
        <v>170</v>
      </c>
      <c r="R1647" t="s">
        <v>155</v>
      </c>
      <c r="T1647" t="s">
        <v>134</v>
      </c>
      <c r="U1647">
        <v>1</v>
      </c>
      <c r="W1647" t="s">
        <v>134</v>
      </c>
      <c r="X1647">
        <v>1</v>
      </c>
      <c r="Y1647" t="s">
        <v>139</v>
      </c>
      <c r="Z1647" t="s">
        <v>181</v>
      </c>
      <c r="AA1647" t="s">
        <v>147</v>
      </c>
      <c r="AB1647" t="s">
        <v>163</v>
      </c>
      <c r="AC1647" t="s">
        <v>2603</v>
      </c>
      <c r="AD1647" t="s">
        <v>161</v>
      </c>
      <c r="AE1647" t="s">
        <v>1323</v>
      </c>
      <c r="AF1647" t="s">
        <v>21</v>
      </c>
    </row>
    <row r="1648" spans="1:32">
      <c r="A1648" t="s">
        <v>2604</v>
      </c>
      <c r="B1648" s="37">
        <v>39936</v>
      </c>
      <c r="C1648" s="38">
        <v>39936</v>
      </c>
      <c r="D1648" s="38">
        <v>39930</v>
      </c>
      <c r="E1648" s="38">
        <v>39934</v>
      </c>
      <c r="F1648" s="39">
        <v>31</v>
      </c>
      <c r="G1648" t="s">
        <v>21</v>
      </c>
      <c r="H1648" t="s">
        <v>21</v>
      </c>
      <c r="I1648">
        <v>0</v>
      </c>
      <c r="J1648">
        <v>0</v>
      </c>
      <c r="K1648">
        <v>0</v>
      </c>
      <c r="L1648">
        <v>1</v>
      </c>
      <c r="M1648">
        <v>0</v>
      </c>
      <c r="N1648" t="s">
        <v>199</v>
      </c>
      <c r="O1648" t="s">
        <v>213</v>
      </c>
      <c r="P1648" t="s">
        <v>210</v>
      </c>
      <c r="Q1648" t="s">
        <v>170</v>
      </c>
      <c r="R1648" t="s">
        <v>155</v>
      </c>
      <c r="T1648" t="s">
        <v>134</v>
      </c>
      <c r="U1648">
        <v>1</v>
      </c>
      <c r="W1648" t="s">
        <v>134</v>
      </c>
      <c r="X1648">
        <v>1</v>
      </c>
      <c r="Y1648" t="s">
        <v>139</v>
      </c>
      <c r="Z1648" t="s">
        <v>181</v>
      </c>
      <c r="AA1648" t="s">
        <v>142</v>
      </c>
      <c r="AB1648" t="s">
        <v>162</v>
      </c>
      <c r="AC1648" t="s">
        <v>175</v>
      </c>
      <c r="AD1648" t="s">
        <v>155</v>
      </c>
      <c r="AE1648" t="s">
        <v>129</v>
      </c>
      <c r="AF1648" t="s">
        <v>21</v>
      </c>
    </row>
    <row r="1649" spans="1:32">
      <c r="A1649" t="s">
        <v>2605</v>
      </c>
      <c r="B1649" s="37">
        <v>40068</v>
      </c>
      <c r="C1649" s="38">
        <v>40068</v>
      </c>
      <c r="D1649" s="38">
        <v>40063</v>
      </c>
      <c r="E1649" s="38">
        <v>40057</v>
      </c>
      <c r="F1649" s="39">
        <v>163</v>
      </c>
      <c r="G1649" t="s">
        <v>9</v>
      </c>
      <c r="H1649" t="s">
        <v>9</v>
      </c>
      <c r="I1649">
        <v>1</v>
      </c>
      <c r="J1649">
        <v>0</v>
      </c>
      <c r="K1649">
        <v>0</v>
      </c>
      <c r="L1649">
        <v>0</v>
      </c>
      <c r="M1649">
        <v>1</v>
      </c>
      <c r="N1649" t="s">
        <v>196</v>
      </c>
      <c r="O1649" t="s">
        <v>213</v>
      </c>
      <c r="P1649" t="s">
        <v>207</v>
      </c>
      <c r="Q1649" t="s">
        <v>170</v>
      </c>
      <c r="R1649" t="s">
        <v>155</v>
      </c>
      <c r="S1649">
        <v>5</v>
      </c>
      <c r="T1649" t="s">
        <v>135</v>
      </c>
      <c r="U1649">
        <v>0</v>
      </c>
      <c r="V1649">
        <v>5</v>
      </c>
      <c r="W1649" t="s">
        <v>135</v>
      </c>
      <c r="X1649">
        <v>0</v>
      </c>
      <c r="Y1649" t="s">
        <v>139</v>
      </c>
      <c r="Z1649" t="s">
        <v>409</v>
      </c>
      <c r="AA1649" t="s">
        <v>142</v>
      </c>
      <c r="AB1649" t="s">
        <v>163</v>
      </c>
      <c r="AC1649" t="s">
        <v>173</v>
      </c>
      <c r="AD1649" t="s">
        <v>161</v>
      </c>
      <c r="AE1649" t="s">
        <v>1364</v>
      </c>
      <c r="AF1649" t="s">
        <v>21</v>
      </c>
    </row>
    <row r="1650" spans="1:32">
      <c r="A1650" t="s">
        <v>2606</v>
      </c>
      <c r="B1650" s="37">
        <v>40051</v>
      </c>
      <c r="C1650" s="38">
        <v>40051</v>
      </c>
      <c r="D1650" s="38">
        <v>40049</v>
      </c>
      <c r="E1650" s="38">
        <v>40026</v>
      </c>
      <c r="F1650" s="39">
        <v>146</v>
      </c>
      <c r="G1650" t="s">
        <v>21</v>
      </c>
      <c r="H1650" t="s">
        <v>21</v>
      </c>
      <c r="I1650">
        <v>0</v>
      </c>
      <c r="J1650">
        <v>0</v>
      </c>
      <c r="K1650">
        <v>0</v>
      </c>
      <c r="L1650">
        <v>1</v>
      </c>
      <c r="M1650">
        <v>0</v>
      </c>
      <c r="N1650" t="s">
        <v>193</v>
      </c>
      <c r="O1650" t="s">
        <v>213</v>
      </c>
      <c r="P1650" t="s">
        <v>204</v>
      </c>
      <c r="Q1650" t="s">
        <v>170</v>
      </c>
      <c r="R1650" t="s">
        <v>155</v>
      </c>
      <c r="S1650">
        <v>5</v>
      </c>
      <c r="T1650" t="s">
        <v>135</v>
      </c>
      <c r="U1650">
        <v>0</v>
      </c>
      <c r="V1650">
        <v>2</v>
      </c>
      <c r="W1650" t="s">
        <v>136</v>
      </c>
      <c r="X1650">
        <v>0</v>
      </c>
      <c r="Y1650" t="s">
        <v>140</v>
      </c>
      <c r="Z1650" t="s">
        <v>384</v>
      </c>
      <c r="AA1650" t="s">
        <v>142</v>
      </c>
      <c r="AB1650" t="s">
        <v>162</v>
      </c>
      <c r="AC1650" t="s">
        <v>2607</v>
      </c>
      <c r="AD1650" t="s">
        <v>155</v>
      </c>
      <c r="AE1650" t="s">
        <v>127</v>
      </c>
      <c r="AF1650" t="s">
        <v>21</v>
      </c>
    </row>
    <row r="1651" spans="1:32">
      <c r="A1651" t="s">
        <v>2608</v>
      </c>
      <c r="B1651" s="37">
        <v>40075</v>
      </c>
      <c r="C1651" s="38">
        <v>40075</v>
      </c>
      <c r="D1651" s="38">
        <v>40070</v>
      </c>
      <c r="E1651" s="38">
        <v>40057</v>
      </c>
      <c r="F1651" s="39">
        <v>170</v>
      </c>
      <c r="G1651" t="s">
        <v>21</v>
      </c>
      <c r="H1651" t="s">
        <v>21</v>
      </c>
      <c r="I1651">
        <v>0</v>
      </c>
      <c r="J1651">
        <v>0</v>
      </c>
      <c r="K1651">
        <v>0</v>
      </c>
      <c r="L1651">
        <v>1</v>
      </c>
      <c r="M1651">
        <v>0</v>
      </c>
      <c r="N1651" t="s">
        <v>193</v>
      </c>
      <c r="O1651" t="s">
        <v>213</v>
      </c>
      <c r="P1651" t="s">
        <v>204</v>
      </c>
      <c r="Q1651" t="s">
        <v>170</v>
      </c>
      <c r="R1651" t="s">
        <v>155</v>
      </c>
      <c r="S1651">
        <v>5</v>
      </c>
      <c r="T1651" t="s">
        <v>135</v>
      </c>
      <c r="U1651">
        <v>0</v>
      </c>
      <c r="V1651">
        <v>3</v>
      </c>
      <c r="W1651" t="s">
        <v>137</v>
      </c>
      <c r="X1651">
        <v>0</v>
      </c>
      <c r="Y1651" t="s">
        <v>140</v>
      </c>
      <c r="Z1651" t="s">
        <v>409</v>
      </c>
      <c r="AA1651" t="s">
        <v>143</v>
      </c>
      <c r="AB1651" t="s">
        <v>162</v>
      </c>
      <c r="AC1651" t="s">
        <v>459</v>
      </c>
      <c r="AD1651" t="s">
        <v>155</v>
      </c>
      <c r="AE1651" t="s">
        <v>129</v>
      </c>
      <c r="AF1651" t="s">
        <v>21</v>
      </c>
    </row>
    <row r="1652" spans="1:32">
      <c r="A1652" t="s">
        <v>2609</v>
      </c>
      <c r="B1652" s="37">
        <v>40044</v>
      </c>
      <c r="C1652" s="38">
        <v>40044</v>
      </c>
      <c r="D1652" s="38">
        <v>40042</v>
      </c>
      <c r="E1652" s="38">
        <v>40026</v>
      </c>
      <c r="F1652" s="39">
        <v>139</v>
      </c>
      <c r="G1652" t="s">
        <v>21</v>
      </c>
      <c r="H1652" t="s">
        <v>21</v>
      </c>
      <c r="I1652">
        <v>0</v>
      </c>
      <c r="J1652">
        <v>0</v>
      </c>
      <c r="K1652">
        <v>0</v>
      </c>
      <c r="L1652">
        <v>1</v>
      </c>
      <c r="M1652">
        <v>0</v>
      </c>
      <c r="N1652" t="s">
        <v>197</v>
      </c>
      <c r="O1652" t="s">
        <v>213</v>
      </c>
      <c r="P1652" t="s">
        <v>209</v>
      </c>
      <c r="Q1652" t="s">
        <v>170</v>
      </c>
      <c r="R1652" t="s">
        <v>155</v>
      </c>
      <c r="S1652">
        <v>5</v>
      </c>
      <c r="T1652" t="s">
        <v>135</v>
      </c>
      <c r="U1652">
        <v>0</v>
      </c>
      <c r="V1652">
        <v>4</v>
      </c>
      <c r="W1652" t="s">
        <v>137</v>
      </c>
      <c r="X1652">
        <v>0</v>
      </c>
      <c r="Y1652" t="s">
        <v>139</v>
      </c>
      <c r="Z1652" t="s">
        <v>181</v>
      </c>
      <c r="AA1652" t="s">
        <v>146</v>
      </c>
      <c r="AB1652" t="s">
        <v>162</v>
      </c>
      <c r="AC1652" t="s">
        <v>175</v>
      </c>
      <c r="AD1652" t="s">
        <v>161</v>
      </c>
      <c r="AE1652" t="s">
        <v>571</v>
      </c>
      <c r="AF1652" t="s">
        <v>21</v>
      </c>
    </row>
    <row r="1653" spans="1:32">
      <c r="A1653" t="s">
        <v>2610</v>
      </c>
      <c r="B1653" s="37">
        <v>39974</v>
      </c>
      <c r="C1653" s="38">
        <v>39974</v>
      </c>
      <c r="D1653" s="38">
        <v>39972</v>
      </c>
      <c r="E1653" s="38">
        <v>39965</v>
      </c>
      <c r="F1653" s="39">
        <v>69</v>
      </c>
      <c r="G1653" t="s">
        <v>21</v>
      </c>
      <c r="H1653" t="s">
        <v>21</v>
      </c>
      <c r="I1653">
        <v>0</v>
      </c>
      <c r="J1653">
        <v>0</v>
      </c>
      <c r="K1653">
        <v>0</v>
      </c>
      <c r="L1653">
        <v>1</v>
      </c>
      <c r="M1653">
        <v>0</v>
      </c>
      <c r="N1653" t="s">
        <v>193</v>
      </c>
      <c r="O1653" t="s">
        <v>213</v>
      </c>
      <c r="P1653" t="s">
        <v>204</v>
      </c>
      <c r="Q1653" t="s">
        <v>170</v>
      </c>
      <c r="R1653" t="s">
        <v>155</v>
      </c>
      <c r="T1653" t="s">
        <v>134</v>
      </c>
      <c r="U1653">
        <v>1</v>
      </c>
      <c r="W1653" t="s">
        <v>134</v>
      </c>
      <c r="X1653">
        <v>1</v>
      </c>
      <c r="Y1653" t="s">
        <v>140</v>
      </c>
      <c r="Z1653" t="s">
        <v>181</v>
      </c>
      <c r="AA1653" t="s">
        <v>144</v>
      </c>
      <c r="AB1653" t="s">
        <v>162</v>
      </c>
      <c r="AC1653" t="s">
        <v>174</v>
      </c>
      <c r="AD1653" t="s">
        <v>157</v>
      </c>
      <c r="AE1653" t="s">
        <v>127</v>
      </c>
      <c r="AF1653" t="s">
        <v>153</v>
      </c>
    </row>
    <row r="1654" spans="1:32">
      <c r="A1654" t="s">
        <v>2611</v>
      </c>
      <c r="B1654" s="37">
        <v>40059</v>
      </c>
      <c r="C1654" s="38">
        <v>40059</v>
      </c>
      <c r="D1654" s="38">
        <v>40056</v>
      </c>
      <c r="E1654" s="38">
        <v>40057</v>
      </c>
      <c r="F1654" s="39">
        <v>154</v>
      </c>
      <c r="G1654" t="s">
        <v>21</v>
      </c>
      <c r="H1654" t="s">
        <v>21</v>
      </c>
      <c r="I1654">
        <v>0</v>
      </c>
      <c r="J1654">
        <v>0</v>
      </c>
      <c r="K1654">
        <v>0</v>
      </c>
      <c r="L1654">
        <v>1</v>
      </c>
      <c r="M1654">
        <v>0</v>
      </c>
      <c r="N1654" t="s">
        <v>193</v>
      </c>
      <c r="O1654" t="s">
        <v>213</v>
      </c>
      <c r="P1654" t="s">
        <v>204</v>
      </c>
      <c r="Q1654" t="s">
        <v>170</v>
      </c>
      <c r="R1654" t="s">
        <v>155</v>
      </c>
      <c r="S1654">
        <v>1</v>
      </c>
      <c r="T1654" t="s">
        <v>136</v>
      </c>
      <c r="U1654">
        <v>0</v>
      </c>
      <c r="V1654">
        <v>4</v>
      </c>
      <c r="W1654" t="s">
        <v>137</v>
      </c>
      <c r="X1654">
        <v>0</v>
      </c>
      <c r="Y1654" t="s">
        <v>140</v>
      </c>
      <c r="Z1654" t="s">
        <v>182</v>
      </c>
      <c r="AA1654" t="s">
        <v>143</v>
      </c>
      <c r="AB1654" t="s">
        <v>162</v>
      </c>
      <c r="AC1654" t="s">
        <v>175</v>
      </c>
      <c r="AD1654" t="s">
        <v>155</v>
      </c>
      <c r="AE1654" t="s">
        <v>129</v>
      </c>
      <c r="AF1654" t="s">
        <v>21</v>
      </c>
    </row>
    <row r="1655" spans="1:32">
      <c r="A1655" t="s">
        <v>2612</v>
      </c>
      <c r="B1655" s="37">
        <v>40036</v>
      </c>
      <c r="C1655" s="38">
        <v>40036</v>
      </c>
      <c r="D1655" s="38">
        <v>40035</v>
      </c>
      <c r="E1655" s="38">
        <v>40026</v>
      </c>
      <c r="F1655" s="39">
        <v>131</v>
      </c>
      <c r="G1655" t="s">
        <v>21</v>
      </c>
      <c r="H1655" t="s">
        <v>21</v>
      </c>
      <c r="I1655">
        <v>0</v>
      </c>
      <c r="J1655">
        <v>0</v>
      </c>
      <c r="K1655">
        <v>0</v>
      </c>
      <c r="L1655">
        <v>1</v>
      </c>
      <c r="M1655">
        <v>0</v>
      </c>
      <c r="N1655" t="s">
        <v>193</v>
      </c>
      <c r="O1655" t="s">
        <v>213</v>
      </c>
      <c r="P1655" t="s">
        <v>204</v>
      </c>
      <c r="Q1655" t="s">
        <v>170</v>
      </c>
      <c r="R1655" t="s">
        <v>155</v>
      </c>
      <c r="S1655">
        <v>5</v>
      </c>
      <c r="T1655" t="s">
        <v>135</v>
      </c>
      <c r="U1655">
        <v>0</v>
      </c>
      <c r="V1655">
        <v>3</v>
      </c>
      <c r="W1655" t="s">
        <v>137</v>
      </c>
      <c r="X1655">
        <v>0</v>
      </c>
      <c r="Y1655" t="s">
        <v>140</v>
      </c>
      <c r="Z1655" t="s">
        <v>178</v>
      </c>
      <c r="AA1655" t="s">
        <v>144</v>
      </c>
      <c r="AB1655" t="s">
        <v>162</v>
      </c>
      <c r="AC1655" t="s">
        <v>1241</v>
      </c>
      <c r="AD1655" t="s">
        <v>156</v>
      </c>
      <c r="AE1655" t="s">
        <v>120</v>
      </c>
      <c r="AF1655" t="s">
        <v>1481</v>
      </c>
    </row>
    <row r="1656" spans="1:32">
      <c r="A1656" t="s">
        <v>2613</v>
      </c>
      <c r="B1656" s="37">
        <v>39978</v>
      </c>
      <c r="C1656" s="38">
        <v>39978</v>
      </c>
      <c r="D1656" s="38">
        <v>39972</v>
      </c>
      <c r="E1656" s="38">
        <v>39965</v>
      </c>
      <c r="F1656" s="39">
        <v>73</v>
      </c>
      <c r="G1656" t="s">
        <v>21</v>
      </c>
      <c r="H1656" t="s">
        <v>21</v>
      </c>
      <c r="I1656">
        <v>0</v>
      </c>
      <c r="J1656">
        <v>0</v>
      </c>
      <c r="K1656">
        <v>0</v>
      </c>
      <c r="L1656">
        <v>1</v>
      </c>
      <c r="M1656">
        <v>0</v>
      </c>
      <c r="N1656" t="s">
        <v>193</v>
      </c>
      <c r="O1656" t="s">
        <v>213</v>
      </c>
      <c r="P1656" t="s">
        <v>204</v>
      </c>
      <c r="Q1656" t="s">
        <v>170</v>
      </c>
      <c r="R1656" t="s">
        <v>155</v>
      </c>
      <c r="T1656" t="s">
        <v>134</v>
      </c>
      <c r="U1656">
        <v>1</v>
      </c>
      <c r="W1656" t="s">
        <v>134</v>
      </c>
      <c r="X1656">
        <v>1</v>
      </c>
      <c r="Y1656" t="s">
        <v>140</v>
      </c>
      <c r="Z1656" t="s">
        <v>178</v>
      </c>
      <c r="AA1656" t="s">
        <v>142</v>
      </c>
      <c r="AB1656" t="s">
        <v>162</v>
      </c>
      <c r="AC1656" t="s">
        <v>174</v>
      </c>
      <c r="AD1656" t="s">
        <v>156</v>
      </c>
      <c r="AE1656" t="s">
        <v>120</v>
      </c>
      <c r="AF1656" t="s">
        <v>2614</v>
      </c>
    </row>
    <row r="1657" spans="1:32">
      <c r="A1657" t="s">
        <v>2615</v>
      </c>
      <c r="B1657" s="37">
        <v>39922</v>
      </c>
      <c r="C1657" s="38">
        <v>39922</v>
      </c>
      <c r="D1657" s="38">
        <v>39916</v>
      </c>
      <c r="E1657" s="38">
        <v>39904</v>
      </c>
      <c r="F1657" s="39">
        <v>17</v>
      </c>
      <c r="G1657" t="s">
        <v>21</v>
      </c>
      <c r="H1657" t="s">
        <v>21</v>
      </c>
      <c r="I1657">
        <v>0</v>
      </c>
      <c r="J1657">
        <v>0</v>
      </c>
      <c r="K1657">
        <v>0</v>
      </c>
      <c r="L1657">
        <v>1</v>
      </c>
      <c r="M1657">
        <v>0</v>
      </c>
      <c r="N1657" t="s">
        <v>201</v>
      </c>
      <c r="O1657" t="s">
        <v>214</v>
      </c>
      <c r="P1657" t="s">
        <v>204</v>
      </c>
      <c r="Q1657" t="s">
        <v>170</v>
      </c>
      <c r="R1657" t="s">
        <v>155</v>
      </c>
      <c r="T1657" t="s">
        <v>134</v>
      </c>
      <c r="U1657">
        <v>1</v>
      </c>
      <c r="W1657" t="s">
        <v>134</v>
      </c>
      <c r="X1657">
        <v>1</v>
      </c>
      <c r="Y1657" t="s">
        <v>140</v>
      </c>
      <c r="Z1657" t="s">
        <v>183</v>
      </c>
      <c r="AA1657" t="s">
        <v>147</v>
      </c>
      <c r="AB1657" t="s">
        <v>163</v>
      </c>
      <c r="AC1657" t="s">
        <v>173</v>
      </c>
      <c r="AD1657" t="s">
        <v>161</v>
      </c>
      <c r="AE1657" t="s">
        <v>586</v>
      </c>
      <c r="AF1657" t="s">
        <v>21</v>
      </c>
    </row>
    <row r="1658" spans="1:32">
      <c r="A1658" t="s">
        <v>2616</v>
      </c>
      <c r="B1658" s="37">
        <v>39980</v>
      </c>
      <c r="C1658" s="38">
        <v>39980</v>
      </c>
      <c r="D1658" s="38">
        <v>39979</v>
      </c>
      <c r="E1658" s="38">
        <v>39965</v>
      </c>
      <c r="F1658" s="39">
        <v>75</v>
      </c>
      <c r="G1658" t="s">
        <v>380</v>
      </c>
      <c r="H1658" t="s">
        <v>17</v>
      </c>
      <c r="I1658">
        <v>0</v>
      </c>
      <c r="J1658">
        <v>0</v>
      </c>
      <c r="K1658">
        <v>1</v>
      </c>
      <c r="L1658">
        <v>0</v>
      </c>
      <c r="M1658">
        <v>0</v>
      </c>
      <c r="N1658" t="s">
        <v>196</v>
      </c>
      <c r="O1658" t="s">
        <v>213</v>
      </c>
      <c r="P1658" t="s">
        <v>207</v>
      </c>
      <c r="Q1658" t="s">
        <v>170</v>
      </c>
      <c r="R1658" t="s">
        <v>155</v>
      </c>
      <c r="T1658" t="s">
        <v>134</v>
      </c>
      <c r="U1658">
        <v>1</v>
      </c>
      <c r="W1658" t="s">
        <v>134</v>
      </c>
      <c r="X1658">
        <v>1</v>
      </c>
      <c r="Y1658" t="s">
        <v>139</v>
      </c>
      <c r="Z1658" t="s">
        <v>181</v>
      </c>
      <c r="AA1658" t="s">
        <v>146</v>
      </c>
      <c r="AB1658" t="s">
        <v>162</v>
      </c>
      <c r="AC1658" t="s">
        <v>175</v>
      </c>
      <c r="AD1658" t="s">
        <v>155</v>
      </c>
      <c r="AE1658" t="s">
        <v>130</v>
      </c>
      <c r="AF1658" t="s">
        <v>21</v>
      </c>
    </row>
    <row r="1659" spans="1:32">
      <c r="A1659" t="s">
        <v>2617</v>
      </c>
      <c r="B1659" s="37">
        <v>40019</v>
      </c>
      <c r="C1659" s="38">
        <v>40019</v>
      </c>
      <c r="D1659" s="38">
        <v>40014</v>
      </c>
      <c r="E1659" s="38">
        <v>39995</v>
      </c>
      <c r="F1659" s="39">
        <v>114</v>
      </c>
      <c r="G1659" t="s">
        <v>383</v>
      </c>
      <c r="H1659" t="s">
        <v>17</v>
      </c>
      <c r="I1659">
        <v>0</v>
      </c>
      <c r="J1659">
        <v>0</v>
      </c>
      <c r="K1659">
        <v>1</v>
      </c>
      <c r="L1659">
        <v>0</v>
      </c>
      <c r="M1659">
        <v>0</v>
      </c>
      <c r="N1659" t="s">
        <v>197</v>
      </c>
      <c r="O1659" t="s">
        <v>213</v>
      </c>
      <c r="P1659" t="s">
        <v>209</v>
      </c>
      <c r="Q1659" t="s">
        <v>170</v>
      </c>
      <c r="R1659" t="s">
        <v>155</v>
      </c>
      <c r="S1659">
        <v>5</v>
      </c>
      <c r="T1659" t="s">
        <v>135</v>
      </c>
      <c r="U1659">
        <v>0</v>
      </c>
      <c r="V1659">
        <v>4</v>
      </c>
      <c r="W1659" t="s">
        <v>137</v>
      </c>
      <c r="X1659">
        <v>0</v>
      </c>
      <c r="Y1659" t="s">
        <v>139</v>
      </c>
      <c r="Z1659" t="s">
        <v>184</v>
      </c>
      <c r="AA1659" t="s">
        <v>142</v>
      </c>
      <c r="AB1659" t="s">
        <v>162</v>
      </c>
      <c r="AC1659" t="s">
        <v>175</v>
      </c>
      <c r="AD1659" t="s">
        <v>155</v>
      </c>
      <c r="AE1659" t="s">
        <v>130</v>
      </c>
      <c r="AF1659" t="s">
        <v>21</v>
      </c>
    </row>
    <row r="1660" spans="1:32">
      <c r="A1660" t="s">
        <v>2618</v>
      </c>
      <c r="B1660" s="37">
        <v>39983</v>
      </c>
      <c r="C1660" s="38">
        <v>39983</v>
      </c>
      <c r="D1660" s="38">
        <v>39979</v>
      </c>
      <c r="E1660" s="38">
        <v>39965</v>
      </c>
      <c r="F1660" s="39">
        <v>78</v>
      </c>
      <c r="G1660" t="s">
        <v>525</v>
      </c>
      <c r="H1660" t="s">
        <v>17</v>
      </c>
      <c r="I1660">
        <v>0</v>
      </c>
      <c r="J1660">
        <v>0</v>
      </c>
      <c r="K1660">
        <v>1</v>
      </c>
      <c r="L1660">
        <v>0</v>
      </c>
      <c r="M1660">
        <v>0</v>
      </c>
      <c r="N1660" t="s">
        <v>196</v>
      </c>
      <c r="O1660" t="s">
        <v>213</v>
      </c>
      <c r="P1660" t="s">
        <v>207</v>
      </c>
      <c r="Q1660" t="s">
        <v>170</v>
      </c>
      <c r="R1660" t="s">
        <v>155</v>
      </c>
      <c r="T1660" t="s">
        <v>134</v>
      </c>
      <c r="U1660">
        <v>1</v>
      </c>
      <c r="W1660" t="s">
        <v>134</v>
      </c>
      <c r="X1660">
        <v>1</v>
      </c>
      <c r="Y1660" t="s">
        <v>139</v>
      </c>
      <c r="Z1660" t="s">
        <v>186</v>
      </c>
      <c r="AA1660" t="s">
        <v>144</v>
      </c>
      <c r="AB1660" t="s">
        <v>162</v>
      </c>
      <c r="AC1660" t="s">
        <v>174</v>
      </c>
      <c r="AD1660" t="s">
        <v>157</v>
      </c>
      <c r="AE1660" t="s">
        <v>127</v>
      </c>
      <c r="AF1660" t="s">
        <v>153</v>
      </c>
    </row>
    <row r="1661" spans="1:32">
      <c r="A1661" t="s">
        <v>2619</v>
      </c>
      <c r="B1661" s="37">
        <v>39981</v>
      </c>
      <c r="C1661" s="38">
        <v>39981</v>
      </c>
      <c r="D1661" s="38">
        <v>39979</v>
      </c>
      <c r="E1661" s="38">
        <v>39965</v>
      </c>
      <c r="F1661" s="39">
        <v>76</v>
      </c>
      <c r="G1661" t="s">
        <v>21</v>
      </c>
      <c r="H1661" t="s">
        <v>21</v>
      </c>
      <c r="I1661">
        <v>0</v>
      </c>
      <c r="J1661">
        <v>0</v>
      </c>
      <c r="K1661">
        <v>0</v>
      </c>
      <c r="L1661">
        <v>1</v>
      </c>
      <c r="M1661">
        <v>0</v>
      </c>
      <c r="N1661" t="s">
        <v>193</v>
      </c>
      <c r="O1661" t="s">
        <v>213</v>
      </c>
      <c r="P1661" t="s">
        <v>204</v>
      </c>
      <c r="Q1661" t="s">
        <v>170</v>
      </c>
      <c r="R1661" t="s">
        <v>155</v>
      </c>
      <c r="T1661" t="s">
        <v>134</v>
      </c>
      <c r="U1661">
        <v>1</v>
      </c>
      <c r="W1661" t="s">
        <v>134</v>
      </c>
      <c r="X1661">
        <v>1</v>
      </c>
      <c r="Y1661" t="s">
        <v>140</v>
      </c>
      <c r="Z1661" t="s">
        <v>183</v>
      </c>
      <c r="AA1661" t="s">
        <v>151</v>
      </c>
      <c r="AB1661" t="s">
        <v>163</v>
      </c>
      <c r="AC1661" t="s">
        <v>21</v>
      </c>
      <c r="AD1661" t="s">
        <v>155</v>
      </c>
      <c r="AE1661" t="s">
        <v>454</v>
      </c>
      <c r="AF1661" t="s">
        <v>21</v>
      </c>
    </row>
    <row r="1662" spans="1:32">
      <c r="A1662" t="s">
        <v>2620</v>
      </c>
      <c r="B1662" s="37">
        <v>40004</v>
      </c>
      <c r="C1662" s="38">
        <v>40004</v>
      </c>
      <c r="D1662" s="38">
        <v>40000</v>
      </c>
      <c r="E1662" s="38">
        <v>39995</v>
      </c>
      <c r="F1662" s="39">
        <v>99</v>
      </c>
      <c r="G1662" t="s">
        <v>21</v>
      </c>
      <c r="H1662" t="s">
        <v>21</v>
      </c>
      <c r="I1662">
        <v>0</v>
      </c>
      <c r="J1662">
        <v>0</v>
      </c>
      <c r="K1662">
        <v>0</v>
      </c>
      <c r="L1662">
        <v>1</v>
      </c>
      <c r="M1662">
        <v>0</v>
      </c>
      <c r="N1662" t="s">
        <v>193</v>
      </c>
      <c r="O1662" t="s">
        <v>213</v>
      </c>
      <c r="P1662" t="s">
        <v>204</v>
      </c>
      <c r="Q1662" t="s">
        <v>170</v>
      </c>
      <c r="R1662" t="s">
        <v>155</v>
      </c>
      <c r="T1662" t="s">
        <v>134</v>
      </c>
      <c r="U1662">
        <v>1</v>
      </c>
      <c r="V1662">
        <v>3</v>
      </c>
      <c r="W1662" t="s">
        <v>137</v>
      </c>
      <c r="X1662">
        <v>0</v>
      </c>
      <c r="Y1662" t="s">
        <v>140</v>
      </c>
      <c r="Z1662" t="s">
        <v>187</v>
      </c>
      <c r="AA1662" t="s">
        <v>142</v>
      </c>
      <c r="AB1662" t="s">
        <v>162</v>
      </c>
      <c r="AC1662" t="s">
        <v>175</v>
      </c>
      <c r="AD1662" t="s">
        <v>155</v>
      </c>
      <c r="AE1662" t="s">
        <v>130</v>
      </c>
      <c r="AF1662" t="s">
        <v>21</v>
      </c>
    </row>
    <row r="1663" spans="1:32">
      <c r="A1663" t="s">
        <v>2621</v>
      </c>
      <c r="B1663" s="37">
        <v>39983</v>
      </c>
      <c r="C1663" s="38">
        <v>39983</v>
      </c>
      <c r="D1663" s="38">
        <v>39979</v>
      </c>
      <c r="E1663" s="38">
        <v>39965</v>
      </c>
      <c r="F1663" s="39">
        <v>78</v>
      </c>
      <c r="G1663" t="s">
        <v>9</v>
      </c>
      <c r="H1663" t="s">
        <v>9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193</v>
      </c>
      <c r="O1663" t="s">
        <v>213</v>
      </c>
      <c r="P1663" t="s">
        <v>204</v>
      </c>
      <c r="Q1663" t="s">
        <v>170</v>
      </c>
      <c r="R1663" t="s">
        <v>155</v>
      </c>
      <c r="T1663" t="s">
        <v>134</v>
      </c>
      <c r="U1663">
        <v>1</v>
      </c>
      <c r="W1663" t="s">
        <v>134</v>
      </c>
      <c r="X1663">
        <v>1</v>
      </c>
      <c r="Y1663" t="s">
        <v>140</v>
      </c>
      <c r="Z1663" t="s">
        <v>187</v>
      </c>
      <c r="AA1663" t="s">
        <v>148</v>
      </c>
      <c r="AB1663" t="s">
        <v>162</v>
      </c>
      <c r="AC1663" t="s">
        <v>1797</v>
      </c>
      <c r="AD1663" t="s">
        <v>157</v>
      </c>
      <c r="AE1663" t="s">
        <v>127</v>
      </c>
      <c r="AF1663" t="s">
        <v>153</v>
      </c>
    </row>
    <row r="1664" spans="1:32">
      <c r="A1664" t="s">
        <v>2622</v>
      </c>
      <c r="B1664" s="37">
        <v>40028</v>
      </c>
      <c r="C1664" s="38">
        <v>40028</v>
      </c>
      <c r="D1664" s="38">
        <v>40028</v>
      </c>
      <c r="E1664" s="38">
        <v>40026</v>
      </c>
      <c r="F1664" s="39">
        <v>123</v>
      </c>
      <c r="G1664" t="s">
        <v>9</v>
      </c>
      <c r="H1664" t="s">
        <v>9</v>
      </c>
      <c r="I1664">
        <v>1</v>
      </c>
      <c r="J1664">
        <v>0</v>
      </c>
      <c r="K1664">
        <v>0</v>
      </c>
      <c r="L1664">
        <v>0</v>
      </c>
      <c r="M1664">
        <v>1</v>
      </c>
      <c r="N1664" t="s">
        <v>197</v>
      </c>
      <c r="O1664" t="s">
        <v>213</v>
      </c>
      <c r="P1664" t="s">
        <v>209</v>
      </c>
      <c r="Q1664" t="s">
        <v>170</v>
      </c>
      <c r="R1664" t="s">
        <v>155</v>
      </c>
      <c r="S1664">
        <v>5</v>
      </c>
      <c r="T1664" t="s">
        <v>135</v>
      </c>
      <c r="U1664">
        <v>0</v>
      </c>
      <c r="V1664">
        <v>5</v>
      </c>
      <c r="W1664" t="s">
        <v>135</v>
      </c>
      <c r="X1664">
        <v>0</v>
      </c>
      <c r="Y1664" t="s">
        <v>139</v>
      </c>
      <c r="Z1664" t="s">
        <v>187</v>
      </c>
      <c r="AA1664" t="s">
        <v>146</v>
      </c>
      <c r="AB1664" t="s">
        <v>162</v>
      </c>
      <c r="AC1664" t="s">
        <v>174</v>
      </c>
      <c r="AD1664" t="s">
        <v>159</v>
      </c>
      <c r="AE1664" t="s">
        <v>123</v>
      </c>
      <c r="AF1664" t="s">
        <v>123</v>
      </c>
    </row>
    <row r="1665" spans="1:32">
      <c r="A1665" t="s">
        <v>2623</v>
      </c>
      <c r="B1665" s="37">
        <v>40060</v>
      </c>
      <c r="C1665" s="38">
        <v>40060</v>
      </c>
      <c r="D1665" s="38">
        <v>40056</v>
      </c>
      <c r="E1665" s="38">
        <v>40057</v>
      </c>
      <c r="F1665" s="39">
        <v>155</v>
      </c>
      <c r="G1665" t="s">
        <v>380</v>
      </c>
      <c r="H1665" t="s">
        <v>17</v>
      </c>
      <c r="I1665">
        <v>0</v>
      </c>
      <c r="J1665">
        <v>0</v>
      </c>
      <c r="K1665">
        <v>1</v>
      </c>
      <c r="L1665">
        <v>0</v>
      </c>
      <c r="M1665">
        <v>0</v>
      </c>
      <c r="N1665" t="s">
        <v>193</v>
      </c>
      <c r="O1665" t="s">
        <v>213</v>
      </c>
      <c r="P1665" t="s">
        <v>204</v>
      </c>
      <c r="Q1665" t="s">
        <v>170</v>
      </c>
      <c r="R1665" t="s">
        <v>155</v>
      </c>
      <c r="S1665">
        <v>5</v>
      </c>
      <c r="T1665" t="s">
        <v>135</v>
      </c>
      <c r="U1665">
        <v>0</v>
      </c>
      <c r="V1665">
        <v>3</v>
      </c>
      <c r="W1665" t="s">
        <v>137</v>
      </c>
      <c r="X1665">
        <v>0</v>
      </c>
      <c r="Y1665" t="s">
        <v>140</v>
      </c>
      <c r="Z1665" t="s">
        <v>191</v>
      </c>
      <c r="AA1665" t="s">
        <v>143</v>
      </c>
      <c r="AB1665" t="s">
        <v>165</v>
      </c>
      <c r="AC1665" t="s">
        <v>2624</v>
      </c>
      <c r="AD1665" t="s">
        <v>158</v>
      </c>
      <c r="AE1665" t="s">
        <v>122</v>
      </c>
      <c r="AF1665" t="s">
        <v>21</v>
      </c>
    </row>
    <row r="1666" spans="1:32">
      <c r="A1666" t="s">
        <v>2625</v>
      </c>
      <c r="B1666" s="37">
        <v>39910</v>
      </c>
      <c r="C1666" s="38">
        <v>39910</v>
      </c>
      <c r="D1666" s="38">
        <v>39909</v>
      </c>
      <c r="E1666" s="38">
        <v>39904</v>
      </c>
      <c r="F1666" s="39">
        <v>5</v>
      </c>
      <c r="G1666" t="s">
        <v>21</v>
      </c>
      <c r="H1666" t="s">
        <v>21</v>
      </c>
      <c r="I1666">
        <v>0</v>
      </c>
      <c r="J1666">
        <v>0</v>
      </c>
      <c r="K1666">
        <v>0</v>
      </c>
      <c r="L1666">
        <v>1</v>
      </c>
      <c r="M1666">
        <v>0</v>
      </c>
      <c r="N1666" t="s">
        <v>194</v>
      </c>
      <c r="O1666" t="s">
        <v>213</v>
      </c>
      <c r="P1666" t="s">
        <v>205</v>
      </c>
      <c r="Q1666" t="s">
        <v>170</v>
      </c>
      <c r="R1666" t="s">
        <v>155</v>
      </c>
      <c r="T1666" t="s">
        <v>134</v>
      </c>
      <c r="U1666">
        <v>1</v>
      </c>
      <c r="W1666" t="s">
        <v>134</v>
      </c>
      <c r="X1666">
        <v>1</v>
      </c>
      <c r="Y1666" t="s">
        <v>139</v>
      </c>
      <c r="Z1666" t="s">
        <v>188</v>
      </c>
      <c r="AA1666" t="s">
        <v>143</v>
      </c>
      <c r="AB1666" t="s">
        <v>162</v>
      </c>
      <c r="AC1666" t="s">
        <v>174</v>
      </c>
      <c r="AD1666" t="s">
        <v>157</v>
      </c>
      <c r="AE1666" t="s">
        <v>127</v>
      </c>
      <c r="AF1666" t="s">
        <v>153</v>
      </c>
    </row>
    <row r="1667" spans="1:32">
      <c r="A1667" t="s">
        <v>2626</v>
      </c>
      <c r="B1667" s="37">
        <v>40059</v>
      </c>
      <c r="C1667" s="38">
        <v>40059</v>
      </c>
      <c r="D1667" s="38">
        <v>40056</v>
      </c>
      <c r="E1667" s="38">
        <v>40057</v>
      </c>
      <c r="F1667" s="39">
        <v>154</v>
      </c>
      <c r="G1667" t="s">
        <v>21</v>
      </c>
      <c r="H1667" t="s">
        <v>21</v>
      </c>
      <c r="I1667">
        <v>0</v>
      </c>
      <c r="J1667">
        <v>0</v>
      </c>
      <c r="K1667">
        <v>0</v>
      </c>
      <c r="L1667">
        <v>1</v>
      </c>
      <c r="M1667">
        <v>0</v>
      </c>
      <c r="N1667" t="s">
        <v>193</v>
      </c>
      <c r="O1667" t="s">
        <v>213</v>
      </c>
      <c r="P1667" t="s">
        <v>204</v>
      </c>
      <c r="Q1667" t="s">
        <v>170</v>
      </c>
      <c r="R1667" t="s">
        <v>155</v>
      </c>
      <c r="S1667">
        <v>5</v>
      </c>
      <c r="T1667" t="s">
        <v>135</v>
      </c>
      <c r="U1667">
        <v>0</v>
      </c>
      <c r="V1667">
        <v>5</v>
      </c>
      <c r="W1667" t="s">
        <v>135</v>
      </c>
      <c r="X1667">
        <v>0</v>
      </c>
      <c r="Y1667" t="s">
        <v>140</v>
      </c>
      <c r="Z1667" t="s">
        <v>179</v>
      </c>
      <c r="AA1667" t="s">
        <v>145</v>
      </c>
      <c r="AB1667" t="s">
        <v>162</v>
      </c>
      <c r="AC1667" t="s">
        <v>175</v>
      </c>
      <c r="AD1667" t="s">
        <v>155</v>
      </c>
      <c r="AE1667" t="s">
        <v>129</v>
      </c>
      <c r="AF1667" t="s">
        <v>21</v>
      </c>
    </row>
    <row r="1668" spans="1:32">
      <c r="A1668" t="s">
        <v>2627</v>
      </c>
      <c r="B1668" s="37">
        <v>39956</v>
      </c>
      <c r="C1668" s="38">
        <v>39956</v>
      </c>
      <c r="D1668" s="38">
        <v>39951</v>
      </c>
      <c r="E1668" s="38">
        <v>39934</v>
      </c>
      <c r="F1668" s="39">
        <v>51</v>
      </c>
      <c r="G1668" t="s">
        <v>21</v>
      </c>
      <c r="H1668" t="s">
        <v>21</v>
      </c>
      <c r="I1668">
        <v>0</v>
      </c>
      <c r="J1668">
        <v>0</v>
      </c>
      <c r="K1668">
        <v>0</v>
      </c>
      <c r="L1668">
        <v>1</v>
      </c>
      <c r="M1668">
        <v>0</v>
      </c>
      <c r="N1668" t="s">
        <v>195</v>
      </c>
      <c r="O1668" t="s">
        <v>213</v>
      </c>
      <c r="P1668" t="s">
        <v>206</v>
      </c>
      <c r="Q1668" t="s">
        <v>170</v>
      </c>
      <c r="R1668" t="s">
        <v>155</v>
      </c>
      <c r="T1668" t="s">
        <v>134</v>
      </c>
      <c r="U1668">
        <v>1</v>
      </c>
      <c r="W1668" t="s">
        <v>134</v>
      </c>
      <c r="X1668">
        <v>1</v>
      </c>
      <c r="Y1668" t="s">
        <v>139</v>
      </c>
      <c r="Z1668" t="s">
        <v>528</v>
      </c>
      <c r="AA1668" t="s">
        <v>149</v>
      </c>
      <c r="AB1668" t="s">
        <v>163</v>
      </c>
      <c r="AC1668" t="s">
        <v>173</v>
      </c>
      <c r="AD1668" t="s">
        <v>161</v>
      </c>
      <c r="AE1668" t="s">
        <v>586</v>
      </c>
      <c r="AF1668" t="s">
        <v>21</v>
      </c>
    </row>
    <row r="1669" spans="1:32">
      <c r="A1669" t="s">
        <v>2628</v>
      </c>
      <c r="B1669" s="37">
        <v>39965</v>
      </c>
      <c r="C1669" s="38">
        <v>39965</v>
      </c>
      <c r="D1669" s="38">
        <v>39965</v>
      </c>
      <c r="E1669" s="38">
        <v>39965</v>
      </c>
      <c r="F1669" s="39">
        <v>60</v>
      </c>
      <c r="G1669" t="s">
        <v>9</v>
      </c>
      <c r="H1669" t="s">
        <v>9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194</v>
      </c>
      <c r="O1669" t="s">
        <v>213</v>
      </c>
      <c r="P1669" t="s">
        <v>205</v>
      </c>
      <c r="Q1669" t="s">
        <v>170</v>
      </c>
      <c r="R1669" t="s">
        <v>155</v>
      </c>
      <c r="T1669" t="s">
        <v>134</v>
      </c>
      <c r="U1669">
        <v>1</v>
      </c>
      <c r="W1669" t="s">
        <v>134</v>
      </c>
      <c r="X1669">
        <v>1</v>
      </c>
      <c r="Y1669" t="s">
        <v>139</v>
      </c>
      <c r="Z1669" t="s">
        <v>413</v>
      </c>
      <c r="AA1669" t="s">
        <v>143</v>
      </c>
      <c r="AB1669" t="s">
        <v>163</v>
      </c>
      <c r="AC1669" t="s">
        <v>2629</v>
      </c>
      <c r="AD1669" t="s">
        <v>155</v>
      </c>
      <c r="AE1669" t="s">
        <v>1441</v>
      </c>
      <c r="AF1669" t="s">
        <v>21</v>
      </c>
    </row>
    <row r="1670" spans="1:32">
      <c r="A1670" t="s">
        <v>2630</v>
      </c>
      <c r="B1670" s="37">
        <v>40086</v>
      </c>
      <c r="C1670" s="38">
        <v>40086</v>
      </c>
      <c r="D1670" s="38">
        <v>40084</v>
      </c>
      <c r="E1670" s="38">
        <v>40057</v>
      </c>
      <c r="F1670" s="39">
        <v>181</v>
      </c>
      <c r="G1670" t="s">
        <v>383</v>
      </c>
      <c r="H1670" t="s">
        <v>17</v>
      </c>
      <c r="I1670">
        <v>0</v>
      </c>
      <c r="J1670">
        <v>0</v>
      </c>
      <c r="K1670">
        <v>1</v>
      </c>
      <c r="L1670">
        <v>0</v>
      </c>
      <c r="M1670">
        <v>0</v>
      </c>
      <c r="N1670" t="s">
        <v>195</v>
      </c>
      <c r="O1670" t="s">
        <v>213</v>
      </c>
      <c r="P1670" t="s">
        <v>206</v>
      </c>
      <c r="Q1670" t="s">
        <v>170</v>
      </c>
      <c r="R1670" t="s">
        <v>155</v>
      </c>
      <c r="S1670">
        <v>5</v>
      </c>
      <c r="T1670" t="s">
        <v>135</v>
      </c>
      <c r="U1670">
        <v>0</v>
      </c>
      <c r="V1670">
        <v>3</v>
      </c>
      <c r="W1670" t="s">
        <v>137</v>
      </c>
      <c r="X1670">
        <v>0</v>
      </c>
      <c r="Y1670" t="s">
        <v>139</v>
      </c>
      <c r="Z1670" t="s">
        <v>413</v>
      </c>
      <c r="AA1670" t="s">
        <v>144</v>
      </c>
      <c r="AB1670" t="s">
        <v>162</v>
      </c>
      <c r="AC1670" t="s">
        <v>174</v>
      </c>
      <c r="AD1670" t="s">
        <v>160</v>
      </c>
      <c r="AE1670" t="s">
        <v>484</v>
      </c>
      <c r="AF1670" t="s">
        <v>924</v>
      </c>
    </row>
    <row r="1671" spans="1:32">
      <c r="A1671" t="s">
        <v>2631</v>
      </c>
      <c r="B1671" s="37">
        <v>40077</v>
      </c>
      <c r="C1671" s="38">
        <v>40077</v>
      </c>
      <c r="D1671" s="38">
        <v>40077</v>
      </c>
      <c r="E1671" s="38">
        <v>40057</v>
      </c>
      <c r="F1671" s="39">
        <v>172</v>
      </c>
      <c r="G1671" t="s">
        <v>9</v>
      </c>
      <c r="H1671" t="s">
        <v>9</v>
      </c>
      <c r="I1671">
        <v>1</v>
      </c>
      <c r="J1671">
        <v>0</v>
      </c>
      <c r="K1671">
        <v>0</v>
      </c>
      <c r="L1671">
        <v>0</v>
      </c>
      <c r="M1671">
        <v>1</v>
      </c>
      <c r="N1671" t="s">
        <v>193</v>
      </c>
      <c r="O1671" t="s">
        <v>213</v>
      </c>
      <c r="P1671" t="s">
        <v>204</v>
      </c>
      <c r="Q1671" t="s">
        <v>170</v>
      </c>
      <c r="R1671" t="s">
        <v>155</v>
      </c>
      <c r="S1671">
        <v>5</v>
      </c>
      <c r="T1671" t="s">
        <v>135</v>
      </c>
      <c r="U1671">
        <v>0</v>
      </c>
      <c r="V1671">
        <v>3</v>
      </c>
      <c r="W1671" t="s">
        <v>137</v>
      </c>
      <c r="X1671">
        <v>0</v>
      </c>
      <c r="Y1671" t="s">
        <v>140</v>
      </c>
      <c r="Z1671" t="s">
        <v>185</v>
      </c>
      <c r="AA1671" t="s">
        <v>144</v>
      </c>
      <c r="AB1671" t="s">
        <v>162</v>
      </c>
      <c r="AC1671" t="s">
        <v>174</v>
      </c>
      <c r="AD1671" t="s">
        <v>157</v>
      </c>
      <c r="AE1671" t="s">
        <v>434</v>
      </c>
      <c r="AF1671" t="s">
        <v>2632</v>
      </c>
    </row>
    <row r="1672" spans="1:32">
      <c r="A1672" t="s">
        <v>2633</v>
      </c>
      <c r="B1672" s="37">
        <v>40070</v>
      </c>
      <c r="C1672" s="38">
        <v>40070</v>
      </c>
      <c r="D1672" s="38">
        <v>40070</v>
      </c>
      <c r="E1672" s="38">
        <v>40057</v>
      </c>
      <c r="F1672" s="39">
        <v>165</v>
      </c>
      <c r="G1672" t="s">
        <v>21</v>
      </c>
      <c r="H1672" t="s">
        <v>21</v>
      </c>
      <c r="I1672">
        <v>0</v>
      </c>
      <c r="J1672">
        <v>0</v>
      </c>
      <c r="K1672">
        <v>0</v>
      </c>
      <c r="L1672">
        <v>1</v>
      </c>
      <c r="M1672">
        <v>0</v>
      </c>
      <c r="N1672" t="s">
        <v>197</v>
      </c>
      <c r="O1672" t="s">
        <v>213</v>
      </c>
      <c r="P1672" t="s">
        <v>209</v>
      </c>
      <c r="Q1672" t="s">
        <v>170</v>
      </c>
      <c r="R1672" t="s">
        <v>155</v>
      </c>
      <c r="S1672">
        <v>5</v>
      </c>
      <c r="T1672" t="s">
        <v>135</v>
      </c>
      <c r="U1672">
        <v>0</v>
      </c>
      <c r="V1672">
        <v>3</v>
      </c>
      <c r="W1672" t="s">
        <v>137</v>
      </c>
      <c r="X1672">
        <v>0</v>
      </c>
      <c r="Y1672" t="s">
        <v>139</v>
      </c>
      <c r="Z1672" t="s">
        <v>185</v>
      </c>
      <c r="AA1672" t="s">
        <v>143</v>
      </c>
      <c r="AB1672" t="s">
        <v>162</v>
      </c>
      <c r="AC1672" t="s">
        <v>597</v>
      </c>
      <c r="AD1672" t="s">
        <v>155</v>
      </c>
      <c r="AE1672" t="s">
        <v>127</v>
      </c>
      <c r="AF1672" t="s">
        <v>21</v>
      </c>
    </row>
    <row r="1673" spans="1:32">
      <c r="A1673" t="s">
        <v>2634</v>
      </c>
      <c r="B1673" s="37">
        <v>39908</v>
      </c>
      <c r="C1673" s="38">
        <v>39908</v>
      </c>
      <c r="D1673" s="38">
        <v>39902</v>
      </c>
      <c r="E1673" s="38">
        <v>39904</v>
      </c>
      <c r="F1673" s="39">
        <v>3</v>
      </c>
      <c r="G1673" t="s">
        <v>21</v>
      </c>
      <c r="H1673" t="s">
        <v>21</v>
      </c>
      <c r="I1673">
        <v>0</v>
      </c>
      <c r="J1673">
        <v>0</v>
      </c>
      <c r="K1673">
        <v>0</v>
      </c>
      <c r="L1673">
        <v>1</v>
      </c>
      <c r="M1673">
        <v>0</v>
      </c>
      <c r="N1673" t="s">
        <v>202</v>
      </c>
      <c r="O1673" t="s">
        <v>213</v>
      </c>
      <c r="P1673" t="s">
        <v>211</v>
      </c>
      <c r="Q1673" t="s">
        <v>170</v>
      </c>
      <c r="R1673" t="s">
        <v>155</v>
      </c>
      <c r="T1673" t="s">
        <v>134</v>
      </c>
      <c r="U1673">
        <v>1</v>
      </c>
      <c r="W1673" t="s">
        <v>134</v>
      </c>
      <c r="X1673">
        <v>1</v>
      </c>
      <c r="Y1673" t="s">
        <v>139</v>
      </c>
      <c r="Z1673" t="s">
        <v>188</v>
      </c>
      <c r="AA1673" t="s">
        <v>145</v>
      </c>
      <c r="AB1673" t="s">
        <v>163</v>
      </c>
      <c r="AC1673" t="s">
        <v>173</v>
      </c>
      <c r="AD1673" t="s">
        <v>155</v>
      </c>
      <c r="AE1673" t="s">
        <v>454</v>
      </c>
      <c r="AF1673" t="s">
        <v>21</v>
      </c>
    </row>
    <row r="1674" spans="1:32">
      <c r="A1674" t="s">
        <v>2635</v>
      </c>
      <c r="B1674" s="37">
        <v>39967</v>
      </c>
      <c r="C1674" s="38">
        <v>39967</v>
      </c>
      <c r="D1674" s="38">
        <v>39965</v>
      </c>
      <c r="E1674" s="38">
        <v>39965</v>
      </c>
      <c r="F1674" s="39">
        <v>62</v>
      </c>
      <c r="G1674" t="s">
        <v>21</v>
      </c>
      <c r="H1674" t="s">
        <v>21</v>
      </c>
      <c r="I1674">
        <v>0</v>
      </c>
      <c r="J1674">
        <v>0</v>
      </c>
      <c r="K1674">
        <v>0</v>
      </c>
      <c r="L1674">
        <v>1</v>
      </c>
      <c r="M1674">
        <v>0</v>
      </c>
      <c r="N1674" t="s">
        <v>194</v>
      </c>
      <c r="O1674" t="s">
        <v>213</v>
      </c>
      <c r="P1674" t="s">
        <v>205</v>
      </c>
      <c r="Q1674" t="s">
        <v>170</v>
      </c>
      <c r="R1674" t="s">
        <v>155</v>
      </c>
      <c r="T1674" t="s">
        <v>134</v>
      </c>
      <c r="U1674">
        <v>1</v>
      </c>
      <c r="W1674" t="s">
        <v>134</v>
      </c>
      <c r="X1674">
        <v>1</v>
      </c>
      <c r="Y1674" t="s">
        <v>139</v>
      </c>
      <c r="Z1674" t="s">
        <v>479</v>
      </c>
      <c r="AA1674" t="s">
        <v>142</v>
      </c>
      <c r="AB1674" t="s">
        <v>163</v>
      </c>
      <c r="AC1674" t="s">
        <v>173</v>
      </c>
      <c r="AD1674" t="s">
        <v>155</v>
      </c>
      <c r="AE1674" t="s">
        <v>125</v>
      </c>
      <c r="AF1674" t="s">
        <v>21</v>
      </c>
    </row>
    <row r="1675" spans="1:32">
      <c r="A1675" t="s">
        <v>2636</v>
      </c>
      <c r="B1675" s="37">
        <v>39923</v>
      </c>
      <c r="C1675" s="38">
        <v>39923</v>
      </c>
      <c r="D1675" s="38">
        <v>39923</v>
      </c>
      <c r="E1675" s="38">
        <v>39904</v>
      </c>
      <c r="F1675" s="39">
        <v>18</v>
      </c>
      <c r="G1675" t="s">
        <v>496</v>
      </c>
      <c r="H1675" t="s">
        <v>13</v>
      </c>
      <c r="I1675">
        <v>0</v>
      </c>
      <c r="J1675">
        <v>1</v>
      </c>
      <c r="K1675">
        <v>0</v>
      </c>
      <c r="L1675">
        <v>0</v>
      </c>
      <c r="M1675">
        <v>1</v>
      </c>
      <c r="N1675" t="s">
        <v>199</v>
      </c>
      <c r="O1675" t="s">
        <v>213</v>
      </c>
      <c r="P1675" t="s">
        <v>210</v>
      </c>
      <c r="Q1675" t="s">
        <v>170</v>
      </c>
      <c r="R1675" t="s">
        <v>155</v>
      </c>
      <c r="T1675" t="s">
        <v>134</v>
      </c>
      <c r="U1675">
        <v>1</v>
      </c>
      <c r="W1675" t="s">
        <v>134</v>
      </c>
      <c r="X1675">
        <v>1</v>
      </c>
      <c r="Y1675" t="s">
        <v>139</v>
      </c>
      <c r="Z1675" t="s">
        <v>391</v>
      </c>
      <c r="AA1675" t="s">
        <v>149</v>
      </c>
      <c r="AB1675" t="s">
        <v>163</v>
      </c>
      <c r="AC1675" t="s">
        <v>173</v>
      </c>
      <c r="AD1675" t="s">
        <v>155</v>
      </c>
      <c r="AE1675" t="s">
        <v>439</v>
      </c>
      <c r="AF1675" t="s">
        <v>21</v>
      </c>
    </row>
    <row r="1676" spans="1:32">
      <c r="A1676" t="s">
        <v>2637</v>
      </c>
      <c r="B1676" s="37">
        <v>39961</v>
      </c>
      <c r="C1676" s="38">
        <v>39961</v>
      </c>
      <c r="D1676" s="38">
        <v>39958</v>
      </c>
      <c r="E1676" s="38">
        <v>39934</v>
      </c>
      <c r="F1676" s="39">
        <v>56</v>
      </c>
      <c r="G1676" t="s">
        <v>525</v>
      </c>
      <c r="H1676" t="s">
        <v>17</v>
      </c>
      <c r="I1676">
        <v>0</v>
      </c>
      <c r="J1676">
        <v>0</v>
      </c>
      <c r="K1676">
        <v>1</v>
      </c>
      <c r="L1676">
        <v>0</v>
      </c>
      <c r="M1676">
        <v>0</v>
      </c>
      <c r="N1676" t="s">
        <v>193</v>
      </c>
      <c r="O1676" t="s">
        <v>213</v>
      </c>
      <c r="P1676" t="s">
        <v>204</v>
      </c>
      <c r="Q1676" t="s">
        <v>170</v>
      </c>
      <c r="R1676" t="s">
        <v>155</v>
      </c>
      <c r="T1676" t="s">
        <v>134</v>
      </c>
      <c r="U1676">
        <v>1</v>
      </c>
      <c r="W1676" t="s">
        <v>134</v>
      </c>
      <c r="X1676">
        <v>1</v>
      </c>
      <c r="Y1676" t="s">
        <v>140</v>
      </c>
      <c r="Z1676" t="s">
        <v>185</v>
      </c>
      <c r="AA1676" t="s">
        <v>142</v>
      </c>
      <c r="AB1676" t="s">
        <v>163</v>
      </c>
      <c r="AC1676" t="s">
        <v>1308</v>
      </c>
      <c r="AD1676" t="s">
        <v>161</v>
      </c>
      <c r="AE1676" t="s">
        <v>1840</v>
      </c>
      <c r="AF1676" t="s">
        <v>21</v>
      </c>
    </row>
    <row r="1677" spans="1:32">
      <c r="A1677" t="s">
        <v>2638</v>
      </c>
      <c r="B1677" s="37">
        <v>39996</v>
      </c>
      <c r="C1677" s="38">
        <v>39996</v>
      </c>
      <c r="D1677" s="38">
        <v>39993</v>
      </c>
      <c r="E1677" s="38">
        <v>39995</v>
      </c>
      <c r="F1677" s="39">
        <v>91</v>
      </c>
      <c r="G1677" t="s">
        <v>21</v>
      </c>
      <c r="H1677" t="s">
        <v>21</v>
      </c>
      <c r="I1677">
        <v>0</v>
      </c>
      <c r="J1677">
        <v>0</v>
      </c>
      <c r="K1677">
        <v>0</v>
      </c>
      <c r="L1677">
        <v>1</v>
      </c>
      <c r="M1677">
        <v>0</v>
      </c>
      <c r="N1677" t="s">
        <v>193</v>
      </c>
      <c r="O1677" t="s">
        <v>213</v>
      </c>
      <c r="P1677" t="s">
        <v>204</v>
      </c>
      <c r="Q1677" t="s">
        <v>170</v>
      </c>
      <c r="R1677" t="s">
        <v>155</v>
      </c>
      <c r="T1677" t="s">
        <v>134</v>
      </c>
      <c r="U1677">
        <v>1</v>
      </c>
      <c r="V1677">
        <v>5</v>
      </c>
      <c r="W1677" t="s">
        <v>135</v>
      </c>
      <c r="X1677">
        <v>0</v>
      </c>
      <c r="Y1677" t="s">
        <v>140</v>
      </c>
      <c r="Z1677" t="s">
        <v>413</v>
      </c>
      <c r="AA1677" t="s">
        <v>150</v>
      </c>
      <c r="AB1677" t="s">
        <v>163</v>
      </c>
      <c r="AC1677" t="s">
        <v>173</v>
      </c>
      <c r="AD1677" t="s">
        <v>155</v>
      </c>
      <c r="AE1677" t="s">
        <v>124</v>
      </c>
      <c r="AF1677" t="s">
        <v>21</v>
      </c>
    </row>
    <row r="1678" spans="1:32">
      <c r="A1678" t="s">
        <v>2639</v>
      </c>
      <c r="B1678" s="37">
        <v>40044</v>
      </c>
      <c r="C1678" s="38">
        <v>40044</v>
      </c>
      <c r="D1678" s="38">
        <v>40042</v>
      </c>
      <c r="E1678" s="38">
        <v>40026</v>
      </c>
      <c r="F1678" s="39">
        <v>139</v>
      </c>
      <c r="G1678" t="s">
        <v>21</v>
      </c>
      <c r="H1678" t="s">
        <v>21</v>
      </c>
      <c r="I1678">
        <v>0</v>
      </c>
      <c r="J1678">
        <v>0</v>
      </c>
      <c r="K1678">
        <v>0</v>
      </c>
      <c r="L1678">
        <v>1</v>
      </c>
      <c r="M1678">
        <v>0</v>
      </c>
      <c r="N1678" t="s">
        <v>196</v>
      </c>
      <c r="O1678" t="s">
        <v>213</v>
      </c>
      <c r="P1678" t="s">
        <v>207</v>
      </c>
      <c r="Q1678" t="s">
        <v>170</v>
      </c>
      <c r="R1678" t="s">
        <v>155</v>
      </c>
      <c r="S1678">
        <v>5</v>
      </c>
      <c r="T1678" t="s">
        <v>135</v>
      </c>
      <c r="U1678">
        <v>0</v>
      </c>
      <c r="V1678">
        <v>5</v>
      </c>
      <c r="W1678" t="s">
        <v>135</v>
      </c>
      <c r="X1678">
        <v>0</v>
      </c>
      <c r="Y1678" t="s">
        <v>139</v>
      </c>
      <c r="Z1678" t="s">
        <v>185</v>
      </c>
      <c r="AA1678" t="s">
        <v>144</v>
      </c>
      <c r="AB1678" t="s">
        <v>162</v>
      </c>
      <c r="AC1678" t="s">
        <v>176</v>
      </c>
      <c r="AD1678" t="s">
        <v>155</v>
      </c>
      <c r="AE1678" t="s">
        <v>129</v>
      </c>
      <c r="AF1678" t="s">
        <v>21</v>
      </c>
    </row>
    <row r="1679" spans="1:32">
      <c r="A1679" t="s">
        <v>2640</v>
      </c>
      <c r="B1679" s="37">
        <v>39993</v>
      </c>
      <c r="C1679" s="38">
        <v>39993</v>
      </c>
      <c r="D1679" s="38">
        <v>39993</v>
      </c>
      <c r="E1679" s="38">
        <v>39965</v>
      </c>
      <c r="F1679" s="39">
        <v>88</v>
      </c>
      <c r="G1679" t="s">
        <v>9</v>
      </c>
      <c r="H1679" t="s">
        <v>9</v>
      </c>
      <c r="I1679">
        <v>1</v>
      </c>
      <c r="J1679">
        <v>0</v>
      </c>
      <c r="K1679">
        <v>0</v>
      </c>
      <c r="L1679">
        <v>0</v>
      </c>
      <c r="M1679">
        <v>1</v>
      </c>
      <c r="N1679" t="s">
        <v>195</v>
      </c>
      <c r="O1679" t="s">
        <v>213</v>
      </c>
      <c r="P1679" t="s">
        <v>206</v>
      </c>
      <c r="Q1679" t="s">
        <v>170</v>
      </c>
      <c r="R1679" t="s">
        <v>155</v>
      </c>
      <c r="T1679" t="s">
        <v>134</v>
      </c>
      <c r="U1679">
        <v>1</v>
      </c>
      <c r="V1679">
        <v>3</v>
      </c>
      <c r="W1679" t="s">
        <v>137</v>
      </c>
      <c r="X1679">
        <v>0</v>
      </c>
      <c r="Y1679" t="s">
        <v>139</v>
      </c>
      <c r="Z1679" t="s">
        <v>185</v>
      </c>
      <c r="AA1679" t="s">
        <v>148</v>
      </c>
      <c r="AB1679" t="s">
        <v>163</v>
      </c>
      <c r="AC1679" t="s">
        <v>797</v>
      </c>
      <c r="AD1679" t="s">
        <v>155</v>
      </c>
      <c r="AE1679" t="s">
        <v>124</v>
      </c>
      <c r="AF1679" t="s">
        <v>21</v>
      </c>
    </row>
    <row r="1680" spans="1:32">
      <c r="A1680" t="s">
        <v>2641</v>
      </c>
      <c r="B1680" s="37">
        <v>40026</v>
      </c>
      <c r="C1680" s="38">
        <v>40026</v>
      </c>
      <c r="D1680" s="38">
        <v>40021</v>
      </c>
      <c r="E1680" s="38">
        <v>40026</v>
      </c>
      <c r="F1680" s="39">
        <v>121</v>
      </c>
      <c r="G1680" t="s">
        <v>9</v>
      </c>
      <c r="H1680" t="s">
        <v>9</v>
      </c>
      <c r="I1680">
        <v>1</v>
      </c>
      <c r="J1680">
        <v>0</v>
      </c>
      <c r="K1680">
        <v>0</v>
      </c>
      <c r="L1680">
        <v>0</v>
      </c>
      <c r="M1680">
        <v>1</v>
      </c>
      <c r="N1680" t="s">
        <v>197</v>
      </c>
      <c r="O1680" t="s">
        <v>213</v>
      </c>
      <c r="P1680" t="s">
        <v>209</v>
      </c>
      <c r="Q1680" t="s">
        <v>170</v>
      </c>
      <c r="R1680" t="s">
        <v>155</v>
      </c>
      <c r="S1680">
        <v>5</v>
      </c>
      <c r="T1680" t="s">
        <v>135</v>
      </c>
      <c r="U1680">
        <v>0</v>
      </c>
      <c r="V1680">
        <v>3</v>
      </c>
      <c r="W1680" t="s">
        <v>137</v>
      </c>
      <c r="X1680">
        <v>0</v>
      </c>
      <c r="Y1680" t="s">
        <v>139</v>
      </c>
      <c r="Z1680" t="s">
        <v>185</v>
      </c>
      <c r="AA1680" t="s">
        <v>150</v>
      </c>
      <c r="AB1680" t="s">
        <v>163</v>
      </c>
      <c r="AC1680" t="s">
        <v>21</v>
      </c>
      <c r="AD1680" t="s">
        <v>155</v>
      </c>
      <c r="AE1680" t="s">
        <v>128</v>
      </c>
      <c r="AF1680" t="s">
        <v>21</v>
      </c>
    </row>
    <row r="1681" spans="1:32">
      <c r="A1681" t="s">
        <v>2642</v>
      </c>
      <c r="B1681" s="37">
        <v>40032</v>
      </c>
      <c r="C1681" s="38">
        <v>40032</v>
      </c>
      <c r="D1681" s="38">
        <v>40028</v>
      </c>
      <c r="E1681" s="38">
        <v>40026</v>
      </c>
      <c r="F1681" s="39">
        <v>127</v>
      </c>
      <c r="G1681" t="s">
        <v>21</v>
      </c>
      <c r="H1681" t="s">
        <v>21</v>
      </c>
      <c r="I1681">
        <v>0</v>
      </c>
      <c r="J1681">
        <v>0</v>
      </c>
      <c r="K1681">
        <v>0</v>
      </c>
      <c r="L1681">
        <v>1</v>
      </c>
      <c r="M1681">
        <v>0</v>
      </c>
      <c r="N1681" t="s">
        <v>193</v>
      </c>
      <c r="O1681" t="s">
        <v>213</v>
      </c>
      <c r="P1681" t="s">
        <v>204</v>
      </c>
      <c r="Q1681" t="s">
        <v>170</v>
      </c>
      <c r="R1681" t="s">
        <v>155</v>
      </c>
      <c r="S1681">
        <v>5</v>
      </c>
      <c r="T1681" t="s">
        <v>135</v>
      </c>
      <c r="U1681">
        <v>0</v>
      </c>
      <c r="V1681">
        <v>4</v>
      </c>
      <c r="W1681" t="s">
        <v>137</v>
      </c>
      <c r="X1681">
        <v>0</v>
      </c>
      <c r="Y1681" t="s">
        <v>140</v>
      </c>
      <c r="Z1681" t="s">
        <v>528</v>
      </c>
      <c r="AA1681" t="s">
        <v>146</v>
      </c>
      <c r="AB1681" t="s">
        <v>163</v>
      </c>
      <c r="AC1681" t="s">
        <v>902</v>
      </c>
      <c r="AD1681" t="s">
        <v>155</v>
      </c>
      <c r="AE1681" t="s">
        <v>125</v>
      </c>
      <c r="AF1681" t="s">
        <v>21</v>
      </c>
    </row>
    <row r="1682" spans="1:32">
      <c r="A1682" t="s">
        <v>2643</v>
      </c>
      <c r="B1682" s="37">
        <v>39997</v>
      </c>
      <c r="C1682" s="38">
        <v>39997</v>
      </c>
      <c r="D1682" s="38">
        <v>39993</v>
      </c>
      <c r="E1682" s="38">
        <v>39995</v>
      </c>
      <c r="F1682" s="39">
        <v>92</v>
      </c>
      <c r="G1682" t="s">
        <v>21</v>
      </c>
      <c r="H1682" t="s">
        <v>21</v>
      </c>
      <c r="I1682">
        <v>0</v>
      </c>
      <c r="J1682">
        <v>0</v>
      </c>
      <c r="K1682">
        <v>0</v>
      </c>
      <c r="L1682">
        <v>1</v>
      </c>
      <c r="M1682">
        <v>0</v>
      </c>
      <c r="N1682" t="s">
        <v>193</v>
      </c>
      <c r="O1682" t="s">
        <v>213</v>
      </c>
      <c r="P1682" t="s">
        <v>204</v>
      </c>
      <c r="Q1682" t="s">
        <v>170</v>
      </c>
      <c r="R1682" t="s">
        <v>155</v>
      </c>
      <c r="T1682" t="s">
        <v>134</v>
      </c>
      <c r="U1682">
        <v>1</v>
      </c>
      <c r="V1682">
        <v>3</v>
      </c>
      <c r="W1682" t="s">
        <v>137</v>
      </c>
      <c r="X1682">
        <v>0</v>
      </c>
      <c r="Y1682" t="s">
        <v>140</v>
      </c>
      <c r="Z1682" t="s">
        <v>185</v>
      </c>
      <c r="AA1682" t="s">
        <v>142</v>
      </c>
      <c r="AB1682" t="s">
        <v>162</v>
      </c>
      <c r="AC1682" t="s">
        <v>174</v>
      </c>
      <c r="AD1682" t="s">
        <v>156</v>
      </c>
      <c r="AE1682" t="s">
        <v>120</v>
      </c>
      <c r="AF1682" t="s">
        <v>1932</v>
      </c>
    </row>
    <row r="1683" spans="1:32">
      <c r="A1683" t="s">
        <v>2644</v>
      </c>
      <c r="B1683" s="37">
        <v>39918</v>
      </c>
      <c r="C1683" s="38">
        <v>39918</v>
      </c>
      <c r="D1683" s="38">
        <v>39916</v>
      </c>
      <c r="E1683" s="38">
        <v>39904</v>
      </c>
      <c r="F1683" s="39">
        <v>13</v>
      </c>
      <c r="G1683" t="s">
        <v>380</v>
      </c>
      <c r="H1683" t="s">
        <v>17</v>
      </c>
      <c r="I1683">
        <v>0</v>
      </c>
      <c r="J1683">
        <v>0</v>
      </c>
      <c r="K1683">
        <v>1</v>
      </c>
      <c r="L1683">
        <v>0</v>
      </c>
      <c r="M1683">
        <v>0</v>
      </c>
      <c r="N1683" t="s">
        <v>200</v>
      </c>
      <c r="O1683" t="s">
        <v>214</v>
      </c>
      <c r="P1683" t="s">
        <v>208</v>
      </c>
      <c r="Q1683" t="s">
        <v>170</v>
      </c>
      <c r="R1683" t="s">
        <v>155</v>
      </c>
      <c r="T1683" t="s">
        <v>134</v>
      </c>
      <c r="U1683">
        <v>1</v>
      </c>
      <c r="W1683" t="s">
        <v>134</v>
      </c>
      <c r="X1683">
        <v>1</v>
      </c>
      <c r="Y1683" t="s">
        <v>139</v>
      </c>
      <c r="Z1683" t="s">
        <v>479</v>
      </c>
      <c r="AA1683" t="s">
        <v>149</v>
      </c>
      <c r="AB1683" t="s">
        <v>162</v>
      </c>
      <c r="AC1683" t="s">
        <v>174</v>
      </c>
      <c r="AD1683" t="s">
        <v>157</v>
      </c>
      <c r="AE1683" t="s">
        <v>130</v>
      </c>
      <c r="AF1683" t="s">
        <v>437</v>
      </c>
    </row>
    <row r="1684" spans="1:32">
      <c r="A1684" t="s">
        <v>2645</v>
      </c>
      <c r="B1684" s="37">
        <v>40040</v>
      </c>
      <c r="C1684" s="38">
        <v>40040</v>
      </c>
      <c r="D1684" s="38">
        <v>40035</v>
      </c>
      <c r="E1684" s="38">
        <v>40026</v>
      </c>
      <c r="F1684" s="39">
        <v>135</v>
      </c>
      <c r="G1684" t="s">
        <v>383</v>
      </c>
      <c r="H1684" t="s">
        <v>17</v>
      </c>
      <c r="I1684">
        <v>0</v>
      </c>
      <c r="J1684">
        <v>0</v>
      </c>
      <c r="K1684">
        <v>1</v>
      </c>
      <c r="L1684">
        <v>0</v>
      </c>
      <c r="M1684">
        <v>0</v>
      </c>
      <c r="N1684" t="s">
        <v>196</v>
      </c>
      <c r="O1684" t="s">
        <v>213</v>
      </c>
      <c r="P1684" t="s">
        <v>207</v>
      </c>
      <c r="Q1684" t="s">
        <v>170</v>
      </c>
      <c r="R1684" t="s">
        <v>155</v>
      </c>
      <c r="S1684">
        <v>1</v>
      </c>
      <c r="T1684" t="s">
        <v>136</v>
      </c>
      <c r="U1684">
        <v>0</v>
      </c>
      <c r="V1684">
        <v>5</v>
      </c>
      <c r="W1684" t="s">
        <v>135</v>
      </c>
      <c r="X1684">
        <v>0</v>
      </c>
      <c r="Y1684" t="s">
        <v>139</v>
      </c>
      <c r="Z1684" t="s">
        <v>188</v>
      </c>
      <c r="AA1684" t="s">
        <v>144</v>
      </c>
      <c r="AB1684" t="s">
        <v>162</v>
      </c>
      <c r="AC1684" t="s">
        <v>174</v>
      </c>
      <c r="AD1684" t="s">
        <v>157</v>
      </c>
      <c r="AE1684" t="s">
        <v>434</v>
      </c>
      <c r="AF1684" t="s">
        <v>435</v>
      </c>
    </row>
    <row r="1685" spans="1:32">
      <c r="A1685" t="s">
        <v>2646</v>
      </c>
      <c r="B1685" s="37">
        <v>40031</v>
      </c>
      <c r="C1685" s="38">
        <v>40031</v>
      </c>
      <c r="D1685" s="38">
        <v>40028</v>
      </c>
      <c r="E1685" s="38">
        <v>40026</v>
      </c>
      <c r="F1685" s="39">
        <v>126</v>
      </c>
      <c r="G1685" t="s">
        <v>21</v>
      </c>
      <c r="H1685" t="s">
        <v>21</v>
      </c>
      <c r="I1685">
        <v>0</v>
      </c>
      <c r="J1685">
        <v>0</v>
      </c>
      <c r="K1685">
        <v>0</v>
      </c>
      <c r="L1685">
        <v>1</v>
      </c>
      <c r="M1685">
        <v>0</v>
      </c>
      <c r="N1685" t="s">
        <v>193</v>
      </c>
      <c r="O1685" t="s">
        <v>213</v>
      </c>
      <c r="P1685" t="s">
        <v>204</v>
      </c>
      <c r="Q1685" t="s">
        <v>170</v>
      </c>
      <c r="R1685" t="s">
        <v>155</v>
      </c>
      <c r="S1685">
        <v>5</v>
      </c>
      <c r="T1685" t="s">
        <v>135</v>
      </c>
      <c r="U1685">
        <v>0</v>
      </c>
      <c r="V1685">
        <v>5</v>
      </c>
      <c r="W1685" t="s">
        <v>135</v>
      </c>
      <c r="X1685">
        <v>0</v>
      </c>
      <c r="Y1685" t="s">
        <v>140</v>
      </c>
      <c r="Z1685" t="s">
        <v>191</v>
      </c>
      <c r="AA1685" t="s">
        <v>142</v>
      </c>
      <c r="AB1685" t="s">
        <v>162</v>
      </c>
      <c r="AC1685" t="s">
        <v>573</v>
      </c>
      <c r="AD1685" t="s">
        <v>155</v>
      </c>
      <c r="AE1685" t="s">
        <v>127</v>
      </c>
      <c r="AF1685" t="s">
        <v>21</v>
      </c>
    </row>
    <row r="1686" spans="1:32">
      <c r="A1686" t="s">
        <v>2647</v>
      </c>
      <c r="B1686" s="37">
        <v>39984</v>
      </c>
      <c r="C1686" s="38">
        <v>39984</v>
      </c>
      <c r="D1686" s="38">
        <v>39979</v>
      </c>
      <c r="E1686" s="38">
        <v>39965</v>
      </c>
      <c r="F1686" s="39">
        <v>79</v>
      </c>
      <c r="G1686" t="s">
        <v>21</v>
      </c>
      <c r="H1686" t="s">
        <v>21</v>
      </c>
      <c r="I1686">
        <v>0</v>
      </c>
      <c r="J1686">
        <v>0</v>
      </c>
      <c r="K1686">
        <v>0</v>
      </c>
      <c r="L1686">
        <v>1</v>
      </c>
      <c r="M1686">
        <v>0</v>
      </c>
      <c r="N1686" t="s">
        <v>193</v>
      </c>
      <c r="O1686" t="s">
        <v>213</v>
      </c>
      <c r="P1686" t="s">
        <v>204</v>
      </c>
      <c r="Q1686" t="s">
        <v>170</v>
      </c>
      <c r="R1686" t="s">
        <v>155</v>
      </c>
      <c r="T1686" t="s">
        <v>134</v>
      </c>
      <c r="U1686">
        <v>1</v>
      </c>
      <c r="W1686" t="s">
        <v>134</v>
      </c>
      <c r="X1686">
        <v>1</v>
      </c>
      <c r="Y1686" t="s">
        <v>140</v>
      </c>
      <c r="Z1686" t="s">
        <v>181</v>
      </c>
      <c r="AA1686" t="s">
        <v>143</v>
      </c>
      <c r="AB1686" t="s">
        <v>162</v>
      </c>
      <c r="AC1686" t="s">
        <v>174</v>
      </c>
      <c r="AD1686" t="s">
        <v>157</v>
      </c>
      <c r="AE1686" t="s">
        <v>127</v>
      </c>
      <c r="AF1686" t="s">
        <v>153</v>
      </c>
    </row>
    <row r="1687" spans="1:32">
      <c r="A1687" t="s">
        <v>2648</v>
      </c>
      <c r="B1687" s="37">
        <v>39984</v>
      </c>
      <c r="C1687" s="38">
        <v>39984</v>
      </c>
      <c r="D1687" s="38">
        <v>39979</v>
      </c>
      <c r="E1687" s="38">
        <v>39965</v>
      </c>
      <c r="F1687" s="39">
        <v>79</v>
      </c>
      <c r="G1687" t="s">
        <v>21</v>
      </c>
      <c r="H1687" t="s">
        <v>21</v>
      </c>
      <c r="I1687">
        <v>0</v>
      </c>
      <c r="J1687">
        <v>0</v>
      </c>
      <c r="K1687">
        <v>0</v>
      </c>
      <c r="L1687">
        <v>1</v>
      </c>
      <c r="M1687">
        <v>0</v>
      </c>
      <c r="N1687" t="s">
        <v>193</v>
      </c>
      <c r="O1687" t="s">
        <v>213</v>
      </c>
      <c r="P1687" t="s">
        <v>204</v>
      </c>
      <c r="Q1687" t="s">
        <v>170</v>
      </c>
      <c r="R1687" t="s">
        <v>155</v>
      </c>
      <c r="T1687" t="s">
        <v>134</v>
      </c>
      <c r="U1687">
        <v>1</v>
      </c>
      <c r="W1687" t="s">
        <v>134</v>
      </c>
      <c r="X1687">
        <v>1</v>
      </c>
      <c r="Y1687" t="s">
        <v>140</v>
      </c>
      <c r="Z1687" t="s">
        <v>181</v>
      </c>
      <c r="AA1687" t="s">
        <v>142</v>
      </c>
      <c r="AB1687" t="s">
        <v>162</v>
      </c>
      <c r="AC1687" t="s">
        <v>622</v>
      </c>
      <c r="AD1687" t="s">
        <v>155</v>
      </c>
      <c r="AE1687" t="s">
        <v>130</v>
      </c>
      <c r="AF1687" t="s">
        <v>21</v>
      </c>
    </row>
    <row r="1688" spans="1:32">
      <c r="A1688" t="s">
        <v>2649</v>
      </c>
      <c r="B1688" s="37">
        <v>40076</v>
      </c>
      <c r="C1688" s="38">
        <v>40076</v>
      </c>
      <c r="D1688" s="38">
        <v>40070</v>
      </c>
      <c r="E1688" s="38">
        <v>40057</v>
      </c>
      <c r="F1688" s="39">
        <v>171</v>
      </c>
      <c r="G1688" t="s">
        <v>21</v>
      </c>
      <c r="H1688" t="s">
        <v>21</v>
      </c>
      <c r="I1688">
        <v>0</v>
      </c>
      <c r="J1688">
        <v>0</v>
      </c>
      <c r="K1688">
        <v>0</v>
      </c>
      <c r="L1688">
        <v>1</v>
      </c>
      <c r="M1688">
        <v>0</v>
      </c>
      <c r="N1688" t="s">
        <v>544</v>
      </c>
      <c r="O1688" t="s">
        <v>213</v>
      </c>
      <c r="P1688" t="s">
        <v>545</v>
      </c>
      <c r="Q1688" t="s">
        <v>170</v>
      </c>
      <c r="R1688" t="s">
        <v>155</v>
      </c>
      <c r="S1688">
        <v>3</v>
      </c>
      <c r="T1688" t="s">
        <v>137</v>
      </c>
      <c r="U1688">
        <v>0</v>
      </c>
      <c r="V1688">
        <v>3</v>
      </c>
      <c r="W1688" t="s">
        <v>137</v>
      </c>
      <c r="X1688">
        <v>0</v>
      </c>
      <c r="Y1688" t="s">
        <v>139</v>
      </c>
      <c r="Z1688" t="s">
        <v>384</v>
      </c>
      <c r="AA1688" t="s">
        <v>144</v>
      </c>
      <c r="AB1688" t="s">
        <v>163</v>
      </c>
      <c r="AC1688" t="s">
        <v>173</v>
      </c>
      <c r="AD1688" t="s">
        <v>155</v>
      </c>
      <c r="AE1688" t="s">
        <v>128</v>
      </c>
      <c r="AF1688" t="s">
        <v>21</v>
      </c>
    </row>
    <row r="1689" spans="1:32">
      <c r="A1689" t="s">
        <v>2650</v>
      </c>
      <c r="B1689" s="37">
        <v>40084</v>
      </c>
      <c r="C1689" s="38">
        <v>40084</v>
      </c>
      <c r="D1689" s="38">
        <v>40084</v>
      </c>
      <c r="E1689" s="38">
        <v>40057</v>
      </c>
      <c r="F1689" s="39">
        <v>179</v>
      </c>
      <c r="G1689" t="s">
        <v>21</v>
      </c>
      <c r="H1689" t="s">
        <v>21</v>
      </c>
      <c r="I1689">
        <v>0</v>
      </c>
      <c r="J1689">
        <v>0</v>
      </c>
      <c r="K1689">
        <v>0</v>
      </c>
      <c r="L1689">
        <v>1</v>
      </c>
      <c r="M1689">
        <v>0</v>
      </c>
      <c r="N1689" t="s">
        <v>196</v>
      </c>
      <c r="O1689" t="s">
        <v>213</v>
      </c>
      <c r="P1689" t="s">
        <v>207</v>
      </c>
      <c r="Q1689" t="s">
        <v>170</v>
      </c>
      <c r="R1689" t="s">
        <v>155</v>
      </c>
      <c r="S1689">
        <v>5</v>
      </c>
      <c r="T1689" t="s">
        <v>135</v>
      </c>
      <c r="U1689">
        <v>0</v>
      </c>
      <c r="V1689">
        <v>5</v>
      </c>
      <c r="W1689" t="s">
        <v>135</v>
      </c>
      <c r="X1689">
        <v>0</v>
      </c>
      <c r="Y1689" t="s">
        <v>139</v>
      </c>
      <c r="Z1689" t="s">
        <v>433</v>
      </c>
      <c r="AA1689" t="s">
        <v>142</v>
      </c>
      <c r="AB1689" t="s">
        <v>162</v>
      </c>
      <c r="AC1689" t="s">
        <v>174</v>
      </c>
      <c r="AD1689" t="s">
        <v>157</v>
      </c>
      <c r="AE1689" t="s">
        <v>434</v>
      </c>
      <c r="AF1689" t="s">
        <v>435</v>
      </c>
    </row>
    <row r="1690" spans="1:32">
      <c r="A1690" t="s">
        <v>2651</v>
      </c>
      <c r="B1690" s="37">
        <v>39991</v>
      </c>
      <c r="C1690" s="38">
        <v>39991</v>
      </c>
      <c r="D1690" s="38">
        <v>39986</v>
      </c>
      <c r="E1690" s="38">
        <v>39965</v>
      </c>
      <c r="F1690" s="39">
        <v>86</v>
      </c>
      <c r="G1690" t="s">
        <v>21</v>
      </c>
      <c r="H1690" t="s">
        <v>21</v>
      </c>
      <c r="I1690">
        <v>0</v>
      </c>
      <c r="J1690">
        <v>0</v>
      </c>
      <c r="K1690">
        <v>0</v>
      </c>
      <c r="L1690">
        <v>1</v>
      </c>
      <c r="M1690">
        <v>0</v>
      </c>
      <c r="N1690" t="s">
        <v>195</v>
      </c>
      <c r="O1690" t="s">
        <v>213</v>
      </c>
      <c r="P1690" t="s">
        <v>206</v>
      </c>
      <c r="Q1690" t="s">
        <v>170</v>
      </c>
      <c r="R1690" t="s">
        <v>155</v>
      </c>
      <c r="T1690" t="s">
        <v>134</v>
      </c>
      <c r="U1690">
        <v>1</v>
      </c>
      <c r="V1690">
        <v>3</v>
      </c>
      <c r="W1690" t="s">
        <v>137</v>
      </c>
      <c r="X1690">
        <v>0</v>
      </c>
      <c r="Y1690" t="s">
        <v>139</v>
      </c>
      <c r="Z1690" t="s">
        <v>576</v>
      </c>
      <c r="AA1690" t="s">
        <v>144</v>
      </c>
      <c r="AB1690" t="s">
        <v>165</v>
      </c>
      <c r="AC1690" t="s">
        <v>589</v>
      </c>
      <c r="AD1690" t="s">
        <v>158</v>
      </c>
      <c r="AE1690" t="s">
        <v>122</v>
      </c>
      <c r="AF1690" t="s">
        <v>21</v>
      </c>
    </row>
    <row r="1691" spans="1:32">
      <c r="A1691" t="s">
        <v>2652</v>
      </c>
      <c r="B1691" s="37">
        <v>39909</v>
      </c>
      <c r="C1691" s="38">
        <v>39909</v>
      </c>
      <c r="D1691" s="38">
        <v>39909</v>
      </c>
      <c r="E1691" s="38">
        <v>39904</v>
      </c>
      <c r="F1691" s="39">
        <v>4</v>
      </c>
      <c r="G1691" t="s">
        <v>21</v>
      </c>
      <c r="H1691" t="s">
        <v>21</v>
      </c>
      <c r="I1691">
        <v>0</v>
      </c>
      <c r="J1691">
        <v>0</v>
      </c>
      <c r="K1691">
        <v>0</v>
      </c>
      <c r="L1691">
        <v>1</v>
      </c>
      <c r="M1691">
        <v>0</v>
      </c>
      <c r="N1691" t="s">
        <v>200</v>
      </c>
      <c r="O1691" t="s">
        <v>214</v>
      </c>
      <c r="P1691" t="s">
        <v>208</v>
      </c>
      <c r="Q1691" t="s">
        <v>170</v>
      </c>
      <c r="R1691" t="s">
        <v>155</v>
      </c>
      <c r="T1691" t="s">
        <v>134</v>
      </c>
      <c r="U1691">
        <v>1</v>
      </c>
      <c r="W1691" t="s">
        <v>134</v>
      </c>
      <c r="X1691">
        <v>1</v>
      </c>
      <c r="Y1691" t="s">
        <v>139</v>
      </c>
      <c r="Z1691" t="s">
        <v>191</v>
      </c>
      <c r="AA1691" t="s">
        <v>148</v>
      </c>
      <c r="AB1691" t="s">
        <v>162</v>
      </c>
      <c r="AC1691" t="s">
        <v>2438</v>
      </c>
      <c r="AD1691" t="s">
        <v>160</v>
      </c>
      <c r="AE1691" t="s">
        <v>392</v>
      </c>
      <c r="AF1691" t="s">
        <v>393</v>
      </c>
    </row>
    <row r="1692" spans="1:32">
      <c r="A1692" t="s">
        <v>2653</v>
      </c>
      <c r="B1692" s="37">
        <v>40028</v>
      </c>
      <c r="C1692" s="38">
        <v>40028</v>
      </c>
      <c r="D1692" s="38">
        <v>40028</v>
      </c>
      <c r="E1692" s="38">
        <v>40026</v>
      </c>
      <c r="F1692" s="39">
        <v>123</v>
      </c>
      <c r="G1692" t="s">
        <v>496</v>
      </c>
      <c r="H1692" t="s">
        <v>13</v>
      </c>
      <c r="I1692">
        <v>0</v>
      </c>
      <c r="J1692">
        <v>1</v>
      </c>
      <c r="K1692">
        <v>0</v>
      </c>
      <c r="L1692">
        <v>0</v>
      </c>
      <c r="M1692">
        <v>1</v>
      </c>
      <c r="N1692" t="s">
        <v>196</v>
      </c>
      <c r="O1692" t="s">
        <v>213</v>
      </c>
      <c r="P1692" t="s">
        <v>207</v>
      </c>
      <c r="Q1692" t="s">
        <v>170</v>
      </c>
      <c r="R1692" t="s">
        <v>155</v>
      </c>
      <c r="S1692">
        <v>2</v>
      </c>
      <c r="T1692" t="s">
        <v>136</v>
      </c>
      <c r="U1692">
        <v>0</v>
      </c>
      <c r="V1692">
        <v>3</v>
      </c>
      <c r="W1692" t="s">
        <v>137</v>
      </c>
      <c r="X1692">
        <v>0</v>
      </c>
      <c r="Y1692" t="s">
        <v>139</v>
      </c>
      <c r="Z1692" t="s">
        <v>185</v>
      </c>
      <c r="AA1692" t="s">
        <v>145</v>
      </c>
      <c r="AB1692" t="s">
        <v>162</v>
      </c>
      <c r="AC1692" t="s">
        <v>175</v>
      </c>
      <c r="AD1692" t="s">
        <v>155</v>
      </c>
      <c r="AE1692" t="s">
        <v>129</v>
      </c>
      <c r="AF1692" t="s">
        <v>21</v>
      </c>
    </row>
    <row r="1693" spans="1:32">
      <c r="A1693" t="s">
        <v>2654</v>
      </c>
      <c r="B1693" s="37">
        <v>40038</v>
      </c>
      <c r="C1693" s="38">
        <v>40038</v>
      </c>
      <c r="D1693" s="38">
        <v>40035</v>
      </c>
      <c r="E1693" s="38">
        <v>40026</v>
      </c>
      <c r="F1693" s="39">
        <v>133</v>
      </c>
      <c r="G1693" t="s">
        <v>21</v>
      </c>
      <c r="H1693" t="s">
        <v>21</v>
      </c>
      <c r="I1693">
        <v>0</v>
      </c>
      <c r="J1693">
        <v>0</v>
      </c>
      <c r="K1693">
        <v>0</v>
      </c>
      <c r="L1693">
        <v>1</v>
      </c>
      <c r="M1693">
        <v>0</v>
      </c>
      <c r="N1693" t="s">
        <v>196</v>
      </c>
      <c r="O1693" t="s">
        <v>213</v>
      </c>
      <c r="P1693" t="s">
        <v>207</v>
      </c>
      <c r="Q1693" t="s">
        <v>170</v>
      </c>
      <c r="R1693" t="s">
        <v>155</v>
      </c>
      <c r="S1693">
        <v>5</v>
      </c>
      <c r="T1693" t="s">
        <v>135</v>
      </c>
      <c r="U1693">
        <v>0</v>
      </c>
      <c r="V1693">
        <v>4</v>
      </c>
      <c r="W1693" t="s">
        <v>137</v>
      </c>
      <c r="X1693">
        <v>0</v>
      </c>
      <c r="Y1693" t="s">
        <v>139</v>
      </c>
      <c r="Z1693" t="s">
        <v>528</v>
      </c>
      <c r="AA1693" t="s">
        <v>144</v>
      </c>
      <c r="AB1693" t="s">
        <v>162</v>
      </c>
      <c r="AC1693" t="s">
        <v>1728</v>
      </c>
      <c r="AD1693" t="s">
        <v>157</v>
      </c>
      <c r="AE1693" t="s">
        <v>127</v>
      </c>
      <c r="AF1693" t="s">
        <v>153</v>
      </c>
    </row>
    <row r="1694" spans="1:32">
      <c r="A1694" t="s">
        <v>2655</v>
      </c>
      <c r="B1694" s="37">
        <v>39968</v>
      </c>
      <c r="C1694" s="38">
        <v>39968</v>
      </c>
      <c r="D1694" s="38">
        <v>39965</v>
      </c>
      <c r="E1694" s="38">
        <v>39965</v>
      </c>
      <c r="F1694" s="39">
        <v>63</v>
      </c>
      <c r="G1694" t="s">
        <v>21</v>
      </c>
      <c r="H1694" t="s">
        <v>21</v>
      </c>
      <c r="I1694">
        <v>0</v>
      </c>
      <c r="J1694">
        <v>0</v>
      </c>
      <c r="K1694">
        <v>0</v>
      </c>
      <c r="L1694">
        <v>1</v>
      </c>
      <c r="M1694">
        <v>0</v>
      </c>
      <c r="N1694" t="s">
        <v>193</v>
      </c>
      <c r="O1694" t="s">
        <v>213</v>
      </c>
      <c r="P1694" t="s">
        <v>204</v>
      </c>
      <c r="Q1694" t="s">
        <v>170</v>
      </c>
      <c r="R1694" t="s">
        <v>155</v>
      </c>
      <c r="T1694" t="s">
        <v>134</v>
      </c>
      <c r="U1694">
        <v>1</v>
      </c>
      <c r="W1694" t="s">
        <v>134</v>
      </c>
      <c r="X1694">
        <v>1</v>
      </c>
      <c r="Y1694" t="s">
        <v>140</v>
      </c>
      <c r="Z1694" t="s">
        <v>185</v>
      </c>
      <c r="AA1694" t="s">
        <v>144</v>
      </c>
      <c r="AB1694" t="s">
        <v>162</v>
      </c>
      <c r="AC1694" t="s">
        <v>174</v>
      </c>
      <c r="AD1694" t="s">
        <v>157</v>
      </c>
      <c r="AE1694" t="s">
        <v>130</v>
      </c>
      <c r="AF1694" t="s">
        <v>437</v>
      </c>
    </row>
    <row r="1695" spans="1:32">
      <c r="A1695" t="s">
        <v>2656</v>
      </c>
      <c r="B1695" s="37">
        <v>40020</v>
      </c>
      <c r="C1695" s="38">
        <v>40020</v>
      </c>
      <c r="D1695" s="38">
        <v>40014</v>
      </c>
      <c r="E1695" s="38">
        <v>39995</v>
      </c>
      <c r="F1695" s="39">
        <v>115</v>
      </c>
      <c r="G1695" t="s">
        <v>21</v>
      </c>
      <c r="H1695" t="s">
        <v>21</v>
      </c>
      <c r="I1695">
        <v>0</v>
      </c>
      <c r="J1695">
        <v>0</v>
      </c>
      <c r="K1695">
        <v>0</v>
      </c>
      <c r="L1695">
        <v>1</v>
      </c>
      <c r="M1695">
        <v>0</v>
      </c>
      <c r="N1695" t="s">
        <v>193</v>
      </c>
      <c r="O1695" t="s">
        <v>213</v>
      </c>
      <c r="P1695" t="s">
        <v>204</v>
      </c>
      <c r="Q1695" t="s">
        <v>170</v>
      </c>
      <c r="R1695" t="s">
        <v>155</v>
      </c>
      <c r="S1695">
        <v>5</v>
      </c>
      <c r="T1695" t="s">
        <v>135</v>
      </c>
      <c r="U1695">
        <v>0</v>
      </c>
      <c r="V1695">
        <v>5</v>
      </c>
      <c r="W1695" t="s">
        <v>135</v>
      </c>
      <c r="X1695">
        <v>0</v>
      </c>
      <c r="Y1695" t="s">
        <v>140</v>
      </c>
      <c r="Z1695" t="s">
        <v>184</v>
      </c>
      <c r="AA1695" t="s">
        <v>148</v>
      </c>
      <c r="AB1695" t="s">
        <v>162</v>
      </c>
      <c r="AC1695" t="s">
        <v>21</v>
      </c>
      <c r="AD1695" t="s">
        <v>155</v>
      </c>
      <c r="AE1695" t="s">
        <v>130</v>
      </c>
      <c r="AF1695" t="s">
        <v>21</v>
      </c>
    </row>
    <row r="1696" spans="1:32">
      <c r="A1696" t="s">
        <v>2657</v>
      </c>
      <c r="B1696" s="37">
        <v>39922</v>
      </c>
      <c r="C1696" s="38">
        <v>39922</v>
      </c>
      <c r="D1696" s="38">
        <v>39916</v>
      </c>
      <c r="E1696" s="38">
        <v>39904</v>
      </c>
      <c r="F1696" s="39">
        <v>17</v>
      </c>
      <c r="G1696" t="s">
        <v>9</v>
      </c>
      <c r="H1696" t="s">
        <v>9</v>
      </c>
      <c r="I1696">
        <v>1</v>
      </c>
      <c r="J1696">
        <v>0</v>
      </c>
      <c r="K1696">
        <v>0</v>
      </c>
      <c r="L1696">
        <v>0</v>
      </c>
      <c r="M1696">
        <v>1</v>
      </c>
      <c r="N1696" t="s">
        <v>199</v>
      </c>
      <c r="O1696" t="s">
        <v>213</v>
      </c>
      <c r="P1696" t="s">
        <v>210</v>
      </c>
      <c r="Q1696" t="s">
        <v>170</v>
      </c>
      <c r="R1696" t="s">
        <v>155</v>
      </c>
      <c r="T1696" t="s">
        <v>134</v>
      </c>
      <c r="U1696">
        <v>1</v>
      </c>
      <c r="W1696" t="s">
        <v>134</v>
      </c>
      <c r="X1696">
        <v>1</v>
      </c>
      <c r="Y1696" t="s">
        <v>139</v>
      </c>
      <c r="Z1696" t="s">
        <v>184</v>
      </c>
      <c r="AA1696" t="s">
        <v>151</v>
      </c>
      <c r="AB1696" t="s">
        <v>162</v>
      </c>
      <c r="AC1696" t="s">
        <v>174</v>
      </c>
      <c r="AD1696" t="s">
        <v>156</v>
      </c>
      <c r="AE1696" t="s">
        <v>120</v>
      </c>
      <c r="AF1696" t="s">
        <v>1868</v>
      </c>
    </row>
    <row r="1697" spans="1:32">
      <c r="A1697" t="s">
        <v>2658</v>
      </c>
      <c r="B1697" s="37">
        <v>40048</v>
      </c>
      <c r="C1697" s="38">
        <v>40048</v>
      </c>
      <c r="D1697" s="38">
        <v>40042</v>
      </c>
      <c r="E1697" s="38">
        <v>40026</v>
      </c>
      <c r="F1697" s="39">
        <v>143</v>
      </c>
      <c r="G1697" t="s">
        <v>21</v>
      </c>
      <c r="H1697" t="s">
        <v>21</v>
      </c>
      <c r="I1697">
        <v>0</v>
      </c>
      <c r="J1697">
        <v>0</v>
      </c>
      <c r="K1697">
        <v>0</v>
      </c>
      <c r="L1697">
        <v>1</v>
      </c>
      <c r="M1697">
        <v>0</v>
      </c>
      <c r="N1697" t="s">
        <v>195</v>
      </c>
      <c r="O1697" t="s">
        <v>213</v>
      </c>
      <c r="P1697" t="s">
        <v>206</v>
      </c>
      <c r="Q1697" t="s">
        <v>170</v>
      </c>
      <c r="R1697" t="s">
        <v>155</v>
      </c>
      <c r="S1697">
        <v>5</v>
      </c>
      <c r="T1697" t="s">
        <v>135</v>
      </c>
      <c r="U1697">
        <v>0</v>
      </c>
      <c r="V1697">
        <v>2</v>
      </c>
      <c r="W1697" t="s">
        <v>136</v>
      </c>
      <c r="X1697">
        <v>0</v>
      </c>
      <c r="Y1697" t="s">
        <v>139</v>
      </c>
      <c r="Z1697" t="s">
        <v>182</v>
      </c>
      <c r="AA1697" t="s">
        <v>146</v>
      </c>
      <c r="AB1697" t="s">
        <v>162</v>
      </c>
      <c r="AC1697" t="s">
        <v>174</v>
      </c>
      <c r="AD1697" t="s">
        <v>157</v>
      </c>
      <c r="AE1697" t="s">
        <v>127</v>
      </c>
      <c r="AF1697" t="s">
        <v>1005</v>
      </c>
    </row>
    <row r="1698" spans="1:32">
      <c r="A1698" t="s">
        <v>2659</v>
      </c>
      <c r="B1698" s="37">
        <v>39976</v>
      </c>
      <c r="C1698" s="38">
        <v>39976</v>
      </c>
      <c r="D1698" s="38">
        <v>39972</v>
      </c>
      <c r="E1698" s="38">
        <v>39965</v>
      </c>
      <c r="F1698" s="39">
        <v>71</v>
      </c>
      <c r="G1698" t="s">
        <v>21</v>
      </c>
      <c r="H1698" t="s">
        <v>21</v>
      </c>
      <c r="I1698">
        <v>0</v>
      </c>
      <c r="J1698">
        <v>0</v>
      </c>
      <c r="K1698">
        <v>0</v>
      </c>
      <c r="L1698">
        <v>1</v>
      </c>
      <c r="M1698">
        <v>0</v>
      </c>
      <c r="N1698" t="s">
        <v>195</v>
      </c>
      <c r="O1698" t="s">
        <v>213</v>
      </c>
      <c r="P1698" t="s">
        <v>206</v>
      </c>
      <c r="Q1698" t="s">
        <v>170</v>
      </c>
      <c r="R1698" t="s">
        <v>155</v>
      </c>
      <c r="T1698" t="s">
        <v>134</v>
      </c>
      <c r="U1698">
        <v>1</v>
      </c>
      <c r="W1698" t="s">
        <v>134</v>
      </c>
      <c r="X1698">
        <v>1</v>
      </c>
      <c r="Y1698" t="s">
        <v>139</v>
      </c>
      <c r="Z1698" t="s">
        <v>182</v>
      </c>
      <c r="AA1698" t="s">
        <v>145</v>
      </c>
      <c r="AB1698" t="s">
        <v>165</v>
      </c>
      <c r="AC1698" t="s">
        <v>589</v>
      </c>
      <c r="AD1698" t="s">
        <v>158</v>
      </c>
      <c r="AE1698" t="s">
        <v>122</v>
      </c>
      <c r="AF1698" t="s">
        <v>21</v>
      </c>
    </row>
    <row r="1699" spans="1:32">
      <c r="A1699" t="s">
        <v>2660</v>
      </c>
      <c r="B1699" s="37">
        <v>39908</v>
      </c>
      <c r="C1699" s="38">
        <v>39908</v>
      </c>
      <c r="D1699" s="38">
        <v>39902</v>
      </c>
      <c r="E1699" s="38">
        <v>39904</v>
      </c>
      <c r="F1699" s="39">
        <v>3</v>
      </c>
      <c r="G1699" t="s">
        <v>380</v>
      </c>
      <c r="H1699" t="s">
        <v>17</v>
      </c>
      <c r="I1699">
        <v>0</v>
      </c>
      <c r="J1699">
        <v>0</v>
      </c>
      <c r="K1699">
        <v>1</v>
      </c>
      <c r="L1699">
        <v>0</v>
      </c>
      <c r="M1699">
        <v>0</v>
      </c>
      <c r="N1699" t="s">
        <v>202</v>
      </c>
      <c r="O1699" t="s">
        <v>213</v>
      </c>
      <c r="P1699" t="s">
        <v>211</v>
      </c>
      <c r="Q1699" t="s">
        <v>170</v>
      </c>
      <c r="R1699" t="s">
        <v>155</v>
      </c>
      <c r="T1699" t="s">
        <v>134</v>
      </c>
      <c r="U1699">
        <v>1</v>
      </c>
      <c r="W1699" t="s">
        <v>134</v>
      </c>
      <c r="X1699">
        <v>1</v>
      </c>
      <c r="Y1699" t="s">
        <v>139</v>
      </c>
      <c r="Z1699" t="s">
        <v>182</v>
      </c>
      <c r="AA1699" t="s">
        <v>148</v>
      </c>
      <c r="AB1699" t="s">
        <v>163</v>
      </c>
      <c r="AC1699" t="s">
        <v>1206</v>
      </c>
      <c r="AD1699" t="s">
        <v>155</v>
      </c>
      <c r="AE1699" t="s">
        <v>127</v>
      </c>
      <c r="AF1699" t="s">
        <v>21</v>
      </c>
    </row>
    <row r="1700" spans="1:32">
      <c r="A1700" t="s">
        <v>2661</v>
      </c>
      <c r="B1700" s="37">
        <v>40018</v>
      </c>
      <c r="C1700" s="38">
        <v>40018</v>
      </c>
      <c r="D1700" s="38">
        <v>40014</v>
      </c>
      <c r="E1700" s="38">
        <v>39995</v>
      </c>
      <c r="F1700" s="39">
        <v>113</v>
      </c>
      <c r="G1700" t="s">
        <v>21</v>
      </c>
      <c r="H1700" t="s">
        <v>21</v>
      </c>
      <c r="I1700">
        <v>0</v>
      </c>
      <c r="J1700">
        <v>0</v>
      </c>
      <c r="K1700">
        <v>0</v>
      </c>
      <c r="L1700">
        <v>1</v>
      </c>
      <c r="M1700">
        <v>0</v>
      </c>
      <c r="N1700" t="s">
        <v>195</v>
      </c>
      <c r="O1700" t="s">
        <v>213</v>
      </c>
      <c r="P1700" t="s">
        <v>206</v>
      </c>
      <c r="Q1700" t="s">
        <v>170</v>
      </c>
      <c r="R1700" t="s">
        <v>155</v>
      </c>
      <c r="S1700">
        <v>4</v>
      </c>
      <c r="T1700" t="s">
        <v>137</v>
      </c>
      <c r="U1700">
        <v>0</v>
      </c>
      <c r="V1700">
        <v>4</v>
      </c>
      <c r="W1700" t="s">
        <v>137</v>
      </c>
      <c r="X1700">
        <v>0</v>
      </c>
      <c r="Y1700" t="s">
        <v>139</v>
      </c>
      <c r="Z1700" t="s">
        <v>182</v>
      </c>
      <c r="AA1700" t="s">
        <v>144</v>
      </c>
      <c r="AB1700" t="s">
        <v>162</v>
      </c>
      <c r="AC1700" t="s">
        <v>21</v>
      </c>
      <c r="AD1700" t="s">
        <v>155</v>
      </c>
      <c r="AE1700" t="s">
        <v>130</v>
      </c>
      <c r="AF1700" t="s">
        <v>21</v>
      </c>
    </row>
    <row r="1701" spans="1:32">
      <c r="A1701" t="s">
        <v>2662</v>
      </c>
      <c r="B1701" s="37">
        <v>40022</v>
      </c>
      <c r="C1701" s="38">
        <v>40022</v>
      </c>
      <c r="D1701" s="38">
        <v>40021</v>
      </c>
      <c r="E1701" s="38">
        <v>39995</v>
      </c>
      <c r="F1701" s="39">
        <v>117</v>
      </c>
      <c r="G1701" t="s">
        <v>21</v>
      </c>
      <c r="H1701" t="s">
        <v>21</v>
      </c>
      <c r="I1701">
        <v>0</v>
      </c>
      <c r="J1701">
        <v>0</v>
      </c>
      <c r="K1701">
        <v>0</v>
      </c>
      <c r="L1701">
        <v>1</v>
      </c>
      <c r="M1701">
        <v>0</v>
      </c>
      <c r="N1701" t="s">
        <v>195</v>
      </c>
      <c r="O1701" t="s">
        <v>213</v>
      </c>
      <c r="P1701" t="s">
        <v>206</v>
      </c>
      <c r="Q1701" t="s">
        <v>170</v>
      </c>
      <c r="R1701" t="s">
        <v>155</v>
      </c>
      <c r="S1701">
        <v>5</v>
      </c>
      <c r="T1701" t="s">
        <v>135</v>
      </c>
      <c r="U1701">
        <v>0</v>
      </c>
      <c r="V1701">
        <v>3</v>
      </c>
      <c r="W1701" t="s">
        <v>137</v>
      </c>
      <c r="X1701">
        <v>0</v>
      </c>
      <c r="Y1701" t="s">
        <v>139</v>
      </c>
      <c r="Z1701" t="s">
        <v>182</v>
      </c>
      <c r="AA1701" t="s">
        <v>145</v>
      </c>
      <c r="AB1701" t="s">
        <v>163</v>
      </c>
      <c r="AC1701" t="s">
        <v>2663</v>
      </c>
      <c r="AD1701" t="s">
        <v>155</v>
      </c>
      <c r="AE1701" t="s">
        <v>128</v>
      </c>
      <c r="AF1701" t="s">
        <v>21</v>
      </c>
    </row>
    <row r="1702" spans="1:32">
      <c r="A1702" t="s">
        <v>2664</v>
      </c>
      <c r="B1702" s="37">
        <v>40004</v>
      </c>
      <c r="C1702" s="38">
        <v>40004</v>
      </c>
      <c r="D1702" s="38">
        <v>40000</v>
      </c>
      <c r="E1702" s="38">
        <v>39995</v>
      </c>
      <c r="F1702" s="39">
        <v>99</v>
      </c>
      <c r="G1702" t="s">
        <v>21</v>
      </c>
      <c r="H1702" t="s">
        <v>21</v>
      </c>
      <c r="I1702">
        <v>0</v>
      </c>
      <c r="J1702">
        <v>0</v>
      </c>
      <c r="K1702">
        <v>0</v>
      </c>
      <c r="L1702">
        <v>1</v>
      </c>
      <c r="M1702">
        <v>0</v>
      </c>
      <c r="N1702" t="s">
        <v>193</v>
      </c>
      <c r="O1702" t="s">
        <v>213</v>
      </c>
      <c r="P1702" t="s">
        <v>204</v>
      </c>
      <c r="Q1702" t="s">
        <v>170</v>
      </c>
      <c r="R1702" t="s">
        <v>155</v>
      </c>
      <c r="T1702" t="s">
        <v>134</v>
      </c>
      <c r="U1702">
        <v>1</v>
      </c>
      <c r="V1702">
        <v>3</v>
      </c>
      <c r="W1702" t="s">
        <v>137</v>
      </c>
      <c r="X1702">
        <v>0</v>
      </c>
      <c r="Y1702" t="s">
        <v>140</v>
      </c>
      <c r="Z1702" t="s">
        <v>191</v>
      </c>
      <c r="AA1702" t="s">
        <v>143</v>
      </c>
      <c r="AB1702" t="s">
        <v>162</v>
      </c>
      <c r="AC1702" t="s">
        <v>176</v>
      </c>
      <c r="AD1702" t="s">
        <v>155</v>
      </c>
      <c r="AE1702" t="s">
        <v>129</v>
      </c>
      <c r="AF1702" t="s">
        <v>21</v>
      </c>
    </row>
    <row r="1703" spans="1:32">
      <c r="A1703" t="s">
        <v>2665</v>
      </c>
      <c r="B1703" s="37">
        <v>40019</v>
      </c>
      <c r="C1703" s="38">
        <v>40019</v>
      </c>
      <c r="D1703" s="38">
        <v>40014</v>
      </c>
      <c r="E1703" s="38">
        <v>39995</v>
      </c>
      <c r="F1703" s="39">
        <v>114</v>
      </c>
      <c r="G1703" t="s">
        <v>21</v>
      </c>
      <c r="H1703" t="s">
        <v>21</v>
      </c>
      <c r="I1703">
        <v>0</v>
      </c>
      <c r="J1703">
        <v>0</v>
      </c>
      <c r="K1703">
        <v>0</v>
      </c>
      <c r="L1703">
        <v>1</v>
      </c>
      <c r="M1703">
        <v>0</v>
      </c>
      <c r="N1703" t="s">
        <v>196</v>
      </c>
      <c r="O1703" t="s">
        <v>213</v>
      </c>
      <c r="P1703" t="s">
        <v>207</v>
      </c>
      <c r="Q1703" t="s">
        <v>170</v>
      </c>
      <c r="R1703" t="s">
        <v>155</v>
      </c>
      <c r="S1703">
        <v>5</v>
      </c>
      <c r="T1703" t="s">
        <v>135</v>
      </c>
      <c r="U1703">
        <v>0</v>
      </c>
      <c r="V1703">
        <v>5</v>
      </c>
      <c r="W1703" t="s">
        <v>135</v>
      </c>
      <c r="X1703">
        <v>0</v>
      </c>
      <c r="Y1703" t="s">
        <v>139</v>
      </c>
      <c r="Z1703" t="s">
        <v>191</v>
      </c>
      <c r="AA1703" t="s">
        <v>144</v>
      </c>
      <c r="AB1703" t="s">
        <v>162</v>
      </c>
      <c r="AC1703" t="s">
        <v>1728</v>
      </c>
      <c r="AD1703" t="s">
        <v>157</v>
      </c>
      <c r="AE1703" t="s">
        <v>127</v>
      </c>
      <c r="AF1703" t="s">
        <v>153</v>
      </c>
    </row>
    <row r="1704" spans="1:32">
      <c r="A1704" t="s">
        <v>2666</v>
      </c>
      <c r="B1704" s="37">
        <v>39992</v>
      </c>
      <c r="C1704" s="38">
        <v>39992</v>
      </c>
      <c r="D1704" s="38">
        <v>39986</v>
      </c>
      <c r="E1704" s="38">
        <v>39965</v>
      </c>
      <c r="F1704" s="39">
        <v>87</v>
      </c>
      <c r="G1704" t="s">
        <v>21</v>
      </c>
      <c r="H1704" t="s">
        <v>21</v>
      </c>
      <c r="I1704">
        <v>0</v>
      </c>
      <c r="J1704">
        <v>0</v>
      </c>
      <c r="K1704">
        <v>0</v>
      </c>
      <c r="L1704">
        <v>1</v>
      </c>
      <c r="M1704">
        <v>0</v>
      </c>
      <c r="N1704" t="s">
        <v>196</v>
      </c>
      <c r="O1704" t="s">
        <v>213</v>
      </c>
      <c r="P1704" t="s">
        <v>207</v>
      </c>
      <c r="Q1704" t="s">
        <v>170</v>
      </c>
      <c r="R1704" t="s">
        <v>155</v>
      </c>
      <c r="T1704" t="s">
        <v>134</v>
      </c>
      <c r="U1704">
        <v>1</v>
      </c>
      <c r="V1704">
        <v>3</v>
      </c>
      <c r="W1704" t="s">
        <v>137</v>
      </c>
      <c r="X1704">
        <v>0</v>
      </c>
      <c r="Y1704" t="s">
        <v>139</v>
      </c>
      <c r="Z1704" t="s">
        <v>183</v>
      </c>
      <c r="AA1704" t="s">
        <v>145</v>
      </c>
      <c r="AB1704" t="s">
        <v>162</v>
      </c>
      <c r="AC1704" t="s">
        <v>1624</v>
      </c>
      <c r="AD1704" t="s">
        <v>155</v>
      </c>
      <c r="AE1704" t="s">
        <v>130</v>
      </c>
      <c r="AF1704" t="s">
        <v>21</v>
      </c>
    </row>
    <row r="1705" spans="1:32">
      <c r="A1705" t="s">
        <v>2667</v>
      </c>
      <c r="B1705" s="37">
        <v>39930</v>
      </c>
      <c r="C1705" s="38">
        <v>39930</v>
      </c>
      <c r="D1705" s="38">
        <v>39930</v>
      </c>
      <c r="E1705" s="38">
        <v>39904</v>
      </c>
      <c r="F1705" s="39">
        <v>25</v>
      </c>
      <c r="G1705" t="s">
        <v>21</v>
      </c>
      <c r="H1705" t="s">
        <v>21</v>
      </c>
      <c r="I1705">
        <v>0</v>
      </c>
      <c r="J1705">
        <v>0</v>
      </c>
      <c r="K1705">
        <v>0</v>
      </c>
      <c r="L1705">
        <v>1</v>
      </c>
      <c r="M1705">
        <v>0</v>
      </c>
      <c r="N1705" t="s">
        <v>201</v>
      </c>
      <c r="O1705" t="s">
        <v>214</v>
      </c>
      <c r="P1705" t="s">
        <v>204</v>
      </c>
      <c r="Q1705" t="s">
        <v>170</v>
      </c>
      <c r="R1705" t="s">
        <v>155</v>
      </c>
      <c r="T1705" t="s">
        <v>134</v>
      </c>
      <c r="U1705">
        <v>1</v>
      </c>
      <c r="W1705" t="s">
        <v>134</v>
      </c>
      <c r="X1705">
        <v>1</v>
      </c>
      <c r="Y1705" t="s">
        <v>140</v>
      </c>
      <c r="Z1705" t="s">
        <v>178</v>
      </c>
      <c r="AA1705" t="s">
        <v>148</v>
      </c>
      <c r="AB1705" t="s">
        <v>163</v>
      </c>
      <c r="AC1705" t="s">
        <v>173</v>
      </c>
      <c r="AD1705" t="s">
        <v>155</v>
      </c>
      <c r="AE1705" t="s">
        <v>692</v>
      </c>
      <c r="AF1705" t="s">
        <v>21</v>
      </c>
    </row>
    <row r="1706" spans="1:32">
      <c r="A1706" t="s">
        <v>2668</v>
      </c>
      <c r="B1706" s="37">
        <v>39949</v>
      </c>
      <c r="C1706" s="38">
        <v>39949</v>
      </c>
      <c r="D1706" s="38">
        <v>39944</v>
      </c>
      <c r="E1706" s="38">
        <v>39934</v>
      </c>
      <c r="F1706" s="39">
        <v>44</v>
      </c>
      <c r="G1706" t="s">
        <v>21</v>
      </c>
      <c r="H1706" t="s">
        <v>21</v>
      </c>
      <c r="I1706">
        <v>0</v>
      </c>
      <c r="J1706">
        <v>0</v>
      </c>
      <c r="K1706">
        <v>0</v>
      </c>
      <c r="L1706">
        <v>1</v>
      </c>
      <c r="M1706">
        <v>0</v>
      </c>
      <c r="N1706" t="s">
        <v>195</v>
      </c>
      <c r="O1706" t="s">
        <v>213</v>
      </c>
      <c r="P1706" t="s">
        <v>206</v>
      </c>
      <c r="Q1706" t="s">
        <v>170</v>
      </c>
      <c r="R1706" t="s">
        <v>155</v>
      </c>
      <c r="T1706" t="s">
        <v>134</v>
      </c>
      <c r="U1706">
        <v>1</v>
      </c>
      <c r="W1706" t="s">
        <v>134</v>
      </c>
      <c r="X1706">
        <v>1</v>
      </c>
      <c r="Y1706" t="s">
        <v>139</v>
      </c>
      <c r="Z1706" t="s">
        <v>182</v>
      </c>
      <c r="AA1706" t="s">
        <v>147</v>
      </c>
      <c r="AB1706" t="s">
        <v>163</v>
      </c>
      <c r="AC1706" t="s">
        <v>173</v>
      </c>
      <c r="AD1706" t="s">
        <v>155</v>
      </c>
      <c r="AE1706" t="s">
        <v>454</v>
      </c>
      <c r="AF1706" t="s">
        <v>21</v>
      </c>
    </row>
    <row r="1707" spans="1:32">
      <c r="A1707" t="s">
        <v>2669</v>
      </c>
      <c r="B1707" s="37">
        <v>39954</v>
      </c>
      <c r="C1707" s="38">
        <v>39954</v>
      </c>
      <c r="D1707" s="38">
        <v>39951</v>
      </c>
      <c r="E1707" s="38">
        <v>39934</v>
      </c>
      <c r="F1707" s="39">
        <v>49</v>
      </c>
      <c r="G1707" t="s">
        <v>21</v>
      </c>
      <c r="H1707" t="s">
        <v>21</v>
      </c>
      <c r="I1707">
        <v>0</v>
      </c>
      <c r="J1707">
        <v>0</v>
      </c>
      <c r="K1707">
        <v>0</v>
      </c>
      <c r="L1707">
        <v>1</v>
      </c>
      <c r="M1707">
        <v>0</v>
      </c>
      <c r="N1707" t="s">
        <v>193</v>
      </c>
      <c r="O1707" t="s">
        <v>213</v>
      </c>
      <c r="P1707" t="s">
        <v>204</v>
      </c>
      <c r="Q1707" t="s">
        <v>170</v>
      </c>
      <c r="R1707" t="s">
        <v>155</v>
      </c>
      <c r="T1707" t="s">
        <v>134</v>
      </c>
      <c r="U1707">
        <v>1</v>
      </c>
      <c r="W1707" t="s">
        <v>134</v>
      </c>
      <c r="X1707">
        <v>1</v>
      </c>
      <c r="Y1707" t="s">
        <v>140</v>
      </c>
      <c r="Z1707" t="s">
        <v>182</v>
      </c>
      <c r="AA1707" t="s">
        <v>147</v>
      </c>
      <c r="AB1707" t="s">
        <v>163</v>
      </c>
      <c r="AC1707" t="s">
        <v>173</v>
      </c>
      <c r="AD1707" t="s">
        <v>155</v>
      </c>
      <c r="AE1707" t="s">
        <v>406</v>
      </c>
      <c r="AF1707" t="s">
        <v>21</v>
      </c>
    </row>
    <row r="1708" spans="1:32">
      <c r="A1708" t="s">
        <v>2670</v>
      </c>
      <c r="B1708" s="37">
        <v>39976</v>
      </c>
      <c r="C1708" s="38">
        <v>39976</v>
      </c>
      <c r="D1708" s="38">
        <v>39972</v>
      </c>
      <c r="E1708" s="38">
        <v>39965</v>
      </c>
      <c r="F1708" s="39">
        <v>71</v>
      </c>
      <c r="G1708" t="s">
        <v>380</v>
      </c>
      <c r="H1708" t="s">
        <v>17</v>
      </c>
      <c r="I1708">
        <v>0</v>
      </c>
      <c r="J1708">
        <v>0</v>
      </c>
      <c r="K1708">
        <v>1</v>
      </c>
      <c r="L1708">
        <v>0</v>
      </c>
      <c r="M1708">
        <v>0</v>
      </c>
      <c r="N1708" t="s">
        <v>194</v>
      </c>
      <c r="O1708" t="s">
        <v>213</v>
      </c>
      <c r="P1708" t="s">
        <v>205</v>
      </c>
      <c r="Q1708" t="s">
        <v>170</v>
      </c>
      <c r="R1708" t="s">
        <v>155</v>
      </c>
      <c r="T1708" t="s">
        <v>134</v>
      </c>
      <c r="U1708">
        <v>1</v>
      </c>
      <c r="W1708" t="s">
        <v>134</v>
      </c>
      <c r="X1708">
        <v>1</v>
      </c>
      <c r="Y1708" t="s">
        <v>139</v>
      </c>
      <c r="Z1708" t="s">
        <v>186</v>
      </c>
      <c r="AA1708" t="s">
        <v>143</v>
      </c>
      <c r="AB1708" t="s">
        <v>162</v>
      </c>
      <c r="AC1708" t="s">
        <v>174</v>
      </c>
      <c r="AD1708" t="s">
        <v>156</v>
      </c>
      <c r="AE1708" t="s">
        <v>120</v>
      </c>
      <c r="AF1708" t="s">
        <v>794</v>
      </c>
    </row>
    <row r="1709" spans="1:32">
      <c r="A1709" t="s">
        <v>2671</v>
      </c>
      <c r="B1709" s="37">
        <v>39983</v>
      </c>
      <c r="C1709" s="38">
        <v>39983</v>
      </c>
      <c r="D1709" s="38">
        <v>39979</v>
      </c>
      <c r="E1709" s="38">
        <v>39965</v>
      </c>
      <c r="F1709" s="39">
        <v>78</v>
      </c>
      <c r="G1709" t="s">
        <v>380</v>
      </c>
      <c r="H1709" t="s">
        <v>17</v>
      </c>
      <c r="I1709">
        <v>0</v>
      </c>
      <c r="J1709">
        <v>0</v>
      </c>
      <c r="K1709">
        <v>1</v>
      </c>
      <c r="L1709">
        <v>0</v>
      </c>
      <c r="M1709">
        <v>0</v>
      </c>
      <c r="N1709" t="s">
        <v>194</v>
      </c>
      <c r="O1709" t="s">
        <v>213</v>
      </c>
      <c r="P1709" t="s">
        <v>205</v>
      </c>
      <c r="Q1709" t="s">
        <v>170</v>
      </c>
      <c r="R1709" t="s">
        <v>155</v>
      </c>
      <c r="T1709" t="s">
        <v>134</v>
      </c>
      <c r="U1709">
        <v>1</v>
      </c>
      <c r="W1709" t="s">
        <v>134</v>
      </c>
      <c r="X1709">
        <v>1</v>
      </c>
      <c r="Y1709" t="s">
        <v>139</v>
      </c>
      <c r="Z1709" t="s">
        <v>186</v>
      </c>
      <c r="AA1709" t="s">
        <v>143</v>
      </c>
      <c r="AB1709" t="s">
        <v>162</v>
      </c>
      <c r="AC1709" t="s">
        <v>174</v>
      </c>
      <c r="AD1709" t="s">
        <v>156</v>
      </c>
      <c r="AE1709" t="s">
        <v>120</v>
      </c>
      <c r="AF1709" t="s">
        <v>794</v>
      </c>
    </row>
    <row r="1710" spans="1:32">
      <c r="A1710" t="s">
        <v>2672</v>
      </c>
      <c r="B1710" s="37">
        <v>39914</v>
      </c>
      <c r="C1710" s="38">
        <v>39914</v>
      </c>
      <c r="D1710" s="38">
        <v>39909</v>
      </c>
      <c r="E1710" s="38">
        <v>39904</v>
      </c>
      <c r="F1710" s="39">
        <v>9</v>
      </c>
      <c r="G1710" t="s">
        <v>21</v>
      </c>
      <c r="H1710" t="s">
        <v>21</v>
      </c>
      <c r="I1710">
        <v>0</v>
      </c>
      <c r="J1710">
        <v>0</v>
      </c>
      <c r="K1710">
        <v>0</v>
      </c>
      <c r="L1710">
        <v>1</v>
      </c>
      <c r="M1710">
        <v>0</v>
      </c>
      <c r="N1710" t="s">
        <v>198</v>
      </c>
      <c r="O1710" t="s">
        <v>213</v>
      </c>
      <c r="P1710" t="s">
        <v>208</v>
      </c>
      <c r="Q1710" t="s">
        <v>170</v>
      </c>
      <c r="R1710" t="s">
        <v>155</v>
      </c>
      <c r="T1710" t="s">
        <v>134</v>
      </c>
      <c r="U1710">
        <v>1</v>
      </c>
      <c r="W1710" t="s">
        <v>134</v>
      </c>
      <c r="X1710">
        <v>1</v>
      </c>
      <c r="Y1710" t="s">
        <v>139</v>
      </c>
      <c r="Z1710" t="s">
        <v>186</v>
      </c>
      <c r="AA1710" t="s">
        <v>150</v>
      </c>
      <c r="AB1710" t="s">
        <v>162</v>
      </c>
      <c r="AC1710" t="s">
        <v>176</v>
      </c>
      <c r="AD1710" t="s">
        <v>155</v>
      </c>
      <c r="AE1710" t="s">
        <v>439</v>
      </c>
      <c r="AF1710" t="s">
        <v>21</v>
      </c>
    </row>
    <row r="1711" spans="1:32">
      <c r="A1711" t="s">
        <v>2673</v>
      </c>
      <c r="B1711" s="37">
        <v>40015</v>
      </c>
      <c r="C1711" s="38">
        <v>40015</v>
      </c>
      <c r="D1711" s="38">
        <v>40014</v>
      </c>
      <c r="E1711" s="38">
        <v>39995</v>
      </c>
      <c r="F1711" s="39">
        <v>110</v>
      </c>
      <c r="G1711" t="s">
        <v>21</v>
      </c>
      <c r="H1711" t="s">
        <v>21</v>
      </c>
      <c r="I1711">
        <v>0</v>
      </c>
      <c r="J1711">
        <v>0</v>
      </c>
      <c r="K1711">
        <v>0</v>
      </c>
      <c r="L1711">
        <v>1</v>
      </c>
      <c r="M1711">
        <v>0</v>
      </c>
      <c r="N1711" t="s">
        <v>193</v>
      </c>
      <c r="O1711" t="s">
        <v>213</v>
      </c>
      <c r="P1711" t="s">
        <v>204</v>
      </c>
      <c r="Q1711" t="s">
        <v>170</v>
      </c>
      <c r="R1711" t="s">
        <v>155</v>
      </c>
      <c r="S1711">
        <v>5</v>
      </c>
      <c r="T1711" t="s">
        <v>135</v>
      </c>
      <c r="U1711">
        <v>0</v>
      </c>
      <c r="V1711">
        <v>3</v>
      </c>
      <c r="W1711" t="s">
        <v>137</v>
      </c>
      <c r="X1711">
        <v>0</v>
      </c>
      <c r="Y1711" t="s">
        <v>140</v>
      </c>
      <c r="Z1711" t="s">
        <v>180</v>
      </c>
      <c r="AA1711" t="s">
        <v>146</v>
      </c>
      <c r="AB1711" t="s">
        <v>162</v>
      </c>
      <c r="AC1711" t="s">
        <v>174</v>
      </c>
      <c r="AD1711" t="s">
        <v>156</v>
      </c>
      <c r="AE1711" t="s">
        <v>120</v>
      </c>
      <c r="AF1711" t="s">
        <v>2674</v>
      </c>
    </row>
    <row r="1712" spans="1:32">
      <c r="A1712" t="s">
        <v>2675</v>
      </c>
      <c r="B1712" s="37">
        <v>39924</v>
      </c>
      <c r="C1712" s="38">
        <v>39924</v>
      </c>
      <c r="D1712" s="38">
        <v>39923</v>
      </c>
      <c r="E1712" s="38">
        <v>39904</v>
      </c>
      <c r="F1712" s="39">
        <v>19</v>
      </c>
      <c r="G1712" t="s">
        <v>21</v>
      </c>
      <c r="H1712" t="s">
        <v>21</v>
      </c>
      <c r="I1712">
        <v>0</v>
      </c>
      <c r="J1712">
        <v>0</v>
      </c>
      <c r="K1712">
        <v>0</v>
      </c>
      <c r="L1712">
        <v>1</v>
      </c>
      <c r="M1712">
        <v>0</v>
      </c>
      <c r="N1712" t="s">
        <v>198</v>
      </c>
      <c r="O1712" t="s">
        <v>213</v>
      </c>
      <c r="P1712" t="s">
        <v>208</v>
      </c>
      <c r="Q1712" t="s">
        <v>170</v>
      </c>
      <c r="R1712" t="s">
        <v>155</v>
      </c>
      <c r="T1712" t="s">
        <v>134</v>
      </c>
      <c r="U1712">
        <v>1</v>
      </c>
      <c r="W1712" t="s">
        <v>134</v>
      </c>
      <c r="X1712">
        <v>1</v>
      </c>
      <c r="Y1712" t="s">
        <v>139</v>
      </c>
      <c r="Z1712" t="s">
        <v>180</v>
      </c>
      <c r="AA1712" t="s">
        <v>145</v>
      </c>
      <c r="AB1712" t="s">
        <v>162</v>
      </c>
      <c r="AC1712" t="s">
        <v>174</v>
      </c>
      <c r="AD1712" t="s">
        <v>156</v>
      </c>
      <c r="AE1712" t="s">
        <v>120</v>
      </c>
      <c r="AF1712" t="s">
        <v>2676</v>
      </c>
    </row>
    <row r="1713" spans="1:32">
      <c r="A1713" t="s">
        <v>2677</v>
      </c>
      <c r="B1713" s="37">
        <v>39953</v>
      </c>
      <c r="C1713" s="38">
        <v>39953</v>
      </c>
      <c r="D1713" s="38">
        <v>39951</v>
      </c>
      <c r="E1713" s="38">
        <v>39934</v>
      </c>
      <c r="F1713" s="39">
        <v>48</v>
      </c>
      <c r="G1713" t="s">
        <v>21</v>
      </c>
      <c r="H1713" t="s">
        <v>21</v>
      </c>
      <c r="I1713">
        <v>0</v>
      </c>
      <c r="J1713">
        <v>0</v>
      </c>
      <c r="K1713">
        <v>0</v>
      </c>
      <c r="L1713">
        <v>1</v>
      </c>
      <c r="M1713">
        <v>0</v>
      </c>
      <c r="N1713" t="s">
        <v>194</v>
      </c>
      <c r="O1713" t="s">
        <v>213</v>
      </c>
      <c r="P1713" t="s">
        <v>205</v>
      </c>
      <c r="Q1713" t="s">
        <v>170</v>
      </c>
      <c r="R1713" t="s">
        <v>155</v>
      </c>
      <c r="T1713" t="s">
        <v>134</v>
      </c>
      <c r="U1713">
        <v>1</v>
      </c>
      <c r="W1713" t="s">
        <v>134</v>
      </c>
      <c r="X1713">
        <v>1</v>
      </c>
      <c r="Y1713" t="s">
        <v>139</v>
      </c>
      <c r="Z1713" t="s">
        <v>183</v>
      </c>
      <c r="AA1713" t="s">
        <v>149</v>
      </c>
      <c r="AB1713" t="s">
        <v>162</v>
      </c>
      <c r="AC1713" t="s">
        <v>21</v>
      </c>
      <c r="AD1713" t="s">
        <v>155</v>
      </c>
      <c r="AE1713" t="s">
        <v>129</v>
      </c>
      <c r="AF1713" t="s">
        <v>21</v>
      </c>
    </row>
    <row r="1714" spans="1:32">
      <c r="A1714" t="s">
        <v>2678</v>
      </c>
      <c r="B1714" s="37">
        <v>40020</v>
      </c>
      <c r="C1714" s="38">
        <v>40020</v>
      </c>
      <c r="D1714" s="38">
        <v>40014</v>
      </c>
      <c r="E1714" s="38">
        <v>39995</v>
      </c>
      <c r="F1714" s="39">
        <v>115</v>
      </c>
      <c r="G1714" t="s">
        <v>21</v>
      </c>
      <c r="H1714" t="s">
        <v>21</v>
      </c>
      <c r="I1714">
        <v>0</v>
      </c>
      <c r="J1714">
        <v>0</v>
      </c>
      <c r="K1714">
        <v>0</v>
      </c>
      <c r="L1714">
        <v>1</v>
      </c>
      <c r="M1714">
        <v>0</v>
      </c>
      <c r="N1714" t="s">
        <v>193</v>
      </c>
      <c r="O1714" t="s">
        <v>213</v>
      </c>
      <c r="P1714" t="s">
        <v>204</v>
      </c>
      <c r="Q1714" t="s">
        <v>170</v>
      </c>
      <c r="R1714" t="s">
        <v>155</v>
      </c>
      <c r="S1714">
        <v>5</v>
      </c>
      <c r="T1714" t="s">
        <v>135</v>
      </c>
      <c r="U1714">
        <v>0</v>
      </c>
      <c r="V1714">
        <v>3</v>
      </c>
      <c r="W1714" t="s">
        <v>137</v>
      </c>
      <c r="X1714">
        <v>0</v>
      </c>
      <c r="Y1714" t="s">
        <v>140</v>
      </c>
      <c r="Z1714" t="s">
        <v>180</v>
      </c>
      <c r="AA1714" t="s">
        <v>142</v>
      </c>
      <c r="AB1714" t="s">
        <v>162</v>
      </c>
      <c r="AC1714" t="s">
        <v>174</v>
      </c>
      <c r="AD1714" t="s">
        <v>156</v>
      </c>
      <c r="AE1714" t="s">
        <v>120</v>
      </c>
      <c r="AF1714" t="s">
        <v>998</v>
      </c>
    </row>
    <row r="1715" spans="1:32">
      <c r="A1715" t="s">
        <v>2679</v>
      </c>
      <c r="B1715" s="37">
        <v>39948</v>
      </c>
      <c r="C1715" s="38">
        <v>39948</v>
      </c>
      <c r="D1715" s="38">
        <v>39944</v>
      </c>
      <c r="E1715" s="38">
        <v>39934</v>
      </c>
      <c r="F1715" s="39">
        <v>43</v>
      </c>
      <c r="G1715" t="s">
        <v>21</v>
      </c>
      <c r="H1715" t="s">
        <v>21</v>
      </c>
      <c r="I1715">
        <v>0</v>
      </c>
      <c r="J1715">
        <v>0</v>
      </c>
      <c r="K1715">
        <v>0</v>
      </c>
      <c r="L1715">
        <v>1</v>
      </c>
      <c r="M1715">
        <v>0</v>
      </c>
      <c r="N1715" t="s">
        <v>193</v>
      </c>
      <c r="O1715" t="s">
        <v>213</v>
      </c>
      <c r="P1715" t="s">
        <v>204</v>
      </c>
      <c r="Q1715" t="s">
        <v>170</v>
      </c>
      <c r="R1715" t="s">
        <v>155</v>
      </c>
      <c r="T1715" t="s">
        <v>134</v>
      </c>
      <c r="U1715">
        <v>1</v>
      </c>
      <c r="W1715" t="s">
        <v>134</v>
      </c>
      <c r="X1715">
        <v>1</v>
      </c>
      <c r="Y1715" t="s">
        <v>140</v>
      </c>
      <c r="Z1715" t="s">
        <v>183</v>
      </c>
      <c r="AA1715" t="s">
        <v>149</v>
      </c>
      <c r="AB1715" t="s">
        <v>165</v>
      </c>
      <c r="AC1715" t="s">
        <v>21</v>
      </c>
      <c r="AD1715" t="s">
        <v>158</v>
      </c>
      <c r="AE1715" t="s">
        <v>122</v>
      </c>
      <c r="AF1715" t="s">
        <v>21</v>
      </c>
    </row>
    <row r="1716" spans="1:32">
      <c r="A1716" t="s">
        <v>2680</v>
      </c>
      <c r="B1716" s="37">
        <v>39974</v>
      </c>
      <c r="C1716" s="38">
        <v>39974</v>
      </c>
      <c r="D1716" s="38">
        <v>39972</v>
      </c>
      <c r="E1716" s="38">
        <v>39965</v>
      </c>
      <c r="F1716" s="39">
        <v>69</v>
      </c>
      <c r="G1716" t="s">
        <v>383</v>
      </c>
      <c r="H1716" t="s">
        <v>17</v>
      </c>
      <c r="I1716">
        <v>0</v>
      </c>
      <c r="J1716">
        <v>0</v>
      </c>
      <c r="K1716">
        <v>1</v>
      </c>
      <c r="L1716">
        <v>0</v>
      </c>
      <c r="M1716">
        <v>0</v>
      </c>
      <c r="N1716" t="s">
        <v>193</v>
      </c>
      <c r="O1716" t="s">
        <v>213</v>
      </c>
      <c r="P1716" t="s">
        <v>204</v>
      </c>
      <c r="Q1716" t="s">
        <v>170</v>
      </c>
      <c r="R1716" t="s">
        <v>155</v>
      </c>
      <c r="T1716" t="s">
        <v>134</v>
      </c>
      <c r="U1716">
        <v>1</v>
      </c>
      <c r="W1716" t="s">
        <v>134</v>
      </c>
      <c r="X1716">
        <v>1</v>
      </c>
      <c r="Y1716" t="s">
        <v>140</v>
      </c>
      <c r="Z1716" t="s">
        <v>183</v>
      </c>
      <c r="AA1716" t="s">
        <v>142</v>
      </c>
      <c r="AB1716" t="s">
        <v>163</v>
      </c>
      <c r="AC1716" t="s">
        <v>500</v>
      </c>
      <c r="AD1716" t="s">
        <v>155</v>
      </c>
      <c r="AE1716" t="s">
        <v>501</v>
      </c>
      <c r="AF1716" t="s">
        <v>21</v>
      </c>
    </row>
    <row r="1717" spans="1:32">
      <c r="A1717" t="s">
        <v>2681</v>
      </c>
      <c r="B1717" s="37">
        <v>39920</v>
      </c>
      <c r="C1717" s="38">
        <v>39920</v>
      </c>
      <c r="D1717" s="38">
        <v>39916</v>
      </c>
      <c r="E1717" s="38">
        <v>39904</v>
      </c>
      <c r="F1717" s="39">
        <v>15</v>
      </c>
      <c r="G1717" t="s">
        <v>21</v>
      </c>
      <c r="H1717" t="s">
        <v>21</v>
      </c>
      <c r="I1717">
        <v>0</v>
      </c>
      <c r="J1717">
        <v>0</v>
      </c>
      <c r="K1717">
        <v>0</v>
      </c>
      <c r="L1717">
        <v>1</v>
      </c>
      <c r="M1717">
        <v>0</v>
      </c>
      <c r="N1717" t="s">
        <v>194</v>
      </c>
      <c r="O1717" t="s">
        <v>213</v>
      </c>
      <c r="P1717" t="s">
        <v>205</v>
      </c>
      <c r="Q1717" t="s">
        <v>170</v>
      </c>
      <c r="R1717" t="s">
        <v>155</v>
      </c>
      <c r="T1717" t="s">
        <v>134</v>
      </c>
      <c r="U1717">
        <v>1</v>
      </c>
      <c r="W1717" t="s">
        <v>134</v>
      </c>
      <c r="X1717">
        <v>1</v>
      </c>
      <c r="Y1717" t="s">
        <v>139</v>
      </c>
      <c r="Z1717" t="s">
        <v>183</v>
      </c>
      <c r="AA1717" t="s">
        <v>147</v>
      </c>
      <c r="AB1717" t="s">
        <v>162</v>
      </c>
      <c r="AC1717" t="s">
        <v>578</v>
      </c>
      <c r="AD1717" t="s">
        <v>157</v>
      </c>
      <c r="AE1717" t="s">
        <v>127</v>
      </c>
      <c r="AF1717" t="s">
        <v>153</v>
      </c>
    </row>
    <row r="1718" spans="1:32">
      <c r="A1718" t="s">
        <v>2682</v>
      </c>
      <c r="B1718" s="37">
        <v>40007</v>
      </c>
      <c r="C1718" s="38">
        <v>40007</v>
      </c>
      <c r="D1718" s="38">
        <v>40007</v>
      </c>
      <c r="E1718" s="38">
        <v>39995</v>
      </c>
      <c r="F1718" s="39">
        <v>102</v>
      </c>
      <c r="G1718" t="s">
        <v>380</v>
      </c>
      <c r="H1718" t="s">
        <v>17</v>
      </c>
      <c r="I1718">
        <v>0</v>
      </c>
      <c r="J1718">
        <v>0</v>
      </c>
      <c r="K1718">
        <v>1</v>
      </c>
      <c r="L1718">
        <v>0</v>
      </c>
      <c r="M1718">
        <v>0</v>
      </c>
      <c r="N1718" t="s">
        <v>193</v>
      </c>
      <c r="O1718" t="s">
        <v>213</v>
      </c>
      <c r="P1718" t="s">
        <v>204</v>
      </c>
      <c r="Q1718" t="s">
        <v>170</v>
      </c>
      <c r="R1718" t="s">
        <v>155</v>
      </c>
      <c r="T1718" t="s">
        <v>134</v>
      </c>
      <c r="U1718">
        <v>1</v>
      </c>
      <c r="W1718" t="s">
        <v>134</v>
      </c>
      <c r="X1718">
        <v>1</v>
      </c>
      <c r="Y1718" t="s">
        <v>140</v>
      </c>
      <c r="Z1718" t="s">
        <v>186</v>
      </c>
      <c r="AA1718" t="s">
        <v>145</v>
      </c>
      <c r="AB1718" t="s">
        <v>162</v>
      </c>
      <c r="AC1718" t="s">
        <v>2683</v>
      </c>
      <c r="AD1718" t="s">
        <v>156</v>
      </c>
      <c r="AE1718" t="s">
        <v>120</v>
      </c>
      <c r="AF1718" t="s">
        <v>857</v>
      </c>
    </row>
    <row r="1719" spans="1:32">
      <c r="A1719" t="s">
        <v>2684</v>
      </c>
      <c r="B1719" s="37">
        <v>39965</v>
      </c>
      <c r="C1719" s="38">
        <v>39965</v>
      </c>
      <c r="D1719" s="38">
        <v>39965</v>
      </c>
      <c r="E1719" s="38">
        <v>39965</v>
      </c>
      <c r="F1719" s="39">
        <v>60</v>
      </c>
      <c r="G1719" t="s">
        <v>21</v>
      </c>
      <c r="H1719" t="s">
        <v>21</v>
      </c>
      <c r="I1719">
        <v>0</v>
      </c>
      <c r="J1719">
        <v>0</v>
      </c>
      <c r="K1719">
        <v>0</v>
      </c>
      <c r="L1719">
        <v>1</v>
      </c>
      <c r="M1719">
        <v>0</v>
      </c>
      <c r="N1719" t="s">
        <v>193</v>
      </c>
      <c r="O1719" t="s">
        <v>213</v>
      </c>
      <c r="P1719" t="s">
        <v>204</v>
      </c>
      <c r="Q1719" t="s">
        <v>170</v>
      </c>
      <c r="R1719" t="s">
        <v>155</v>
      </c>
      <c r="T1719" t="s">
        <v>134</v>
      </c>
      <c r="U1719">
        <v>1</v>
      </c>
      <c r="W1719" t="s">
        <v>134</v>
      </c>
      <c r="X1719">
        <v>1</v>
      </c>
      <c r="Y1719" t="s">
        <v>140</v>
      </c>
      <c r="Z1719" t="s">
        <v>179</v>
      </c>
      <c r="AA1719" t="s">
        <v>146</v>
      </c>
      <c r="AB1719" t="s">
        <v>162</v>
      </c>
      <c r="AC1719" t="s">
        <v>174</v>
      </c>
      <c r="AD1719" t="s">
        <v>156</v>
      </c>
      <c r="AE1719" t="s">
        <v>120</v>
      </c>
      <c r="AF1719" t="s">
        <v>715</v>
      </c>
    </row>
    <row r="1720" spans="1:32">
      <c r="A1720" t="s">
        <v>2685</v>
      </c>
      <c r="B1720" s="37">
        <v>39954</v>
      </c>
      <c r="C1720" s="38">
        <v>39954</v>
      </c>
      <c r="D1720" s="38">
        <v>39951</v>
      </c>
      <c r="E1720" s="38">
        <v>39934</v>
      </c>
      <c r="F1720" s="39">
        <v>49</v>
      </c>
      <c r="G1720" t="s">
        <v>21</v>
      </c>
      <c r="H1720" t="s">
        <v>21</v>
      </c>
      <c r="I1720">
        <v>0</v>
      </c>
      <c r="J1720">
        <v>0</v>
      </c>
      <c r="K1720">
        <v>0</v>
      </c>
      <c r="L1720">
        <v>1</v>
      </c>
      <c r="M1720">
        <v>0</v>
      </c>
      <c r="N1720" t="s">
        <v>194</v>
      </c>
      <c r="O1720" t="s">
        <v>213</v>
      </c>
      <c r="P1720" t="s">
        <v>205</v>
      </c>
      <c r="Q1720" t="s">
        <v>170</v>
      </c>
      <c r="R1720" t="s">
        <v>155</v>
      </c>
      <c r="T1720" t="s">
        <v>134</v>
      </c>
      <c r="U1720">
        <v>1</v>
      </c>
      <c r="W1720" t="s">
        <v>134</v>
      </c>
      <c r="X1720">
        <v>1</v>
      </c>
      <c r="Y1720" t="s">
        <v>139</v>
      </c>
      <c r="Z1720" t="s">
        <v>181</v>
      </c>
      <c r="AA1720" t="s">
        <v>143</v>
      </c>
      <c r="AB1720" t="s">
        <v>162</v>
      </c>
      <c r="AC1720" t="s">
        <v>174</v>
      </c>
      <c r="AD1720" t="s">
        <v>156</v>
      </c>
      <c r="AE1720" t="s">
        <v>120</v>
      </c>
      <c r="AF1720" t="s">
        <v>1399</v>
      </c>
    </row>
    <row r="1721" spans="1:32">
      <c r="A1721" t="s">
        <v>2686</v>
      </c>
      <c r="B1721" s="37">
        <v>39992</v>
      </c>
      <c r="C1721" s="38">
        <v>39992</v>
      </c>
      <c r="D1721" s="38">
        <v>39986</v>
      </c>
      <c r="E1721" s="38">
        <v>39965</v>
      </c>
      <c r="F1721" s="39">
        <v>87</v>
      </c>
      <c r="G1721" t="s">
        <v>21</v>
      </c>
      <c r="H1721" t="s">
        <v>21</v>
      </c>
      <c r="I1721">
        <v>0</v>
      </c>
      <c r="J1721">
        <v>0</v>
      </c>
      <c r="K1721">
        <v>0</v>
      </c>
      <c r="L1721">
        <v>1</v>
      </c>
      <c r="M1721">
        <v>0</v>
      </c>
      <c r="N1721" t="s">
        <v>195</v>
      </c>
      <c r="O1721" t="s">
        <v>213</v>
      </c>
      <c r="P1721" t="s">
        <v>206</v>
      </c>
      <c r="Q1721" t="s">
        <v>170</v>
      </c>
      <c r="R1721" t="s">
        <v>155</v>
      </c>
      <c r="T1721" t="s">
        <v>134</v>
      </c>
      <c r="U1721">
        <v>1</v>
      </c>
      <c r="V1721">
        <v>4</v>
      </c>
      <c r="W1721" t="s">
        <v>137</v>
      </c>
      <c r="X1721">
        <v>0</v>
      </c>
      <c r="Y1721" t="s">
        <v>139</v>
      </c>
      <c r="Z1721" t="s">
        <v>413</v>
      </c>
      <c r="AA1721" t="s">
        <v>142</v>
      </c>
      <c r="AB1721" t="s">
        <v>162</v>
      </c>
      <c r="AC1721" t="s">
        <v>175</v>
      </c>
      <c r="AD1721" t="s">
        <v>159</v>
      </c>
      <c r="AE1721" t="s">
        <v>126</v>
      </c>
      <c r="AF1721" t="s">
        <v>601</v>
      </c>
    </row>
    <row r="1722" spans="1:32">
      <c r="A1722" t="s">
        <v>2687</v>
      </c>
      <c r="B1722" s="37">
        <v>39996</v>
      </c>
      <c r="C1722" s="38">
        <v>39996</v>
      </c>
      <c r="D1722" s="38">
        <v>39993</v>
      </c>
      <c r="E1722" s="38">
        <v>39995</v>
      </c>
      <c r="F1722" s="39">
        <v>91</v>
      </c>
      <c r="G1722" t="s">
        <v>380</v>
      </c>
      <c r="H1722" t="s">
        <v>17</v>
      </c>
      <c r="I1722">
        <v>0</v>
      </c>
      <c r="J1722">
        <v>0</v>
      </c>
      <c r="K1722">
        <v>1</v>
      </c>
      <c r="L1722">
        <v>0</v>
      </c>
      <c r="M1722">
        <v>0</v>
      </c>
      <c r="N1722" t="s">
        <v>193</v>
      </c>
      <c r="O1722" t="s">
        <v>213</v>
      </c>
      <c r="P1722" t="s">
        <v>204</v>
      </c>
      <c r="Q1722" t="s">
        <v>170</v>
      </c>
      <c r="R1722" t="s">
        <v>155</v>
      </c>
      <c r="T1722" t="s">
        <v>134</v>
      </c>
      <c r="U1722">
        <v>1</v>
      </c>
      <c r="V1722">
        <v>5</v>
      </c>
      <c r="W1722" t="s">
        <v>135</v>
      </c>
      <c r="X1722">
        <v>0</v>
      </c>
      <c r="Y1722" t="s">
        <v>140</v>
      </c>
      <c r="Z1722" t="s">
        <v>185</v>
      </c>
      <c r="AA1722" t="s">
        <v>148</v>
      </c>
      <c r="AB1722" t="s">
        <v>162</v>
      </c>
      <c r="AC1722" t="s">
        <v>21</v>
      </c>
      <c r="AD1722" t="s">
        <v>155</v>
      </c>
      <c r="AE1722" t="s">
        <v>130</v>
      </c>
      <c r="AF1722" t="s">
        <v>21</v>
      </c>
    </row>
    <row r="1723" spans="1:32">
      <c r="A1723" t="s">
        <v>2688</v>
      </c>
      <c r="B1723" s="37">
        <v>39982</v>
      </c>
      <c r="C1723" s="38">
        <v>39982</v>
      </c>
      <c r="D1723" s="38">
        <v>39979</v>
      </c>
      <c r="E1723" s="38">
        <v>39965</v>
      </c>
      <c r="F1723" s="39">
        <v>77</v>
      </c>
      <c r="G1723" t="s">
        <v>380</v>
      </c>
      <c r="H1723" t="s">
        <v>17</v>
      </c>
      <c r="I1723">
        <v>0</v>
      </c>
      <c r="J1723">
        <v>0</v>
      </c>
      <c r="K1723">
        <v>1</v>
      </c>
      <c r="L1723">
        <v>0</v>
      </c>
      <c r="M1723">
        <v>0</v>
      </c>
      <c r="N1723" t="s">
        <v>194</v>
      </c>
      <c r="O1723" t="s">
        <v>213</v>
      </c>
      <c r="P1723" t="s">
        <v>205</v>
      </c>
      <c r="Q1723" t="s">
        <v>170</v>
      </c>
      <c r="R1723" t="s">
        <v>155</v>
      </c>
      <c r="T1723" t="s">
        <v>134</v>
      </c>
      <c r="U1723">
        <v>1</v>
      </c>
      <c r="W1723" t="s">
        <v>134</v>
      </c>
      <c r="X1723">
        <v>1</v>
      </c>
      <c r="Y1723" t="s">
        <v>139</v>
      </c>
      <c r="Z1723" t="s">
        <v>185</v>
      </c>
      <c r="AA1723" t="s">
        <v>146</v>
      </c>
      <c r="AB1723" t="s">
        <v>163</v>
      </c>
      <c r="AC1723" t="s">
        <v>173</v>
      </c>
      <c r="AD1723" t="s">
        <v>155</v>
      </c>
      <c r="AE1723" t="s">
        <v>125</v>
      </c>
      <c r="AF1723" t="s">
        <v>21</v>
      </c>
    </row>
    <row r="1724" spans="1:32">
      <c r="A1724" t="s">
        <v>2689</v>
      </c>
      <c r="B1724" s="37">
        <v>40016</v>
      </c>
      <c r="C1724" s="38">
        <v>40016</v>
      </c>
      <c r="D1724" s="38">
        <v>40014</v>
      </c>
      <c r="E1724" s="38">
        <v>39995</v>
      </c>
      <c r="F1724" s="39">
        <v>111</v>
      </c>
      <c r="G1724" t="s">
        <v>21</v>
      </c>
      <c r="H1724" t="s">
        <v>21</v>
      </c>
      <c r="I1724">
        <v>0</v>
      </c>
      <c r="J1724">
        <v>0</v>
      </c>
      <c r="K1724">
        <v>0</v>
      </c>
      <c r="L1724">
        <v>1</v>
      </c>
      <c r="M1724">
        <v>0</v>
      </c>
      <c r="N1724" t="s">
        <v>193</v>
      </c>
      <c r="O1724" t="s">
        <v>213</v>
      </c>
      <c r="P1724" t="s">
        <v>204</v>
      </c>
      <c r="Q1724" t="s">
        <v>170</v>
      </c>
      <c r="R1724" t="s">
        <v>155</v>
      </c>
      <c r="S1724">
        <v>5</v>
      </c>
      <c r="T1724" t="s">
        <v>135</v>
      </c>
      <c r="U1724">
        <v>0</v>
      </c>
      <c r="V1724">
        <v>5</v>
      </c>
      <c r="W1724" t="s">
        <v>135</v>
      </c>
      <c r="X1724">
        <v>0</v>
      </c>
      <c r="Y1724" t="s">
        <v>140</v>
      </c>
      <c r="Z1724" t="s">
        <v>188</v>
      </c>
      <c r="AA1724" t="s">
        <v>143</v>
      </c>
      <c r="AB1724" t="s">
        <v>163</v>
      </c>
      <c r="AC1724" t="s">
        <v>1042</v>
      </c>
      <c r="AD1724" t="s">
        <v>155</v>
      </c>
      <c r="AE1724" t="s">
        <v>125</v>
      </c>
      <c r="AF1724" t="s">
        <v>21</v>
      </c>
    </row>
    <row r="1725" spans="1:32">
      <c r="A1725" t="s">
        <v>2690</v>
      </c>
      <c r="B1725" s="37">
        <v>40015</v>
      </c>
      <c r="C1725" s="38">
        <v>40015</v>
      </c>
      <c r="D1725" s="38">
        <v>40014</v>
      </c>
      <c r="E1725" s="38">
        <v>39995</v>
      </c>
      <c r="F1725" s="39">
        <v>110</v>
      </c>
      <c r="G1725" t="s">
        <v>21</v>
      </c>
      <c r="H1725" t="s">
        <v>21</v>
      </c>
      <c r="I1725">
        <v>0</v>
      </c>
      <c r="J1725">
        <v>0</v>
      </c>
      <c r="K1725">
        <v>0</v>
      </c>
      <c r="L1725">
        <v>1</v>
      </c>
      <c r="M1725">
        <v>0</v>
      </c>
      <c r="N1725" t="s">
        <v>193</v>
      </c>
      <c r="O1725" t="s">
        <v>213</v>
      </c>
      <c r="P1725" t="s">
        <v>204</v>
      </c>
      <c r="Q1725" t="s">
        <v>170</v>
      </c>
      <c r="R1725" t="s">
        <v>155</v>
      </c>
      <c r="S1725">
        <v>5</v>
      </c>
      <c r="T1725" t="s">
        <v>135</v>
      </c>
      <c r="U1725">
        <v>0</v>
      </c>
      <c r="V1725">
        <v>5</v>
      </c>
      <c r="W1725" t="s">
        <v>135</v>
      </c>
      <c r="X1725">
        <v>0</v>
      </c>
      <c r="Y1725" t="s">
        <v>140</v>
      </c>
      <c r="Z1725" t="s">
        <v>188</v>
      </c>
      <c r="AA1725" t="s">
        <v>143</v>
      </c>
      <c r="AB1725" t="s">
        <v>162</v>
      </c>
      <c r="AC1725" t="s">
        <v>174</v>
      </c>
      <c r="AD1725" t="s">
        <v>156</v>
      </c>
      <c r="AE1725" t="s">
        <v>120</v>
      </c>
      <c r="AF1725" t="s">
        <v>715</v>
      </c>
    </row>
    <row r="1726" spans="1:32">
      <c r="A1726" t="s">
        <v>2691</v>
      </c>
      <c r="B1726" s="37">
        <v>39923</v>
      </c>
      <c r="C1726" s="38">
        <v>39923</v>
      </c>
      <c r="D1726" s="38">
        <v>39923</v>
      </c>
      <c r="E1726" s="38">
        <v>39904</v>
      </c>
      <c r="F1726" s="39">
        <v>18</v>
      </c>
      <c r="G1726" t="s">
        <v>9</v>
      </c>
      <c r="H1726" t="s">
        <v>9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193</v>
      </c>
      <c r="O1726" t="s">
        <v>213</v>
      </c>
      <c r="P1726" t="s">
        <v>204</v>
      </c>
      <c r="Q1726" t="s">
        <v>170</v>
      </c>
      <c r="R1726" t="s">
        <v>155</v>
      </c>
      <c r="T1726" t="s">
        <v>134</v>
      </c>
      <c r="U1726">
        <v>1</v>
      </c>
      <c r="W1726" t="s">
        <v>134</v>
      </c>
      <c r="X1726">
        <v>1</v>
      </c>
      <c r="Y1726" t="s">
        <v>140</v>
      </c>
      <c r="Z1726" t="s">
        <v>479</v>
      </c>
      <c r="AA1726" t="s">
        <v>143</v>
      </c>
      <c r="AB1726" t="s">
        <v>162</v>
      </c>
      <c r="AC1726" t="s">
        <v>174</v>
      </c>
      <c r="AD1726" t="s">
        <v>156</v>
      </c>
      <c r="AE1726" t="s">
        <v>120</v>
      </c>
      <c r="AF1726" t="s">
        <v>715</v>
      </c>
    </row>
    <row r="1727" spans="1:32">
      <c r="A1727" t="s">
        <v>2692</v>
      </c>
      <c r="B1727" s="37">
        <v>40029</v>
      </c>
      <c r="C1727" s="38">
        <v>40029</v>
      </c>
      <c r="D1727" s="38">
        <v>40028</v>
      </c>
      <c r="E1727" s="38">
        <v>40026</v>
      </c>
      <c r="F1727" s="39">
        <v>124</v>
      </c>
      <c r="G1727" t="s">
        <v>21</v>
      </c>
      <c r="H1727" t="s">
        <v>21</v>
      </c>
      <c r="I1727">
        <v>0</v>
      </c>
      <c r="J1727">
        <v>0</v>
      </c>
      <c r="K1727">
        <v>0</v>
      </c>
      <c r="L1727">
        <v>1</v>
      </c>
      <c r="M1727">
        <v>0</v>
      </c>
      <c r="N1727" t="s">
        <v>193</v>
      </c>
      <c r="O1727" t="s">
        <v>213</v>
      </c>
      <c r="P1727" t="s">
        <v>204</v>
      </c>
      <c r="Q1727" t="s">
        <v>170</v>
      </c>
      <c r="R1727" t="s">
        <v>155</v>
      </c>
      <c r="S1727">
        <v>5</v>
      </c>
      <c r="T1727" t="s">
        <v>135</v>
      </c>
      <c r="U1727">
        <v>0</v>
      </c>
      <c r="V1727">
        <v>2</v>
      </c>
      <c r="W1727" t="s">
        <v>136</v>
      </c>
      <c r="X1727">
        <v>0</v>
      </c>
      <c r="Y1727" t="s">
        <v>140</v>
      </c>
      <c r="Z1727" t="s">
        <v>179</v>
      </c>
      <c r="AA1727" t="s">
        <v>148</v>
      </c>
      <c r="AB1727" t="s">
        <v>162</v>
      </c>
      <c r="AC1727" t="s">
        <v>459</v>
      </c>
      <c r="AD1727" t="s">
        <v>155</v>
      </c>
      <c r="AE1727" t="s">
        <v>129</v>
      </c>
      <c r="AF1727" t="s">
        <v>21</v>
      </c>
    </row>
    <row r="1728" spans="1:32">
      <c r="A1728" t="s">
        <v>2693</v>
      </c>
      <c r="B1728" s="37">
        <v>40071</v>
      </c>
      <c r="C1728" s="38">
        <v>40071</v>
      </c>
      <c r="D1728" s="38">
        <v>40070</v>
      </c>
      <c r="E1728" s="38">
        <v>40057</v>
      </c>
      <c r="F1728" s="39">
        <v>166</v>
      </c>
      <c r="G1728" t="s">
        <v>21</v>
      </c>
      <c r="H1728" t="s">
        <v>21</v>
      </c>
      <c r="I1728">
        <v>0</v>
      </c>
      <c r="J1728">
        <v>0</v>
      </c>
      <c r="K1728">
        <v>0</v>
      </c>
      <c r="L1728">
        <v>1</v>
      </c>
      <c r="M1728">
        <v>0</v>
      </c>
      <c r="N1728" t="s">
        <v>193</v>
      </c>
      <c r="O1728" t="s">
        <v>213</v>
      </c>
      <c r="P1728" t="s">
        <v>204</v>
      </c>
      <c r="Q1728" t="s">
        <v>170</v>
      </c>
      <c r="R1728" t="s">
        <v>155</v>
      </c>
      <c r="S1728">
        <v>1</v>
      </c>
      <c r="T1728" t="s">
        <v>136</v>
      </c>
      <c r="U1728">
        <v>0</v>
      </c>
      <c r="V1728">
        <v>3</v>
      </c>
      <c r="W1728" t="s">
        <v>137</v>
      </c>
      <c r="X1728">
        <v>0</v>
      </c>
      <c r="Y1728" t="s">
        <v>140</v>
      </c>
      <c r="Z1728" t="s">
        <v>179</v>
      </c>
      <c r="AA1728" t="s">
        <v>142</v>
      </c>
      <c r="AB1728" t="s">
        <v>163</v>
      </c>
      <c r="AC1728" t="s">
        <v>173</v>
      </c>
      <c r="AD1728" t="s">
        <v>155</v>
      </c>
      <c r="AE1728" t="s">
        <v>763</v>
      </c>
      <c r="AF1728" t="s">
        <v>21</v>
      </c>
    </row>
    <row r="1729" spans="1:32">
      <c r="A1729" t="s">
        <v>2694</v>
      </c>
      <c r="B1729" s="37">
        <v>39911</v>
      </c>
      <c r="C1729" s="38">
        <v>39911</v>
      </c>
      <c r="D1729" s="38">
        <v>39909</v>
      </c>
      <c r="E1729" s="38">
        <v>39904</v>
      </c>
      <c r="F1729" s="39">
        <v>6</v>
      </c>
      <c r="G1729" t="s">
        <v>21</v>
      </c>
      <c r="H1729" t="s">
        <v>21</v>
      </c>
      <c r="I1729">
        <v>0</v>
      </c>
      <c r="J1729">
        <v>0</v>
      </c>
      <c r="K1729">
        <v>0</v>
      </c>
      <c r="L1729">
        <v>1</v>
      </c>
      <c r="M1729">
        <v>0</v>
      </c>
      <c r="N1729" t="s">
        <v>200</v>
      </c>
      <c r="O1729" t="s">
        <v>214</v>
      </c>
      <c r="P1729" t="s">
        <v>208</v>
      </c>
      <c r="Q1729" t="s">
        <v>170</v>
      </c>
      <c r="R1729" t="s">
        <v>155</v>
      </c>
      <c r="T1729" t="s">
        <v>134</v>
      </c>
      <c r="U1729">
        <v>1</v>
      </c>
      <c r="W1729" t="s">
        <v>134</v>
      </c>
      <c r="X1729">
        <v>1</v>
      </c>
      <c r="Y1729" t="s">
        <v>139</v>
      </c>
      <c r="Z1729" t="s">
        <v>181</v>
      </c>
      <c r="AA1729" t="s">
        <v>143</v>
      </c>
      <c r="AB1729" t="s">
        <v>162</v>
      </c>
      <c r="AC1729" t="s">
        <v>174</v>
      </c>
      <c r="AD1729" t="s">
        <v>157</v>
      </c>
      <c r="AE1729" t="s">
        <v>130</v>
      </c>
      <c r="AF1729" t="s">
        <v>437</v>
      </c>
    </row>
    <row r="1730" spans="1:32">
      <c r="A1730" t="s">
        <v>2695</v>
      </c>
      <c r="B1730" s="37">
        <v>39920</v>
      </c>
      <c r="C1730" s="38">
        <v>39920</v>
      </c>
      <c r="D1730" s="38">
        <v>39916</v>
      </c>
      <c r="E1730" s="38">
        <v>39904</v>
      </c>
      <c r="F1730" s="39">
        <v>15</v>
      </c>
      <c r="G1730" t="s">
        <v>380</v>
      </c>
      <c r="H1730" t="s">
        <v>17</v>
      </c>
      <c r="I1730">
        <v>0</v>
      </c>
      <c r="J1730">
        <v>0</v>
      </c>
      <c r="K1730">
        <v>1</v>
      </c>
      <c r="L1730">
        <v>0</v>
      </c>
      <c r="M1730">
        <v>0</v>
      </c>
      <c r="N1730" t="s">
        <v>194</v>
      </c>
      <c r="O1730" t="s">
        <v>213</v>
      </c>
      <c r="P1730" t="s">
        <v>205</v>
      </c>
      <c r="Q1730" t="s">
        <v>170</v>
      </c>
      <c r="R1730" t="s">
        <v>155</v>
      </c>
      <c r="T1730" t="s">
        <v>134</v>
      </c>
      <c r="U1730">
        <v>1</v>
      </c>
      <c r="W1730" t="s">
        <v>134</v>
      </c>
      <c r="X1730">
        <v>1</v>
      </c>
      <c r="Y1730" t="s">
        <v>139</v>
      </c>
      <c r="Z1730" t="s">
        <v>409</v>
      </c>
      <c r="AA1730" t="s">
        <v>148</v>
      </c>
      <c r="AB1730" t="s">
        <v>163</v>
      </c>
      <c r="AC1730" t="s">
        <v>173</v>
      </c>
      <c r="AD1730" t="s">
        <v>155</v>
      </c>
      <c r="AE1730" t="s">
        <v>692</v>
      </c>
      <c r="AF1730" t="s">
        <v>21</v>
      </c>
    </row>
    <row r="1731" spans="1:32">
      <c r="A1731" t="s">
        <v>2696</v>
      </c>
      <c r="B1731" s="37">
        <v>40039</v>
      </c>
      <c r="C1731" s="38">
        <v>40039</v>
      </c>
      <c r="D1731" s="38">
        <v>40035</v>
      </c>
      <c r="E1731" s="38">
        <v>40026</v>
      </c>
      <c r="F1731" s="39">
        <v>134</v>
      </c>
      <c r="G1731" t="s">
        <v>21</v>
      </c>
      <c r="H1731" t="s">
        <v>21</v>
      </c>
      <c r="I1731">
        <v>0</v>
      </c>
      <c r="J1731">
        <v>0</v>
      </c>
      <c r="K1731">
        <v>0</v>
      </c>
      <c r="L1731">
        <v>1</v>
      </c>
      <c r="M1731">
        <v>0</v>
      </c>
      <c r="N1731" t="s">
        <v>195</v>
      </c>
      <c r="O1731" t="s">
        <v>213</v>
      </c>
      <c r="P1731" t="s">
        <v>206</v>
      </c>
      <c r="Q1731" t="s">
        <v>170</v>
      </c>
      <c r="R1731" t="s">
        <v>155</v>
      </c>
      <c r="S1731">
        <v>5</v>
      </c>
      <c r="T1731" t="s">
        <v>135</v>
      </c>
      <c r="U1731">
        <v>0</v>
      </c>
      <c r="V1731">
        <v>2</v>
      </c>
      <c r="W1731" t="s">
        <v>136</v>
      </c>
      <c r="X1731">
        <v>0</v>
      </c>
      <c r="Y1731" t="s">
        <v>139</v>
      </c>
      <c r="Z1731" t="s">
        <v>409</v>
      </c>
      <c r="AA1731" t="s">
        <v>145</v>
      </c>
      <c r="AB1731" t="s">
        <v>162</v>
      </c>
      <c r="AC1731" t="s">
        <v>21</v>
      </c>
      <c r="AD1731" t="s">
        <v>157</v>
      </c>
      <c r="AE1731" t="s">
        <v>434</v>
      </c>
      <c r="AF1731" t="s">
        <v>449</v>
      </c>
    </row>
    <row r="1732" spans="1:32">
      <c r="A1732" t="s">
        <v>2697</v>
      </c>
      <c r="B1732" s="37">
        <v>40078</v>
      </c>
      <c r="C1732" s="38">
        <v>40078</v>
      </c>
      <c r="D1732" s="38">
        <v>40077</v>
      </c>
      <c r="E1732" s="38">
        <v>40057</v>
      </c>
      <c r="F1732" s="39">
        <v>173</v>
      </c>
      <c r="G1732" t="s">
        <v>21</v>
      </c>
      <c r="H1732" t="s">
        <v>21</v>
      </c>
      <c r="I1732">
        <v>0</v>
      </c>
      <c r="J1732">
        <v>0</v>
      </c>
      <c r="K1732">
        <v>0</v>
      </c>
      <c r="L1732">
        <v>1</v>
      </c>
      <c r="M1732">
        <v>0</v>
      </c>
      <c r="N1732" t="s">
        <v>193</v>
      </c>
      <c r="O1732" t="s">
        <v>213</v>
      </c>
      <c r="P1732" t="s">
        <v>204</v>
      </c>
      <c r="Q1732" t="s">
        <v>170</v>
      </c>
      <c r="R1732" t="s">
        <v>155</v>
      </c>
      <c r="S1732">
        <v>5</v>
      </c>
      <c r="T1732" t="s">
        <v>135</v>
      </c>
      <c r="U1732">
        <v>0</v>
      </c>
      <c r="V1732">
        <v>5</v>
      </c>
      <c r="W1732" t="s">
        <v>135</v>
      </c>
      <c r="X1732">
        <v>0</v>
      </c>
      <c r="Y1732" t="s">
        <v>140</v>
      </c>
      <c r="Z1732" t="s">
        <v>189</v>
      </c>
      <c r="AA1732" t="s">
        <v>143</v>
      </c>
      <c r="AB1732" t="s">
        <v>162</v>
      </c>
      <c r="AC1732" t="s">
        <v>619</v>
      </c>
      <c r="AD1732" t="s">
        <v>156</v>
      </c>
      <c r="AE1732" t="s">
        <v>120</v>
      </c>
      <c r="AF1732" t="s">
        <v>2698</v>
      </c>
    </row>
    <row r="1733" spans="1:32">
      <c r="A1733" t="s">
        <v>2699</v>
      </c>
      <c r="B1733" s="37">
        <v>39913</v>
      </c>
      <c r="C1733" s="38">
        <v>39913</v>
      </c>
      <c r="D1733" s="38">
        <v>39909</v>
      </c>
      <c r="E1733" s="38">
        <v>39904</v>
      </c>
      <c r="F1733" s="39">
        <v>8</v>
      </c>
      <c r="G1733" t="s">
        <v>525</v>
      </c>
      <c r="H1733" t="s">
        <v>17</v>
      </c>
      <c r="I1733">
        <v>0</v>
      </c>
      <c r="J1733">
        <v>0</v>
      </c>
      <c r="K1733">
        <v>1</v>
      </c>
      <c r="L1733">
        <v>0</v>
      </c>
      <c r="M1733">
        <v>0</v>
      </c>
      <c r="N1733" t="s">
        <v>202</v>
      </c>
      <c r="O1733" t="s">
        <v>213</v>
      </c>
      <c r="P1733" t="s">
        <v>211</v>
      </c>
      <c r="Q1733" t="s">
        <v>170</v>
      </c>
      <c r="R1733" t="s">
        <v>155</v>
      </c>
      <c r="T1733" t="s">
        <v>134</v>
      </c>
      <c r="U1733">
        <v>1</v>
      </c>
      <c r="W1733" t="s">
        <v>134</v>
      </c>
      <c r="X1733">
        <v>1</v>
      </c>
      <c r="Y1733" t="s">
        <v>139</v>
      </c>
      <c r="Z1733" t="s">
        <v>189</v>
      </c>
      <c r="AA1733" t="s">
        <v>147</v>
      </c>
      <c r="AB1733" t="s">
        <v>162</v>
      </c>
      <c r="AC1733" t="s">
        <v>429</v>
      </c>
      <c r="AD1733" t="s">
        <v>155</v>
      </c>
      <c r="AE1733" t="s">
        <v>130</v>
      </c>
      <c r="AF1733" t="s">
        <v>21</v>
      </c>
    </row>
    <row r="1734" spans="1:32">
      <c r="A1734" t="s">
        <v>2700</v>
      </c>
      <c r="B1734" s="37">
        <v>39992</v>
      </c>
      <c r="C1734" s="38">
        <v>39992</v>
      </c>
      <c r="D1734" s="38">
        <v>39986</v>
      </c>
      <c r="E1734" s="38">
        <v>39965</v>
      </c>
      <c r="F1734" s="39">
        <v>87</v>
      </c>
      <c r="G1734" t="s">
        <v>21</v>
      </c>
      <c r="H1734" t="s">
        <v>21</v>
      </c>
      <c r="I1734">
        <v>0</v>
      </c>
      <c r="J1734">
        <v>0</v>
      </c>
      <c r="K1734">
        <v>0</v>
      </c>
      <c r="L1734">
        <v>1</v>
      </c>
      <c r="M1734">
        <v>0</v>
      </c>
      <c r="N1734" t="s">
        <v>195</v>
      </c>
      <c r="O1734" t="s">
        <v>213</v>
      </c>
      <c r="P1734" t="s">
        <v>206</v>
      </c>
      <c r="Q1734" t="s">
        <v>170</v>
      </c>
      <c r="R1734" t="s">
        <v>155</v>
      </c>
      <c r="T1734" t="s">
        <v>134</v>
      </c>
      <c r="U1734">
        <v>1</v>
      </c>
      <c r="V1734">
        <v>5</v>
      </c>
      <c r="W1734" t="s">
        <v>135</v>
      </c>
      <c r="X1734">
        <v>0</v>
      </c>
      <c r="Y1734" t="s">
        <v>139</v>
      </c>
      <c r="Z1734" t="s">
        <v>179</v>
      </c>
      <c r="AA1734" t="s">
        <v>148</v>
      </c>
      <c r="AB1734" t="s">
        <v>162</v>
      </c>
      <c r="AC1734" t="s">
        <v>175</v>
      </c>
      <c r="AD1734" t="s">
        <v>155</v>
      </c>
      <c r="AE1734" t="s">
        <v>130</v>
      </c>
      <c r="AF1734" t="s">
        <v>21</v>
      </c>
    </row>
    <row r="1735" spans="1:32">
      <c r="A1735" t="s">
        <v>2701</v>
      </c>
      <c r="B1735" s="37">
        <v>39925</v>
      </c>
      <c r="C1735" s="38">
        <v>39925</v>
      </c>
      <c r="D1735" s="38">
        <v>39923</v>
      </c>
      <c r="E1735" s="38">
        <v>39904</v>
      </c>
      <c r="F1735" s="39">
        <v>20</v>
      </c>
      <c r="G1735" t="s">
        <v>21</v>
      </c>
      <c r="H1735" t="s">
        <v>21</v>
      </c>
      <c r="I1735">
        <v>0</v>
      </c>
      <c r="J1735">
        <v>0</v>
      </c>
      <c r="K1735">
        <v>0</v>
      </c>
      <c r="L1735">
        <v>1</v>
      </c>
      <c r="M1735">
        <v>0</v>
      </c>
      <c r="N1735" t="s">
        <v>199</v>
      </c>
      <c r="O1735" t="s">
        <v>213</v>
      </c>
      <c r="P1735" t="s">
        <v>210</v>
      </c>
      <c r="Q1735" t="s">
        <v>170</v>
      </c>
      <c r="R1735" t="s">
        <v>155</v>
      </c>
      <c r="T1735" t="s">
        <v>134</v>
      </c>
      <c r="U1735">
        <v>1</v>
      </c>
      <c r="W1735" t="s">
        <v>134</v>
      </c>
      <c r="X1735">
        <v>1</v>
      </c>
      <c r="Y1735" t="s">
        <v>139</v>
      </c>
      <c r="Z1735" t="s">
        <v>409</v>
      </c>
      <c r="AA1735" t="s">
        <v>149</v>
      </c>
      <c r="AB1735" t="s">
        <v>163</v>
      </c>
      <c r="AC1735" t="s">
        <v>173</v>
      </c>
      <c r="AD1735" t="s">
        <v>155</v>
      </c>
      <c r="AE1735" t="s">
        <v>406</v>
      </c>
      <c r="AF1735" t="s">
        <v>21</v>
      </c>
    </row>
    <row r="1736" spans="1:32">
      <c r="A1736" t="s">
        <v>2702</v>
      </c>
      <c r="B1736" s="37">
        <v>39947</v>
      </c>
      <c r="C1736" s="38">
        <v>39947</v>
      </c>
      <c r="D1736" s="38">
        <v>39944</v>
      </c>
      <c r="E1736" s="38">
        <v>39934</v>
      </c>
      <c r="F1736" s="39">
        <v>42</v>
      </c>
      <c r="G1736" t="s">
        <v>21</v>
      </c>
      <c r="H1736" t="s">
        <v>21</v>
      </c>
      <c r="I1736">
        <v>0</v>
      </c>
      <c r="J1736">
        <v>0</v>
      </c>
      <c r="K1736">
        <v>0</v>
      </c>
      <c r="L1736">
        <v>1</v>
      </c>
      <c r="M1736">
        <v>0</v>
      </c>
      <c r="N1736" t="s">
        <v>195</v>
      </c>
      <c r="O1736" t="s">
        <v>213</v>
      </c>
      <c r="P1736" t="s">
        <v>206</v>
      </c>
      <c r="Q1736" t="s">
        <v>170</v>
      </c>
      <c r="R1736" t="s">
        <v>155</v>
      </c>
      <c r="T1736" t="s">
        <v>134</v>
      </c>
      <c r="U1736">
        <v>1</v>
      </c>
      <c r="W1736" t="s">
        <v>134</v>
      </c>
      <c r="X1736">
        <v>1</v>
      </c>
      <c r="Y1736" t="s">
        <v>139</v>
      </c>
      <c r="Z1736" t="s">
        <v>181</v>
      </c>
      <c r="AA1736" t="s">
        <v>147</v>
      </c>
      <c r="AB1736" t="s">
        <v>163</v>
      </c>
      <c r="AC1736" t="s">
        <v>173</v>
      </c>
      <c r="AD1736" t="s">
        <v>155</v>
      </c>
      <c r="AE1736" t="s">
        <v>1113</v>
      </c>
      <c r="AF1736" t="s">
        <v>21</v>
      </c>
    </row>
    <row r="1737" spans="1:32">
      <c r="A1737" t="s">
        <v>2703</v>
      </c>
      <c r="B1737" s="37">
        <v>39993</v>
      </c>
      <c r="C1737" s="38">
        <v>39993</v>
      </c>
      <c r="D1737" s="38">
        <v>39993</v>
      </c>
      <c r="E1737" s="38">
        <v>39965</v>
      </c>
      <c r="F1737" s="39">
        <v>88</v>
      </c>
      <c r="G1737" t="s">
        <v>383</v>
      </c>
      <c r="H1737" t="s">
        <v>17</v>
      </c>
      <c r="I1737">
        <v>0</v>
      </c>
      <c r="J1737">
        <v>0</v>
      </c>
      <c r="K1737">
        <v>1</v>
      </c>
      <c r="L1737">
        <v>0</v>
      </c>
      <c r="M1737">
        <v>0</v>
      </c>
      <c r="N1737" t="s">
        <v>193</v>
      </c>
      <c r="O1737" t="s">
        <v>213</v>
      </c>
      <c r="P1737" t="s">
        <v>204</v>
      </c>
      <c r="Q1737" t="s">
        <v>170</v>
      </c>
      <c r="R1737" t="s">
        <v>155</v>
      </c>
      <c r="T1737" t="s">
        <v>134</v>
      </c>
      <c r="U1737">
        <v>1</v>
      </c>
      <c r="V1737">
        <v>3</v>
      </c>
      <c r="W1737" t="s">
        <v>137</v>
      </c>
      <c r="X1737">
        <v>0</v>
      </c>
      <c r="Y1737" t="s">
        <v>140</v>
      </c>
      <c r="Z1737" t="s">
        <v>189</v>
      </c>
      <c r="AA1737" t="s">
        <v>143</v>
      </c>
      <c r="AB1737" t="s">
        <v>162</v>
      </c>
      <c r="AC1737" t="s">
        <v>175</v>
      </c>
      <c r="AD1737" t="s">
        <v>159</v>
      </c>
      <c r="AE1737" t="s">
        <v>126</v>
      </c>
      <c r="AF1737" t="s">
        <v>601</v>
      </c>
    </row>
    <row r="1738" spans="1:32">
      <c r="A1738" t="s">
        <v>2704</v>
      </c>
      <c r="B1738" s="37">
        <v>39914</v>
      </c>
      <c r="C1738" s="38">
        <v>39914</v>
      </c>
      <c r="D1738" s="38">
        <v>39909</v>
      </c>
      <c r="E1738" s="38">
        <v>39904</v>
      </c>
      <c r="F1738" s="39">
        <v>9</v>
      </c>
      <c r="G1738" t="s">
        <v>21</v>
      </c>
      <c r="H1738" t="s">
        <v>21</v>
      </c>
      <c r="I1738">
        <v>0</v>
      </c>
      <c r="J1738">
        <v>0</v>
      </c>
      <c r="K1738">
        <v>0</v>
      </c>
      <c r="L1738">
        <v>1</v>
      </c>
      <c r="M1738">
        <v>0</v>
      </c>
      <c r="N1738" t="s">
        <v>193</v>
      </c>
      <c r="O1738" t="s">
        <v>213</v>
      </c>
      <c r="P1738" t="s">
        <v>204</v>
      </c>
      <c r="Q1738" t="s">
        <v>170</v>
      </c>
      <c r="R1738" t="s">
        <v>155</v>
      </c>
      <c r="T1738" t="s">
        <v>134</v>
      </c>
      <c r="U1738">
        <v>1</v>
      </c>
      <c r="W1738" t="s">
        <v>134</v>
      </c>
      <c r="X1738">
        <v>1</v>
      </c>
      <c r="Y1738" t="s">
        <v>140</v>
      </c>
      <c r="Z1738" t="s">
        <v>191</v>
      </c>
      <c r="AA1738" t="s">
        <v>151</v>
      </c>
      <c r="AB1738" t="s">
        <v>165</v>
      </c>
      <c r="AC1738" t="s">
        <v>614</v>
      </c>
      <c r="AD1738" t="s">
        <v>158</v>
      </c>
      <c r="AE1738" t="s">
        <v>122</v>
      </c>
      <c r="AF1738" t="s">
        <v>21</v>
      </c>
    </row>
    <row r="1739" spans="1:32">
      <c r="A1739" t="s">
        <v>2705</v>
      </c>
      <c r="B1739" s="37">
        <v>40023</v>
      </c>
      <c r="C1739" s="38">
        <v>40023</v>
      </c>
      <c r="D1739" s="38">
        <v>40021</v>
      </c>
      <c r="E1739" s="38">
        <v>39995</v>
      </c>
      <c r="F1739" s="39">
        <v>118</v>
      </c>
      <c r="G1739" t="s">
        <v>21</v>
      </c>
      <c r="H1739" t="s">
        <v>21</v>
      </c>
      <c r="I1739">
        <v>0</v>
      </c>
      <c r="J1739">
        <v>0</v>
      </c>
      <c r="K1739">
        <v>0</v>
      </c>
      <c r="L1739">
        <v>1</v>
      </c>
      <c r="M1739">
        <v>0</v>
      </c>
      <c r="N1739" t="s">
        <v>193</v>
      </c>
      <c r="O1739" t="s">
        <v>213</v>
      </c>
      <c r="P1739" t="s">
        <v>204</v>
      </c>
      <c r="Q1739" t="s">
        <v>170</v>
      </c>
      <c r="R1739" t="s">
        <v>155</v>
      </c>
      <c r="S1739">
        <v>5</v>
      </c>
      <c r="T1739" t="s">
        <v>135</v>
      </c>
      <c r="U1739">
        <v>0</v>
      </c>
      <c r="V1739">
        <v>5</v>
      </c>
      <c r="W1739" t="s">
        <v>135</v>
      </c>
      <c r="X1739">
        <v>0</v>
      </c>
      <c r="Y1739" t="s">
        <v>140</v>
      </c>
      <c r="Z1739" t="s">
        <v>528</v>
      </c>
      <c r="AA1739" t="s">
        <v>144</v>
      </c>
      <c r="AB1739" t="s">
        <v>162</v>
      </c>
      <c r="AC1739" t="s">
        <v>175</v>
      </c>
      <c r="AD1739" t="s">
        <v>155</v>
      </c>
      <c r="AE1739" t="s">
        <v>129</v>
      </c>
      <c r="AF1739" t="s">
        <v>21</v>
      </c>
    </row>
    <row r="1740" spans="1:32">
      <c r="A1740" t="s">
        <v>2706</v>
      </c>
      <c r="B1740" s="37">
        <v>40063</v>
      </c>
      <c r="C1740" s="38">
        <v>40063</v>
      </c>
      <c r="D1740" s="38">
        <v>40063</v>
      </c>
      <c r="E1740" s="38">
        <v>40057</v>
      </c>
      <c r="F1740" s="39">
        <v>158</v>
      </c>
      <c r="G1740" t="s">
        <v>21</v>
      </c>
      <c r="H1740" t="s">
        <v>21</v>
      </c>
      <c r="I1740">
        <v>0</v>
      </c>
      <c r="J1740">
        <v>0</v>
      </c>
      <c r="K1740">
        <v>0</v>
      </c>
      <c r="L1740">
        <v>1</v>
      </c>
      <c r="M1740">
        <v>0</v>
      </c>
      <c r="N1740" t="s">
        <v>193</v>
      </c>
      <c r="O1740" t="s">
        <v>213</v>
      </c>
      <c r="P1740" t="s">
        <v>204</v>
      </c>
      <c r="Q1740" t="s">
        <v>170</v>
      </c>
      <c r="R1740" t="s">
        <v>155</v>
      </c>
      <c r="S1740">
        <v>5</v>
      </c>
      <c r="T1740" t="s">
        <v>135</v>
      </c>
      <c r="U1740">
        <v>0</v>
      </c>
      <c r="V1740">
        <v>5</v>
      </c>
      <c r="W1740" t="s">
        <v>135</v>
      </c>
      <c r="X1740">
        <v>0</v>
      </c>
      <c r="Y1740" t="s">
        <v>140</v>
      </c>
      <c r="Z1740" t="s">
        <v>534</v>
      </c>
      <c r="AA1740" t="s">
        <v>143</v>
      </c>
      <c r="AB1740" t="s">
        <v>163</v>
      </c>
      <c r="AC1740" t="s">
        <v>173</v>
      </c>
      <c r="AD1740" t="s">
        <v>155</v>
      </c>
      <c r="AE1740" t="s">
        <v>128</v>
      </c>
      <c r="AF1740" t="s">
        <v>21</v>
      </c>
    </row>
    <row r="1741" spans="1:32">
      <c r="A1741" t="s">
        <v>2707</v>
      </c>
      <c r="B1741" s="37">
        <v>39977</v>
      </c>
      <c r="C1741" s="38">
        <v>39977</v>
      </c>
      <c r="D1741" s="38">
        <v>39972</v>
      </c>
      <c r="E1741" s="38">
        <v>39965</v>
      </c>
      <c r="F1741" s="39">
        <v>72</v>
      </c>
      <c r="G1741" t="s">
        <v>383</v>
      </c>
      <c r="H1741" t="s">
        <v>17</v>
      </c>
      <c r="I1741">
        <v>0</v>
      </c>
      <c r="J1741">
        <v>0</v>
      </c>
      <c r="K1741">
        <v>1</v>
      </c>
      <c r="L1741">
        <v>0</v>
      </c>
      <c r="M1741">
        <v>0</v>
      </c>
      <c r="N1741" t="s">
        <v>193</v>
      </c>
      <c r="O1741" t="s">
        <v>213</v>
      </c>
      <c r="P1741" t="s">
        <v>204</v>
      </c>
      <c r="Q1741" t="s">
        <v>170</v>
      </c>
      <c r="R1741" t="s">
        <v>155</v>
      </c>
      <c r="T1741" t="s">
        <v>134</v>
      </c>
      <c r="U1741">
        <v>1</v>
      </c>
      <c r="W1741" t="s">
        <v>134</v>
      </c>
      <c r="X1741">
        <v>1</v>
      </c>
      <c r="Y1741" t="s">
        <v>140</v>
      </c>
      <c r="Z1741" t="s">
        <v>534</v>
      </c>
      <c r="AA1741" t="s">
        <v>148</v>
      </c>
      <c r="AB1741" t="s">
        <v>162</v>
      </c>
      <c r="AC1741" t="s">
        <v>459</v>
      </c>
      <c r="AD1741" t="s">
        <v>155</v>
      </c>
      <c r="AE1741" t="s">
        <v>130</v>
      </c>
      <c r="AF1741" t="s">
        <v>21</v>
      </c>
    </row>
    <row r="1742" spans="1:32">
      <c r="A1742" t="s">
        <v>2708</v>
      </c>
      <c r="B1742" s="37">
        <v>39919</v>
      </c>
      <c r="C1742" s="38">
        <v>39919</v>
      </c>
      <c r="D1742" s="38">
        <v>39916</v>
      </c>
      <c r="E1742" s="38">
        <v>39904</v>
      </c>
      <c r="F1742" s="39">
        <v>14</v>
      </c>
      <c r="G1742" t="s">
        <v>21</v>
      </c>
      <c r="H1742" t="s">
        <v>21</v>
      </c>
      <c r="I1742">
        <v>0</v>
      </c>
      <c r="J1742">
        <v>0</v>
      </c>
      <c r="K1742">
        <v>0</v>
      </c>
      <c r="L1742">
        <v>1</v>
      </c>
      <c r="M1742">
        <v>0</v>
      </c>
      <c r="N1742" t="s">
        <v>193</v>
      </c>
      <c r="O1742" t="s">
        <v>213</v>
      </c>
      <c r="P1742" t="s">
        <v>204</v>
      </c>
      <c r="Q1742" t="s">
        <v>170</v>
      </c>
      <c r="R1742" t="s">
        <v>155</v>
      </c>
      <c r="T1742" t="s">
        <v>134</v>
      </c>
      <c r="U1742">
        <v>1</v>
      </c>
      <c r="W1742" t="s">
        <v>134</v>
      </c>
      <c r="X1742">
        <v>1</v>
      </c>
      <c r="Y1742" t="s">
        <v>140</v>
      </c>
      <c r="Z1742" t="s">
        <v>183</v>
      </c>
      <c r="AA1742" t="s">
        <v>149</v>
      </c>
      <c r="AB1742" t="s">
        <v>162</v>
      </c>
      <c r="AC1742" t="s">
        <v>429</v>
      </c>
      <c r="AD1742" t="s">
        <v>159</v>
      </c>
      <c r="AE1742" t="s">
        <v>126</v>
      </c>
      <c r="AF1742" t="s">
        <v>601</v>
      </c>
    </row>
    <row r="1743" spans="1:32">
      <c r="A1743" t="s">
        <v>2709</v>
      </c>
      <c r="B1743" s="37">
        <v>39958</v>
      </c>
      <c r="C1743" s="38">
        <v>39958</v>
      </c>
      <c r="D1743" s="38">
        <v>39958</v>
      </c>
      <c r="E1743" s="38">
        <v>39934</v>
      </c>
      <c r="F1743" s="39">
        <v>53</v>
      </c>
      <c r="G1743" t="s">
        <v>21</v>
      </c>
      <c r="H1743" t="s">
        <v>21</v>
      </c>
      <c r="I1743">
        <v>0</v>
      </c>
      <c r="J1743">
        <v>0</v>
      </c>
      <c r="K1743">
        <v>0</v>
      </c>
      <c r="L1743">
        <v>1</v>
      </c>
      <c r="M1743">
        <v>0</v>
      </c>
      <c r="N1743" t="s">
        <v>193</v>
      </c>
      <c r="O1743" t="s">
        <v>213</v>
      </c>
      <c r="P1743" t="s">
        <v>204</v>
      </c>
      <c r="Q1743" t="s">
        <v>170</v>
      </c>
      <c r="R1743" t="s">
        <v>155</v>
      </c>
      <c r="T1743" t="s">
        <v>134</v>
      </c>
      <c r="U1743">
        <v>1</v>
      </c>
      <c r="W1743" t="s">
        <v>134</v>
      </c>
      <c r="X1743">
        <v>1</v>
      </c>
      <c r="Y1743" t="s">
        <v>140</v>
      </c>
      <c r="Z1743" t="s">
        <v>183</v>
      </c>
      <c r="AA1743" t="s">
        <v>144</v>
      </c>
      <c r="AB1743" t="s">
        <v>163</v>
      </c>
      <c r="AC1743" t="s">
        <v>173</v>
      </c>
      <c r="AD1743" t="s">
        <v>155</v>
      </c>
      <c r="AE1743" t="s">
        <v>406</v>
      </c>
      <c r="AF1743" t="s">
        <v>21</v>
      </c>
    </row>
    <row r="1744" spans="1:32">
      <c r="A1744" t="s">
        <v>2710</v>
      </c>
      <c r="B1744" s="37">
        <v>40045</v>
      </c>
      <c r="C1744" s="38">
        <v>40045</v>
      </c>
      <c r="D1744" s="38">
        <v>40042</v>
      </c>
      <c r="E1744" s="38">
        <v>40026</v>
      </c>
      <c r="F1744" s="39">
        <v>140</v>
      </c>
      <c r="G1744" t="s">
        <v>21</v>
      </c>
      <c r="H1744" t="s">
        <v>21</v>
      </c>
      <c r="I1744">
        <v>0</v>
      </c>
      <c r="J1744">
        <v>0</v>
      </c>
      <c r="K1744">
        <v>0</v>
      </c>
      <c r="L1744">
        <v>1</v>
      </c>
      <c r="M1744">
        <v>0</v>
      </c>
      <c r="N1744" t="s">
        <v>195</v>
      </c>
      <c r="O1744" t="s">
        <v>213</v>
      </c>
      <c r="P1744" t="s">
        <v>206</v>
      </c>
      <c r="Q1744" t="s">
        <v>170</v>
      </c>
      <c r="R1744" t="s">
        <v>155</v>
      </c>
      <c r="S1744">
        <v>5</v>
      </c>
      <c r="T1744" t="s">
        <v>135</v>
      </c>
      <c r="U1744">
        <v>0</v>
      </c>
      <c r="V1744">
        <v>5</v>
      </c>
      <c r="W1744" t="s">
        <v>135</v>
      </c>
      <c r="X1744">
        <v>0</v>
      </c>
      <c r="Y1744" t="s">
        <v>139</v>
      </c>
      <c r="Z1744" t="s">
        <v>183</v>
      </c>
      <c r="AA1744" t="s">
        <v>142</v>
      </c>
      <c r="AB1744" t="s">
        <v>163</v>
      </c>
      <c r="AC1744" t="s">
        <v>173</v>
      </c>
      <c r="AD1744" t="s">
        <v>155</v>
      </c>
      <c r="AE1744" t="s">
        <v>501</v>
      </c>
      <c r="AF1744" t="s">
        <v>21</v>
      </c>
    </row>
    <row r="1745" spans="1:32">
      <c r="A1745" t="s">
        <v>2711</v>
      </c>
      <c r="B1745" s="37">
        <v>39962</v>
      </c>
      <c r="C1745" s="38">
        <v>39962</v>
      </c>
      <c r="D1745" s="38">
        <v>39958</v>
      </c>
      <c r="E1745" s="38">
        <v>39934</v>
      </c>
      <c r="F1745" s="39">
        <v>57</v>
      </c>
      <c r="G1745" t="s">
        <v>21</v>
      </c>
      <c r="H1745" t="s">
        <v>21</v>
      </c>
      <c r="I1745">
        <v>0</v>
      </c>
      <c r="J1745">
        <v>0</v>
      </c>
      <c r="K1745">
        <v>0</v>
      </c>
      <c r="L1745">
        <v>1</v>
      </c>
      <c r="M1745">
        <v>0</v>
      </c>
      <c r="N1745" t="s">
        <v>194</v>
      </c>
      <c r="O1745" t="s">
        <v>213</v>
      </c>
      <c r="P1745" t="s">
        <v>205</v>
      </c>
      <c r="Q1745" t="s">
        <v>170</v>
      </c>
      <c r="R1745" t="s">
        <v>155</v>
      </c>
      <c r="T1745" t="s">
        <v>134</v>
      </c>
      <c r="U1745">
        <v>1</v>
      </c>
      <c r="W1745" t="s">
        <v>134</v>
      </c>
      <c r="X1745">
        <v>1</v>
      </c>
      <c r="Y1745" t="s">
        <v>139</v>
      </c>
      <c r="Z1745" t="s">
        <v>178</v>
      </c>
      <c r="AA1745" t="s">
        <v>148</v>
      </c>
      <c r="AB1745" t="s">
        <v>162</v>
      </c>
      <c r="AC1745" t="s">
        <v>21</v>
      </c>
      <c r="AD1745" t="s">
        <v>155</v>
      </c>
      <c r="AE1745" t="s">
        <v>130</v>
      </c>
      <c r="AF1745" t="s">
        <v>21</v>
      </c>
    </row>
    <row r="1746" spans="1:32">
      <c r="A1746" t="s">
        <v>2712</v>
      </c>
      <c r="B1746" s="37">
        <v>40028</v>
      </c>
      <c r="C1746" s="38">
        <v>40028</v>
      </c>
      <c r="D1746" s="38">
        <v>40028</v>
      </c>
      <c r="E1746" s="38">
        <v>40026</v>
      </c>
      <c r="F1746" s="39">
        <v>123</v>
      </c>
      <c r="G1746" t="s">
        <v>383</v>
      </c>
      <c r="H1746" t="s">
        <v>17</v>
      </c>
      <c r="I1746">
        <v>0</v>
      </c>
      <c r="J1746">
        <v>0</v>
      </c>
      <c r="K1746">
        <v>1</v>
      </c>
      <c r="L1746">
        <v>0</v>
      </c>
      <c r="M1746">
        <v>0</v>
      </c>
      <c r="N1746" t="s">
        <v>197</v>
      </c>
      <c r="O1746" t="s">
        <v>213</v>
      </c>
      <c r="P1746" t="s">
        <v>209</v>
      </c>
      <c r="Q1746" t="s">
        <v>170</v>
      </c>
      <c r="R1746" t="s">
        <v>155</v>
      </c>
      <c r="S1746">
        <v>5</v>
      </c>
      <c r="T1746" t="s">
        <v>135</v>
      </c>
      <c r="U1746">
        <v>0</v>
      </c>
      <c r="V1746">
        <v>3</v>
      </c>
      <c r="W1746" t="s">
        <v>137</v>
      </c>
      <c r="X1746">
        <v>0</v>
      </c>
      <c r="Y1746" t="s">
        <v>139</v>
      </c>
      <c r="Z1746" t="s">
        <v>178</v>
      </c>
      <c r="AA1746" t="s">
        <v>150</v>
      </c>
      <c r="AB1746" t="s">
        <v>163</v>
      </c>
      <c r="AC1746" t="s">
        <v>173</v>
      </c>
      <c r="AD1746" t="s">
        <v>155</v>
      </c>
      <c r="AE1746" t="s">
        <v>1133</v>
      </c>
      <c r="AF1746" t="s">
        <v>21</v>
      </c>
    </row>
    <row r="1747" spans="1:32">
      <c r="A1747" t="s">
        <v>2713</v>
      </c>
      <c r="B1747" s="37">
        <v>40036</v>
      </c>
      <c r="C1747" s="38">
        <v>40036</v>
      </c>
      <c r="D1747" s="38">
        <v>40035</v>
      </c>
      <c r="E1747" s="38">
        <v>40026</v>
      </c>
      <c r="F1747" s="39">
        <v>131</v>
      </c>
      <c r="G1747" t="s">
        <v>383</v>
      </c>
      <c r="H1747" t="s">
        <v>17</v>
      </c>
      <c r="I1747">
        <v>0</v>
      </c>
      <c r="J1747">
        <v>0</v>
      </c>
      <c r="K1747">
        <v>1</v>
      </c>
      <c r="L1747">
        <v>0</v>
      </c>
      <c r="M1747">
        <v>0</v>
      </c>
      <c r="N1747" t="s">
        <v>193</v>
      </c>
      <c r="O1747" t="s">
        <v>213</v>
      </c>
      <c r="P1747" t="s">
        <v>204</v>
      </c>
      <c r="Q1747" t="s">
        <v>170</v>
      </c>
      <c r="R1747" t="s">
        <v>155</v>
      </c>
      <c r="S1747">
        <v>4</v>
      </c>
      <c r="T1747" t="s">
        <v>137</v>
      </c>
      <c r="U1747">
        <v>0</v>
      </c>
      <c r="V1747">
        <v>3</v>
      </c>
      <c r="W1747" t="s">
        <v>137</v>
      </c>
      <c r="X1747">
        <v>0</v>
      </c>
      <c r="Y1747" t="s">
        <v>140</v>
      </c>
      <c r="Z1747" t="s">
        <v>178</v>
      </c>
      <c r="AA1747" t="s">
        <v>144</v>
      </c>
      <c r="AB1747" t="s">
        <v>162</v>
      </c>
      <c r="AC1747" t="s">
        <v>174</v>
      </c>
      <c r="AD1747" t="s">
        <v>156</v>
      </c>
      <c r="AE1747" t="s">
        <v>120</v>
      </c>
      <c r="AF1747" t="s">
        <v>794</v>
      </c>
    </row>
    <row r="1748" spans="1:32">
      <c r="A1748" t="s">
        <v>2714</v>
      </c>
      <c r="B1748" s="37">
        <v>39984</v>
      </c>
      <c r="C1748" s="38">
        <v>39984</v>
      </c>
      <c r="D1748" s="38">
        <v>39979</v>
      </c>
      <c r="E1748" s="38">
        <v>39965</v>
      </c>
      <c r="F1748" s="39">
        <v>79</v>
      </c>
      <c r="G1748" t="s">
        <v>21</v>
      </c>
      <c r="H1748" t="s">
        <v>21</v>
      </c>
      <c r="I1748">
        <v>0</v>
      </c>
      <c r="J1748">
        <v>0</v>
      </c>
      <c r="K1748">
        <v>0</v>
      </c>
      <c r="L1748">
        <v>1</v>
      </c>
      <c r="M1748">
        <v>0</v>
      </c>
      <c r="N1748" t="s">
        <v>195</v>
      </c>
      <c r="O1748" t="s">
        <v>213</v>
      </c>
      <c r="P1748" t="s">
        <v>206</v>
      </c>
      <c r="Q1748" t="s">
        <v>170</v>
      </c>
      <c r="R1748" t="s">
        <v>155</v>
      </c>
      <c r="T1748" t="s">
        <v>134</v>
      </c>
      <c r="U1748">
        <v>1</v>
      </c>
      <c r="W1748" t="s">
        <v>134</v>
      </c>
      <c r="X1748">
        <v>1</v>
      </c>
      <c r="Y1748" t="s">
        <v>139</v>
      </c>
      <c r="Z1748" t="s">
        <v>184</v>
      </c>
      <c r="AA1748" t="s">
        <v>144</v>
      </c>
      <c r="AB1748" t="s">
        <v>163</v>
      </c>
      <c r="AC1748" t="s">
        <v>173</v>
      </c>
      <c r="AD1748" t="s">
        <v>788</v>
      </c>
      <c r="AE1748" t="s">
        <v>2715</v>
      </c>
      <c r="AF1748" t="s">
        <v>21</v>
      </c>
    </row>
    <row r="1749" spans="1:32">
      <c r="A1749" t="s">
        <v>2716</v>
      </c>
      <c r="B1749" s="37">
        <v>39924</v>
      </c>
      <c r="C1749" s="38">
        <v>39924</v>
      </c>
      <c r="D1749" s="38">
        <v>39923</v>
      </c>
      <c r="E1749" s="38">
        <v>39904</v>
      </c>
      <c r="F1749" s="39">
        <v>19</v>
      </c>
      <c r="G1749" t="s">
        <v>380</v>
      </c>
      <c r="H1749" t="s">
        <v>17</v>
      </c>
      <c r="I1749">
        <v>0</v>
      </c>
      <c r="J1749">
        <v>0</v>
      </c>
      <c r="K1749">
        <v>1</v>
      </c>
      <c r="L1749">
        <v>0</v>
      </c>
      <c r="M1749">
        <v>0</v>
      </c>
      <c r="N1749" t="s">
        <v>199</v>
      </c>
      <c r="O1749" t="s">
        <v>213</v>
      </c>
      <c r="P1749" t="s">
        <v>210</v>
      </c>
      <c r="Q1749" t="s">
        <v>170</v>
      </c>
      <c r="R1749" t="s">
        <v>155</v>
      </c>
      <c r="T1749" t="s">
        <v>134</v>
      </c>
      <c r="U1749">
        <v>1</v>
      </c>
      <c r="W1749" t="s">
        <v>134</v>
      </c>
      <c r="X1749">
        <v>1</v>
      </c>
      <c r="Y1749" t="s">
        <v>139</v>
      </c>
      <c r="Z1749" t="s">
        <v>183</v>
      </c>
      <c r="AA1749" t="s">
        <v>143</v>
      </c>
      <c r="AB1749" t="s">
        <v>163</v>
      </c>
      <c r="AC1749" t="s">
        <v>173</v>
      </c>
      <c r="AD1749" t="s">
        <v>155</v>
      </c>
      <c r="AE1749" t="s">
        <v>406</v>
      </c>
      <c r="AF1749" t="s">
        <v>21</v>
      </c>
    </row>
    <row r="1750" spans="1:32">
      <c r="A1750" t="s">
        <v>2717</v>
      </c>
      <c r="B1750" s="37">
        <v>39986</v>
      </c>
      <c r="C1750" s="38">
        <v>39986</v>
      </c>
      <c r="D1750" s="38">
        <v>39986</v>
      </c>
      <c r="E1750" s="38">
        <v>39965</v>
      </c>
      <c r="F1750" s="39">
        <v>81</v>
      </c>
      <c r="G1750" t="s">
        <v>21</v>
      </c>
      <c r="H1750" t="s">
        <v>21</v>
      </c>
      <c r="I1750">
        <v>0</v>
      </c>
      <c r="J1750">
        <v>0</v>
      </c>
      <c r="K1750">
        <v>0</v>
      </c>
      <c r="L1750">
        <v>1</v>
      </c>
      <c r="M1750">
        <v>0</v>
      </c>
      <c r="N1750" t="s">
        <v>196</v>
      </c>
      <c r="O1750" t="s">
        <v>213</v>
      </c>
      <c r="P1750" t="s">
        <v>207</v>
      </c>
      <c r="Q1750" t="s">
        <v>170</v>
      </c>
      <c r="R1750" t="s">
        <v>155</v>
      </c>
      <c r="T1750" t="s">
        <v>134</v>
      </c>
      <c r="U1750">
        <v>1</v>
      </c>
      <c r="W1750" t="s">
        <v>134</v>
      </c>
      <c r="X1750">
        <v>1</v>
      </c>
      <c r="Y1750" t="s">
        <v>139</v>
      </c>
      <c r="Z1750" t="s">
        <v>433</v>
      </c>
      <c r="AA1750" t="s">
        <v>143</v>
      </c>
      <c r="AB1750" t="s">
        <v>162</v>
      </c>
      <c r="AC1750" t="s">
        <v>174</v>
      </c>
      <c r="AD1750" t="s">
        <v>157</v>
      </c>
      <c r="AE1750" t="s">
        <v>130</v>
      </c>
      <c r="AF1750" t="s">
        <v>423</v>
      </c>
    </row>
    <row r="1751" spans="1:32">
      <c r="A1751" t="s">
        <v>2718</v>
      </c>
      <c r="B1751" s="37">
        <v>39983</v>
      </c>
      <c r="C1751" s="38">
        <v>39983</v>
      </c>
      <c r="D1751" s="38">
        <v>39979</v>
      </c>
      <c r="E1751" s="38">
        <v>39965</v>
      </c>
      <c r="F1751" s="39">
        <v>78</v>
      </c>
      <c r="G1751" t="s">
        <v>21</v>
      </c>
      <c r="H1751" t="s">
        <v>21</v>
      </c>
      <c r="I1751">
        <v>0</v>
      </c>
      <c r="J1751">
        <v>0</v>
      </c>
      <c r="K1751">
        <v>0</v>
      </c>
      <c r="L1751">
        <v>1</v>
      </c>
      <c r="M1751">
        <v>0</v>
      </c>
      <c r="N1751" t="s">
        <v>195</v>
      </c>
      <c r="O1751" t="s">
        <v>213</v>
      </c>
      <c r="P1751" t="s">
        <v>206</v>
      </c>
      <c r="Q1751" t="s">
        <v>170</v>
      </c>
      <c r="R1751" t="s">
        <v>155</v>
      </c>
      <c r="T1751" t="s">
        <v>134</v>
      </c>
      <c r="U1751">
        <v>1</v>
      </c>
      <c r="W1751" t="s">
        <v>134</v>
      </c>
      <c r="X1751">
        <v>1</v>
      </c>
      <c r="Y1751" t="s">
        <v>139</v>
      </c>
      <c r="Z1751" t="s">
        <v>178</v>
      </c>
      <c r="AA1751" t="s">
        <v>146</v>
      </c>
      <c r="AB1751" t="s">
        <v>163</v>
      </c>
      <c r="AC1751" t="s">
        <v>173</v>
      </c>
      <c r="AD1751" t="s">
        <v>788</v>
      </c>
      <c r="AE1751" t="s">
        <v>2719</v>
      </c>
      <c r="AF1751" t="s">
        <v>21</v>
      </c>
    </row>
    <row r="1752" spans="1:32">
      <c r="A1752" t="s">
        <v>2720</v>
      </c>
      <c r="B1752" s="37">
        <v>39934</v>
      </c>
      <c r="C1752" s="38">
        <v>39934</v>
      </c>
      <c r="D1752" s="38">
        <v>39930</v>
      </c>
      <c r="E1752" s="38">
        <v>39934</v>
      </c>
      <c r="F1752" s="39">
        <v>29</v>
      </c>
      <c r="G1752" t="s">
        <v>21</v>
      </c>
      <c r="H1752" t="s">
        <v>21</v>
      </c>
      <c r="I1752">
        <v>0</v>
      </c>
      <c r="J1752">
        <v>0</v>
      </c>
      <c r="K1752">
        <v>0</v>
      </c>
      <c r="L1752">
        <v>1</v>
      </c>
      <c r="M1752">
        <v>0</v>
      </c>
      <c r="N1752" t="s">
        <v>200</v>
      </c>
      <c r="O1752" t="s">
        <v>214</v>
      </c>
      <c r="P1752" t="s">
        <v>208</v>
      </c>
      <c r="Q1752" t="s">
        <v>170</v>
      </c>
      <c r="R1752" t="s">
        <v>155</v>
      </c>
      <c r="T1752" t="s">
        <v>134</v>
      </c>
      <c r="U1752">
        <v>1</v>
      </c>
      <c r="W1752" t="s">
        <v>134</v>
      </c>
      <c r="X1752">
        <v>1</v>
      </c>
      <c r="Y1752" t="s">
        <v>139</v>
      </c>
      <c r="Z1752" t="s">
        <v>187</v>
      </c>
      <c r="AA1752" t="s">
        <v>147</v>
      </c>
      <c r="AB1752" t="s">
        <v>162</v>
      </c>
      <c r="AC1752" t="s">
        <v>498</v>
      </c>
      <c r="AD1752" t="s">
        <v>160</v>
      </c>
      <c r="AE1752" t="s">
        <v>126</v>
      </c>
      <c r="AF1752" t="s">
        <v>1770</v>
      </c>
    </row>
    <row r="1753" spans="1:32">
      <c r="A1753" t="s">
        <v>2721</v>
      </c>
      <c r="B1753" s="37">
        <v>40083</v>
      </c>
      <c r="C1753" s="38">
        <v>40083</v>
      </c>
      <c r="D1753" s="38">
        <v>40077</v>
      </c>
      <c r="E1753" s="38">
        <v>40057</v>
      </c>
      <c r="F1753" s="39">
        <v>178</v>
      </c>
      <c r="G1753" t="s">
        <v>496</v>
      </c>
      <c r="H1753" t="s">
        <v>13</v>
      </c>
      <c r="I1753">
        <v>0</v>
      </c>
      <c r="J1753">
        <v>1</v>
      </c>
      <c r="K1753">
        <v>0</v>
      </c>
      <c r="L1753">
        <v>0</v>
      </c>
      <c r="M1753">
        <v>1</v>
      </c>
      <c r="N1753" t="s">
        <v>193</v>
      </c>
      <c r="O1753" t="s">
        <v>213</v>
      </c>
      <c r="P1753" t="s">
        <v>204</v>
      </c>
      <c r="Q1753" t="s">
        <v>170</v>
      </c>
      <c r="R1753" t="s">
        <v>155</v>
      </c>
      <c r="S1753">
        <v>5</v>
      </c>
      <c r="T1753" t="s">
        <v>135</v>
      </c>
      <c r="U1753">
        <v>0</v>
      </c>
      <c r="V1753">
        <v>4</v>
      </c>
      <c r="W1753" t="s">
        <v>137</v>
      </c>
      <c r="X1753">
        <v>0</v>
      </c>
      <c r="Y1753" t="s">
        <v>140</v>
      </c>
      <c r="Z1753" t="s">
        <v>384</v>
      </c>
      <c r="AA1753" t="s">
        <v>146</v>
      </c>
      <c r="AB1753" t="s">
        <v>163</v>
      </c>
      <c r="AC1753" t="s">
        <v>173</v>
      </c>
      <c r="AD1753" t="s">
        <v>155</v>
      </c>
      <c r="AE1753" t="s">
        <v>125</v>
      </c>
      <c r="AF1753" t="s">
        <v>21</v>
      </c>
    </row>
    <row r="1754" spans="1:32">
      <c r="A1754" t="s">
        <v>2722</v>
      </c>
      <c r="B1754" s="37">
        <v>40039</v>
      </c>
      <c r="C1754" s="38">
        <v>40039</v>
      </c>
      <c r="D1754" s="38">
        <v>40035</v>
      </c>
      <c r="E1754" s="38">
        <v>40026</v>
      </c>
      <c r="F1754" s="39">
        <v>134</v>
      </c>
      <c r="G1754" t="s">
        <v>21</v>
      </c>
      <c r="H1754" t="s">
        <v>21</v>
      </c>
      <c r="I1754">
        <v>0</v>
      </c>
      <c r="J1754">
        <v>0</v>
      </c>
      <c r="K1754">
        <v>0</v>
      </c>
      <c r="L1754">
        <v>1</v>
      </c>
      <c r="M1754">
        <v>0</v>
      </c>
      <c r="N1754" t="s">
        <v>195</v>
      </c>
      <c r="O1754" t="s">
        <v>213</v>
      </c>
      <c r="P1754" t="s">
        <v>206</v>
      </c>
      <c r="Q1754" t="s">
        <v>170</v>
      </c>
      <c r="R1754" t="s">
        <v>155</v>
      </c>
      <c r="S1754">
        <v>3</v>
      </c>
      <c r="T1754" t="s">
        <v>137</v>
      </c>
      <c r="U1754">
        <v>0</v>
      </c>
      <c r="V1754">
        <v>3</v>
      </c>
      <c r="W1754" t="s">
        <v>137</v>
      </c>
      <c r="X1754">
        <v>0</v>
      </c>
      <c r="Y1754" t="s">
        <v>139</v>
      </c>
      <c r="Z1754" t="s">
        <v>178</v>
      </c>
      <c r="AA1754" t="s">
        <v>145</v>
      </c>
      <c r="AB1754" t="s">
        <v>165</v>
      </c>
      <c r="AC1754" t="s">
        <v>2723</v>
      </c>
      <c r="AD1754" t="s">
        <v>158</v>
      </c>
      <c r="AE1754" t="s">
        <v>122</v>
      </c>
      <c r="AF1754" t="s">
        <v>21</v>
      </c>
    </row>
    <row r="1755" spans="1:32">
      <c r="A1755" t="s">
        <v>2724</v>
      </c>
      <c r="B1755" s="37">
        <v>40049</v>
      </c>
      <c r="C1755" s="38">
        <v>40049</v>
      </c>
      <c r="D1755" s="38">
        <v>40049</v>
      </c>
      <c r="E1755" s="38">
        <v>40026</v>
      </c>
      <c r="F1755" s="39">
        <v>144</v>
      </c>
      <c r="G1755" t="s">
        <v>21</v>
      </c>
      <c r="H1755" t="s">
        <v>21</v>
      </c>
      <c r="I1755">
        <v>0</v>
      </c>
      <c r="J1755">
        <v>0</v>
      </c>
      <c r="K1755">
        <v>0</v>
      </c>
      <c r="L1755">
        <v>1</v>
      </c>
      <c r="M1755">
        <v>0</v>
      </c>
      <c r="N1755" t="s">
        <v>196</v>
      </c>
      <c r="O1755" t="s">
        <v>213</v>
      </c>
      <c r="P1755" t="s">
        <v>207</v>
      </c>
      <c r="Q1755" t="s">
        <v>170</v>
      </c>
      <c r="R1755" t="s">
        <v>155</v>
      </c>
      <c r="S1755">
        <v>5</v>
      </c>
      <c r="T1755" t="s">
        <v>135</v>
      </c>
      <c r="U1755">
        <v>0</v>
      </c>
      <c r="V1755">
        <v>5</v>
      </c>
      <c r="W1755" t="s">
        <v>135</v>
      </c>
      <c r="X1755">
        <v>0</v>
      </c>
      <c r="Y1755" t="s">
        <v>139</v>
      </c>
      <c r="Z1755" t="s">
        <v>384</v>
      </c>
      <c r="AA1755" t="s">
        <v>146</v>
      </c>
      <c r="AB1755" t="s">
        <v>163</v>
      </c>
      <c r="AC1755" t="s">
        <v>173</v>
      </c>
      <c r="AD1755" t="s">
        <v>155</v>
      </c>
      <c r="AE1755" t="s">
        <v>746</v>
      </c>
      <c r="AF1755" t="s">
        <v>21</v>
      </c>
    </row>
    <row r="1756" spans="1:32">
      <c r="A1756" t="s">
        <v>2725</v>
      </c>
      <c r="B1756" s="37">
        <v>39959</v>
      </c>
      <c r="C1756" s="38">
        <v>39959</v>
      </c>
      <c r="D1756" s="38">
        <v>39958</v>
      </c>
      <c r="E1756" s="38">
        <v>39934</v>
      </c>
      <c r="F1756" s="39">
        <v>54</v>
      </c>
      <c r="G1756" t="s">
        <v>21</v>
      </c>
      <c r="H1756" t="s">
        <v>21</v>
      </c>
      <c r="I1756">
        <v>0</v>
      </c>
      <c r="J1756">
        <v>0</v>
      </c>
      <c r="K1756">
        <v>0</v>
      </c>
      <c r="L1756">
        <v>1</v>
      </c>
      <c r="M1756">
        <v>0</v>
      </c>
      <c r="N1756" t="s">
        <v>193</v>
      </c>
      <c r="O1756" t="s">
        <v>213</v>
      </c>
      <c r="P1756" t="s">
        <v>204</v>
      </c>
      <c r="Q1756" t="s">
        <v>170</v>
      </c>
      <c r="R1756" t="s">
        <v>155</v>
      </c>
      <c r="T1756" t="s">
        <v>134</v>
      </c>
      <c r="U1756">
        <v>1</v>
      </c>
      <c r="W1756" t="s">
        <v>134</v>
      </c>
      <c r="X1756">
        <v>1</v>
      </c>
      <c r="Y1756" t="s">
        <v>140</v>
      </c>
      <c r="Z1756" t="s">
        <v>528</v>
      </c>
      <c r="AA1756" t="s">
        <v>143</v>
      </c>
      <c r="AB1756" t="s">
        <v>162</v>
      </c>
      <c r="AC1756" t="s">
        <v>174</v>
      </c>
      <c r="AD1756" t="s">
        <v>160</v>
      </c>
      <c r="AE1756" t="s">
        <v>392</v>
      </c>
      <c r="AF1756" t="s">
        <v>393</v>
      </c>
    </row>
    <row r="1757" spans="1:32">
      <c r="A1757" t="s">
        <v>2726</v>
      </c>
      <c r="B1757" s="37">
        <v>40012</v>
      </c>
      <c r="C1757" s="38">
        <v>40012</v>
      </c>
      <c r="D1757" s="38">
        <v>40007</v>
      </c>
      <c r="E1757" s="38">
        <v>39995</v>
      </c>
      <c r="F1757" s="39">
        <v>107</v>
      </c>
      <c r="G1757" t="s">
        <v>383</v>
      </c>
      <c r="H1757" t="s">
        <v>17</v>
      </c>
      <c r="I1757">
        <v>0</v>
      </c>
      <c r="J1757">
        <v>0</v>
      </c>
      <c r="K1757">
        <v>1</v>
      </c>
      <c r="L1757">
        <v>0</v>
      </c>
      <c r="M1757">
        <v>0</v>
      </c>
      <c r="N1757" t="s">
        <v>193</v>
      </c>
      <c r="O1757" t="s">
        <v>213</v>
      </c>
      <c r="P1757" t="s">
        <v>204</v>
      </c>
      <c r="Q1757" t="s">
        <v>170</v>
      </c>
      <c r="R1757" t="s">
        <v>155</v>
      </c>
      <c r="S1757">
        <v>2</v>
      </c>
      <c r="T1757" t="s">
        <v>136</v>
      </c>
      <c r="U1757">
        <v>0</v>
      </c>
      <c r="V1757">
        <v>4</v>
      </c>
      <c r="W1757" t="s">
        <v>137</v>
      </c>
      <c r="X1757">
        <v>0</v>
      </c>
      <c r="Y1757" t="s">
        <v>140</v>
      </c>
      <c r="Z1757" t="s">
        <v>178</v>
      </c>
      <c r="AA1757" t="s">
        <v>151</v>
      </c>
      <c r="AB1757" t="s">
        <v>162</v>
      </c>
      <c r="AC1757" t="s">
        <v>175</v>
      </c>
      <c r="AD1757" t="s">
        <v>155</v>
      </c>
      <c r="AE1757" t="s">
        <v>130</v>
      </c>
      <c r="AF1757" t="s">
        <v>21</v>
      </c>
    </row>
    <row r="1758" spans="1:32">
      <c r="A1758" t="s">
        <v>2727</v>
      </c>
      <c r="B1758" s="37">
        <v>39960</v>
      </c>
      <c r="C1758" s="38">
        <v>39960</v>
      </c>
      <c r="D1758" s="38">
        <v>39958</v>
      </c>
      <c r="E1758" s="38">
        <v>39934</v>
      </c>
      <c r="F1758" s="39">
        <v>55</v>
      </c>
      <c r="G1758" t="s">
        <v>380</v>
      </c>
      <c r="H1758" t="s">
        <v>17</v>
      </c>
      <c r="I1758">
        <v>0</v>
      </c>
      <c r="J1758">
        <v>0</v>
      </c>
      <c r="K1758">
        <v>1</v>
      </c>
      <c r="L1758">
        <v>0</v>
      </c>
      <c r="M1758">
        <v>0</v>
      </c>
      <c r="N1758" t="s">
        <v>195</v>
      </c>
      <c r="O1758" t="s">
        <v>213</v>
      </c>
      <c r="P1758" t="s">
        <v>206</v>
      </c>
      <c r="Q1758" t="s">
        <v>170</v>
      </c>
      <c r="R1758" t="s">
        <v>155</v>
      </c>
      <c r="T1758" t="s">
        <v>134</v>
      </c>
      <c r="U1758">
        <v>1</v>
      </c>
      <c r="W1758" t="s">
        <v>134</v>
      </c>
      <c r="X1758">
        <v>1</v>
      </c>
      <c r="Y1758" t="s">
        <v>139</v>
      </c>
      <c r="Z1758" t="s">
        <v>178</v>
      </c>
      <c r="AA1758" t="s">
        <v>144</v>
      </c>
      <c r="AB1758" t="s">
        <v>163</v>
      </c>
      <c r="AC1758" t="s">
        <v>173</v>
      </c>
      <c r="AD1758" t="s">
        <v>155</v>
      </c>
      <c r="AE1758" t="s">
        <v>439</v>
      </c>
      <c r="AF1758" t="s">
        <v>21</v>
      </c>
    </row>
    <row r="1759" spans="1:32">
      <c r="A1759" t="s">
        <v>2728</v>
      </c>
      <c r="B1759" s="37">
        <v>39965</v>
      </c>
      <c r="C1759" s="38">
        <v>39965</v>
      </c>
      <c r="D1759" s="38">
        <v>39965</v>
      </c>
      <c r="E1759" s="38">
        <v>39965</v>
      </c>
      <c r="F1759" s="39">
        <v>60</v>
      </c>
      <c r="G1759" t="s">
        <v>496</v>
      </c>
      <c r="H1759" t="s">
        <v>13</v>
      </c>
      <c r="I1759">
        <v>0</v>
      </c>
      <c r="J1759">
        <v>1</v>
      </c>
      <c r="K1759">
        <v>0</v>
      </c>
      <c r="L1759">
        <v>0</v>
      </c>
      <c r="M1759">
        <v>1</v>
      </c>
      <c r="N1759" t="s">
        <v>193</v>
      </c>
      <c r="O1759" t="s">
        <v>213</v>
      </c>
      <c r="P1759" t="s">
        <v>204</v>
      </c>
      <c r="Q1759" t="s">
        <v>170</v>
      </c>
      <c r="R1759" t="s">
        <v>155</v>
      </c>
      <c r="T1759" t="s">
        <v>134</v>
      </c>
      <c r="U1759">
        <v>1</v>
      </c>
      <c r="W1759" t="s">
        <v>134</v>
      </c>
      <c r="X1759">
        <v>1</v>
      </c>
      <c r="Y1759" t="s">
        <v>140</v>
      </c>
      <c r="Z1759" t="s">
        <v>178</v>
      </c>
      <c r="AA1759" t="s">
        <v>150</v>
      </c>
      <c r="AB1759" t="s">
        <v>163</v>
      </c>
      <c r="AC1759" t="s">
        <v>1679</v>
      </c>
      <c r="AD1759" t="s">
        <v>155</v>
      </c>
      <c r="AE1759" t="s">
        <v>830</v>
      </c>
      <c r="AF1759" t="s">
        <v>21</v>
      </c>
    </row>
    <row r="1760" spans="1:32">
      <c r="A1760" t="s">
        <v>2729</v>
      </c>
      <c r="B1760" s="37">
        <v>40019</v>
      </c>
      <c r="C1760" s="38">
        <v>40019</v>
      </c>
      <c r="D1760" s="38">
        <v>40014</v>
      </c>
      <c r="E1760" s="38">
        <v>39995</v>
      </c>
      <c r="F1760" s="39">
        <v>114</v>
      </c>
      <c r="G1760" t="s">
        <v>383</v>
      </c>
      <c r="H1760" t="s">
        <v>17</v>
      </c>
      <c r="I1760">
        <v>0</v>
      </c>
      <c r="J1760">
        <v>0</v>
      </c>
      <c r="K1760">
        <v>1</v>
      </c>
      <c r="L1760">
        <v>0</v>
      </c>
      <c r="M1760">
        <v>0</v>
      </c>
      <c r="N1760" t="s">
        <v>196</v>
      </c>
      <c r="O1760" t="s">
        <v>213</v>
      </c>
      <c r="P1760" t="s">
        <v>207</v>
      </c>
      <c r="Q1760" t="s">
        <v>170</v>
      </c>
      <c r="R1760" t="s">
        <v>155</v>
      </c>
      <c r="S1760">
        <v>5</v>
      </c>
      <c r="T1760" t="s">
        <v>135</v>
      </c>
      <c r="U1760">
        <v>0</v>
      </c>
      <c r="V1760">
        <v>5</v>
      </c>
      <c r="W1760" t="s">
        <v>135</v>
      </c>
      <c r="X1760">
        <v>0</v>
      </c>
      <c r="Y1760" t="s">
        <v>139</v>
      </c>
      <c r="Z1760" t="s">
        <v>447</v>
      </c>
      <c r="AA1760" t="s">
        <v>148</v>
      </c>
      <c r="AB1760" t="s">
        <v>162</v>
      </c>
      <c r="AC1760" t="s">
        <v>573</v>
      </c>
      <c r="AD1760" t="s">
        <v>155</v>
      </c>
      <c r="AE1760" t="s">
        <v>130</v>
      </c>
      <c r="AF1760" t="s">
        <v>21</v>
      </c>
    </row>
    <row r="1761" spans="1:32">
      <c r="A1761" t="s">
        <v>2730</v>
      </c>
      <c r="B1761" s="37">
        <v>40021</v>
      </c>
      <c r="C1761" s="38">
        <v>40021</v>
      </c>
      <c r="D1761" s="38">
        <v>40021</v>
      </c>
      <c r="E1761" s="38">
        <v>39995</v>
      </c>
      <c r="F1761" s="39">
        <v>116</v>
      </c>
      <c r="G1761" t="s">
        <v>383</v>
      </c>
      <c r="H1761" t="s">
        <v>17</v>
      </c>
      <c r="I1761">
        <v>0</v>
      </c>
      <c r="J1761">
        <v>0</v>
      </c>
      <c r="K1761">
        <v>1</v>
      </c>
      <c r="L1761">
        <v>0</v>
      </c>
      <c r="M1761">
        <v>0</v>
      </c>
      <c r="N1761" t="s">
        <v>196</v>
      </c>
      <c r="O1761" t="s">
        <v>213</v>
      </c>
      <c r="P1761" t="s">
        <v>207</v>
      </c>
      <c r="Q1761" t="s">
        <v>170</v>
      </c>
      <c r="R1761" t="s">
        <v>155</v>
      </c>
      <c r="S1761">
        <v>5</v>
      </c>
      <c r="T1761" t="s">
        <v>135</v>
      </c>
      <c r="U1761">
        <v>0</v>
      </c>
      <c r="V1761">
        <v>3</v>
      </c>
      <c r="W1761" t="s">
        <v>137</v>
      </c>
      <c r="X1761">
        <v>0</v>
      </c>
      <c r="Y1761" t="s">
        <v>139</v>
      </c>
      <c r="Z1761" t="s">
        <v>181</v>
      </c>
      <c r="AA1761" t="s">
        <v>143</v>
      </c>
      <c r="AB1761" t="s">
        <v>162</v>
      </c>
      <c r="AC1761" t="s">
        <v>550</v>
      </c>
      <c r="AD1761" t="s">
        <v>159</v>
      </c>
      <c r="AE1761" t="s">
        <v>123</v>
      </c>
      <c r="AF1761" t="s">
        <v>123</v>
      </c>
    </row>
    <row r="1762" spans="1:32">
      <c r="A1762" t="s">
        <v>2731</v>
      </c>
      <c r="B1762" s="37">
        <v>39961</v>
      </c>
      <c r="C1762" s="38">
        <v>39961</v>
      </c>
      <c r="D1762" s="38">
        <v>39958</v>
      </c>
      <c r="E1762" s="38">
        <v>39934</v>
      </c>
      <c r="F1762" s="39">
        <v>56</v>
      </c>
      <c r="G1762" t="s">
        <v>21</v>
      </c>
      <c r="H1762" t="s">
        <v>21</v>
      </c>
      <c r="I1762">
        <v>0</v>
      </c>
      <c r="J1762">
        <v>0</v>
      </c>
      <c r="K1762">
        <v>0</v>
      </c>
      <c r="L1762">
        <v>1</v>
      </c>
      <c r="M1762">
        <v>0</v>
      </c>
      <c r="N1762" t="s">
        <v>195</v>
      </c>
      <c r="O1762" t="s">
        <v>213</v>
      </c>
      <c r="P1762" t="s">
        <v>206</v>
      </c>
      <c r="Q1762" t="s">
        <v>170</v>
      </c>
      <c r="R1762" t="s">
        <v>155</v>
      </c>
      <c r="T1762" t="s">
        <v>134</v>
      </c>
      <c r="U1762">
        <v>1</v>
      </c>
      <c r="W1762" t="s">
        <v>134</v>
      </c>
      <c r="X1762">
        <v>1</v>
      </c>
      <c r="Y1762" t="s">
        <v>139</v>
      </c>
      <c r="Z1762" t="s">
        <v>181</v>
      </c>
      <c r="AA1762" t="s">
        <v>144</v>
      </c>
      <c r="AB1762" t="s">
        <v>163</v>
      </c>
      <c r="AC1762" t="s">
        <v>173</v>
      </c>
      <c r="AD1762" t="s">
        <v>155</v>
      </c>
      <c r="AE1762" t="s">
        <v>734</v>
      </c>
      <c r="AF1762" t="s">
        <v>21</v>
      </c>
    </row>
    <row r="1763" spans="1:32">
      <c r="A1763" t="s">
        <v>2732</v>
      </c>
      <c r="B1763" s="37">
        <v>39996</v>
      </c>
      <c r="C1763" s="38">
        <v>39996</v>
      </c>
      <c r="D1763" s="38">
        <v>39993</v>
      </c>
      <c r="E1763" s="38">
        <v>39995</v>
      </c>
      <c r="F1763" s="39">
        <v>91</v>
      </c>
      <c r="G1763" t="s">
        <v>21</v>
      </c>
      <c r="H1763" t="s">
        <v>21</v>
      </c>
      <c r="I1763">
        <v>0</v>
      </c>
      <c r="J1763">
        <v>0</v>
      </c>
      <c r="K1763">
        <v>0</v>
      </c>
      <c r="L1763">
        <v>1</v>
      </c>
      <c r="M1763">
        <v>0</v>
      </c>
      <c r="N1763" t="s">
        <v>193</v>
      </c>
      <c r="O1763" t="s">
        <v>213</v>
      </c>
      <c r="P1763" t="s">
        <v>204</v>
      </c>
      <c r="Q1763" t="s">
        <v>170</v>
      </c>
      <c r="R1763" t="s">
        <v>155</v>
      </c>
      <c r="T1763" t="s">
        <v>134</v>
      </c>
      <c r="U1763">
        <v>1</v>
      </c>
      <c r="V1763">
        <v>2</v>
      </c>
      <c r="W1763" t="s">
        <v>136</v>
      </c>
      <c r="X1763">
        <v>0</v>
      </c>
      <c r="Y1763" t="s">
        <v>140</v>
      </c>
      <c r="Z1763" t="s">
        <v>189</v>
      </c>
      <c r="AA1763" t="s">
        <v>149</v>
      </c>
      <c r="AB1763" t="s">
        <v>162</v>
      </c>
      <c r="AC1763" t="s">
        <v>459</v>
      </c>
      <c r="AD1763" t="s">
        <v>155</v>
      </c>
      <c r="AE1763" t="s">
        <v>130</v>
      </c>
      <c r="AF1763" t="s">
        <v>21</v>
      </c>
    </row>
    <row r="1764" spans="1:32">
      <c r="A1764" t="s">
        <v>2733</v>
      </c>
      <c r="B1764" s="37">
        <v>40042</v>
      </c>
      <c r="C1764" s="38">
        <v>40042</v>
      </c>
      <c r="D1764" s="38">
        <v>40042</v>
      </c>
      <c r="E1764" s="38">
        <v>40026</v>
      </c>
      <c r="F1764" s="39">
        <v>137</v>
      </c>
      <c r="G1764" t="s">
        <v>21</v>
      </c>
      <c r="H1764" t="s">
        <v>21</v>
      </c>
      <c r="I1764">
        <v>0</v>
      </c>
      <c r="J1764">
        <v>0</v>
      </c>
      <c r="K1764">
        <v>0</v>
      </c>
      <c r="L1764">
        <v>1</v>
      </c>
      <c r="M1764">
        <v>0</v>
      </c>
      <c r="N1764" t="s">
        <v>193</v>
      </c>
      <c r="O1764" t="s">
        <v>213</v>
      </c>
      <c r="P1764" t="s">
        <v>204</v>
      </c>
      <c r="Q1764" t="s">
        <v>170</v>
      </c>
      <c r="R1764" t="s">
        <v>155</v>
      </c>
      <c r="S1764">
        <v>2</v>
      </c>
      <c r="T1764" t="s">
        <v>136</v>
      </c>
      <c r="U1764">
        <v>0</v>
      </c>
      <c r="V1764">
        <v>3</v>
      </c>
      <c r="W1764" t="s">
        <v>137</v>
      </c>
      <c r="X1764">
        <v>0</v>
      </c>
      <c r="Y1764" t="s">
        <v>140</v>
      </c>
      <c r="Z1764" t="s">
        <v>178</v>
      </c>
      <c r="AA1764" t="s">
        <v>146</v>
      </c>
      <c r="AB1764" t="s">
        <v>162</v>
      </c>
      <c r="AC1764" t="s">
        <v>573</v>
      </c>
      <c r="AD1764" t="s">
        <v>155</v>
      </c>
      <c r="AE1764" t="s">
        <v>129</v>
      </c>
      <c r="AF1764" t="s">
        <v>21</v>
      </c>
    </row>
    <row r="1765" spans="1:32">
      <c r="A1765" t="s">
        <v>2734</v>
      </c>
      <c r="B1765" s="37">
        <v>40076</v>
      </c>
      <c r="C1765" s="38">
        <v>40076</v>
      </c>
      <c r="D1765" s="38">
        <v>40070</v>
      </c>
      <c r="E1765" s="38">
        <v>40057</v>
      </c>
      <c r="F1765" s="39">
        <v>171</v>
      </c>
      <c r="G1765" t="s">
        <v>21</v>
      </c>
      <c r="H1765" t="s">
        <v>21</v>
      </c>
      <c r="I1765">
        <v>0</v>
      </c>
      <c r="J1765">
        <v>0</v>
      </c>
      <c r="K1765">
        <v>0</v>
      </c>
      <c r="L1765">
        <v>1</v>
      </c>
      <c r="M1765">
        <v>0</v>
      </c>
      <c r="N1765" t="s">
        <v>193</v>
      </c>
      <c r="O1765" t="s">
        <v>213</v>
      </c>
      <c r="P1765" t="s">
        <v>204</v>
      </c>
      <c r="Q1765" t="s">
        <v>170</v>
      </c>
      <c r="R1765" t="s">
        <v>155</v>
      </c>
      <c r="S1765">
        <v>5</v>
      </c>
      <c r="T1765" t="s">
        <v>135</v>
      </c>
      <c r="U1765">
        <v>0</v>
      </c>
      <c r="V1765">
        <v>2</v>
      </c>
      <c r="W1765" t="s">
        <v>136</v>
      </c>
      <c r="X1765">
        <v>0</v>
      </c>
      <c r="Y1765" t="s">
        <v>140</v>
      </c>
      <c r="Z1765" t="s">
        <v>178</v>
      </c>
      <c r="AA1765" t="s">
        <v>145</v>
      </c>
      <c r="AB1765" t="s">
        <v>163</v>
      </c>
      <c r="AC1765" t="s">
        <v>173</v>
      </c>
      <c r="AD1765" t="s">
        <v>155</v>
      </c>
      <c r="AE1765" t="s">
        <v>128</v>
      </c>
      <c r="AF1765" t="s">
        <v>21</v>
      </c>
    </row>
    <row r="1766" spans="1:32">
      <c r="A1766" t="s">
        <v>2735</v>
      </c>
      <c r="B1766" s="37">
        <v>39953</v>
      </c>
      <c r="C1766" s="38">
        <v>39953</v>
      </c>
      <c r="D1766" s="38">
        <v>39951</v>
      </c>
      <c r="E1766" s="38">
        <v>39934</v>
      </c>
      <c r="F1766" s="39">
        <v>48</v>
      </c>
      <c r="G1766" t="s">
        <v>21</v>
      </c>
      <c r="H1766" t="s">
        <v>21</v>
      </c>
      <c r="I1766">
        <v>0</v>
      </c>
      <c r="J1766">
        <v>0</v>
      </c>
      <c r="K1766">
        <v>0</v>
      </c>
      <c r="L1766">
        <v>1</v>
      </c>
      <c r="M1766">
        <v>0</v>
      </c>
      <c r="N1766" t="s">
        <v>194</v>
      </c>
      <c r="O1766" t="s">
        <v>213</v>
      </c>
      <c r="P1766" t="s">
        <v>205</v>
      </c>
      <c r="Q1766" t="s">
        <v>170</v>
      </c>
      <c r="R1766" t="s">
        <v>155</v>
      </c>
      <c r="T1766" t="s">
        <v>134</v>
      </c>
      <c r="U1766">
        <v>1</v>
      </c>
      <c r="W1766" t="s">
        <v>134</v>
      </c>
      <c r="X1766">
        <v>1</v>
      </c>
      <c r="Y1766" t="s">
        <v>139</v>
      </c>
      <c r="Z1766" t="s">
        <v>376</v>
      </c>
      <c r="AA1766" t="s">
        <v>143</v>
      </c>
      <c r="AB1766" t="s">
        <v>163</v>
      </c>
      <c r="AC1766" t="s">
        <v>173</v>
      </c>
      <c r="AD1766" t="s">
        <v>155</v>
      </c>
      <c r="AE1766" t="s">
        <v>124</v>
      </c>
      <c r="AF1766" t="s">
        <v>21</v>
      </c>
    </row>
    <row r="1767" spans="1:32">
      <c r="A1767" t="s">
        <v>2736</v>
      </c>
      <c r="B1767" s="37">
        <v>40030</v>
      </c>
      <c r="C1767" s="38">
        <v>40030</v>
      </c>
      <c r="D1767" s="38">
        <v>40028</v>
      </c>
      <c r="E1767" s="38">
        <v>40026</v>
      </c>
      <c r="F1767" s="39">
        <v>125</v>
      </c>
      <c r="G1767" t="s">
        <v>21</v>
      </c>
      <c r="H1767" t="s">
        <v>21</v>
      </c>
      <c r="I1767">
        <v>0</v>
      </c>
      <c r="J1767">
        <v>0</v>
      </c>
      <c r="K1767">
        <v>0</v>
      </c>
      <c r="L1767">
        <v>1</v>
      </c>
      <c r="M1767">
        <v>0</v>
      </c>
      <c r="N1767" t="s">
        <v>196</v>
      </c>
      <c r="O1767" t="s">
        <v>213</v>
      </c>
      <c r="P1767" t="s">
        <v>207</v>
      </c>
      <c r="Q1767" t="s">
        <v>170</v>
      </c>
      <c r="R1767" t="s">
        <v>155</v>
      </c>
      <c r="S1767">
        <v>1</v>
      </c>
      <c r="T1767" t="s">
        <v>136</v>
      </c>
      <c r="U1767">
        <v>0</v>
      </c>
      <c r="V1767">
        <v>5</v>
      </c>
      <c r="W1767" t="s">
        <v>135</v>
      </c>
      <c r="X1767">
        <v>0</v>
      </c>
      <c r="Y1767" t="s">
        <v>139</v>
      </c>
      <c r="Z1767" t="s">
        <v>189</v>
      </c>
      <c r="AA1767" t="s">
        <v>150</v>
      </c>
      <c r="AB1767" t="s">
        <v>162</v>
      </c>
      <c r="AC1767" t="s">
        <v>174</v>
      </c>
      <c r="AD1767" t="s">
        <v>157</v>
      </c>
      <c r="AE1767" t="s">
        <v>571</v>
      </c>
      <c r="AF1767" t="s">
        <v>636</v>
      </c>
    </row>
    <row r="1768" spans="1:32">
      <c r="A1768" t="s">
        <v>2737</v>
      </c>
      <c r="B1768" s="37">
        <v>40035</v>
      </c>
      <c r="C1768" s="38">
        <v>40035</v>
      </c>
      <c r="D1768" s="38">
        <v>40035</v>
      </c>
      <c r="E1768" s="38">
        <v>40026</v>
      </c>
      <c r="F1768" s="39">
        <v>130</v>
      </c>
      <c r="G1768" t="s">
        <v>21</v>
      </c>
      <c r="H1768" t="s">
        <v>21</v>
      </c>
      <c r="I1768">
        <v>0</v>
      </c>
      <c r="J1768">
        <v>0</v>
      </c>
      <c r="K1768">
        <v>0</v>
      </c>
      <c r="L1768">
        <v>1</v>
      </c>
      <c r="M1768">
        <v>0</v>
      </c>
      <c r="N1768" t="s">
        <v>193</v>
      </c>
      <c r="O1768" t="s">
        <v>213</v>
      </c>
      <c r="P1768" t="s">
        <v>204</v>
      </c>
      <c r="Q1768" t="s">
        <v>170</v>
      </c>
      <c r="R1768" t="s">
        <v>155</v>
      </c>
      <c r="S1768">
        <v>5</v>
      </c>
      <c r="T1768" t="s">
        <v>135</v>
      </c>
      <c r="U1768">
        <v>0</v>
      </c>
      <c r="V1768">
        <v>5</v>
      </c>
      <c r="W1768" t="s">
        <v>135</v>
      </c>
      <c r="X1768">
        <v>0</v>
      </c>
      <c r="Y1768" t="s">
        <v>140</v>
      </c>
      <c r="Z1768" t="s">
        <v>181</v>
      </c>
      <c r="AA1768" t="s">
        <v>142</v>
      </c>
      <c r="AB1768" t="s">
        <v>162</v>
      </c>
      <c r="AC1768" t="s">
        <v>174</v>
      </c>
      <c r="AD1768" t="s">
        <v>156</v>
      </c>
      <c r="AE1768" t="s">
        <v>120</v>
      </c>
      <c r="AF1768" t="s">
        <v>1399</v>
      </c>
    </row>
    <row r="1769" spans="1:32">
      <c r="A1769" t="s">
        <v>2738</v>
      </c>
      <c r="B1769" s="37">
        <v>40036</v>
      </c>
      <c r="C1769" s="38">
        <v>40036</v>
      </c>
      <c r="D1769" s="38">
        <v>40035</v>
      </c>
      <c r="E1769" s="38">
        <v>40026</v>
      </c>
      <c r="F1769" s="39">
        <v>131</v>
      </c>
      <c r="G1769" t="s">
        <v>380</v>
      </c>
      <c r="H1769" t="s">
        <v>17</v>
      </c>
      <c r="I1769">
        <v>0</v>
      </c>
      <c r="J1769">
        <v>0</v>
      </c>
      <c r="K1769">
        <v>1</v>
      </c>
      <c r="L1769">
        <v>0</v>
      </c>
      <c r="M1769">
        <v>0</v>
      </c>
      <c r="N1769" t="s">
        <v>193</v>
      </c>
      <c r="O1769" t="s">
        <v>213</v>
      </c>
      <c r="P1769" t="s">
        <v>204</v>
      </c>
      <c r="Q1769" t="s">
        <v>170</v>
      </c>
      <c r="R1769" t="s">
        <v>155</v>
      </c>
      <c r="S1769">
        <v>5</v>
      </c>
      <c r="T1769" t="s">
        <v>135</v>
      </c>
      <c r="U1769">
        <v>0</v>
      </c>
      <c r="V1769">
        <v>5</v>
      </c>
      <c r="W1769" t="s">
        <v>135</v>
      </c>
      <c r="X1769">
        <v>0</v>
      </c>
      <c r="Y1769" t="s">
        <v>140</v>
      </c>
      <c r="Z1769" t="s">
        <v>181</v>
      </c>
      <c r="AA1769" t="s">
        <v>145</v>
      </c>
      <c r="AB1769" t="s">
        <v>162</v>
      </c>
      <c r="AC1769" t="s">
        <v>174</v>
      </c>
      <c r="AD1769" t="s">
        <v>156</v>
      </c>
      <c r="AE1769" t="s">
        <v>120</v>
      </c>
      <c r="AF1769" t="s">
        <v>832</v>
      </c>
    </row>
    <row r="1770" spans="1:32">
      <c r="A1770" t="s">
        <v>2739</v>
      </c>
      <c r="B1770" s="37">
        <v>40002</v>
      </c>
      <c r="C1770" s="38">
        <v>40002</v>
      </c>
      <c r="D1770" s="38">
        <v>40000</v>
      </c>
      <c r="E1770" s="38">
        <v>39995</v>
      </c>
      <c r="F1770" s="39">
        <v>97</v>
      </c>
      <c r="G1770" t="s">
        <v>383</v>
      </c>
      <c r="H1770" t="s">
        <v>17</v>
      </c>
      <c r="I1770">
        <v>0</v>
      </c>
      <c r="J1770">
        <v>0</v>
      </c>
      <c r="K1770">
        <v>1</v>
      </c>
      <c r="L1770">
        <v>0</v>
      </c>
      <c r="M1770">
        <v>0</v>
      </c>
      <c r="N1770" t="s">
        <v>193</v>
      </c>
      <c r="O1770" t="s">
        <v>213</v>
      </c>
      <c r="P1770" t="s">
        <v>204</v>
      </c>
      <c r="Q1770" t="s">
        <v>170</v>
      </c>
      <c r="R1770" t="s">
        <v>155</v>
      </c>
      <c r="T1770" t="s">
        <v>134</v>
      </c>
      <c r="U1770">
        <v>1</v>
      </c>
      <c r="V1770">
        <v>5</v>
      </c>
      <c r="W1770" t="s">
        <v>135</v>
      </c>
      <c r="X1770">
        <v>0</v>
      </c>
      <c r="Y1770" t="s">
        <v>140</v>
      </c>
      <c r="Z1770" t="s">
        <v>181</v>
      </c>
      <c r="AA1770" t="s">
        <v>142</v>
      </c>
      <c r="AB1770" t="s">
        <v>162</v>
      </c>
      <c r="AC1770" t="s">
        <v>21</v>
      </c>
      <c r="AD1770" t="s">
        <v>155</v>
      </c>
      <c r="AE1770" t="s">
        <v>130</v>
      </c>
      <c r="AF1770" t="s">
        <v>21</v>
      </c>
    </row>
    <row r="1771" spans="1:32">
      <c r="A1771" t="s">
        <v>2740</v>
      </c>
      <c r="B1771" s="37">
        <v>39924</v>
      </c>
      <c r="C1771" s="38">
        <v>39924</v>
      </c>
      <c r="D1771" s="38">
        <v>39923</v>
      </c>
      <c r="E1771" s="38">
        <v>39904</v>
      </c>
      <c r="F1771" s="39">
        <v>19</v>
      </c>
      <c r="G1771" t="s">
        <v>21</v>
      </c>
      <c r="H1771" t="s">
        <v>21</v>
      </c>
      <c r="I1771">
        <v>0</v>
      </c>
      <c r="J1771">
        <v>0</v>
      </c>
      <c r="K1771">
        <v>0</v>
      </c>
      <c r="L1771">
        <v>1</v>
      </c>
      <c r="M1771">
        <v>0</v>
      </c>
      <c r="N1771" t="s">
        <v>199</v>
      </c>
      <c r="O1771" t="s">
        <v>213</v>
      </c>
      <c r="P1771" t="s">
        <v>210</v>
      </c>
      <c r="Q1771" t="s">
        <v>170</v>
      </c>
      <c r="R1771" t="s">
        <v>155</v>
      </c>
      <c r="T1771" t="s">
        <v>134</v>
      </c>
      <c r="U1771">
        <v>1</v>
      </c>
      <c r="W1771" t="s">
        <v>134</v>
      </c>
      <c r="X1771">
        <v>1</v>
      </c>
      <c r="Y1771" t="s">
        <v>139</v>
      </c>
      <c r="Z1771" t="s">
        <v>181</v>
      </c>
      <c r="AA1771" t="s">
        <v>147</v>
      </c>
      <c r="AB1771" t="s">
        <v>163</v>
      </c>
      <c r="AC1771" t="s">
        <v>1574</v>
      </c>
      <c r="AD1771" t="s">
        <v>155</v>
      </c>
      <c r="AE1771" t="s">
        <v>392</v>
      </c>
      <c r="AF1771" t="s">
        <v>21</v>
      </c>
    </row>
    <row r="1772" spans="1:32">
      <c r="A1772" t="s">
        <v>2741</v>
      </c>
      <c r="B1772" s="37">
        <v>39948</v>
      </c>
      <c r="C1772" s="38">
        <v>39948</v>
      </c>
      <c r="D1772" s="38">
        <v>39944</v>
      </c>
      <c r="E1772" s="38">
        <v>39934</v>
      </c>
      <c r="F1772" s="39">
        <v>43</v>
      </c>
      <c r="G1772" t="s">
        <v>21</v>
      </c>
      <c r="H1772" t="s">
        <v>21</v>
      </c>
      <c r="I1772">
        <v>0</v>
      </c>
      <c r="J1772">
        <v>0</v>
      </c>
      <c r="K1772">
        <v>0</v>
      </c>
      <c r="L1772">
        <v>1</v>
      </c>
      <c r="M1772">
        <v>0</v>
      </c>
      <c r="N1772" t="s">
        <v>193</v>
      </c>
      <c r="O1772" t="s">
        <v>213</v>
      </c>
      <c r="P1772" t="s">
        <v>204</v>
      </c>
      <c r="Q1772" t="s">
        <v>170</v>
      </c>
      <c r="R1772" t="s">
        <v>155</v>
      </c>
      <c r="T1772" t="s">
        <v>134</v>
      </c>
      <c r="U1772">
        <v>1</v>
      </c>
      <c r="W1772" t="s">
        <v>134</v>
      </c>
      <c r="X1772">
        <v>1</v>
      </c>
      <c r="Y1772" t="s">
        <v>140</v>
      </c>
      <c r="Z1772" t="s">
        <v>190</v>
      </c>
      <c r="AA1772" t="s">
        <v>142</v>
      </c>
      <c r="AB1772" t="s">
        <v>163</v>
      </c>
      <c r="AC1772" t="s">
        <v>441</v>
      </c>
      <c r="AD1772" t="s">
        <v>155</v>
      </c>
      <c r="AE1772" t="s">
        <v>2742</v>
      </c>
      <c r="AF1772" t="s">
        <v>21</v>
      </c>
    </row>
    <row r="1773" spans="1:32">
      <c r="A1773" t="s">
        <v>2743</v>
      </c>
      <c r="B1773" s="37">
        <v>40047</v>
      </c>
      <c r="C1773" s="38">
        <v>40047</v>
      </c>
      <c r="D1773" s="38">
        <v>40042</v>
      </c>
      <c r="E1773" s="38">
        <v>40026</v>
      </c>
      <c r="F1773" s="39">
        <v>142</v>
      </c>
      <c r="G1773" t="s">
        <v>21</v>
      </c>
      <c r="H1773" t="s">
        <v>21</v>
      </c>
      <c r="I1773">
        <v>0</v>
      </c>
      <c r="J1773">
        <v>0</v>
      </c>
      <c r="K1773">
        <v>0</v>
      </c>
      <c r="L1773">
        <v>1</v>
      </c>
      <c r="M1773">
        <v>0</v>
      </c>
      <c r="N1773" t="s">
        <v>193</v>
      </c>
      <c r="O1773" t="s">
        <v>213</v>
      </c>
      <c r="P1773" t="s">
        <v>204</v>
      </c>
      <c r="Q1773" t="s">
        <v>170</v>
      </c>
      <c r="R1773" t="s">
        <v>155</v>
      </c>
      <c r="S1773">
        <v>5</v>
      </c>
      <c r="T1773" t="s">
        <v>135</v>
      </c>
      <c r="U1773">
        <v>0</v>
      </c>
      <c r="V1773">
        <v>5</v>
      </c>
      <c r="W1773" t="s">
        <v>135</v>
      </c>
      <c r="X1773">
        <v>0</v>
      </c>
      <c r="Y1773" t="s">
        <v>140</v>
      </c>
      <c r="Z1773" t="s">
        <v>181</v>
      </c>
      <c r="AA1773" t="s">
        <v>144</v>
      </c>
      <c r="AB1773" t="s">
        <v>162</v>
      </c>
      <c r="AC1773" t="s">
        <v>174</v>
      </c>
      <c r="AD1773" t="s">
        <v>157</v>
      </c>
      <c r="AE1773" t="s">
        <v>571</v>
      </c>
      <c r="AF1773" t="s">
        <v>2744</v>
      </c>
    </row>
    <row r="1774" spans="1:32">
      <c r="A1774" t="s">
        <v>2745</v>
      </c>
      <c r="B1774" s="37">
        <v>39965</v>
      </c>
      <c r="C1774" s="38">
        <v>39965</v>
      </c>
      <c r="D1774" s="38">
        <v>39965</v>
      </c>
      <c r="E1774" s="38">
        <v>39965</v>
      </c>
      <c r="F1774" s="39">
        <v>60</v>
      </c>
      <c r="G1774" t="s">
        <v>21</v>
      </c>
      <c r="H1774" t="s">
        <v>21</v>
      </c>
      <c r="I1774">
        <v>0</v>
      </c>
      <c r="J1774">
        <v>0</v>
      </c>
      <c r="K1774">
        <v>0</v>
      </c>
      <c r="L1774">
        <v>1</v>
      </c>
      <c r="M1774">
        <v>0</v>
      </c>
      <c r="N1774" t="s">
        <v>193</v>
      </c>
      <c r="O1774" t="s">
        <v>213</v>
      </c>
      <c r="P1774" t="s">
        <v>204</v>
      </c>
      <c r="Q1774" t="s">
        <v>170</v>
      </c>
      <c r="R1774" t="s">
        <v>155</v>
      </c>
      <c r="T1774" t="s">
        <v>134</v>
      </c>
      <c r="U1774">
        <v>1</v>
      </c>
      <c r="W1774" t="s">
        <v>134</v>
      </c>
      <c r="X1774">
        <v>1</v>
      </c>
      <c r="Y1774" t="s">
        <v>140</v>
      </c>
      <c r="Z1774" t="s">
        <v>190</v>
      </c>
      <c r="AA1774" t="s">
        <v>143</v>
      </c>
      <c r="AB1774" t="s">
        <v>163</v>
      </c>
      <c r="AC1774" t="s">
        <v>21</v>
      </c>
      <c r="AD1774" t="s">
        <v>155</v>
      </c>
      <c r="AE1774" t="s">
        <v>406</v>
      </c>
      <c r="AF1774" t="s">
        <v>21</v>
      </c>
    </row>
    <row r="1775" spans="1:32">
      <c r="A1775" t="s">
        <v>2746</v>
      </c>
      <c r="B1775" s="37">
        <v>40002</v>
      </c>
      <c r="C1775" s="38">
        <v>40002</v>
      </c>
      <c r="D1775" s="38">
        <v>40000</v>
      </c>
      <c r="E1775" s="38">
        <v>39995</v>
      </c>
      <c r="F1775" s="39">
        <v>97</v>
      </c>
      <c r="G1775" t="s">
        <v>21</v>
      </c>
      <c r="H1775" t="s">
        <v>21</v>
      </c>
      <c r="I1775">
        <v>0</v>
      </c>
      <c r="J1775">
        <v>0</v>
      </c>
      <c r="K1775">
        <v>0</v>
      </c>
      <c r="L1775">
        <v>1</v>
      </c>
      <c r="M1775">
        <v>0</v>
      </c>
      <c r="N1775" t="s">
        <v>194</v>
      </c>
      <c r="O1775" t="s">
        <v>213</v>
      </c>
      <c r="P1775" t="s">
        <v>205</v>
      </c>
      <c r="Q1775" t="s">
        <v>170</v>
      </c>
      <c r="R1775" t="s">
        <v>155</v>
      </c>
      <c r="T1775" t="s">
        <v>134</v>
      </c>
      <c r="U1775">
        <v>1</v>
      </c>
      <c r="V1775">
        <v>5</v>
      </c>
      <c r="W1775" t="s">
        <v>135</v>
      </c>
      <c r="X1775">
        <v>0</v>
      </c>
      <c r="Y1775" t="s">
        <v>139</v>
      </c>
      <c r="Z1775" t="s">
        <v>181</v>
      </c>
      <c r="AA1775" t="s">
        <v>144</v>
      </c>
      <c r="AB1775" t="s">
        <v>162</v>
      </c>
      <c r="AC1775" t="s">
        <v>174</v>
      </c>
      <c r="AD1775" t="s">
        <v>157</v>
      </c>
      <c r="AE1775" t="s">
        <v>127</v>
      </c>
      <c r="AF1775" t="s">
        <v>153</v>
      </c>
    </row>
    <row r="1776" spans="1:32">
      <c r="A1776" t="s">
        <v>2747</v>
      </c>
      <c r="B1776" s="37">
        <v>40038</v>
      </c>
      <c r="C1776" s="38">
        <v>40038</v>
      </c>
      <c r="D1776" s="38">
        <v>40035</v>
      </c>
      <c r="E1776" s="38">
        <v>40026</v>
      </c>
      <c r="F1776" s="39">
        <v>133</v>
      </c>
      <c r="G1776" t="s">
        <v>21</v>
      </c>
      <c r="H1776" t="s">
        <v>21</v>
      </c>
      <c r="I1776">
        <v>0</v>
      </c>
      <c r="J1776">
        <v>0</v>
      </c>
      <c r="K1776">
        <v>0</v>
      </c>
      <c r="L1776">
        <v>1</v>
      </c>
      <c r="M1776">
        <v>0</v>
      </c>
      <c r="N1776" t="s">
        <v>196</v>
      </c>
      <c r="O1776" t="s">
        <v>213</v>
      </c>
      <c r="P1776" t="s">
        <v>207</v>
      </c>
      <c r="Q1776" t="s">
        <v>170</v>
      </c>
      <c r="R1776" t="s">
        <v>155</v>
      </c>
      <c r="S1776">
        <v>5</v>
      </c>
      <c r="T1776" t="s">
        <v>135</v>
      </c>
      <c r="U1776">
        <v>0</v>
      </c>
      <c r="V1776">
        <v>3</v>
      </c>
      <c r="W1776" t="s">
        <v>137</v>
      </c>
      <c r="X1776">
        <v>0</v>
      </c>
      <c r="Y1776" t="s">
        <v>139</v>
      </c>
      <c r="Z1776" t="s">
        <v>181</v>
      </c>
      <c r="AA1776" t="s">
        <v>146</v>
      </c>
      <c r="AB1776" t="s">
        <v>162</v>
      </c>
      <c r="AC1776" t="s">
        <v>2748</v>
      </c>
      <c r="AD1776" t="s">
        <v>156</v>
      </c>
      <c r="AE1776" t="s">
        <v>120</v>
      </c>
      <c r="AF1776" t="s">
        <v>741</v>
      </c>
    </row>
    <row r="1777" spans="1:32">
      <c r="A1777" t="s">
        <v>2749</v>
      </c>
      <c r="B1777" s="37">
        <v>40021</v>
      </c>
      <c r="C1777" s="38">
        <v>40021</v>
      </c>
      <c r="D1777" s="38">
        <v>40021</v>
      </c>
      <c r="E1777" s="38">
        <v>39995</v>
      </c>
      <c r="F1777" s="39">
        <v>116</v>
      </c>
      <c r="G1777" t="s">
        <v>383</v>
      </c>
      <c r="H1777" t="s">
        <v>17</v>
      </c>
      <c r="I1777">
        <v>0</v>
      </c>
      <c r="J1777">
        <v>0</v>
      </c>
      <c r="K1777">
        <v>1</v>
      </c>
      <c r="L1777">
        <v>0</v>
      </c>
      <c r="M1777">
        <v>0</v>
      </c>
      <c r="N1777" t="s">
        <v>193</v>
      </c>
      <c r="O1777" t="s">
        <v>213</v>
      </c>
      <c r="P1777" t="s">
        <v>204</v>
      </c>
      <c r="Q1777" t="s">
        <v>170</v>
      </c>
      <c r="R1777" t="s">
        <v>155</v>
      </c>
      <c r="S1777">
        <v>5</v>
      </c>
      <c r="T1777" t="s">
        <v>135</v>
      </c>
      <c r="U1777">
        <v>0</v>
      </c>
      <c r="V1777">
        <v>5</v>
      </c>
      <c r="W1777" t="s">
        <v>135</v>
      </c>
      <c r="X1777">
        <v>0</v>
      </c>
      <c r="Y1777" t="s">
        <v>140</v>
      </c>
      <c r="Z1777" t="s">
        <v>181</v>
      </c>
      <c r="AA1777" t="s">
        <v>146</v>
      </c>
      <c r="AB1777" t="s">
        <v>162</v>
      </c>
      <c r="AC1777" t="s">
        <v>175</v>
      </c>
      <c r="AD1777" t="s">
        <v>155</v>
      </c>
      <c r="AE1777" t="s">
        <v>130</v>
      </c>
      <c r="AF1777" t="s">
        <v>21</v>
      </c>
    </row>
    <row r="1778" spans="1:32">
      <c r="A1778" t="s">
        <v>2750</v>
      </c>
      <c r="B1778" s="37">
        <v>40016</v>
      </c>
      <c r="C1778" s="38">
        <v>40016</v>
      </c>
      <c r="D1778" s="38">
        <v>40014</v>
      </c>
      <c r="E1778" s="38">
        <v>39995</v>
      </c>
      <c r="F1778" s="39">
        <v>111</v>
      </c>
      <c r="G1778" t="s">
        <v>383</v>
      </c>
      <c r="H1778" t="s">
        <v>17</v>
      </c>
      <c r="I1778">
        <v>0</v>
      </c>
      <c r="J1778">
        <v>0</v>
      </c>
      <c r="K1778">
        <v>1</v>
      </c>
      <c r="L1778">
        <v>0</v>
      </c>
      <c r="M1778">
        <v>0</v>
      </c>
      <c r="N1778" t="s">
        <v>195</v>
      </c>
      <c r="O1778" t="s">
        <v>213</v>
      </c>
      <c r="P1778" t="s">
        <v>206</v>
      </c>
      <c r="Q1778" t="s">
        <v>170</v>
      </c>
      <c r="R1778" t="s">
        <v>155</v>
      </c>
      <c r="S1778">
        <v>3</v>
      </c>
      <c r="T1778" t="s">
        <v>137</v>
      </c>
      <c r="U1778">
        <v>0</v>
      </c>
      <c r="V1778">
        <v>3</v>
      </c>
      <c r="W1778" t="s">
        <v>137</v>
      </c>
      <c r="X1778">
        <v>0</v>
      </c>
      <c r="Y1778" t="s">
        <v>139</v>
      </c>
      <c r="Z1778" t="s">
        <v>528</v>
      </c>
      <c r="AA1778" t="s">
        <v>148</v>
      </c>
      <c r="AB1778" t="s">
        <v>163</v>
      </c>
      <c r="AC1778" t="s">
        <v>173</v>
      </c>
      <c r="AD1778" t="s">
        <v>155</v>
      </c>
      <c r="AE1778" t="s">
        <v>124</v>
      </c>
      <c r="AF1778" t="s">
        <v>21</v>
      </c>
    </row>
    <row r="1779" spans="1:32">
      <c r="A1779" t="s">
        <v>2751</v>
      </c>
      <c r="B1779" s="37">
        <v>39949</v>
      </c>
      <c r="C1779" s="38">
        <v>39949</v>
      </c>
      <c r="D1779" s="38">
        <v>39944</v>
      </c>
      <c r="E1779" s="38">
        <v>39934</v>
      </c>
      <c r="F1779" s="39">
        <v>44</v>
      </c>
      <c r="G1779" t="s">
        <v>525</v>
      </c>
      <c r="H1779" t="s">
        <v>17</v>
      </c>
      <c r="I1779">
        <v>0</v>
      </c>
      <c r="J1779">
        <v>0</v>
      </c>
      <c r="K1779">
        <v>1</v>
      </c>
      <c r="L1779">
        <v>0</v>
      </c>
      <c r="M1779">
        <v>0</v>
      </c>
      <c r="N1779" t="s">
        <v>193</v>
      </c>
      <c r="O1779" t="s">
        <v>213</v>
      </c>
      <c r="P1779" t="s">
        <v>204</v>
      </c>
      <c r="Q1779" t="s">
        <v>170</v>
      </c>
      <c r="R1779" t="s">
        <v>155</v>
      </c>
      <c r="T1779" t="s">
        <v>134</v>
      </c>
      <c r="U1779">
        <v>1</v>
      </c>
      <c r="W1779" t="s">
        <v>134</v>
      </c>
      <c r="X1779">
        <v>1</v>
      </c>
      <c r="Y1779" t="s">
        <v>140</v>
      </c>
      <c r="Z1779" t="s">
        <v>185</v>
      </c>
      <c r="AA1779" t="s">
        <v>147</v>
      </c>
      <c r="AB1779" t="s">
        <v>163</v>
      </c>
      <c r="AC1779" t="s">
        <v>2752</v>
      </c>
      <c r="AD1779" t="s">
        <v>155</v>
      </c>
      <c r="AE1779" t="s">
        <v>129</v>
      </c>
      <c r="AF1779" t="s">
        <v>21</v>
      </c>
    </row>
    <row r="1780" spans="1:32">
      <c r="A1780" t="s">
        <v>2753</v>
      </c>
      <c r="B1780" s="37">
        <v>39997</v>
      </c>
      <c r="C1780" s="38">
        <v>39997</v>
      </c>
      <c r="D1780" s="38">
        <v>39993</v>
      </c>
      <c r="E1780" s="38">
        <v>39995</v>
      </c>
      <c r="F1780" s="39">
        <v>92</v>
      </c>
      <c r="G1780" t="s">
        <v>21</v>
      </c>
      <c r="H1780" t="s">
        <v>21</v>
      </c>
      <c r="I1780">
        <v>0</v>
      </c>
      <c r="J1780">
        <v>0</v>
      </c>
      <c r="K1780">
        <v>0</v>
      </c>
      <c r="L1780">
        <v>1</v>
      </c>
      <c r="M1780">
        <v>0</v>
      </c>
      <c r="N1780" t="s">
        <v>193</v>
      </c>
      <c r="O1780" t="s">
        <v>213</v>
      </c>
      <c r="P1780" t="s">
        <v>204</v>
      </c>
      <c r="Q1780" t="s">
        <v>170</v>
      </c>
      <c r="R1780" t="s">
        <v>155</v>
      </c>
      <c r="T1780" t="s">
        <v>134</v>
      </c>
      <c r="U1780">
        <v>1</v>
      </c>
      <c r="V1780">
        <v>4</v>
      </c>
      <c r="W1780" t="s">
        <v>137</v>
      </c>
      <c r="X1780">
        <v>0</v>
      </c>
      <c r="Y1780" t="s">
        <v>140</v>
      </c>
      <c r="Z1780" t="s">
        <v>185</v>
      </c>
      <c r="AA1780" t="s">
        <v>143</v>
      </c>
      <c r="AB1780" t="s">
        <v>162</v>
      </c>
      <c r="AC1780" t="s">
        <v>550</v>
      </c>
      <c r="AD1780" t="s">
        <v>156</v>
      </c>
      <c r="AE1780" t="s">
        <v>120</v>
      </c>
      <c r="AF1780" t="s">
        <v>1001</v>
      </c>
    </row>
    <row r="1781" spans="1:32">
      <c r="A1781" t="s">
        <v>2754</v>
      </c>
      <c r="B1781" s="37">
        <v>39935</v>
      </c>
      <c r="C1781" s="38">
        <v>39935</v>
      </c>
      <c r="D1781" s="38">
        <v>39930</v>
      </c>
      <c r="E1781" s="38">
        <v>39934</v>
      </c>
      <c r="F1781" s="39">
        <v>30</v>
      </c>
      <c r="G1781" t="s">
        <v>21</v>
      </c>
      <c r="H1781" t="s">
        <v>21</v>
      </c>
      <c r="I1781">
        <v>0</v>
      </c>
      <c r="J1781">
        <v>0</v>
      </c>
      <c r="K1781">
        <v>0</v>
      </c>
      <c r="L1781">
        <v>1</v>
      </c>
      <c r="M1781">
        <v>0</v>
      </c>
      <c r="N1781" t="s">
        <v>200</v>
      </c>
      <c r="O1781" t="s">
        <v>214</v>
      </c>
      <c r="P1781" t="s">
        <v>208</v>
      </c>
      <c r="Q1781" t="s">
        <v>170</v>
      </c>
      <c r="R1781" t="s">
        <v>155</v>
      </c>
      <c r="T1781" t="s">
        <v>134</v>
      </c>
      <c r="U1781">
        <v>1</v>
      </c>
      <c r="W1781" t="s">
        <v>134</v>
      </c>
      <c r="X1781">
        <v>1</v>
      </c>
      <c r="Y1781" t="s">
        <v>139</v>
      </c>
      <c r="Z1781" t="s">
        <v>185</v>
      </c>
      <c r="AA1781" t="s">
        <v>149</v>
      </c>
      <c r="AB1781" t="s">
        <v>162</v>
      </c>
      <c r="AC1781" t="s">
        <v>174</v>
      </c>
      <c r="AD1781" t="s">
        <v>156</v>
      </c>
      <c r="AE1781" t="s">
        <v>120</v>
      </c>
      <c r="AF1781" t="s">
        <v>995</v>
      </c>
    </row>
    <row r="1782" spans="1:32">
      <c r="A1782" t="s">
        <v>2755</v>
      </c>
      <c r="B1782" s="37">
        <v>40064</v>
      </c>
      <c r="C1782" s="38">
        <v>40064</v>
      </c>
      <c r="D1782" s="38">
        <v>40063</v>
      </c>
      <c r="E1782" s="38">
        <v>40057</v>
      </c>
      <c r="F1782" s="39">
        <v>159</v>
      </c>
      <c r="G1782" t="s">
        <v>496</v>
      </c>
      <c r="H1782" t="s">
        <v>13</v>
      </c>
      <c r="I1782">
        <v>0</v>
      </c>
      <c r="J1782">
        <v>1</v>
      </c>
      <c r="K1782">
        <v>0</v>
      </c>
      <c r="L1782">
        <v>0</v>
      </c>
      <c r="M1782">
        <v>1</v>
      </c>
      <c r="N1782" t="s">
        <v>195</v>
      </c>
      <c r="O1782" t="s">
        <v>213</v>
      </c>
      <c r="P1782" t="s">
        <v>206</v>
      </c>
      <c r="Q1782" t="s">
        <v>170</v>
      </c>
      <c r="R1782" t="s">
        <v>155</v>
      </c>
      <c r="S1782">
        <v>1</v>
      </c>
      <c r="T1782" t="s">
        <v>136</v>
      </c>
      <c r="U1782">
        <v>0</v>
      </c>
      <c r="V1782">
        <v>3</v>
      </c>
      <c r="W1782" t="s">
        <v>137</v>
      </c>
      <c r="X1782">
        <v>0</v>
      </c>
      <c r="Y1782" t="s">
        <v>139</v>
      </c>
      <c r="Z1782" t="s">
        <v>185</v>
      </c>
      <c r="AA1782" t="s">
        <v>143</v>
      </c>
      <c r="AB1782" t="s">
        <v>162</v>
      </c>
      <c r="AC1782" t="s">
        <v>176</v>
      </c>
      <c r="AD1782" t="s">
        <v>155</v>
      </c>
      <c r="AE1782" t="s">
        <v>129</v>
      </c>
      <c r="AF1782" t="s">
        <v>21</v>
      </c>
    </row>
    <row r="1783" spans="1:32">
      <c r="A1783" t="s">
        <v>2756</v>
      </c>
      <c r="B1783" s="37">
        <v>39973</v>
      </c>
      <c r="C1783" s="38">
        <v>39973</v>
      </c>
      <c r="D1783" s="38">
        <v>39972</v>
      </c>
      <c r="E1783" s="38">
        <v>39965</v>
      </c>
      <c r="F1783" s="39">
        <v>68</v>
      </c>
      <c r="G1783" t="s">
        <v>9</v>
      </c>
      <c r="H1783" t="s">
        <v>9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193</v>
      </c>
      <c r="O1783" t="s">
        <v>213</v>
      </c>
      <c r="P1783" t="s">
        <v>204</v>
      </c>
      <c r="Q1783" t="s">
        <v>170</v>
      </c>
      <c r="R1783" t="s">
        <v>155</v>
      </c>
      <c r="T1783" t="s">
        <v>134</v>
      </c>
      <c r="U1783">
        <v>1</v>
      </c>
      <c r="W1783" t="s">
        <v>134</v>
      </c>
      <c r="X1783">
        <v>1</v>
      </c>
      <c r="Y1783" t="s">
        <v>140</v>
      </c>
      <c r="Z1783" t="s">
        <v>189</v>
      </c>
      <c r="AA1783" t="s">
        <v>146</v>
      </c>
      <c r="AB1783" t="s">
        <v>163</v>
      </c>
      <c r="AC1783" t="s">
        <v>1159</v>
      </c>
      <c r="AD1783" t="s">
        <v>161</v>
      </c>
      <c r="AE1783" t="s">
        <v>1253</v>
      </c>
      <c r="AF1783" t="s">
        <v>21</v>
      </c>
    </row>
    <row r="1784" spans="1:32">
      <c r="A1784" t="s">
        <v>2757</v>
      </c>
      <c r="B1784" s="37">
        <v>39925</v>
      </c>
      <c r="C1784" s="38">
        <v>39925</v>
      </c>
      <c r="D1784" s="38">
        <v>39923</v>
      </c>
      <c r="E1784" s="38">
        <v>39904</v>
      </c>
      <c r="F1784" s="39">
        <v>20</v>
      </c>
      <c r="G1784" t="s">
        <v>21</v>
      </c>
      <c r="H1784" t="s">
        <v>21</v>
      </c>
      <c r="I1784">
        <v>0</v>
      </c>
      <c r="J1784">
        <v>0</v>
      </c>
      <c r="K1784">
        <v>0</v>
      </c>
      <c r="L1784">
        <v>1</v>
      </c>
      <c r="M1784">
        <v>0</v>
      </c>
      <c r="N1784" t="s">
        <v>194</v>
      </c>
      <c r="O1784" t="s">
        <v>213</v>
      </c>
      <c r="P1784" t="s">
        <v>205</v>
      </c>
      <c r="Q1784" t="s">
        <v>170</v>
      </c>
      <c r="R1784" t="s">
        <v>155</v>
      </c>
      <c r="T1784" t="s">
        <v>134</v>
      </c>
      <c r="U1784">
        <v>1</v>
      </c>
      <c r="W1784" t="s">
        <v>134</v>
      </c>
      <c r="X1784">
        <v>1</v>
      </c>
      <c r="Y1784" t="s">
        <v>139</v>
      </c>
      <c r="Z1784" t="s">
        <v>189</v>
      </c>
      <c r="AA1784" t="s">
        <v>142</v>
      </c>
      <c r="AB1784" t="s">
        <v>162</v>
      </c>
      <c r="AC1784" t="s">
        <v>550</v>
      </c>
      <c r="AD1784" t="s">
        <v>157</v>
      </c>
      <c r="AE1784" t="s">
        <v>130</v>
      </c>
      <c r="AF1784" t="s">
        <v>437</v>
      </c>
    </row>
    <row r="1785" spans="1:32">
      <c r="A1785" t="s">
        <v>2758</v>
      </c>
      <c r="B1785" s="37">
        <v>39960</v>
      </c>
      <c r="C1785" s="38">
        <v>39960</v>
      </c>
      <c r="D1785" s="38">
        <v>39958</v>
      </c>
      <c r="E1785" s="38">
        <v>39934</v>
      </c>
      <c r="F1785" s="39">
        <v>55</v>
      </c>
      <c r="G1785" t="s">
        <v>21</v>
      </c>
      <c r="H1785" t="s">
        <v>21</v>
      </c>
      <c r="I1785">
        <v>0</v>
      </c>
      <c r="J1785">
        <v>0</v>
      </c>
      <c r="K1785">
        <v>0</v>
      </c>
      <c r="L1785">
        <v>1</v>
      </c>
      <c r="M1785">
        <v>0</v>
      </c>
      <c r="N1785" t="s">
        <v>193</v>
      </c>
      <c r="O1785" t="s">
        <v>213</v>
      </c>
      <c r="P1785" t="s">
        <v>204</v>
      </c>
      <c r="Q1785" t="s">
        <v>170</v>
      </c>
      <c r="R1785" t="s">
        <v>155</v>
      </c>
      <c r="T1785" t="s">
        <v>134</v>
      </c>
      <c r="U1785">
        <v>1</v>
      </c>
      <c r="W1785" t="s">
        <v>134</v>
      </c>
      <c r="X1785">
        <v>1</v>
      </c>
      <c r="Y1785" t="s">
        <v>140</v>
      </c>
      <c r="Z1785" t="s">
        <v>509</v>
      </c>
      <c r="AA1785" t="s">
        <v>144</v>
      </c>
      <c r="AB1785" t="s">
        <v>163</v>
      </c>
      <c r="AC1785" t="s">
        <v>21</v>
      </c>
      <c r="AD1785" t="s">
        <v>155</v>
      </c>
      <c r="AE1785" t="s">
        <v>124</v>
      </c>
      <c r="AF1785" t="s">
        <v>21</v>
      </c>
    </row>
    <row r="1786" spans="1:32">
      <c r="A1786" t="s">
        <v>2759</v>
      </c>
      <c r="B1786" s="37">
        <v>39991</v>
      </c>
      <c r="C1786" s="38">
        <v>39991</v>
      </c>
      <c r="D1786" s="38">
        <v>39986</v>
      </c>
      <c r="E1786" s="38">
        <v>39965</v>
      </c>
      <c r="F1786" s="39">
        <v>86</v>
      </c>
      <c r="G1786" t="s">
        <v>21</v>
      </c>
      <c r="H1786" t="s">
        <v>21</v>
      </c>
      <c r="I1786">
        <v>0</v>
      </c>
      <c r="J1786">
        <v>0</v>
      </c>
      <c r="K1786">
        <v>0</v>
      </c>
      <c r="L1786">
        <v>1</v>
      </c>
      <c r="M1786">
        <v>0</v>
      </c>
      <c r="N1786" t="s">
        <v>196</v>
      </c>
      <c r="O1786" t="s">
        <v>213</v>
      </c>
      <c r="P1786" t="s">
        <v>207</v>
      </c>
      <c r="Q1786" t="s">
        <v>170</v>
      </c>
      <c r="R1786" t="s">
        <v>155</v>
      </c>
      <c r="T1786" t="s">
        <v>134</v>
      </c>
      <c r="U1786">
        <v>1</v>
      </c>
      <c r="V1786">
        <v>5</v>
      </c>
      <c r="W1786" t="s">
        <v>135</v>
      </c>
      <c r="X1786">
        <v>0</v>
      </c>
      <c r="Y1786" t="s">
        <v>139</v>
      </c>
      <c r="Z1786" t="s">
        <v>185</v>
      </c>
      <c r="AA1786" t="s">
        <v>143</v>
      </c>
      <c r="AB1786" t="s">
        <v>162</v>
      </c>
      <c r="AC1786" t="s">
        <v>175</v>
      </c>
      <c r="AD1786" t="s">
        <v>155</v>
      </c>
      <c r="AE1786" t="s">
        <v>129</v>
      </c>
      <c r="AF1786" t="s">
        <v>21</v>
      </c>
    </row>
    <row r="1787" spans="1:32">
      <c r="A1787" t="s">
        <v>2760</v>
      </c>
      <c r="B1787" s="37">
        <v>39969</v>
      </c>
      <c r="C1787" s="38">
        <v>39969</v>
      </c>
      <c r="D1787" s="38">
        <v>39965</v>
      </c>
      <c r="E1787" s="38">
        <v>39965</v>
      </c>
      <c r="F1787" s="39">
        <v>64</v>
      </c>
      <c r="G1787" t="s">
        <v>21</v>
      </c>
      <c r="H1787" t="s">
        <v>21</v>
      </c>
      <c r="I1787">
        <v>0</v>
      </c>
      <c r="J1787">
        <v>0</v>
      </c>
      <c r="K1787">
        <v>0</v>
      </c>
      <c r="L1787">
        <v>1</v>
      </c>
      <c r="M1787">
        <v>0</v>
      </c>
      <c r="N1787" t="s">
        <v>194</v>
      </c>
      <c r="O1787" t="s">
        <v>213</v>
      </c>
      <c r="P1787" t="s">
        <v>205</v>
      </c>
      <c r="Q1787" t="s">
        <v>170</v>
      </c>
      <c r="R1787" t="s">
        <v>155</v>
      </c>
      <c r="T1787" t="s">
        <v>134</v>
      </c>
      <c r="U1787">
        <v>1</v>
      </c>
      <c r="W1787" t="s">
        <v>134</v>
      </c>
      <c r="X1787">
        <v>1</v>
      </c>
      <c r="Y1787" t="s">
        <v>139</v>
      </c>
      <c r="Z1787" t="s">
        <v>180</v>
      </c>
      <c r="AA1787" t="s">
        <v>143</v>
      </c>
      <c r="AB1787" t="s">
        <v>163</v>
      </c>
      <c r="AC1787" t="s">
        <v>173</v>
      </c>
      <c r="AD1787" t="s">
        <v>161</v>
      </c>
      <c r="AE1787" t="s">
        <v>1364</v>
      </c>
      <c r="AF1787" t="s">
        <v>21</v>
      </c>
    </row>
    <row r="1788" spans="1:32">
      <c r="A1788" t="s">
        <v>2761</v>
      </c>
      <c r="B1788" s="37">
        <v>40023</v>
      </c>
      <c r="C1788" s="38">
        <v>40023</v>
      </c>
      <c r="D1788" s="38">
        <v>40021</v>
      </c>
      <c r="E1788" s="38">
        <v>39995</v>
      </c>
      <c r="F1788" s="39">
        <v>118</v>
      </c>
      <c r="G1788" t="s">
        <v>9</v>
      </c>
      <c r="H1788" t="s">
        <v>9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193</v>
      </c>
      <c r="O1788" t="s">
        <v>213</v>
      </c>
      <c r="P1788" t="s">
        <v>204</v>
      </c>
      <c r="Q1788" t="s">
        <v>170</v>
      </c>
      <c r="R1788" t="s">
        <v>155</v>
      </c>
      <c r="S1788">
        <v>5</v>
      </c>
      <c r="T1788" t="s">
        <v>135</v>
      </c>
      <c r="U1788">
        <v>0</v>
      </c>
      <c r="V1788">
        <v>5</v>
      </c>
      <c r="W1788" t="s">
        <v>135</v>
      </c>
      <c r="X1788">
        <v>0</v>
      </c>
      <c r="Y1788" t="s">
        <v>140</v>
      </c>
      <c r="Z1788" t="s">
        <v>509</v>
      </c>
      <c r="AA1788" t="s">
        <v>146</v>
      </c>
      <c r="AB1788" t="s">
        <v>162</v>
      </c>
      <c r="AC1788" t="s">
        <v>1572</v>
      </c>
      <c r="AD1788" t="s">
        <v>157</v>
      </c>
      <c r="AE1788" t="s">
        <v>501</v>
      </c>
      <c r="AF1788" t="s">
        <v>2762</v>
      </c>
    </row>
    <row r="1789" spans="1:32">
      <c r="A1789" t="s">
        <v>2763</v>
      </c>
      <c r="B1789" s="37">
        <v>40056</v>
      </c>
      <c r="C1789" s="38">
        <v>40056</v>
      </c>
      <c r="D1789" s="38">
        <v>40056</v>
      </c>
      <c r="E1789" s="38">
        <v>40026</v>
      </c>
      <c r="F1789" s="39">
        <v>151</v>
      </c>
      <c r="G1789" t="s">
        <v>21</v>
      </c>
      <c r="H1789" t="s">
        <v>21</v>
      </c>
      <c r="I1789">
        <v>0</v>
      </c>
      <c r="J1789">
        <v>0</v>
      </c>
      <c r="K1789">
        <v>0</v>
      </c>
      <c r="L1789">
        <v>1</v>
      </c>
      <c r="M1789">
        <v>0</v>
      </c>
      <c r="N1789" t="s">
        <v>544</v>
      </c>
      <c r="O1789" t="s">
        <v>213</v>
      </c>
      <c r="P1789" t="s">
        <v>545</v>
      </c>
      <c r="Q1789" t="s">
        <v>170</v>
      </c>
      <c r="R1789" t="s">
        <v>155</v>
      </c>
      <c r="S1789">
        <v>5</v>
      </c>
      <c r="T1789" t="s">
        <v>135</v>
      </c>
      <c r="U1789">
        <v>0</v>
      </c>
      <c r="V1789">
        <v>3</v>
      </c>
      <c r="W1789" t="s">
        <v>137</v>
      </c>
      <c r="X1789">
        <v>0</v>
      </c>
      <c r="Y1789" t="s">
        <v>139</v>
      </c>
      <c r="Z1789" t="s">
        <v>179</v>
      </c>
      <c r="AA1789" t="s">
        <v>144</v>
      </c>
      <c r="AB1789" t="s">
        <v>162</v>
      </c>
      <c r="AC1789" t="s">
        <v>1728</v>
      </c>
      <c r="AD1789" t="s">
        <v>157</v>
      </c>
      <c r="AE1789" t="s">
        <v>127</v>
      </c>
      <c r="AF1789" t="s">
        <v>153</v>
      </c>
    </row>
    <row r="1790" spans="1:32">
      <c r="A1790" t="s">
        <v>2764</v>
      </c>
      <c r="B1790" s="37">
        <v>39914</v>
      </c>
      <c r="C1790" s="38">
        <v>39914</v>
      </c>
      <c r="D1790" s="38">
        <v>39909</v>
      </c>
      <c r="E1790" s="38">
        <v>39904</v>
      </c>
      <c r="F1790" s="39">
        <v>9</v>
      </c>
      <c r="G1790" t="s">
        <v>380</v>
      </c>
      <c r="H1790" t="s">
        <v>17</v>
      </c>
      <c r="I1790">
        <v>0</v>
      </c>
      <c r="J1790">
        <v>0</v>
      </c>
      <c r="K1790">
        <v>1</v>
      </c>
      <c r="L1790">
        <v>0</v>
      </c>
      <c r="M1790">
        <v>0</v>
      </c>
      <c r="N1790" t="s">
        <v>201</v>
      </c>
      <c r="O1790" t="s">
        <v>214</v>
      </c>
      <c r="P1790" t="s">
        <v>204</v>
      </c>
      <c r="Q1790" t="s">
        <v>170</v>
      </c>
      <c r="R1790" t="s">
        <v>155</v>
      </c>
      <c r="T1790" t="s">
        <v>134</v>
      </c>
      <c r="U1790">
        <v>1</v>
      </c>
      <c r="W1790" t="s">
        <v>134</v>
      </c>
      <c r="X1790">
        <v>1</v>
      </c>
      <c r="Y1790" t="s">
        <v>140</v>
      </c>
      <c r="Z1790" t="s">
        <v>185</v>
      </c>
      <c r="AA1790" t="s">
        <v>143</v>
      </c>
      <c r="AB1790" t="s">
        <v>162</v>
      </c>
      <c r="AC1790" t="s">
        <v>174</v>
      </c>
      <c r="AD1790" t="s">
        <v>157</v>
      </c>
      <c r="AE1790" t="s">
        <v>124</v>
      </c>
      <c r="AF1790" t="s">
        <v>885</v>
      </c>
    </row>
    <row r="1791" spans="1:32">
      <c r="A1791" t="s">
        <v>2765</v>
      </c>
      <c r="B1791" s="37">
        <v>39933</v>
      </c>
      <c r="C1791" s="38">
        <v>39933</v>
      </c>
      <c r="D1791" s="38">
        <v>39930</v>
      </c>
      <c r="E1791" s="38">
        <v>39904</v>
      </c>
      <c r="F1791" s="39">
        <v>28</v>
      </c>
      <c r="G1791" t="s">
        <v>21</v>
      </c>
      <c r="H1791" t="s">
        <v>21</v>
      </c>
      <c r="I1791">
        <v>0</v>
      </c>
      <c r="J1791">
        <v>0</v>
      </c>
      <c r="K1791">
        <v>0</v>
      </c>
      <c r="L1791">
        <v>1</v>
      </c>
      <c r="M1791">
        <v>0</v>
      </c>
      <c r="N1791" t="s">
        <v>202</v>
      </c>
      <c r="O1791" t="s">
        <v>213</v>
      </c>
      <c r="P1791" t="s">
        <v>211</v>
      </c>
      <c r="Q1791" t="s">
        <v>170</v>
      </c>
      <c r="R1791" t="s">
        <v>155</v>
      </c>
      <c r="T1791" t="s">
        <v>134</v>
      </c>
      <c r="U1791">
        <v>1</v>
      </c>
      <c r="W1791" t="s">
        <v>134</v>
      </c>
      <c r="X1791">
        <v>1</v>
      </c>
      <c r="Y1791" t="s">
        <v>139</v>
      </c>
      <c r="Z1791" t="s">
        <v>185</v>
      </c>
      <c r="AA1791" t="s">
        <v>145</v>
      </c>
      <c r="AB1791" t="s">
        <v>162</v>
      </c>
      <c r="AC1791" t="s">
        <v>174</v>
      </c>
      <c r="AD1791" t="s">
        <v>157</v>
      </c>
      <c r="AE1791" t="s">
        <v>434</v>
      </c>
      <c r="AF1791" t="s">
        <v>435</v>
      </c>
    </row>
    <row r="1792" spans="1:32">
      <c r="A1792" t="s">
        <v>2766</v>
      </c>
      <c r="B1792" s="37">
        <v>40021</v>
      </c>
      <c r="C1792" s="38">
        <v>40021</v>
      </c>
      <c r="D1792" s="38">
        <v>40021</v>
      </c>
      <c r="E1792" s="38">
        <v>39995</v>
      </c>
      <c r="F1792" s="39">
        <v>116</v>
      </c>
      <c r="G1792" t="s">
        <v>21</v>
      </c>
      <c r="H1792" t="s">
        <v>21</v>
      </c>
      <c r="I1792">
        <v>0</v>
      </c>
      <c r="J1792">
        <v>0</v>
      </c>
      <c r="K1792">
        <v>0</v>
      </c>
      <c r="L1792">
        <v>1</v>
      </c>
      <c r="M1792">
        <v>0</v>
      </c>
      <c r="N1792" t="s">
        <v>193</v>
      </c>
      <c r="O1792" t="s">
        <v>213</v>
      </c>
      <c r="P1792" t="s">
        <v>204</v>
      </c>
      <c r="Q1792" t="s">
        <v>170</v>
      </c>
      <c r="R1792" t="s">
        <v>155</v>
      </c>
      <c r="S1792">
        <v>5</v>
      </c>
      <c r="T1792" t="s">
        <v>135</v>
      </c>
      <c r="U1792">
        <v>0</v>
      </c>
      <c r="V1792">
        <v>5</v>
      </c>
      <c r="W1792" t="s">
        <v>135</v>
      </c>
      <c r="X1792">
        <v>0</v>
      </c>
      <c r="Y1792" t="s">
        <v>140</v>
      </c>
      <c r="Z1792" t="s">
        <v>185</v>
      </c>
      <c r="AA1792" t="s">
        <v>146</v>
      </c>
      <c r="AB1792" t="s">
        <v>162</v>
      </c>
      <c r="AC1792" t="s">
        <v>2767</v>
      </c>
      <c r="AD1792" t="s">
        <v>156</v>
      </c>
      <c r="AE1792" t="s">
        <v>120</v>
      </c>
      <c r="AF1792" t="s">
        <v>2768</v>
      </c>
    </row>
    <row r="1793" spans="1:32">
      <c r="A1793" t="s">
        <v>2769</v>
      </c>
      <c r="B1793" s="37">
        <v>40065</v>
      </c>
      <c r="C1793" s="38">
        <v>40065</v>
      </c>
      <c r="D1793" s="38">
        <v>40063</v>
      </c>
      <c r="E1793" s="38">
        <v>40057</v>
      </c>
      <c r="F1793" s="39">
        <v>160</v>
      </c>
      <c r="G1793" t="s">
        <v>21</v>
      </c>
      <c r="H1793" t="s">
        <v>21</v>
      </c>
      <c r="I1793">
        <v>0</v>
      </c>
      <c r="J1793">
        <v>0</v>
      </c>
      <c r="K1793">
        <v>0</v>
      </c>
      <c r="L1793">
        <v>1</v>
      </c>
      <c r="M1793">
        <v>0</v>
      </c>
      <c r="N1793" t="s">
        <v>196</v>
      </c>
      <c r="O1793" t="s">
        <v>213</v>
      </c>
      <c r="P1793" t="s">
        <v>207</v>
      </c>
      <c r="Q1793" t="s">
        <v>170</v>
      </c>
      <c r="R1793" t="s">
        <v>155</v>
      </c>
      <c r="S1793">
        <v>3</v>
      </c>
      <c r="T1793" t="s">
        <v>137</v>
      </c>
      <c r="U1793">
        <v>0</v>
      </c>
      <c r="V1793">
        <v>3</v>
      </c>
      <c r="W1793" t="s">
        <v>137</v>
      </c>
      <c r="X1793">
        <v>0</v>
      </c>
      <c r="Y1793" t="s">
        <v>139</v>
      </c>
      <c r="Z1793" t="s">
        <v>185</v>
      </c>
      <c r="AA1793" t="s">
        <v>146</v>
      </c>
      <c r="AB1793" t="s">
        <v>165</v>
      </c>
      <c r="AC1793" t="s">
        <v>589</v>
      </c>
      <c r="AD1793" t="s">
        <v>158</v>
      </c>
      <c r="AE1793" t="s">
        <v>122</v>
      </c>
      <c r="AF1793" t="s">
        <v>21</v>
      </c>
    </row>
    <row r="1794" spans="1:32">
      <c r="A1794" t="s">
        <v>2770</v>
      </c>
      <c r="B1794" s="37">
        <v>39938</v>
      </c>
      <c r="C1794" s="38">
        <v>39938</v>
      </c>
      <c r="D1794" s="38">
        <v>39937</v>
      </c>
      <c r="E1794" s="38">
        <v>39934</v>
      </c>
      <c r="F1794" s="39">
        <v>33</v>
      </c>
      <c r="G1794" t="s">
        <v>21</v>
      </c>
      <c r="H1794" t="s">
        <v>21</v>
      </c>
      <c r="I1794">
        <v>0</v>
      </c>
      <c r="J1794">
        <v>0</v>
      </c>
      <c r="K1794">
        <v>0</v>
      </c>
      <c r="L1794">
        <v>1</v>
      </c>
      <c r="M1794">
        <v>0</v>
      </c>
      <c r="N1794" t="s">
        <v>202</v>
      </c>
      <c r="O1794" t="s">
        <v>213</v>
      </c>
      <c r="P1794" t="s">
        <v>211</v>
      </c>
      <c r="Q1794" t="s">
        <v>170</v>
      </c>
      <c r="R1794" t="s">
        <v>155</v>
      </c>
      <c r="T1794" t="s">
        <v>134</v>
      </c>
      <c r="U1794">
        <v>1</v>
      </c>
      <c r="W1794" t="s">
        <v>134</v>
      </c>
      <c r="X1794">
        <v>1</v>
      </c>
      <c r="Y1794" t="s">
        <v>139</v>
      </c>
      <c r="Z1794" t="s">
        <v>179</v>
      </c>
      <c r="AA1794" t="s">
        <v>143</v>
      </c>
      <c r="AB1794" t="s">
        <v>162</v>
      </c>
      <c r="AC1794" t="s">
        <v>429</v>
      </c>
      <c r="AD1794" t="s">
        <v>159</v>
      </c>
      <c r="AE1794" t="s">
        <v>126</v>
      </c>
      <c r="AF1794" t="s">
        <v>601</v>
      </c>
    </row>
    <row r="1795" spans="1:32">
      <c r="A1795" t="s">
        <v>2771</v>
      </c>
      <c r="B1795" s="37">
        <v>40059</v>
      </c>
      <c r="C1795" s="38">
        <v>40059</v>
      </c>
      <c r="D1795" s="38">
        <v>40056</v>
      </c>
      <c r="E1795" s="38">
        <v>40057</v>
      </c>
      <c r="F1795" s="39">
        <v>154</v>
      </c>
      <c r="G1795" t="s">
        <v>21</v>
      </c>
      <c r="H1795" t="s">
        <v>21</v>
      </c>
      <c r="I1795">
        <v>0</v>
      </c>
      <c r="J1795">
        <v>0</v>
      </c>
      <c r="K1795">
        <v>0</v>
      </c>
      <c r="L1795">
        <v>1</v>
      </c>
      <c r="M1795">
        <v>0</v>
      </c>
      <c r="N1795" t="s">
        <v>193</v>
      </c>
      <c r="O1795" t="s">
        <v>213</v>
      </c>
      <c r="P1795" t="s">
        <v>204</v>
      </c>
      <c r="Q1795" t="s">
        <v>170</v>
      </c>
      <c r="R1795" t="s">
        <v>155</v>
      </c>
      <c r="S1795">
        <v>5</v>
      </c>
      <c r="T1795" t="s">
        <v>135</v>
      </c>
      <c r="U1795">
        <v>0</v>
      </c>
      <c r="V1795">
        <v>3</v>
      </c>
      <c r="W1795" t="s">
        <v>137</v>
      </c>
      <c r="X1795">
        <v>0</v>
      </c>
      <c r="Y1795" t="s">
        <v>140</v>
      </c>
      <c r="Z1795" t="s">
        <v>179</v>
      </c>
      <c r="AA1795" t="s">
        <v>142</v>
      </c>
      <c r="AB1795" t="s">
        <v>163</v>
      </c>
      <c r="AC1795" t="s">
        <v>173</v>
      </c>
      <c r="AD1795" t="s">
        <v>161</v>
      </c>
      <c r="AE1795" t="s">
        <v>2772</v>
      </c>
      <c r="AF1795" t="s">
        <v>21</v>
      </c>
    </row>
    <row r="1796" spans="1:32">
      <c r="A1796" t="s">
        <v>2773</v>
      </c>
      <c r="B1796" s="37">
        <v>40047</v>
      </c>
      <c r="C1796" s="38">
        <v>40047</v>
      </c>
      <c r="D1796" s="38">
        <v>40042</v>
      </c>
      <c r="E1796" s="38">
        <v>40026</v>
      </c>
      <c r="F1796" s="39">
        <v>142</v>
      </c>
      <c r="G1796" t="s">
        <v>21</v>
      </c>
      <c r="H1796" t="s">
        <v>21</v>
      </c>
      <c r="I1796">
        <v>0</v>
      </c>
      <c r="J1796">
        <v>0</v>
      </c>
      <c r="K1796">
        <v>0</v>
      </c>
      <c r="L1796">
        <v>1</v>
      </c>
      <c r="M1796">
        <v>0</v>
      </c>
      <c r="N1796" t="s">
        <v>195</v>
      </c>
      <c r="O1796" t="s">
        <v>213</v>
      </c>
      <c r="P1796" t="s">
        <v>206</v>
      </c>
      <c r="Q1796" t="s">
        <v>170</v>
      </c>
      <c r="R1796" t="s">
        <v>155</v>
      </c>
      <c r="S1796">
        <v>5</v>
      </c>
      <c r="T1796" t="s">
        <v>135</v>
      </c>
      <c r="U1796">
        <v>0</v>
      </c>
      <c r="V1796">
        <v>4</v>
      </c>
      <c r="W1796" t="s">
        <v>137</v>
      </c>
      <c r="X1796">
        <v>0</v>
      </c>
      <c r="Y1796" t="s">
        <v>139</v>
      </c>
      <c r="Z1796" t="s">
        <v>179</v>
      </c>
      <c r="AA1796" t="s">
        <v>145</v>
      </c>
      <c r="AB1796" t="s">
        <v>163</v>
      </c>
      <c r="AC1796" t="s">
        <v>173</v>
      </c>
      <c r="AD1796" t="s">
        <v>155</v>
      </c>
      <c r="AE1796" t="s">
        <v>956</v>
      </c>
      <c r="AF1796" t="s">
        <v>21</v>
      </c>
    </row>
    <row r="1797" spans="1:32">
      <c r="A1797" t="s">
        <v>2774</v>
      </c>
      <c r="B1797" s="37">
        <v>39945</v>
      </c>
      <c r="C1797" s="38">
        <v>39945</v>
      </c>
      <c r="D1797" s="38">
        <v>39944</v>
      </c>
      <c r="E1797" s="38">
        <v>39934</v>
      </c>
      <c r="F1797" s="39">
        <v>40</v>
      </c>
      <c r="G1797" t="s">
        <v>21</v>
      </c>
      <c r="H1797" t="s">
        <v>21</v>
      </c>
      <c r="I1797">
        <v>0</v>
      </c>
      <c r="J1797">
        <v>0</v>
      </c>
      <c r="K1797">
        <v>0</v>
      </c>
      <c r="L1797">
        <v>1</v>
      </c>
      <c r="M1797">
        <v>0</v>
      </c>
      <c r="N1797" t="s">
        <v>193</v>
      </c>
      <c r="O1797" t="s">
        <v>213</v>
      </c>
      <c r="P1797" t="s">
        <v>204</v>
      </c>
      <c r="Q1797" t="s">
        <v>170</v>
      </c>
      <c r="R1797" t="s">
        <v>155</v>
      </c>
      <c r="T1797" t="s">
        <v>134</v>
      </c>
      <c r="U1797">
        <v>1</v>
      </c>
      <c r="W1797" t="s">
        <v>134</v>
      </c>
      <c r="X1797">
        <v>1</v>
      </c>
      <c r="Y1797" t="s">
        <v>140</v>
      </c>
      <c r="Z1797" t="s">
        <v>179</v>
      </c>
      <c r="AA1797" t="s">
        <v>147</v>
      </c>
      <c r="AB1797" t="s">
        <v>163</v>
      </c>
      <c r="AC1797" t="s">
        <v>2775</v>
      </c>
      <c r="AD1797" t="s">
        <v>155</v>
      </c>
      <c r="AE1797" t="s">
        <v>124</v>
      </c>
      <c r="AF1797" t="s">
        <v>21</v>
      </c>
    </row>
    <row r="1798" spans="1:32">
      <c r="A1798" t="s">
        <v>2776</v>
      </c>
      <c r="B1798" s="37">
        <v>40008</v>
      </c>
      <c r="C1798" s="38">
        <v>40008</v>
      </c>
      <c r="D1798" s="38">
        <v>40007</v>
      </c>
      <c r="E1798" s="38">
        <v>39995</v>
      </c>
      <c r="F1798" s="39">
        <v>103</v>
      </c>
      <c r="G1798" t="s">
        <v>21</v>
      </c>
      <c r="H1798" t="s">
        <v>21</v>
      </c>
      <c r="I1798">
        <v>0</v>
      </c>
      <c r="J1798">
        <v>0</v>
      </c>
      <c r="K1798">
        <v>0</v>
      </c>
      <c r="L1798">
        <v>1</v>
      </c>
      <c r="M1798">
        <v>0</v>
      </c>
      <c r="N1798" t="s">
        <v>193</v>
      </c>
      <c r="O1798" t="s">
        <v>213</v>
      </c>
      <c r="P1798" t="s">
        <v>204</v>
      </c>
      <c r="Q1798" t="s">
        <v>170</v>
      </c>
      <c r="R1798" t="s">
        <v>155</v>
      </c>
      <c r="S1798">
        <v>5</v>
      </c>
      <c r="T1798" t="s">
        <v>135</v>
      </c>
      <c r="U1798">
        <v>0</v>
      </c>
      <c r="V1798">
        <v>5</v>
      </c>
      <c r="W1798" t="s">
        <v>135</v>
      </c>
      <c r="X1798">
        <v>0</v>
      </c>
      <c r="Y1798" t="s">
        <v>140</v>
      </c>
      <c r="Z1798" t="s">
        <v>179</v>
      </c>
      <c r="AA1798" t="s">
        <v>150</v>
      </c>
      <c r="AB1798" t="s">
        <v>162</v>
      </c>
      <c r="AC1798" t="s">
        <v>175</v>
      </c>
      <c r="AD1798" t="s">
        <v>155</v>
      </c>
      <c r="AE1798" t="s">
        <v>130</v>
      </c>
      <c r="AF1798" t="s">
        <v>21</v>
      </c>
    </row>
    <row r="1799" spans="1:32">
      <c r="A1799" t="s">
        <v>2777</v>
      </c>
      <c r="B1799" s="37">
        <v>40014</v>
      </c>
      <c r="C1799" s="38">
        <v>40014</v>
      </c>
      <c r="D1799" s="38">
        <v>40014</v>
      </c>
      <c r="E1799" s="38">
        <v>39995</v>
      </c>
      <c r="F1799" s="39">
        <v>109</v>
      </c>
      <c r="G1799" t="s">
        <v>383</v>
      </c>
      <c r="H1799" t="s">
        <v>17</v>
      </c>
      <c r="I1799">
        <v>0</v>
      </c>
      <c r="J1799">
        <v>0</v>
      </c>
      <c r="K1799">
        <v>1</v>
      </c>
      <c r="L1799">
        <v>0</v>
      </c>
      <c r="M1799">
        <v>0</v>
      </c>
      <c r="N1799" t="s">
        <v>194</v>
      </c>
      <c r="O1799" t="s">
        <v>213</v>
      </c>
      <c r="P1799" t="s">
        <v>205</v>
      </c>
      <c r="Q1799" t="s">
        <v>170</v>
      </c>
      <c r="R1799" t="s">
        <v>155</v>
      </c>
      <c r="S1799">
        <v>5</v>
      </c>
      <c r="T1799" t="s">
        <v>135</v>
      </c>
      <c r="U1799">
        <v>0</v>
      </c>
      <c r="V1799">
        <v>3</v>
      </c>
      <c r="W1799" t="s">
        <v>137</v>
      </c>
      <c r="X1799">
        <v>0</v>
      </c>
      <c r="Y1799" t="s">
        <v>139</v>
      </c>
      <c r="Z1799" t="s">
        <v>603</v>
      </c>
      <c r="AA1799" t="s">
        <v>144</v>
      </c>
      <c r="AB1799" t="s">
        <v>163</v>
      </c>
      <c r="AC1799" t="s">
        <v>173</v>
      </c>
      <c r="AD1799" t="s">
        <v>161</v>
      </c>
      <c r="AE1799" t="s">
        <v>1364</v>
      </c>
      <c r="AF1799" t="s">
        <v>21</v>
      </c>
    </row>
    <row r="1800" spans="1:32">
      <c r="A1800" t="s">
        <v>2778</v>
      </c>
      <c r="B1800" s="37">
        <v>39922</v>
      </c>
      <c r="C1800" s="38">
        <v>39922</v>
      </c>
      <c r="D1800" s="38">
        <v>39916</v>
      </c>
      <c r="E1800" s="38">
        <v>39904</v>
      </c>
      <c r="F1800" s="39">
        <v>17</v>
      </c>
      <c r="G1800" t="s">
        <v>21</v>
      </c>
      <c r="H1800" t="s">
        <v>21</v>
      </c>
      <c r="I1800">
        <v>0</v>
      </c>
      <c r="J1800">
        <v>0</v>
      </c>
      <c r="K1800">
        <v>0</v>
      </c>
      <c r="L1800">
        <v>1</v>
      </c>
      <c r="M1800">
        <v>0</v>
      </c>
      <c r="N1800" t="s">
        <v>200</v>
      </c>
      <c r="O1800" t="s">
        <v>214</v>
      </c>
      <c r="P1800" t="s">
        <v>208</v>
      </c>
      <c r="Q1800" t="s">
        <v>170</v>
      </c>
      <c r="R1800" t="s">
        <v>155</v>
      </c>
      <c r="T1800" t="s">
        <v>134</v>
      </c>
      <c r="U1800">
        <v>1</v>
      </c>
      <c r="W1800" t="s">
        <v>134</v>
      </c>
      <c r="X1800">
        <v>1</v>
      </c>
      <c r="Y1800" t="s">
        <v>139</v>
      </c>
      <c r="Z1800" t="s">
        <v>179</v>
      </c>
      <c r="AA1800" t="s">
        <v>147</v>
      </c>
      <c r="AB1800" t="s">
        <v>163</v>
      </c>
      <c r="AC1800" t="s">
        <v>173</v>
      </c>
      <c r="AD1800" t="s">
        <v>155</v>
      </c>
      <c r="AE1800" t="s">
        <v>406</v>
      </c>
      <c r="AF1800" t="s">
        <v>21</v>
      </c>
    </row>
    <row r="1801" spans="1:32">
      <c r="A1801" t="s">
        <v>2779</v>
      </c>
      <c r="B1801" s="37">
        <v>40009</v>
      </c>
      <c r="C1801" s="38">
        <v>40009</v>
      </c>
      <c r="D1801" s="38">
        <v>40007</v>
      </c>
      <c r="E1801" s="38">
        <v>39995</v>
      </c>
      <c r="F1801" s="39">
        <v>104</v>
      </c>
      <c r="G1801" t="s">
        <v>21</v>
      </c>
      <c r="H1801" t="s">
        <v>21</v>
      </c>
      <c r="I1801">
        <v>0</v>
      </c>
      <c r="J1801">
        <v>0</v>
      </c>
      <c r="K1801">
        <v>0</v>
      </c>
      <c r="L1801">
        <v>1</v>
      </c>
      <c r="M1801">
        <v>0</v>
      </c>
      <c r="N1801" t="s">
        <v>193</v>
      </c>
      <c r="O1801" t="s">
        <v>213</v>
      </c>
      <c r="P1801" t="s">
        <v>204</v>
      </c>
      <c r="Q1801" t="s">
        <v>170</v>
      </c>
      <c r="R1801" t="s">
        <v>155</v>
      </c>
      <c r="S1801">
        <v>5</v>
      </c>
      <c r="T1801" t="s">
        <v>135</v>
      </c>
      <c r="U1801">
        <v>0</v>
      </c>
      <c r="V1801">
        <v>4</v>
      </c>
      <c r="W1801" t="s">
        <v>137</v>
      </c>
      <c r="X1801">
        <v>0</v>
      </c>
      <c r="Y1801" t="s">
        <v>140</v>
      </c>
      <c r="Z1801" t="s">
        <v>179</v>
      </c>
      <c r="AA1801" t="s">
        <v>142</v>
      </c>
      <c r="AB1801" t="s">
        <v>163</v>
      </c>
      <c r="AC1801" t="s">
        <v>173</v>
      </c>
      <c r="AD1801" t="s">
        <v>155</v>
      </c>
      <c r="AE1801" t="s">
        <v>1441</v>
      </c>
      <c r="AF1801" t="s">
        <v>21</v>
      </c>
    </row>
    <row r="1802" spans="1:32">
      <c r="A1802" t="s">
        <v>2780</v>
      </c>
      <c r="B1802" s="37">
        <v>40009</v>
      </c>
      <c r="C1802" s="38">
        <v>40009</v>
      </c>
      <c r="D1802" s="38">
        <v>40007</v>
      </c>
      <c r="E1802" s="38">
        <v>39995</v>
      </c>
      <c r="F1802" s="39">
        <v>104</v>
      </c>
      <c r="G1802" t="s">
        <v>21</v>
      </c>
      <c r="H1802" t="s">
        <v>21</v>
      </c>
      <c r="I1802">
        <v>0</v>
      </c>
      <c r="J1802">
        <v>0</v>
      </c>
      <c r="K1802">
        <v>0</v>
      </c>
      <c r="L1802">
        <v>1</v>
      </c>
      <c r="M1802">
        <v>0</v>
      </c>
      <c r="N1802" t="s">
        <v>195</v>
      </c>
      <c r="O1802" t="s">
        <v>213</v>
      </c>
      <c r="P1802" t="s">
        <v>206</v>
      </c>
      <c r="Q1802" t="s">
        <v>170</v>
      </c>
      <c r="R1802" t="s">
        <v>155</v>
      </c>
      <c r="S1802">
        <v>3</v>
      </c>
      <c r="T1802" t="s">
        <v>137</v>
      </c>
      <c r="U1802">
        <v>0</v>
      </c>
      <c r="V1802">
        <v>3</v>
      </c>
      <c r="W1802" t="s">
        <v>137</v>
      </c>
      <c r="X1802">
        <v>0</v>
      </c>
      <c r="Y1802" t="s">
        <v>139</v>
      </c>
      <c r="Z1802" t="s">
        <v>179</v>
      </c>
      <c r="AA1802" t="s">
        <v>148</v>
      </c>
      <c r="AB1802" t="s">
        <v>162</v>
      </c>
      <c r="AC1802" t="s">
        <v>175</v>
      </c>
      <c r="AD1802" t="s">
        <v>155</v>
      </c>
      <c r="AE1802" t="s">
        <v>130</v>
      </c>
      <c r="AF1802" t="s">
        <v>21</v>
      </c>
    </row>
    <row r="1803" spans="1:32">
      <c r="A1803" t="s">
        <v>2781</v>
      </c>
      <c r="B1803" s="37">
        <v>40072</v>
      </c>
      <c r="C1803" s="38">
        <v>40072</v>
      </c>
      <c r="D1803" s="38">
        <v>40070</v>
      </c>
      <c r="E1803" s="38">
        <v>40057</v>
      </c>
      <c r="F1803" s="39">
        <v>167</v>
      </c>
      <c r="G1803" t="s">
        <v>21</v>
      </c>
      <c r="H1803" t="s">
        <v>21</v>
      </c>
      <c r="I1803">
        <v>0</v>
      </c>
      <c r="J1803">
        <v>0</v>
      </c>
      <c r="K1803">
        <v>0</v>
      </c>
      <c r="L1803">
        <v>1</v>
      </c>
      <c r="M1803">
        <v>0</v>
      </c>
      <c r="N1803" t="s">
        <v>193</v>
      </c>
      <c r="O1803" t="s">
        <v>213</v>
      </c>
      <c r="P1803" t="s">
        <v>204</v>
      </c>
      <c r="Q1803" t="s">
        <v>170</v>
      </c>
      <c r="R1803" t="s">
        <v>155</v>
      </c>
      <c r="S1803">
        <v>2</v>
      </c>
      <c r="T1803" t="s">
        <v>136</v>
      </c>
      <c r="U1803">
        <v>0</v>
      </c>
      <c r="V1803">
        <v>2</v>
      </c>
      <c r="W1803" t="s">
        <v>136</v>
      </c>
      <c r="X1803">
        <v>0</v>
      </c>
      <c r="Y1803" t="s">
        <v>140</v>
      </c>
      <c r="Z1803" t="s">
        <v>181</v>
      </c>
      <c r="AA1803" t="s">
        <v>143</v>
      </c>
      <c r="AB1803" t="s">
        <v>162</v>
      </c>
      <c r="AC1803" t="s">
        <v>21</v>
      </c>
      <c r="AD1803" t="s">
        <v>156</v>
      </c>
      <c r="AE1803" t="s">
        <v>120</v>
      </c>
      <c r="AF1803" t="s">
        <v>1001</v>
      </c>
    </row>
    <row r="1804" spans="1:32">
      <c r="A1804" t="s">
        <v>2782</v>
      </c>
      <c r="B1804" s="37">
        <v>39915</v>
      </c>
      <c r="C1804" s="38">
        <v>39915</v>
      </c>
      <c r="D1804" s="38">
        <v>39909</v>
      </c>
      <c r="E1804" s="38">
        <v>39904</v>
      </c>
      <c r="F1804" s="39">
        <v>10</v>
      </c>
      <c r="G1804" t="s">
        <v>496</v>
      </c>
      <c r="H1804" t="s">
        <v>13</v>
      </c>
      <c r="I1804">
        <v>0</v>
      </c>
      <c r="J1804">
        <v>1</v>
      </c>
      <c r="K1804">
        <v>0</v>
      </c>
      <c r="L1804">
        <v>0</v>
      </c>
      <c r="M1804">
        <v>1</v>
      </c>
      <c r="N1804" t="s">
        <v>193</v>
      </c>
      <c r="O1804" t="s">
        <v>213</v>
      </c>
      <c r="P1804" t="s">
        <v>204</v>
      </c>
      <c r="Q1804" t="s">
        <v>170</v>
      </c>
      <c r="R1804" t="s">
        <v>155</v>
      </c>
      <c r="T1804" t="s">
        <v>134</v>
      </c>
      <c r="U1804">
        <v>1</v>
      </c>
      <c r="W1804" t="s">
        <v>134</v>
      </c>
      <c r="X1804">
        <v>1</v>
      </c>
      <c r="Y1804" t="s">
        <v>140</v>
      </c>
      <c r="Z1804" t="s">
        <v>181</v>
      </c>
      <c r="AA1804" t="s">
        <v>142</v>
      </c>
      <c r="AB1804" t="s">
        <v>165</v>
      </c>
      <c r="AC1804" t="s">
        <v>2783</v>
      </c>
      <c r="AD1804" t="s">
        <v>158</v>
      </c>
      <c r="AE1804" t="s">
        <v>122</v>
      </c>
      <c r="AF1804" t="s">
        <v>21</v>
      </c>
    </row>
    <row r="1805" spans="1:32">
      <c r="A1805" t="s">
        <v>2784</v>
      </c>
      <c r="B1805" s="37">
        <v>39976</v>
      </c>
      <c r="C1805" s="38">
        <v>39976</v>
      </c>
      <c r="D1805" s="38">
        <v>39972</v>
      </c>
      <c r="E1805" s="38">
        <v>39965</v>
      </c>
      <c r="F1805" s="39">
        <v>71</v>
      </c>
      <c r="G1805" t="s">
        <v>383</v>
      </c>
      <c r="H1805" t="s">
        <v>17</v>
      </c>
      <c r="I1805">
        <v>0</v>
      </c>
      <c r="J1805">
        <v>0</v>
      </c>
      <c r="K1805">
        <v>1</v>
      </c>
      <c r="L1805">
        <v>0</v>
      </c>
      <c r="M1805">
        <v>0</v>
      </c>
      <c r="N1805" t="s">
        <v>193</v>
      </c>
      <c r="O1805" t="s">
        <v>213</v>
      </c>
      <c r="P1805" t="s">
        <v>204</v>
      </c>
      <c r="Q1805" t="s">
        <v>170</v>
      </c>
      <c r="R1805" t="s">
        <v>155</v>
      </c>
      <c r="T1805" t="s">
        <v>134</v>
      </c>
      <c r="U1805">
        <v>1</v>
      </c>
      <c r="W1805" t="s">
        <v>134</v>
      </c>
      <c r="X1805">
        <v>1</v>
      </c>
      <c r="Y1805" t="s">
        <v>140</v>
      </c>
      <c r="Z1805" t="s">
        <v>181</v>
      </c>
      <c r="AA1805" t="s">
        <v>144</v>
      </c>
      <c r="AB1805" t="s">
        <v>163</v>
      </c>
      <c r="AC1805" t="s">
        <v>21</v>
      </c>
      <c r="AD1805" t="s">
        <v>155</v>
      </c>
      <c r="AE1805" t="s">
        <v>124</v>
      </c>
      <c r="AF1805" t="s">
        <v>21</v>
      </c>
    </row>
    <row r="1806" spans="1:32">
      <c r="A1806" t="s">
        <v>2785</v>
      </c>
      <c r="B1806" s="37">
        <v>39948</v>
      </c>
      <c r="C1806" s="38">
        <v>39948</v>
      </c>
      <c r="D1806" s="38">
        <v>39944</v>
      </c>
      <c r="E1806" s="38">
        <v>39934</v>
      </c>
      <c r="F1806" s="39">
        <v>43</v>
      </c>
      <c r="G1806" t="s">
        <v>9</v>
      </c>
      <c r="H1806" t="s">
        <v>9</v>
      </c>
      <c r="I1806">
        <v>1</v>
      </c>
      <c r="J1806">
        <v>0</v>
      </c>
      <c r="K1806">
        <v>0</v>
      </c>
      <c r="L1806">
        <v>0</v>
      </c>
      <c r="M1806">
        <v>1</v>
      </c>
      <c r="N1806" t="s">
        <v>193</v>
      </c>
      <c r="O1806" t="s">
        <v>213</v>
      </c>
      <c r="P1806" t="s">
        <v>204</v>
      </c>
      <c r="Q1806" t="s">
        <v>170</v>
      </c>
      <c r="R1806" t="s">
        <v>155</v>
      </c>
      <c r="T1806" t="s">
        <v>134</v>
      </c>
      <c r="U1806">
        <v>1</v>
      </c>
      <c r="W1806" t="s">
        <v>134</v>
      </c>
      <c r="X1806">
        <v>1</v>
      </c>
      <c r="Y1806" t="s">
        <v>140</v>
      </c>
      <c r="Z1806" t="s">
        <v>181</v>
      </c>
      <c r="AA1806" t="s">
        <v>151</v>
      </c>
      <c r="AB1806" t="s">
        <v>165</v>
      </c>
      <c r="AC1806" t="s">
        <v>21</v>
      </c>
      <c r="AD1806" t="s">
        <v>158</v>
      </c>
      <c r="AE1806" t="s">
        <v>122</v>
      </c>
      <c r="AF1806" t="s">
        <v>21</v>
      </c>
    </row>
    <row r="1807" spans="1:32">
      <c r="A1807" t="s">
        <v>2786</v>
      </c>
      <c r="B1807" s="37">
        <v>39915</v>
      </c>
      <c r="C1807" s="38">
        <v>39915</v>
      </c>
      <c r="D1807" s="38">
        <v>39909</v>
      </c>
      <c r="E1807" s="38">
        <v>39904</v>
      </c>
      <c r="F1807" s="39">
        <v>10</v>
      </c>
      <c r="G1807" t="s">
        <v>21</v>
      </c>
      <c r="H1807" t="s">
        <v>21</v>
      </c>
      <c r="I1807">
        <v>0</v>
      </c>
      <c r="J1807">
        <v>0</v>
      </c>
      <c r="K1807">
        <v>0</v>
      </c>
      <c r="L1807">
        <v>1</v>
      </c>
      <c r="M1807">
        <v>0</v>
      </c>
      <c r="N1807" t="s">
        <v>194</v>
      </c>
      <c r="O1807" t="s">
        <v>213</v>
      </c>
      <c r="P1807" t="s">
        <v>205</v>
      </c>
      <c r="Q1807" t="s">
        <v>170</v>
      </c>
      <c r="R1807" t="s">
        <v>155</v>
      </c>
      <c r="T1807" t="s">
        <v>134</v>
      </c>
      <c r="U1807">
        <v>1</v>
      </c>
      <c r="W1807" t="s">
        <v>134</v>
      </c>
      <c r="X1807">
        <v>1</v>
      </c>
      <c r="Y1807" t="s">
        <v>139</v>
      </c>
      <c r="Z1807" t="s">
        <v>181</v>
      </c>
      <c r="AA1807" t="s">
        <v>142</v>
      </c>
      <c r="AB1807" t="s">
        <v>162</v>
      </c>
      <c r="AC1807" t="s">
        <v>1609</v>
      </c>
      <c r="AD1807" t="s">
        <v>157</v>
      </c>
      <c r="AE1807" t="s">
        <v>130</v>
      </c>
      <c r="AF1807" t="s">
        <v>423</v>
      </c>
    </row>
    <row r="1808" spans="1:32">
      <c r="A1808" t="s">
        <v>2787</v>
      </c>
      <c r="B1808" s="37">
        <v>40029</v>
      </c>
      <c r="C1808" s="38">
        <v>40029</v>
      </c>
      <c r="D1808" s="38">
        <v>40028</v>
      </c>
      <c r="E1808" s="38">
        <v>40026</v>
      </c>
      <c r="F1808" s="39">
        <v>124</v>
      </c>
      <c r="G1808" t="s">
        <v>21</v>
      </c>
      <c r="H1808" t="s">
        <v>21</v>
      </c>
      <c r="I1808">
        <v>0</v>
      </c>
      <c r="J1808">
        <v>0</v>
      </c>
      <c r="K1808">
        <v>0</v>
      </c>
      <c r="L1808">
        <v>1</v>
      </c>
      <c r="M1808">
        <v>0</v>
      </c>
      <c r="N1808" t="s">
        <v>193</v>
      </c>
      <c r="O1808" t="s">
        <v>213</v>
      </c>
      <c r="P1808" t="s">
        <v>204</v>
      </c>
      <c r="Q1808" t="s">
        <v>170</v>
      </c>
      <c r="R1808" t="s">
        <v>155</v>
      </c>
      <c r="S1808">
        <v>5</v>
      </c>
      <c r="T1808" t="s">
        <v>135</v>
      </c>
      <c r="U1808">
        <v>0</v>
      </c>
      <c r="V1808">
        <v>5</v>
      </c>
      <c r="W1808" t="s">
        <v>135</v>
      </c>
      <c r="X1808">
        <v>0</v>
      </c>
      <c r="Y1808" t="s">
        <v>140</v>
      </c>
      <c r="Z1808" t="s">
        <v>181</v>
      </c>
      <c r="AA1808" t="s">
        <v>143</v>
      </c>
      <c r="AB1808" t="s">
        <v>162</v>
      </c>
      <c r="AC1808" t="s">
        <v>174</v>
      </c>
      <c r="AD1808" t="s">
        <v>156</v>
      </c>
      <c r="AE1808" t="s">
        <v>120</v>
      </c>
      <c r="AF1808" t="s">
        <v>649</v>
      </c>
    </row>
    <row r="1809" spans="1:32">
      <c r="A1809" t="s">
        <v>2788</v>
      </c>
      <c r="B1809" s="37">
        <v>39950</v>
      </c>
      <c r="C1809" s="38">
        <v>39950</v>
      </c>
      <c r="D1809" s="38">
        <v>39944</v>
      </c>
      <c r="E1809" s="38">
        <v>39934</v>
      </c>
      <c r="F1809" s="39">
        <v>45</v>
      </c>
      <c r="G1809" t="s">
        <v>21</v>
      </c>
      <c r="H1809" t="s">
        <v>21</v>
      </c>
      <c r="I1809">
        <v>0</v>
      </c>
      <c r="J1809">
        <v>0</v>
      </c>
      <c r="K1809">
        <v>0</v>
      </c>
      <c r="L1809">
        <v>1</v>
      </c>
      <c r="M1809">
        <v>0</v>
      </c>
      <c r="N1809" t="s">
        <v>195</v>
      </c>
      <c r="O1809" t="s">
        <v>213</v>
      </c>
      <c r="P1809" t="s">
        <v>206</v>
      </c>
      <c r="Q1809" t="s">
        <v>170</v>
      </c>
      <c r="R1809" t="s">
        <v>155</v>
      </c>
      <c r="T1809" t="s">
        <v>134</v>
      </c>
      <c r="U1809">
        <v>1</v>
      </c>
      <c r="W1809" t="s">
        <v>134</v>
      </c>
      <c r="X1809">
        <v>1</v>
      </c>
      <c r="Y1809" t="s">
        <v>139</v>
      </c>
      <c r="Z1809" t="s">
        <v>181</v>
      </c>
      <c r="AA1809" t="s">
        <v>143</v>
      </c>
      <c r="AB1809" t="s">
        <v>162</v>
      </c>
      <c r="AC1809" t="s">
        <v>1550</v>
      </c>
      <c r="AD1809" t="s">
        <v>155</v>
      </c>
      <c r="AE1809" t="s">
        <v>129</v>
      </c>
      <c r="AF1809" t="s">
        <v>21</v>
      </c>
    </row>
    <row r="1810" spans="1:32">
      <c r="A1810" t="s">
        <v>2789</v>
      </c>
      <c r="B1810" s="37">
        <v>39971</v>
      </c>
      <c r="C1810" s="38">
        <v>39971</v>
      </c>
      <c r="D1810" s="38">
        <v>39965</v>
      </c>
      <c r="E1810" s="38">
        <v>39965</v>
      </c>
      <c r="F1810" s="39">
        <v>66</v>
      </c>
      <c r="G1810" t="s">
        <v>21</v>
      </c>
      <c r="H1810" t="s">
        <v>21</v>
      </c>
      <c r="I1810">
        <v>0</v>
      </c>
      <c r="J1810">
        <v>0</v>
      </c>
      <c r="K1810">
        <v>0</v>
      </c>
      <c r="L1810">
        <v>1</v>
      </c>
      <c r="M1810">
        <v>0</v>
      </c>
      <c r="N1810" t="s">
        <v>193</v>
      </c>
      <c r="O1810" t="s">
        <v>213</v>
      </c>
      <c r="P1810" t="s">
        <v>204</v>
      </c>
      <c r="Q1810" t="s">
        <v>170</v>
      </c>
      <c r="R1810" t="s">
        <v>155</v>
      </c>
      <c r="T1810" t="s">
        <v>134</v>
      </c>
      <c r="U1810">
        <v>1</v>
      </c>
      <c r="W1810" t="s">
        <v>134</v>
      </c>
      <c r="X1810">
        <v>1</v>
      </c>
      <c r="Y1810" t="s">
        <v>140</v>
      </c>
      <c r="Z1810" t="s">
        <v>181</v>
      </c>
      <c r="AA1810" t="s">
        <v>142</v>
      </c>
      <c r="AB1810" t="s">
        <v>162</v>
      </c>
      <c r="AC1810" t="s">
        <v>174</v>
      </c>
      <c r="AD1810" t="s">
        <v>157</v>
      </c>
      <c r="AE1810" t="s">
        <v>1302</v>
      </c>
      <c r="AF1810" t="s">
        <v>2790</v>
      </c>
    </row>
    <row r="1811" spans="1:32">
      <c r="A1811" t="s">
        <v>2791</v>
      </c>
      <c r="B1811" s="37">
        <v>40042</v>
      </c>
      <c r="C1811" s="38">
        <v>40042</v>
      </c>
      <c r="D1811" s="38">
        <v>40042</v>
      </c>
      <c r="E1811" s="38">
        <v>40026</v>
      </c>
      <c r="F1811" s="39">
        <v>137</v>
      </c>
      <c r="G1811" t="s">
        <v>380</v>
      </c>
      <c r="H1811" t="s">
        <v>17</v>
      </c>
      <c r="I1811">
        <v>0</v>
      </c>
      <c r="J1811">
        <v>0</v>
      </c>
      <c r="K1811">
        <v>1</v>
      </c>
      <c r="L1811">
        <v>0</v>
      </c>
      <c r="M1811">
        <v>0</v>
      </c>
      <c r="N1811" t="s">
        <v>195</v>
      </c>
      <c r="O1811" t="s">
        <v>213</v>
      </c>
      <c r="P1811" t="s">
        <v>206</v>
      </c>
      <c r="Q1811" t="s">
        <v>170</v>
      </c>
      <c r="R1811" t="s">
        <v>155</v>
      </c>
      <c r="S1811">
        <v>5</v>
      </c>
      <c r="T1811" t="s">
        <v>135</v>
      </c>
      <c r="U1811">
        <v>0</v>
      </c>
      <c r="V1811">
        <v>3</v>
      </c>
      <c r="W1811" t="s">
        <v>137</v>
      </c>
      <c r="X1811">
        <v>0</v>
      </c>
      <c r="Y1811" t="s">
        <v>139</v>
      </c>
      <c r="Z1811" t="s">
        <v>181</v>
      </c>
      <c r="AA1811" t="s">
        <v>145</v>
      </c>
      <c r="AB1811" t="s">
        <v>163</v>
      </c>
      <c r="AC1811" t="s">
        <v>589</v>
      </c>
      <c r="AD1811" t="s">
        <v>155</v>
      </c>
      <c r="AE1811" t="s">
        <v>125</v>
      </c>
      <c r="AF1811" t="s">
        <v>21</v>
      </c>
    </row>
    <row r="1812" spans="1:32">
      <c r="A1812" t="s">
        <v>2792</v>
      </c>
      <c r="B1812" s="37">
        <v>39916</v>
      </c>
      <c r="C1812" s="38">
        <v>39916</v>
      </c>
      <c r="D1812" s="38">
        <v>39916</v>
      </c>
      <c r="E1812" s="38">
        <v>39904</v>
      </c>
      <c r="F1812" s="39">
        <v>11</v>
      </c>
      <c r="G1812" t="s">
        <v>21</v>
      </c>
      <c r="H1812" t="s">
        <v>21</v>
      </c>
      <c r="I1812">
        <v>0</v>
      </c>
      <c r="J1812">
        <v>0</v>
      </c>
      <c r="K1812">
        <v>0</v>
      </c>
      <c r="L1812">
        <v>1</v>
      </c>
      <c r="M1812">
        <v>0</v>
      </c>
      <c r="N1812" t="s">
        <v>198</v>
      </c>
      <c r="O1812" t="s">
        <v>213</v>
      </c>
      <c r="P1812" t="s">
        <v>208</v>
      </c>
      <c r="Q1812" t="s">
        <v>170</v>
      </c>
      <c r="R1812" t="s">
        <v>155</v>
      </c>
      <c r="T1812" t="s">
        <v>134</v>
      </c>
      <c r="U1812">
        <v>1</v>
      </c>
      <c r="W1812" t="s">
        <v>134</v>
      </c>
      <c r="X1812">
        <v>1</v>
      </c>
      <c r="Y1812" t="s">
        <v>139</v>
      </c>
      <c r="Z1812" t="s">
        <v>179</v>
      </c>
      <c r="AA1812" t="s">
        <v>143</v>
      </c>
      <c r="AB1812" t="s">
        <v>162</v>
      </c>
      <c r="AC1812" t="s">
        <v>174</v>
      </c>
      <c r="AD1812" t="s">
        <v>157</v>
      </c>
      <c r="AE1812" t="s">
        <v>439</v>
      </c>
      <c r="AF1812" t="s">
        <v>2793</v>
      </c>
    </row>
    <row r="1813" spans="1:32">
      <c r="A1813" t="s">
        <v>2794</v>
      </c>
      <c r="B1813" s="37">
        <v>39949</v>
      </c>
      <c r="C1813" s="38">
        <v>39949</v>
      </c>
      <c r="D1813" s="38">
        <v>39944</v>
      </c>
      <c r="E1813" s="38">
        <v>39934</v>
      </c>
      <c r="F1813" s="39">
        <v>44</v>
      </c>
      <c r="G1813" t="s">
        <v>9</v>
      </c>
      <c r="H1813" t="s">
        <v>9</v>
      </c>
      <c r="I1813">
        <v>1</v>
      </c>
      <c r="J1813">
        <v>0</v>
      </c>
      <c r="K1813">
        <v>0</v>
      </c>
      <c r="L1813">
        <v>0</v>
      </c>
      <c r="M1813">
        <v>1</v>
      </c>
      <c r="N1813" t="s">
        <v>193</v>
      </c>
      <c r="O1813" t="s">
        <v>213</v>
      </c>
      <c r="P1813" t="s">
        <v>204</v>
      </c>
      <c r="Q1813" t="s">
        <v>170</v>
      </c>
      <c r="R1813" t="s">
        <v>155</v>
      </c>
      <c r="T1813" t="s">
        <v>134</v>
      </c>
      <c r="U1813">
        <v>1</v>
      </c>
      <c r="W1813" t="s">
        <v>134</v>
      </c>
      <c r="X1813">
        <v>1</v>
      </c>
      <c r="Y1813" t="s">
        <v>140</v>
      </c>
      <c r="Z1813" t="s">
        <v>179</v>
      </c>
      <c r="AA1813" t="s">
        <v>150</v>
      </c>
      <c r="AB1813" t="s">
        <v>163</v>
      </c>
      <c r="AC1813" t="s">
        <v>173</v>
      </c>
      <c r="AD1813" t="s">
        <v>155</v>
      </c>
      <c r="AE1813" t="s">
        <v>125</v>
      </c>
      <c r="AF1813" t="s">
        <v>21</v>
      </c>
    </row>
    <row r="1814" spans="1:32">
      <c r="A1814" t="s">
        <v>2795</v>
      </c>
      <c r="B1814" s="37">
        <v>39973</v>
      </c>
      <c r="C1814" s="38">
        <v>39973</v>
      </c>
      <c r="D1814" s="38">
        <v>39972</v>
      </c>
      <c r="E1814" s="38">
        <v>39965</v>
      </c>
      <c r="F1814" s="39">
        <v>68</v>
      </c>
      <c r="G1814" t="s">
        <v>21</v>
      </c>
      <c r="H1814" t="s">
        <v>21</v>
      </c>
      <c r="I1814">
        <v>0</v>
      </c>
      <c r="J1814">
        <v>0</v>
      </c>
      <c r="K1814">
        <v>0</v>
      </c>
      <c r="L1814">
        <v>1</v>
      </c>
      <c r="M1814">
        <v>0</v>
      </c>
      <c r="N1814" t="s">
        <v>194</v>
      </c>
      <c r="O1814" t="s">
        <v>213</v>
      </c>
      <c r="P1814" t="s">
        <v>205</v>
      </c>
      <c r="Q1814" t="s">
        <v>170</v>
      </c>
      <c r="R1814" t="s">
        <v>155</v>
      </c>
      <c r="T1814" t="s">
        <v>134</v>
      </c>
      <c r="U1814">
        <v>1</v>
      </c>
      <c r="W1814" t="s">
        <v>134</v>
      </c>
      <c r="X1814">
        <v>1</v>
      </c>
      <c r="Y1814" t="s">
        <v>139</v>
      </c>
      <c r="Z1814" t="s">
        <v>179</v>
      </c>
      <c r="AA1814" t="s">
        <v>151</v>
      </c>
      <c r="AB1814" t="s">
        <v>162</v>
      </c>
      <c r="AC1814" t="s">
        <v>459</v>
      </c>
      <c r="AD1814" t="s">
        <v>155</v>
      </c>
      <c r="AE1814" t="s">
        <v>130</v>
      </c>
      <c r="AF1814" t="s">
        <v>21</v>
      </c>
    </row>
    <row r="1815" spans="1:32">
      <c r="A1815" t="s">
        <v>2796</v>
      </c>
      <c r="B1815" s="37">
        <v>39920</v>
      </c>
      <c r="C1815" s="38">
        <v>39920</v>
      </c>
      <c r="D1815" s="38">
        <v>39916</v>
      </c>
      <c r="E1815" s="38">
        <v>39904</v>
      </c>
      <c r="F1815" s="39">
        <v>15</v>
      </c>
      <c r="G1815" t="s">
        <v>21</v>
      </c>
      <c r="H1815" t="s">
        <v>21</v>
      </c>
      <c r="I1815">
        <v>0</v>
      </c>
      <c r="J1815">
        <v>0</v>
      </c>
      <c r="K1815">
        <v>0</v>
      </c>
      <c r="L1815">
        <v>1</v>
      </c>
      <c r="M1815">
        <v>0</v>
      </c>
      <c r="N1815" t="s">
        <v>198</v>
      </c>
      <c r="O1815" t="s">
        <v>213</v>
      </c>
      <c r="P1815" t="s">
        <v>208</v>
      </c>
      <c r="Q1815" t="s">
        <v>170</v>
      </c>
      <c r="R1815" t="s">
        <v>155</v>
      </c>
      <c r="T1815" t="s">
        <v>134</v>
      </c>
      <c r="U1815">
        <v>1</v>
      </c>
      <c r="W1815" t="s">
        <v>134</v>
      </c>
      <c r="X1815">
        <v>1</v>
      </c>
      <c r="Y1815" t="s">
        <v>139</v>
      </c>
      <c r="Z1815" t="s">
        <v>179</v>
      </c>
      <c r="AA1815" t="s">
        <v>147</v>
      </c>
      <c r="AB1815" t="s">
        <v>163</v>
      </c>
      <c r="AC1815" t="s">
        <v>415</v>
      </c>
      <c r="AD1815" t="s">
        <v>155</v>
      </c>
      <c r="AE1815" t="s">
        <v>125</v>
      </c>
      <c r="AF1815" t="s">
        <v>21</v>
      </c>
    </row>
    <row r="1816" spans="1:32">
      <c r="A1816" t="s">
        <v>2797</v>
      </c>
      <c r="B1816" s="37">
        <v>39925</v>
      </c>
      <c r="C1816" s="38">
        <v>39925</v>
      </c>
      <c r="D1816" s="38">
        <v>39923</v>
      </c>
      <c r="E1816" s="38">
        <v>39904</v>
      </c>
      <c r="F1816" s="39">
        <v>20</v>
      </c>
      <c r="G1816" t="s">
        <v>21</v>
      </c>
      <c r="H1816" t="s">
        <v>21</v>
      </c>
      <c r="I1816">
        <v>0</v>
      </c>
      <c r="J1816">
        <v>0</v>
      </c>
      <c r="K1816">
        <v>0</v>
      </c>
      <c r="L1816">
        <v>1</v>
      </c>
      <c r="M1816">
        <v>0</v>
      </c>
      <c r="N1816" t="s">
        <v>199</v>
      </c>
      <c r="O1816" t="s">
        <v>213</v>
      </c>
      <c r="P1816" t="s">
        <v>210</v>
      </c>
      <c r="Q1816" t="s">
        <v>170</v>
      </c>
      <c r="R1816" t="s">
        <v>155</v>
      </c>
      <c r="T1816" t="s">
        <v>134</v>
      </c>
      <c r="U1816">
        <v>1</v>
      </c>
      <c r="W1816" t="s">
        <v>134</v>
      </c>
      <c r="X1816">
        <v>1</v>
      </c>
      <c r="Y1816" t="s">
        <v>139</v>
      </c>
      <c r="Z1816" t="s">
        <v>179</v>
      </c>
      <c r="AA1816" t="s">
        <v>147</v>
      </c>
      <c r="AB1816" t="s">
        <v>163</v>
      </c>
      <c r="AC1816" t="s">
        <v>173</v>
      </c>
      <c r="AD1816" t="s">
        <v>155</v>
      </c>
      <c r="AE1816" t="s">
        <v>406</v>
      </c>
      <c r="AF1816" t="s">
        <v>21</v>
      </c>
    </row>
    <row r="1817" spans="1:32">
      <c r="A1817" t="s">
        <v>2798</v>
      </c>
      <c r="B1817" s="37">
        <v>39940</v>
      </c>
      <c r="C1817" s="38">
        <v>39940</v>
      </c>
      <c r="D1817" s="38">
        <v>39937</v>
      </c>
      <c r="E1817" s="38">
        <v>39934</v>
      </c>
      <c r="F1817" s="39">
        <v>35</v>
      </c>
      <c r="G1817" t="s">
        <v>9</v>
      </c>
      <c r="H1817" t="s">
        <v>9</v>
      </c>
      <c r="I1817">
        <v>1</v>
      </c>
      <c r="J1817">
        <v>0</v>
      </c>
      <c r="K1817">
        <v>0</v>
      </c>
      <c r="L1817">
        <v>0</v>
      </c>
      <c r="M1817">
        <v>1</v>
      </c>
      <c r="N1817" t="s">
        <v>193</v>
      </c>
      <c r="O1817" t="s">
        <v>213</v>
      </c>
      <c r="P1817" t="s">
        <v>204</v>
      </c>
      <c r="Q1817" t="s">
        <v>170</v>
      </c>
      <c r="R1817" t="s">
        <v>155</v>
      </c>
      <c r="T1817" t="s">
        <v>134</v>
      </c>
      <c r="U1817">
        <v>1</v>
      </c>
      <c r="W1817" t="s">
        <v>134</v>
      </c>
      <c r="X1817">
        <v>1</v>
      </c>
      <c r="Y1817" t="s">
        <v>140</v>
      </c>
      <c r="Z1817" t="s">
        <v>179</v>
      </c>
      <c r="AA1817" t="s">
        <v>147</v>
      </c>
      <c r="AB1817" t="s">
        <v>162</v>
      </c>
      <c r="AC1817" t="s">
        <v>174</v>
      </c>
      <c r="AD1817" t="s">
        <v>156</v>
      </c>
      <c r="AE1817" t="s">
        <v>120</v>
      </c>
      <c r="AF1817" t="s">
        <v>470</v>
      </c>
    </row>
    <row r="1818" spans="1:32">
      <c r="A1818" t="s">
        <v>2799</v>
      </c>
      <c r="B1818" s="37">
        <v>39945</v>
      </c>
      <c r="C1818" s="38">
        <v>39945</v>
      </c>
      <c r="D1818" s="38">
        <v>39944</v>
      </c>
      <c r="E1818" s="38">
        <v>39934</v>
      </c>
      <c r="F1818" s="39">
        <v>40</v>
      </c>
      <c r="G1818" t="s">
        <v>496</v>
      </c>
      <c r="H1818" t="s">
        <v>13</v>
      </c>
      <c r="I1818">
        <v>0</v>
      </c>
      <c r="J1818">
        <v>1</v>
      </c>
      <c r="K1818">
        <v>0</v>
      </c>
      <c r="L1818">
        <v>0</v>
      </c>
      <c r="M1818">
        <v>1</v>
      </c>
      <c r="N1818" t="s">
        <v>193</v>
      </c>
      <c r="O1818" t="s">
        <v>213</v>
      </c>
      <c r="P1818" t="s">
        <v>204</v>
      </c>
      <c r="Q1818" t="s">
        <v>170</v>
      </c>
      <c r="R1818" t="s">
        <v>155</v>
      </c>
      <c r="T1818" t="s">
        <v>134</v>
      </c>
      <c r="U1818">
        <v>1</v>
      </c>
      <c r="W1818" t="s">
        <v>134</v>
      </c>
      <c r="X1818">
        <v>1</v>
      </c>
      <c r="Y1818" t="s">
        <v>140</v>
      </c>
      <c r="Z1818" t="s">
        <v>409</v>
      </c>
      <c r="AA1818" t="s">
        <v>142</v>
      </c>
      <c r="AB1818" t="s">
        <v>163</v>
      </c>
      <c r="AC1818" t="s">
        <v>173</v>
      </c>
      <c r="AD1818" t="s">
        <v>155</v>
      </c>
      <c r="AE1818" t="s">
        <v>128</v>
      </c>
      <c r="AF1818" t="s">
        <v>21</v>
      </c>
    </row>
    <row r="1819" spans="1:32">
      <c r="A1819" t="s">
        <v>2800</v>
      </c>
      <c r="B1819" s="37">
        <v>39963</v>
      </c>
      <c r="C1819" s="38">
        <v>39963</v>
      </c>
      <c r="D1819" s="38">
        <v>39958</v>
      </c>
      <c r="E1819" s="38">
        <v>39934</v>
      </c>
      <c r="F1819" s="39">
        <v>58</v>
      </c>
      <c r="G1819" t="s">
        <v>21</v>
      </c>
      <c r="H1819" t="s">
        <v>21</v>
      </c>
      <c r="I1819">
        <v>0</v>
      </c>
      <c r="J1819">
        <v>0</v>
      </c>
      <c r="K1819">
        <v>0</v>
      </c>
      <c r="L1819">
        <v>1</v>
      </c>
      <c r="M1819">
        <v>0</v>
      </c>
      <c r="N1819" t="s">
        <v>193</v>
      </c>
      <c r="O1819" t="s">
        <v>213</v>
      </c>
      <c r="P1819" t="s">
        <v>204</v>
      </c>
      <c r="Q1819" t="s">
        <v>170</v>
      </c>
      <c r="R1819" t="s">
        <v>155</v>
      </c>
      <c r="T1819" t="s">
        <v>134</v>
      </c>
      <c r="U1819">
        <v>1</v>
      </c>
      <c r="W1819" t="s">
        <v>134</v>
      </c>
      <c r="X1819">
        <v>1</v>
      </c>
      <c r="Y1819" t="s">
        <v>140</v>
      </c>
      <c r="Z1819" t="s">
        <v>409</v>
      </c>
      <c r="AA1819" t="s">
        <v>150</v>
      </c>
      <c r="AB1819" t="s">
        <v>162</v>
      </c>
      <c r="AC1819" t="s">
        <v>175</v>
      </c>
      <c r="AD1819" t="s">
        <v>155</v>
      </c>
      <c r="AE1819" t="s">
        <v>129</v>
      </c>
      <c r="AF1819" t="s">
        <v>21</v>
      </c>
    </row>
    <row r="1820" spans="1:32">
      <c r="A1820" t="s">
        <v>2801</v>
      </c>
      <c r="B1820" s="37">
        <v>39916</v>
      </c>
      <c r="C1820" s="38">
        <v>39916</v>
      </c>
      <c r="D1820" s="38">
        <v>39916</v>
      </c>
      <c r="E1820" s="38">
        <v>39904</v>
      </c>
      <c r="F1820" s="39">
        <v>11</v>
      </c>
      <c r="G1820" t="s">
        <v>21</v>
      </c>
      <c r="H1820" t="s">
        <v>21</v>
      </c>
      <c r="I1820">
        <v>0</v>
      </c>
      <c r="J1820">
        <v>0</v>
      </c>
      <c r="K1820">
        <v>0</v>
      </c>
      <c r="L1820">
        <v>1</v>
      </c>
      <c r="M1820">
        <v>0</v>
      </c>
      <c r="N1820" t="s">
        <v>198</v>
      </c>
      <c r="O1820" t="s">
        <v>213</v>
      </c>
      <c r="P1820" t="s">
        <v>208</v>
      </c>
      <c r="Q1820" t="s">
        <v>170</v>
      </c>
      <c r="R1820" t="s">
        <v>155</v>
      </c>
      <c r="T1820" t="s">
        <v>134</v>
      </c>
      <c r="U1820">
        <v>1</v>
      </c>
      <c r="W1820" t="s">
        <v>134</v>
      </c>
      <c r="X1820">
        <v>1</v>
      </c>
      <c r="Y1820" t="s">
        <v>139</v>
      </c>
      <c r="Z1820" t="s">
        <v>178</v>
      </c>
      <c r="AA1820" t="s">
        <v>145</v>
      </c>
      <c r="AB1820" t="s">
        <v>162</v>
      </c>
      <c r="AC1820" t="s">
        <v>174</v>
      </c>
      <c r="AD1820" t="s">
        <v>156</v>
      </c>
      <c r="AE1820" t="s">
        <v>120</v>
      </c>
      <c r="AF1820" t="s">
        <v>1001</v>
      </c>
    </row>
    <row r="1821" spans="1:32">
      <c r="A1821" t="s">
        <v>2802</v>
      </c>
      <c r="B1821" s="37">
        <v>39914</v>
      </c>
      <c r="C1821" s="38">
        <v>39914</v>
      </c>
      <c r="D1821" s="38">
        <v>39909</v>
      </c>
      <c r="E1821" s="38">
        <v>39904</v>
      </c>
      <c r="F1821" s="39">
        <v>9</v>
      </c>
      <c r="G1821" t="s">
        <v>21</v>
      </c>
      <c r="H1821" t="s">
        <v>21</v>
      </c>
      <c r="I1821">
        <v>0</v>
      </c>
      <c r="J1821">
        <v>0</v>
      </c>
      <c r="K1821">
        <v>0</v>
      </c>
      <c r="L1821">
        <v>1</v>
      </c>
      <c r="M1821">
        <v>0</v>
      </c>
      <c r="N1821" t="s">
        <v>198</v>
      </c>
      <c r="O1821" t="s">
        <v>213</v>
      </c>
      <c r="P1821" t="s">
        <v>208</v>
      </c>
      <c r="Q1821" t="s">
        <v>170</v>
      </c>
      <c r="R1821" t="s">
        <v>155</v>
      </c>
      <c r="T1821" t="s">
        <v>134</v>
      </c>
      <c r="U1821">
        <v>1</v>
      </c>
      <c r="W1821" t="s">
        <v>134</v>
      </c>
      <c r="X1821">
        <v>1</v>
      </c>
      <c r="Y1821" t="s">
        <v>139</v>
      </c>
      <c r="Z1821" t="s">
        <v>183</v>
      </c>
      <c r="AA1821" t="s">
        <v>142</v>
      </c>
      <c r="AB1821" t="s">
        <v>163</v>
      </c>
      <c r="AC1821" t="s">
        <v>173</v>
      </c>
      <c r="AD1821" t="s">
        <v>155</v>
      </c>
      <c r="AE1821" t="s">
        <v>125</v>
      </c>
      <c r="AF1821" t="s">
        <v>21</v>
      </c>
    </row>
    <row r="1822" spans="1:32">
      <c r="A1822" t="s">
        <v>2803</v>
      </c>
      <c r="B1822" s="37">
        <v>39910</v>
      </c>
      <c r="C1822" s="38">
        <v>39910</v>
      </c>
      <c r="D1822" s="38">
        <v>39909</v>
      </c>
      <c r="E1822" s="38">
        <v>39904</v>
      </c>
      <c r="F1822" s="39">
        <v>5</v>
      </c>
      <c r="G1822" t="s">
        <v>21</v>
      </c>
      <c r="H1822" t="s">
        <v>21</v>
      </c>
      <c r="I1822">
        <v>0</v>
      </c>
      <c r="J1822">
        <v>0</v>
      </c>
      <c r="K1822">
        <v>0</v>
      </c>
      <c r="L1822">
        <v>1</v>
      </c>
      <c r="M1822">
        <v>0</v>
      </c>
      <c r="N1822" t="s">
        <v>201</v>
      </c>
      <c r="O1822" t="s">
        <v>214</v>
      </c>
      <c r="P1822" t="s">
        <v>204</v>
      </c>
      <c r="Q1822" t="s">
        <v>170</v>
      </c>
      <c r="R1822" t="s">
        <v>155</v>
      </c>
      <c r="T1822" t="s">
        <v>134</v>
      </c>
      <c r="U1822">
        <v>1</v>
      </c>
      <c r="W1822" t="s">
        <v>134</v>
      </c>
      <c r="X1822">
        <v>1</v>
      </c>
      <c r="Y1822" t="s">
        <v>140</v>
      </c>
      <c r="Z1822" t="s">
        <v>178</v>
      </c>
      <c r="AA1822" t="s">
        <v>143</v>
      </c>
      <c r="AB1822" t="s">
        <v>162</v>
      </c>
      <c r="AC1822" t="s">
        <v>174</v>
      </c>
      <c r="AD1822" t="s">
        <v>160</v>
      </c>
      <c r="AE1822" t="s">
        <v>726</v>
      </c>
      <c r="AF1822" t="s">
        <v>2804</v>
      </c>
    </row>
    <row r="1823" spans="1:32">
      <c r="A1823" t="s">
        <v>2805</v>
      </c>
      <c r="B1823" s="37">
        <v>40015</v>
      </c>
      <c r="C1823" s="38">
        <v>40015</v>
      </c>
      <c r="D1823" s="38">
        <v>40014</v>
      </c>
      <c r="E1823" s="38">
        <v>39995</v>
      </c>
      <c r="F1823" s="39">
        <v>110</v>
      </c>
      <c r="G1823" t="s">
        <v>21</v>
      </c>
      <c r="H1823" t="s">
        <v>21</v>
      </c>
      <c r="I1823">
        <v>0</v>
      </c>
      <c r="J1823">
        <v>0</v>
      </c>
      <c r="K1823">
        <v>0</v>
      </c>
      <c r="L1823">
        <v>1</v>
      </c>
      <c r="M1823">
        <v>0</v>
      </c>
      <c r="N1823" t="s">
        <v>194</v>
      </c>
      <c r="O1823" t="s">
        <v>213</v>
      </c>
      <c r="P1823" t="s">
        <v>205</v>
      </c>
      <c r="Q1823" t="s">
        <v>170</v>
      </c>
      <c r="R1823" t="s">
        <v>155</v>
      </c>
      <c r="S1823">
        <v>5</v>
      </c>
      <c r="T1823" t="s">
        <v>135</v>
      </c>
      <c r="U1823">
        <v>0</v>
      </c>
      <c r="V1823">
        <v>5</v>
      </c>
      <c r="W1823" t="s">
        <v>135</v>
      </c>
      <c r="X1823">
        <v>0</v>
      </c>
      <c r="Y1823" t="s">
        <v>139</v>
      </c>
      <c r="Z1823" t="s">
        <v>178</v>
      </c>
      <c r="AA1823" t="s">
        <v>144</v>
      </c>
      <c r="AB1823" t="s">
        <v>162</v>
      </c>
      <c r="AC1823" t="s">
        <v>176</v>
      </c>
      <c r="AD1823" t="s">
        <v>155</v>
      </c>
      <c r="AE1823" t="s">
        <v>129</v>
      </c>
      <c r="AF1823" t="s">
        <v>21</v>
      </c>
    </row>
    <row r="1824" spans="1:32">
      <c r="A1824" t="s">
        <v>2806</v>
      </c>
      <c r="B1824" s="37">
        <v>40013</v>
      </c>
      <c r="C1824" s="38">
        <v>40013</v>
      </c>
      <c r="D1824" s="38">
        <v>40007</v>
      </c>
      <c r="E1824" s="38">
        <v>39995</v>
      </c>
      <c r="F1824" s="39">
        <v>108</v>
      </c>
      <c r="G1824" t="s">
        <v>21</v>
      </c>
      <c r="H1824" t="s">
        <v>21</v>
      </c>
      <c r="I1824">
        <v>0</v>
      </c>
      <c r="J1824">
        <v>0</v>
      </c>
      <c r="K1824">
        <v>0</v>
      </c>
      <c r="L1824">
        <v>1</v>
      </c>
      <c r="M1824">
        <v>0</v>
      </c>
      <c r="N1824" t="s">
        <v>194</v>
      </c>
      <c r="O1824" t="s">
        <v>213</v>
      </c>
      <c r="P1824" t="s">
        <v>205</v>
      </c>
      <c r="Q1824" t="s">
        <v>170</v>
      </c>
      <c r="R1824" t="s">
        <v>155</v>
      </c>
      <c r="S1824">
        <v>5</v>
      </c>
      <c r="T1824" t="s">
        <v>135</v>
      </c>
      <c r="U1824">
        <v>0</v>
      </c>
      <c r="V1824">
        <v>5</v>
      </c>
      <c r="W1824" t="s">
        <v>135</v>
      </c>
      <c r="X1824">
        <v>0</v>
      </c>
      <c r="Y1824" t="s">
        <v>139</v>
      </c>
      <c r="Z1824" t="s">
        <v>178</v>
      </c>
      <c r="AA1824" t="s">
        <v>142</v>
      </c>
      <c r="AB1824" t="s">
        <v>162</v>
      </c>
      <c r="AC1824" t="s">
        <v>175</v>
      </c>
      <c r="AD1824" t="s">
        <v>155</v>
      </c>
      <c r="AE1824" t="s">
        <v>130</v>
      </c>
      <c r="AF1824" t="s">
        <v>21</v>
      </c>
    </row>
    <row r="1825" spans="1:32">
      <c r="A1825" t="s">
        <v>2807</v>
      </c>
      <c r="B1825" s="37">
        <v>39959</v>
      </c>
      <c r="C1825" s="38">
        <v>39959</v>
      </c>
      <c r="D1825" s="38">
        <v>39958</v>
      </c>
      <c r="E1825" s="38">
        <v>39934</v>
      </c>
      <c r="F1825" s="39">
        <v>54</v>
      </c>
      <c r="G1825" t="s">
        <v>21</v>
      </c>
      <c r="H1825" t="s">
        <v>21</v>
      </c>
      <c r="I1825">
        <v>0</v>
      </c>
      <c r="J1825">
        <v>0</v>
      </c>
      <c r="K1825">
        <v>0</v>
      </c>
      <c r="L1825">
        <v>1</v>
      </c>
      <c r="M1825">
        <v>0</v>
      </c>
      <c r="N1825" t="s">
        <v>193</v>
      </c>
      <c r="O1825" t="s">
        <v>213</v>
      </c>
      <c r="P1825" t="s">
        <v>204</v>
      </c>
      <c r="Q1825" t="s">
        <v>170</v>
      </c>
      <c r="R1825" t="s">
        <v>155</v>
      </c>
      <c r="T1825" t="s">
        <v>134</v>
      </c>
      <c r="U1825">
        <v>1</v>
      </c>
      <c r="W1825" t="s">
        <v>134</v>
      </c>
      <c r="X1825">
        <v>1</v>
      </c>
      <c r="Y1825" t="s">
        <v>140</v>
      </c>
      <c r="Z1825" t="s">
        <v>178</v>
      </c>
      <c r="AA1825" t="s">
        <v>148</v>
      </c>
      <c r="AB1825" t="s">
        <v>2455</v>
      </c>
      <c r="AC1825" t="s">
        <v>1413</v>
      </c>
      <c r="AD1825" t="s">
        <v>123</v>
      </c>
      <c r="AE1825" t="s">
        <v>601</v>
      </c>
      <c r="AF1825" t="s">
        <v>21</v>
      </c>
    </row>
    <row r="1826" spans="1:32">
      <c r="A1826" t="s">
        <v>2808</v>
      </c>
      <c r="B1826" s="37">
        <v>39928</v>
      </c>
      <c r="C1826" s="38">
        <v>39928</v>
      </c>
      <c r="D1826" s="38">
        <v>39923</v>
      </c>
      <c r="E1826" s="38">
        <v>39904</v>
      </c>
      <c r="F1826" s="39">
        <v>23</v>
      </c>
      <c r="G1826" t="s">
        <v>21</v>
      </c>
      <c r="H1826" t="s">
        <v>21</v>
      </c>
      <c r="I1826">
        <v>0</v>
      </c>
      <c r="J1826">
        <v>0</v>
      </c>
      <c r="K1826">
        <v>0</v>
      </c>
      <c r="L1826">
        <v>1</v>
      </c>
      <c r="M1826">
        <v>0</v>
      </c>
      <c r="N1826" t="s">
        <v>200</v>
      </c>
      <c r="O1826" t="s">
        <v>214</v>
      </c>
      <c r="P1826" t="s">
        <v>208</v>
      </c>
      <c r="Q1826" t="s">
        <v>170</v>
      </c>
      <c r="R1826" t="s">
        <v>155</v>
      </c>
      <c r="T1826" t="s">
        <v>134</v>
      </c>
      <c r="U1826">
        <v>1</v>
      </c>
      <c r="W1826" t="s">
        <v>134</v>
      </c>
      <c r="X1826">
        <v>1</v>
      </c>
      <c r="Y1826" t="s">
        <v>139</v>
      </c>
      <c r="Z1826" t="s">
        <v>603</v>
      </c>
      <c r="AA1826" t="s">
        <v>143</v>
      </c>
      <c r="AB1826" t="s">
        <v>163</v>
      </c>
      <c r="AC1826" t="s">
        <v>173</v>
      </c>
      <c r="AD1826" t="s">
        <v>155</v>
      </c>
      <c r="AE1826" t="s">
        <v>125</v>
      </c>
      <c r="AF1826" t="s">
        <v>21</v>
      </c>
    </row>
    <row r="1827" spans="1:32">
      <c r="A1827" t="s">
        <v>2809</v>
      </c>
      <c r="B1827" s="37">
        <v>40001</v>
      </c>
      <c r="C1827" s="38">
        <v>40001</v>
      </c>
      <c r="D1827" s="38">
        <v>40000</v>
      </c>
      <c r="E1827" s="38">
        <v>39995</v>
      </c>
      <c r="F1827" s="39">
        <v>96</v>
      </c>
      <c r="G1827" t="s">
        <v>21</v>
      </c>
      <c r="H1827" t="s">
        <v>21</v>
      </c>
      <c r="I1827">
        <v>0</v>
      </c>
      <c r="J1827">
        <v>0</v>
      </c>
      <c r="K1827">
        <v>0</v>
      </c>
      <c r="L1827">
        <v>1</v>
      </c>
      <c r="M1827">
        <v>0</v>
      </c>
      <c r="N1827" t="s">
        <v>193</v>
      </c>
      <c r="O1827" t="s">
        <v>213</v>
      </c>
      <c r="P1827" t="s">
        <v>204</v>
      </c>
      <c r="Q1827" t="s">
        <v>170</v>
      </c>
      <c r="R1827" t="s">
        <v>155</v>
      </c>
      <c r="T1827" t="s">
        <v>134</v>
      </c>
      <c r="U1827">
        <v>1</v>
      </c>
      <c r="V1827">
        <v>2</v>
      </c>
      <c r="W1827" t="s">
        <v>136</v>
      </c>
      <c r="X1827">
        <v>0</v>
      </c>
      <c r="Y1827" t="s">
        <v>140</v>
      </c>
      <c r="Z1827" t="s">
        <v>178</v>
      </c>
      <c r="AA1827" t="s">
        <v>148</v>
      </c>
      <c r="AB1827" t="s">
        <v>162</v>
      </c>
      <c r="AC1827" t="s">
        <v>578</v>
      </c>
      <c r="AD1827" t="s">
        <v>157</v>
      </c>
      <c r="AE1827" t="s">
        <v>127</v>
      </c>
      <c r="AF1827" t="s">
        <v>153</v>
      </c>
    </row>
    <row r="1828" spans="1:32">
      <c r="A1828" t="s">
        <v>2810</v>
      </c>
      <c r="B1828" s="37">
        <v>39925</v>
      </c>
      <c r="C1828" s="38">
        <v>39925</v>
      </c>
      <c r="D1828" s="38">
        <v>39923</v>
      </c>
      <c r="E1828" s="38">
        <v>39904</v>
      </c>
      <c r="F1828" s="39">
        <v>20</v>
      </c>
      <c r="G1828" t="s">
        <v>525</v>
      </c>
      <c r="H1828" t="s">
        <v>17</v>
      </c>
      <c r="I1828">
        <v>0</v>
      </c>
      <c r="J1828">
        <v>0</v>
      </c>
      <c r="K1828">
        <v>1</v>
      </c>
      <c r="L1828">
        <v>0</v>
      </c>
      <c r="M1828">
        <v>0</v>
      </c>
      <c r="N1828" t="s">
        <v>201</v>
      </c>
      <c r="O1828" t="s">
        <v>214</v>
      </c>
      <c r="P1828" t="s">
        <v>204</v>
      </c>
      <c r="Q1828" t="s">
        <v>170</v>
      </c>
      <c r="R1828" t="s">
        <v>155</v>
      </c>
      <c r="T1828" t="s">
        <v>134</v>
      </c>
      <c r="U1828">
        <v>1</v>
      </c>
      <c r="W1828" t="s">
        <v>134</v>
      </c>
      <c r="X1828">
        <v>1</v>
      </c>
      <c r="Y1828" t="s">
        <v>140</v>
      </c>
      <c r="Z1828" t="s">
        <v>179</v>
      </c>
      <c r="AA1828" t="s">
        <v>143</v>
      </c>
      <c r="AB1828" t="s">
        <v>163</v>
      </c>
      <c r="AC1828" t="s">
        <v>173</v>
      </c>
      <c r="AD1828" t="s">
        <v>155</v>
      </c>
      <c r="AE1828" t="s">
        <v>434</v>
      </c>
      <c r="AF1828" t="s">
        <v>21</v>
      </c>
    </row>
    <row r="1829" spans="1:32">
      <c r="A1829" t="s">
        <v>2811</v>
      </c>
      <c r="B1829" s="37">
        <v>39938</v>
      </c>
      <c r="C1829" s="38">
        <v>39938</v>
      </c>
      <c r="D1829" s="38">
        <v>39937</v>
      </c>
      <c r="E1829" s="38">
        <v>39934</v>
      </c>
      <c r="F1829" s="39">
        <v>33</v>
      </c>
      <c r="G1829" t="s">
        <v>21</v>
      </c>
      <c r="H1829" t="s">
        <v>21</v>
      </c>
      <c r="I1829">
        <v>0</v>
      </c>
      <c r="J1829">
        <v>0</v>
      </c>
      <c r="K1829">
        <v>0</v>
      </c>
      <c r="L1829">
        <v>1</v>
      </c>
      <c r="M1829">
        <v>0</v>
      </c>
      <c r="N1829" t="s">
        <v>200</v>
      </c>
      <c r="O1829" t="s">
        <v>214</v>
      </c>
      <c r="P1829" t="s">
        <v>208</v>
      </c>
      <c r="Q1829" t="s">
        <v>170</v>
      </c>
      <c r="R1829" t="s">
        <v>155</v>
      </c>
      <c r="T1829" t="s">
        <v>134</v>
      </c>
      <c r="U1829">
        <v>1</v>
      </c>
      <c r="W1829" t="s">
        <v>134</v>
      </c>
      <c r="X1829">
        <v>1</v>
      </c>
      <c r="Y1829" t="s">
        <v>139</v>
      </c>
      <c r="Z1829" t="s">
        <v>1034</v>
      </c>
      <c r="AA1829" t="s">
        <v>147</v>
      </c>
      <c r="AB1829" t="s">
        <v>163</v>
      </c>
      <c r="AC1829" t="s">
        <v>415</v>
      </c>
      <c r="AD1829" t="s">
        <v>155</v>
      </c>
      <c r="AE1829" t="s">
        <v>125</v>
      </c>
      <c r="AF1829" t="s">
        <v>21</v>
      </c>
    </row>
    <row r="1830" spans="1:32">
      <c r="A1830" t="s">
        <v>2812</v>
      </c>
      <c r="B1830" s="37">
        <v>39967</v>
      </c>
      <c r="C1830" s="38">
        <v>39967</v>
      </c>
      <c r="D1830" s="38">
        <v>39965</v>
      </c>
      <c r="E1830" s="38">
        <v>39965</v>
      </c>
      <c r="F1830" s="39">
        <v>62</v>
      </c>
      <c r="G1830" t="s">
        <v>383</v>
      </c>
      <c r="H1830" t="s">
        <v>17</v>
      </c>
      <c r="I1830">
        <v>0</v>
      </c>
      <c r="J1830">
        <v>0</v>
      </c>
      <c r="K1830">
        <v>1</v>
      </c>
      <c r="L1830">
        <v>0</v>
      </c>
      <c r="M1830">
        <v>0</v>
      </c>
      <c r="N1830" t="s">
        <v>193</v>
      </c>
      <c r="O1830" t="s">
        <v>213</v>
      </c>
      <c r="P1830" t="s">
        <v>204</v>
      </c>
      <c r="Q1830" t="s">
        <v>170</v>
      </c>
      <c r="R1830" t="s">
        <v>155</v>
      </c>
      <c r="T1830" t="s">
        <v>134</v>
      </c>
      <c r="U1830">
        <v>1</v>
      </c>
      <c r="W1830" t="s">
        <v>134</v>
      </c>
      <c r="X1830">
        <v>1</v>
      </c>
      <c r="Y1830" t="s">
        <v>140</v>
      </c>
      <c r="Z1830" t="s">
        <v>188</v>
      </c>
      <c r="AA1830" t="s">
        <v>143</v>
      </c>
      <c r="AB1830" t="s">
        <v>162</v>
      </c>
      <c r="AC1830" t="s">
        <v>175</v>
      </c>
      <c r="AD1830" t="s">
        <v>155</v>
      </c>
      <c r="AE1830" t="s">
        <v>130</v>
      </c>
      <c r="AF1830" t="s">
        <v>21</v>
      </c>
    </row>
    <row r="1831" spans="1:32">
      <c r="A1831" t="s">
        <v>2813</v>
      </c>
      <c r="B1831" s="37">
        <v>40085</v>
      </c>
      <c r="C1831" s="38">
        <v>40085</v>
      </c>
      <c r="D1831" s="38">
        <v>40084</v>
      </c>
      <c r="E1831" s="38">
        <v>40057</v>
      </c>
      <c r="F1831" s="39">
        <v>180</v>
      </c>
      <c r="G1831" t="s">
        <v>525</v>
      </c>
      <c r="H1831" t="s">
        <v>17</v>
      </c>
      <c r="I1831">
        <v>0</v>
      </c>
      <c r="J1831">
        <v>0</v>
      </c>
      <c r="K1831">
        <v>1</v>
      </c>
      <c r="L1831">
        <v>0</v>
      </c>
      <c r="M1831">
        <v>0</v>
      </c>
      <c r="N1831" t="s">
        <v>193</v>
      </c>
      <c r="O1831" t="s">
        <v>213</v>
      </c>
      <c r="P1831" t="s">
        <v>204</v>
      </c>
      <c r="Q1831" t="s">
        <v>170</v>
      </c>
      <c r="R1831" t="s">
        <v>155</v>
      </c>
      <c r="S1831">
        <v>5</v>
      </c>
      <c r="T1831" t="s">
        <v>135</v>
      </c>
      <c r="U1831">
        <v>0</v>
      </c>
      <c r="V1831">
        <v>3</v>
      </c>
      <c r="W1831" t="s">
        <v>137</v>
      </c>
      <c r="X1831">
        <v>0</v>
      </c>
      <c r="Y1831" t="s">
        <v>140</v>
      </c>
      <c r="Z1831" t="s">
        <v>188</v>
      </c>
      <c r="AA1831" t="s">
        <v>143</v>
      </c>
      <c r="AB1831" t="s">
        <v>163</v>
      </c>
      <c r="AC1831" t="s">
        <v>173</v>
      </c>
      <c r="AD1831" t="s">
        <v>155</v>
      </c>
      <c r="AE1831" t="s">
        <v>128</v>
      </c>
      <c r="AF1831" t="s">
        <v>21</v>
      </c>
    </row>
    <row r="1832" spans="1:32">
      <c r="A1832" t="s">
        <v>2814</v>
      </c>
      <c r="B1832" s="37">
        <v>39949</v>
      </c>
      <c r="C1832" s="38">
        <v>39949</v>
      </c>
      <c r="D1832" s="38">
        <v>39944</v>
      </c>
      <c r="E1832" s="38">
        <v>39934</v>
      </c>
      <c r="F1832" s="39">
        <v>44</v>
      </c>
      <c r="G1832" t="s">
        <v>496</v>
      </c>
      <c r="H1832" t="s">
        <v>13</v>
      </c>
      <c r="I1832">
        <v>0</v>
      </c>
      <c r="J1832">
        <v>1</v>
      </c>
      <c r="K1832">
        <v>0</v>
      </c>
      <c r="L1832">
        <v>0</v>
      </c>
      <c r="M1832">
        <v>1</v>
      </c>
      <c r="N1832" t="s">
        <v>193</v>
      </c>
      <c r="O1832" t="s">
        <v>213</v>
      </c>
      <c r="P1832" t="s">
        <v>204</v>
      </c>
      <c r="Q1832" t="s">
        <v>170</v>
      </c>
      <c r="R1832" t="s">
        <v>155</v>
      </c>
      <c r="T1832" t="s">
        <v>134</v>
      </c>
      <c r="U1832">
        <v>1</v>
      </c>
      <c r="W1832" t="s">
        <v>134</v>
      </c>
      <c r="X1832">
        <v>1</v>
      </c>
      <c r="Y1832" t="s">
        <v>140</v>
      </c>
      <c r="Z1832" t="s">
        <v>183</v>
      </c>
      <c r="AA1832" t="s">
        <v>143</v>
      </c>
      <c r="AB1832" t="s">
        <v>163</v>
      </c>
      <c r="AC1832" t="s">
        <v>173</v>
      </c>
      <c r="AD1832" t="s">
        <v>161</v>
      </c>
      <c r="AE1832" t="s">
        <v>420</v>
      </c>
      <c r="AF1832" t="s">
        <v>21</v>
      </c>
    </row>
    <row r="1833" spans="1:32">
      <c r="A1833" t="s">
        <v>2815</v>
      </c>
      <c r="B1833" s="37">
        <v>40037</v>
      </c>
      <c r="C1833" s="38">
        <v>40037</v>
      </c>
      <c r="D1833" s="38">
        <v>40035</v>
      </c>
      <c r="E1833" s="38">
        <v>40026</v>
      </c>
      <c r="F1833" s="39">
        <v>132</v>
      </c>
      <c r="G1833" t="s">
        <v>383</v>
      </c>
      <c r="H1833" t="s">
        <v>17</v>
      </c>
      <c r="I1833">
        <v>0</v>
      </c>
      <c r="J1833">
        <v>0</v>
      </c>
      <c r="K1833">
        <v>1</v>
      </c>
      <c r="L1833">
        <v>0</v>
      </c>
      <c r="M1833">
        <v>0</v>
      </c>
      <c r="N1833" t="s">
        <v>193</v>
      </c>
      <c r="O1833" t="s">
        <v>213</v>
      </c>
      <c r="P1833" t="s">
        <v>204</v>
      </c>
      <c r="Q1833" t="s">
        <v>170</v>
      </c>
      <c r="R1833" t="s">
        <v>155</v>
      </c>
      <c r="S1833">
        <v>2</v>
      </c>
      <c r="T1833" t="s">
        <v>136</v>
      </c>
      <c r="U1833">
        <v>0</v>
      </c>
      <c r="V1833">
        <v>5</v>
      </c>
      <c r="W1833" t="s">
        <v>135</v>
      </c>
      <c r="X1833">
        <v>0</v>
      </c>
      <c r="Y1833" t="s">
        <v>140</v>
      </c>
      <c r="Z1833" t="s">
        <v>183</v>
      </c>
      <c r="AA1833" t="s">
        <v>149</v>
      </c>
      <c r="AB1833" t="s">
        <v>162</v>
      </c>
      <c r="AC1833" t="s">
        <v>700</v>
      </c>
      <c r="AD1833" t="s">
        <v>156</v>
      </c>
      <c r="AE1833" t="s">
        <v>120</v>
      </c>
      <c r="AF1833" t="s">
        <v>2816</v>
      </c>
    </row>
    <row r="1834" spans="1:32">
      <c r="A1834" t="s">
        <v>2817</v>
      </c>
      <c r="B1834" s="37">
        <v>40083</v>
      </c>
      <c r="C1834" s="38">
        <v>40083</v>
      </c>
      <c r="D1834" s="38">
        <v>40077</v>
      </c>
      <c r="E1834" s="38">
        <v>40057</v>
      </c>
      <c r="F1834" s="39">
        <v>178</v>
      </c>
      <c r="G1834" t="s">
        <v>496</v>
      </c>
      <c r="H1834" t="s">
        <v>13</v>
      </c>
      <c r="I1834">
        <v>0</v>
      </c>
      <c r="J1834">
        <v>1</v>
      </c>
      <c r="K1834">
        <v>0</v>
      </c>
      <c r="L1834">
        <v>0</v>
      </c>
      <c r="M1834">
        <v>1</v>
      </c>
      <c r="N1834" t="s">
        <v>193</v>
      </c>
      <c r="O1834" t="s">
        <v>213</v>
      </c>
      <c r="P1834" t="s">
        <v>204</v>
      </c>
      <c r="Q1834" t="s">
        <v>170</v>
      </c>
      <c r="R1834" t="s">
        <v>155</v>
      </c>
      <c r="S1834">
        <v>5</v>
      </c>
      <c r="T1834" t="s">
        <v>135</v>
      </c>
      <c r="U1834">
        <v>0</v>
      </c>
      <c r="V1834">
        <v>3</v>
      </c>
      <c r="W1834" t="s">
        <v>137</v>
      </c>
      <c r="X1834">
        <v>0</v>
      </c>
      <c r="Y1834" t="s">
        <v>140</v>
      </c>
      <c r="Z1834" t="s">
        <v>810</v>
      </c>
      <c r="AA1834" t="s">
        <v>143</v>
      </c>
      <c r="AB1834" t="s">
        <v>163</v>
      </c>
      <c r="AC1834" t="s">
        <v>902</v>
      </c>
      <c r="AD1834" t="s">
        <v>155</v>
      </c>
      <c r="AE1834" t="s">
        <v>125</v>
      </c>
      <c r="AF1834" t="s">
        <v>21</v>
      </c>
    </row>
    <row r="1835" spans="1:32">
      <c r="A1835" t="s">
        <v>2818</v>
      </c>
      <c r="B1835" s="37">
        <v>40080</v>
      </c>
      <c r="C1835" s="38">
        <v>40080</v>
      </c>
      <c r="D1835" s="38">
        <v>40077</v>
      </c>
      <c r="E1835" s="38">
        <v>40057</v>
      </c>
      <c r="F1835" s="39">
        <v>175</v>
      </c>
      <c r="G1835" t="s">
        <v>9</v>
      </c>
      <c r="H1835" t="s">
        <v>9</v>
      </c>
      <c r="I1835">
        <v>1</v>
      </c>
      <c r="J1835">
        <v>0</v>
      </c>
      <c r="K1835">
        <v>0</v>
      </c>
      <c r="L1835">
        <v>0</v>
      </c>
      <c r="M1835">
        <v>1</v>
      </c>
      <c r="N1835" t="s">
        <v>193</v>
      </c>
      <c r="O1835" t="s">
        <v>213</v>
      </c>
      <c r="P1835" t="s">
        <v>204</v>
      </c>
      <c r="Q1835" t="s">
        <v>170</v>
      </c>
      <c r="R1835" t="s">
        <v>155</v>
      </c>
      <c r="S1835">
        <v>5</v>
      </c>
      <c r="T1835" t="s">
        <v>135</v>
      </c>
      <c r="U1835">
        <v>0</v>
      </c>
      <c r="V1835">
        <v>5</v>
      </c>
      <c r="W1835" t="s">
        <v>135</v>
      </c>
      <c r="X1835">
        <v>0</v>
      </c>
      <c r="Y1835" t="s">
        <v>140</v>
      </c>
      <c r="Z1835" t="s">
        <v>576</v>
      </c>
      <c r="AA1835" t="s">
        <v>143</v>
      </c>
      <c r="AB1835" t="s">
        <v>162</v>
      </c>
      <c r="AC1835" t="s">
        <v>175</v>
      </c>
      <c r="AD1835" t="s">
        <v>161</v>
      </c>
      <c r="AE1835" t="s">
        <v>571</v>
      </c>
      <c r="AF1835" t="s">
        <v>21</v>
      </c>
    </row>
    <row r="1836" spans="1:32">
      <c r="A1836" t="s">
        <v>2819</v>
      </c>
      <c r="B1836" s="37">
        <v>39964</v>
      </c>
      <c r="C1836" s="38">
        <v>39964</v>
      </c>
      <c r="D1836" s="38">
        <v>39958</v>
      </c>
      <c r="E1836" s="38">
        <v>39934</v>
      </c>
      <c r="F1836" s="39">
        <v>59</v>
      </c>
      <c r="G1836" t="s">
        <v>21</v>
      </c>
      <c r="H1836" t="s">
        <v>21</v>
      </c>
      <c r="I1836">
        <v>0</v>
      </c>
      <c r="J1836">
        <v>0</v>
      </c>
      <c r="K1836">
        <v>0</v>
      </c>
      <c r="L1836">
        <v>1</v>
      </c>
      <c r="M1836">
        <v>0</v>
      </c>
      <c r="N1836" t="s">
        <v>193</v>
      </c>
      <c r="O1836" t="s">
        <v>213</v>
      </c>
      <c r="P1836" t="s">
        <v>204</v>
      </c>
      <c r="Q1836" t="s">
        <v>170</v>
      </c>
      <c r="R1836" t="s">
        <v>155</v>
      </c>
      <c r="T1836" t="s">
        <v>134</v>
      </c>
      <c r="U1836">
        <v>1</v>
      </c>
      <c r="W1836" t="s">
        <v>134</v>
      </c>
      <c r="X1836">
        <v>1</v>
      </c>
      <c r="Y1836" t="s">
        <v>140</v>
      </c>
      <c r="Z1836" t="s">
        <v>178</v>
      </c>
      <c r="AA1836" t="s">
        <v>145</v>
      </c>
      <c r="AB1836" t="s">
        <v>163</v>
      </c>
      <c r="AC1836" t="s">
        <v>2820</v>
      </c>
      <c r="AD1836" t="s">
        <v>155</v>
      </c>
      <c r="AE1836" t="s">
        <v>454</v>
      </c>
      <c r="AF1836" t="s">
        <v>21</v>
      </c>
    </row>
    <row r="1837" spans="1:32">
      <c r="A1837" t="s">
        <v>2821</v>
      </c>
      <c r="B1837" s="37">
        <v>39982</v>
      </c>
      <c r="C1837" s="38">
        <v>39982</v>
      </c>
      <c r="D1837" s="38">
        <v>39979</v>
      </c>
      <c r="E1837" s="38">
        <v>39965</v>
      </c>
      <c r="F1837" s="39">
        <v>77</v>
      </c>
      <c r="G1837" t="s">
        <v>21</v>
      </c>
      <c r="H1837" t="s">
        <v>21</v>
      </c>
      <c r="I1837">
        <v>0</v>
      </c>
      <c r="J1837">
        <v>0</v>
      </c>
      <c r="K1837">
        <v>0</v>
      </c>
      <c r="L1837">
        <v>1</v>
      </c>
      <c r="M1837">
        <v>0</v>
      </c>
      <c r="N1837" t="s">
        <v>194</v>
      </c>
      <c r="O1837" t="s">
        <v>213</v>
      </c>
      <c r="P1837" t="s">
        <v>205</v>
      </c>
      <c r="Q1837" t="s">
        <v>170</v>
      </c>
      <c r="R1837" t="s">
        <v>155</v>
      </c>
      <c r="T1837" t="s">
        <v>134</v>
      </c>
      <c r="U1837">
        <v>1</v>
      </c>
      <c r="W1837" t="s">
        <v>134</v>
      </c>
      <c r="X1837">
        <v>1</v>
      </c>
      <c r="Y1837" t="s">
        <v>139</v>
      </c>
      <c r="Z1837" t="s">
        <v>181</v>
      </c>
      <c r="AA1837" t="s">
        <v>149</v>
      </c>
      <c r="AB1837" t="s">
        <v>162</v>
      </c>
      <c r="AC1837" t="s">
        <v>174</v>
      </c>
      <c r="AD1837" t="s">
        <v>157</v>
      </c>
      <c r="AE1837" t="s">
        <v>406</v>
      </c>
      <c r="AF1837" t="s">
        <v>922</v>
      </c>
    </row>
    <row r="1838" spans="1:32">
      <c r="A1838" t="s">
        <v>2822</v>
      </c>
      <c r="B1838" s="37">
        <v>40011</v>
      </c>
      <c r="C1838" s="38">
        <v>40011</v>
      </c>
      <c r="D1838" s="38">
        <v>40007</v>
      </c>
      <c r="E1838" s="38">
        <v>39995</v>
      </c>
      <c r="F1838" s="39">
        <v>106</v>
      </c>
      <c r="G1838" t="s">
        <v>383</v>
      </c>
      <c r="H1838" t="s">
        <v>17</v>
      </c>
      <c r="I1838">
        <v>0</v>
      </c>
      <c r="J1838">
        <v>0</v>
      </c>
      <c r="K1838">
        <v>1</v>
      </c>
      <c r="L1838">
        <v>0</v>
      </c>
      <c r="M1838">
        <v>0</v>
      </c>
      <c r="N1838" t="s">
        <v>196</v>
      </c>
      <c r="O1838" t="s">
        <v>213</v>
      </c>
      <c r="P1838" t="s">
        <v>207</v>
      </c>
      <c r="Q1838" t="s">
        <v>170</v>
      </c>
      <c r="R1838" t="s">
        <v>155</v>
      </c>
      <c r="S1838">
        <v>5</v>
      </c>
      <c r="T1838" t="s">
        <v>135</v>
      </c>
      <c r="U1838">
        <v>0</v>
      </c>
      <c r="V1838">
        <v>5</v>
      </c>
      <c r="W1838" t="s">
        <v>135</v>
      </c>
      <c r="X1838">
        <v>0</v>
      </c>
      <c r="Y1838" t="s">
        <v>139</v>
      </c>
      <c r="Z1838" t="s">
        <v>178</v>
      </c>
      <c r="AA1838" t="s">
        <v>142</v>
      </c>
      <c r="AB1838" t="s">
        <v>163</v>
      </c>
      <c r="AC1838" t="s">
        <v>1206</v>
      </c>
      <c r="AD1838" t="s">
        <v>155</v>
      </c>
      <c r="AE1838" t="s">
        <v>510</v>
      </c>
      <c r="AF1838" t="s">
        <v>21</v>
      </c>
    </row>
    <row r="1839" spans="1:32">
      <c r="A1839" t="s">
        <v>2823</v>
      </c>
      <c r="B1839" s="37">
        <v>39993</v>
      </c>
      <c r="C1839" s="38">
        <v>39993</v>
      </c>
      <c r="D1839" s="38">
        <v>39993</v>
      </c>
      <c r="E1839" s="38">
        <v>39965</v>
      </c>
      <c r="F1839" s="39">
        <v>88</v>
      </c>
      <c r="G1839" t="s">
        <v>496</v>
      </c>
      <c r="H1839" t="s">
        <v>13</v>
      </c>
      <c r="I1839">
        <v>0</v>
      </c>
      <c r="J1839">
        <v>1</v>
      </c>
      <c r="K1839">
        <v>0</v>
      </c>
      <c r="L1839">
        <v>0</v>
      </c>
      <c r="M1839">
        <v>1</v>
      </c>
      <c r="N1839" t="s">
        <v>196</v>
      </c>
      <c r="O1839" t="s">
        <v>213</v>
      </c>
      <c r="P1839" t="s">
        <v>207</v>
      </c>
      <c r="Q1839" t="s">
        <v>170</v>
      </c>
      <c r="R1839" t="s">
        <v>155</v>
      </c>
      <c r="T1839" t="s">
        <v>134</v>
      </c>
      <c r="U1839">
        <v>1</v>
      </c>
      <c r="V1839">
        <v>5</v>
      </c>
      <c r="W1839" t="s">
        <v>135</v>
      </c>
      <c r="X1839">
        <v>0</v>
      </c>
      <c r="Y1839" t="s">
        <v>139</v>
      </c>
      <c r="Z1839" t="s">
        <v>183</v>
      </c>
      <c r="AA1839" t="s">
        <v>143</v>
      </c>
      <c r="AB1839" t="s">
        <v>162</v>
      </c>
      <c r="AC1839" t="s">
        <v>431</v>
      </c>
      <c r="AD1839" t="s">
        <v>155</v>
      </c>
      <c r="AE1839" t="s">
        <v>130</v>
      </c>
      <c r="AF1839" t="s">
        <v>21</v>
      </c>
    </row>
    <row r="1840" spans="1:32">
      <c r="A1840" t="s">
        <v>2824</v>
      </c>
      <c r="B1840" s="37">
        <v>40082</v>
      </c>
      <c r="C1840" s="38">
        <v>40082</v>
      </c>
      <c r="D1840" s="38">
        <v>40077</v>
      </c>
      <c r="E1840" s="38">
        <v>40057</v>
      </c>
      <c r="F1840" s="39">
        <v>177</v>
      </c>
      <c r="G1840" t="s">
        <v>21</v>
      </c>
      <c r="H1840" t="s">
        <v>21</v>
      </c>
      <c r="I1840">
        <v>0</v>
      </c>
      <c r="J1840">
        <v>0</v>
      </c>
      <c r="K1840">
        <v>0</v>
      </c>
      <c r="L1840">
        <v>1</v>
      </c>
      <c r="M1840">
        <v>0</v>
      </c>
      <c r="N1840" t="s">
        <v>195</v>
      </c>
      <c r="O1840" t="s">
        <v>213</v>
      </c>
      <c r="P1840" t="s">
        <v>206</v>
      </c>
      <c r="Q1840" t="s">
        <v>170</v>
      </c>
      <c r="R1840" t="s">
        <v>155</v>
      </c>
      <c r="S1840">
        <v>3</v>
      </c>
      <c r="T1840" t="s">
        <v>137</v>
      </c>
      <c r="U1840">
        <v>0</v>
      </c>
      <c r="V1840">
        <v>3</v>
      </c>
      <c r="W1840" t="s">
        <v>137</v>
      </c>
      <c r="X1840">
        <v>0</v>
      </c>
      <c r="Y1840" t="s">
        <v>139</v>
      </c>
      <c r="Z1840" t="s">
        <v>183</v>
      </c>
      <c r="AA1840" t="s">
        <v>146</v>
      </c>
      <c r="AB1840" t="s">
        <v>165</v>
      </c>
      <c r="AC1840" t="s">
        <v>21</v>
      </c>
      <c r="AD1840" t="s">
        <v>158</v>
      </c>
      <c r="AE1840" t="s">
        <v>122</v>
      </c>
      <c r="AF1840" t="s">
        <v>21</v>
      </c>
    </row>
    <row r="1841" spans="1:32">
      <c r="A1841" t="s">
        <v>2825</v>
      </c>
      <c r="B1841" s="37">
        <v>40085</v>
      </c>
      <c r="C1841" s="38">
        <v>40085</v>
      </c>
      <c r="D1841" s="38">
        <v>40084</v>
      </c>
      <c r="E1841" s="38">
        <v>40057</v>
      </c>
      <c r="F1841" s="39">
        <v>180</v>
      </c>
      <c r="G1841" t="s">
        <v>21</v>
      </c>
      <c r="H1841" t="s">
        <v>21</v>
      </c>
      <c r="I1841">
        <v>0</v>
      </c>
      <c r="J1841">
        <v>0</v>
      </c>
      <c r="K1841">
        <v>0</v>
      </c>
      <c r="L1841">
        <v>1</v>
      </c>
      <c r="M1841">
        <v>0</v>
      </c>
      <c r="N1841" t="s">
        <v>193</v>
      </c>
      <c r="O1841" t="s">
        <v>213</v>
      </c>
      <c r="P1841" t="s">
        <v>204</v>
      </c>
      <c r="Q1841" t="s">
        <v>170</v>
      </c>
      <c r="R1841" t="s">
        <v>155</v>
      </c>
      <c r="S1841">
        <v>5</v>
      </c>
      <c r="T1841" t="s">
        <v>135</v>
      </c>
      <c r="U1841">
        <v>0</v>
      </c>
      <c r="V1841">
        <v>3</v>
      </c>
      <c r="W1841" t="s">
        <v>137</v>
      </c>
      <c r="X1841">
        <v>0</v>
      </c>
      <c r="Y1841" t="s">
        <v>140</v>
      </c>
      <c r="Z1841" t="s">
        <v>178</v>
      </c>
      <c r="AA1841" t="s">
        <v>142</v>
      </c>
      <c r="AB1841" t="s">
        <v>163</v>
      </c>
      <c r="AC1841" t="s">
        <v>1032</v>
      </c>
      <c r="AD1841" t="s">
        <v>155</v>
      </c>
      <c r="AE1841" t="s">
        <v>510</v>
      </c>
      <c r="AF1841" t="s">
        <v>21</v>
      </c>
    </row>
    <row r="1842" spans="1:32">
      <c r="A1842" t="s">
        <v>2826</v>
      </c>
      <c r="B1842" s="37">
        <v>39924</v>
      </c>
      <c r="C1842" s="38">
        <v>39924</v>
      </c>
      <c r="D1842" s="38">
        <v>39923</v>
      </c>
      <c r="E1842" s="38">
        <v>39904</v>
      </c>
      <c r="F1842" s="39">
        <v>19</v>
      </c>
      <c r="G1842" t="s">
        <v>21</v>
      </c>
      <c r="H1842" t="s">
        <v>21</v>
      </c>
      <c r="I1842">
        <v>0</v>
      </c>
      <c r="J1842">
        <v>0</v>
      </c>
      <c r="K1842">
        <v>0</v>
      </c>
      <c r="L1842">
        <v>1</v>
      </c>
      <c r="M1842">
        <v>0</v>
      </c>
      <c r="N1842" t="s">
        <v>200</v>
      </c>
      <c r="O1842" t="s">
        <v>214</v>
      </c>
      <c r="P1842" t="s">
        <v>208</v>
      </c>
      <c r="Q1842" t="s">
        <v>170</v>
      </c>
      <c r="R1842" t="s">
        <v>155</v>
      </c>
      <c r="T1842" t="s">
        <v>134</v>
      </c>
      <c r="U1842">
        <v>1</v>
      </c>
      <c r="W1842" t="s">
        <v>134</v>
      </c>
      <c r="X1842">
        <v>1</v>
      </c>
      <c r="Y1842" t="s">
        <v>139</v>
      </c>
      <c r="Z1842" t="s">
        <v>178</v>
      </c>
      <c r="AA1842" t="s">
        <v>143</v>
      </c>
      <c r="AB1842" t="s">
        <v>163</v>
      </c>
      <c r="AC1842" t="s">
        <v>173</v>
      </c>
      <c r="AD1842" t="s">
        <v>161</v>
      </c>
      <c r="AE1842" t="s">
        <v>2027</v>
      </c>
      <c r="AF1842" t="s">
        <v>21</v>
      </c>
    </row>
    <row r="1843" spans="1:32">
      <c r="A1843" t="s">
        <v>2827</v>
      </c>
      <c r="B1843" s="37">
        <v>39946</v>
      </c>
      <c r="C1843" s="38">
        <v>39946</v>
      </c>
      <c r="D1843" s="38">
        <v>39944</v>
      </c>
      <c r="E1843" s="38">
        <v>39934</v>
      </c>
      <c r="F1843" s="39">
        <v>41</v>
      </c>
      <c r="G1843" t="s">
        <v>21</v>
      </c>
      <c r="H1843" t="s">
        <v>21</v>
      </c>
      <c r="I1843">
        <v>0</v>
      </c>
      <c r="J1843">
        <v>0</v>
      </c>
      <c r="K1843">
        <v>0</v>
      </c>
      <c r="L1843">
        <v>1</v>
      </c>
      <c r="M1843">
        <v>0</v>
      </c>
      <c r="N1843" t="s">
        <v>195</v>
      </c>
      <c r="O1843" t="s">
        <v>213</v>
      </c>
      <c r="P1843" t="s">
        <v>206</v>
      </c>
      <c r="Q1843" t="s">
        <v>170</v>
      </c>
      <c r="R1843" t="s">
        <v>155</v>
      </c>
      <c r="T1843" t="s">
        <v>134</v>
      </c>
      <c r="U1843">
        <v>1</v>
      </c>
      <c r="W1843" t="s">
        <v>134</v>
      </c>
      <c r="X1843">
        <v>1</v>
      </c>
      <c r="Y1843" t="s">
        <v>139</v>
      </c>
      <c r="Z1843" t="s">
        <v>178</v>
      </c>
      <c r="AA1843" t="s">
        <v>145</v>
      </c>
      <c r="AB1843" t="s">
        <v>163</v>
      </c>
      <c r="AC1843" t="s">
        <v>173</v>
      </c>
      <c r="AD1843" t="s">
        <v>155</v>
      </c>
      <c r="AE1843" t="s">
        <v>406</v>
      </c>
      <c r="AF1843" t="s">
        <v>21</v>
      </c>
    </row>
    <row r="1844" spans="1:32">
      <c r="A1844" t="s">
        <v>2828</v>
      </c>
      <c r="B1844" s="37">
        <v>40021</v>
      </c>
      <c r="C1844" s="38">
        <v>40021</v>
      </c>
      <c r="D1844" s="38">
        <v>40021</v>
      </c>
      <c r="E1844" s="38">
        <v>39995</v>
      </c>
      <c r="F1844" s="39">
        <v>116</v>
      </c>
      <c r="G1844" t="s">
        <v>21</v>
      </c>
      <c r="H1844" t="s">
        <v>21</v>
      </c>
      <c r="I1844">
        <v>0</v>
      </c>
      <c r="J1844">
        <v>0</v>
      </c>
      <c r="K1844">
        <v>0</v>
      </c>
      <c r="L1844">
        <v>1</v>
      </c>
      <c r="M1844">
        <v>0</v>
      </c>
      <c r="N1844" t="s">
        <v>193</v>
      </c>
      <c r="O1844" t="s">
        <v>213</v>
      </c>
      <c r="P1844" t="s">
        <v>204</v>
      </c>
      <c r="Q1844" t="s">
        <v>170</v>
      </c>
      <c r="R1844" t="s">
        <v>155</v>
      </c>
      <c r="S1844">
        <v>3</v>
      </c>
      <c r="T1844" t="s">
        <v>137</v>
      </c>
      <c r="U1844">
        <v>0</v>
      </c>
      <c r="V1844">
        <v>4</v>
      </c>
      <c r="W1844" t="s">
        <v>137</v>
      </c>
      <c r="X1844">
        <v>0</v>
      </c>
      <c r="Y1844" t="s">
        <v>140</v>
      </c>
      <c r="Z1844" t="s">
        <v>188</v>
      </c>
      <c r="AA1844" t="s">
        <v>151</v>
      </c>
      <c r="AB1844" t="s">
        <v>162</v>
      </c>
      <c r="AC1844" t="s">
        <v>597</v>
      </c>
      <c r="AD1844" t="s">
        <v>155</v>
      </c>
      <c r="AE1844" t="s">
        <v>130</v>
      </c>
      <c r="AF1844" t="s">
        <v>21</v>
      </c>
    </row>
    <row r="1845" spans="1:32">
      <c r="A1845" t="s">
        <v>2829</v>
      </c>
      <c r="B1845" s="37">
        <v>39937</v>
      </c>
      <c r="C1845" s="38">
        <v>39937</v>
      </c>
      <c r="D1845" s="38">
        <v>39937</v>
      </c>
      <c r="E1845" s="38">
        <v>39934</v>
      </c>
      <c r="F1845" s="39">
        <v>32</v>
      </c>
      <c r="G1845" t="s">
        <v>9</v>
      </c>
      <c r="H1845" t="s">
        <v>9</v>
      </c>
      <c r="I1845">
        <v>1</v>
      </c>
      <c r="J1845">
        <v>0</v>
      </c>
      <c r="K1845">
        <v>0</v>
      </c>
      <c r="L1845">
        <v>0</v>
      </c>
      <c r="M1845">
        <v>1</v>
      </c>
      <c r="N1845" t="s">
        <v>193</v>
      </c>
      <c r="O1845" t="s">
        <v>213</v>
      </c>
      <c r="P1845" t="s">
        <v>204</v>
      </c>
      <c r="Q1845" t="s">
        <v>170</v>
      </c>
      <c r="R1845" t="s">
        <v>155</v>
      </c>
      <c r="T1845" t="s">
        <v>134</v>
      </c>
      <c r="U1845">
        <v>1</v>
      </c>
      <c r="W1845" t="s">
        <v>134</v>
      </c>
      <c r="X1845">
        <v>1</v>
      </c>
      <c r="Y1845" t="s">
        <v>140</v>
      </c>
      <c r="Z1845" t="s">
        <v>188</v>
      </c>
      <c r="AA1845" t="s">
        <v>150</v>
      </c>
      <c r="AB1845" t="s">
        <v>162</v>
      </c>
      <c r="AC1845" t="s">
        <v>175</v>
      </c>
      <c r="AD1845" t="s">
        <v>155</v>
      </c>
      <c r="AE1845" t="s">
        <v>571</v>
      </c>
      <c r="AF1845" t="s">
        <v>21</v>
      </c>
    </row>
    <row r="1846" spans="1:32">
      <c r="A1846" t="s">
        <v>2830</v>
      </c>
      <c r="B1846" s="37">
        <v>39949</v>
      </c>
      <c r="C1846" s="38">
        <v>39949</v>
      </c>
      <c r="D1846" s="38">
        <v>39944</v>
      </c>
      <c r="E1846" s="38">
        <v>39934</v>
      </c>
      <c r="F1846" s="39">
        <v>44</v>
      </c>
      <c r="G1846" t="s">
        <v>21</v>
      </c>
      <c r="H1846" t="s">
        <v>21</v>
      </c>
      <c r="I1846">
        <v>0</v>
      </c>
      <c r="J1846">
        <v>0</v>
      </c>
      <c r="K1846">
        <v>0</v>
      </c>
      <c r="L1846">
        <v>1</v>
      </c>
      <c r="M1846">
        <v>0</v>
      </c>
      <c r="N1846" t="s">
        <v>194</v>
      </c>
      <c r="O1846" t="s">
        <v>213</v>
      </c>
      <c r="P1846" t="s">
        <v>205</v>
      </c>
      <c r="Q1846" t="s">
        <v>170</v>
      </c>
      <c r="R1846" t="s">
        <v>155</v>
      </c>
      <c r="T1846" t="s">
        <v>134</v>
      </c>
      <c r="U1846">
        <v>1</v>
      </c>
      <c r="W1846" t="s">
        <v>134</v>
      </c>
      <c r="X1846">
        <v>1</v>
      </c>
      <c r="Y1846" t="s">
        <v>139</v>
      </c>
      <c r="Z1846" t="s">
        <v>180</v>
      </c>
      <c r="AA1846" t="s">
        <v>142</v>
      </c>
      <c r="AB1846" t="s">
        <v>163</v>
      </c>
      <c r="AC1846" t="s">
        <v>415</v>
      </c>
      <c r="AD1846" t="s">
        <v>155</v>
      </c>
      <c r="AE1846" t="s">
        <v>125</v>
      </c>
      <c r="AF1846" t="s">
        <v>21</v>
      </c>
    </row>
    <row r="1847" spans="1:32">
      <c r="A1847" t="s">
        <v>2831</v>
      </c>
      <c r="B1847" s="37">
        <v>39915</v>
      </c>
      <c r="C1847" s="38">
        <v>39915</v>
      </c>
      <c r="D1847" s="38">
        <v>39909</v>
      </c>
      <c r="E1847" s="38">
        <v>39904</v>
      </c>
      <c r="F1847" s="39">
        <v>10</v>
      </c>
      <c r="G1847" t="s">
        <v>21</v>
      </c>
      <c r="H1847" t="s">
        <v>21</v>
      </c>
      <c r="I1847">
        <v>0</v>
      </c>
      <c r="J1847">
        <v>0</v>
      </c>
      <c r="K1847">
        <v>0</v>
      </c>
      <c r="L1847">
        <v>1</v>
      </c>
      <c r="M1847">
        <v>0</v>
      </c>
      <c r="N1847" t="s">
        <v>198</v>
      </c>
      <c r="O1847" t="s">
        <v>213</v>
      </c>
      <c r="P1847" t="s">
        <v>208</v>
      </c>
      <c r="Q1847" t="s">
        <v>170</v>
      </c>
      <c r="R1847" t="s">
        <v>155</v>
      </c>
      <c r="T1847" t="s">
        <v>134</v>
      </c>
      <c r="U1847">
        <v>1</v>
      </c>
      <c r="W1847" t="s">
        <v>134</v>
      </c>
      <c r="X1847">
        <v>1</v>
      </c>
      <c r="Y1847" t="s">
        <v>139</v>
      </c>
      <c r="Z1847" t="s">
        <v>180</v>
      </c>
      <c r="AA1847" t="s">
        <v>142</v>
      </c>
      <c r="AB1847" t="s">
        <v>163</v>
      </c>
      <c r="AC1847" t="s">
        <v>2832</v>
      </c>
      <c r="AD1847" t="s">
        <v>155</v>
      </c>
      <c r="AE1847" t="s">
        <v>692</v>
      </c>
      <c r="AF1847" t="s">
        <v>21</v>
      </c>
    </row>
    <row r="1848" spans="1:32">
      <c r="A1848" t="s">
        <v>2833</v>
      </c>
      <c r="B1848" s="37">
        <v>40018</v>
      </c>
      <c r="C1848" s="38">
        <v>40018</v>
      </c>
      <c r="D1848" s="38">
        <v>40014</v>
      </c>
      <c r="E1848" s="38">
        <v>39995</v>
      </c>
      <c r="F1848" s="39">
        <v>113</v>
      </c>
      <c r="G1848" t="s">
        <v>21</v>
      </c>
      <c r="H1848" t="s">
        <v>21</v>
      </c>
      <c r="I1848">
        <v>0</v>
      </c>
      <c r="J1848">
        <v>0</v>
      </c>
      <c r="K1848">
        <v>0</v>
      </c>
      <c r="L1848">
        <v>1</v>
      </c>
      <c r="M1848">
        <v>0</v>
      </c>
      <c r="N1848" t="s">
        <v>195</v>
      </c>
      <c r="O1848" t="s">
        <v>213</v>
      </c>
      <c r="P1848" t="s">
        <v>206</v>
      </c>
      <c r="Q1848" t="s">
        <v>170</v>
      </c>
      <c r="R1848" t="s">
        <v>155</v>
      </c>
      <c r="S1848">
        <v>5</v>
      </c>
      <c r="T1848" t="s">
        <v>135</v>
      </c>
      <c r="U1848">
        <v>0</v>
      </c>
      <c r="V1848">
        <v>2</v>
      </c>
      <c r="W1848" t="s">
        <v>136</v>
      </c>
      <c r="X1848">
        <v>0</v>
      </c>
      <c r="Y1848" t="s">
        <v>139</v>
      </c>
      <c r="Z1848" t="s">
        <v>180</v>
      </c>
      <c r="AA1848" t="s">
        <v>145</v>
      </c>
      <c r="AB1848" t="s">
        <v>162</v>
      </c>
      <c r="AC1848" t="s">
        <v>550</v>
      </c>
      <c r="AD1848" t="s">
        <v>157</v>
      </c>
      <c r="AE1848" t="s">
        <v>439</v>
      </c>
      <c r="AF1848" t="s">
        <v>561</v>
      </c>
    </row>
    <row r="1849" spans="1:32">
      <c r="A1849" t="s">
        <v>2834</v>
      </c>
      <c r="B1849" s="37">
        <v>39925</v>
      </c>
      <c r="C1849" s="38">
        <v>39925</v>
      </c>
      <c r="D1849" s="38">
        <v>39923</v>
      </c>
      <c r="E1849" s="38">
        <v>39904</v>
      </c>
      <c r="F1849" s="39">
        <v>20</v>
      </c>
      <c r="G1849" t="s">
        <v>21</v>
      </c>
      <c r="H1849" t="s">
        <v>21</v>
      </c>
      <c r="I1849">
        <v>0</v>
      </c>
      <c r="J1849">
        <v>0</v>
      </c>
      <c r="K1849">
        <v>0</v>
      </c>
      <c r="L1849">
        <v>1</v>
      </c>
      <c r="M1849">
        <v>0</v>
      </c>
      <c r="N1849" t="s">
        <v>200</v>
      </c>
      <c r="O1849" t="s">
        <v>214</v>
      </c>
      <c r="P1849" t="s">
        <v>208</v>
      </c>
      <c r="Q1849" t="s">
        <v>170</v>
      </c>
      <c r="R1849" t="s">
        <v>155</v>
      </c>
      <c r="T1849" t="s">
        <v>134</v>
      </c>
      <c r="U1849">
        <v>1</v>
      </c>
      <c r="W1849" t="s">
        <v>134</v>
      </c>
      <c r="X1849">
        <v>1</v>
      </c>
      <c r="Y1849" t="s">
        <v>139</v>
      </c>
      <c r="Z1849" t="s">
        <v>180</v>
      </c>
      <c r="AA1849" t="s">
        <v>151</v>
      </c>
      <c r="AB1849" t="s">
        <v>163</v>
      </c>
      <c r="AC1849" t="s">
        <v>173</v>
      </c>
      <c r="AD1849" t="s">
        <v>155</v>
      </c>
      <c r="AE1849" t="s">
        <v>125</v>
      </c>
      <c r="AF1849" t="s">
        <v>21</v>
      </c>
    </row>
    <row r="1850" spans="1:32">
      <c r="A1850" t="s">
        <v>2835</v>
      </c>
      <c r="B1850" s="37">
        <v>39931</v>
      </c>
      <c r="C1850" s="38">
        <v>39931</v>
      </c>
      <c r="D1850" s="38">
        <v>39930</v>
      </c>
      <c r="E1850" s="38">
        <v>39904</v>
      </c>
      <c r="F1850" s="39">
        <v>26</v>
      </c>
      <c r="G1850" t="s">
        <v>21</v>
      </c>
      <c r="H1850" t="s">
        <v>21</v>
      </c>
      <c r="I1850">
        <v>0</v>
      </c>
      <c r="J1850">
        <v>0</v>
      </c>
      <c r="K1850">
        <v>0</v>
      </c>
      <c r="L1850">
        <v>1</v>
      </c>
      <c r="M1850">
        <v>0</v>
      </c>
      <c r="N1850" t="s">
        <v>200</v>
      </c>
      <c r="O1850" t="s">
        <v>214</v>
      </c>
      <c r="P1850" t="s">
        <v>208</v>
      </c>
      <c r="Q1850" t="s">
        <v>170</v>
      </c>
      <c r="R1850" t="s">
        <v>155</v>
      </c>
      <c r="T1850" t="s">
        <v>134</v>
      </c>
      <c r="U1850">
        <v>1</v>
      </c>
      <c r="W1850" t="s">
        <v>134</v>
      </c>
      <c r="X1850">
        <v>1</v>
      </c>
      <c r="Y1850" t="s">
        <v>139</v>
      </c>
      <c r="Z1850" t="s">
        <v>180</v>
      </c>
      <c r="AA1850" t="s">
        <v>145</v>
      </c>
      <c r="AB1850" t="s">
        <v>162</v>
      </c>
      <c r="AC1850" t="s">
        <v>2836</v>
      </c>
      <c r="AD1850" t="s">
        <v>157</v>
      </c>
      <c r="AE1850" t="s">
        <v>501</v>
      </c>
      <c r="AF1850" t="s">
        <v>2837</v>
      </c>
    </row>
    <row r="1851" spans="1:32">
      <c r="A1851" t="s">
        <v>2838</v>
      </c>
      <c r="B1851" s="37">
        <v>39996</v>
      </c>
      <c r="C1851" s="38">
        <v>39996</v>
      </c>
      <c r="D1851" s="38">
        <v>39993</v>
      </c>
      <c r="E1851" s="38">
        <v>39995</v>
      </c>
      <c r="F1851" s="39">
        <v>91</v>
      </c>
      <c r="G1851" t="s">
        <v>21</v>
      </c>
      <c r="H1851" t="s">
        <v>21</v>
      </c>
      <c r="I1851">
        <v>0</v>
      </c>
      <c r="J1851">
        <v>0</v>
      </c>
      <c r="K1851">
        <v>0</v>
      </c>
      <c r="L1851">
        <v>1</v>
      </c>
      <c r="M1851">
        <v>0</v>
      </c>
      <c r="N1851" t="s">
        <v>193</v>
      </c>
      <c r="O1851" t="s">
        <v>213</v>
      </c>
      <c r="P1851" t="s">
        <v>204</v>
      </c>
      <c r="Q1851" t="s">
        <v>170</v>
      </c>
      <c r="R1851" t="s">
        <v>155</v>
      </c>
      <c r="T1851" t="s">
        <v>134</v>
      </c>
      <c r="U1851">
        <v>1</v>
      </c>
      <c r="V1851">
        <v>3</v>
      </c>
      <c r="W1851" t="s">
        <v>137</v>
      </c>
      <c r="X1851">
        <v>0</v>
      </c>
      <c r="Y1851" t="s">
        <v>140</v>
      </c>
      <c r="Z1851" t="s">
        <v>180</v>
      </c>
      <c r="AA1851" t="s">
        <v>144</v>
      </c>
      <c r="AB1851" t="s">
        <v>162</v>
      </c>
      <c r="AC1851" t="s">
        <v>174</v>
      </c>
      <c r="AD1851" t="s">
        <v>157</v>
      </c>
      <c r="AE1851" t="s">
        <v>127</v>
      </c>
      <c r="AF1851" t="s">
        <v>153</v>
      </c>
    </row>
    <row r="1852" spans="1:32">
      <c r="A1852" t="s">
        <v>2839</v>
      </c>
      <c r="B1852" s="37">
        <v>39937</v>
      </c>
      <c r="C1852" s="38">
        <v>39937</v>
      </c>
      <c r="D1852" s="38">
        <v>39937</v>
      </c>
      <c r="E1852" s="38">
        <v>39934</v>
      </c>
      <c r="F1852" s="39">
        <v>32</v>
      </c>
      <c r="G1852" t="s">
        <v>21</v>
      </c>
      <c r="H1852" t="s">
        <v>21</v>
      </c>
      <c r="I1852">
        <v>0</v>
      </c>
      <c r="J1852">
        <v>0</v>
      </c>
      <c r="K1852">
        <v>0</v>
      </c>
      <c r="L1852">
        <v>1</v>
      </c>
      <c r="M1852">
        <v>0</v>
      </c>
      <c r="N1852" t="s">
        <v>200</v>
      </c>
      <c r="O1852" t="s">
        <v>214</v>
      </c>
      <c r="P1852" t="s">
        <v>208</v>
      </c>
      <c r="Q1852" t="s">
        <v>170</v>
      </c>
      <c r="R1852" t="s">
        <v>155</v>
      </c>
      <c r="T1852" t="s">
        <v>134</v>
      </c>
      <c r="U1852">
        <v>1</v>
      </c>
      <c r="W1852" t="s">
        <v>134</v>
      </c>
      <c r="X1852">
        <v>1</v>
      </c>
      <c r="Y1852" t="s">
        <v>139</v>
      </c>
      <c r="Z1852" t="s">
        <v>180</v>
      </c>
      <c r="AA1852" t="s">
        <v>148</v>
      </c>
      <c r="AB1852" t="s">
        <v>162</v>
      </c>
      <c r="AC1852" t="s">
        <v>459</v>
      </c>
      <c r="AD1852" t="s">
        <v>159</v>
      </c>
      <c r="AE1852" t="s">
        <v>126</v>
      </c>
      <c r="AF1852" t="s">
        <v>601</v>
      </c>
    </row>
    <row r="1853" spans="1:32">
      <c r="A1853" t="s">
        <v>2840</v>
      </c>
      <c r="B1853" s="37">
        <v>40015</v>
      </c>
      <c r="C1853" s="38">
        <v>40015</v>
      </c>
      <c r="D1853" s="38">
        <v>40014</v>
      </c>
      <c r="E1853" s="38">
        <v>39995</v>
      </c>
      <c r="F1853" s="39">
        <v>110</v>
      </c>
      <c r="G1853" t="s">
        <v>21</v>
      </c>
      <c r="H1853" t="s">
        <v>21</v>
      </c>
      <c r="I1853">
        <v>0</v>
      </c>
      <c r="J1853">
        <v>0</v>
      </c>
      <c r="K1853">
        <v>0</v>
      </c>
      <c r="L1853">
        <v>1</v>
      </c>
      <c r="M1853">
        <v>0</v>
      </c>
      <c r="N1853" t="s">
        <v>196</v>
      </c>
      <c r="O1853" t="s">
        <v>213</v>
      </c>
      <c r="P1853" t="s">
        <v>207</v>
      </c>
      <c r="Q1853" t="s">
        <v>170</v>
      </c>
      <c r="R1853" t="s">
        <v>155</v>
      </c>
      <c r="S1853">
        <v>5</v>
      </c>
      <c r="T1853" t="s">
        <v>135</v>
      </c>
      <c r="U1853">
        <v>0</v>
      </c>
      <c r="V1853">
        <v>2</v>
      </c>
      <c r="W1853" t="s">
        <v>136</v>
      </c>
      <c r="X1853">
        <v>0</v>
      </c>
      <c r="Y1853" t="s">
        <v>139</v>
      </c>
      <c r="Z1853" t="s">
        <v>534</v>
      </c>
      <c r="AA1853" t="s">
        <v>142</v>
      </c>
      <c r="AB1853" t="s">
        <v>162</v>
      </c>
      <c r="AC1853" t="s">
        <v>21</v>
      </c>
      <c r="AD1853" t="s">
        <v>155</v>
      </c>
      <c r="AE1853" t="s">
        <v>130</v>
      </c>
      <c r="AF1853" t="s">
        <v>21</v>
      </c>
    </row>
    <row r="1854" spans="1:32">
      <c r="A1854" t="s">
        <v>2841</v>
      </c>
      <c r="B1854" s="37">
        <v>40058</v>
      </c>
      <c r="C1854" s="38">
        <v>40058</v>
      </c>
      <c r="D1854" s="38">
        <v>40056</v>
      </c>
      <c r="E1854" s="38">
        <v>40057</v>
      </c>
      <c r="F1854" s="39">
        <v>153</v>
      </c>
      <c r="G1854" t="s">
        <v>21</v>
      </c>
      <c r="H1854" t="s">
        <v>21</v>
      </c>
      <c r="I1854">
        <v>0</v>
      </c>
      <c r="J1854">
        <v>0</v>
      </c>
      <c r="K1854">
        <v>0</v>
      </c>
      <c r="L1854">
        <v>1</v>
      </c>
      <c r="M1854">
        <v>0</v>
      </c>
      <c r="N1854" t="s">
        <v>544</v>
      </c>
      <c r="O1854" t="s">
        <v>213</v>
      </c>
      <c r="P1854" t="s">
        <v>545</v>
      </c>
      <c r="Q1854" t="s">
        <v>170</v>
      </c>
      <c r="R1854" t="s">
        <v>155</v>
      </c>
      <c r="S1854">
        <v>5</v>
      </c>
      <c r="T1854" t="s">
        <v>135</v>
      </c>
      <c r="U1854">
        <v>0</v>
      </c>
      <c r="V1854">
        <v>3</v>
      </c>
      <c r="W1854" t="s">
        <v>137</v>
      </c>
      <c r="X1854">
        <v>0</v>
      </c>
      <c r="Y1854" t="s">
        <v>139</v>
      </c>
      <c r="Z1854" t="s">
        <v>180</v>
      </c>
      <c r="AA1854" t="s">
        <v>144</v>
      </c>
      <c r="AB1854" t="s">
        <v>162</v>
      </c>
      <c r="AC1854" t="s">
        <v>21</v>
      </c>
      <c r="AD1854" t="s">
        <v>155</v>
      </c>
      <c r="AE1854" t="s">
        <v>127</v>
      </c>
      <c r="AF1854" t="s">
        <v>21</v>
      </c>
    </row>
    <row r="1855" spans="1:32">
      <c r="A1855" t="s">
        <v>2842</v>
      </c>
      <c r="B1855" s="37">
        <v>39952</v>
      </c>
      <c r="C1855" s="38">
        <v>39952</v>
      </c>
      <c r="D1855" s="38">
        <v>39951</v>
      </c>
      <c r="E1855" s="38">
        <v>39934</v>
      </c>
      <c r="F1855" s="39">
        <v>47</v>
      </c>
      <c r="G1855" t="s">
        <v>21</v>
      </c>
      <c r="H1855" t="s">
        <v>21</v>
      </c>
      <c r="I1855">
        <v>0</v>
      </c>
      <c r="J1855">
        <v>0</v>
      </c>
      <c r="K1855">
        <v>0</v>
      </c>
      <c r="L1855">
        <v>1</v>
      </c>
      <c r="M1855">
        <v>0</v>
      </c>
      <c r="N1855" t="s">
        <v>193</v>
      </c>
      <c r="O1855" t="s">
        <v>213</v>
      </c>
      <c r="P1855" t="s">
        <v>204</v>
      </c>
      <c r="Q1855" t="s">
        <v>170</v>
      </c>
      <c r="R1855" t="s">
        <v>155</v>
      </c>
      <c r="T1855" t="s">
        <v>134</v>
      </c>
      <c r="U1855">
        <v>1</v>
      </c>
      <c r="W1855" t="s">
        <v>134</v>
      </c>
      <c r="X1855">
        <v>1</v>
      </c>
      <c r="Y1855" t="s">
        <v>140</v>
      </c>
      <c r="Z1855" t="s">
        <v>376</v>
      </c>
      <c r="AA1855" t="s">
        <v>147</v>
      </c>
      <c r="AB1855" t="s">
        <v>162</v>
      </c>
      <c r="AC1855" t="s">
        <v>863</v>
      </c>
      <c r="AD1855" t="s">
        <v>155</v>
      </c>
      <c r="AE1855" t="s">
        <v>129</v>
      </c>
      <c r="AF1855" t="s">
        <v>21</v>
      </c>
    </row>
    <row r="1856" spans="1:32">
      <c r="A1856" t="s">
        <v>2843</v>
      </c>
      <c r="B1856" s="37">
        <v>40022</v>
      </c>
      <c r="C1856" s="38">
        <v>40022</v>
      </c>
      <c r="D1856" s="38">
        <v>40021</v>
      </c>
      <c r="E1856" s="38">
        <v>39995</v>
      </c>
      <c r="F1856" s="39">
        <v>117</v>
      </c>
      <c r="G1856" t="s">
        <v>21</v>
      </c>
      <c r="H1856" t="s">
        <v>21</v>
      </c>
      <c r="I1856">
        <v>0</v>
      </c>
      <c r="J1856">
        <v>0</v>
      </c>
      <c r="K1856">
        <v>0</v>
      </c>
      <c r="L1856">
        <v>1</v>
      </c>
      <c r="M1856">
        <v>0</v>
      </c>
      <c r="N1856" t="s">
        <v>195</v>
      </c>
      <c r="O1856" t="s">
        <v>213</v>
      </c>
      <c r="P1856" t="s">
        <v>206</v>
      </c>
      <c r="Q1856" t="s">
        <v>170</v>
      </c>
      <c r="R1856" t="s">
        <v>155</v>
      </c>
      <c r="S1856">
        <v>5</v>
      </c>
      <c r="T1856" t="s">
        <v>135</v>
      </c>
      <c r="U1856">
        <v>0</v>
      </c>
      <c r="V1856">
        <v>5</v>
      </c>
      <c r="W1856" t="s">
        <v>135</v>
      </c>
      <c r="X1856">
        <v>0</v>
      </c>
      <c r="Y1856" t="s">
        <v>139</v>
      </c>
      <c r="Z1856" t="s">
        <v>376</v>
      </c>
      <c r="AA1856" t="s">
        <v>142</v>
      </c>
      <c r="AB1856" t="s">
        <v>162</v>
      </c>
      <c r="AC1856" t="s">
        <v>175</v>
      </c>
      <c r="AD1856" t="s">
        <v>125</v>
      </c>
      <c r="AE1856" t="s">
        <v>125</v>
      </c>
      <c r="AF1856" t="s">
        <v>1497</v>
      </c>
    </row>
    <row r="1857" spans="1:32">
      <c r="A1857" t="s">
        <v>2844</v>
      </c>
      <c r="B1857" s="37">
        <v>40061</v>
      </c>
      <c r="C1857" s="38">
        <v>40061</v>
      </c>
      <c r="D1857" s="38">
        <v>40056</v>
      </c>
      <c r="E1857" s="38">
        <v>40057</v>
      </c>
      <c r="F1857" s="39">
        <v>156</v>
      </c>
      <c r="G1857" t="s">
        <v>21</v>
      </c>
      <c r="H1857" t="s">
        <v>21</v>
      </c>
      <c r="I1857">
        <v>0</v>
      </c>
      <c r="J1857">
        <v>0</v>
      </c>
      <c r="K1857">
        <v>0</v>
      </c>
      <c r="L1857">
        <v>1</v>
      </c>
      <c r="M1857">
        <v>0</v>
      </c>
      <c r="N1857" t="s">
        <v>193</v>
      </c>
      <c r="O1857" t="s">
        <v>213</v>
      </c>
      <c r="P1857" t="s">
        <v>204</v>
      </c>
      <c r="Q1857" t="s">
        <v>170</v>
      </c>
      <c r="R1857" t="s">
        <v>155</v>
      </c>
      <c r="S1857">
        <v>5</v>
      </c>
      <c r="T1857" t="s">
        <v>135</v>
      </c>
      <c r="U1857">
        <v>0</v>
      </c>
      <c r="V1857">
        <v>5</v>
      </c>
      <c r="W1857" t="s">
        <v>135</v>
      </c>
      <c r="X1857">
        <v>0</v>
      </c>
      <c r="Y1857" t="s">
        <v>140</v>
      </c>
      <c r="Z1857" t="s">
        <v>376</v>
      </c>
      <c r="AA1857" t="s">
        <v>144</v>
      </c>
      <c r="AB1857" t="s">
        <v>162</v>
      </c>
      <c r="AC1857" t="s">
        <v>174</v>
      </c>
      <c r="AD1857" t="s">
        <v>156</v>
      </c>
      <c r="AE1857" t="s">
        <v>120</v>
      </c>
      <c r="AF1857" t="s">
        <v>2845</v>
      </c>
    </row>
    <row r="1858" spans="1:32">
      <c r="A1858" t="s">
        <v>2846</v>
      </c>
      <c r="B1858" s="37">
        <v>39947</v>
      </c>
      <c r="C1858" s="38">
        <v>39947</v>
      </c>
      <c r="D1858" s="38">
        <v>39944</v>
      </c>
      <c r="E1858" s="38">
        <v>39934</v>
      </c>
      <c r="F1858" s="39">
        <v>42</v>
      </c>
      <c r="G1858" t="s">
        <v>21</v>
      </c>
      <c r="H1858" t="s">
        <v>21</v>
      </c>
      <c r="I1858">
        <v>0</v>
      </c>
      <c r="J1858">
        <v>0</v>
      </c>
      <c r="K1858">
        <v>0</v>
      </c>
      <c r="L1858">
        <v>1</v>
      </c>
      <c r="M1858">
        <v>0</v>
      </c>
      <c r="N1858" t="s">
        <v>194</v>
      </c>
      <c r="O1858" t="s">
        <v>213</v>
      </c>
      <c r="P1858" t="s">
        <v>205</v>
      </c>
      <c r="Q1858" t="s">
        <v>170</v>
      </c>
      <c r="R1858" t="s">
        <v>155</v>
      </c>
      <c r="T1858" t="s">
        <v>134</v>
      </c>
      <c r="U1858">
        <v>1</v>
      </c>
      <c r="W1858" t="s">
        <v>134</v>
      </c>
      <c r="X1858">
        <v>1</v>
      </c>
      <c r="Y1858" t="s">
        <v>139</v>
      </c>
      <c r="Z1858" t="s">
        <v>376</v>
      </c>
      <c r="AA1858" t="s">
        <v>150</v>
      </c>
      <c r="AB1858" t="s">
        <v>162</v>
      </c>
      <c r="AC1858" t="s">
        <v>567</v>
      </c>
      <c r="AD1858" t="s">
        <v>155</v>
      </c>
      <c r="AE1858" t="s">
        <v>130</v>
      </c>
      <c r="AF1858" t="s">
        <v>21</v>
      </c>
    </row>
    <row r="1859" spans="1:32">
      <c r="A1859" t="s">
        <v>2847</v>
      </c>
      <c r="B1859" s="37">
        <v>40076</v>
      </c>
      <c r="C1859" s="38">
        <v>40076</v>
      </c>
      <c r="D1859" s="38">
        <v>40070</v>
      </c>
      <c r="E1859" s="38">
        <v>40057</v>
      </c>
      <c r="F1859" s="39">
        <v>171</v>
      </c>
      <c r="G1859" t="s">
        <v>21</v>
      </c>
      <c r="H1859" t="s">
        <v>21</v>
      </c>
      <c r="I1859">
        <v>0</v>
      </c>
      <c r="J1859">
        <v>0</v>
      </c>
      <c r="K1859">
        <v>0</v>
      </c>
      <c r="L1859">
        <v>1</v>
      </c>
      <c r="M1859">
        <v>0</v>
      </c>
      <c r="N1859" t="s">
        <v>196</v>
      </c>
      <c r="O1859" t="s">
        <v>213</v>
      </c>
      <c r="P1859" t="s">
        <v>207</v>
      </c>
      <c r="Q1859" t="s">
        <v>170</v>
      </c>
      <c r="R1859" t="s">
        <v>155</v>
      </c>
      <c r="S1859">
        <v>5</v>
      </c>
      <c r="T1859" t="s">
        <v>135</v>
      </c>
      <c r="U1859">
        <v>0</v>
      </c>
      <c r="V1859">
        <v>3</v>
      </c>
      <c r="W1859" t="s">
        <v>137</v>
      </c>
      <c r="X1859">
        <v>0</v>
      </c>
      <c r="Y1859" t="s">
        <v>139</v>
      </c>
      <c r="Z1859" t="s">
        <v>376</v>
      </c>
      <c r="AA1859" t="s">
        <v>144</v>
      </c>
      <c r="AB1859" t="s">
        <v>162</v>
      </c>
      <c r="AC1859" t="s">
        <v>802</v>
      </c>
      <c r="AD1859" t="s">
        <v>155</v>
      </c>
      <c r="AE1859" t="s">
        <v>129</v>
      </c>
      <c r="AF1859" t="s">
        <v>21</v>
      </c>
    </row>
    <row r="1860" spans="1:32">
      <c r="A1860" t="s">
        <v>2848</v>
      </c>
      <c r="B1860" s="37">
        <v>39930</v>
      </c>
      <c r="C1860" s="38">
        <v>39930</v>
      </c>
      <c r="D1860" s="38">
        <v>39930</v>
      </c>
      <c r="E1860" s="38">
        <v>39904</v>
      </c>
      <c r="F1860" s="39">
        <v>25</v>
      </c>
      <c r="G1860" t="s">
        <v>525</v>
      </c>
      <c r="H1860" t="s">
        <v>17</v>
      </c>
      <c r="I1860">
        <v>0</v>
      </c>
      <c r="J1860">
        <v>0</v>
      </c>
      <c r="K1860">
        <v>1</v>
      </c>
      <c r="L1860">
        <v>0</v>
      </c>
      <c r="M1860">
        <v>0</v>
      </c>
      <c r="N1860" t="s">
        <v>198</v>
      </c>
      <c r="O1860" t="s">
        <v>213</v>
      </c>
      <c r="P1860" t="s">
        <v>208</v>
      </c>
      <c r="Q1860" t="s">
        <v>170</v>
      </c>
      <c r="R1860" t="s">
        <v>155</v>
      </c>
      <c r="T1860" t="s">
        <v>134</v>
      </c>
      <c r="U1860">
        <v>1</v>
      </c>
      <c r="W1860" t="s">
        <v>134</v>
      </c>
      <c r="X1860">
        <v>1</v>
      </c>
      <c r="Y1860" t="s">
        <v>139</v>
      </c>
      <c r="Z1860" t="s">
        <v>376</v>
      </c>
      <c r="AA1860" t="s">
        <v>147</v>
      </c>
      <c r="AB1860" t="s">
        <v>163</v>
      </c>
      <c r="AC1860" t="s">
        <v>173</v>
      </c>
      <c r="AD1860" t="s">
        <v>155</v>
      </c>
      <c r="AE1860" t="s">
        <v>124</v>
      </c>
      <c r="AF1860" t="s">
        <v>21</v>
      </c>
    </row>
    <row r="1861" spans="1:32">
      <c r="A1861" t="s">
        <v>2849</v>
      </c>
      <c r="B1861" s="37">
        <v>39981</v>
      </c>
      <c r="C1861" s="38">
        <v>39981</v>
      </c>
      <c r="D1861" s="38">
        <v>39979</v>
      </c>
      <c r="E1861" s="38">
        <v>39965</v>
      </c>
      <c r="F1861" s="39">
        <v>76</v>
      </c>
      <c r="G1861" t="s">
        <v>21</v>
      </c>
      <c r="H1861" t="s">
        <v>21</v>
      </c>
      <c r="I1861">
        <v>0</v>
      </c>
      <c r="J1861">
        <v>0</v>
      </c>
      <c r="K1861">
        <v>0</v>
      </c>
      <c r="L1861">
        <v>1</v>
      </c>
      <c r="M1861">
        <v>0</v>
      </c>
      <c r="N1861" t="s">
        <v>194</v>
      </c>
      <c r="O1861" t="s">
        <v>213</v>
      </c>
      <c r="P1861" t="s">
        <v>205</v>
      </c>
      <c r="Q1861" t="s">
        <v>170</v>
      </c>
      <c r="R1861" t="s">
        <v>155</v>
      </c>
      <c r="T1861" t="s">
        <v>134</v>
      </c>
      <c r="U1861">
        <v>1</v>
      </c>
      <c r="W1861" t="s">
        <v>134</v>
      </c>
      <c r="X1861">
        <v>1</v>
      </c>
      <c r="Y1861" t="s">
        <v>139</v>
      </c>
      <c r="Z1861" t="s">
        <v>376</v>
      </c>
      <c r="AA1861" t="s">
        <v>150</v>
      </c>
      <c r="AB1861" t="s">
        <v>162</v>
      </c>
      <c r="AC1861" t="s">
        <v>1553</v>
      </c>
      <c r="AD1861" t="s">
        <v>159</v>
      </c>
      <c r="AE1861" t="s">
        <v>126</v>
      </c>
      <c r="AF1861" t="s">
        <v>601</v>
      </c>
    </row>
    <row r="1862" spans="1:32">
      <c r="A1862" t="s">
        <v>2850</v>
      </c>
      <c r="B1862" s="37">
        <v>40075</v>
      </c>
      <c r="C1862" s="38">
        <v>40075</v>
      </c>
      <c r="D1862" s="38">
        <v>40070</v>
      </c>
      <c r="E1862" s="38">
        <v>40057</v>
      </c>
      <c r="F1862" s="39">
        <v>170</v>
      </c>
      <c r="G1862" t="s">
        <v>21</v>
      </c>
      <c r="H1862" t="s">
        <v>21</v>
      </c>
      <c r="I1862">
        <v>0</v>
      </c>
      <c r="J1862">
        <v>0</v>
      </c>
      <c r="K1862">
        <v>0</v>
      </c>
      <c r="L1862">
        <v>1</v>
      </c>
      <c r="M1862">
        <v>0</v>
      </c>
      <c r="N1862" t="s">
        <v>197</v>
      </c>
      <c r="O1862" t="s">
        <v>213</v>
      </c>
      <c r="P1862" t="s">
        <v>209</v>
      </c>
      <c r="Q1862" t="s">
        <v>170</v>
      </c>
      <c r="R1862" t="s">
        <v>155</v>
      </c>
      <c r="S1862">
        <v>1</v>
      </c>
      <c r="T1862" t="s">
        <v>136</v>
      </c>
      <c r="U1862">
        <v>0</v>
      </c>
      <c r="V1862">
        <v>5</v>
      </c>
      <c r="W1862" t="s">
        <v>135</v>
      </c>
      <c r="X1862">
        <v>0</v>
      </c>
      <c r="Y1862" t="s">
        <v>139</v>
      </c>
      <c r="Z1862" t="s">
        <v>183</v>
      </c>
      <c r="AA1862" t="s">
        <v>144</v>
      </c>
      <c r="AB1862" t="s">
        <v>162</v>
      </c>
      <c r="AC1862" t="s">
        <v>174</v>
      </c>
      <c r="AD1862" t="s">
        <v>156</v>
      </c>
      <c r="AE1862" t="s">
        <v>120</v>
      </c>
      <c r="AF1862" t="s">
        <v>741</v>
      </c>
    </row>
    <row r="1863" spans="1:32">
      <c r="A1863" t="s">
        <v>2851</v>
      </c>
      <c r="B1863" s="37">
        <v>40035</v>
      </c>
      <c r="C1863" s="38">
        <v>40035</v>
      </c>
      <c r="D1863" s="38">
        <v>40035</v>
      </c>
      <c r="E1863" s="38">
        <v>40026</v>
      </c>
      <c r="F1863" s="39">
        <v>130</v>
      </c>
      <c r="G1863" t="s">
        <v>21</v>
      </c>
      <c r="H1863" t="s">
        <v>21</v>
      </c>
      <c r="I1863">
        <v>0</v>
      </c>
      <c r="J1863">
        <v>0</v>
      </c>
      <c r="K1863">
        <v>0</v>
      </c>
      <c r="L1863">
        <v>1</v>
      </c>
      <c r="M1863">
        <v>0</v>
      </c>
      <c r="N1863" t="s">
        <v>193</v>
      </c>
      <c r="O1863" t="s">
        <v>213</v>
      </c>
      <c r="P1863" t="s">
        <v>204</v>
      </c>
      <c r="Q1863" t="s">
        <v>170</v>
      </c>
      <c r="R1863" t="s">
        <v>155</v>
      </c>
      <c r="S1863">
        <v>2</v>
      </c>
      <c r="T1863" t="s">
        <v>136</v>
      </c>
      <c r="U1863">
        <v>0</v>
      </c>
      <c r="V1863">
        <v>5</v>
      </c>
      <c r="W1863" t="s">
        <v>135</v>
      </c>
      <c r="X1863">
        <v>0</v>
      </c>
      <c r="Y1863" t="s">
        <v>140</v>
      </c>
      <c r="Z1863" t="s">
        <v>1034</v>
      </c>
      <c r="AA1863" t="s">
        <v>145</v>
      </c>
      <c r="AB1863" t="s">
        <v>162</v>
      </c>
      <c r="AC1863" t="s">
        <v>459</v>
      </c>
      <c r="AD1863" t="s">
        <v>155</v>
      </c>
      <c r="AE1863" t="s">
        <v>129</v>
      </c>
      <c r="AF1863" t="s">
        <v>21</v>
      </c>
    </row>
    <row r="1864" spans="1:32">
      <c r="A1864" t="s">
        <v>2852</v>
      </c>
      <c r="B1864" s="37">
        <v>39933</v>
      </c>
      <c r="C1864" s="38">
        <v>39933</v>
      </c>
      <c r="D1864" s="38">
        <v>39930</v>
      </c>
      <c r="E1864" s="38">
        <v>39904</v>
      </c>
      <c r="F1864" s="39">
        <v>28</v>
      </c>
      <c r="G1864" t="s">
        <v>380</v>
      </c>
      <c r="H1864" t="s">
        <v>17</v>
      </c>
      <c r="I1864">
        <v>0</v>
      </c>
      <c r="J1864">
        <v>0</v>
      </c>
      <c r="K1864">
        <v>1</v>
      </c>
      <c r="L1864">
        <v>0</v>
      </c>
      <c r="M1864">
        <v>0</v>
      </c>
      <c r="N1864" t="s">
        <v>201</v>
      </c>
      <c r="O1864" t="s">
        <v>214</v>
      </c>
      <c r="P1864" t="s">
        <v>204</v>
      </c>
      <c r="Q1864" t="s">
        <v>170</v>
      </c>
      <c r="R1864" t="s">
        <v>155</v>
      </c>
      <c r="T1864" t="s">
        <v>134</v>
      </c>
      <c r="U1864">
        <v>1</v>
      </c>
      <c r="W1864" t="s">
        <v>134</v>
      </c>
      <c r="X1864">
        <v>1</v>
      </c>
      <c r="Y1864" t="s">
        <v>140</v>
      </c>
      <c r="Z1864" t="s">
        <v>179</v>
      </c>
      <c r="AA1864" t="s">
        <v>145</v>
      </c>
      <c r="AB1864" t="s">
        <v>162</v>
      </c>
      <c r="AC1864" t="s">
        <v>174</v>
      </c>
      <c r="AD1864" t="s">
        <v>159</v>
      </c>
      <c r="AE1864" t="s">
        <v>123</v>
      </c>
      <c r="AF1864" t="s">
        <v>123</v>
      </c>
    </row>
    <row r="1865" spans="1:32">
      <c r="A1865" t="s">
        <v>2853</v>
      </c>
      <c r="B1865" s="37">
        <v>39906</v>
      </c>
      <c r="C1865" s="38">
        <v>39906</v>
      </c>
      <c r="D1865" s="38">
        <v>39902</v>
      </c>
      <c r="E1865" s="38">
        <v>39904</v>
      </c>
      <c r="F1865" s="39">
        <v>1</v>
      </c>
      <c r="G1865" t="s">
        <v>496</v>
      </c>
      <c r="H1865" t="s">
        <v>13</v>
      </c>
      <c r="I1865">
        <v>0</v>
      </c>
      <c r="J1865">
        <v>1</v>
      </c>
      <c r="K1865">
        <v>0</v>
      </c>
      <c r="L1865">
        <v>0</v>
      </c>
      <c r="M1865">
        <v>1</v>
      </c>
      <c r="N1865" t="s">
        <v>200</v>
      </c>
      <c r="O1865" t="s">
        <v>214</v>
      </c>
      <c r="P1865" t="s">
        <v>208</v>
      </c>
      <c r="Q1865" t="s">
        <v>170</v>
      </c>
      <c r="R1865" t="s">
        <v>155</v>
      </c>
      <c r="T1865" t="s">
        <v>134</v>
      </c>
      <c r="U1865">
        <v>1</v>
      </c>
      <c r="W1865" t="s">
        <v>134</v>
      </c>
      <c r="X1865">
        <v>1</v>
      </c>
      <c r="Y1865" t="s">
        <v>139</v>
      </c>
      <c r="Z1865" t="s">
        <v>433</v>
      </c>
      <c r="AA1865" t="s">
        <v>147</v>
      </c>
      <c r="AB1865" t="s">
        <v>165</v>
      </c>
      <c r="AC1865" t="s">
        <v>2854</v>
      </c>
      <c r="AD1865" t="s">
        <v>158</v>
      </c>
      <c r="AE1865" t="s">
        <v>122</v>
      </c>
      <c r="AF1865" t="s">
        <v>21</v>
      </c>
    </row>
    <row r="1866" spans="1:32">
      <c r="A1866" t="s">
        <v>2855</v>
      </c>
      <c r="B1866" s="37">
        <v>39965</v>
      </c>
      <c r="C1866" s="38">
        <v>39965</v>
      </c>
      <c r="D1866" s="38">
        <v>39965</v>
      </c>
      <c r="E1866" s="38">
        <v>39965</v>
      </c>
      <c r="F1866" s="39">
        <v>60</v>
      </c>
      <c r="G1866" t="s">
        <v>525</v>
      </c>
      <c r="H1866" t="s">
        <v>17</v>
      </c>
      <c r="I1866">
        <v>0</v>
      </c>
      <c r="J1866">
        <v>0</v>
      </c>
      <c r="K1866">
        <v>1</v>
      </c>
      <c r="L1866">
        <v>0</v>
      </c>
      <c r="M1866">
        <v>0</v>
      </c>
      <c r="N1866" t="s">
        <v>195</v>
      </c>
      <c r="O1866" t="s">
        <v>213</v>
      </c>
      <c r="P1866" t="s">
        <v>206</v>
      </c>
      <c r="Q1866" t="s">
        <v>170</v>
      </c>
      <c r="R1866" t="s">
        <v>155</v>
      </c>
      <c r="T1866" t="s">
        <v>134</v>
      </c>
      <c r="U1866">
        <v>1</v>
      </c>
      <c r="W1866" t="s">
        <v>134</v>
      </c>
      <c r="X1866">
        <v>1</v>
      </c>
      <c r="Y1866" t="s">
        <v>139</v>
      </c>
      <c r="Z1866" t="s">
        <v>178</v>
      </c>
      <c r="AA1866" t="s">
        <v>144</v>
      </c>
      <c r="AB1866" t="s">
        <v>162</v>
      </c>
      <c r="AC1866" t="s">
        <v>174</v>
      </c>
      <c r="AD1866" t="s">
        <v>157</v>
      </c>
      <c r="AE1866" t="s">
        <v>127</v>
      </c>
      <c r="AF1866" t="s">
        <v>153</v>
      </c>
    </row>
    <row r="1867" spans="1:32">
      <c r="A1867" t="s">
        <v>2856</v>
      </c>
      <c r="B1867" s="37">
        <v>39973</v>
      </c>
      <c r="C1867" s="38">
        <v>39973</v>
      </c>
      <c r="D1867" s="38">
        <v>39972</v>
      </c>
      <c r="E1867" s="38">
        <v>39965</v>
      </c>
      <c r="F1867" s="39">
        <v>68</v>
      </c>
      <c r="G1867" t="s">
        <v>21</v>
      </c>
      <c r="H1867" t="s">
        <v>21</v>
      </c>
      <c r="I1867">
        <v>0</v>
      </c>
      <c r="J1867">
        <v>0</v>
      </c>
      <c r="K1867">
        <v>0</v>
      </c>
      <c r="L1867">
        <v>1</v>
      </c>
      <c r="M1867">
        <v>0</v>
      </c>
      <c r="N1867" t="s">
        <v>194</v>
      </c>
      <c r="O1867" t="s">
        <v>213</v>
      </c>
      <c r="P1867" t="s">
        <v>205</v>
      </c>
      <c r="Q1867" t="s">
        <v>170</v>
      </c>
      <c r="R1867" t="s">
        <v>155</v>
      </c>
      <c r="T1867" t="s">
        <v>134</v>
      </c>
      <c r="U1867">
        <v>1</v>
      </c>
      <c r="W1867" t="s">
        <v>134</v>
      </c>
      <c r="X1867">
        <v>1</v>
      </c>
      <c r="Y1867" t="s">
        <v>139</v>
      </c>
      <c r="Z1867" t="s">
        <v>409</v>
      </c>
      <c r="AA1867" t="s">
        <v>146</v>
      </c>
      <c r="AB1867" t="s">
        <v>162</v>
      </c>
      <c r="AC1867" t="s">
        <v>175</v>
      </c>
      <c r="AD1867" t="s">
        <v>155</v>
      </c>
      <c r="AE1867" t="s">
        <v>129</v>
      </c>
      <c r="AF1867" t="s">
        <v>21</v>
      </c>
    </row>
    <row r="1868" spans="1:32">
      <c r="A1868" t="s">
        <v>2857</v>
      </c>
      <c r="B1868" s="37">
        <v>40021</v>
      </c>
      <c r="C1868" s="38">
        <v>40021</v>
      </c>
      <c r="D1868" s="38">
        <v>40021</v>
      </c>
      <c r="E1868" s="38">
        <v>39995</v>
      </c>
      <c r="F1868" s="39">
        <v>116</v>
      </c>
      <c r="G1868" t="s">
        <v>21</v>
      </c>
      <c r="H1868" t="s">
        <v>21</v>
      </c>
      <c r="I1868">
        <v>0</v>
      </c>
      <c r="J1868">
        <v>0</v>
      </c>
      <c r="K1868">
        <v>0</v>
      </c>
      <c r="L1868">
        <v>1</v>
      </c>
      <c r="M1868">
        <v>0</v>
      </c>
      <c r="N1868" t="s">
        <v>193</v>
      </c>
      <c r="O1868" t="s">
        <v>213</v>
      </c>
      <c r="P1868" t="s">
        <v>204</v>
      </c>
      <c r="Q1868" t="s">
        <v>170</v>
      </c>
      <c r="R1868" t="s">
        <v>155</v>
      </c>
      <c r="S1868">
        <v>1</v>
      </c>
      <c r="T1868" t="s">
        <v>136</v>
      </c>
      <c r="U1868">
        <v>0</v>
      </c>
      <c r="V1868">
        <v>5</v>
      </c>
      <c r="W1868" t="s">
        <v>135</v>
      </c>
      <c r="X1868">
        <v>0</v>
      </c>
      <c r="Y1868" t="s">
        <v>140</v>
      </c>
      <c r="Z1868" t="s">
        <v>179</v>
      </c>
      <c r="AA1868" t="s">
        <v>142</v>
      </c>
      <c r="AB1868" t="s">
        <v>162</v>
      </c>
      <c r="AC1868" t="s">
        <v>2438</v>
      </c>
      <c r="AD1868" t="s">
        <v>159</v>
      </c>
      <c r="AE1868" t="s">
        <v>123</v>
      </c>
      <c r="AF1868" t="s">
        <v>123</v>
      </c>
    </row>
    <row r="1869" spans="1:32">
      <c r="A1869" t="s">
        <v>2858</v>
      </c>
      <c r="B1869" s="37">
        <v>40037</v>
      </c>
      <c r="C1869" s="38">
        <v>40037</v>
      </c>
      <c r="D1869" s="38">
        <v>40035</v>
      </c>
      <c r="E1869" s="38">
        <v>40026</v>
      </c>
      <c r="F1869" s="39">
        <v>132</v>
      </c>
      <c r="G1869" t="s">
        <v>9</v>
      </c>
      <c r="H1869" t="s">
        <v>9</v>
      </c>
      <c r="I1869">
        <v>1</v>
      </c>
      <c r="J1869">
        <v>0</v>
      </c>
      <c r="K1869">
        <v>0</v>
      </c>
      <c r="L1869">
        <v>0</v>
      </c>
      <c r="M1869">
        <v>1</v>
      </c>
      <c r="N1869" t="s">
        <v>196</v>
      </c>
      <c r="O1869" t="s">
        <v>213</v>
      </c>
      <c r="P1869" t="s">
        <v>207</v>
      </c>
      <c r="Q1869" t="s">
        <v>170</v>
      </c>
      <c r="R1869" t="s">
        <v>155</v>
      </c>
      <c r="S1869">
        <v>2</v>
      </c>
      <c r="T1869" t="s">
        <v>136</v>
      </c>
      <c r="U1869">
        <v>0</v>
      </c>
      <c r="V1869">
        <v>5</v>
      </c>
      <c r="W1869" t="s">
        <v>135</v>
      </c>
      <c r="X1869">
        <v>0</v>
      </c>
      <c r="Y1869" t="s">
        <v>139</v>
      </c>
      <c r="Z1869" t="s">
        <v>376</v>
      </c>
      <c r="AA1869" t="s">
        <v>142</v>
      </c>
      <c r="AB1869" t="s">
        <v>165</v>
      </c>
      <c r="AC1869" t="s">
        <v>2023</v>
      </c>
      <c r="AD1869" t="s">
        <v>158</v>
      </c>
      <c r="AE1869" t="s">
        <v>122</v>
      </c>
      <c r="AF1869" t="s">
        <v>21</v>
      </c>
    </row>
    <row r="1870" spans="1:32">
      <c r="A1870" t="s">
        <v>2859</v>
      </c>
      <c r="B1870" s="37">
        <v>40031</v>
      </c>
      <c r="C1870" s="38">
        <v>40031</v>
      </c>
      <c r="D1870" s="38">
        <v>40028</v>
      </c>
      <c r="E1870" s="38">
        <v>40026</v>
      </c>
      <c r="F1870" s="39">
        <v>126</v>
      </c>
      <c r="G1870" t="s">
        <v>21</v>
      </c>
      <c r="H1870" t="s">
        <v>21</v>
      </c>
      <c r="I1870">
        <v>0</v>
      </c>
      <c r="J1870">
        <v>0</v>
      </c>
      <c r="K1870">
        <v>0</v>
      </c>
      <c r="L1870">
        <v>1</v>
      </c>
      <c r="M1870">
        <v>0</v>
      </c>
      <c r="N1870" t="s">
        <v>196</v>
      </c>
      <c r="O1870" t="s">
        <v>213</v>
      </c>
      <c r="P1870" t="s">
        <v>207</v>
      </c>
      <c r="Q1870" t="s">
        <v>170</v>
      </c>
      <c r="R1870" t="s">
        <v>155</v>
      </c>
      <c r="S1870">
        <v>5</v>
      </c>
      <c r="T1870" t="s">
        <v>135</v>
      </c>
      <c r="U1870">
        <v>0</v>
      </c>
      <c r="V1870">
        <v>5</v>
      </c>
      <c r="W1870" t="s">
        <v>135</v>
      </c>
      <c r="X1870">
        <v>0</v>
      </c>
      <c r="Y1870" t="s">
        <v>139</v>
      </c>
      <c r="Z1870" t="s">
        <v>376</v>
      </c>
      <c r="AA1870" t="s">
        <v>144</v>
      </c>
      <c r="AB1870" t="s">
        <v>163</v>
      </c>
      <c r="AC1870" t="s">
        <v>173</v>
      </c>
      <c r="AD1870" t="s">
        <v>155</v>
      </c>
      <c r="AE1870" t="s">
        <v>751</v>
      </c>
      <c r="AF1870" t="s">
        <v>21</v>
      </c>
    </row>
    <row r="1871" spans="1:32">
      <c r="A1871" t="s">
        <v>2860</v>
      </c>
      <c r="B1871" s="37">
        <v>40041</v>
      </c>
      <c r="C1871" s="38">
        <v>40041</v>
      </c>
      <c r="D1871" s="38">
        <v>40035</v>
      </c>
      <c r="E1871" s="38">
        <v>40026</v>
      </c>
      <c r="F1871" s="39">
        <v>136</v>
      </c>
      <c r="G1871" t="s">
        <v>21</v>
      </c>
      <c r="H1871" t="s">
        <v>21</v>
      </c>
      <c r="I1871">
        <v>0</v>
      </c>
      <c r="J1871">
        <v>0</v>
      </c>
      <c r="K1871">
        <v>0</v>
      </c>
      <c r="L1871">
        <v>1</v>
      </c>
      <c r="M1871">
        <v>0</v>
      </c>
      <c r="N1871" t="s">
        <v>196</v>
      </c>
      <c r="O1871" t="s">
        <v>213</v>
      </c>
      <c r="P1871" t="s">
        <v>207</v>
      </c>
      <c r="Q1871" t="s">
        <v>170</v>
      </c>
      <c r="R1871" t="s">
        <v>155</v>
      </c>
      <c r="S1871">
        <v>5</v>
      </c>
      <c r="T1871" t="s">
        <v>135</v>
      </c>
      <c r="U1871">
        <v>0</v>
      </c>
      <c r="V1871">
        <v>4</v>
      </c>
      <c r="W1871" t="s">
        <v>137</v>
      </c>
      <c r="X1871">
        <v>0</v>
      </c>
      <c r="Y1871" t="s">
        <v>139</v>
      </c>
      <c r="Z1871" t="s">
        <v>376</v>
      </c>
      <c r="AA1871" t="s">
        <v>144</v>
      </c>
      <c r="AB1871" t="s">
        <v>162</v>
      </c>
      <c r="AC1871" t="s">
        <v>176</v>
      </c>
      <c r="AD1871" t="s">
        <v>155</v>
      </c>
      <c r="AE1871" t="s">
        <v>129</v>
      </c>
      <c r="AF1871" t="s">
        <v>21</v>
      </c>
    </row>
    <row r="1872" spans="1:32">
      <c r="A1872" t="s">
        <v>2861</v>
      </c>
      <c r="B1872" s="37">
        <v>40000</v>
      </c>
      <c r="C1872" s="38">
        <v>40000</v>
      </c>
      <c r="D1872" s="38">
        <v>40000</v>
      </c>
      <c r="E1872" s="38">
        <v>39995</v>
      </c>
      <c r="F1872" s="39">
        <v>95</v>
      </c>
      <c r="G1872" t="s">
        <v>21</v>
      </c>
      <c r="H1872" t="s">
        <v>21</v>
      </c>
      <c r="I1872">
        <v>0</v>
      </c>
      <c r="J1872">
        <v>0</v>
      </c>
      <c r="K1872">
        <v>0</v>
      </c>
      <c r="L1872">
        <v>1</v>
      </c>
      <c r="M1872">
        <v>0</v>
      </c>
      <c r="N1872" t="s">
        <v>194</v>
      </c>
      <c r="O1872" t="s">
        <v>213</v>
      </c>
      <c r="P1872" t="s">
        <v>205</v>
      </c>
      <c r="Q1872" t="s">
        <v>170</v>
      </c>
      <c r="R1872" t="s">
        <v>155</v>
      </c>
      <c r="T1872" t="s">
        <v>134</v>
      </c>
      <c r="U1872">
        <v>1</v>
      </c>
      <c r="V1872">
        <v>3</v>
      </c>
      <c r="W1872" t="s">
        <v>137</v>
      </c>
      <c r="X1872">
        <v>0</v>
      </c>
      <c r="Y1872" t="s">
        <v>139</v>
      </c>
      <c r="Z1872" t="s">
        <v>179</v>
      </c>
      <c r="AA1872" t="s">
        <v>145</v>
      </c>
      <c r="AB1872" t="s">
        <v>162</v>
      </c>
      <c r="AC1872" t="s">
        <v>176</v>
      </c>
      <c r="AD1872" t="s">
        <v>155</v>
      </c>
      <c r="AE1872" t="s">
        <v>130</v>
      </c>
      <c r="AF1872" t="s">
        <v>21</v>
      </c>
    </row>
    <row r="1873" spans="1:32">
      <c r="A1873" t="s">
        <v>2862</v>
      </c>
      <c r="B1873" s="37">
        <v>39959</v>
      </c>
      <c r="C1873" s="38">
        <v>39959</v>
      </c>
      <c r="D1873" s="38">
        <v>39958</v>
      </c>
      <c r="E1873" s="38">
        <v>39934</v>
      </c>
      <c r="F1873" s="39">
        <v>54</v>
      </c>
      <c r="G1873" t="s">
        <v>525</v>
      </c>
      <c r="H1873" t="s">
        <v>17</v>
      </c>
      <c r="I1873">
        <v>0</v>
      </c>
      <c r="J1873">
        <v>0</v>
      </c>
      <c r="K1873">
        <v>1</v>
      </c>
      <c r="L1873">
        <v>0</v>
      </c>
      <c r="M1873">
        <v>0</v>
      </c>
      <c r="N1873" t="s">
        <v>193</v>
      </c>
      <c r="O1873" t="s">
        <v>213</v>
      </c>
      <c r="P1873" t="s">
        <v>204</v>
      </c>
      <c r="Q1873" t="s">
        <v>170</v>
      </c>
      <c r="R1873" t="s">
        <v>155</v>
      </c>
      <c r="T1873" t="s">
        <v>134</v>
      </c>
      <c r="U1873">
        <v>1</v>
      </c>
      <c r="W1873" t="s">
        <v>134</v>
      </c>
      <c r="X1873">
        <v>1</v>
      </c>
      <c r="Y1873" t="s">
        <v>140</v>
      </c>
      <c r="Z1873" t="s">
        <v>186</v>
      </c>
      <c r="AA1873" t="s">
        <v>149</v>
      </c>
      <c r="AB1873" t="s">
        <v>162</v>
      </c>
      <c r="AC1873" t="s">
        <v>567</v>
      </c>
      <c r="AD1873" t="s">
        <v>155</v>
      </c>
      <c r="AE1873" t="s">
        <v>130</v>
      </c>
      <c r="AF1873" t="s">
        <v>21</v>
      </c>
    </row>
    <row r="1874" spans="1:32">
      <c r="A1874" t="s">
        <v>2863</v>
      </c>
      <c r="B1874" s="37">
        <v>40065</v>
      </c>
      <c r="C1874" s="38">
        <v>40065</v>
      </c>
      <c r="D1874" s="38">
        <v>40063</v>
      </c>
      <c r="E1874" s="38">
        <v>40057</v>
      </c>
      <c r="F1874" s="39">
        <v>160</v>
      </c>
      <c r="G1874" t="s">
        <v>9</v>
      </c>
      <c r="H1874" t="s">
        <v>9</v>
      </c>
      <c r="I1874">
        <v>1</v>
      </c>
      <c r="J1874">
        <v>0</v>
      </c>
      <c r="K1874">
        <v>0</v>
      </c>
      <c r="L1874">
        <v>0</v>
      </c>
      <c r="M1874">
        <v>1</v>
      </c>
      <c r="N1874" t="s">
        <v>193</v>
      </c>
      <c r="O1874" t="s">
        <v>213</v>
      </c>
      <c r="P1874" t="s">
        <v>204</v>
      </c>
      <c r="Q1874" t="s">
        <v>170</v>
      </c>
      <c r="R1874" t="s">
        <v>155</v>
      </c>
      <c r="S1874">
        <v>1</v>
      </c>
      <c r="T1874" t="s">
        <v>136</v>
      </c>
      <c r="U1874">
        <v>0</v>
      </c>
      <c r="V1874">
        <v>3</v>
      </c>
      <c r="W1874" t="s">
        <v>137</v>
      </c>
      <c r="X1874">
        <v>0</v>
      </c>
      <c r="Y1874" t="s">
        <v>140</v>
      </c>
      <c r="Z1874" t="s">
        <v>603</v>
      </c>
      <c r="AA1874" t="s">
        <v>146</v>
      </c>
      <c r="AB1874" t="s">
        <v>162</v>
      </c>
      <c r="AC1874" t="s">
        <v>174</v>
      </c>
      <c r="AD1874" t="s">
        <v>156</v>
      </c>
      <c r="AE1874" t="s">
        <v>120</v>
      </c>
      <c r="AF1874" t="s">
        <v>425</v>
      </c>
    </row>
    <row r="1875" spans="1:32">
      <c r="A1875" t="s">
        <v>2864</v>
      </c>
      <c r="B1875" s="37">
        <v>40011</v>
      </c>
      <c r="C1875" s="38">
        <v>40011</v>
      </c>
      <c r="D1875" s="38">
        <v>40007</v>
      </c>
      <c r="E1875" s="38">
        <v>39995</v>
      </c>
      <c r="F1875" s="39">
        <v>106</v>
      </c>
      <c r="G1875" t="s">
        <v>21</v>
      </c>
      <c r="H1875" t="s">
        <v>21</v>
      </c>
      <c r="I1875">
        <v>0</v>
      </c>
      <c r="J1875">
        <v>0</v>
      </c>
      <c r="K1875">
        <v>0</v>
      </c>
      <c r="L1875">
        <v>1</v>
      </c>
      <c r="M1875">
        <v>0</v>
      </c>
      <c r="N1875" t="s">
        <v>195</v>
      </c>
      <c r="O1875" t="s">
        <v>213</v>
      </c>
      <c r="P1875" t="s">
        <v>206</v>
      </c>
      <c r="Q1875" t="s">
        <v>170</v>
      </c>
      <c r="R1875" t="s">
        <v>155</v>
      </c>
      <c r="S1875">
        <v>5</v>
      </c>
      <c r="T1875" t="s">
        <v>135</v>
      </c>
      <c r="U1875">
        <v>0</v>
      </c>
      <c r="V1875">
        <v>4</v>
      </c>
      <c r="W1875" t="s">
        <v>137</v>
      </c>
      <c r="X1875">
        <v>0</v>
      </c>
      <c r="Y1875" t="s">
        <v>139</v>
      </c>
      <c r="Z1875" t="s">
        <v>186</v>
      </c>
      <c r="AA1875" t="s">
        <v>143</v>
      </c>
      <c r="AB1875" t="s">
        <v>162</v>
      </c>
      <c r="AC1875" t="s">
        <v>459</v>
      </c>
      <c r="AD1875" t="s">
        <v>155</v>
      </c>
      <c r="AE1875" t="s">
        <v>129</v>
      </c>
      <c r="AF1875" t="s">
        <v>21</v>
      </c>
    </row>
    <row r="1876" spans="1:32">
      <c r="A1876" t="s">
        <v>2865</v>
      </c>
      <c r="B1876" s="37">
        <v>39946</v>
      </c>
      <c r="C1876" s="38">
        <v>39946</v>
      </c>
      <c r="D1876" s="38">
        <v>39944</v>
      </c>
      <c r="E1876" s="38">
        <v>39934</v>
      </c>
      <c r="F1876" s="39">
        <v>41</v>
      </c>
      <c r="G1876" t="s">
        <v>380</v>
      </c>
      <c r="H1876" t="s">
        <v>17</v>
      </c>
      <c r="I1876">
        <v>0</v>
      </c>
      <c r="J1876">
        <v>0</v>
      </c>
      <c r="K1876">
        <v>1</v>
      </c>
      <c r="L1876">
        <v>0</v>
      </c>
      <c r="M1876">
        <v>0</v>
      </c>
      <c r="N1876" t="s">
        <v>193</v>
      </c>
      <c r="O1876" t="s">
        <v>213</v>
      </c>
      <c r="P1876" t="s">
        <v>204</v>
      </c>
      <c r="Q1876" t="s">
        <v>170</v>
      </c>
      <c r="R1876" t="s">
        <v>155</v>
      </c>
      <c r="T1876" t="s">
        <v>134</v>
      </c>
      <c r="U1876">
        <v>1</v>
      </c>
      <c r="W1876" t="s">
        <v>134</v>
      </c>
      <c r="X1876">
        <v>1</v>
      </c>
      <c r="Y1876" t="s">
        <v>140</v>
      </c>
      <c r="Z1876" t="s">
        <v>603</v>
      </c>
      <c r="AA1876" t="s">
        <v>145</v>
      </c>
      <c r="AB1876" t="s">
        <v>162</v>
      </c>
      <c r="AC1876" t="s">
        <v>174</v>
      </c>
      <c r="AD1876" t="s">
        <v>156</v>
      </c>
      <c r="AE1876" t="s">
        <v>120</v>
      </c>
      <c r="AF1876" t="s">
        <v>1868</v>
      </c>
    </row>
    <row r="1877" spans="1:32">
      <c r="A1877" t="s">
        <v>2866</v>
      </c>
      <c r="B1877" s="37">
        <v>39952</v>
      </c>
      <c r="C1877" s="38">
        <v>39952</v>
      </c>
      <c r="D1877" s="38">
        <v>39951</v>
      </c>
      <c r="E1877" s="38">
        <v>39934</v>
      </c>
      <c r="F1877" s="39">
        <v>47</v>
      </c>
      <c r="G1877" t="s">
        <v>21</v>
      </c>
      <c r="H1877" t="s">
        <v>21</v>
      </c>
      <c r="I1877">
        <v>0</v>
      </c>
      <c r="J1877">
        <v>0</v>
      </c>
      <c r="K1877">
        <v>0</v>
      </c>
      <c r="L1877">
        <v>1</v>
      </c>
      <c r="M1877">
        <v>0</v>
      </c>
      <c r="N1877" t="s">
        <v>193</v>
      </c>
      <c r="O1877" t="s">
        <v>213</v>
      </c>
      <c r="P1877" t="s">
        <v>204</v>
      </c>
      <c r="Q1877" t="s">
        <v>170</v>
      </c>
      <c r="R1877" t="s">
        <v>155</v>
      </c>
      <c r="T1877" t="s">
        <v>134</v>
      </c>
      <c r="U1877">
        <v>1</v>
      </c>
      <c r="W1877" t="s">
        <v>134</v>
      </c>
      <c r="X1877">
        <v>1</v>
      </c>
      <c r="Y1877" t="s">
        <v>140</v>
      </c>
      <c r="Z1877" t="s">
        <v>603</v>
      </c>
      <c r="AA1877" t="s">
        <v>145</v>
      </c>
      <c r="AB1877" t="s">
        <v>162</v>
      </c>
      <c r="AC1877" t="s">
        <v>174</v>
      </c>
      <c r="AD1877" t="s">
        <v>156</v>
      </c>
      <c r="AE1877" t="s">
        <v>120</v>
      </c>
      <c r="AF1877" t="s">
        <v>1868</v>
      </c>
    </row>
    <row r="1878" spans="1:32">
      <c r="A1878" t="s">
        <v>2867</v>
      </c>
      <c r="B1878" s="37">
        <v>39947</v>
      </c>
      <c r="C1878" s="38">
        <v>39947</v>
      </c>
      <c r="D1878" s="38">
        <v>39944</v>
      </c>
      <c r="E1878" s="38">
        <v>39934</v>
      </c>
      <c r="F1878" s="39">
        <v>42</v>
      </c>
      <c r="G1878" t="s">
        <v>21</v>
      </c>
      <c r="H1878" t="s">
        <v>21</v>
      </c>
      <c r="I1878">
        <v>0</v>
      </c>
      <c r="J1878">
        <v>0</v>
      </c>
      <c r="K1878">
        <v>0</v>
      </c>
      <c r="L1878">
        <v>1</v>
      </c>
      <c r="M1878">
        <v>0</v>
      </c>
      <c r="N1878" t="s">
        <v>193</v>
      </c>
      <c r="O1878" t="s">
        <v>213</v>
      </c>
      <c r="P1878" t="s">
        <v>204</v>
      </c>
      <c r="Q1878" t="s">
        <v>170</v>
      </c>
      <c r="R1878" t="s">
        <v>155</v>
      </c>
      <c r="T1878" t="s">
        <v>134</v>
      </c>
      <c r="U1878">
        <v>1</v>
      </c>
      <c r="W1878" t="s">
        <v>134</v>
      </c>
      <c r="X1878">
        <v>1</v>
      </c>
      <c r="Y1878" t="s">
        <v>140</v>
      </c>
      <c r="Z1878" t="s">
        <v>179</v>
      </c>
      <c r="AA1878" t="s">
        <v>143</v>
      </c>
      <c r="AB1878" t="s">
        <v>163</v>
      </c>
      <c r="AC1878" t="s">
        <v>173</v>
      </c>
      <c r="AD1878" t="s">
        <v>155</v>
      </c>
      <c r="AE1878" t="s">
        <v>484</v>
      </c>
      <c r="AF1878" t="s">
        <v>21</v>
      </c>
    </row>
    <row r="1879" spans="1:32">
      <c r="A1879" t="s">
        <v>2868</v>
      </c>
      <c r="B1879" s="37">
        <v>40022</v>
      </c>
      <c r="C1879" s="38">
        <v>40022</v>
      </c>
      <c r="D1879" s="38">
        <v>40021</v>
      </c>
      <c r="E1879" s="38">
        <v>39995</v>
      </c>
      <c r="F1879" s="39">
        <v>117</v>
      </c>
      <c r="G1879" t="s">
        <v>21</v>
      </c>
      <c r="H1879" t="s">
        <v>21</v>
      </c>
      <c r="I1879">
        <v>0</v>
      </c>
      <c r="J1879">
        <v>0</v>
      </c>
      <c r="K1879">
        <v>0</v>
      </c>
      <c r="L1879">
        <v>1</v>
      </c>
      <c r="M1879">
        <v>0</v>
      </c>
      <c r="N1879" t="s">
        <v>196</v>
      </c>
      <c r="O1879" t="s">
        <v>213</v>
      </c>
      <c r="P1879" t="s">
        <v>207</v>
      </c>
      <c r="Q1879" t="s">
        <v>170</v>
      </c>
      <c r="R1879" t="s">
        <v>155</v>
      </c>
      <c r="S1879">
        <v>1</v>
      </c>
      <c r="T1879" t="s">
        <v>136</v>
      </c>
      <c r="U1879">
        <v>0</v>
      </c>
      <c r="V1879">
        <v>4</v>
      </c>
      <c r="W1879" t="s">
        <v>137</v>
      </c>
      <c r="X1879">
        <v>0</v>
      </c>
      <c r="Y1879" t="s">
        <v>139</v>
      </c>
      <c r="Z1879" t="s">
        <v>182</v>
      </c>
      <c r="AA1879" t="s">
        <v>149</v>
      </c>
      <c r="AB1879" t="s">
        <v>162</v>
      </c>
      <c r="AC1879" t="s">
        <v>459</v>
      </c>
      <c r="AD1879" t="s">
        <v>125</v>
      </c>
      <c r="AE1879" t="s">
        <v>628</v>
      </c>
      <c r="AF1879" t="s">
        <v>629</v>
      </c>
    </row>
    <row r="1880" spans="1:32">
      <c r="A1880" t="s">
        <v>2869</v>
      </c>
      <c r="B1880" s="37">
        <v>40017</v>
      </c>
      <c r="C1880" s="38">
        <v>40017</v>
      </c>
      <c r="D1880" s="38">
        <v>40014</v>
      </c>
      <c r="E1880" s="38">
        <v>39995</v>
      </c>
      <c r="F1880" s="39">
        <v>112</v>
      </c>
      <c r="G1880" t="s">
        <v>21</v>
      </c>
      <c r="H1880" t="s">
        <v>21</v>
      </c>
      <c r="I1880">
        <v>0</v>
      </c>
      <c r="J1880">
        <v>0</v>
      </c>
      <c r="K1880">
        <v>0</v>
      </c>
      <c r="L1880">
        <v>1</v>
      </c>
      <c r="M1880">
        <v>0</v>
      </c>
      <c r="N1880" t="s">
        <v>193</v>
      </c>
      <c r="O1880" t="s">
        <v>213</v>
      </c>
      <c r="P1880" t="s">
        <v>204</v>
      </c>
      <c r="Q1880" t="s">
        <v>170</v>
      </c>
      <c r="R1880" t="s">
        <v>155</v>
      </c>
      <c r="S1880">
        <v>5</v>
      </c>
      <c r="T1880" t="s">
        <v>135</v>
      </c>
      <c r="U1880">
        <v>0</v>
      </c>
      <c r="V1880">
        <v>5</v>
      </c>
      <c r="W1880" t="s">
        <v>135</v>
      </c>
      <c r="X1880">
        <v>0</v>
      </c>
      <c r="Y1880" t="s">
        <v>140</v>
      </c>
      <c r="Z1880" t="s">
        <v>178</v>
      </c>
      <c r="AA1880" t="s">
        <v>148</v>
      </c>
      <c r="AB1880" t="s">
        <v>162</v>
      </c>
      <c r="AC1880" t="s">
        <v>176</v>
      </c>
      <c r="AD1880" t="s">
        <v>155</v>
      </c>
      <c r="AE1880" t="s">
        <v>129</v>
      </c>
      <c r="AF1880" t="s">
        <v>21</v>
      </c>
    </row>
    <row r="1881" spans="1:32">
      <c r="A1881" t="s">
        <v>2870</v>
      </c>
      <c r="B1881" s="37">
        <v>39964</v>
      </c>
      <c r="C1881" s="38">
        <v>39964</v>
      </c>
      <c r="D1881" s="38">
        <v>39958</v>
      </c>
      <c r="E1881" s="38">
        <v>39934</v>
      </c>
      <c r="F1881" s="39">
        <v>59</v>
      </c>
      <c r="G1881" t="s">
        <v>21</v>
      </c>
      <c r="H1881" t="s">
        <v>21</v>
      </c>
      <c r="I1881">
        <v>0</v>
      </c>
      <c r="J1881">
        <v>0</v>
      </c>
      <c r="K1881">
        <v>0</v>
      </c>
      <c r="L1881">
        <v>1</v>
      </c>
      <c r="M1881">
        <v>0</v>
      </c>
      <c r="N1881" t="s">
        <v>193</v>
      </c>
      <c r="O1881" t="s">
        <v>213</v>
      </c>
      <c r="P1881" t="s">
        <v>204</v>
      </c>
      <c r="Q1881" t="s">
        <v>170</v>
      </c>
      <c r="R1881" t="s">
        <v>155</v>
      </c>
      <c r="T1881" t="s">
        <v>134</v>
      </c>
      <c r="U1881">
        <v>1</v>
      </c>
      <c r="W1881" t="s">
        <v>134</v>
      </c>
      <c r="X1881">
        <v>1</v>
      </c>
      <c r="Y1881" t="s">
        <v>140</v>
      </c>
      <c r="Z1881" t="s">
        <v>180</v>
      </c>
      <c r="AA1881" t="s">
        <v>150</v>
      </c>
      <c r="AB1881" t="s">
        <v>163</v>
      </c>
      <c r="AC1881" t="s">
        <v>173</v>
      </c>
      <c r="AD1881" t="s">
        <v>155</v>
      </c>
      <c r="AE1881" t="s">
        <v>124</v>
      </c>
      <c r="AF1881" t="s">
        <v>21</v>
      </c>
    </row>
    <row r="1882" spans="1:32">
      <c r="A1882" t="s">
        <v>2871</v>
      </c>
      <c r="B1882" s="37">
        <v>39924</v>
      </c>
      <c r="C1882" s="38">
        <v>39924</v>
      </c>
      <c r="D1882" s="38">
        <v>39923</v>
      </c>
      <c r="E1882" s="38">
        <v>39904</v>
      </c>
      <c r="F1882" s="39">
        <v>19</v>
      </c>
      <c r="G1882" t="s">
        <v>21</v>
      </c>
      <c r="H1882" t="s">
        <v>21</v>
      </c>
      <c r="I1882">
        <v>0</v>
      </c>
      <c r="J1882">
        <v>0</v>
      </c>
      <c r="K1882">
        <v>0</v>
      </c>
      <c r="L1882">
        <v>1</v>
      </c>
      <c r="M1882">
        <v>0</v>
      </c>
      <c r="N1882" t="s">
        <v>202</v>
      </c>
      <c r="O1882" t="s">
        <v>213</v>
      </c>
      <c r="P1882" t="s">
        <v>211</v>
      </c>
      <c r="Q1882" t="s">
        <v>170</v>
      </c>
      <c r="R1882" t="s">
        <v>155</v>
      </c>
      <c r="T1882" t="s">
        <v>134</v>
      </c>
      <c r="U1882">
        <v>1</v>
      </c>
      <c r="W1882" t="s">
        <v>134</v>
      </c>
      <c r="X1882">
        <v>1</v>
      </c>
      <c r="Y1882" t="s">
        <v>139</v>
      </c>
      <c r="Z1882" t="s">
        <v>534</v>
      </c>
      <c r="AA1882" t="s">
        <v>145</v>
      </c>
      <c r="AB1882" t="s">
        <v>162</v>
      </c>
      <c r="AC1882" t="s">
        <v>175</v>
      </c>
      <c r="AD1882" t="s">
        <v>155</v>
      </c>
      <c r="AE1882" t="s">
        <v>129</v>
      </c>
      <c r="AF1882" t="s">
        <v>21</v>
      </c>
    </row>
    <row r="1883" spans="1:32">
      <c r="A1883" t="s">
        <v>2872</v>
      </c>
      <c r="B1883" s="37">
        <v>40058</v>
      </c>
      <c r="C1883" s="38">
        <v>40058</v>
      </c>
      <c r="D1883" s="38">
        <v>40056</v>
      </c>
      <c r="E1883" s="38">
        <v>40057</v>
      </c>
      <c r="F1883" s="39">
        <v>153</v>
      </c>
      <c r="G1883" t="s">
        <v>21</v>
      </c>
      <c r="H1883" t="s">
        <v>21</v>
      </c>
      <c r="I1883">
        <v>0</v>
      </c>
      <c r="J1883">
        <v>0</v>
      </c>
      <c r="K1883">
        <v>0</v>
      </c>
      <c r="L1883">
        <v>1</v>
      </c>
      <c r="M1883">
        <v>0</v>
      </c>
      <c r="N1883" t="s">
        <v>544</v>
      </c>
      <c r="O1883" t="s">
        <v>213</v>
      </c>
      <c r="P1883" t="s">
        <v>545</v>
      </c>
      <c r="Q1883" t="s">
        <v>170</v>
      </c>
      <c r="R1883" t="s">
        <v>155</v>
      </c>
      <c r="S1883">
        <v>1</v>
      </c>
      <c r="T1883" t="s">
        <v>136</v>
      </c>
      <c r="U1883">
        <v>0</v>
      </c>
      <c r="V1883">
        <v>4</v>
      </c>
      <c r="W1883" t="s">
        <v>137</v>
      </c>
      <c r="X1883">
        <v>0</v>
      </c>
      <c r="Y1883" t="s">
        <v>139</v>
      </c>
      <c r="Z1883" t="s">
        <v>534</v>
      </c>
      <c r="AA1883" t="s">
        <v>143</v>
      </c>
      <c r="AB1883" t="s">
        <v>162</v>
      </c>
      <c r="AC1883" t="s">
        <v>2873</v>
      </c>
      <c r="AD1883" t="s">
        <v>156</v>
      </c>
      <c r="AE1883" t="s">
        <v>120</v>
      </c>
      <c r="AF1883" t="s">
        <v>2874</v>
      </c>
    </row>
    <row r="1884" spans="1:32">
      <c r="A1884" t="s">
        <v>2875</v>
      </c>
      <c r="B1884" s="37">
        <v>40038</v>
      </c>
      <c r="C1884" s="38">
        <v>40038</v>
      </c>
      <c r="D1884" s="38">
        <v>40035</v>
      </c>
      <c r="E1884" s="38">
        <v>40026</v>
      </c>
      <c r="F1884" s="39">
        <v>133</v>
      </c>
      <c r="G1884" t="s">
        <v>21</v>
      </c>
      <c r="H1884" t="s">
        <v>21</v>
      </c>
      <c r="I1884">
        <v>0</v>
      </c>
      <c r="J1884">
        <v>0</v>
      </c>
      <c r="K1884">
        <v>0</v>
      </c>
      <c r="L1884">
        <v>1</v>
      </c>
      <c r="M1884">
        <v>0</v>
      </c>
      <c r="N1884" t="s">
        <v>195</v>
      </c>
      <c r="O1884" t="s">
        <v>213</v>
      </c>
      <c r="P1884" t="s">
        <v>206</v>
      </c>
      <c r="Q1884" t="s">
        <v>170</v>
      </c>
      <c r="R1884" t="s">
        <v>155</v>
      </c>
      <c r="S1884">
        <v>5</v>
      </c>
      <c r="T1884" t="s">
        <v>135</v>
      </c>
      <c r="U1884">
        <v>0</v>
      </c>
      <c r="V1884">
        <v>5</v>
      </c>
      <c r="W1884" t="s">
        <v>135</v>
      </c>
      <c r="X1884">
        <v>0</v>
      </c>
      <c r="Y1884" t="s">
        <v>139</v>
      </c>
      <c r="Z1884" t="s">
        <v>180</v>
      </c>
      <c r="AA1884" t="s">
        <v>146</v>
      </c>
      <c r="AB1884" t="s">
        <v>162</v>
      </c>
      <c r="AC1884" t="s">
        <v>174</v>
      </c>
      <c r="AD1884" t="s">
        <v>156</v>
      </c>
      <c r="AE1884" t="s">
        <v>120</v>
      </c>
      <c r="AF1884" t="s">
        <v>715</v>
      </c>
    </row>
    <row r="1885" spans="1:32">
      <c r="A1885" t="s">
        <v>2876</v>
      </c>
      <c r="B1885" s="37">
        <v>39922</v>
      </c>
      <c r="C1885" s="38">
        <v>39922</v>
      </c>
      <c r="D1885" s="38">
        <v>39916</v>
      </c>
      <c r="E1885" s="38">
        <v>39904</v>
      </c>
      <c r="F1885" s="39">
        <v>17</v>
      </c>
      <c r="G1885" t="s">
        <v>21</v>
      </c>
      <c r="H1885" t="s">
        <v>21</v>
      </c>
      <c r="I1885">
        <v>0</v>
      </c>
      <c r="J1885">
        <v>0</v>
      </c>
      <c r="K1885">
        <v>0</v>
      </c>
      <c r="L1885">
        <v>1</v>
      </c>
      <c r="M1885">
        <v>0</v>
      </c>
      <c r="N1885" t="s">
        <v>193</v>
      </c>
      <c r="O1885" t="s">
        <v>213</v>
      </c>
      <c r="P1885" t="s">
        <v>204</v>
      </c>
      <c r="Q1885" t="s">
        <v>170</v>
      </c>
      <c r="R1885" t="s">
        <v>155</v>
      </c>
      <c r="T1885" t="s">
        <v>134</v>
      </c>
      <c r="U1885">
        <v>1</v>
      </c>
      <c r="W1885" t="s">
        <v>134</v>
      </c>
      <c r="X1885">
        <v>1</v>
      </c>
      <c r="Y1885" t="s">
        <v>140</v>
      </c>
      <c r="Z1885" t="s">
        <v>183</v>
      </c>
      <c r="AA1885" t="s">
        <v>145</v>
      </c>
      <c r="AB1885" t="s">
        <v>163</v>
      </c>
      <c r="AC1885" t="s">
        <v>173</v>
      </c>
      <c r="AD1885" t="s">
        <v>155</v>
      </c>
      <c r="AE1885" t="s">
        <v>124</v>
      </c>
      <c r="AF1885" t="s">
        <v>21</v>
      </c>
    </row>
    <row r="1886" spans="1:32">
      <c r="A1886" t="s">
        <v>2877</v>
      </c>
      <c r="B1886" s="37">
        <v>39954</v>
      </c>
      <c r="C1886" s="38">
        <v>39954</v>
      </c>
      <c r="D1886" s="38">
        <v>39951</v>
      </c>
      <c r="E1886" s="38">
        <v>39934</v>
      </c>
      <c r="F1886" s="39">
        <v>49</v>
      </c>
      <c r="G1886" t="s">
        <v>21</v>
      </c>
      <c r="H1886" t="s">
        <v>21</v>
      </c>
      <c r="I1886">
        <v>0</v>
      </c>
      <c r="J1886">
        <v>0</v>
      </c>
      <c r="K1886">
        <v>0</v>
      </c>
      <c r="L1886">
        <v>1</v>
      </c>
      <c r="M1886">
        <v>0</v>
      </c>
      <c r="N1886" t="s">
        <v>193</v>
      </c>
      <c r="O1886" t="s">
        <v>213</v>
      </c>
      <c r="P1886" t="s">
        <v>204</v>
      </c>
      <c r="Q1886" t="s">
        <v>170</v>
      </c>
      <c r="R1886" t="s">
        <v>155</v>
      </c>
      <c r="T1886" t="s">
        <v>134</v>
      </c>
      <c r="U1886">
        <v>1</v>
      </c>
      <c r="W1886" t="s">
        <v>134</v>
      </c>
      <c r="X1886">
        <v>1</v>
      </c>
      <c r="Y1886" t="s">
        <v>140</v>
      </c>
      <c r="Z1886" t="s">
        <v>182</v>
      </c>
      <c r="AA1886" t="s">
        <v>147</v>
      </c>
      <c r="AB1886" t="s">
        <v>162</v>
      </c>
      <c r="AC1886" t="s">
        <v>459</v>
      </c>
      <c r="AD1886" t="s">
        <v>155</v>
      </c>
      <c r="AE1886" t="s">
        <v>130</v>
      </c>
      <c r="AF1886" t="s">
        <v>21</v>
      </c>
    </row>
    <row r="1887" spans="1:32">
      <c r="A1887" t="s">
        <v>2878</v>
      </c>
      <c r="B1887" s="37">
        <v>39976</v>
      </c>
      <c r="C1887" s="38">
        <v>39976</v>
      </c>
      <c r="D1887" s="38">
        <v>39972</v>
      </c>
      <c r="E1887" s="38">
        <v>39965</v>
      </c>
      <c r="F1887" s="39">
        <v>71</v>
      </c>
      <c r="G1887" t="s">
        <v>21</v>
      </c>
      <c r="H1887" t="s">
        <v>21</v>
      </c>
      <c r="I1887">
        <v>0</v>
      </c>
      <c r="J1887">
        <v>0</v>
      </c>
      <c r="K1887">
        <v>0</v>
      </c>
      <c r="L1887">
        <v>1</v>
      </c>
      <c r="M1887">
        <v>0</v>
      </c>
      <c r="N1887" t="s">
        <v>195</v>
      </c>
      <c r="O1887" t="s">
        <v>213</v>
      </c>
      <c r="P1887" t="s">
        <v>206</v>
      </c>
      <c r="Q1887" t="s">
        <v>170</v>
      </c>
      <c r="R1887" t="s">
        <v>155</v>
      </c>
      <c r="T1887" t="s">
        <v>134</v>
      </c>
      <c r="U1887">
        <v>1</v>
      </c>
      <c r="W1887" t="s">
        <v>134</v>
      </c>
      <c r="X1887">
        <v>1</v>
      </c>
      <c r="Y1887" t="s">
        <v>139</v>
      </c>
      <c r="Z1887" t="s">
        <v>182</v>
      </c>
      <c r="AA1887" t="s">
        <v>144</v>
      </c>
      <c r="AB1887" t="s">
        <v>163</v>
      </c>
      <c r="AC1887" t="s">
        <v>173</v>
      </c>
      <c r="AD1887" t="s">
        <v>155</v>
      </c>
      <c r="AE1887" t="s">
        <v>124</v>
      </c>
      <c r="AF1887" t="s">
        <v>21</v>
      </c>
    </row>
    <row r="1888" spans="1:32">
      <c r="A1888" t="s">
        <v>2879</v>
      </c>
      <c r="B1888" s="37">
        <v>39914</v>
      </c>
      <c r="C1888" s="38">
        <v>39914</v>
      </c>
      <c r="D1888" s="38">
        <v>39909</v>
      </c>
      <c r="E1888" s="38">
        <v>39904</v>
      </c>
      <c r="F1888" s="39">
        <v>9</v>
      </c>
      <c r="G1888" t="s">
        <v>21</v>
      </c>
      <c r="H1888" t="s">
        <v>21</v>
      </c>
      <c r="I1888">
        <v>0</v>
      </c>
      <c r="J1888">
        <v>0</v>
      </c>
      <c r="K1888">
        <v>0</v>
      </c>
      <c r="L1888">
        <v>1</v>
      </c>
      <c r="M1888">
        <v>0</v>
      </c>
      <c r="N1888" t="s">
        <v>198</v>
      </c>
      <c r="O1888" t="s">
        <v>213</v>
      </c>
      <c r="P1888" t="s">
        <v>208</v>
      </c>
      <c r="Q1888" t="s">
        <v>170</v>
      </c>
      <c r="R1888" t="s">
        <v>155</v>
      </c>
      <c r="T1888" t="s">
        <v>134</v>
      </c>
      <c r="U1888">
        <v>1</v>
      </c>
      <c r="W1888" t="s">
        <v>134</v>
      </c>
      <c r="X1888">
        <v>1</v>
      </c>
      <c r="Y1888" t="s">
        <v>139</v>
      </c>
      <c r="Z1888" t="s">
        <v>433</v>
      </c>
      <c r="AA1888" t="s">
        <v>143</v>
      </c>
      <c r="AB1888" t="s">
        <v>163</v>
      </c>
      <c r="AC1888" t="s">
        <v>173</v>
      </c>
      <c r="AD1888" t="s">
        <v>155</v>
      </c>
      <c r="AE1888" t="s">
        <v>125</v>
      </c>
      <c r="AF1888" t="s">
        <v>21</v>
      </c>
    </row>
    <row r="1889" spans="1:32">
      <c r="A1889" t="s">
        <v>2880</v>
      </c>
      <c r="B1889" s="37">
        <v>39968</v>
      </c>
      <c r="C1889" s="38">
        <v>39968</v>
      </c>
      <c r="D1889" s="38">
        <v>39965</v>
      </c>
      <c r="E1889" s="38">
        <v>39965</v>
      </c>
      <c r="F1889" s="39">
        <v>63</v>
      </c>
      <c r="G1889" t="s">
        <v>21</v>
      </c>
      <c r="H1889" t="s">
        <v>21</v>
      </c>
      <c r="I1889">
        <v>0</v>
      </c>
      <c r="J1889">
        <v>0</v>
      </c>
      <c r="K1889">
        <v>0</v>
      </c>
      <c r="L1889">
        <v>1</v>
      </c>
      <c r="M1889">
        <v>0</v>
      </c>
      <c r="N1889" t="s">
        <v>194</v>
      </c>
      <c r="O1889" t="s">
        <v>213</v>
      </c>
      <c r="P1889" t="s">
        <v>205</v>
      </c>
      <c r="Q1889" t="s">
        <v>170</v>
      </c>
      <c r="R1889" t="s">
        <v>155</v>
      </c>
      <c r="T1889" t="s">
        <v>134</v>
      </c>
      <c r="U1889">
        <v>1</v>
      </c>
      <c r="W1889" t="s">
        <v>134</v>
      </c>
      <c r="X1889">
        <v>1</v>
      </c>
      <c r="Y1889" t="s">
        <v>139</v>
      </c>
      <c r="Z1889" t="s">
        <v>433</v>
      </c>
      <c r="AA1889" t="s">
        <v>146</v>
      </c>
      <c r="AB1889" t="s">
        <v>162</v>
      </c>
      <c r="AC1889" t="s">
        <v>174</v>
      </c>
      <c r="AD1889" t="s">
        <v>159</v>
      </c>
      <c r="AE1889" t="s">
        <v>123</v>
      </c>
      <c r="AF1889" t="s">
        <v>123</v>
      </c>
    </row>
    <row r="1890" spans="1:32">
      <c r="A1890" t="s">
        <v>2881</v>
      </c>
      <c r="B1890" s="37">
        <v>40067</v>
      </c>
      <c r="C1890" s="38">
        <v>40067</v>
      </c>
      <c r="D1890" s="38">
        <v>40063</v>
      </c>
      <c r="E1890" s="38">
        <v>40057</v>
      </c>
      <c r="F1890" s="39">
        <v>162</v>
      </c>
      <c r="G1890" t="s">
        <v>21</v>
      </c>
      <c r="H1890" t="s">
        <v>21</v>
      </c>
      <c r="I1890">
        <v>0</v>
      </c>
      <c r="J1890">
        <v>0</v>
      </c>
      <c r="K1890">
        <v>0</v>
      </c>
      <c r="L1890">
        <v>1</v>
      </c>
      <c r="M1890">
        <v>0</v>
      </c>
      <c r="N1890" t="s">
        <v>196</v>
      </c>
      <c r="O1890" t="s">
        <v>213</v>
      </c>
      <c r="P1890" t="s">
        <v>207</v>
      </c>
      <c r="Q1890" t="s">
        <v>170</v>
      </c>
      <c r="R1890" t="s">
        <v>155</v>
      </c>
      <c r="S1890">
        <v>1</v>
      </c>
      <c r="T1890" t="s">
        <v>136</v>
      </c>
      <c r="U1890">
        <v>0</v>
      </c>
      <c r="V1890">
        <v>5</v>
      </c>
      <c r="W1890" t="s">
        <v>135</v>
      </c>
      <c r="X1890">
        <v>0</v>
      </c>
      <c r="Y1890" t="s">
        <v>139</v>
      </c>
      <c r="Z1890" t="s">
        <v>433</v>
      </c>
      <c r="AA1890" t="s">
        <v>146</v>
      </c>
      <c r="AB1890" t="s">
        <v>165</v>
      </c>
      <c r="AC1890" t="s">
        <v>589</v>
      </c>
      <c r="AD1890" t="s">
        <v>158</v>
      </c>
      <c r="AE1890" t="s">
        <v>122</v>
      </c>
      <c r="AF1890" t="s">
        <v>21</v>
      </c>
    </row>
    <row r="1891" spans="1:32">
      <c r="A1891" t="s">
        <v>2882</v>
      </c>
      <c r="B1891" s="37">
        <v>40057</v>
      </c>
      <c r="C1891" s="38">
        <v>40057</v>
      </c>
      <c r="D1891" s="38">
        <v>40056</v>
      </c>
      <c r="E1891" s="38">
        <v>40057</v>
      </c>
      <c r="F1891" s="39">
        <v>152</v>
      </c>
      <c r="G1891" t="s">
        <v>21</v>
      </c>
      <c r="H1891" t="s">
        <v>21</v>
      </c>
      <c r="I1891">
        <v>0</v>
      </c>
      <c r="J1891">
        <v>0</v>
      </c>
      <c r="K1891">
        <v>0</v>
      </c>
      <c r="L1891">
        <v>1</v>
      </c>
      <c r="M1891">
        <v>0</v>
      </c>
      <c r="N1891" t="s">
        <v>195</v>
      </c>
      <c r="O1891" t="s">
        <v>213</v>
      </c>
      <c r="P1891" t="s">
        <v>206</v>
      </c>
      <c r="Q1891" t="s">
        <v>170</v>
      </c>
      <c r="R1891" t="s">
        <v>155</v>
      </c>
      <c r="S1891">
        <v>5</v>
      </c>
      <c r="T1891" t="s">
        <v>135</v>
      </c>
      <c r="U1891">
        <v>0</v>
      </c>
      <c r="V1891">
        <v>2</v>
      </c>
      <c r="W1891" t="s">
        <v>136</v>
      </c>
      <c r="X1891">
        <v>0</v>
      </c>
      <c r="Y1891" t="s">
        <v>139</v>
      </c>
      <c r="Z1891" t="s">
        <v>433</v>
      </c>
      <c r="AA1891" t="s">
        <v>144</v>
      </c>
      <c r="AB1891" t="s">
        <v>162</v>
      </c>
      <c r="AC1891" t="s">
        <v>174</v>
      </c>
      <c r="AD1891" t="s">
        <v>157</v>
      </c>
      <c r="AE1891" t="s">
        <v>127</v>
      </c>
      <c r="AF1891" t="s">
        <v>153</v>
      </c>
    </row>
    <row r="1892" spans="1:32">
      <c r="A1892" t="s">
        <v>2883</v>
      </c>
      <c r="B1892" s="37">
        <v>40047</v>
      </c>
      <c r="C1892" s="38">
        <v>40047</v>
      </c>
      <c r="D1892" s="38">
        <v>40042</v>
      </c>
      <c r="E1892" s="38">
        <v>40026</v>
      </c>
      <c r="F1892" s="39">
        <v>142</v>
      </c>
      <c r="G1892" t="s">
        <v>21</v>
      </c>
      <c r="H1892" t="s">
        <v>21</v>
      </c>
      <c r="I1892">
        <v>0</v>
      </c>
      <c r="J1892">
        <v>0</v>
      </c>
      <c r="K1892">
        <v>0</v>
      </c>
      <c r="L1892">
        <v>1</v>
      </c>
      <c r="M1892">
        <v>0</v>
      </c>
      <c r="N1892" t="s">
        <v>195</v>
      </c>
      <c r="O1892" t="s">
        <v>213</v>
      </c>
      <c r="P1892" t="s">
        <v>206</v>
      </c>
      <c r="Q1892" t="s">
        <v>170</v>
      </c>
      <c r="R1892" t="s">
        <v>155</v>
      </c>
      <c r="S1892">
        <v>5</v>
      </c>
      <c r="T1892" t="s">
        <v>135</v>
      </c>
      <c r="U1892">
        <v>0</v>
      </c>
      <c r="V1892">
        <v>5</v>
      </c>
      <c r="W1892" t="s">
        <v>135</v>
      </c>
      <c r="X1892">
        <v>0</v>
      </c>
      <c r="Y1892" t="s">
        <v>139</v>
      </c>
      <c r="Z1892" t="s">
        <v>433</v>
      </c>
      <c r="AA1892" t="s">
        <v>149</v>
      </c>
      <c r="AB1892" t="s">
        <v>162</v>
      </c>
      <c r="AC1892" t="s">
        <v>174</v>
      </c>
      <c r="AD1892" t="s">
        <v>157</v>
      </c>
      <c r="AE1892" t="s">
        <v>1302</v>
      </c>
      <c r="AF1892" t="s">
        <v>2884</v>
      </c>
    </row>
    <row r="1893" spans="1:32">
      <c r="A1893" t="s">
        <v>2885</v>
      </c>
      <c r="B1893" s="37">
        <v>40084</v>
      </c>
      <c r="C1893" s="38">
        <v>40084</v>
      </c>
      <c r="D1893" s="38">
        <v>40084</v>
      </c>
      <c r="E1893" s="38">
        <v>40057</v>
      </c>
      <c r="F1893" s="39">
        <v>179</v>
      </c>
      <c r="G1893" t="s">
        <v>21</v>
      </c>
      <c r="H1893" t="s">
        <v>21</v>
      </c>
      <c r="I1893">
        <v>0</v>
      </c>
      <c r="J1893">
        <v>0</v>
      </c>
      <c r="K1893">
        <v>0</v>
      </c>
      <c r="L1893">
        <v>1</v>
      </c>
      <c r="M1893">
        <v>0</v>
      </c>
      <c r="N1893" t="s">
        <v>195</v>
      </c>
      <c r="O1893" t="s">
        <v>213</v>
      </c>
      <c r="P1893" t="s">
        <v>206</v>
      </c>
      <c r="Q1893" t="s">
        <v>170</v>
      </c>
      <c r="R1893" t="s">
        <v>155</v>
      </c>
      <c r="S1893">
        <v>4</v>
      </c>
      <c r="T1893" t="s">
        <v>137</v>
      </c>
      <c r="U1893">
        <v>0</v>
      </c>
      <c r="V1893">
        <v>3</v>
      </c>
      <c r="W1893" t="s">
        <v>137</v>
      </c>
      <c r="X1893">
        <v>0</v>
      </c>
      <c r="Y1893" t="s">
        <v>139</v>
      </c>
      <c r="Z1893" t="s">
        <v>191</v>
      </c>
      <c r="AA1893" t="s">
        <v>144</v>
      </c>
      <c r="AB1893" t="s">
        <v>163</v>
      </c>
      <c r="AC1893" t="s">
        <v>173</v>
      </c>
      <c r="AD1893" t="s">
        <v>155</v>
      </c>
      <c r="AE1893" t="s">
        <v>128</v>
      </c>
      <c r="AF1893" t="s">
        <v>21</v>
      </c>
    </row>
    <row r="1894" spans="1:32">
      <c r="A1894" t="s">
        <v>2886</v>
      </c>
      <c r="B1894" s="37">
        <v>40077</v>
      </c>
      <c r="C1894" s="38">
        <v>40077</v>
      </c>
      <c r="D1894" s="38">
        <v>40077</v>
      </c>
      <c r="E1894" s="38">
        <v>40057</v>
      </c>
      <c r="F1894" s="39">
        <v>172</v>
      </c>
      <c r="G1894" t="s">
        <v>21</v>
      </c>
      <c r="H1894" t="s">
        <v>21</v>
      </c>
      <c r="I1894">
        <v>0</v>
      </c>
      <c r="J1894">
        <v>0</v>
      </c>
      <c r="K1894">
        <v>0</v>
      </c>
      <c r="L1894">
        <v>1</v>
      </c>
      <c r="M1894">
        <v>0</v>
      </c>
      <c r="N1894" t="s">
        <v>193</v>
      </c>
      <c r="O1894" t="s">
        <v>213</v>
      </c>
      <c r="P1894" t="s">
        <v>204</v>
      </c>
      <c r="Q1894" t="s">
        <v>170</v>
      </c>
      <c r="R1894" t="s">
        <v>155</v>
      </c>
      <c r="S1894">
        <v>5</v>
      </c>
      <c r="T1894" t="s">
        <v>135</v>
      </c>
      <c r="U1894">
        <v>0</v>
      </c>
      <c r="V1894">
        <v>5</v>
      </c>
      <c r="W1894" t="s">
        <v>135</v>
      </c>
      <c r="X1894">
        <v>0</v>
      </c>
      <c r="Y1894" t="s">
        <v>140</v>
      </c>
      <c r="Z1894" t="s">
        <v>179</v>
      </c>
      <c r="AA1894" t="s">
        <v>145</v>
      </c>
      <c r="AB1894" t="s">
        <v>165</v>
      </c>
      <c r="AC1894" t="s">
        <v>1468</v>
      </c>
      <c r="AD1894" t="s">
        <v>158</v>
      </c>
      <c r="AE1894" t="s">
        <v>123</v>
      </c>
      <c r="AF1894" t="s">
        <v>21</v>
      </c>
    </row>
    <row r="1895" spans="1:32">
      <c r="A1895" t="s">
        <v>2887</v>
      </c>
      <c r="B1895" s="37">
        <v>39925</v>
      </c>
      <c r="C1895" s="38">
        <v>39925</v>
      </c>
      <c r="D1895" s="38">
        <v>39923</v>
      </c>
      <c r="E1895" s="38">
        <v>39904</v>
      </c>
      <c r="F1895" s="39">
        <v>20</v>
      </c>
      <c r="G1895" t="s">
        <v>9</v>
      </c>
      <c r="H1895" t="s">
        <v>9</v>
      </c>
      <c r="I1895">
        <v>1</v>
      </c>
      <c r="J1895">
        <v>0</v>
      </c>
      <c r="K1895">
        <v>0</v>
      </c>
      <c r="L1895">
        <v>0</v>
      </c>
      <c r="M1895">
        <v>1</v>
      </c>
      <c r="N1895" t="s">
        <v>194</v>
      </c>
      <c r="O1895" t="s">
        <v>213</v>
      </c>
      <c r="P1895" t="s">
        <v>205</v>
      </c>
      <c r="Q1895" t="s">
        <v>170</v>
      </c>
      <c r="R1895" t="s">
        <v>155</v>
      </c>
      <c r="T1895" t="s">
        <v>134</v>
      </c>
      <c r="U1895">
        <v>1</v>
      </c>
      <c r="W1895" t="s">
        <v>134</v>
      </c>
      <c r="X1895">
        <v>1</v>
      </c>
      <c r="Y1895" t="s">
        <v>139</v>
      </c>
      <c r="Z1895" t="s">
        <v>433</v>
      </c>
      <c r="AA1895" t="s">
        <v>142</v>
      </c>
      <c r="AB1895" t="s">
        <v>162</v>
      </c>
      <c r="AC1895" t="s">
        <v>176</v>
      </c>
      <c r="AD1895" t="s">
        <v>159</v>
      </c>
      <c r="AE1895" t="s">
        <v>126</v>
      </c>
      <c r="AF1895" t="s">
        <v>601</v>
      </c>
    </row>
    <row r="1896" spans="1:32">
      <c r="A1896" t="s">
        <v>2888</v>
      </c>
      <c r="B1896" s="37">
        <v>40022</v>
      </c>
      <c r="C1896" s="38">
        <v>40022</v>
      </c>
      <c r="D1896" s="38">
        <v>40021</v>
      </c>
      <c r="E1896" s="38">
        <v>39995</v>
      </c>
      <c r="F1896" s="39">
        <v>117</v>
      </c>
      <c r="G1896" t="s">
        <v>21</v>
      </c>
      <c r="H1896" t="s">
        <v>21</v>
      </c>
      <c r="I1896">
        <v>0</v>
      </c>
      <c r="J1896">
        <v>0</v>
      </c>
      <c r="K1896">
        <v>0</v>
      </c>
      <c r="L1896">
        <v>1</v>
      </c>
      <c r="M1896">
        <v>0</v>
      </c>
      <c r="N1896" t="s">
        <v>193</v>
      </c>
      <c r="O1896" t="s">
        <v>213</v>
      </c>
      <c r="P1896" t="s">
        <v>204</v>
      </c>
      <c r="Q1896" t="s">
        <v>170</v>
      </c>
      <c r="R1896" t="s">
        <v>155</v>
      </c>
      <c r="S1896">
        <v>5</v>
      </c>
      <c r="T1896" t="s">
        <v>135</v>
      </c>
      <c r="U1896">
        <v>0</v>
      </c>
      <c r="V1896">
        <v>5</v>
      </c>
      <c r="W1896" t="s">
        <v>135</v>
      </c>
      <c r="X1896">
        <v>0</v>
      </c>
      <c r="Y1896" t="s">
        <v>140</v>
      </c>
      <c r="Z1896" t="s">
        <v>191</v>
      </c>
      <c r="AA1896" t="s">
        <v>144</v>
      </c>
      <c r="AB1896" t="s">
        <v>162</v>
      </c>
      <c r="AC1896" t="s">
        <v>1624</v>
      </c>
      <c r="AD1896" t="s">
        <v>155</v>
      </c>
      <c r="AE1896" t="s">
        <v>129</v>
      </c>
      <c r="AF1896" t="s">
        <v>21</v>
      </c>
    </row>
    <row r="1897" spans="1:32">
      <c r="A1897" t="s">
        <v>2889</v>
      </c>
      <c r="B1897" s="37">
        <v>39979</v>
      </c>
      <c r="C1897" s="38">
        <v>39979</v>
      </c>
      <c r="D1897" s="38">
        <v>39979</v>
      </c>
      <c r="E1897" s="38">
        <v>39965</v>
      </c>
      <c r="F1897" s="39">
        <v>74</v>
      </c>
      <c r="G1897" t="s">
        <v>21</v>
      </c>
      <c r="H1897" t="s">
        <v>21</v>
      </c>
      <c r="I1897">
        <v>0</v>
      </c>
      <c r="J1897">
        <v>0</v>
      </c>
      <c r="K1897">
        <v>0</v>
      </c>
      <c r="L1897">
        <v>1</v>
      </c>
      <c r="M1897">
        <v>0</v>
      </c>
      <c r="N1897" t="s">
        <v>195</v>
      </c>
      <c r="O1897" t="s">
        <v>213</v>
      </c>
      <c r="P1897" t="s">
        <v>206</v>
      </c>
      <c r="Q1897" t="s">
        <v>170</v>
      </c>
      <c r="R1897" t="s">
        <v>155</v>
      </c>
      <c r="T1897" t="s">
        <v>134</v>
      </c>
      <c r="U1897">
        <v>1</v>
      </c>
      <c r="W1897" t="s">
        <v>134</v>
      </c>
      <c r="X1897">
        <v>1</v>
      </c>
      <c r="Y1897" t="s">
        <v>139</v>
      </c>
      <c r="Z1897" t="s">
        <v>191</v>
      </c>
      <c r="AA1897" t="s">
        <v>146</v>
      </c>
      <c r="AB1897" t="s">
        <v>162</v>
      </c>
      <c r="AC1897" t="s">
        <v>175</v>
      </c>
      <c r="AD1897" t="s">
        <v>155</v>
      </c>
      <c r="AE1897" t="s">
        <v>129</v>
      </c>
      <c r="AF1897" t="s">
        <v>21</v>
      </c>
    </row>
    <row r="1898" spans="1:32">
      <c r="A1898" t="s">
        <v>2890</v>
      </c>
      <c r="B1898" s="37">
        <v>39987</v>
      </c>
      <c r="C1898" s="38">
        <v>39987</v>
      </c>
      <c r="D1898" s="38">
        <v>39986</v>
      </c>
      <c r="E1898" s="38">
        <v>39965</v>
      </c>
      <c r="F1898" s="39">
        <v>82</v>
      </c>
      <c r="G1898" t="s">
        <v>21</v>
      </c>
      <c r="H1898" t="s">
        <v>21</v>
      </c>
      <c r="I1898">
        <v>0</v>
      </c>
      <c r="J1898">
        <v>0</v>
      </c>
      <c r="K1898">
        <v>0</v>
      </c>
      <c r="L1898">
        <v>1</v>
      </c>
      <c r="M1898">
        <v>0</v>
      </c>
      <c r="N1898" t="s">
        <v>195</v>
      </c>
      <c r="O1898" t="s">
        <v>213</v>
      </c>
      <c r="P1898" t="s">
        <v>206</v>
      </c>
      <c r="Q1898" t="s">
        <v>170</v>
      </c>
      <c r="R1898" t="s">
        <v>155</v>
      </c>
      <c r="T1898" t="s">
        <v>134</v>
      </c>
      <c r="U1898">
        <v>1</v>
      </c>
      <c r="W1898" t="s">
        <v>134</v>
      </c>
      <c r="X1898">
        <v>1</v>
      </c>
      <c r="Y1898" t="s">
        <v>139</v>
      </c>
      <c r="Z1898" t="s">
        <v>186</v>
      </c>
      <c r="AA1898" t="s">
        <v>144</v>
      </c>
      <c r="AB1898" t="s">
        <v>163</v>
      </c>
      <c r="AC1898" t="s">
        <v>173</v>
      </c>
      <c r="AD1898" t="s">
        <v>788</v>
      </c>
      <c r="AE1898" t="s">
        <v>789</v>
      </c>
      <c r="AF1898" t="s">
        <v>21</v>
      </c>
    </row>
    <row r="1899" spans="1:32">
      <c r="A1899" t="s">
        <v>2891</v>
      </c>
      <c r="B1899" s="37">
        <v>40037</v>
      </c>
      <c r="C1899" s="38">
        <v>40037</v>
      </c>
      <c r="D1899" s="38">
        <v>40035</v>
      </c>
      <c r="E1899" s="38">
        <v>40026</v>
      </c>
      <c r="F1899" s="39">
        <v>132</v>
      </c>
      <c r="G1899" t="s">
        <v>21</v>
      </c>
      <c r="H1899" t="s">
        <v>21</v>
      </c>
      <c r="I1899">
        <v>0</v>
      </c>
      <c r="J1899">
        <v>0</v>
      </c>
      <c r="K1899">
        <v>0</v>
      </c>
      <c r="L1899">
        <v>1</v>
      </c>
      <c r="M1899">
        <v>0</v>
      </c>
      <c r="N1899" t="s">
        <v>193</v>
      </c>
      <c r="O1899" t="s">
        <v>213</v>
      </c>
      <c r="P1899" t="s">
        <v>204</v>
      </c>
      <c r="Q1899" t="s">
        <v>170</v>
      </c>
      <c r="R1899" t="s">
        <v>155</v>
      </c>
      <c r="S1899">
        <v>1</v>
      </c>
      <c r="T1899" t="s">
        <v>136</v>
      </c>
      <c r="U1899">
        <v>0</v>
      </c>
      <c r="V1899">
        <v>4</v>
      </c>
      <c r="W1899" t="s">
        <v>137</v>
      </c>
      <c r="X1899">
        <v>0</v>
      </c>
      <c r="Y1899" t="s">
        <v>140</v>
      </c>
      <c r="Z1899" t="s">
        <v>191</v>
      </c>
      <c r="AA1899" t="s">
        <v>150</v>
      </c>
      <c r="AB1899" t="s">
        <v>162</v>
      </c>
      <c r="AC1899" t="s">
        <v>21</v>
      </c>
      <c r="AD1899" t="s">
        <v>125</v>
      </c>
      <c r="AE1899" t="s">
        <v>628</v>
      </c>
      <c r="AF1899" t="s">
        <v>629</v>
      </c>
    </row>
    <row r="1900" spans="1:32">
      <c r="A1900" t="s">
        <v>2892</v>
      </c>
      <c r="B1900" s="37">
        <v>40000</v>
      </c>
      <c r="C1900" s="38">
        <v>40000</v>
      </c>
      <c r="D1900" s="38">
        <v>40000</v>
      </c>
      <c r="E1900" s="38">
        <v>39995</v>
      </c>
      <c r="F1900" s="39">
        <v>95</v>
      </c>
      <c r="G1900" t="s">
        <v>21</v>
      </c>
      <c r="H1900" t="s">
        <v>21</v>
      </c>
      <c r="I1900">
        <v>0</v>
      </c>
      <c r="J1900">
        <v>0</v>
      </c>
      <c r="K1900">
        <v>0</v>
      </c>
      <c r="L1900">
        <v>1</v>
      </c>
      <c r="M1900">
        <v>0</v>
      </c>
      <c r="N1900" t="s">
        <v>196</v>
      </c>
      <c r="O1900" t="s">
        <v>213</v>
      </c>
      <c r="P1900" t="s">
        <v>207</v>
      </c>
      <c r="Q1900" t="s">
        <v>170</v>
      </c>
      <c r="R1900" t="s">
        <v>155</v>
      </c>
      <c r="T1900" t="s">
        <v>134</v>
      </c>
      <c r="U1900">
        <v>1</v>
      </c>
      <c r="V1900">
        <v>4</v>
      </c>
      <c r="W1900" t="s">
        <v>137</v>
      </c>
      <c r="X1900">
        <v>0</v>
      </c>
      <c r="Y1900" t="s">
        <v>139</v>
      </c>
      <c r="Z1900" t="s">
        <v>181</v>
      </c>
      <c r="AA1900" t="s">
        <v>143</v>
      </c>
      <c r="AB1900" t="s">
        <v>162</v>
      </c>
      <c r="AC1900" t="s">
        <v>1184</v>
      </c>
      <c r="AD1900" t="s">
        <v>156</v>
      </c>
      <c r="AE1900" t="s">
        <v>120</v>
      </c>
      <c r="AF1900" t="s">
        <v>857</v>
      </c>
    </row>
    <row r="1901" spans="1:32">
      <c r="A1901" t="s">
        <v>2893</v>
      </c>
      <c r="B1901" s="37">
        <v>40002</v>
      </c>
      <c r="C1901" s="38">
        <v>40002</v>
      </c>
      <c r="D1901" s="38">
        <v>40000</v>
      </c>
      <c r="E1901" s="38">
        <v>39995</v>
      </c>
      <c r="F1901" s="39">
        <v>97</v>
      </c>
      <c r="G1901" t="s">
        <v>21</v>
      </c>
      <c r="H1901" t="s">
        <v>21</v>
      </c>
      <c r="I1901">
        <v>0</v>
      </c>
      <c r="J1901">
        <v>0</v>
      </c>
      <c r="K1901">
        <v>0</v>
      </c>
      <c r="L1901">
        <v>1</v>
      </c>
      <c r="M1901">
        <v>0</v>
      </c>
      <c r="N1901" t="s">
        <v>193</v>
      </c>
      <c r="O1901" t="s">
        <v>213</v>
      </c>
      <c r="P1901" t="s">
        <v>204</v>
      </c>
      <c r="Q1901" t="s">
        <v>170</v>
      </c>
      <c r="R1901" t="s">
        <v>155</v>
      </c>
      <c r="T1901" t="s">
        <v>134</v>
      </c>
      <c r="U1901">
        <v>1</v>
      </c>
      <c r="V1901">
        <v>5</v>
      </c>
      <c r="W1901" t="s">
        <v>135</v>
      </c>
      <c r="X1901">
        <v>0</v>
      </c>
      <c r="Y1901" t="s">
        <v>140</v>
      </c>
      <c r="Z1901" t="s">
        <v>181</v>
      </c>
      <c r="AA1901" t="s">
        <v>149</v>
      </c>
      <c r="AB1901" t="s">
        <v>162</v>
      </c>
      <c r="AC1901" t="s">
        <v>21</v>
      </c>
      <c r="AD1901" t="s">
        <v>155</v>
      </c>
      <c r="AE1901" t="s">
        <v>130</v>
      </c>
      <c r="AF1901" t="s">
        <v>21</v>
      </c>
    </row>
    <row r="1902" spans="1:32">
      <c r="A1902" t="s">
        <v>2894</v>
      </c>
      <c r="B1902" s="37">
        <v>40033</v>
      </c>
      <c r="C1902" s="38">
        <v>40033</v>
      </c>
      <c r="D1902" s="38">
        <v>40028</v>
      </c>
      <c r="E1902" s="38">
        <v>40026</v>
      </c>
      <c r="F1902" s="39">
        <v>128</v>
      </c>
      <c r="G1902" t="s">
        <v>21</v>
      </c>
      <c r="H1902" t="s">
        <v>21</v>
      </c>
      <c r="I1902">
        <v>0</v>
      </c>
      <c r="J1902">
        <v>0</v>
      </c>
      <c r="K1902">
        <v>0</v>
      </c>
      <c r="L1902">
        <v>1</v>
      </c>
      <c r="M1902">
        <v>0</v>
      </c>
      <c r="N1902" t="s">
        <v>195</v>
      </c>
      <c r="O1902" t="s">
        <v>213</v>
      </c>
      <c r="P1902" t="s">
        <v>206</v>
      </c>
      <c r="Q1902" t="s">
        <v>170</v>
      </c>
      <c r="R1902" t="s">
        <v>155</v>
      </c>
      <c r="S1902">
        <v>5</v>
      </c>
      <c r="T1902" t="s">
        <v>135</v>
      </c>
      <c r="U1902">
        <v>0</v>
      </c>
      <c r="V1902">
        <v>5</v>
      </c>
      <c r="W1902" t="s">
        <v>135</v>
      </c>
      <c r="X1902">
        <v>0</v>
      </c>
      <c r="Y1902" t="s">
        <v>139</v>
      </c>
      <c r="Z1902" t="s">
        <v>191</v>
      </c>
      <c r="AA1902" t="s">
        <v>146</v>
      </c>
      <c r="AB1902" t="s">
        <v>162</v>
      </c>
      <c r="AC1902" t="s">
        <v>176</v>
      </c>
      <c r="AD1902" t="s">
        <v>155</v>
      </c>
      <c r="AE1902" t="s">
        <v>129</v>
      </c>
      <c r="AF1902" t="s">
        <v>21</v>
      </c>
    </row>
    <row r="1903" spans="1:32">
      <c r="A1903" t="s">
        <v>2895</v>
      </c>
      <c r="B1903" s="37">
        <v>40014</v>
      </c>
      <c r="C1903" s="38">
        <v>40014</v>
      </c>
      <c r="D1903" s="38">
        <v>40014</v>
      </c>
      <c r="E1903" s="38">
        <v>39995</v>
      </c>
      <c r="F1903" s="39">
        <v>109</v>
      </c>
      <c r="G1903" t="s">
        <v>380</v>
      </c>
      <c r="H1903" t="s">
        <v>17</v>
      </c>
      <c r="I1903">
        <v>0</v>
      </c>
      <c r="J1903">
        <v>0</v>
      </c>
      <c r="K1903">
        <v>1</v>
      </c>
      <c r="L1903">
        <v>0</v>
      </c>
      <c r="M1903">
        <v>0</v>
      </c>
      <c r="N1903" t="s">
        <v>193</v>
      </c>
      <c r="O1903" t="s">
        <v>213</v>
      </c>
      <c r="P1903" t="s">
        <v>204</v>
      </c>
      <c r="Q1903" t="s">
        <v>170</v>
      </c>
      <c r="R1903" t="s">
        <v>155</v>
      </c>
      <c r="S1903">
        <v>1</v>
      </c>
      <c r="T1903" t="s">
        <v>136</v>
      </c>
      <c r="U1903">
        <v>0</v>
      </c>
      <c r="V1903">
        <v>4</v>
      </c>
      <c r="W1903" t="s">
        <v>137</v>
      </c>
      <c r="X1903">
        <v>0</v>
      </c>
      <c r="Y1903" t="s">
        <v>140</v>
      </c>
      <c r="Z1903" t="s">
        <v>191</v>
      </c>
      <c r="AA1903" t="s">
        <v>143</v>
      </c>
      <c r="AB1903" t="s">
        <v>162</v>
      </c>
      <c r="AC1903" t="s">
        <v>176</v>
      </c>
      <c r="AD1903" t="s">
        <v>155</v>
      </c>
      <c r="AE1903" t="s">
        <v>129</v>
      </c>
      <c r="AF1903" t="s">
        <v>21</v>
      </c>
    </row>
    <row r="1904" spans="1:32">
      <c r="A1904" t="s">
        <v>2896</v>
      </c>
      <c r="B1904" s="37">
        <v>39968</v>
      </c>
      <c r="C1904" s="38">
        <v>39968</v>
      </c>
      <c r="D1904" s="38">
        <v>39965</v>
      </c>
      <c r="E1904" s="38">
        <v>39965</v>
      </c>
      <c r="F1904" s="39">
        <v>63</v>
      </c>
      <c r="G1904" t="s">
        <v>21</v>
      </c>
      <c r="H1904" t="s">
        <v>21</v>
      </c>
      <c r="I1904">
        <v>0</v>
      </c>
      <c r="J1904">
        <v>0</v>
      </c>
      <c r="K1904">
        <v>0</v>
      </c>
      <c r="L1904">
        <v>1</v>
      </c>
      <c r="M1904">
        <v>0</v>
      </c>
      <c r="N1904" t="s">
        <v>194</v>
      </c>
      <c r="O1904" t="s">
        <v>213</v>
      </c>
      <c r="P1904" t="s">
        <v>205</v>
      </c>
      <c r="Q1904" t="s">
        <v>170</v>
      </c>
      <c r="R1904" t="s">
        <v>155</v>
      </c>
      <c r="T1904" t="s">
        <v>134</v>
      </c>
      <c r="U1904">
        <v>1</v>
      </c>
      <c r="W1904" t="s">
        <v>134</v>
      </c>
      <c r="X1904">
        <v>1</v>
      </c>
      <c r="Y1904" t="s">
        <v>139</v>
      </c>
      <c r="Z1904" t="s">
        <v>191</v>
      </c>
      <c r="AA1904" t="s">
        <v>146</v>
      </c>
      <c r="AB1904" t="s">
        <v>165</v>
      </c>
      <c r="AC1904" t="s">
        <v>589</v>
      </c>
      <c r="AD1904" t="s">
        <v>158</v>
      </c>
      <c r="AE1904" t="s">
        <v>122</v>
      </c>
      <c r="AF1904" t="s">
        <v>21</v>
      </c>
    </row>
    <row r="1905" spans="1:32">
      <c r="A1905" t="s">
        <v>2897</v>
      </c>
      <c r="B1905" s="37">
        <v>40048</v>
      </c>
      <c r="C1905" s="38">
        <v>40048</v>
      </c>
      <c r="D1905" s="38">
        <v>40042</v>
      </c>
      <c r="E1905" s="38">
        <v>40026</v>
      </c>
      <c r="F1905" s="39">
        <v>143</v>
      </c>
      <c r="G1905" t="s">
        <v>21</v>
      </c>
      <c r="H1905" t="s">
        <v>21</v>
      </c>
      <c r="I1905">
        <v>0</v>
      </c>
      <c r="J1905">
        <v>0</v>
      </c>
      <c r="K1905">
        <v>0</v>
      </c>
      <c r="L1905">
        <v>1</v>
      </c>
      <c r="M1905">
        <v>0</v>
      </c>
      <c r="N1905" t="s">
        <v>195</v>
      </c>
      <c r="O1905" t="s">
        <v>213</v>
      </c>
      <c r="P1905" t="s">
        <v>206</v>
      </c>
      <c r="Q1905" t="s">
        <v>170</v>
      </c>
      <c r="R1905" t="s">
        <v>155</v>
      </c>
      <c r="S1905">
        <v>5</v>
      </c>
      <c r="T1905" t="s">
        <v>135</v>
      </c>
      <c r="U1905">
        <v>0</v>
      </c>
      <c r="V1905">
        <v>5</v>
      </c>
      <c r="W1905" t="s">
        <v>135</v>
      </c>
      <c r="X1905">
        <v>0</v>
      </c>
      <c r="Y1905" t="s">
        <v>139</v>
      </c>
      <c r="Z1905" t="s">
        <v>191</v>
      </c>
      <c r="AA1905" t="s">
        <v>145</v>
      </c>
      <c r="AB1905" t="s">
        <v>162</v>
      </c>
      <c r="AC1905" t="s">
        <v>21</v>
      </c>
      <c r="AD1905" t="s">
        <v>160</v>
      </c>
      <c r="AE1905" t="s">
        <v>484</v>
      </c>
      <c r="AF1905" t="s">
        <v>2898</v>
      </c>
    </row>
    <row r="1906" spans="1:32">
      <c r="A1906" t="s">
        <v>2899</v>
      </c>
      <c r="B1906" s="37">
        <v>40036</v>
      </c>
      <c r="C1906" s="38">
        <v>40036</v>
      </c>
      <c r="D1906" s="38">
        <v>40035</v>
      </c>
      <c r="E1906" s="38">
        <v>40026</v>
      </c>
      <c r="F1906" s="39">
        <v>131</v>
      </c>
      <c r="G1906" t="s">
        <v>9</v>
      </c>
      <c r="H1906" t="s">
        <v>9</v>
      </c>
      <c r="I1906">
        <v>1</v>
      </c>
      <c r="J1906">
        <v>0</v>
      </c>
      <c r="K1906">
        <v>0</v>
      </c>
      <c r="L1906">
        <v>0</v>
      </c>
      <c r="M1906">
        <v>1</v>
      </c>
      <c r="N1906" t="s">
        <v>193</v>
      </c>
      <c r="O1906" t="s">
        <v>213</v>
      </c>
      <c r="P1906" t="s">
        <v>204</v>
      </c>
      <c r="Q1906" t="s">
        <v>170</v>
      </c>
      <c r="R1906" t="s">
        <v>155</v>
      </c>
      <c r="S1906">
        <v>5</v>
      </c>
      <c r="T1906" t="s">
        <v>135</v>
      </c>
      <c r="U1906">
        <v>0</v>
      </c>
      <c r="V1906">
        <v>5</v>
      </c>
      <c r="W1906" t="s">
        <v>135</v>
      </c>
      <c r="X1906">
        <v>0</v>
      </c>
      <c r="Y1906" t="s">
        <v>140</v>
      </c>
      <c r="Z1906" t="s">
        <v>191</v>
      </c>
      <c r="AA1906" t="s">
        <v>142</v>
      </c>
      <c r="AB1906" t="s">
        <v>162</v>
      </c>
      <c r="AC1906" t="s">
        <v>2900</v>
      </c>
      <c r="AD1906" t="s">
        <v>159</v>
      </c>
      <c r="AE1906" t="s">
        <v>123</v>
      </c>
      <c r="AF1906" t="s">
        <v>123</v>
      </c>
    </row>
    <row r="1907" spans="1:32">
      <c r="A1907" t="s">
        <v>2901</v>
      </c>
      <c r="B1907" s="37">
        <v>40080</v>
      </c>
      <c r="C1907" s="38">
        <v>40080</v>
      </c>
      <c r="D1907" s="38">
        <v>40077</v>
      </c>
      <c r="E1907" s="38">
        <v>40057</v>
      </c>
      <c r="F1907" s="39">
        <v>175</v>
      </c>
      <c r="G1907" t="s">
        <v>21</v>
      </c>
      <c r="H1907" t="s">
        <v>21</v>
      </c>
      <c r="I1907">
        <v>0</v>
      </c>
      <c r="J1907">
        <v>0</v>
      </c>
      <c r="K1907">
        <v>0</v>
      </c>
      <c r="L1907">
        <v>1</v>
      </c>
      <c r="M1907">
        <v>0</v>
      </c>
      <c r="N1907" t="s">
        <v>193</v>
      </c>
      <c r="O1907" t="s">
        <v>213</v>
      </c>
      <c r="P1907" t="s">
        <v>204</v>
      </c>
      <c r="Q1907" t="s">
        <v>170</v>
      </c>
      <c r="R1907" t="s">
        <v>155</v>
      </c>
      <c r="S1907">
        <v>3</v>
      </c>
      <c r="T1907" t="s">
        <v>137</v>
      </c>
      <c r="U1907">
        <v>0</v>
      </c>
      <c r="V1907">
        <v>4</v>
      </c>
      <c r="W1907" t="s">
        <v>137</v>
      </c>
      <c r="X1907">
        <v>0</v>
      </c>
      <c r="Y1907" t="s">
        <v>140</v>
      </c>
      <c r="Z1907" t="s">
        <v>178</v>
      </c>
      <c r="AA1907" t="s">
        <v>144</v>
      </c>
      <c r="AB1907" t="s">
        <v>162</v>
      </c>
      <c r="AC1907" t="s">
        <v>174</v>
      </c>
      <c r="AD1907" t="s">
        <v>160</v>
      </c>
      <c r="AE1907" t="s">
        <v>392</v>
      </c>
      <c r="AF1907" t="s">
        <v>393</v>
      </c>
    </row>
    <row r="1908" spans="1:32">
      <c r="A1908" t="s">
        <v>2902</v>
      </c>
      <c r="B1908" s="37">
        <v>40021</v>
      </c>
      <c r="C1908" s="38">
        <v>40021</v>
      </c>
      <c r="D1908" s="38">
        <v>40021</v>
      </c>
      <c r="E1908" s="38">
        <v>39995</v>
      </c>
      <c r="F1908" s="39">
        <v>116</v>
      </c>
      <c r="G1908" t="s">
        <v>21</v>
      </c>
      <c r="H1908" t="s">
        <v>21</v>
      </c>
      <c r="I1908">
        <v>0</v>
      </c>
      <c r="J1908">
        <v>0</v>
      </c>
      <c r="K1908">
        <v>0</v>
      </c>
      <c r="L1908">
        <v>1</v>
      </c>
      <c r="M1908">
        <v>0</v>
      </c>
      <c r="N1908" t="s">
        <v>193</v>
      </c>
      <c r="O1908" t="s">
        <v>213</v>
      </c>
      <c r="P1908" t="s">
        <v>204</v>
      </c>
      <c r="Q1908" t="s">
        <v>170</v>
      </c>
      <c r="R1908" t="s">
        <v>155</v>
      </c>
      <c r="S1908">
        <v>4</v>
      </c>
      <c r="T1908" t="s">
        <v>137</v>
      </c>
      <c r="U1908">
        <v>0</v>
      </c>
      <c r="V1908">
        <v>5</v>
      </c>
      <c r="W1908" t="s">
        <v>135</v>
      </c>
      <c r="X1908">
        <v>0</v>
      </c>
      <c r="Y1908" t="s">
        <v>140</v>
      </c>
      <c r="Z1908" t="s">
        <v>178</v>
      </c>
      <c r="AA1908" t="s">
        <v>146</v>
      </c>
      <c r="AB1908" t="s">
        <v>162</v>
      </c>
      <c r="AC1908" t="s">
        <v>2903</v>
      </c>
      <c r="AD1908" t="s">
        <v>159</v>
      </c>
      <c r="AE1908" t="s">
        <v>123</v>
      </c>
      <c r="AF1908" t="s">
        <v>123</v>
      </c>
    </row>
    <row r="1909" spans="1:32">
      <c r="A1909" t="s">
        <v>2904</v>
      </c>
      <c r="B1909" s="37">
        <v>40078</v>
      </c>
      <c r="C1909" s="38">
        <v>40078</v>
      </c>
      <c r="D1909" s="38">
        <v>40077</v>
      </c>
      <c r="E1909" s="38">
        <v>40057</v>
      </c>
      <c r="F1909" s="39">
        <v>173</v>
      </c>
      <c r="G1909" t="s">
        <v>21</v>
      </c>
      <c r="H1909" t="s">
        <v>21</v>
      </c>
      <c r="I1909">
        <v>0</v>
      </c>
      <c r="J1909">
        <v>0</v>
      </c>
      <c r="K1909">
        <v>0</v>
      </c>
      <c r="L1909">
        <v>1</v>
      </c>
      <c r="M1909">
        <v>0</v>
      </c>
      <c r="N1909" t="s">
        <v>193</v>
      </c>
      <c r="O1909" t="s">
        <v>213</v>
      </c>
      <c r="P1909" t="s">
        <v>204</v>
      </c>
      <c r="Q1909" t="s">
        <v>170</v>
      </c>
      <c r="R1909" t="s">
        <v>155</v>
      </c>
      <c r="S1909">
        <v>5</v>
      </c>
      <c r="T1909" t="s">
        <v>135</v>
      </c>
      <c r="U1909">
        <v>0</v>
      </c>
      <c r="V1909">
        <v>5</v>
      </c>
      <c r="W1909" t="s">
        <v>135</v>
      </c>
      <c r="X1909">
        <v>0</v>
      </c>
      <c r="Y1909" t="s">
        <v>140</v>
      </c>
      <c r="Z1909" t="s">
        <v>191</v>
      </c>
      <c r="AA1909" t="s">
        <v>142</v>
      </c>
      <c r="AB1909" t="s">
        <v>162</v>
      </c>
      <c r="AC1909" t="s">
        <v>175</v>
      </c>
      <c r="AD1909" t="s">
        <v>155</v>
      </c>
      <c r="AE1909" t="s">
        <v>129</v>
      </c>
      <c r="AF1909" t="s">
        <v>21</v>
      </c>
    </row>
    <row r="1910" spans="1:32">
      <c r="A1910" t="s">
        <v>2905</v>
      </c>
      <c r="B1910" s="37">
        <v>40029</v>
      </c>
      <c r="C1910" s="38">
        <v>40029</v>
      </c>
      <c r="D1910" s="38">
        <v>40028</v>
      </c>
      <c r="E1910" s="38">
        <v>40026</v>
      </c>
      <c r="F1910" s="39">
        <v>124</v>
      </c>
      <c r="G1910" t="s">
        <v>21</v>
      </c>
      <c r="H1910" t="s">
        <v>21</v>
      </c>
      <c r="I1910">
        <v>0</v>
      </c>
      <c r="J1910">
        <v>0</v>
      </c>
      <c r="K1910">
        <v>0</v>
      </c>
      <c r="L1910">
        <v>1</v>
      </c>
      <c r="M1910">
        <v>0</v>
      </c>
      <c r="N1910" t="s">
        <v>196</v>
      </c>
      <c r="O1910" t="s">
        <v>213</v>
      </c>
      <c r="P1910" t="s">
        <v>207</v>
      </c>
      <c r="Q1910" t="s">
        <v>170</v>
      </c>
      <c r="R1910" t="s">
        <v>155</v>
      </c>
      <c r="S1910">
        <v>5</v>
      </c>
      <c r="T1910" t="s">
        <v>135</v>
      </c>
      <c r="U1910">
        <v>0</v>
      </c>
      <c r="V1910">
        <v>5</v>
      </c>
      <c r="W1910" t="s">
        <v>135</v>
      </c>
      <c r="X1910">
        <v>0</v>
      </c>
      <c r="Y1910" t="s">
        <v>139</v>
      </c>
      <c r="Z1910" t="s">
        <v>186</v>
      </c>
      <c r="AA1910" t="s">
        <v>142</v>
      </c>
      <c r="AB1910" t="s">
        <v>162</v>
      </c>
      <c r="AC1910" t="s">
        <v>1218</v>
      </c>
      <c r="AD1910" t="s">
        <v>156</v>
      </c>
      <c r="AE1910" t="s">
        <v>120</v>
      </c>
      <c r="AF1910" t="s">
        <v>741</v>
      </c>
    </row>
    <row r="1911" spans="1:32">
      <c r="A1911" t="s">
        <v>2906</v>
      </c>
      <c r="B1911" s="37">
        <v>39967</v>
      </c>
      <c r="C1911" s="38">
        <v>39967</v>
      </c>
      <c r="D1911" s="38">
        <v>39965</v>
      </c>
      <c r="E1911" s="38">
        <v>39965</v>
      </c>
      <c r="F1911" s="39">
        <v>62</v>
      </c>
      <c r="G1911" t="s">
        <v>383</v>
      </c>
      <c r="H1911" t="s">
        <v>17</v>
      </c>
      <c r="I1911">
        <v>0</v>
      </c>
      <c r="J1911">
        <v>0</v>
      </c>
      <c r="K1911">
        <v>1</v>
      </c>
      <c r="L1911">
        <v>0</v>
      </c>
      <c r="M1911">
        <v>0</v>
      </c>
      <c r="N1911" t="s">
        <v>195</v>
      </c>
      <c r="O1911" t="s">
        <v>213</v>
      </c>
      <c r="P1911" t="s">
        <v>206</v>
      </c>
      <c r="Q1911" t="s">
        <v>170</v>
      </c>
      <c r="R1911" t="s">
        <v>155</v>
      </c>
      <c r="T1911" t="s">
        <v>134</v>
      </c>
      <c r="U1911">
        <v>1</v>
      </c>
      <c r="W1911" t="s">
        <v>134</v>
      </c>
      <c r="X1911">
        <v>1</v>
      </c>
      <c r="Y1911" t="s">
        <v>139</v>
      </c>
      <c r="Z1911" t="s">
        <v>181</v>
      </c>
      <c r="AA1911" t="s">
        <v>144</v>
      </c>
      <c r="AB1911" t="s">
        <v>163</v>
      </c>
      <c r="AC1911" t="s">
        <v>173</v>
      </c>
      <c r="AD1911" t="s">
        <v>155</v>
      </c>
      <c r="AE1911" t="s">
        <v>399</v>
      </c>
      <c r="AF1911" t="s">
        <v>21</v>
      </c>
    </row>
    <row r="1912" spans="1:32">
      <c r="A1912" t="s">
        <v>2907</v>
      </c>
      <c r="B1912" s="37">
        <v>40047</v>
      </c>
      <c r="C1912" s="38">
        <v>40047</v>
      </c>
      <c r="D1912" s="38">
        <v>40042</v>
      </c>
      <c r="E1912" s="38">
        <v>40026</v>
      </c>
      <c r="F1912" s="39">
        <v>142</v>
      </c>
      <c r="G1912" t="s">
        <v>21</v>
      </c>
      <c r="H1912" t="s">
        <v>21</v>
      </c>
      <c r="I1912">
        <v>0</v>
      </c>
      <c r="J1912">
        <v>0</v>
      </c>
      <c r="K1912">
        <v>0</v>
      </c>
      <c r="L1912">
        <v>1</v>
      </c>
      <c r="M1912">
        <v>0</v>
      </c>
      <c r="N1912" t="s">
        <v>193</v>
      </c>
      <c r="O1912" t="s">
        <v>213</v>
      </c>
      <c r="P1912" t="s">
        <v>204</v>
      </c>
      <c r="Q1912" t="s">
        <v>170</v>
      </c>
      <c r="R1912" t="s">
        <v>155</v>
      </c>
      <c r="S1912">
        <v>5</v>
      </c>
      <c r="T1912" t="s">
        <v>135</v>
      </c>
      <c r="U1912">
        <v>0</v>
      </c>
      <c r="V1912">
        <v>5</v>
      </c>
      <c r="W1912" t="s">
        <v>135</v>
      </c>
      <c r="X1912">
        <v>0</v>
      </c>
      <c r="Y1912" t="s">
        <v>140</v>
      </c>
      <c r="Z1912" t="s">
        <v>190</v>
      </c>
      <c r="AA1912" t="s">
        <v>149</v>
      </c>
      <c r="AB1912" t="s">
        <v>163</v>
      </c>
      <c r="AC1912" t="s">
        <v>21</v>
      </c>
      <c r="AD1912" t="s">
        <v>155</v>
      </c>
      <c r="AE1912" t="s">
        <v>127</v>
      </c>
      <c r="AF1912" t="s">
        <v>21</v>
      </c>
    </row>
    <row r="1913" spans="1:32">
      <c r="A1913" t="s">
        <v>2908</v>
      </c>
      <c r="B1913" s="37">
        <v>39982</v>
      </c>
      <c r="C1913" s="38">
        <v>39982</v>
      </c>
      <c r="D1913" s="38">
        <v>39979</v>
      </c>
      <c r="E1913" s="38">
        <v>39965</v>
      </c>
      <c r="F1913" s="39">
        <v>77</v>
      </c>
      <c r="G1913" t="s">
        <v>9</v>
      </c>
      <c r="H1913" t="s">
        <v>9</v>
      </c>
      <c r="I1913">
        <v>1</v>
      </c>
      <c r="J1913">
        <v>0</v>
      </c>
      <c r="K1913">
        <v>0</v>
      </c>
      <c r="L1913">
        <v>0</v>
      </c>
      <c r="M1913">
        <v>1</v>
      </c>
      <c r="N1913" t="s">
        <v>196</v>
      </c>
      <c r="O1913" t="s">
        <v>213</v>
      </c>
      <c r="P1913" t="s">
        <v>207</v>
      </c>
      <c r="Q1913" t="s">
        <v>170</v>
      </c>
      <c r="R1913" t="s">
        <v>155</v>
      </c>
      <c r="T1913" t="s">
        <v>134</v>
      </c>
      <c r="U1913">
        <v>1</v>
      </c>
      <c r="W1913" t="s">
        <v>134</v>
      </c>
      <c r="X1913">
        <v>1</v>
      </c>
      <c r="Y1913" t="s">
        <v>139</v>
      </c>
      <c r="Z1913" t="s">
        <v>187</v>
      </c>
      <c r="AA1913" t="s">
        <v>146</v>
      </c>
      <c r="AB1913" t="s">
        <v>162</v>
      </c>
      <c r="AC1913" t="s">
        <v>175</v>
      </c>
      <c r="AD1913" t="s">
        <v>155</v>
      </c>
      <c r="AE1913" t="s">
        <v>129</v>
      </c>
      <c r="AF1913" t="s">
        <v>21</v>
      </c>
    </row>
    <row r="1914" spans="1:32">
      <c r="A1914" t="s">
        <v>2909</v>
      </c>
      <c r="B1914" s="37">
        <v>39965</v>
      </c>
      <c r="C1914" s="38">
        <v>39965</v>
      </c>
      <c r="D1914" s="38">
        <v>39965</v>
      </c>
      <c r="E1914" s="38">
        <v>39965</v>
      </c>
      <c r="F1914" s="39">
        <v>60</v>
      </c>
      <c r="G1914" t="s">
        <v>21</v>
      </c>
      <c r="H1914" t="s">
        <v>21</v>
      </c>
      <c r="I1914">
        <v>0</v>
      </c>
      <c r="J1914">
        <v>0</v>
      </c>
      <c r="K1914">
        <v>0</v>
      </c>
      <c r="L1914">
        <v>1</v>
      </c>
      <c r="M1914">
        <v>0</v>
      </c>
      <c r="N1914" t="s">
        <v>195</v>
      </c>
      <c r="O1914" t="s">
        <v>213</v>
      </c>
      <c r="P1914" t="s">
        <v>206</v>
      </c>
      <c r="Q1914" t="s">
        <v>170</v>
      </c>
      <c r="R1914" t="s">
        <v>155</v>
      </c>
      <c r="T1914" t="s">
        <v>134</v>
      </c>
      <c r="U1914">
        <v>1</v>
      </c>
      <c r="W1914" t="s">
        <v>134</v>
      </c>
      <c r="X1914">
        <v>1</v>
      </c>
      <c r="Y1914" t="s">
        <v>139</v>
      </c>
      <c r="Z1914" t="s">
        <v>184</v>
      </c>
      <c r="AA1914" t="s">
        <v>143</v>
      </c>
      <c r="AB1914" t="s">
        <v>162</v>
      </c>
      <c r="AC1914" t="s">
        <v>176</v>
      </c>
      <c r="AD1914" t="s">
        <v>155</v>
      </c>
      <c r="AE1914" t="s">
        <v>129</v>
      </c>
      <c r="AF1914" t="s">
        <v>21</v>
      </c>
    </row>
    <row r="1915" spans="1:32">
      <c r="A1915" t="s">
        <v>2910</v>
      </c>
      <c r="B1915" s="37">
        <v>40007</v>
      </c>
      <c r="C1915" s="38">
        <v>40007</v>
      </c>
      <c r="D1915" s="38">
        <v>40007</v>
      </c>
      <c r="E1915" s="38">
        <v>39995</v>
      </c>
      <c r="F1915" s="39">
        <v>102</v>
      </c>
      <c r="G1915" t="s">
        <v>21</v>
      </c>
      <c r="H1915" t="s">
        <v>21</v>
      </c>
      <c r="I1915">
        <v>0</v>
      </c>
      <c r="J1915">
        <v>0</v>
      </c>
      <c r="K1915">
        <v>0</v>
      </c>
      <c r="L1915">
        <v>1</v>
      </c>
      <c r="M1915">
        <v>0</v>
      </c>
      <c r="N1915" t="s">
        <v>193</v>
      </c>
      <c r="O1915" t="s">
        <v>213</v>
      </c>
      <c r="P1915" t="s">
        <v>204</v>
      </c>
      <c r="Q1915" t="s">
        <v>170</v>
      </c>
      <c r="R1915" t="s">
        <v>155</v>
      </c>
      <c r="S1915">
        <v>5</v>
      </c>
      <c r="T1915" t="s">
        <v>135</v>
      </c>
      <c r="U1915">
        <v>0</v>
      </c>
      <c r="V1915">
        <v>5</v>
      </c>
      <c r="W1915" t="s">
        <v>135</v>
      </c>
      <c r="X1915">
        <v>0</v>
      </c>
      <c r="Y1915" t="s">
        <v>140</v>
      </c>
      <c r="Z1915" t="s">
        <v>181</v>
      </c>
      <c r="AA1915" t="s">
        <v>149</v>
      </c>
      <c r="AB1915" t="s">
        <v>163</v>
      </c>
      <c r="AC1915" t="s">
        <v>1574</v>
      </c>
      <c r="AD1915" t="s">
        <v>155</v>
      </c>
      <c r="AE1915" t="s">
        <v>127</v>
      </c>
      <c r="AF1915" t="s">
        <v>21</v>
      </c>
    </row>
    <row r="1916" spans="1:32">
      <c r="A1916" t="s">
        <v>2911</v>
      </c>
      <c r="B1916" s="37">
        <v>40074</v>
      </c>
      <c r="C1916" s="38">
        <v>40074</v>
      </c>
      <c r="D1916" s="38">
        <v>40070</v>
      </c>
      <c r="E1916" s="38">
        <v>40057</v>
      </c>
      <c r="F1916" s="39">
        <v>169</v>
      </c>
      <c r="G1916" t="s">
        <v>21</v>
      </c>
      <c r="H1916" t="s">
        <v>21</v>
      </c>
      <c r="I1916">
        <v>0</v>
      </c>
      <c r="J1916">
        <v>0</v>
      </c>
      <c r="K1916">
        <v>0</v>
      </c>
      <c r="L1916">
        <v>1</v>
      </c>
      <c r="M1916">
        <v>0</v>
      </c>
      <c r="N1916" t="s">
        <v>196</v>
      </c>
      <c r="O1916" t="s">
        <v>213</v>
      </c>
      <c r="P1916" t="s">
        <v>207</v>
      </c>
      <c r="Q1916" t="s">
        <v>170</v>
      </c>
      <c r="R1916" t="s">
        <v>155</v>
      </c>
      <c r="S1916">
        <v>5</v>
      </c>
      <c r="T1916" t="s">
        <v>135</v>
      </c>
      <c r="U1916">
        <v>0</v>
      </c>
      <c r="V1916">
        <v>5</v>
      </c>
      <c r="W1916" t="s">
        <v>135</v>
      </c>
      <c r="X1916">
        <v>0</v>
      </c>
      <c r="Y1916" t="s">
        <v>139</v>
      </c>
      <c r="Z1916" t="s">
        <v>190</v>
      </c>
      <c r="AA1916" t="s">
        <v>143</v>
      </c>
      <c r="AB1916" t="s">
        <v>162</v>
      </c>
      <c r="AC1916" t="s">
        <v>498</v>
      </c>
      <c r="AD1916" t="s">
        <v>156</v>
      </c>
      <c r="AE1916" t="s">
        <v>120</v>
      </c>
      <c r="AF1916" t="s">
        <v>676</v>
      </c>
    </row>
    <row r="1917" spans="1:32">
      <c r="A1917" t="s">
        <v>2912</v>
      </c>
      <c r="B1917" s="37">
        <v>39958</v>
      </c>
      <c r="C1917" s="38">
        <v>39958</v>
      </c>
      <c r="D1917" s="38">
        <v>39958</v>
      </c>
      <c r="E1917" s="38">
        <v>39934</v>
      </c>
      <c r="F1917" s="39">
        <v>53</v>
      </c>
      <c r="G1917" t="s">
        <v>21</v>
      </c>
      <c r="H1917" t="s">
        <v>21</v>
      </c>
      <c r="I1917">
        <v>0</v>
      </c>
      <c r="J1917">
        <v>0</v>
      </c>
      <c r="K1917">
        <v>0</v>
      </c>
      <c r="L1917">
        <v>1</v>
      </c>
      <c r="M1917">
        <v>0</v>
      </c>
      <c r="N1917" t="s">
        <v>193</v>
      </c>
      <c r="O1917" t="s">
        <v>213</v>
      </c>
      <c r="P1917" t="s">
        <v>204</v>
      </c>
      <c r="Q1917" t="s">
        <v>170</v>
      </c>
      <c r="R1917" t="s">
        <v>155</v>
      </c>
      <c r="T1917" t="s">
        <v>134</v>
      </c>
      <c r="U1917">
        <v>1</v>
      </c>
      <c r="W1917" t="s">
        <v>134</v>
      </c>
      <c r="X1917">
        <v>1</v>
      </c>
      <c r="Y1917" t="s">
        <v>140</v>
      </c>
      <c r="Z1917" t="s">
        <v>181</v>
      </c>
      <c r="AA1917" t="s">
        <v>142</v>
      </c>
      <c r="AB1917" t="s">
        <v>163</v>
      </c>
      <c r="AC1917" t="s">
        <v>1574</v>
      </c>
      <c r="AD1917" t="s">
        <v>155</v>
      </c>
      <c r="AE1917" t="s">
        <v>2742</v>
      </c>
      <c r="AF1917" t="s">
        <v>21</v>
      </c>
    </row>
    <row r="1918" spans="1:32">
      <c r="A1918" t="s">
        <v>2913</v>
      </c>
      <c r="B1918" s="37">
        <v>39929</v>
      </c>
      <c r="C1918" s="38">
        <v>39929</v>
      </c>
      <c r="D1918" s="38">
        <v>39923</v>
      </c>
      <c r="E1918" s="38">
        <v>39904</v>
      </c>
      <c r="F1918" s="39">
        <v>24</v>
      </c>
      <c r="G1918" t="s">
        <v>21</v>
      </c>
      <c r="H1918" t="s">
        <v>21</v>
      </c>
      <c r="I1918">
        <v>0</v>
      </c>
      <c r="J1918">
        <v>0</v>
      </c>
      <c r="K1918">
        <v>0</v>
      </c>
      <c r="L1918">
        <v>1</v>
      </c>
      <c r="M1918">
        <v>0</v>
      </c>
      <c r="N1918" t="s">
        <v>193</v>
      </c>
      <c r="O1918" t="s">
        <v>213</v>
      </c>
      <c r="P1918" t="s">
        <v>204</v>
      </c>
      <c r="Q1918" t="s">
        <v>170</v>
      </c>
      <c r="R1918" t="s">
        <v>155</v>
      </c>
      <c r="T1918" t="s">
        <v>134</v>
      </c>
      <c r="U1918">
        <v>1</v>
      </c>
      <c r="W1918" t="s">
        <v>134</v>
      </c>
      <c r="X1918">
        <v>1</v>
      </c>
      <c r="Y1918" t="s">
        <v>140</v>
      </c>
      <c r="Z1918" t="s">
        <v>190</v>
      </c>
      <c r="AA1918" t="s">
        <v>147</v>
      </c>
      <c r="AB1918" t="s">
        <v>162</v>
      </c>
      <c r="AC1918" t="s">
        <v>21</v>
      </c>
      <c r="AD1918" t="s">
        <v>155</v>
      </c>
      <c r="AE1918" t="s">
        <v>130</v>
      </c>
      <c r="AF1918" t="s">
        <v>21</v>
      </c>
    </row>
    <row r="1919" spans="1:32">
      <c r="A1919" t="s">
        <v>2914</v>
      </c>
      <c r="B1919" s="37">
        <v>39976</v>
      </c>
      <c r="C1919" s="38">
        <v>39976</v>
      </c>
      <c r="D1919" s="38">
        <v>39972</v>
      </c>
      <c r="E1919" s="38">
        <v>39965</v>
      </c>
      <c r="F1919" s="39">
        <v>71</v>
      </c>
      <c r="G1919" t="s">
        <v>21</v>
      </c>
      <c r="H1919" t="s">
        <v>21</v>
      </c>
      <c r="I1919">
        <v>0</v>
      </c>
      <c r="J1919">
        <v>0</v>
      </c>
      <c r="K1919">
        <v>0</v>
      </c>
      <c r="L1919">
        <v>1</v>
      </c>
      <c r="M1919">
        <v>0</v>
      </c>
      <c r="N1919" t="s">
        <v>195</v>
      </c>
      <c r="O1919" t="s">
        <v>213</v>
      </c>
      <c r="P1919" t="s">
        <v>206</v>
      </c>
      <c r="Q1919" t="s">
        <v>170</v>
      </c>
      <c r="R1919" t="s">
        <v>155</v>
      </c>
      <c r="T1919" t="s">
        <v>134</v>
      </c>
      <c r="U1919">
        <v>1</v>
      </c>
      <c r="W1919" t="s">
        <v>134</v>
      </c>
      <c r="X1919">
        <v>1</v>
      </c>
      <c r="Y1919" t="s">
        <v>139</v>
      </c>
      <c r="Z1919" t="s">
        <v>181</v>
      </c>
      <c r="AA1919" t="s">
        <v>144</v>
      </c>
      <c r="AB1919" t="s">
        <v>162</v>
      </c>
      <c r="AC1919" t="s">
        <v>498</v>
      </c>
      <c r="AD1919" t="s">
        <v>159</v>
      </c>
      <c r="AE1919" t="s">
        <v>123</v>
      </c>
      <c r="AF1919" t="s">
        <v>123</v>
      </c>
    </row>
    <row r="1920" spans="1:32">
      <c r="A1920" t="s">
        <v>2915</v>
      </c>
      <c r="B1920" s="37">
        <v>39906</v>
      </c>
      <c r="C1920" s="38">
        <v>39906</v>
      </c>
      <c r="D1920" s="38">
        <v>39902</v>
      </c>
      <c r="E1920" s="38">
        <v>39904</v>
      </c>
      <c r="F1920" s="39">
        <v>1</v>
      </c>
      <c r="G1920" t="s">
        <v>21</v>
      </c>
      <c r="H1920" t="s">
        <v>21</v>
      </c>
      <c r="I1920">
        <v>0</v>
      </c>
      <c r="J1920">
        <v>0</v>
      </c>
      <c r="K1920">
        <v>0</v>
      </c>
      <c r="L1920">
        <v>1</v>
      </c>
      <c r="M1920">
        <v>0</v>
      </c>
      <c r="N1920" t="s">
        <v>200</v>
      </c>
      <c r="O1920" t="s">
        <v>214</v>
      </c>
      <c r="P1920" t="s">
        <v>208</v>
      </c>
      <c r="Q1920" t="s">
        <v>170</v>
      </c>
      <c r="R1920" t="s">
        <v>155</v>
      </c>
      <c r="T1920" t="s">
        <v>134</v>
      </c>
      <c r="U1920">
        <v>1</v>
      </c>
      <c r="W1920" t="s">
        <v>134</v>
      </c>
      <c r="X1920">
        <v>1</v>
      </c>
      <c r="Y1920" t="s">
        <v>139</v>
      </c>
      <c r="Z1920" t="s">
        <v>187</v>
      </c>
      <c r="AA1920" t="s">
        <v>142</v>
      </c>
      <c r="AB1920" t="s">
        <v>163</v>
      </c>
      <c r="AC1920" t="s">
        <v>2916</v>
      </c>
      <c r="AD1920" t="s">
        <v>155</v>
      </c>
      <c r="AE1920" t="s">
        <v>439</v>
      </c>
      <c r="AF1920" t="s">
        <v>21</v>
      </c>
    </row>
    <row r="1921" spans="1:32">
      <c r="A1921" t="s">
        <v>2917</v>
      </c>
      <c r="B1921" s="37">
        <v>40080</v>
      </c>
      <c r="C1921" s="38">
        <v>40080</v>
      </c>
      <c r="D1921" s="38">
        <v>40077</v>
      </c>
      <c r="E1921" s="38">
        <v>40057</v>
      </c>
      <c r="F1921" s="39">
        <v>175</v>
      </c>
      <c r="G1921" t="s">
        <v>21</v>
      </c>
      <c r="H1921" t="s">
        <v>21</v>
      </c>
      <c r="I1921">
        <v>0</v>
      </c>
      <c r="J1921">
        <v>0</v>
      </c>
      <c r="K1921">
        <v>0</v>
      </c>
      <c r="L1921">
        <v>1</v>
      </c>
      <c r="M1921">
        <v>0</v>
      </c>
      <c r="N1921" t="s">
        <v>193</v>
      </c>
      <c r="O1921" t="s">
        <v>213</v>
      </c>
      <c r="P1921" t="s">
        <v>204</v>
      </c>
      <c r="Q1921" t="s">
        <v>170</v>
      </c>
      <c r="R1921" t="s">
        <v>155</v>
      </c>
      <c r="S1921">
        <v>5</v>
      </c>
      <c r="T1921" t="s">
        <v>135</v>
      </c>
      <c r="U1921">
        <v>0</v>
      </c>
      <c r="V1921">
        <v>5</v>
      </c>
      <c r="W1921" t="s">
        <v>135</v>
      </c>
      <c r="X1921">
        <v>0</v>
      </c>
      <c r="Y1921" t="s">
        <v>140</v>
      </c>
      <c r="Z1921" t="s">
        <v>179</v>
      </c>
      <c r="AA1921" t="s">
        <v>142</v>
      </c>
      <c r="AB1921" t="s">
        <v>162</v>
      </c>
      <c r="AC1921" t="s">
        <v>21</v>
      </c>
      <c r="AD1921" t="s">
        <v>155</v>
      </c>
      <c r="AE1921" t="s">
        <v>454</v>
      </c>
      <c r="AF1921" t="s">
        <v>21</v>
      </c>
    </row>
    <row r="1922" spans="1:32">
      <c r="A1922" t="s">
        <v>2918</v>
      </c>
      <c r="B1922" s="37">
        <v>39925</v>
      </c>
      <c r="C1922" s="38">
        <v>39925</v>
      </c>
      <c r="D1922" s="38">
        <v>39923</v>
      </c>
      <c r="E1922" s="38">
        <v>39904</v>
      </c>
      <c r="F1922" s="39">
        <v>20</v>
      </c>
      <c r="G1922" t="s">
        <v>21</v>
      </c>
      <c r="H1922" t="s">
        <v>21</v>
      </c>
      <c r="I1922">
        <v>0</v>
      </c>
      <c r="J1922">
        <v>0</v>
      </c>
      <c r="K1922">
        <v>0</v>
      </c>
      <c r="L1922">
        <v>1</v>
      </c>
      <c r="M1922">
        <v>0</v>
      </c>
      <c r="N1922" t="s">
        <v>194</v>
      </c>
      <c r="O1922" t="s">
        <v>213</v>
      </c>
      <c r="P1922" t="s">
        <v>205</v>
      </c>
      <c r="Q1922" t="s">
        <v>170</v>
      </c>
      <c r="R1922" t="s">
        <v>155</v>
      </c>
      <c r="T1922" t="s">
        <v>134</v>
      </c>
      <c r="U1922">
        <v>1</v>
      </c>
      <c r="W1922" t="s">
        <v>134</v>
      </c>
      <c r="X1922">
        <v>1</v>
      </c>
      <c r="Y1922" t="s">
        <v>139</v>
      </c>
      <c r="Z1922" t="s">
        <v>179</v>
      </c>
      <c r="AA1922" t="s">
        <v>142</v>
      </c>
      <c r="AB1922" t="s">
        <v>162</v>
      </c>
      <c r="AC1922" t="s">
        <v>174</v>
      </c>
      <c r="AD1922" t="s">
        <v>156</v>
      </c>
      <c r="AE1922" t="s">
        <v>120</v>
      </c>
      <c r="AF1922" t="s">
        <v>1508</v>
      </c>
    </row>
    <row r="1923" spans="1:32">
      <c r="A1923" t="s">
        <v>2919</v>
      </c>
      <c r="B1923" s="37">
        <v>39960</v>
      </c>
      <c r="C1923" s="38">
        <v>39960</v>
      </c>
      <c r="D1923" s="38">
        <v>39958</v>
      </c>
      <c r="E1923" s="38">
        <v>39934</v>
      </c>
      <c r="F1923" s="39">
        <v>55</v>
      </c>
      <c r="G1923" t="s">
        <v>21</v>
      </c>
      <c r="H1923" t="s">
        <v>21</v>
      </c>
      <c r="I1923">
        <v>0</v>
      </c>
      <c r="J1923">
        <v>0</v>
      </c>
      <c r="K1923">
        <v>0</v>
      </c>
      <c r="L1923">
        <v>1</v>
      </c>
      <c r="M1923">
        <v>0</v>
      </c>
      <c r="N1923" t="s">
        <v>193</v>
      </c>
      <c r="O1923" t="s">
        <v>213</v>
      </c>
      <c r="P1923" t="s">
        <v>204</v>
      </c>
      <c r="Q1923" t="s">
        <v>170</v>
      </c>
      <c r="R1923" t="s">
        <v>155</v>
      </c>
      <c r="T1923" t="s">
        <v>134</v>
      </c>
      <c r="U1923">
        <v>1</v>
      </c>
      <c r="W1923" t="s">
        <v>134</v>
      </c>
      <c r="X1923">
        <v>1</v>
      </c>
      <c r="Y1923" t="s">
        <v>140</v>
      </c>
      <c r="Z1923" t="s">
        <v>179</v>
      </c>
      <c r="AA1923" t="s">
        <v>149</v>
      </c>
      <c r="AB1923" t="s">
        <v>162</v>
      </c>
      <c r="AC1923" t="s">
        <v>567</v>
      </c>
      <c r="AD1923" t="s">
        <v>155</v>
      </c>
      <c r="AE1923" t="s">
        <v>130</v>
      </c>
      <c r="AF1923" t="s">
        <v>21</v>
      </c>
    </row>
    <row r="1924" spans="1:32">
      <c r="A1924" t="s">
        <v>2920</v>
      </c>
      <c r="B1924" s="37">
        <v>40001</v>
      </c>
      <c r="C1924" s="38">
        <v>40001</v>
      </c>
      <c r="D1924" s="38">
        <v>40000</v>
      </c>
      <c r="E1924" s="38">
        <v>39995</v>
      </c>
      <c r="F1924" s="39">
        <v>96</v>
      </c>
      <c r="G1924" t="s">
        <v>21</v>
      </c>
      <c r="H1924" t="s">
        <v>21</v>
      </c>
      <c r="I1924">
        <v>0</v>
      </c>
      <c r="J1924">
        <v>0</v>
      </c>
      <c r="K1924">
        <v>0</v>
      </c>
      <c r="L1924">
        <v>1</v>
      </c>
      <c r="M1924">
        <v>0</v>
      </c>
      <c r="N1924" t="s">
        <v>193</v>
      </c>
      <c r="O1924" t="s">
        <v>213</v>
      </c>
      <c r="P1924" t="s">
        <v>204</v>
      </c>
      <c r="Q1924" t="s">
        <v>170</v>
      </c>
      <c r="R1924" t="s">
        <v>155</v>
      </c>
      <c r="T1924" t="s">
        <v>134</v>
      </c>
      <c r="U1924">
        <v>1</v>
      </c>
      <c r="V1924">
        <v>3</v>
      </c>
      <c r="W1924" t="s">
        <v>137</v>
      </c>
      <c r="X1924">
        <v>0</v>
      </c>
      <c r="Y1924" t="s">
        <v>140</v>
      </c>
      <c r="Z1924" t="s">
        <v>190</v>
      </c>
      <c r="AA1924" t="s">
        <v>142</v>
      </c>
      <c r="AB1924" t="s">
        <v>162</v>
      </c>
      <c r="AC1924" t="s">
        <v>768</v>
      </c>
      <c r="AD1924" t="s">
        <v>159</v>
      </c>
      <c r="AE1924" t="s">
        <v>123</v>
      </c>
      <c r="AF1924" t="s">
        <v>123</v>
      </c>
    </row>
    <row r="1925" spans="1:32">
      <c r="A1925" t="s">
        <v>2921</v>
      </c>
      <c r="B1925" s="37">
        <v>39915</v>
      </c>
      <c r="C1925" s="38">
        <v>39915</v>
      </c>
      <c r="D1925" s="38">
        <v>39909</v>
      </c>
      <c r="E1925" s="38">
        <v>39904</v>
      </c>
      <c r="F1925" s="39">
        <v>10</v>
      </c>
      <c r="G1925" t="s">
        <v>21</v>
      </c>
      <c r="H1925" t="s">
        <v>21</v>
      </c>
      <c r="I1925">
        <v>0</v>
      </c>
      <c r="J1925">
        <v>0</v>
      </c>
      <c r="K1925">
        <v>0</v>
      </c>
      <c r="L1925">
        <v>1</v>
      </c>
      <c r="M1925">
        <v>0</v>
      </c>
      <c r="N1925" t="s">
        <v>199</v>
      </c>
      <c r="O1925" t="s">
        <v>213</v>
      </c>
      <c r="P1925" t="s">
        <v>210</v>
      </c>
      <c r="Q1925" t="s">
        <v>170</v>
      </c>
      <c r="R1925" t="s">
        <v>155</v>
      </c>
      <c r="T1925" t="s">
        <v>134</v>
      </c>
      <c r="U1925">
        <v>1</v>
      </c>
      <c r="W1925" t="s">
        <v>134</v>
      </c>
      <c r="X1925">
        <v>1</v>
      </c>
      <c r="Y1925" t="s">
        <v>139</v>
      </c>
      <c r="Z1925" t="s">
        <v>190</v>
      </c>
      <c r="AA1925" t="s">
        <v>147</v>
      </c>
      <c r="AB1925" t="s">
        <v>162</v>
      </c>
      <c r="AC1925" t="s">
        <v>174</v>
      </c>
      <c r="AD1925" t="s">
        <v>156</v>
      </c>
      <c r="AE1925" t="s">
        <v>120</v>
      </c>
      <c r="AF1925" t="s">
        <v>2922</v>
      </c>
    </row>
    <row r="1926" spans="1:32">
      <c r="A1926" t="s">
        <v>2923</v>
      </c>
      <c r="B1926" s="37">
        <v>40068</v>
      </c>
      <c r="C1926" s="38">
        <v>40068</v>
      </c>
      <c r="D1926" s="38">
        <v>40063</v>
      </c>
      <c r="E1926" s="38">
        <v>40057</v>
      </c>
      <c r="F1926" s="39">
        <v>163</v>
      </c>
      <c r="G1926" t="s">
        <v>21</v>
      </c>
      <c r="H1926" t="s">
        <v>21</v>
      </c>
      <c r="I1926">
        <v>0</v>
      </c>
      <c r="J1926">
        <v>0</v>
      </c>
      <c r="K1926">
        <v>0</v>
      </c>
      <c r="L1926">
        <v>1</v>
      </c>
      <c r="M1926">
        <v>0</v>
      </c>
      <c r="N1926" t="s">
        <v>193</v>
      </c>
      <c r="O1926" t="s">
        <v>213</v>
      </c>
      <c r="P1926" t="s">
        <v>204</v>
      </c>
      <c r="Q1926" t="s">
        <v>170</v>
      </c>
      <c r="R1926" t="s">
        <v>155</v>
      </c>
      <c r="S1926">
        <v>5</v>
      </c>
      <c r="T1926" t="s">
        <v>135</v>
      </c>
      <c r="U1926">
        <v>0</v>
      </c>
      <c r="V1926">
        <v>3</v>
      </c>
      <c r="W1926" t="s">
        <v>137</v>
      </c>
      <c r="X1926">
        <v>0</v>
      </c>
      <c r="Y1926" t="s">
        <v>140</v>
      </c>
      <c r="Z1926" t="s">
        <v>190</v>
      </c>
      <c r="AA1926" t="s">
        <v>143</v>
      </c>
      <c r="AB1926" t="s">
        <v>163</v>
      </c>
      <c r="AC1926" t="s">
        <v>2924</v>
      </c>
      <c r="AD1926" t="s">
        <v>155</v>
      </c>
      <c r="AE1926" t="s">
        <v>128</v>
      </c>
      <c r="AF1926" t="s">
        <v>21</v>
      </c>
    </row>
    <row r="1927" spans="1:32">
      <c r="A1927" t="s">
        <v>2925</v>
      </c>
      <c r="B1927" s="37">
        <v>39937</v>
      </c>
      <c r="C1927" s="38">
        <v>39937</v>
      </c>
      <c r="D1927" s="38">
        <v>39937</v>
      </c>
      <c r="E1927" s="38">
        <v>39934</v>
      </c>
      <c r="F1927" s="39">
        <v>32</v>
      </c>
      <c r="G1927" t="s">
        <v>21</v>
      </c>
      <c r="H1927" t="s">
        <v>21</v>
      </c>
      <c r="I1927">
        <v>0</v>
      </c>
      <c r="J1927">
        <v>0</v>
      </c>
      <c r="K1927">
        <v>0</v>
      </c>
      <c r="L1927">
        <v>1</v>
      </c>
      <c r="M1927">
        <v>0</v>
      </c>
      <c r="N1927" t="s">
        <v>193</v>
      </c>
      <c r="O1927" t="s">
        <v>213</v>
      </c>
      <c r="P1927" t="s">
        <v>204</v>
      </c>
      <c r="Q1927" t="s">
        <v>170</v>
      </c>
      <c r="R1927" t="s">
        <v>155</v>
      </c>
      <c r="T1927" t="s">
        <v>134</v>
      </c>
      <c r="U1927">
        <v>1</v>
      </c>
      <c r="W1927" t="s">
        <v>134</v>
      </c>
      <c r="X1927">
        <v>1</v>
      </c>
      <c r="Y1927" t="s">
        <v>140</v>
      </c>
      <c r="Z1927" t="s">
        <v>190</v>
      </c>
      <c r="AA1927" t="s">
        <v>150</v>
      </c>
      <c r="AB1927" t="s">
        <v>163</v>
      </c>
      <c r="AC1927" t="s">
        <v>173</v>
      </c>
      <c r="AD1927" t="s">
        <v>155</v>
      </c>
      <c r="AE1927" t="s">
        <v>1075</v>
      </c>
      <c r="AF1927" t="s">
        <v>21</v>
      </c>
    </row>
    <row r="1928" spans="1:32">
      <c r="A1928" t="s">
        <v>2926</v>
      </c>
      <c r="B1928" s="37">
        <v>39961</v>
      </c>
      <c r="C1928" s="38">
        <v>39961</v>
      </c>
      <c r="D1928" s="38">
        <v>39958</v>
      </c>
      <c r="E1928" s="38">
        <v>39934</v>
      </c>
      <c r="F1928" s="39">
        <v>56</v>
      </c>
      <c r="G1928" t="s">
        <v>21</v>
      </c>
      <c r="H1928" t="s">
        <v>21</v>
      </c>
      <c r="I1928">
        <v>0</v>
      </c>
      <c r="J1928">
        <v>0</v>
      </c>
      <c r="K1928">
        <v>0</v>
      </c>
      <c r="L1928">
        <v>1</v>
      </c>
      <c r="M1928">
        <v>0</v>
      </c>
      <c r="N1928" t="s">
        <v>193</v>
      </c>
      <c r="O1928" t="s">
        <v>213</v>
      </c>
      <c r="P1928" t="s">
        <v>204</v>
      </c>
      <c r="Q1928" t="s">
        <v>170</v>
      </c>
      <c r="R1928" t="s">
        <v>155</v>
      </c>
      <c r="T1928" t="s">
        <v>134</v>
      </c>
      <c r="U1928">
        <v>1</v>
      </c>
      <c r="W1928" t="s">
        <v>134</v>
      </c>
      <c r="X1928">
        <v>1</v>
      </c>
      <c r="Y1928" t="s">
        <v>140</v>
      </c>
      <c r="Z1928" t="s">
        <v>179</v>
      </c>
      <c r="AA1928" t="s">
        <v>143</v>
      </c>
      <c r="AB1928" t="s">
        <v>162</v>
      </c>
      <c r="AC1928" t="s">
        <v>21</v>
      </c>
      <c r="AD1928" t="s">
        <v>155</v>
      </c>
      <c r="AE1928" t="s">
        <v>130</v>
      </c>
      <c r="AF1928" t="s">
        <v>21</v>
      </c>
    </row>
    <row r="1929" spans="1:32">
      <c r="A1929" t="s">
        <v>2927</v>
      </c>
      <c r="B1929" s="37">
        <v>40056</v>
      </c>
      <c r="C1929" s="38">
        <v>40056</v>
      </c>
      <c r="D1929" s="38">
        <v>40056</v>
      </c>
      <c r="E1929" s="38">
        <v>40026</v>
      </c>
      <c r="F1929" s="39">
        <v>151</v>
      </c>
      <c r="G1929" t="s">
        <v>21</v>
      </c>
      <c r="H1929" t="s">
        <v>21</v>
      </c>
      <c r="I1929">
        <v>0</v>
      </c>
      <c r="J1929">
        <v>0</v>
      </c>
      <c r="K1929">
        <v>0</v>
      </c>
      <c r="L1929">
        <v>1</v>
      </c>
      <c r="M1929">
        <v>0</v>
      </c>
      <c r="N1929" t="s">
        <v>193</v>
      </c>
      <c r="O1929" t="s">
        <v>213</v>
      </c>
      <c r="P1929" t="s">
        <v>204</v>
      </c>
      <c r="Q1929" t="s">
        <v>170</v>
      </c>
      <c r="R1929" t="s">
        <v>155</v>
      </c>
      <c r="S1929">
        <v>5</v>
      </c>
      <c r="T1929" t="s">
        <v>135</v>
      </c>
      <c r="U1929">
        <v>0</v>
      </c>
      <c r="V1929">
        <v>5</v>
      </c>
      <c r="W1929" t="s">
        <v>135</v>
      </c>
      <c r="X1929">
        <v>0</v>
      </c>
      <c r="Y1929" t="s">
        <v>140</v>
      </c>
      <c r="Z1929" t="s">
        <v>179</v>
      </c>
      <c r="AA1929" t="s">
        <v>145</v>
      </c>
      <c r="AB1929" t="s">
        <v>163</v>
      </c>
      <c r="AC1929" t="s">
        <v>173</v>
      </c>
      <c r="AD1929" t="s">
        <v>155</v>
      </c>
      <c r="AE1929" t="s">
        <v>406</v>
      </c>
      <c r="AF1929" t="s">
        <v>21</v>
      </c>
    </row>
    <row r="1930" spans="1:32">
      <c r="A1930" t="s">
        <v>2928</v>
      </c>
      <c r="B1930" s="37">
        <v>39982</v>
      </c>
      <c r="C1930" s="38">
        <v>39982</v>
      </c>
      <c r="D1930" s="38">
        <v>39979</v>
      </c>
      <c r="E1930" s="38">
        <v>39965</v>
      </c>
      <c r="F1930" s="39">
        <v>77</v>
      </c>
      <c r="G1930" t="s">
        <v>21</v>
      </c>
      <c r="H1930" t="s">
        <v>21</v>
      </c>
      <c r="I1930">
        <v>0</v>
      </c>
      <c r="J1930">
        <v>0</v>
      </c>
      <c r="K1930">
        <v>0</v>
      </c>
      <c r="L1930">
        <v>1</v>
      </c>
      <c r="M1930">
        <v>0</v>
      </c>
      <c r="N1930" t="s">
        <v>193</v>
      </c>
      <c r="O1930" t="s">
        <v>213</v>
      </c>
      <c r="P1930" t="s">
        <v>204</v>
      </c>
      <c r="Q1930" t="s">
        <v>170</v>
      </c>
      <c r="R1930" t="s">
        <v>155</v>
      </c>
      <c r="T1930" t="s">
        <v>134</v>
      </c>
      <c r="U1930">
        <v>1</v>
      </c>
      <c r="W1930" t="s">
        <v>134</v>
      </c>
      <c r="X1930">
        <v>1</v>
      </c>
      <c r="Y1930" t="s">
        <v>140</v>
      </c>
      <c r="Z1930" t="s">
        <v>179</v>
      </c>
      <c r="AA1930" t="s">
        <v>148</v>
      </c>
      <c r="AB1930" t="s">
        <v>162</v>
      </c>
      <c r="AC1930" t="s">
        <v>550</v>
      </c>
      <c r="AD1930" t="s">
        <v>156</v>
      </c>
      <c r="AE1930" t="s">
        <v>120</v>
      </c>
      <c r="AF1930" t="s">
        <v>470</v>
      </c>
    </row>
    <row r="1931" spans="1:32">
      <c r="A1931" t="s">
        <v>2929</v>
      </c>
      <c r="B1931" s="37">
        <v>40036</v>
      </c>
      <c r="C1931" s="38">
        <v>40036</v>
      </c>
      <c r="D1931" s="38">
        <v>40035</v>
      </c>
      <c r="E1931" s="38">
        <v>40026</v>
      </c>
      <c r="F1931" s="39">
        <v>131</v>
      </c>
      <c r="G1931" t="s">
        <v>21</v>
      </c>
      <c r="H1931" t="s">
        <v>21</v>
      </c>
      <c r="I1931">
        <v>0</v>
      </c>
      <c r="J1931">
        <v>0</v>
      </c>
      <c r="K1931">
        <v>0</v>
      </c>
      <c r="L1931">
        <v>1</v>
      </c>
      <c r="M1931">
        <v>0</v>
      </c>
      <c r="N1931" t="s">
        <v>193</v>
      </c>
      <c r="O1931" t="s">
        <v>213</v>
      </c>
      <c r="P1931" t="s">
        <v>204</v>
      </c>
      <c r="Q1931" t="s">
        <v>170</v>
      </c>
      <c r="R1931" t="s">
        <v>155</v>
      </c>
      <c r="S1931">
        <v>5</v>
      </c>
      <c r="T1931" t="s">
        <v>135</v>
      </c>
      <c r="U1931">
        <v>0</v>
      </c>
      <c r="V1931">
        <v>5</v>
      </c>
      <c r="W1931" t="s">
        <v>135</v>
      </c>
      <c r="X1931">
        <v>0</v>
      </c>
      <c r="Y1931" t="s">
        <v>140</v>
      </c>
      <c r="Z1931" t="s">
        <v>179</v>
      </c>
      <c r="AA1931" t="s">
        <v>142</v>
      </c>
      <c r="AB1931" t="s">
        <v>162</v>
      </c>
      <c r="AC1931" t="s">
        <v>176</v>
      </c>
      <c r="AD1931" t="s">
        <v>155</v>
      </c>
      <c r="AE1931" t="s">
        <v>129</v>
      </c>
      <c r="AF1931" t="s">
        <v>21</v>
      </c>
    </row>
    <row r="1932" spans="1:32">
      <c r="A1932" t="s">
        <v>2930</v>
      </c>
      <c r="B1932" s="37">
        <v>40083</v>
      </c>
      <c r="C1932" s="38">
        <v>40083</v>
      </c>
      <c r="D1932" s="38">
        <v>40077</v>
      </c>
      <c r="E1932" s="38">
        <v>40057</v>
      </c>
      <c r="F1932" s="39">
        <v>178</v>
      </c>
      <c r="G1932" t="s">
        <v>21</v>
      </c>
      <c r="H1932" t="s">
        <v>21</v>
      </c>
      <c r="I1932">
        <v>0</v>
      </c>
      <c r="J1932">
        <v>0</v>
      </c>
      <c r="K1932">
        <v>0</v>
      </c>
      <c r="L1932">
        <v>1</v>
      </c>
      <c r="M1932">
        <v>0</v>
      </c>
      <c r="N1932" t="s">
        <v>195</v>
      </c>
      <c r="O1932" t="s">
        <v>213</v>
      </c>
      <c r="P1932" t="s">
        <v>206</v>
      </c>
      <c r="Q1932" t="s">
        <v>170</v>
      </c>
      <c r="R1932" t="s">
        <v>155</v>
      </c>
      <c r="S1932">
        <v>5</v>
      </c>
      <c r="T1932" t="s">
        <v>135</v>
      </c>
      <c r="U1932">
        <v>0</v>
      </c>
      <c r="V1932">
        <v>5</v>
      </c>
      <c r="W1932" t="s">
        <v>135</v>
      </c>
      <c r="X1932">
        <v>0</v>
      </c>
      <c r="Y1932" t="s">
        <v>139</v>
      </c>
      <c r="Z1932" t="s">
        <v>509</v>
      </c>
      <c r="AA1932" t="s">
        <v>144</v>
      </c>
      <c r="AB1932" t="s">
        <v>162</v>
      </c>
      <c r="AC1932" t="s">
        <v>175</v>
      </c>
      <c r="AD1932" t="s">
        <v>155</v>
      </c>
      <c r="AE1932" t="s">
        <v>129</v>
      </c>
      <c r="AF1932" t="s">
        <v>21</v>
      </c>
    </row>
    <row r="1933" spans="1:32">
      <c r="A1933" t="s">
        <v>2931</v>
      </c>
      <c r="B1933" s="37">
        <v>39979</v>
      </c>
      <c r="C1933" s="38">
        <v>39979</v>
      </c>
      <c r="D1933" s="38">
        <v>39979</v>
      </c>
      <c r="E1933" s="38">
        <v>39965</v>
      </c>
      <c r="F1933" s="39">
        <v>74</v>
      </c>
      <c r="G1933" t="s">
        <v>21</v>
      </c>
      <c r="H1933" t="s">
        <v>21</v>
      </c>
      <c r="I1933">
        <v>0</v>
      </c>
      <c r="J1933">
        <v>0</v>
      </c>
      <c r="K1933">
        <v>0</v>
      </c>
      <c r="L1933">
        <v>1</v>
      </c>
      <c r="M1933">
        <v>0</v>
      </c>
      <c r="N1933" t="s">
        <v>193</v>
      </c>
      <c r="O1933" t="s">
        <v>213</v>
      </c>
      <c r="P1933" t="s">
        <v>204</v>
      </c>
      <c r="Q1933" t="s">
        <v>170</v>
      </c>
      <c r="R1933" t="s">
        <v>155</v>
      </c>
      <c r="T1933" t="s">
        <v>134</v>
      </c>
      <c r="U1933">
        <v>1</v>
      </c>
      <c r="W1933" t="s">
        <v>134</v>
      </c>
      <c r="X1933">
        <v>1</v>
      </c>
      <c r="Y1933" t="s">
        <v>140</v>
      </c>
      <c r="Z1933" t="s">
        <v>179</v>
      </c>
      <c r="AA1933" t="s">
        <v>143</v>
      </c>
      <c r="AB1933" t="s">
        <v>162</v>
      </c>
      <c r="AC1933" t="s">
        <v>175</v>
      </c>
      <c r="AD1933" t="s">
        <v>155</v>
      </c>
      <c r="AE1933" t="s">
        <v>130</v>
      </c>
      <c r="AF1933" t="s">
        <v>21</v>
      </c>
    </row>
    <row r="1934" spans="1:32">
      <c r="A1934" t="s">
        <v>2932</v>
      </c>
      <c r="B1934" s="37">
        <v>40042</v>
      </c>
      <c r="C1934" s="38">
        <v>40042</v>
      </c>
      <c r="D1934" s="38">
        <v>40042</v>
      </c>
      <c r="E1934" s="38">
        <v>40026</v>
      </c>
      <c r="F1934" s="39">
        <v>137</v>
      </c>
      <c r="G1934" t="s">
        <v>525</v>
      </c>
      <c r="H1934" t="s">
        <v>17</v>
      </c>
      <c r="I1934">
        <v>0</v>
      </c>
      <c r="J1934">
        <v>0</v>
      </c>
      <c r="K1934">
        <v>1</v>
      </c>
      <c r="L1934">
        <v>0</v>
      </c>
      <c r="M1934">
        <v>0</v>
      </c>
      <c r="N1934" t="s">
        <v>196</v>
      </c>
      <c r="O1934" t="s">
        <v>213</v>
      </c>
      <c r="P1934" t="s">
        <v>207</v>
      </c>
      <c r="Q1934" t="s">
        <v>170</v>
      </c>
      <c r="R1934" t="s">
        <v>155</v>
      </c>
      <c r="S1934">
        <v>3</v>
      </c>
      <c r="T1934" t="s">
        <v>137</v>
      </c>
      <c r="U1934">
        <v>0</v>
      </c>
      <c r="V1934">
        <v>4</v>
      </c>
      <c r="W1934" t="s">
        <v>137</v>
      </c>
      <c r="X1934">
        <v>0</v>
      </c>
      <c r="Y1934" t="s">
        <v>139</v>
      </c>
      <c r="Z1934" t="s">
        <v>190</v>
      </c>
      <c r="AA1934" t="s">
        <v>148</v>
      </c>
      <c r="AB1934" t="s">
        <v>163</v>
      </c>
      <c r="AC1934" t="s">
        <v>482</v>
      </c>
      <c r="AD1934" t="s">
        <v>155</v>
      </c>
      <c r="AE1934" t="s">
        <v>387</v>
      </c>
      <c r="AF1934" t="s">
        <v>21</v>
      </c>
    </row>
    <row r="1935" spans="1:32">
      <c r="A1935" t="s">
        <v>2933</v>
      </c>
      <c r="B1935" s="37">
        <v>39927</v>
      </c>
      <c r="C1935" s="38">
        <v>39927</v>
      </c>
      <c r="D1935" s="38">
        <v>39923</v>
      </c>
      <c r="E1935" s="38">
        <v>39904</v>
      </c>
      <c r="F1935" s="39">
        <v>22</v>
      </c>
      <c r="G1935" t="s">
        <v>21</v>
      </c>
      <c r="H1935" t="s">
        <v>21</v>
      </c>
      <c r="I1935">
        <v>0</v>
      </c>
      <c r="J1935">
        <v>0</v>
      </c>
      <c r="K1935">
        <v>0</v>
      </c>
      <c r="L1935">
        <v>1</v>
      </c>
      <c r="M1935">
        <v>0</v>
      </c>
      <c r="N1935" t="s">
        <v>201</v>
      </c>
      <c r="O1935" t="s">
        <v>214</v>
      </c>
      <c r="P1935" t="s">
        <v>204</v>
      </c>
      <c r="Q1935" t="s">
        <v>170</v>
      </c>
      <c r="R1935" t="s">
        <v>155</v>
      </c>
      <c r="T1935" t="s">
        <v>134</v>
      </c>
      <c r="U1935">
        <v>1</v>
      </c>
      <c r="W1935" t="s">
        <v>134</v>
      </c>
      <c r="X1935">
        <v>1</v>
      </c>
      <c r="Y1935" t="s">
        <v>140</v>
      </c>
      <c r="Z1935" t="s">
        <v>190</v>
      </c>
      <c r="AA1935" t="s">
        <v>145</v>
      </c>
      <c r="AB1935" t="s">
        <v>162</v>
      </c>
      <c r="AC1935" t="s">
        <v>175</v>
      </c>
      <c r="AD1935" t="s">
        <v>155</v>
      </c>
      <c r="AE1935" t="s">
        <v>129</v>
      </c>
      <c r="AF1935" t="s">
        <v>21</v>
      </c>
    </row>
    <row r="1936" spans="1:32">
      <c r="A1936" t="s">
        <v>2934</v>
      </c>
      <c r="B1936" s="37">
        <v>40000</v>
      </c>
      <c r="C1936" s="38">
        <v>40000</v>
      </c>
      <c r="D1936" s="38">
        <v>40000</v>
      </c>
      <c r="E1936" s="38">
        <v>39995</v>
      </c>
      <c r="F1936" s="39">
        <v>95</v>
      </c>
      <c r="G1936" t="s">
        <v>21</v>
      </c>
      <c r="H1936" t="s">
        <v>21</v>
      </c>
      <c r="I1936">
        <v>0</v>
      </c>
      <c r="J1936">
        <v>0</v>
      </c>
      <c r="K1936">
        <v>0</v>
      </c>
      <c r="L1936">
        <v>1</v>
      </c>
      <c r="M1936">
        <v>0</v>
      </c>
      <c r="N1936" t="s">
        <v>193</v>
      </c>
      <c r="O1936" t="s">
        <v>213</v>
      </c>
      <c r="P1936" t="s">
        <v>204</v>
      </c>
      <c r="Q1936" t="s">
        <v>170</v>
      </c>
      <c r="R1936" t="s">
        <v>155</v>
      </c>
      <c r="T1936" t="s">
        <v>134</v>
      </c>
      <c r="U1936">
        <v>1</v>
      </c>
      <c r="V1936">
        <v>3</v>
      </c>
      <c r="W1936" t="s">
        <v>137</v>
      </c>
      <c r="X1936">
        <v>0</v>
      </c>
      <c r="Y1936" t="s">
        <v>140</v>
      </c>
      <c r="Z1936" t="s">
        <v>509</v>
      </c>
      <c r="AA1936" t="s">
        <v>148</v>
      </c>
      <c r="AB1936" t="s">
        <v>162</v>
      </c>
      <c r="AC1936" t="s">
        <v>175</v>
      </c>
      <c r="AD1936" t="s">
        <v>155</v>
      </c>
      <c r="AE1936" t="s">
        <v>130</v>
      </c>
      <c r="AF1936" t="s">
        <v>21</v>
      </c>
    </row>
    <row r="1937" spans="1:32">
      <c r="A1937" t="s">
        <v>2935</v>
      </c>
      <c r="B1937" s="37">
        <v>39991</v>
      </c>
      <c r="C1937" s="38">
        <v>39991</v>
      </c>
      <c r="D1937" s="38">
        <v>39986</v>
      </c>
      <c r="E1937" s="38">
        <v>39965</v>
      </c>
      <c r="F1937" s="39">
        <v>86</v>
      </c>
      <c r="G1937" t="s">
        <v>21</v>
      </c>
      <c r="H1937" t="s">
        <v>21</v>
      </c>
      <c r="I1937">
        <v>0</v>
      </c>
      <c r="J1937">
        <v>0</v>
      </c>
      <c r="K1937">
        <v>0</v>
      </c>
      <c r="L1937">
        <v>1</v>
      </c>
      <c r="M1937">
        <v>0</v>
      </c>
      <c r="N1937" t="s">
        <v>193</v>
      </c>
      <c r="O1937" t="s">
        <v>213</v>
      </c>
      <c r="P1937" t="s">
        <v>204</v>
      </c>
      <c r="Q1937" t="s">
        <v>170</v>
      </c>
      <c r="R1937" t="s">
        <v>155</v>
      </c>
      <c r="T1937" t="s">
        <v>134</v>
      </c>
      <c r="U1937">
        <v>1</v>
      </c>
      <c r="V1937">
        <v>2</v>
      </c>
      <c r="W1937" t="s">
        <v>136</v>
      </c>
      <c r="X1937">
        <v>0</v>
      </c>
      <c r="Y1937" t="s">
        <v>140</v>
      </c>
      <c r="Z1937" t="s">
        <v>509</v>
      </c>
      <c r="AA1937" t="s">
        <v>145</v>
      </c>
      <c r="AB1937" t="s">
        <v>162</v>
      </c>
      <c r="AC1937" t="s">
        <v>459</v>
      </c>
      <c r="AD1937" t="s">
        <v>155</v>
      </c>
      <c r="AE1937" t="s">
        <v>129</v>
      </c>
      <c r="AF1937" t="s">
        <v>21</v>
      </c>
    </row>
    <row r="1938" spans="1:32">
      <c r="A1938" t="s">
        <v>2936</v>
      </c>
      <c r="B1938" s="37">
        <v>40062</v>
      </c>
      <c r="C1938" s="38">
        <v>40062</v>
      </c>
      <c r="D1938" s="38">
        <v>40056</v>
      </c>
      <c r="E1938" s="38">
        <v>40057</v>
      </c>
      <c r="F1938" s="39">
        <v>157</v>
      </c>
      <c r="G1938" t="s">
        <v>21</v>
      </c>
      <c r="H1938" t="s">
        <v>21</v>
      </c>
      <c r="I1938">
        <v>0</v>
      </c>
      <c r="J1938">
        <v>0</v>
      </c>
      <c r="K1938">
        <v>0</v>
      </c>
      <c r="L1938">
        <v>1</v>
      </c>
      <c r="M1938">
        <v>0</v>
      </c>
      <c r="N1938" t="s">
        <v>195</v>
      </c>
      <c r="O1938" t="s">
        <v>213</v>
      </c>
      <c r="P1938" t="s">
        <v>206</v>
      </c>
      <c r="Q1938" t="s">
        <v>170</v>
      </c>
      <c r="R1938" t="s">
        <v>155</v>
      </c>
      <c r="S1938">
        <v>5</v>
      </c>
      <c r="T1938" t="s">
        <v>135</v>
      </c>
      <c r="U1938">
        <v>0</v>
      </c>
      <c r="V1938">
        <v>5</v>
      </c>
      <c r="W1938" t="s">
        <v>135</v>
      </c>
      <c r="X1938">
        <v>0</v>
      </c>
      <c r="Y1938" t="s">
        <v>139</v>
      </c>
      <c r="Z1938" t="s">
        <v>509</v>
      </c>
      <c r="AA1938" t="s">
        <v>144</v>
      </c>
      <c r="AB1938" t="s">
        <v>162</v>
      </c>
      <c r="AC1938" t="s">
        <v>175</v>
      </c>
      <c r="AD1938" t="s">
        <v>155</v>
      </c>
      <c r="AE1938" t="s">
        <v>484</v>
      </c>
      <c r="AF1938" t="s">
        <v>21</v>
      </c>
    </row>
    <row r="1939" spans="1:32">
      <c r="A1939" t="s">
        <v>2937</v>
      </c>
      <c r="B1939" s="37">
        <v>39963</v>
      </c>
      <c r="C1939" s="38">
        <v>39963</v>
      </c>
      <c r="D1939" s="38">
        <v>39958</v>
      </c>
      <c r="E1939" s="38">
        <v>39934</v>
      </c>
      <c r="F1939" s="39">
        <v>58</v>
      </c>
      <c r="G1939" t="s">
        <v>21</v>
      </c>
      <c r="H1939" t="s">
        <v>21</v>
      </c>
      <c r="I1939">
        <v>0</v>
      </c>
      <c r="J1939">
        <v>0</v>
      </c>
      <c r="K1939">
        <v>0</v>
      </c>
      <c r="L1939">
        <v>1</v>
      </c>
      <c r="M1939">
        <v>0</v>
      </c>
      <c r="N1939" t="s">
        <v>193</v>
      </c>
      <c r="O1939" t="s">
        <v>213</v>
      </c>
      <c r="P1939" t="s">
        <v>204</v>
      </c>
      <c r="Q1939" t="s">
        <v>170</v>
      </c>
      <c r="R1939" t="s">
        <v>155</v>
      </c>
      <c r="T1939" t="s">
        <v>134</v>
      </c>
      <c r="U1939">
        <v>1</v>
      </c>
      <c r="W1939" t="s">
        <v>134</v>
      </c>
      <c r="X1939">
        <v>1</v>
      </c>
      <c r="Y1939" t="s">
        <v>140</v>
      </c>
      <c r="Z1939" t="s">
        <v>190</v>
      </c>
      <c r="AA1939" t="s">
        <v>145</v>
      </c>
      <c r="AB1939" t="s">
        <v>162</v>
      </c>
      <c r="AC1939" t="s">
        <v>174</v>
      </c>
      <c r="AD1939" t="s">
        <v>156</v>
      </c>
      <c r="AE1939" t="s">
        <v>120</v>
      </c>
      <c r="AF1939" t="s">
        <v>769</v>
      </c>
    </row>
    <row r="1940" spans="1:32">
      <c r="A1940" t="s">
        <v>2938</v>
      </c>
      <c r="B1940" s="37">
        <v>39911</v>
      </c>
      <c r="C1940" s="38">
        <v>39911</v>
      </c>
      <c r="D1940" s="38">
        <v>39909</v>
      </c>
      <c r="E1940" s="38">
        <v>39904</v>
      </c>
      <c r="F1940" s="39">
        <v>6</v>
      </c>
      <c r="G1940" t="s">
        <v>21</v>
      </c>
      <c r="H1940" t="s">
        <v>21</v>
      </c>
      <c r="I1940">
        <v>0</v>
      </c>
      <c r="J1940">
        <v>0</v>
      </c>
      <c r="K1940">
        <v>0</v>
      </c>
      <c r="L1940">
        <v>1</v>
      </c>
      <c r="M1940">
        <v>0</v>
      </c>
      <c r="N1940" t="s">
        <v>201</v>
      </c>
      <c r="O1940" t="s">
        <v>214</v>
      </c>
      <c r="P1940" t="s">
        <v>204</v>
      </c>
      <c r="Q1940" t="s">
        <v>170</v>
      </c>
      <c r="R1940" t="s">
        <v>155</v>
      </c>
      <c r="T1940" t="s">
        <v>134</v>
      </c>
      <c r="U1940">
        <v>1</v>
      </c>
      <c r="W1940" t="s">
        <v>134</v>
      </c>
      <c r="X1940">
        <v>1</v>
      </c>
      <c r="Y1940" t="s">
        <v>140</v>
      </c>
      <c r="Z1940" t="s">
        <v>190</v>
      </c>
      <c r="AA1940" t="s">
        <v>142</v>
      </c>
      <c r="AB1940" t="s">
        <v>163</v>
      </c>
      <c r="AC1940" t="s">
        <v>173</v>
      </c>
      <c r="AD1940" t="s">
        <v>161</v>
      </c>
      <c r="AE1940" t="s">
        <v>420</v>
      </c>
      <c r="AF1940" t="s">
        <v>21</v>
      </c>
    </row>
    <row r="1941" spans="1:32">
      <c r="A1941" t="s">
        <v>2939</v>
      </c>
      <c r="B1941" s="37">
        <v>40058</v>
      </c>
      <c r="C1941" s="38">
        <v>40058</v>
      </c>
      <c r="D1941" s="38">
        <v>40056</v>
      </c>
      <c r="E1941" s="38">
        <v>40057</v>
      </c>
      <c r="F1941" s="39">
        <v>153</v>
      </c>
      <c r="G1941" t="s">
        <v>21</v>
      </c>
      <c r="H1941" t="s">
        <v>21</v>
      </c>
      <c r="I1941">
        <v>0</v>
      </c>
      <c r="J1941">
        <v>0</v>
      </c>
      <c r="K1941">
        <v>0</v>
      </c>
      <c r="L1941">
        <v>1</v>
      </c>
      <c r="M1941">
        <v>0</v>
      </c>
      <c r="N1941" t="s">
        <v>544</v>
      </c>
      <c r="O1941" t="s">
        <v>213</v>
      </c>
      <c r="P1941" t="s">
        <v>545</v>
      </c>
      <c r="Q1941" t="s">
        <v>170</v>
      </c>
      <c r="R1941" t="s">
        <v>155</v>
      </c>
      <c r="S1941">
        <v>5</v>
      </c>
      <c r="T1941" t="s">
        <v>135</v>
      </c>
      <c r="U1941">
        <v>0</v>
      </c>
      <c r="V1941">
        <v>5</v>
      </c>
      <c r="W1941" t="s">
        <v>135</v>
      </c>
      <c r="X1941">
        <v>0</v>
      </c>
      <c r="Y1941" t="s">
        <v>139</v>
      </c>
      <c r="Z1941" t="s">
        <v>190</v>
      </c>
      <c r="AA1941" t="s">
        <v>144</v>
      </c>
      <c r="AB1941" t="s">
        <v>162</v>
      </c>
      <c r="AC1941" t="s">
        <v>21</v>
      </c>
      <c r="AD1941" t="s">
        <v>155</v>
      </c>
      <c r="AE1941" t="s">
        <v>127</v>
      </c>
      <c r="AF1941" t="s">
        <v>21</v>
      </c>
    </row>
    <row r="1942" spans="1:32">
      <c r="A1942" t="s">
        <v>2940</v>
      </c>
      <c r="B1942" s="37">
        <v>39939</v>
      </c>
      <c r="C1942" s="38">
        <v>39939</v>
      </c>
      <c r="D1942" s="38">
        <v>39937</v>
      </c>
      <c r="E1942" s="38">
        <v>39934</v>
      </c>
      <c r="F1942" s="39">
        <v>34</v>
      </c>
      <c r="G1942" t="s">
        <v>21</v>
      </c>
      <c r="H1942" t="s">
        <v>21</v>
      </c>
      <c r="I1942">
        <v>0</v>
      </c>
      <c r="J1942">
        <v>0</v>
      </c>
      <c r="K1942">
        <v>0</v>
      </c>
      <c r="L1942">
        <v>1</v>
      </c>
      <c r="M1942">
        <v>0</v>
      </c>
      <c r="N1942" t="s">
        <v>202</v>
      </c>
      <c r="O1942" t="s">
        <v>213</v>
      </c>
      <c r="P1942" t="s">
        <v>211</v>
      </c>
      <c r="Q1942" t="s">
        <v>170</v>
      </c>
      <c r="R1942" t="s">
        <v>155</v>
      </c>
      <c r="T1942" t="s">
        <v>134</v>
      </c>
      <c r="U1942">
        <v>1</v>
      </c>
      <c r="W1942" t="s">
        <v>134</v>
      </c>
      <c r="X1942">
        <v>1</v>
      </c>
      <c r="Y1942" t="s">
        <v>139</v>
      </c>
      <c r="Z1942" t="s">
        <v>190</v>
      </c>
      <c r="AA1942" t="s">
        <v>145</v>
      </c>
      <c r="AB1942" t="s">
        <v>162</v>
      </c>
      <c r="AC1942" t="s">
        <v>174</v>
      </c>
      <c r="AD1942" t="s">
        <v>157</v>
      </c>
      <c r="AE1942" t="s">
        <v>127</v>
      </c>
      <c r="AF1942" t="s">
        <v>153</v>
      </c>
    </row>
    <row r="1943" spans="1:32">
      <c r="A1943" t="s">
        <v>2941</v>
      </c>
      <c r="B1943" s="37">
        <v>39963</v>
      </c>
      <c r="C1943" s="38">
        <v>39963</v>
      </c>
      <c r="D1943" s="38">
        <v>39958</v>
      </c>
      <c r="E1943" s="38">
        <v>39934</v>
      </c>
      <c r="F1943" s="39">
        <v>58</v>
      </c>
      <c r="G1943" t="s">
        <v>21</v>
      </c>
      <c r="H1943" t="s">
        <v>21</v>
      </c>
      <c r="I1943">
        <v>0</v>
      </c>
      <c r="J1943">
        <v>0</v>
      </c>
      <c r="K1943">
        <v>0</v>
      </c>
      <c r="L1943">
        <v>1</v>
      </c>
      <c r="M1943">
        <v>0</v>
      </c>
      <c r="N1943" t="s">
        <v>193</v>
      </c>
      <c r="O1943" t="s">
        <v>213</v>
      </c>
      <c r="P1943" t="s">
        <v>204</v>
      </c>
      <c r="Q1943" t="s">
        <v>170</v>
      </c>
      <c r="R1943" t="s">
        <v>155</v>
      </c>
      <c r="T1943" t="s">
        <v>134</v>
      </c>
      <c r="U1943">
        <v>1</v>
      </c>
      <c r="W1943" t="s">
        <v>134</v>
      </c>
      <c r="X1943">
        <v>1</v>
      </c>
      <c r="Y1943" t="s">
        <v>140</v>
      </c>
      <c r="Z1943" t="s">
        <v>534</v>
      </c>
      <c r="AA1943" t="s">
        <v>145</v>
      </c>
      <c r="AB1943" t="s">
        <v>163</v>
      </c>
      <c r="AC1943" t="s">
        <v>173</v>
      </c>
      <c r="AD1943" t="s">
        <v>155</v>
      </c>
      <c r="AE1943" t="s">
        <v>406</v>
      </c>
      <c r="AF1943" t="s">
        <v>21</v>
      </c>
    </row>
    <row r="1944" spans="1:32">
      <c r="A1944" t="s">
        <v>2942</v>
      </c>
      <c r="B1944" s="37">
        <v>40077</v>
      </c>
      <c r="C1944" s="38">
        <v>40077</v>
      </c>
      <c r="D1944" s="38">
        <v>40077</v>
      </c>
      <c r="E1944" s="38">
        <v>40057</v>
      </c>
      <c r="F1944" s="39">
        <v>172</v>
      </c>
      <c r="G1944" t="s">
        <v>21</v>
      </c>
      <c r="H1944" t="s">
        <v>21</v>
      </c>
      <c r="I1944">
        <v>0</v>
      </c>
      <c r="J1944">
        <v>0</v>
      </c>
      <c r="K1944">
        <v>0</v>
      </c>
      <c r="L1944">
        <v>1</v>
      </c>
      <c r="M1944">
        <v>0</v>
      </c>
      <c r="N1944" t="s">
        <v>193</v>
      </c>
      <c r="O1944" t="s">
        <v>213</v>
      </c>
      <c r="P1944" t="s">
        <v>204</v>
      </c>
      <c r="Q1944" t="s">
        <v>170</v>
      </c>
      <c r="R1944" t="s">
        <v>155</v>
      </c>
      <c r="S1944">
        <v>1</v>
      </c>
      <c r="T1944" t="s">
        <v>136</v>
      </c>
      <c r="U1944">
        <v>0</v>
      </c>
      <c r="V1944">
        <v>3</v>
      </c>
      <c r="W1944" t="s">
        <v>137</v>
      </c>
      <c r="X1944">
        <v>0</v>
      </c>
      <c r="Y1944" t="s">
        <v>140</v>
      </c>
      <c r="Z1944" t="s">
        <v>179</v>
      </c>
      <c r="AA1944" t="s">
        <v>143</v>
      </c>
      <c r="AB1944" t="s">
        <v>163</v>
      </c>
      <c r="AC1944" t="s">
        <v>173</v>
      </c>
      <c r="AD1944" t="s">
        <v>155</v>
      </c>
      <c r="AE1944" t="s">
        <v>128</v>
      </c>
      <c r="AF1944" t="s">
        <v>21</v>
      </c>
    </row>
    <row r="1945" spans="1:32">
      <c r="A1945" t="s">
        <v>2943</v>
      </c>
      <c r="B1945" s="37">
        <v>39910</v>
      </c>
      <c r="C1945" s="38">
        <v>39910</v>
      </c>
      <c r="D1945" s="38">
        <v>39909</v>
      </c>
      <c r="E1945" s="38">
        <v>39904</v>
      </c>
      <c r="F1945" s="39">
        <v>5</v>
      </c>
      <c r="G1945" t="s">
        <v>21</v>
      </c>
      <c r="H1945" t="s">
        <v>21</v>
      </c>
      <c r="I1945">
        <v>0</v>
      </c>
      <c r="J1945">
        <v>0</v>
      </c>
      <c r="K1945">
        <v>0</v>
      </c>
      <c r="L1945">
        <v>1</v>
      </c>
      <c r="M1945">
        <v>0</v>
      </c>
      <c r="N1945" t="s">
        <v>199</v>
      </c>
      <c r="O1945" t="s">
        <v>213</v>
      </c>
      <c r="P1945" t="s">
        <v>210</v>
      </c>
      <c r="Q1945" t="s">
        <v>170</v>
      </c>
      <c r="R1945" t="s">
        <v>155</v>
      </c>
      <c r="T1945" t="s">
        <v>134</v>
      </c>
      <c r="U1945">
        <v>1</v>
      </c>
      <c r="W1945" t="s">
        <v>134</v>
      </c>
      <c r="X1945">
        <v>1</v>
      </c>
      <c r="Y1945" t="s">
        <v>139</v>
      </c>
      <c r="Z1945" t="s">
        <v>182</v>
      </c>
      <c r="AA1945" t="s">
        <v>147</v>
      </c>
      <c r="AB1945" t="s">
        <v>162</v>
      </c>
      <c r="AC1945" t="s">
        <v>1550</v>
      </c>
      <c r="AD1945" t="s">
        <v>155</v>
      </c>
      <c r="AE1945" t="s">
        <v>387</v>
      </c>
      <c r="AF1945" t="s">
        <v>21</v>
      </c>
    </row>
    <row r="1946" spans="1:32">
      <c r="A1946" t="s">
        <v>2944</v>
      </c>
      <c r="B1946" s="37">
        <v>40053</v>
      </c>
      <c r="C1946" s="38">
        <v>40053</v>
      </c>
      <c r="D1946" s="38">
        <v>40049</v>
      </c>
      <c r="E1946" s="38">
        <v>40026</v>
      </c>
      <c r="F1946" s="39">
        <v>148</v>
      </c>
      <c r="G1946" t="s">
        <v>21</v>
      </c>
      <c r="H1946" t="s">
        <v>21</v>
      </c>
      <c r="I1946">
        <v>0</v>
      </c>
      <c r="J1946">
        <v>0</v>
      </c>
      <c r="K1946">
        <v>0</v>
      </c>
      <c r="L1946">
        <v>1</v>
      </c>
      <c r="M1946">
        <v>0</v>
      </c>
      <c r="N1946" t="s">
        <v>193</v>
      </c>
      <c r="O1946" t="s">
        <v>213</v>
      </c>
      <c r="P1946" t="s">
        <v>204</v>
      </c>
      <c r="Q1946" t="s">
        <v>170</v>
      </c>
      <c r="R1946" t="s">
        <v>155</v>
      </c>
      <c r="S1946">
        <v>1</v>
      </c>
      <c r="T1946" t="s">
        <v>136</v>
      </c>
      <c r="U1946">
        <v>0</v>
      </c>
      <c r="V1946">
        <v>3</v>
      </c>
      <c r="W1946" t="s">
        <v>137</v>
      </c>
      <c r="X1946">
        <v>0</v>
      </c>
      <c r="Y1946" t="s">
        <v>140</v>
      </c>
      <c r="Z1946" t="s">
        <v>185</v>
      </c>
      <c r="AA1946" t="s">
        <v>142</v>
      </c>
      <c r="AB1946" t="s">
        <v>162</v>
      </c>
      <c r="AC1946" t="s">
        <v>175</v>
      </c>
      <c r="AD1946" t="s">
        <v>155</v>
      </c>
      <c r="AE1946" t="s">
        <v>129</v>
      </c>
      <c r="AF1946" t="s">
        <v>21</v>
      </c>
    </row>
    <row r="1947" spans="1:32">
      <c r="A1947" t="s">
        <v>2945</v>
      </c>
      <c r="B1947" s="37">
        <v>40036</v>
      </c>
      <c r="C1947" s="38">
        <v>40036</v>
      </c>
      <c r="D1947" s="38">
        <v>40035</v>
      </c>
      <c r="E1947" s="38">
        <v>40026</v>
      </c>
      <c r="F1947" s="39">
        <v>131</v>
      </c>
      <c r="G1947" t="s">
        <v>21</v>
      </c>
      <c r="H1947" t="s">
        <v>21</v>
      </c>
      <c r="I1947">
        <v>0</v>
      </c>
      <c r="J1947">
        <v>0</v>
      </c>
      <c r="K1947">
        <v>0</v>
      </c>
      <c r="L1947">
        <v>1</v>
      </c>
      <c r="M1947">
        <v>0</v>
      </c>
      <c r="N1947" t="s">
        <v>195</v>
      </c>
      <c r="O1947" t="s">
        <v>213</v>
      </c>
      <c r="P1947" t="s">
        <v>206</v>
      </c>
      <c r="Q1947" t="s">
        <v>170</v>
      </c>
      <c r="R1947" t="s">
        <v>155</v>
      </c>
      <c r="S1947">
        <v>3</v>
      </c>
      <c r="T1947" t="s">
        <v>137</v>
      </c>
      <c r="U1947">
        <v>0</v>
      </c>
      <c r="V1947">
        <v>3</v>
      </c>
      <c r="W1947" t="s">
        <v>137</v>
      </c>
      <c r="X1947">
        <v>0</v>
      </c>
      <c r="Y1947" t="s">
        <v>139</v>
      </c>
      <c r="Z1947" t="s">
        <v>191</v>
      </c>
      <c r="AA1947" t="s">
        <v>144</v>
      </c>
      <c r="AB1947" t="s">
        <v>162</v>
      </c>
      <c r="AC1947" t="s">
        <v>175</v>
      </c>
      <c r="AD1947" t="s">
        <v>155</v>
      </c>
      <c r="AE1947" t="s">
        <v>129</v>
      </c>
      <c r="AF1947" t="s">
        <v>21</v>
      </c>
    </row>
    <row r="1948" spans="1:32">
      <c r="A1948" t="s">
        <v>2946</v>
      </c>
      <c r="B1948" s="37">
        <v>40029</v>
      </c>
      <c r="C1948" s="38">
        <v>40029</v>
      </c>
      <c r="D1948" s="38">
        <v>40028</v>
      </c>
      <c r="E1948" s="38">
        <v>40026</v>
      </c>
      <c r="F1948" s="39">
        <v>124</v>
      </c>
      <c r="G1948" t="s">
        <v>9</v>
      </c>
      <c r="H1948" t="s">
        <v>9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195</v>
      </c>
      <c r="O1948" t="s">
        <v>213</v>
      </c>
      <c r="P1948" t="s">
        <v>206</v>
      </c>
      <c r="Q1948" t="s">
        <v>170</v>
      </c>
      <c r="R1948" t="s">
        <v>155</v>
      </c>
      <c r="S1948">
        <v>5</v>
      </c>
      <c r="T1948" t="s">
        <v>135</v>
      </c>
      <c r="U1948">
        <v>0</v>
      </c>
      <c r="V1948">
        <v>5</v>
      </c>
      <c r="W1948" t="s">
        <v>135</v>
      </c>
      <c r="X1948">
        <v>0</v>
      </c>
      <c r="Y1948" t="s">
        <v>139</v>
      </c>
      <c r="Z1948" t="s">
        <v>183</v>
      </c>
      <c r="AA1948" t="s">
        <v>144</v>
      </c>
      <c r="AB1948" t="s">
        <v>162</v>
      </c>
      <c r="AC1948" t="s">
        <v>550</v>
      </c>
      <c r="AD1948" t="s">
        <v>156</v>
      </c>
      <c r="AE1948" t="s">
        <v>120</v>
      </c>
      <c r="AF1948" t="s">
        <v>1001</v>
      </c>
    </row>
    <row r="1949" spans="1:32">
      <c r="A1949" t="s">
        <v>2947</v>
      </c>
      <c r="B1949" s="37">
        <v>39952</v>
      </c>
      <c r="C1949" s="38">
        <v>39952</v>
      </c>
      <c r="D1949" s="38">
        <v>39951</v>
      </c>
      <c r="E1949" s="38">
        <v>39934</v>
      </c>
      <c r="F1949" s="39">
        <v>47</v>
      </c>
      <c r="G1949" t="s">
        <v>21</v>
      </c>
      <c r="H1949" t="s">
        <v>21</v>
      </c>
      <c r="I1949">
        <v>0</v>
      </c>
      <c r="J1949">
        <v>0</v>
      </c>
      <c r="K1949">
        <v>0</v>
      </c>
      <c r="L1949">
        <v>1</v>
      </c>
      <c r="M1949">
        <v>0</v>
      </c>
      <c r="N1949" t="s">
        <v>195</v>
      </c>
      <c r="O1949" t="s">
        <v>213</v>
      </c>
      <c r="P1949" t="s">
        <v>206</v>
      </c>
      <c r="Q1949" t="s">
        <v>170</v>
      </c>
      <c r="R1949" t="s">
        <v>155</v>
      </c>
      <c r="T1949" t="s">
        <v>134</v>
      </c>
      <c r="U1949">
        <v>1</v>
      </c>
      <c r="W1949" t="s">
        <v>134</v>
      </c>
      <c r="X1949">
        <v>1</v>
      </c>
      <c r="Y1949" t="s">
        <v>139</v>
      </c>
      <c r="Z1949" t="s">
        <v>190</v>
      </c>
      <c r="AA1949" t="s">
        <v>148</v>
      </c>
      <c r="AB1949" t="s">
        <v>162</v>
      </c>
      <c r="AC1949" t="s">
        <v>459</v>
      </c>
      <c r="AD1949" t="s">
        <v>155</v>
      </c>
      <c r="AE1949" t="s">
        <v>439</v>
      </c>
      <c r="AF1949" t="s">
        <v>21</v>
      </c>
    </row>
    <row r="1950" spans="1:32">
      <c r="A1950" t="s">
        <v>2948</v>
      </c>
      <c r="B1950" s="37">
        <v>39991</v>
      </c>
      <c r="C1950" s="38">
        <v>39991</v>
      </c>
      <c r="D1950" s="38">
        <v>39986</v>
      </c>
      <c r="E1950" s="38">
        <v>39965</v>
      </c>
      <c r="F1950" s="39">
        <v>86</v>
      </c>
      <c r="G1950" t="s">
        <v>21</v>
      </c>
      <c r="H1950" t="s">
        <v>21</v>
      </c>
      <c r="I1950">
        <v>0</v>
      </c>
      <c r="J1950">
        <v>0</v>
      </c>
      <c r="K1950">
        <v>0</v>
      </c>
      <c r="L1950">
        <v>1</v>
      </c>
      <c r="M1950">
        <v>0</v>
      </c>
      <c r="N1950" t="s">
        <v>193</v>
      </c>
      <c r="O1950" t="s">
        <v>213</v>
      </c>
      <c r="P1950" t="s">
        <v>204</v>
      </c>
      <c r="Q1950" t="s">
        <v>170</v>
      </c>
      <c r="R1950" t="s">
        <v>155</v>
      </c>
      <c r="T1950" t="s">
        <v>134</v>
      </c>
      <c r="U1950">
        <v>1</v>
      </c>
      <c r="V1950">
        <v>5</v>
      </c>
      <c r="W1950" t="s">
        <v>135</v>
      </c>
      <c r="X1950">
        <v>0</v>
      </c>
      <c r="Y1950" t="s">
        <v>140</v>
      </c>
      <c r="Z1950" t="s">
        <v>187</v>
      </c>
      <c r="AA1950" t="s">
        <v>148</v>
      </c>
      <c r="AB1950" t="s">
        <v>163</v>
      </c>
      <c r="AC1950" t="s">
        <v>21</v>
      </c>
      <c r="AD1950" t="s">
        <v>155</v>
      </c>
      <c r="AE1950" t="s">
        <v>124</v>
      </c>
      <c r="AF1950" t="s">
        <v>21</v>
      </c>
    </row>
    <row r="1951" spans="1:32">
      <c r="A1951" t="s">
        <v>2949</v>
      </c>
      <c r="B1951" s="37">
        <v>40085</v>
      </c>
      <c r="C1951" s="38">
        <v>40085</v>
      </c>
      <c r="D1951" s="38">
        <v>40084</v>
      </c>
      <c r="E1951" s="38">
        <v>40057</v>
      </c>
      <c r="F1951" s="39">
        <v>180</v>
      </c>
      <c r="G1951" t="s">
        <v>570</v>
      </c>
      <c r="H1951" t="s">
        <v>13</v>
      </c>
      <c r="I1951">
        <v>0</v>
      </c>
      <c r="J1951">
        <v>1</v>
      </c>
      <c r="K1951">
        <v>0</v>
      </c>
      <c r="L1951">
        <v>0</v>
      </c>
      <c r="M1951">
        <v>1</v>
      </c>
      <c r="N1951" t="s">
        <v>196</v>
      </c>
      <c r="O1951" t="s">
        <v>213</v>
      </c>
      <c r="P1951" t="s">
        <v>207</v>
      </c>
      <c r="Q1951" t="s">
        <v>170</v>
      </c>
      <c r="R1951" t="s">
        <v>155</v>
      </c>
      <c r="S1951">
        <v>5</v>
      </c>
      <c r="T1951" t="s">
        <v>135</v>
      </c>
      <c r="U1951">
        <v>0</v>
      </c>
      <c r="V1951">
        <v>5</v>
      </c>
      <c r="W1951" t="s">
        <v>135</v>
      </c>
      <c r="X1951">
        <v>0</v>
      </c>
      <c r="Y1951" t="s">
        <v>139</v>
      </c>
      <c r="Z1951" t="s">
        <v>181</v>
      </c>
      <c r="AA1951" t="s">
        <v>145</v>
      </c>
      <c r="AB1951" t="s">
        <v>162</v>
      </c>
      <c r="AC1951" t="s">
        <v>2950</v>
      </c>
      <c r="AD1951" t="s">
        <v>155</v>
      </c>
      <c r="AE1951" t="s">
        <v>1441</v>
      </c>
      <c r="AF1951" t="s">
        <v>21</v>
      </c>
    </row>
    <row r="1952" spans="1:32">
      <c r="A1952" t="s">
        <v>2951</v>
      </c>
      <c r="B1952" s="37">
        <v>39909</v>
      </c>
      <c r="C1952" s="38">
        <v>39909</v>
      </c>
      <c r="D1952" s="38">
        <v>39909</v>
      </c>
      <c r="E1952" s="38">
        <v>39904</v>
      </c>
      <c r="F1952" s="39">
        <v>4</v>
      </c>
      <c r="G1952" t="s">
        <v>21</v>
      </c>
      <c r="H1952" t="s">
        <v>21</v>
      </c>
      <c r="I1952">
        <v>0</v>
      </c>
      <c r="J1952">
        <v>0</v>
      </c>
      <c r="K1952">
        <v>0</v>
      </c>
      <c r="L1952">
        <v>1</v>
      </c>
      <c r="M1952">
        <v>0</v>
      </c>
      <c r="N1952" t="s">
        <v>200</v>
      </c>
      <c r="O1952" t="s">
        <v>214</v>
      </c>
      <c r="P1952" t="s">
        <v>208</v>
      </c>
      <c r="Q1952" t="s">
        <v>170</v>
      </c>
      <c r="R1952" t="s">
        <v>155</v>
      </c>
      <c r="T1952" t="s">
        <v>134</v>
      </c>
      <c r="U1952">
        <v>1</v>
      </c>
      <c r="W1952" t="s">
        <v>134</v>
      </c>
      <c r="X1952">
        <v>1</v>
      </c>
      <c r="Y1952" t="s">
        <v>139</v>
      </c>
      <c r="Z1952" t="s">
        <v>187</v>
      </c>
      <c r="AA1952" t="s">
        <v>148</v>
      </c>
      <c r="AB1952" t="s">
        <v>162</v>
      </c>
      <c r="AC1952" t="s">
        <v>174</v>
      </c>
      <c r="AD1952" t="s">
        <v>156</v>
      </c>
      <c r="AE1952" t="s">
        <v>120</v>
      </c>
      <c r="AF1952" t="s">
        <v>769</v>
      </c>
    </row>
    <row r="1953" spans="1:32">
      <c r="A1953" t="s">
        <v>2952</v>
      </c>
      <c r="B1953" s="37">
        <v>39939</v>
      </c>
      <c r="C1953" s="38">
        <v>39939</v>
      </c>
      <c r="D1953" s="38">
        <v>39937</v>
      </c>
      <c r="E1953" s="38">
        <v>39934</v>
      </c>
      <c r="F1953" s="39">
        <v>34</v>
      </c>
      <c r="G1953" t="s">
        <v>380</v>
      </c>
      <c r="H1953" t="s">
        <v>17</v>
      </c>
      <c r="I1953">
        <v>0</v>
      </c>
      <c r="J1953">
        <v>0</v>
      </c>
      <c r="K1953">
        <v>1</v>
      </c>
      <c r="L1953">
        <v>0</v>
      </c>
      <c r="M1953">
        <v>0</v>
      </c>
      <c r="N1953" t="s">
        <v>201</v>
      </c>
      <c r="O1953" t="s">
        <v>214</v>
      </c>
      <c r="P1953" t="s">
        <v>204</v>
      </c>
      <c r="Q1953" t="s">
        <v>170</v>
      </c>
      <c r="R1953" t="s">
        <v>155</v>
      </c>
      <c r="T1953" t="s">
        <v>134</v>
      </c>
      <c r="U1953">
        <v>1</v>
      </c>
      <c r="W1953" t="s">
        <v>134</v>
      </c>
      <c r="X1953">
        <v>1</v>
      </c>
      <c r="Y1953" t="s">
        <v>140</v>
      </c>
      <c r="Z1953" t="s">
        <v>190</v>
      </c>
      <c r="AA1953" t="s">
        <v>151</v>
      </c>
      <c r="AB1953" t="s">
        <v>162</v>
      </c>
      <c r="AC1953" t="s">
        <v>174</v>
      </c>
      <c r="AD1953" t="s">
        <v>156</v>
      </c>
      <c r="AE1953" t="s">
        <v>120</v>
      </c>
      <c r="AF1953" t="s">
        <v>942</v>
      </c>
    </row>
    <row r="1954" spans="1:32">
      <c r="A1954" t="s">
        <v>2953</v>
      </c>
      <c r="B1954" s="37">
        <v>39968</v>
      </c>
      <c r="C1954" s="38">
        <v>39968</v>
      </c>
      <c r="D1954" s="38">
        <v>39965</v>
      </c>
      <c r="E1954" s="38">
        <v>39965</v>
      </c>
      <c r="F1954" s="39">
        <v>63</v>
      </c>
      <c r="G1954" t="s">
        <v>21</v>
      </c>
      <c r="H1954" t="s">
        <v>21</v>
      </c>
      <c r="I1954">
        <v>0</v>
      </c>
      <c r="J1954">
        <v>0</v>
      </c>
      <c r="K1954">
        <v>0</v>
      </c>
      <c r="L1954">
        <v>1</v>
      </c>
      <c r="M1954">
        <v>0</v>
      </c>
      <c r="N1954" t="s">
        <v>195</v>
      </c>
      <c r="O1954" t="s">
        <v>213</v>
      </c>
      <c r="P1954" t="s">
        <v>206</v>
      </c>
      <c r="Q1954" t="s">
        <v>170</v>
      </c>
      <c r="R1954" t="s">
        <v>155</v>
      </c>
      <c r="T1954" t="s">
        <v>134</v>
      </c>
      <c r="U1954">
        <v>1</v>
      </c>
      <c r="W1954" t="s">
        <v>134</v>
      </c>
      <c r="X1954">
        <v>1</v>
      </c>
      <c r="Y1954" t="s">
        <v>139</v>
      </c>
      <c r="Z1954" t="s">
        <v>181</v>
      </c>
      <c r="AA1954" t="s">
        <v>145</v>
      </c>
      <c r="AB1954" t="s">
        <v>163</v>
      </c>
      <c r="AC1954" t="s">
        <v>1574</v>
      </c>
      <c r="AD1954" t="s">
        <v>155</v>
      </c>
      <c r="AE1954" t="s">
        <v>125</v>
      </c>
      <c r="AF1954" t="s">
        <v>21</v>
      </c>
    </row>
    <row r="1955" spans="1:32">
      <c r="A1955" t="s">
        <v>2954</v>
      </c>
      <c r="B1955" s="37">
        <v>39994</v>
      </c>
      <c r="C1955" s="38">
        <v>39994</v>
      </c>
      <c r="D1955" s="38">
        <v>39993</v>
      </c>
      <c r="E1955" s="38">
        <v>39965</v>
      </c>
      <c r="F1955" s="39">
        <v>89</v>
      </c>
      <c r="G1955" t="s">
        <v>21</v>
      </c>
      <c r="H1955" t="s">
        <v>21</v>
      </c>
      <c r="I1955">
        <v>0</v>
      </c>
      <c r="J1955">
        <v>0</v>
      </c>
      <c r="K1955">
        <v>0</v>
      </c>
      <c r="L1955">
        <v>1</v>
      </c>
      <c r="M1955">
        <v>0</v>
      </c>
      <c r="N1955" t="s">
        <v>194</v>
      </c>
      <c r="O1955" t="s">
        <v>213</v>
      </c>
      <c r="P1955" t="s">
        <v>205</v>
      </c>
      <c r="Q1955" t="s">
        <v>170</v>
      </c>
      <c r="R1955" t="s">
        <v>155</v>
      </c>
      <c r="T1955" t="s">
        <v>134</v>
      </c>
      <c r="U1955">
        <v>1</v>
      </c>
      <c r="V1955">
        <v>3</v>
      </c>
      <c r="W1955" t="s">
        <v>137</v>
      </c>
      <c r="X1955">
        <v>0</v>
      </c>
      <c r="Y1955" t="s">
        <v>139</v>
      </c>
      <c r="Z1955" t="s">
        <v>181</v>
      </c>
      <c r="AA1955" t="s">
        <v>145</v>
      </c>
      <c r="AB1955" t="s">
        <v>162</v>
      </c>
      <c r="AC1955" t="s">
        <v>2955</v>
      </c>
      <c r="AD1955" t="s">
        <v>156</v>
      </c>
      <c r="AE1955" t="s">
        <v>120</v>
      </c>
      <c r="AF1955" t="s">
        <v>741</v>
      </c>
    </row>
    <row r="1956" spans="1:32">
      <c r="A1956" t="s">
        <v>2956</v>
      </c>
      <c r="B1956" s="37">
        <v>39973</v>
      </c>
      <c r="C1956" s="38">
        <v>39973</v>
      </c>
      <c r="D1956" s="38">
        <v>39972</v>
      </c>
      <c r="E1956" s="38">
        <v>39965</v>
      </c>
      <c r="F1956" s="39">
        <v>68</v>
      </c>
      <c r="G1956" t="s">
        <v>21</v>
      </c>
      <c r="H1956" t="s">
        <v>21</v>
      </c>
      <c r="I1956">
        <v>0</v>
      </c>
      <c r="J1956">
        <v>0</v>
      </c>
      <c r="K1956">
        <v>0</v>
      </c>
      <c r="L1956">
        <v>1</v>
      </c>
      <c r="M1956">
        <v>0</v>
      </c>
      <c r="N1956" t="s">
        <v>195</v>
      </c>
      <c r="O1956" t="s">
        <v>213</v>
      </c>
      <c r="P1956" t="s">
        <v>206</v>
      </c>
      <c r="Q1956" t="s">
        <v>170</v>
      </c>
      <c r="R1956" t="s">
        <v>155</v>
      </c>
      <c r="T1956" t="s">
        <v>134</v>
      </c>
      <c r="U1956">
        <v>1</v>
      </c>
      <c r="W1956" t="s">
        <v>134</v>
      </c>
      <c r="X1956">
        <v>1</v>
      </c>
      <c r="Y1956" t="s">
        <v>139</v>
      </c>
      <c r="Z1956" t="s">
        <v>187</v>
      </c>
      <c r="AA1956" t="s">
        <v>142</v>
      </c>
      <c r="AB1956" t="s">
        <v>163</v>
      </c>
      <c r="AC1956" t="s">
        <v>173</v>
      </c>
      <c r="AD1956" t="s">
        <v>155</v>
      </c>
      <c r="AE1956" t="s">
        <v>124</v>
      </c>
      <c r="AF1956" t="s">
        <v>21</v>
      </c>
    </row>
    <row r="1957" spans="1:32">
      <c r="A1957" t="s">
        <v>2957</v>
      </c>
      <c r="B1957" s="37">
        <v>39941</v>
      </c>
      <c r="C1957" s="38">
        <v>39941</v>
      </c>
      <c r="D1957" s="38">
        <v>39937</v>
      </c>
      <c r="E1957" s="38">
        <v>39934</v>
      </c>
      <c r="F1957" s="39">
        <v>36</v>
      </c>
      <c r="G1957" t="s">
        <v>21</v>
      </c>
      <c r="H1957" t="s">
        <v>21</v>
      </c>
      <c r="I1957">
        <v>0</v>
      </c>
      <c r="J1957">
        <v>0</v>
      </c>
      <c r="K1957">
        <v>0</v>
      </c>
      <c r="L1957">
        <v>1</v>
      </c>
      <c r="M1957">
        <v>0</v>
      </c>
      <c r="N1957" t="s">
        <v>194</v>
      </c>
      <c r="O1957" t="s">
        <v>213</v>
      </c>
      <c r="P1957" t="s">
        <v>205</v>
      </c>
      <c r="Q1957" t="s">
        <v>170</v>
      </c>
      <c r="R1957" t="s">
        <v>155</v>
      </c>
      <c r="T1957" t="s">
        <v>134</v>
      </c>
      <c r="U1957">
        <v>1</v>
      </c>
      <c r="W1957" t="s">
        <v>134</v>
      </c>
      <c r="X1957">
        <v>1</v>
      </c>
      <c r="Y1957" t="s">
        <v>139</v>
      </c>
      <c r="Z1957" t="s">
        <v>190</v>
      </c>
      <c r="AA1957" t="s">
        <v>143</v>
      </c>
      <c r="AB1957" t="s">
        <v>163</v>
      </c>
      <c r="AC1957" t="s">
        <v>415</v>
      </c>
      <c r="AD1957" t="s">
        <v>155</v>
      </c>
      <c r="AE1957" t="s">
        <v>125</v>
      </c>
      <c r="AF1957" t="s">
        <v>21</v>
      </c>
    </row>
    <row r="1958" spans="1:32">
      <c r="A1958" t="s">
        <v>2958</v>
      </c>
      <c r="B1958" s="37">
        <v>39981</v>
      </c>
      <c r="C1958" s="38">
        <v>39981</v>
      </c>
      <c r="D1958" s="38">
        <v>39979</v>
      </c>
      <c r="E1958" s="38">
        <v>39965</v>
      </c>
      <c r="F1958" s="39">
        <v>76</v>
      </c>
      <c r="G1958" t="s">
        <v>21</v>
      </c>
      <c r="H1958" t="s">
        <v>21</v>
      </c>
      <c r="I1958">
        <v>0</v>
      </c>
      <c r="J1958">
        <v>0</v>
      </c>
      <c r="K1958">
        <v>0</v>
      </c>
      <c r="L1958">
        <v>1</v>
      </c>
      <c r="M1958">
        <v>0</v>
      </c>
      <c r="N1958" t="s">
        <v>193</v>
      </c>
      <c r="O1958" t="s">
        <v>213</v>
      </c>
      <c r="P1958" t="s">
        <v>204</v>
      </c>
      <c r="Q1958" t="s">
        <v>170</v>
      </c>
      <c r="R1958" t="s">
        <v>155</v>
      </c>
      <c r="T1958" t="s">
        <v>134</v>
      </c>
      <c r="U1958">
        <v>1</v>
      </c>
      <c r="W1958" t="s">
        <v>134</v>
      </c>
      <c r="X1958">
        <v>1</v>
      </c>
      <c r="Y1958" t="s">
        <v>140</v>
      </c>
      <c r="Z1958" t="s">
        <v>190</v>
      </c>
      <c r="AA1958" t="s">
        <v>145</v>
      </c>
      <c r="AB1958" t="s">
        <v>162</v>
      </c>
      <c r="AC1958" t="s">
        <v>174</v>
      </c>
      <c r="AD1958" t="s">
        <v>156</v>
      </c>
      <c r="AE1958" t="s">
        <v>120</v>
      </c>
      <c r="AF1958" t="s">
        <v>472</v>
      </c>
    </row>
    <row r="1959" spans="1:32">
      <c r="A1959" t="s">
        <v>2959</v>
      </c>
      <c r="B1959" s="37">
        <v>40030</v>
      </c>
      <c r="C1959" s="38">
        <v>40030</v>
      </c>
      <c r="D1959" s="38">
        <v>40028</v>
      </c>
      <c r="E1959" s="38">
        <v>40026</v>
      </c>
      <c r="F1959" s="39">
        <v>125</v>
      </c>
      <c r="G1959" t="s">
        <v>9</v>
      </c>
      <c r="H1959" t="s">
        <v>9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195</v>
      </c>
      <c r="O1959" t="s">
        <v>213</v>
      </c>
      <c r="P1959" t="s">
        <v>206</v>
      </c>
      <c r="Q1959" t="s">
        <v>170</v>
      </c>
      <c r="R1959" t="s">
        <v>155</v>
      </c>
      <c r="S1959">
        <v>5</v>
      </c>
      <c r="T1959" t="s">
        <v>135</v>
      </c>
      <c r="U1959">
        <v>0</v>
      </c>
      <c r="V1959">
        <v>5</v>
      </c>
      <c r="W1959" t="s">
        <v>135</v>
      </c>
      <c r="X1959">
        <v>0</v>
      </c>
      <c r="Y1959" t="s">
        <v>139</v>
      </c>
      <c r="Z1959" t="s">
        <v>190</v>
      </c>
      <c r="AA1959" t="s">
        <v>143</v>
      </c>
      <c r="AB1959" t="s">
        <v>162</v>
      </c>
      <c r="AC1959" t="s">
        <v>176</v>
      </c>
      <c r="AD1959" t="s">
        <v>159</v>
      </c>
      <c r="AE1959" t="s">
        <v>126</v>
      </c>
      <c r="AF1959" t="s">
        <v>601</v>
      </c>
    </row>
    <row r="1960" spans="1:32">
      <c r="A1960" t="s">
        <v>2960</v>
      </c>
      <c r="B1960" s="37">
        <v>40062</v>
      </c>
      <c r="C1960" s="38">
        <v>40062</v>
      </c>
      <c r="D1960" s="38">
        <v>40056</v>
      </c>
      <c r="E1960" s="38">
        <v>40057</v>
      </c>
      <c r="F1960" s="39">
        <v>157</v>
      </c>
      <c r="G1960" t="s">
        <v>21</v>
      </c>
      <c r="H1960" t="s">
        <v>21</v>
      </c>
      <c r="I1960">
        <v>0</v>
      </c>
      <c r="J1960">
        <v>0</v>
      </c>
      <c r="K1960">
        <v>0</v>
      </c>
      <c r="L1960">
        <v>1</v>
      </c>
      <c r="M1960">
        <v>0</v>
      </c>
      <c r="N1960" t="s">
        <v>193</v>
      </c>
      <c r="O1960" t="s">
        <v>213</v>
      </c>
      <c r="P1960" t="s">
        <v>204</v>
      </c>
      <c r="Q1960" t="s">
        <v>170</v>
      </c>
      <c r="R1960" t="s">
        <v>155</v>
      </c>
      <c r="S1960">
        <v>5</v>
      </c>
      <c r="T1960" t="s">
        <v>135</v>
      </c>
      <c r="U1960">
        <v>0</v>
      </c>
      <c r="V1960">
        <v>5</v>
      </c>
      <c r="W1960" t="s">
        <v>135</v>
      </c>
      <c r="X1960">
        <v>0</v>
      </c>
      <c r="Y1960" t="s">
        <v>140</v>
      </c>
      <c r="Z1960" t="s">
        <v>187</v>
      </c>
      <c r="AA1960" t="s">
        <v>150</v>
      </c>
      <c r="AB1960" t="s">
        <v>162</v>
      </c>
      <c r="AC1960" t="s">
        <v>550</v>
      </c>
      <c r="AD1960" t="s">
        <v>156</v>
      </c>
      <c r="AE1960" t="s">
        <v>120</v>
      </c>
      <c r="AF1960" t="s">
        <v>2961</v>
      </c>
    </row>
    <row r="1961" spans="1:32">
      <c r="A1961" t="s">
        <v>2962</v>
      </c>
      <c r="B1961" s="37">
        <v>39964</v>
      </c>
      <c r="C1961" s="38">
        <v>39964</v>
      </c>
      <c r="D1961" s="38">
        <v>39958</v>
      </c>
      <c r="E1961" s="38">
        <v>39934</v>
      </c>
      <c r="F1961" s="39">
        <v>59</v>
      </c>
      <c r="G1961" t="s">
        <v>21</v>
      </c>
      <c r="H1961" t="s">
        <v>21</v>
      </c>
      <c r="I1961">
        <v>0</v>
      </c>
      <c r="J1961">
        <v>0</v>
      </c>
      <c r="K1961">
        <v>0</v>
      </c>
      <c r="L1961">
        <v>1</v>
      </c>
      <c r="M1961">
        <v>0</v>
      </c>
      <c r="N1961" t="s">
        <v>194</v>
      </c>
      <c r="O1961" t="s">
        <v>213</v>
      </c>
      <c r="P1961" t="s">
        <v>205</v>
      </c>
      <c r="Q1961" t="s">
        <v>170</v>
      </c>
      <c r="R1961" t="s">
        <v>155</v>
      </c>
      <c r="T1961" t="s">
        <v>134</v>
      </c>
      <c r="U1961">
        <v>1</v>
      </c>
      <c r="W1961" t="s">
        <v>134</v>
      </c>
      <c r="X1961">
        <v>1</v>
      </c>
      <c r="Y1961" t="s">
        <v>139</v>
      </c>
      <c r="Z1961" t="s">
        <v>181</v>
      </c>
      <c r="AA1961" t="s">
        <v>142</v>
      </c>
      <c r="AB1961" t="s">
        <v>163</v>
      </c>
      <c r="AC1961" t="s">
        <v>464</v>
      </c>
      <c r="AD1961" t="s">
        <v>155</v>
      </c>
      <c r="AE1961" t="s">
        <v>454</v>
      </c>
      <c r="AF1961" t="s">
        <v>21</v>
      </c>
    </row>
    <row r="1962" spans="1:32">
      <c r="A1962" t="s">
        <v>2963</v>
      </c>
      <c r="B1962" s="37">
        <v>39932</v>
      </c>
      <c r="C1962" s="38">
        <v>39932</v>
      </c>
      <c r="D1962" s="38">
        <v>39930</v>
      </c>
      <c r="E1962" s="38">
        <v>39904</v>
      </c>
      <c r="F1962" s="39">
        <v>27</v>
      </c>
      <c r="G1962" t="s">
        <v>21</v>
      </c>
      <c r="H1962" t="s">
        <v>21</v>
      </c>
      <c r="I1962">
        <v>0</v>
      </c>
      <c r="J1962">
        <v>0</v>
      </c>
      <c r="K1962">
        <v>0</v>
      </c>
      <c r="L1962">
        <v>1</v>
      </c>
      <c r="M1962">
        <v>0</v>
      </c>
      <c r="N1962" t="s">
        <v>202</v>
      </c>
      <c r="O1962" t="s">
        <v>213</v>
      </c>
      <c r="P1962" t="s">
        <v>211</v>
      </c>
      <c r="Q1962" t="s">
        <v>170</v>
      </c>
      <c r="R1962" t="s">
        <v>155</v>
      </c>
      <c r="T1962" t="s">
        <v>134</v>
      </c>
      <c r="U1962">
        <v>1</v>
      </c>
      <c r="W1962" t="s">
        <v>134</v>
      </c>
      <c r="X1962">
        <v>1</v>
      </c>
      <c r="Y1962" t="s">
        <v>139</v>
      </c>
      <c r="Z1962" t="s">
        <v>190</v>
      </c>
      <c r="AA1962" t="s">
        <v>147</v>
      </c>
      <c r="AB1962" t="s">
        <v>163</v>
      </c>
      <c r="AC1962" t="s">
        <v>173</v>
      </c>
      <c r="AD1962" t="s">
        <v>155</v>
      </c>
      <c r="AE1962" t="s">
        <v>454</v>
      </c>
      <c r="AF1962" t="s">
        <v>21</v>
      </c>
    </row>
    <row r="1963" spans="1:32">
      <c r="A1963" t="s">
        <v>2964</v>
      </c>
      <c r="B1963" s="37">
        <v>40006</v>
      </c>
      <c r="C1963" s="38">
        <v>40006</v>
      </c>
      <c r="D1963" s="38">
        <v>40000</v>
      </c>
      <c r="E1963" s="38">
        <v>39995</v>
      </c>
      <c r="F1963" s="39">
        <v>101</v>
      </c>
      <c r="G1963" t="s">
        <v>380</v>
      </c>
      <c r="H1963" t="s">
        <v>17</v>
      </c>
      <c r="I1963">
        <v>0</v>
      </c>
      <c r="J1963">
        <v>0</v>
      </c>
      <c r="K1963">
        <v>1</v>
      </c>
      <c r="L1963">
        <v>0</v>
      </c>
      <c r="M1963">
        <v>0</v>
      </c>
      <c r="N1963" t="s">
        <v>193</v>
      </c>
      <c r="O1963" t="s">
        <v>213</v>
      </c>
      <c r="P1963" t="s">
        <v>204</v>
      </c>
      <c r="Q1963" t="s">
        <v>170</v>
      </c>
      <c r="R1963" t="s">
        <v>155</v>
      </c>
      <c r="S1963">
        <v>3</v>
      </c>
      <c r="T1963" t="s">
        <v>137</v>
      </c>
      <c r="U1963">
        <v>0</v>
      </c>
      <c r="V1963">
        <v>2</v>
      </c>
      <c r="W1963" t="s">
        <v>136</v>
      </c>
      <c r="X1963">
        <v>0</v>
      </c>
      <c r="Y1963" t="s">
        <v>140</v>
      </c>
      <c r="Z1963" t="s">
        <v>180</v>
      </c>
      <c r="AA1963" t="s">
        <v>145</v>
      </c>
      <c r="AB1963" t="s">
        <v>162</v>
      </c>
      <c r="AC1963" t="s">
        <v>550</v>
      </c>
      <c r="AD1963" t="s">
        <v>156</v>
      </c>
      <c r="AE1963" t="s">
        <v>120</v>
      </c>
      <c r="AF1963" t="s">
        <v>2965</v>
      </c>
    </row>
    <row r="1964" spans="1:32">
      <c r="A1964" t="s">
        <v>2966</v>
      </c>
      <c r="B1964" s="37">
        <v>39980</v>
      </c>
      <c r="C1964" s="38">
        <v>39980</v>
      </c>
      <c r="D1964" s="38">
        <v>39979</v>
      </c>
      <c r="E1964" s="38">
        <v>39965</v>
      </c>
      <c r="F1964" s="39">
        <v>75</v>
      </c>
      <c r="G1964" t="s">
        <v>21</v>
      </c>
      <c r="H1964" t="s">
        <v>21</v>
      </c>
      <c r="I1964">
        <v>0</v>
      </c>
      <c r="J1964">
        <v>0</v>
      </c>
      <c r="K1964">
        <v>0</v>
      </c>
      <c r="L1964">
        <v>1</v>
      </c>
      <c r="M1964">
        <v>0</v>
      </c>
      <c r="N1964" t="s">
        <v>193</v>
      </c>
      <c r="O1964" t="s">
        <v>213</v>
      </c>
      <c r="P1964" t="s">
        <v>204</v>
      </c>
      <c r="Q1964" t="s">
        <v>170</v>
      </c>
      <c r="R1964" t="s">
        <v>155</v>
      </c>
      <c r="T1964" t="s">
        <v>134</v>
      </c>
      <c r="U1964">
        <v>1</v>
      </c>
      <c r="W1964" t="s">
        <v>134</v>
      </c>
      <c r="X1964">
        <v>1</v>
      </c>
      <c r="Y1964" t="s">
        <v>140</v>
      </c>
      <c r="Z1964" t="s">
        <v>180</v>
      </c>
      <c r="AA1964" t="s">
        <v>145</v>
      </c>
      <c r="AB1964" t="s">
        <v>162</v>
      </c>
      <c r="AC1964" t="s">
        <v>174</v>
      </c>
      <c r="AD1964" t="s">
        <v>159</v>
      </c>
      <c r="AE1964" t="s">
        <v>123</v>
      </c>
      <c r="AF1964" t="s">
        <v>123</v>
      </c>
    </row>
    <row r="1965" spans="1:32">
      <c r="A1965" t="s">
        <v>2967</v>
      </c>
      <c r="B1965" s="37">
        <v>39959</v>
      </c>
      <c r="C1965" s="38">
        <v>39959</v>
      </c>
      <c r="D1965" s="38">
        <v>39958</v>
      </c>
      <c r="E1965" s="38">
        <v>39934</v>
      </c>
      <c r="F1965" s="39">
        <v>54</v>
      </c>
      <c r="G1965" t="s">
        <v>21</v>
      </c>
      <c r="H1965" t="s">
        <v>21</v>
      </c>
      <c r="I1965">
        <v>0</v>
      </c>
      <c r="J1965">
        <v>0</v>
      </c>
      <c r="K1965">
        <v>0</v>
      </c>
      <c r="L1965">
        <v>1</v>
      </c>
      <c r="M1965">
        <v>0</v>
      </c>
      <c r="N1965" t="s">
        <v>195</v>
      </c>
      <c r="O1965" t="s">
        <v>213</v>
      </c>
      <c r="P1965" t="s">
        <v>206</v>
      </c>
      <c r="Q1965" t="s">
        <v>170</v>
      </c>
      <c r="R1965" t="s">
        <v>155</v>
      </c>
      <c r="T1965" t="s">
        <v>134</v>
      </c>
      <c r="U1965">
        <v>1</v>
      </c>
      <c r="W1965" t="s">
        <v>134</v>
      </c>
      <c r="X1965">
        <v>1</v>
      </c>
      <c r="Y1965" t="s">
        <v>139</v>
      </c>
      <c r="Z1965" t="s">
        <v>188</v>
      </c>
      <c r="AA1965" t="s">
        <v>145</v>
      </c>
      <c r="AB1965" t="s">
        <v>162</v>
      </c>
      <c r="AC1965" t="s">
        <v>175</v>
      </c>
      <c r="AD1965" t="s">
        <v>155</v>
      </c>
      <c r="AE1965" t="s">
        <v>129</v>
      </c>
      <c r="AF1965" t="s">
        <v>21</v>
      </c>
    </row>
    <row r="1966" spans="1:32">
      <c r="A1966" t="s">
        <v>2968</v>
      </c>
      <c r="B1966" s="37">
        <v>39945</v>
      </c>
      <c r="C1966" s="38">
        <v>39945</v>
      </c>
      <c r="D1966" s="38">
        <v>39944</v>
      </c>
      <c r="E1966" s="38">
        <v>39934</v>
      </c>
      <c r="F1966" s="39">
        <v>40</v>
      </c>
      <c r="G1966" t="s">
        <v>21</v>
      </c>
      <c r="H1966" t="s">
        <v>21</v>
      </c>
      <c r="I1966">
        <v>0</v>
      </c>
      <c r="J1966">
        <v>0</v>
      </c>
      <c r="K1966">
        <v>0</v>
      </c>
      <c r="L1966">
        <v>1</v>
      </c>
      <c r="M1966">
        <v>0</v>
      </c>
      <c r="N1966" t="s">
        <v>195</v>
      </c>
      <c r="O1966" t="s">
        <v>213</v>
      </c>
      <c r="P1966" t="s">
        <v>206</v>
      </c>
      <c r="Q1966" t="s">
        <v>170</v>
      </c>
      <c r="R1966" t="s">
        <v>155</v>
      </c>
      <c r="T1966" t="s">
        <v>134</v>
      </c>
      <c r="U1966">
        <v>1</v>
      </c>
      <c r="W1966" t="s">
        <v>134</v>
      </c>
      <c r="X1966">
        <v>1</v>
      </c>
      <c r="Y1966" t="s">
        <v>139</v>
      </c>
      <c r="Z1966" t="s">
        <v>180</v>
      </c>
      <c r="AA1966" t="s">
        <v>147</v>
      </c>
      <c r="AB1966" t="s">
        <v>162</v>
      </c>
      <c r="AC1966" t="s">
        <v>2969</v>
      </c>
      <c r="AD1966" t="s">
        <v>155</v>
      </c>
      <c r="AE1966" t="s">
        <v>439</v>
      </c>
      <c r="AF1966" t="s">
        <v>21</v>
      </c>
    </row>
    <row r="1967" spans="1:32">
      <c r="A1967" t="s">
        <v>2970</v>
      </c>
      <c r="B1967" s="37">
        <v>39918</v>
      </c>
      <c r="C1967" s="38">
        <v>39918</v>
      </c>
      <c r="D1967" s="38">
        <v>39916</v>
      </c>
      <c r="E1967" s="38">
        <v>39904</v>
      </c>
      <c r="F1967" s="39">
        <v>13</v>
      </c>
      <c r="G1967" t="s">
        <v>9</v>
      </c>
      <c r="H1967" t="s">
        <v>9</v>
      </c>
      <c r="I1967">
        <v>1</v>
      </c>
      <c r="J1967">
        <v>0</v>
      </c>
      <c r="K1967">
        <v>0</v>
      </c>
      <c r="L1967">
        <v>0</v>
      </c>
      <c r="M1967">
        <v>1</v>
      </c>
      <c r="N1967" t="s">
        <v>202</v>
      </c>
      <c r="O1967" t="s">
        <v>213</v>
      </c>
      <c r="P1967" t="s">
        <v>211</v>
      </c>
      <c r="Q1967" t="s">
        <v>170</v>
      </c>
      <c r="R1967" t="s">
        <v>155</v>
      </c>
      <c r="T1967" t="s">
        <v>134</v>
      </c>
      <c r="U1967">
        <v>1</v>
      </c>
      <c r="W1967" t="s">
        <v>134</v>
      </c>
      <c r="X1967">
        <v>1</v>
      </c>
      <c r="Y1967" t="s">
        <v>139</v>
      </c>
      <c r="Z1967" t="s">
        <v>188</v>
      </c>
      <c r="AA1967" t="s">
        <v>143</v>
      </c>
      <c r="AB1967" t="s">
        <v>163</v>
      </c>
      <c r="AC1967" t="s">
        <v>2971</v>
      </c>
      <c r="AD1967" t="s">
        <v>155</v>
      </c>
      <c r="AE1967" t="s">
        <v>125</v>
      </c>
      <c r="AF1967" t="s">
        <v>21</v>
      </c>
    </row>
    <row r="1968" spans="1:32">
      <c r="A1968" t="s">
        <v>2972</v>
      </c>
      <c r="B1968" s="37">
        <v>39938</v>
      </c>
      <c r="C1968" s="38">
        <v>39938</v>
      </c>
      <c r="D1968" s="38">
        <v>39937</v>
      </c>
      <c r="E1968" s="38">
        <v>39934</v>
      </c>
      <c r="F1968" s="39">
        <v>33</v>
      </c>
      <c r="G1968" t="s">
        <v>496</v>
      </c>
      <c r="H1968" t="s">
        <v>13</v>
      </c>
      <c r="I1968">
        <v>0</v>
      </c>
      <c r="J1968">
        <v>1</v>
      </c>
      <c r="K1968">
        <v>0</v>
      </c>
      <c r="L1968">
        <v>0</v>
      </c>
      <c r="M1968">
        <v>1</v>
      </c>
      <c r="N1968" t="s">
        <v>193</v>
      </c>
      <c r="O1968" t="s">
        <v>213</v>
      </c>
      <c r="P1968" t="s">
        <v>204</v>
      </c>
      <c r="Q1968" t="s">
        <v>170</v>
      </c>
      <c r="R1968" t="s">
        <v>155</v>
      </c>
      <c r="T1968" t="s">
        <v>134</v>
      </c>
      <c r="U1968">
        <v>1</v>
      </c>
      <c r="W1968" t="s">
        <v>134</v>
      </c>
      <c r="X1968">
        <v>1</v>
      </c>
      <c r="Y1968" t="s">
        <v>140</v>
      </c>
      <c r="Z1968" t="s">
        <v>182</v>
      </c>
      <c r="AA1968" t="s">
        <v>147</v>
      </c>
      <c r="AB1968" t="s">
        <v>163</v>
      </c>
      <c r="AC1968" t="s">
        <v>173</v>
      </c>
      <c r="AD1968" t="s">
        <v>155</v>
      </c>
      <c r="AE1968" t="s">
        <v>406</v>
      </c>
      <c r="AF1968" t="s">
        <v>21</v>
      </c>
    </row>
    <row r="1969" spans="1:32">
      <c r="A1969" t="s">
        <v>2973</v>
      </c>
      <c r="B1969" s="37">
        <v>39943</v>
      </c>
      <c r="C1969" s="38">
        <v>39943</v>
      </c>
      <c r="D1969" s="38">
        <v>39937</v>
      </c>
      <c r="E1969" s="38">
        <v>39934</v>
      </c>
      <c r="F1969" s="39">
        <v>38</v>
      </c>
      <c r="G1969" t="s">
        <v>9</v>
      </c>
      <c r="H1969" t="s">
        <v>9</v>
      </c>
      <c r="I1969">
        <v>1</v>
      </c>
      <c r="J1969">
        <v>0</v>
      </c>
      <c r="K1969">
        <v>0</v>
      </c>
      <c r="L1969">
        <v>0</v>
      </c>
      <c r="M1969">
        <v>1</v>
      </c>
      <c r="N1969" t="s">
        <v>194</v>
      </c>
      <c r="O1969" t="s">
        <v>213</v>
      </c>
      <c r="P1969" t="s">
        <v>205</v>
      </c>
      <c r="Q1969" t="s">
        <v>170</v>
      </c>
      <c r="R1969" t="s">
        <v>155</v>
      </c>
      <c r="T1969" t="s">
        <v>134</v>
      </c>
      <c r="U1969">
        <v>1</v>
      </c>
      <c r="W1969" t="s">
        <v>134</v>
      </c>
      <c r="X1969">
        <v>1</v>
      </c>
      <c r="Y1969" t="s">
        <v>139</v>
      </c>
      <c r="Z1969" t="s">
        <v>534</v>
      </c>
      <c r="AA1969" t="s">
        <v>145</v>
      </c>
      <c r="AB1969" t="s">
        <v>163</v>
      </c>
      <c r="AC1969" t="s">
        <v>173</v>
      </c>
      <c r="AD1969" t="s">
        <v>155</v>
      </c>
      <c r="AE1969" t="s">
        <v>125</v>
      </c>
      <c r="AF1969" t="s">
        <v>21</v>
      </c>
    </row>
    <row r="1970" spans="1:32">
      <c r="A1970" t="s">
        <v>2974</v>
      </c>
      <c r="B1970" s="37">
        <v>39945</v>
      </c>
      <c r="C1970" s="38">
        <v>39945</v>
      </c>
      <c r="D1970" s="38">
        <v>39944</v>
      </c>
      <c r="E1970" s="38">
        <v>39934</v>
      </c>
      <c r="F1970" s="39">
        <v>40</v>
      </c>
      <c r="G1970" t="s">
        <v>21</v>
      </c>
      <c r="H1970" t="s">
        <v>21</v>
      </c>
      <c r="I1970">
        <v>0</v>
      </c>
      <c r="J1970">
        <v>0</v>
      </c>
      <c r="K1970">
        <v>0</v>
      </c>
      <c r="L1970">
        <v>1</v>
      </c>
      <c r="M1970">
        <v>0</v>
      </c>
      <c r="N1970" t="s">
        <v>193</v>
      </c>
      <c r="O1970" t="s">
        <v>213</v>
      </c>
      <c r="P1970" t="s">
        <v>204</v>
      </c>
      <c r="Q1970" t="s">
        <v>170</v>
      </c>
      <c r="R1970" t="s">
        <v>155</v>
      </c>
      <c r="T1970" t="s">
        <v>134</v>
      </c>
      <c r="U1970">
        <v>1</v>
      </c>
      <c r="W1970" t="s">
        <v>134</v>
      </c>
      <c r="X1970">
        <v>1</v>
      </c>
      <c r="Y1970" t="s">
        <v>140</v>
      </c>
      <c r="Z1970" t="s">
        <v>180</v>
      </c>
      <c r="AA1970" t="s">
        <v>147</v>
      </c>
      <c r="AB1970" t="s">
        <v>163</v>
      </c>
      <c r="AC1970" t="s">
        <v>415</v>
      </c>
      <c r="AD1970" t="s">
        <v>155</v>
      </c>
      <c r="AE1970" t="s">
        <v>125</v>
      </c>
      <c r="AF1970" t="s">
        <v>21</v>
      </c>
    </row>
    <row r="1971" spans="1:32">
      <c r="A1971" t="s">
        <v>2975</v>
      </c>
      <c r="B1971" s="37">
        <v>40022</v>
      </c>
      <c r="C1971" s="38">
        <v>40022</v>
      </c>
      <c r="D1971" s="38">
        <v>40021</v>
      </c>
      <c r="E1971" s="38">
        <v>39995</v>
      </c>
      <c r="F1971" s="39">
        <v>117</v>
      </c>
      <c r="G1971" t="s">
        <v>21</v>
      </c>
      <c r="H1971" t="s">
        <v>21</v>
      </c>
      <c r="I1971">
        <v>0</v>
      </c>
      <c r="J1971">
        <v>0</v>
      </c>
      <c r="K1971">
        <v>0</v>
      </c>
      <c r="L1971">
        <v>1</v>
      </c>
      <c r="M1971">
        <v>0</v>
      </c>
      <c r="N1971" t="s">
        <v>193</v>
      </c>
      <c r="O1971" t="s">
        <v>213</v>
      </c>
      <c r="P1971" t="s">
        <v>204</v>
      </c>
      <c r="Q1971" t="s">
        <v>170</v>
      </c>
      <c r="R1971" t="s">
        <v>155</v>
      </c>
      <c r="S1971">
        <v>4</v>
      </c>
      <c r="T1971" t="s">
        <v>137</v>
      </c>
      <c r="U1971">
        <v>0</v>
      </c>
      <c r="V1971">
        <v>4</v>
      </c>
      <c r="W1971" t="s">
        <v>137</v>
      </c>
      <c r="X1971">
        <v>0</v>
      </c>
      <c r="Y1971" t="s">
        <v>140</v>
      </c>
      <c r="Z1971" t="s">
        <v>534</v>
      </c>
      <c r="AA1971" t="s">
        <v>144</v>
      </c>
      <c r="AB1971" t="s">
        <v>163</v>
      </c>
      <c r="AC1971" t="s">
        <v>415</v>
      </c>
      <c r="AD1971" t="s">
        <v>155</v>
      </c>
      <c r="AE1971" t="s">
        <v>125</v>
      </c>
      <c r="AF1971" t="s">
        <v>21</v>
      </c>
    </row>
    <row r="1972" spans="1:32">
      <c r="A1972" t="s">
        <v>2976</v>
      </c>
      <c r="B1972" s="37">
        <v>40084</v>
      </c>
      <c r="C1972" s="38">
        <v>40084</v>
      </c>
      <c r="D1972" s="38">
        <v>40084</v>
      </c>
      <c r="E1972" s="38">
        <v>40057</v>
      </c>
      <c r="F1972" s="39">
        <v>179</v>
      </c>
      <c r="G1972" t="s">
        <v>496</v>
      </c>
      <c r="H1972" t="s">
        <v>13</v>
      </c>
      <c r="I1972">
        <v>0</v>
      </c>
      <c r="J1972">
        <v>1</v>
      </c>
      <c r="K1972">
        <v>0</v>
      </c>
      <c r="L1972">
        <v>0</v>
      </c>
      <c r="M1972">
        <v>1</v>
      </c>
      <c r="N1972" t="s">
        <v>544</v>
      </c>
      <c r="O1972" t="s">
        <v>213</v>
      </c>
      <c r="P1972" t="s">
        <v>545</v>
      </c>
      <c r="Q1972" t="s">
        <v>170</v>
      </c>
      <c r="R1972" t="s">
        <v>155</v>
      </c>
      <c r="S1972">
        <v>5</v>
      </c>
      <c r="T1972" t="s">
        <v>135</v>
      </c>
      <c r="U1972">
        <v>0</v>
      </c>
      <c r="V1972">
        <v>5</v>
      </c>
      <c r="W1972" t="s">
        <v>135</v>
      </c>
      <c r="X1972">
        <v>0</v>
      </c>
      <c r="Y1972" t="s">
        <v>139</v>
      </c>
      <c r="Z1972" t="s">
        <v>180</v>
      </c>
      <c r="AA1972" t="s">
        <v>144</v>
      </c>
      <c r="AB1972" t="s">
        <v>163</v>
      </c>
      <c r="AC1972" t="s">
        <v>173</v>
      </c>
      <c r="AD1972" t="s">
        <v>155</v>
      </c>
      <c r="AE1972" t="s">
        <v>128</v>
      </c>
      <c r="AF1972" t="s">
        <v>21</v>
      </c>
    </row>
    <row r="1973" spans="1:32">
      <c r="A1973" t="s">
        <v>2977</v>
      </c>
      <c r="B1973" s="37">
        <v>39933</v>
      </c>
      <c r="C1973" s="38">
        <v>39933</v>
      </c>
      <c r="D1973" s="38">
        <v>39930</v>
      </c>
      <c r="E1973" s="38">
        <v>39904</v>
      </c>
      <c r="F1973" s="39">
        <v>28</v>
      </c>
      <c r="G1973" t="s">
        <v>21</v>
      </c>
      <c r="H1973" t="s">
        <v>21</v>
      </c>
      <c r="I1973">
        <v>0</v>
      </c>
      <c r="J1973">
        <v>0</v>
      </c>
      <c r="K1973">
        <v>0</v>
      </c>
      <c r="L1973">
        <v>1</v>
      </c>
      <c r="M1973">
        <v>0</v>
      </c>
      <c r="N1973" t="s">
        <v>194</v>
      </c>
      <c r="O1973" t="s">
        <v>213</v>
      </c>
      <c r="P1973" t="s">
        <v>205</v>
      </c>
      <c r="Q1973" t="s">
        <v>170</v>
      </c>
      <c r="R1973" t="s">
        <v>155</v>
      </c>
      <c r="T1973" t="s">
        <v>134</v>
      </c>
      <c r="U1973">
        <v>1</v>
      </c>
      <c r="W1973" t="s">
        <v>134</v>
      </c>
      <c r="X1973">
        <v>1</v>
      </c>
      <c r="Y1973" t="s">
        <v>139</v>
      </c>
      <c r="Z1973" t="s">
        <v>180</v>
      </c>
      <c r="AA1973" t="s">
        <v>142</v>
      </c>
      <c r="AB1973" t="s">
        <v>163</v>
      </c>
      <c r="AC1973" t="s">
        <v>173</v>
      </c>
      <c r="AD1973" t="s">
        <v>155</v>
      </c>
      <c r="AE1973" t="s">
        <v>956</v>
      </c>
      <c r="AF1973" t="s">
        <v>21</v>
      </c>
    </row>
    <row r="1974" spans="1:32">
      <c r="A1974" t="s">
        <v>2978</v>
      </c>
      <c r="B1974" s="37">
        <v>40049</v>
      </c>
      <c r="C1974" s="38">
        <v>40049</v>
      </c>
      <c r="D1974" s="38">
        <v>40049</v>
      </c>
      <c r="E1974" s="38">
        <v>40026</v>
      </c>
      <c r="F1974" s="39">
        <v>144</v>
      </c>
      <c r="G1974" t="s">
        <v>21</v>
      </c>
      <c r="H1974" t="s">
        <v>21</v>
      </c>
      <c r="I1974">
        <v>0</v>
      </c>
      <c r="J1974">
        <v>0</v>
      </c>
      <c r="K1974">
        <v>0</v>
      </c>
      <c r="L1974">
        <v>1</v>
      </c>
      <c r="M1974">
        <v>0</v>
      </c>
      <c r="N1974" t="s">
        <v>193</v>
      </c>
      <c r="O1974" t="s">
        <v>213</v>
      </c>
      <c r="P1974" t="s">
        <v>204</v>
      </c>
      <c r="Q1974" t="s">
        <v>170</v>
      </c>
      <c r="R1974" t="s">
        <v>155</v>
      </c>
      <c r="S1974">
        <v>5</v>
      </c>
      <c r="T1974" t="s">
        <v>135</v>
      </c>
      <c r="U1974">
        <v>0</v>
      </c>
      <c r="V1974">
        <v>2</v>
      </c>
      <c r="W1974" t="s">
        <v>136</v>
      </c>
      <c r="X1974">
        <v>0</v>
      </c>
      <c r="Y1974" t="s">
        <v>140</v>
      </c>
      <c r="Z1974" t="s">
        <v>178</v>
      </c>
      <c r="AA1974" t="s">
        <v>145</v>
      </c>
      <c r="AB1974" t="s">
        <v>162</v>
      </c>
      <c r="AC1974" t="s">
        <v>2979</v>
      </c>
      <c r="AD1974" t="s">
        <v>156</v>
      </c>
      <c r="AE1974" t="s">
        <v>120</v>
      </c>
      <c r="AF1974" t="s">
        <v>2980</v>
      </c>
    </row>
    <row r="1975" spans="1:32">
      <c r="A1975" t="s">
        <v>2981</v>
      </c>
      <c r="B1975" s="37">
        <v>40081</v>
      </c>
      <c r="C1975" s="38">
        <v>40081</v>
      </c>
      <c r="D1975" s="38">
        <v>40077</v>
      </c>
      <c r="E1975" s="38">
        <v>40057</v>
      </c>
      <c r="F1975" s="39">
        <v>176</v>
      </c>
      <c r="G1975" t="s">
        <v>21</v>
      </c>
      <c r="H1975" t="s">
        <v>21</v>
      </c>
      <c r="I1975">
        <v>0</v>
      </c>
      <c r="J1975">
        <v>0</v>
      </c>
      <c r="K1975">
        <v>0</v>
      </c>
      <c r="L1975">
        <v>1</v>
      </c>
      <c r="M1975">
        <v>0</v>
      </c>
      <c r="N1975" t="s">
        <v>193</v>
      </c>
      <c r="O1975" t="s">
        <v>213</v>
      </c>
      <c r="P1975" t="s">
        <v>204</v>
      </c>
      <c r="Q1975" t="s">
        <v>170</v>
      </c>
      <c r="R1975" t="s">
        <v>155</v>
      </c>
      <c r="S1975">
        <v>5</v>
      </c>
      <c r="T1975" t="s">
        <v>135</v>
      </c>
      <c r="U1975">
        <v>0</v>
      </c>
      <c r="V1975">
        <v>5</v>
      </c>
      <c r="W1975" t="s">
        <v>135</v>
      </c>
      <c r="X1975">
        <v>0</v>
      </c>
      <c r="Y1975" t="s">
        <v>140</v>
      </c>
      <c r="Z1975" t="s">
        <v>178</v>
      </c>
      <c r="AA1975" t="s">
        <v>143</v>
      </c>
      <c r="AB1975" t="s">
        <v>162</v>
      </c>
      <c r="AC1975" t="s">
        <v>176</v>
      </c>
      <c r="AD1975" t="s">
        <v>155</v>
      </c>
      <c r="AE1975" t="s">
        <v>129</v>
      </c>
      <c r="AF1975" t="s">
        <v>21</v>
      </c>
    </row>
    <row r="1976" spans="1:32">
      <c r="A1976" t="s">
        <v>2982</v>
      </c>
      <c r="B1976" s="37">
        <v>40020</v>
      </c>
      <c r="C1976" s="38">
        <v>40020</v>
      </c>
      <c r="D1976" s="38">
        <v>40014</v>
      </c>
      <c r="E1976" s="38">
        <v>39995</v>
      </c>
      <c r="F1976" s="39">
        <v>115</v>
      </c>
      <c r="G1976" t="s">
        <v>21</v>
      </c>
      <c r="H1976" t="s">
        <v>21</v>
      </c>
      <c r="I1976">
        <v>0</v>
      </c>
      <c r="J1976">
        <v>0</v>
      </c>
      <c r="K1976">
        <v>0</v>
      </c>
      <c r="L1976">
        <v>1</v>
      </c>
      <c r="M1976">
        <v>0</v>
      </c>
      <c r="N1976" t="s">
        <v>193</v>
      </c>
      <c r="O1976" t="s">
        <v>213</v>
      </c>
      <c r="P1976" t="s">
        <v>204</v>
      </c>
      <c r="Q1976" t="s">
        <v>170</v>
      </c>
      <c r="R1976" t="s">
        <v>155</v>
      </c>
      <c r="S1976">
        <v>5</v>
      </c>
      <c r="T1976" t="s">
        <v>135</v>
      </c>
      <c r="U1976">
        <v>0</v>
      </c>
      <c r="V1976">
        <v>5</v>
      </c>
      <c r="W1976" t="s">
        <v>135</v>
      </c>
      <c r="X1976">
        <v>0</v>
      </c>
      <c r="Y1976" t="s">
        <v>140</v>
      </c>
      <c r="Z1976" t="s">
        <v>413</v>
      </c>
      <c r="AA1976" t="s">
        <v>142</v>
      </c>
      <c r="AB1976" t="s">
        <v>162</v>
      </c>
      <c r="AC1976" t="s">
        <v>550</v>
      </c>
      <c r="AD1976" t="s">
        <v>157</v>
      </c>
      <c r="AE1976" t="s">
        <v>434</v>
      </c>
      <c r="AF1976" t="s">
        <v>2983</v>
      </c>
    </row>
    <row r="1977" spans="1:32">
      <c r="A1977" t="s">
        <v>2984</v>
      </c>
      <c r="B1977" s="37">
        <v>39978</v>
      </c>
      <c r="C1977" s="38">
        <v>39978</v>
      </c>
      <c r="D1977" s="38">
        <v>39972</v>
      </c>
      <c r="E1977" s="38">
        <v>39965</v>
      </c>
      <c r="F1977" s="39">
        <v>73</v>
      </c>
      <c r="G1977" t="s">
        <v>21</v>
      </c>
      <c r="H1977" t="s">
        <v>21</v>
      </c>
      <c r="I1977">
        <v>0</v>
      </c>
      <c r="J1977">
        <v>0</v>
      </c>
      <c r="K1977">
        <v>0</v>
      </c>
      <c r="L1977">
        <v>1</v>
      </c>
      <c r="M1977">
        <v>0</v>
      </c>
      <c r="N1977" t="s">
        <v>193</v>
      </c>
      <c r="O1977" t="s">
        <v>213</v>
      </c>
      <c r="P1977" t="s">
        <v>204</v>
      </c>
      <c r="Q1977" t="s">
        <v>170</v>
      </c>
      <c r="R1977" t="s">
        <v>155</v>
      </c>
      <c r="T1977" t="s">
        <v>134</v>
      </c>
      <c r="U1977">
        <v>1</v>
      </c>
      <c r="W1977" t="s">
        <v>134</v>
      </c>
      <c r="X1977">
        <v>1</v>
      </c>
      <c r="Y1977" t="s">
        <v>140</v>
      </c>
      <c r="Z1977" t="s">
        <v>180</v>
      </c>
      <c r="AA1977" t="s">
        <v>146</v>
      </c>
      <c r="AB1977" t="s">
        <v>162</v>
      </c>
      <c r="AC1977" t="s">
        <v>176</v>
      </c>
      <c r="AD1977" t="s">
        <v>155</v>
      </c>
      <c r="AE1977" t="s">
        <v>130</v>
      </c>
      <c r="AF1977" t="s">
        <v>21</v>
      </c>
    </row>
    <row r="1978" spans="1:32">
      <c r="A1978" t="s">
        <v>2985</v>
      </c>
      <c r="B1978" s="37">
        <v>39992</v>
      </c>
      <c r="C1978" s="38">
        <v>39992</v>
      </c>
      <c r="D1978" s="38">
        <v>39986</v>
      </c>
      <c r="E1978" s="38">
        <v>39965</v>
      </c>
      <c r="F1978" s="39">
        <v>87</v>
      </c>
      <c r="G1978" t="s">
        <v>21</v>
      </c>
      <c r="H1978" t="s">
        <v>21</v>
      </c>
      <c r="I1978">
        <v>0</v>
      </c>
      <c r="J1978">
        <v>0</v>
      </c>
      <c r="K1978">
        <v>0</v>
      </c>
      <c r="L1978">
        <v>1</v>
      </c>
      <c r="M1978">
        <v>0</v>
      </c>
      <c r="N1978" t="s">
        <v>194</v>
      </c>
      <c r="O1978" t="s">
        <v>213</v>
      </c>
      <c r="P1978" t="s">
        <v>205</v>
      </c>
      <c r="Q1978" t="s">
        <v>170</v>
      </c>
      <c r="R1978" t="s">
        <v>155</v>
      </c>
      <c r="T1978" t="s">
        <v>134</v>
      </c>
      <c r="U1978">
        <v>1</v>
      </c>
      <c r="V1978">
        <v>5</v>
      </c>
      <c r="W1978" t="s">
        <v>135</v>
      </c>
      <c r="X1978">
        <v>0</v>
      </c>
      <c r="Y1978" t="s">
        <v>139</v>
      </c>
      <c r="Z1978" t="s">
        <v>178</v>
      </c>
      <c r="AA1978" t="s">
        <v>150</v>
      </c>
      <c r="AB1978" t="s">
        <v>162</v>
      </c>
      <c r="AC1978" t="s">
        <v>174</v>
      </c>
      <c r="AD1978" t="s">
        <v>156</v>
      </c>
      <c r="AE1978" t="s">
        <v>120</v>
      </c>
      <c r="AF1978" t="s">
        <v>832</v>
      </c>
    </row>
    <row r="1979" spans="1:32">
      <c r="A1979" t="s">
        <v>2986</v>
      </c>
      <c r="B1979" s="37">
        <v>39937</v>
      </c>
      <c r="C1979" s="38">
        <v>39937</v>
      </c>
      <c r="D1979" s="38">
        <v>39937</v>
      </c>
      <c r="E1979" s="38">
        <v>39934</v>
      </c>
      <c r="F1979" s="39">
        <v>32</v>
      </c>
      <c r="G1979" t="s">
        <v>21</v>
      </c>
      <c r="H1979" t="s">
        <v>21</v>
      </c>
      <c r="I1979">
        <v>0</v>
      </c>
      <c r="J1979">
        <v>0</v>
      </c>
      <c r="K1979">
        <v>0</v>
      </c>
      <c r="L1979">
        <v>1</v>
      </c>
      <c r="M1979">
        <v>0</v>
      </c>
      <c r="N1979" t="s">
        <v>193</v>
      </c>
      <c r="O1979" t="s">
        <v>213</v>
      </c>
      <c r="P1979" t="s">
        <v>204</v>
      </c>
      <c r="Q1979" t="s">
        <v>170</v>
      </c>
      <c r="R1979" t="s">
        <v>155</v>
      </c>
      <c r="T1979" t="s">
        <v>134</v>
      </c>
      <c r="U1979">
        <v>1</v>
      </c>
      <c r="W1979" t="s">
        <v>134</v>
      </c>
      <c r="X1979">
        <v>1</v>
      </c>
      <c r="Y1979" t="s">
        <v>140</v>
      </c>
      <c r="Z1979" t="s">
        <v>180</v>
      </c>
      <c r="AA1979" t="s">
        <v>147</v>
      </c>
      <c r="AB1979" t="s">
        <v>163</v>
      </c>
      <c r="AC1979" t="s">
        <v>2971</v>
      </c>
      <c r="AD1979" t="s">
        <v>155</v>
      </c>
      <c r="AE1979" t="s">
        <v>124</v>
      </c>
      <c r="AF1979" t="s">
        <v>21</v>
      </c>
    </row>
    <row r="1980" spans="1:32">
      <c r="A1980" t="s">
        <v>2987</v>
      </c>
      <c r="B1980" s="37">
        <v>40069</v>
      </c>
      <c r="C1980" s="38">
        <v>40069</v>
      </c>
      <c r="D1980" s="38">
        <v>40063</v>
      </c>
      <c r="E1980" s="38">
        <v>40057</v>
      </c>
      <c r="F1980" s="39">
        <v>164</v>
      </c>
      <c r="G1980" t="s">
        <v>525</v>
      </c>
      <c r="H1980" t="s">
        <v>17</v>
      </c>
      <c r="I1980">
        <v>0</v>
      </c>
      <c r="J1980">
        <v>0</v>
      </c>
      <c r="K1980">
        <v>1</v>
      </c>
      <c r="L1980">
        <v>0</v>
      </c>
      <c r="M1980">
        <v>0</v>
      </c>
      <c r="N1980" t="s">
        <v>196</v>
      </c>
      <c r="O1980" t="s">
        <v>213</v>
      </c>
      <c r="P1980" t="s">
        <v>207</v>
      </c>
      <c r="Q1980" t="s">
        <v>170</v>
      </c>
      <c r="R1980" t="s">
        <v>155</v>
      </c>
      <c r="S1980">
        <v>1</v>
      </c>
      <c r="T1980" t="s">
        <v>136</v>
      </c>
      <c r="U1980">
        <v>0</v>
      </c>
      <c r="V1980">
        <v>5</v>
      </c>
      <c r="W1980" t="s">
        <v>135</v>
      </c>
      <c r="X1980">
        <v>0</v>
      </c>
      <c r="Y1980" t="s">
        <v>139</v>
      </c>
      <c r="Z1980" t="s">
        <v>534</v>
      </c>
      <c r="AA1980" t="s">
        <v>149</v>
      </c>
      <c r="AB1980" t="s">
        <v>162</v>
      </c>
      <c r="AC1980" t="s">
        <v>459</v>
      </c>
      <c r="AD1980" t="s">
        <v>159</v>
      </c>
      <c r="AE1980" t="s">
        <v>126</v>
      </c>
      <c r="AF1980" t="s">
        <v>601</v>
      </c>
    </row>
    <row r="1981" spans="1:32">
      <c r="A1981" t="s">
        <v>2988</v>
      </c>
      <c r="B1981" s="37">
        <v>40029</v>
      </c>
      <c r="C1981" s="38">
        <v>40029</v>
      </c>
      <c r="D1981" s="38">
        <v>40028</v>
      </c>
      <c r="E1981" s="38">
        <v>40026</v>
      </c>
      <c r="F1981" s="39">
        <v>124</v>
      </c>
      <c r="G1981" t="s">
        <v>21</v>
      </c>
      <c r="H1981" t="s">
        <v>21</v>
      </c>
      <c r="I1981">
        <v>0</v>
      </c>
      <c r="J1981">
        <v>0</v>
      </c>
      <c r="K1981">
        <v>0</v>
      </c>
      <c r="L1981">
        <v>1</v>
      </c>
      <c r="M1981">
        <v>0</v>
      </c>
      <c r="N1981" t="s">
        <v>195</v>
      </c>
      <c r="O1981" t="s">
        <v>213</v>
      </c>
      <c r="P1981" t="s">
        <v>206</v>
      </c>
      <c r="Q1981" t="s">
        <v>170</v>
      </c>
      <c r="R1981" t="s">
        <v>155</v>
      </c>
      <c r="S1981">
        <v>5</v>
      </c>
      <c r="T1981" t="s">
        <v>135</v>
      </c>
      <c r="U1981">
        <v>0</v>
      </c>
      <c r="V1981">
        <v>5</v>
      </c>
      <c r="W1981" t="s">
        <v>135</v>
      </c>
      <c r="X1981">
        <v>0</v>
      </c>
      <c r="Y1981" t="s">
        <v>139</v>
      </c>
      <c r="Z1981" t="s">
        <v>182</v>
      </c>
      <c r="AA1981" t="s">
        <v>149</v>
      </c>
      <c r="AB1981" t="s">
        <v>162</v>
      </c>
      <c r="AC1981" t="s">
        <v>176</v>
      </c>
      <c r="AD1981" t="s">
        <v>159</v>
      </c>
      <c r="AE1981" t="s">
        <v>126</v>
      </c>
      <c r="AF1981" t="s">
        <v>601</v>
      </c>
    </row>
    <row r="1982" spans="1:32">
      <c r="A1982" t="s">
        <v>2989</v>
      </c>
      <c r="B1982" s="37">
        <v>40033</v>
      </c>
      <c r="C1982" s="38">
        <v>40033</v>
      </c>
      <c r="D1982" s="38">
        <v>40028</v>
      </c>
      <c r="E1982" s="38">
        <v>40026</v>
      </c>
      <c r="F1982" s="39">
        <v>128</v>
      </c>
      <c r="G1982" t="s">
        <v>21</v>
      </c>
      <c r="H1982" t="s">
        <v>21</v>
      </c>
      <c r="I1982">
        <v>0</v>
      </c>
      <c r="J1982">
        <v>0</v>
      </c>
      <c r="K1982">
        <v>0</v>
      </c>
      <c r="L1982">
        <v>1</v>
      </c>
      <c r="M1982">
        <v>0</v>
      </c>
      <c r="N1982" t="s">
        <v>193</v>
      </c>
      <c r="O1982" t="s">
        <v>213</v>
      </c>
      <c r="P1982" t="s">
        <v>204</v>
      </c>
      <c r="Q1982" t="s">
        <v>170</v>
      </c>
      <c r="R1982" t="s">
        <v>155</v>
      </c>
      <c r="S1982">
        <v>5</v>
      </c>
      <c r="T1982" t="s">
        <v>135</v>
      </c>
      <c r="U1982">
        <v>0</v>
      </c>
      <c r="V1982">
        <v>4</v>
      </c>
      <c r="W1982" t="s">
        <v>137</v>
      </c>
      <c r="X1982">
        <v>0</v>
      </c>
      <c r="Y1982" t="s">
        <v>140</v>
      </c>
      <c r="Z1982" t="s">
        <v>534</v>
      </c>
      <c r="AA1982" t="s">
        <v>149</v>
      </c>
      <c r="AB1982" t="s">
        <v>163</v>
      </c>
      <c r="AC1982" t="s">
        <v>902</v>
      </c>
      <c r="AD1982" t="s">
        <v>155</v>
      </c>
      <c r="AE1982" t="s">
        <v>125</v>
      </c>
      <c r="AF1982" t="s">
        <v>21</v>
      </c>
    </row>
    <row r="1983" spans="1:32">
      <c r="A1983" t="s">
        <v>2990</v>
      </c>
      <c r="B1983" s="37">
        <v>40048</v>
      </c>
      <c r="C1983" s="38">
        <v>40048</v>
      </c>
      <c r="D1983" s="38">
        <v>40042</v>
      </c>
      <c r="E1983" s="38">
        <v>40026</v>
      </c>
      <c r="F1983" s="39">
        <v>143</v>
      </c>
      <c r="G1983" t="s">
        <v>21</v>
      </c>
      <c r="H1983" t="s">
        <v>21</v>
      </c>
      <c r="I1983">
        <v>0</v>
      </c>
      <c r="J1983">
        <v>0</v>
      </c>
      <c r="K1983">
        <v>0</v>
      </c>
      <c r="L1983">
        <v>1</v>
      </c>
      <c r="M1983">
        <v>0</v>
      </c>
      <c r="N1983" t="s">
        <v>197</v>
      </c>
      <c r="O1983" t="s">
        <v>213</v>
      </c>
      <c r="P1983" t="s">
        <v>209</v>
      </c>
      <c r="Q1983" t="s">
        <v>170</v>
      </c>
      <c r="R1983" t="s">
        <v>155</v>
      </c>
      <c r="S1983">
        <v>1</v>
      </c>
      <c r="T1983" t="s">
        <v>136</v>
      </c>
      <c r="U1983">
        <v>0</v>
      </c>
      <c r="V1983">
        <v>3</v>
      </c>
      <c r="W1983" t="s">
        <v>137</v>
      </c>
      <c r="X1983">
        <v>0</v>
      </c>
      <c r="Y1983" t="s">
        <v>139</v>
      </c>
      <c r="Z1983" t="s">
        <v>188</v>
      </c>
      <c r="AA1983" t="s">
        <v>144</v>
      </c>
      <c r="AB1983" t="s">
        <v>165</v>
      </c>
      <c r="AC1983" t="s">
        <v>2991</v>
      </c>
      <c r="AD1983" t="s">
        <v>158</v>
      </c>
      <c r="AE1983" t="s">
        <v>122</v>
      </c>
      <c r="AF1983" t="s">
        <v>21</v>
      </c>
    </row>
    <row r="1984" spans="1:32">
      <c r="A1984" t="s">
        <v>2992</v>
      </c>
      <c r="B1984" s="37">
        <v>40021</v>
      </c>
      <c r="C1984" s="38">
        <v>40021</v>
      </c>
      <c r="D1984" s="38">
        <v>40021</v>
      </c>
      <c r="E1984" s="38">
        <v>39995</v>
      </c>
      <c r="F1984" s="39">
        <v>116</v>
      </c>
      <c r="G1984" t="s">
        <v>21</v>
      </c>
      <c r="H1984" t="s">
        <v>21</v>
      </c>
      <c r="I1984">
        <v>0</v>
      </c>
      <c r="J1984">
        <v>0</v>
      </c>
      <c r="K1984">
        <v>0</v>
      </c>
      <c r="L1984">
        <v>1</v>
      </c>
      <c r="M1984">
        <v>0</v>
      </c>
      <c r="N1984" t="s">
        <v>197</v>
      </c>
      <c r="O1984" t="s">
        <v>213</v>
      </c>
      <c r="P1984" t="s">
        <v>209</v>
      </c>
      <c r="Q1984" t="s">
        <v>170</v>
      </c>
      <c r="R1984" t="s">
        <v>155</v>
      </c>
      <c r="S1984">
        <v>5</v>
      </c>
      <c r="T1984" t="s">
        <v>135</v>
      </c>
      <c r="U1984">
        <v>0</v>
      </c>
      <c r="V1984">
        <v>3</v>
      </c>
      <c r="W1984" t="s">
        <v>137</v>
      </c>
      <c r="X1984">
        <v>0</v>
      </c>
      <c r="Y1984" t="s">
        <v>139</v>
      </c>
      <c r="Z1984" t="s">
        <v>413</v>
      </c>
      <c r="AA1984" t="s">
        <v>143</v>
      </c>
      <c r="AB1984" t="s">
        <v>162</v>
      </c>
      <c r="AC1984" t="s">
        <v>176</v>
      </c>
      <c r="AD1984" t="s">
        <v>159</v>
      </c>
      <c r="AE1984" t="s">
        <v>126</v>
      </c>
      <c r="AF1984" t="s">
        <v>601</v>
      </c>
    </row>
    <row r="1985" spans="1:32">
      <c r="A1985" t="s">
        <v>2993</v>
      </c>
      <c r="B1985" s="37">
        <v>40022</v>
      </c>
      <c r="C1985" s="38">
        <v>40022</v>
      </c>
      <c r="D1985" s="38">
        <v>40021</v>
      </c>
      <c r="E1985" s="38">
        <v>39995</v>
      </c>
      <c r="F1985" s="39">
        <v>117</v>
      </c>
      <c r="G1985" t="s">
        <v>21</v>
      </c>
      <c r="H1985" t="s">
        <v>21</v>
      </c>
      <c r="I1985">
        <v>0</v>
      </c>
      <c r="J1985">
        <v>0</v>
      </c>
      <c r="K1985">
        <v>0</v>
      </c>
      <c r="L1985">
        <v>1</v>
      </c>
      <c r="M1985">
        <v>0</v>
      </c>
      <c r="N1985" t="s">
        <v>197</v>
      </c>
      <c r="O1985" t="s">
        <v>213</v>
      </c>
      <c r="P1985" t="s">
        <v>209</v>
      </c>
      <c r="Q1985" t="s">
        <v>170</v>
      </c>
      <c r="R1985" t="s">
        <v>155</v>
      </c>
      <c r="S1985">
        <v>5</v>
      </c>
      <c r="T1985" t="s">
        <v>135</v>
      </c>
      <c r="U1985">
        <v>0</v>
      </c>
      <c r="V1985">
        <v>5</v>
      </c>
      <c r="W1985" t="s">
        <v>135</v>
      </c>
      <c r="X1985">
        <v>0</v>
      </c>
      <c r="Y1985" t="s">
        <v>139</v>
      </c>
      <c r="Z1985" t="s">
        <v>181</v>
      </c>
      <c r="AA1985" t="s">
        <v>145</v>
      </c>
      <c r="AB1985" t="s">
        <v>163</v>
      </c>
      <c r="AC1985" t="s">
        <v>1827</v>
      </c>
      <c r="AD1985" t="s">
        <v>155</v>
      </c>
      <c r="AE1985" t="s">
        <v>956</v>
      </c>
      <c r="AF1985" t="s">
        <v>21</v>
      </c>
    </row>
    <row r="1986" spans="1:32">
      <c r="A1986" t="s">
        <v>2994</v>
      </c>
      <c r="B1986" s="37">
        <v>39967</v>
      </c>
      <c r="C1986" s="38">
        <v>39967</v>
      </c>
      <c r="D1986" s="38">
        <v>39965</v>
      </c>
      <c r="E1986" s="38">
        <v>39965</v>
      </c>
      <c r="F1986" s="39">
        <v>62</v>
      </c>
      <c r="G1986" t="s">
        <v>383</v>
      </c>
      <c r="H1986" t="s">
        <v>17</v>
      </c>
      <c r="I1986">
        <v>0</v>
      </c>
      <c r="J1986">
        <v>0</v>
      </c>
      <c r="K1986">
        <v>1</v>
      </c>
      <c r="L1986">
        <v>0</v>
      </c>
      <c r="M1986">
        <v>0</v>
      </c>
      <c r="N1986" t="s">
        <v>195</v>
      </c>
      <c r="O1986" t="s">
        <v>213</v>
      </c>
      <c r="P1986" t="s">
        <v>206</v>
      </c>
      <c r="Q1986" t="s">
        <v>170</v>
      </c>
      <c r="R1986" t="s">
        <v>155</v>
      </c>
      <c r="T1986" t="s">
        <v>134</v>
      </c>
      <c r="U1986">
        <v>1</v>
      </c>
      <c r="W1986" t="s">
        <v>134</v>
      </c>
      <c r="X1986">
        <v>1</v>
      </c>
      <c r="Y1986" t="s">
        <v>139</v>
      </c>
      <c r="Z1986" t="s">
        <v>376</v>
      </c>
      <c r="AA1986" t="s">
        <v>143</v>
      </c>
      <c r="AB1986" t="s">
        <v>165</v>
      </c>
      <c r="AC1986" t="s">
        <v>21</v>
      </c>
      <c r="AD1986" t="s">
        <v>158</v>
      </c>
      <c r="AE1986" t="s">
        <v>122</v>
      </c>
      <c r="AF1986" t="s">
        <v>21</v>
      </c>
    </row>
    <row r="1987" spans="1:32">
      <c r="A1987" t="s">
        <v>2995</v>
      </c>
      <c r="B1987" s="37">
        <v>40052</v>
      </c>
      <c r="C1987" s="38">
        <v>40052</v>
      </c>
      <c r="D1987" s="38">
        <v>40049</v>
      </c>
      <c r="E1987" s="38">
        <v>40026</v>
      </c>
      <c r="F1987" s="39">
        <v>147</v>
      </c>
      <c r="G1987" t="s">
        <v>21</v>
      </c>
      <c r="H1987" t="s">
        <v>21</v>
      </c>
      <c r="I1987">
        <v>0</v>
      </c>
      <c r="J1987">
        <v>0</v>
      </c>
      <c r="K1987">
        <v>0</v>
      </c>
      <c r="L1987">
        <v>1</v>
      </c>
      <c r="M1987">
        <v>0</v>
      </c>
      <c r="N1987" t="s">
        <v>193</v>
      </c>
      <c r="O1987" t="s">
        <v>213</v>
      </c>
      <c r="P1987" t="s">
        <v>204</v>
      </c>
      <c r="Q1987" t="s">
        <v>170</v>
      </c>
      <c r="R1987" t="s">
        <v>155</v>
      </c>
      <c r="S1987">
        <v>5</v>
      </c>
      <c r="T1987" t="s">
        <v>135</v>
      </c>
      <c r="U1987">
        <v>0</v>
      </c>
      <c r="V1987">
        <v>3</v>
      </c>
      <c r="W1987" t="s">
        <v>137</v>
      </c>
      <c r="X1987">
        <v>0</v>
      </c>
      <c r="Y1987" t="s">
        <v>140</v>
      </c>
      <c r="Z1987" t="s">
        <v>180</v>
      </c>
      <c r="AA1987" t="s">
        <v>143</v>
      </c>
      <c r="AB1987" t="s">
        <v>162</v>
      </c>
      <c r="AC1987" t="s">
        <v>1550</v>
      </c>
      <c r="AD1987" t="s">
        <v>155</v>
      </c>
      <c r="AE1987" t="s">
        <v>129</v>
      </c>
      <c r="AF1987" t="s">
        <v>21</v>
      </c>
    </row>
    <row r="1988" spans="1:32">
      <c r="A1988" t="s">
        <v>2996</v>
      </c>
      <c r="B1988" s="37">
        <v>39941</v>
      </c>
      <c r="C1988" s="38">
        <v>39941</v>
      </c>
      <c r="D1988" s="38">
        <v>39937</v>
      </c>
      <c r="E1988" s="38">
        <v>39934</v>
      </c>
      <c r="F1988" s="39">
        <v>36</v>
      </c>
      <c r="G1988" t="s">
        <v>21</v>
      </c>
      <c r="H1988" t="s">
        <v>21</v>
      </c>
      <c r="I1988">
        <v>0</v>
      </c>
      <c r="J1988">
        <v>0</v>
      </c>
      <c r="K1988">
        <v>0</v>
      </c>
      <c r="L1988">
        <v>1</v>
      </c>
      <c r="M1988">
        <v>0</v>
      </c>
      <c r="N1988" t="s">
        <v>193</v>
      </c>
      <c r="O1988" t="s">
        <v>213</v>
      </c>
      <c r="P1988" t="s">
        <v>204</v>
      </c>
      <c r="Q1988" t="s">
        <v>170</v>
      </c>
      <c r="R1988" t="s">
        <v>155</v>
      </c>
      <c r="T1988" t="s">
        <v>134</v>
      </c>
      <c r="U1988">
        <v>1</v>
      </c>
      <c r="W1988" t="s">
        <v>134</v>
      </c>
      <c r="X1988">
        <v>1</v>
      </c>
      <c r="Y1988" t="s">
        <v>140</v>
      </c>
      <c r="Z1988" t="s">
        <v>180</v>
      </c>
      <c r="AA1988" t="s">
        <v>143</v>
      </c>
      <c r="AB1988" t="s">
        <v>163</v>
      </c>
      <c r="AC1988" t="s">
        <v>21</v>
      </c>
      <c r="AD1988" t="s">
        <v>161</v>
      </c>
      <c r="AE1988" t="s">
        <v>1253</v>
      </c>
      <c r="AF1988" t="s">
        <v>21</v>
      </c>
    </row>
    <row r="1989" spans="1:32">
      <c r="A1989" t="s">
        <v>2997</v>
      </c>
      <c r="B1989" s="37">
        <v>39921</v>
      </c>
      <c r="C1989" s="38">
        <v>39921</v>
      </c>
      <c r="D1989" s="38">
        <v>39916</v>
      </c>
      <c r="E1989" s="38">
        <v>39904</v>
      </c>
      <c r="F1989" s="39">
        <v>16</v>
      </c>
      <c r="G1989" t="s">
        <v>496</v>
      </c>
      <c r="H1989" t="s">
        <v>13</v>
      </c>
      <c r="I1989">
        <v>0</v>
      </c>
      <c r="J1989">
        <v>1</v>
      </c>
      <c r="K1989">
        <v>0</v>
      </c>
      <c r="L1989">
        <v>0</v>
      </c>
      <c r="M1989">
        <v>1</v>
      </c>
      <c r="N1989" t="s">
        <v>200</v>
      </c>
      <c r="O1989" t="s">
        <v>214</v>
      </c>
      <c r="P1989" t="s">
        <v>208</v>
      </c>
      <c r="Q1989" t="s">
        <v>170</v>
      </c>
      <c r="R1989" t="s">
        <v>155</v>
      </c>
      <c r="T1989" t="s">
        <v>134</v>
      </c>
      <c r="U1989">
        <v>1</v>
      </c>
      <c r="W1989" t="s">
        <v>134</v>
      </c>
      <c r="X1989">
        <v>1</v>
      </c>
      <c r="Y1989" t="s">
        <v>139</v>
      </c>
      <c r="Z1989" t="s">
        <v>180</v>
      </c>
      <c r="AA1989" t="s">
        <v>150</v>
      </c>
      <c r="AB1989" t="s">
        <v>162</v>
      </c>
      <c r="AC1989" t="s">
        <v>174</v>
      </c>
      <c r="AD1989" t="s">
        <v>156</v>
      </c>
      <c r="AE1989" t="s">
        <v>120</v>
      </c>
      <c r="AF1989" t="s">
        <v>620</v>
      </c>
    </row>
    <row r="1990" spans="1:32">
      <c r="A1990" t="s">
        <v>2998</v>
      </c>
      <c r="B1990" s="37">
        <v>39926</v>
      </c>
      <c r="C1990" s="38">
        <v>39926</v>
      </c>
      <c r="D1990" s="38">
        <v>39923</v>
      </c>
      <c r="E1990" s="38">
        <v>39904</v>
      </c>
      <c r="F1990" s="39">
        <v>21</v>
      </c>
      <c r="G1990" t="s">
        <v>21</v>
      </c>
      <c r="H1990" t="s">
        <v>21</v>
      </c>
      <c r="I1990">
        <v>0</v>
      </c>
      <c r="J1990">
        <v>0</v>
      </c>
      <c r="K1990">
        <v>0</v>
      </c>
      <c r="L1990">
        <v>1</v>
      </c>
      <c r="M1990">
        <v>0</v>
      </c>
      <c r="N1990" t="s">
        <v>199</v>
      </c>
      <c r="O1990" t="s">
        <v>213</v>
      </c>
      <c r="P1990" t="s">
        <v>210</v>
      </c>
      <c r="Q1990" t="s">
        <v>170</v>
      </c>
      <c r="R1990" t="s">
        <v>155</v>
      </c>
      <c r="T1990" t="s">
        <v>134</v>
      </c>
      <c r="U1990">
        <v>1</v>
      </c>
      <c r="W1990" t="s">
        <v>134</v>
      </c>
      <c r="X1990">
        <v>1</v>
      </c>
      <c r="Y1990" t="s">
        <v>139</v>
      </c>
      <c r="Z1990" t="s">
        <v>180</v>
      </c>
      <c r="AA1990" t="s">
        <v>143</v>
      </c>
      <c r="AB1990" t="s">
        <v>163</v>
      </c>
      <c r="AC1990" t="s">
        <v>173</v>
      </c>
      <c r="AD1990" t="s">
        <v>155</v>
      </c>
      <c r="AE1990" t="s">
        <v>127</v>
      </c>
      <c r="AF1990" t="s">
        <v>21</v>
      </c>
    </row>
    <row r="1991" spans="1:32">
      <c r="A1991" t="s">
        <v>2999</v>
      </c>
      <c r="B1991" s="37">
        <v>39918</v>
      </c>
      <c r="C1991" s="38">
        <v>39918</v>
      </c>
      <c r="D1991" s="38">
        <v>39916</v>
      </c>
      <c r="E1991" s="38">
        <v>39904</v>
      </c>
      <c r="F1991" s="39">
        <v>13</v>
      </c>
      <c r="G1991" t="s">
        <v>21</v>
      </c>
      <c r="H1991" t="s">
        <v>21</v>
      </c>
      <c r="I1991">
        <v>0</v>
      </c>
      <c r="J1991">
        <v>0</v>
      </c>
      <c r="K1991">
        <v>0</v>
      </c>
      <c r="L1991">
        <v>1</v>
      </c>
      <c r="M1991">
        <v>0</v>
      </c>
      <c r="N1991" t="s">
        <v>201</v>
      </c>
      <c r="O1991" t="s">
        <v>214</v>
      </c>
      <c r="P1991" t="s">
        <v>204</v>
      </c>
      <c r="Q1991" t="s">
        <v>170</v>
      </c>
      <c r="R1991" t="s">
        <v>155</v>
      </c>
      <c r="T1991" t="s">
        <v>134</v>
      </c>
      <c r="U1991">
        <v>1</v>
      </c>
      <c r="W1991" t="s">
        <v>134</v>
      </c>
      <c r="X1991">
        <v>1</v>
      </c>
      <c r="Y1991" t="s">
        <v>140</v>
      </c>
      <c r="Z1991" t="s">
        <v>180</v>
      </c>
      <c r="AA1991" t="s">
        <v>145</v>
      </c>
      <c r="AB1991" t="s">
        <v>163</v>
      </c>
      <c r="AC1991" t="s">
        <v>173</v>
      </c>
      <c r="AD1991" t="s">
        <v>155</v>
      </c>
      <c r="AE1991" t="s">
        <v>124</v>
      </c>
      <c r="AF1991" t="s">
        <v>21</v>
      </c>
    </row>
    <row r="1992" spans="1:32">
      <c r="A1992" t="s">
        <v>3000</v>
      </c>
      <c r="B1992" s="37">
        <v>39968</v>
      </c>
      <c r="C1992" s="38">
        <v>39968</v>
      </c>
      <c r="D1992" s="38">
        <v>39965</v>
      </c>
      <c r="E1992" s="38">
        <v>39965</v>
      </c>
      <c r="F1992" s="39">
        <v>63</v>
      </c>
      <c r="G1992" t="s">
        <v>21</v>
      </c>
      <c r="H1992" t="s">
        <v>21</v>
      </c>
      <c r="I1992">
        <v>0</v>
      </c>
      <c r="J1992">
        <v>0</v>
      </c>
      <c r="K1992">
        <v>0</v>
      </c>
      <c r="L1992">
        <v>1</v>
      </c>
      <c r="M1992">
        <v>0</v>
      </c>
      <c r="N1992" t="s">
        <v>195</v>
      </c>
      <c r="O1992" t="s">
        <v>213</v>
      </c>
      <c r="P1992" t="s">
        <v>206</v>
      </c>
      <c r="Q1992" t="s">
        <v>170</v>
      </c>
      <c r="R1992" t="s">
        <v>155</v>
      </c>
      <c r="T1992" t="s">
        <v>134</v>
      </c>
      <c r="U1992">
        <v>1</v>
      </c>
      <c r="W1992" t="s">
        <v>134</v>
      </c>
      <c r="X1992">
        <v>1</v>
      </c>
      <c r="Y1992" t="s">
        <v>139</v>
      </c>
      <c r="Z1992" t="s">
        <v>180</v>
      </c>
      <c r="AA1992" t="s">
        <v>143</v>
      </c>
      <c r="AB1992" t="s">
        <v>163</v>
      </c>
      <c r="AC1992" t="s">
        <v>173</v>
      </c>
      <c r="AD1992" t="s">
        <v>155</v>
      </c>
      <c r="AE1992" t="s">
        <v>125</v>
      </c>
      <c r="AF1992" t="s">
        <v>21</v>
      </c>
    </row>
    <row r="1993" spans="1:32">
      <c r="A1993" t="s">
        <v>3001</v>
      </c>
      <c r="B1993" s="37">
        <v>39947</v>
      </c>
      <c r="C1993" s="38">
        <v>39947</v>
      </c>
      <c r="D1993" s="38">
        <v>39944</v>
      </c>
      <c r="E1993" s="38">
        <v>39934</v>
      </c>
      <c r="F1993" s="39">
        <v>42</v>
      </c>
      <c r="G1993" t="s">
        <v>496</v>
      </c>
      <c r="H1993" t="s">
        <v>13</v>
      </c>
      <c r="I1993">
        <v>0</v>
      </c>
      <c r="J1993">
        <v>1</v>
      </c>
      <c r="K1993">
        <v>0</v>
      </c>
      <c r="L1993">
        <v>0</v>
      </c>
      <c r="M1993">
        <v>1</v>
      </c>
      <c r="N1993" t="s">
        <v>193</v>
      </c>
      <c r="O1993" t="s">
        <v>213</v>
      </c>
      <c r="P1993" t="s">
        <v>204</v>
      </c>
      <c r="Q1993" t="s">
        <v>170</v>
      </c>
      <c r="R1993" t="s">
        <v>155</v>
      </c>
      <c r="T1993" t="s">
        <v>134</v>
      </c>
      <c r="U1993">
        <v>1</v>
      </c>
      <c r="W1993" t="s">
        <v>134</v>
      </c>
      <c r="X1993">
        <v>1</v>
      </c>
      <c r="Y1993" t="s">
        <v>140</v>
      </c>
      <c r="Z1993" t="s">
        <v>180</v>
      </c>
      <c r="AA1993" t="s">
        <v>147</v>
      </c>
      <c r="AB1993" t="s">
        <v>163</v>
      </c>
      <c r="AC1993" t="s">
        <v>867</v>
      </c>
      <c r="AD1993" t="s">
        <v>155</v>
      </c>
      <c r="AE1993" t="s">
        <v>125</v>
      </c>
      <c r="AF1993" t="s">
        <v>21</v>
      </c>
    </row>
    <row r="1994" spans="1:32">
      <c r="A1994" t="s">
        <v>3002</v>
      </c>
      <c r="B1994" s="37">
        <v>40046</v>
      </c>
      <c r="C1994" s="38">
        <v>40046</v>
      </c>
      <c r="D1994" s="38">
        <v>40042</v>
      </c>
      <c r="E1994" s="38">
        <v>40026</v>
      </c>
      <c r="F1994" s="39">
        <v>141</v>
      </c>
      <c r="G1994" t="s">
        <v>383</v>
      </c>
      <c r="H1994" t="s">
        <v>17</v>
      </c>
      <c r="I1994">
        <v>0</v>
      </c>
      <c r="J1994">
        <v>0</v>
      </c>
      <c r="K1994">
        <v>1</v>
      </c>
      <c r="L1994">
        <v>0</v>
      </c>
      <c r="M1994">
        <v>0</v>
      </c>
      <c r="N1994" t="s">
        <v>197</v>
      </c>
      <c r="O1994" t="s">
        <v>213</v>
      </c>
      <c r="P1994" t="s">
        <v>209</v>
      </c>
      <c r="Q1994" t="s">
        <v>170</v>
      </c>
      <c r="R1994" t="s">
        <v>155</v>
      </c>
      <c r="S1994">
        <v>5</v>
      </c>
      <c r="T1994" t="s">
        <v>135</v>
      </c>
      <c r="U1994">
        <v>0</v>
      </c>
      <c r="V1994">
        <v>5</v>
      </c>
      <c r="W1994" t="s">
        <v>135</v>
      </c>
      <c r="X1994">
        <v>0</v>
      </c>
      <c r="Y1994" t="s">
        <v>139</v>
      </c>
      <c r="Z1994" t="s">
        <v>180</v>
      </c>
      <c r="AA1994" t="s">
        <v>144</v>
      </c>
      <c r="AB1994" t="s">
        <v>163</v>
      </c>
      <c r="AC1994" t="s">
        <v>3003</v>
      </c>
      <c r="AD1994" t="s">
        <v>155</v>
      </c>
      <c r="AE1994" t="s">
        <v>454</v>
      </c>
      <c r="AF1994" t="s">
        <v>21</v>
      </c>
    </row>
    <row r="1995" spans="1:32">
      <c r="A1995" t="s">
        <v>3004</v>
      </c>
      <c r="B1995" s="37">
        <v>40039</v>
      </c>
      <c r="C1995" s="38">
        <v>40039</v>
      </c>
      <c r="D1995" s="38">
        <v>40035</v>
      </c>
      <c r="E1995" s="38">
        <v>40026</v>
      </c>
      <c r="F1995" s="39">
        <v>134</v>
      </c>
      <c r="G1995" t="s">
        <v>21</v>
      </c>
      <c r="H1995" t="s">
        <v>21</v>
      </c>
      <c r="I1995">
        <v>0</v>
      </c>
      <c r="J1995">
        <v>0</v>
      </c>
      <c r="K1995">
        <v>0</v>
      </c>
      <c r="L1995">
        <v>1</v>
      </c>
      <c r="M1995">
        <v>0</v>
      </c>
      <c r="N1995" t="s">
        <v>196</v>
      </c>
      <c r="O1995" t="s">
        <v>213</v>
      </c>
      <c r="P1995" t="s">
        <v>207</v>
      </c>
      <c r="Q1995" t="s">
        <v>170</v>
      </c>
      <c r="R1995" t="s">
        <v>155</v>
      </c>
      <c r="S1995">
        <v>5</v>
      </c>
      <c r="T1995" t="s">
        <v>135</v>
      </c>
      <c r="U1995">
        <v>0</v>
      </c>
      <c r="V1995">
        <v>3</v>
      </c>
      <c r="W1995" t="s">
        <v>137</v>
      </c>
      <c r="X1995">
        <v>0</v>
      </c>
      <c r="Y1995" t="s">
        <v>139</v>
      </c>
      <c r="Z1995" t="s">
        <v>184</v>
      </c>
      <c r="AA1995" t="s">
        <v>146</v>
      </c>
      <c r="AB1995" t="s">
        <v>162</v>
      </c>
      <c r="AC1995" t="s">
        <v>176</v>
      </c>
      <c r="AD1995" t="s">
        <v>155</v>
      </c>
      <c r="AE1995" t="s">
        <v>129</v>
      </c>
      <c r="AF1995" t="s">
        <v>21</v>
      </c>
    </row>
    <row r="1996" spans="1:32">
      <c r="A1996" t="s">
        <v>3005</v>
      </c>
      <c r="B1996" s="37">
        <v>39960</v>
      </c>
      <c r="C1996" s="38">
        <v>39960</v>
      </c>
      <c r="D1996" s="38">
        <v>39958</v>
      </c>
      <c r="E1996" s="38">
        <v>39934</v>
      </c>
      <c r="F1996" s="39">
        <v>55</v>
      </c>
      <c r="G1996" t="s">
        <v>21</v>
      </c>
      <c r="H1996" t="s">
        <v>21</v>
      </c>
      <c r="I1996">
        <v>0</v>
      </c>
      <c r="J1996">
        <v>0</v>
      </c>
      <c r="K1996">
        <v>0</v>
      </c>
      <c r="L1996">
        <v>1</v>
      </c>
      <c r="M1996">
        <v>0</v>
      </c>
      <c r="N1996" t="s">
        <v>195</v>
      </c>
      <c r="O1996" t="s">
        <v>213</v>
      </c>
      <c r="P1996" t="s">
        <v>206</v>
      </c>
      <c r="Q1996" t="s">
        <v>170</v>
      </c>
      <c r="R1996" t="s">
        <v>155</v>
      </c>
      <c r="T1996" t="s">
        <v>134</v>
      </c>
      <c r="U1996">
        <v>1</v>
      </c>
      <c r="W1996" t="s">
        <v>134</v>
      </c>
      <c r="X1996">
        <v>1</v>
      </c>
      <c r="Y1996" t="s">
        <v>139</v>
      </c>
      <c r="Z1996" t="s">
        <v>185</v>
      </c>
      <c r="AA1996" t="s">
        <v>144</v>
      </c>
      <c r="AB1996" t="s">
        <v>163</v>
      </c>
      <c r="AC1996" t="s">
        <v>3006</v>
      </c>
      <c r="AD1996" t="s">
        <v>155</v>
      </c>
      <c r="AE1996" t="s">
        <v>125</v>
      </c>
      <c r="AF1996" t="s">
        <v>21</v>
      </c>
    </row>
    <row r="1997" spans="1:32">
      <c r="A1997" t="s">
        <v>3007</v>
      </c>
      <c r="B1997" s="37">
        <v>39930</v>
      </c>
      <c r="C1997" s="38">
        <v>39930</v>
      </c>
      <c r="D1997" s="38">
        <v>39930</v>
      </c>
      <c r="E1997" s="38">
        <v>39904</v>
      </c>
      <c r="F1997" s="39">
        <v>25</v>
      </c>
      <c r="G1997" t="s">
        <v>21</v>
      </c>
      <c r="H1997" t="s">
        <v>21</v>
      </c>
      <c r="I1997">
        <v>0</v>
      </c>
      <c r="J1997">
        <v>0</v>
      </c>
      <c r="K1997">
        <v>0</v>
      </c>
      <c r="L1997">
        <v>1</v>
      </c>
      <c r="M1997">
        <v>0</v>
      </c>
      <c r="N1997" t="s">
        <v>201</v>
      </c>
      <c r="O1997" t="s">
        <v>214</v>
      </c>
      <c r="P1997" t="s">
        <v>204</v>
      </c>
      <c r="Q1997" t="s">
        <v>170</v>
      </c>
      <c r="R1997" t="s">
        <v>155</v>
      </c>
      <c r="T1997" t="s">
        <v>134</v>
      </c>
      <c r="U1997">
        <v>1</v>
      </c>
      <c r="W1997" t="s">
        <v>134</v>
      </c>
      <c r="X1997">
        <v>1</v>
      </c>
      <c r="Y1997" t="s">
        <v>140</v>
      </c>
      <c r="Z1997" t="s">
        <v>178</v>
      </c>
      <c r="AA1997" t="s">
        <v>149</v>
      </c>
      <c r="AB1997" t="s">
        <v>163</v>
      </c>
      <c r="AC1997" t="s">
        <v>3008</v>
      </c>
      <c r="AD1997" t="s">
        <v>155</v>
      </c>
      <c r="AE1997" t="s">
        <v>124</v>
      </c>
      <c r="AF1997" t="s">
        <v>21</v>
      </c>
    </row>
    <row r="1998" spans="1:32">
      <c r="A1998" t="s">
        <v>3009</v>
      </c>
      <c r="B1998" s="37">
        <v>40040</v>
      </c>
      <c r="C1998" s="38">
        <v>40040</v>
      </c>
      <c r="D1998" s="38">
        <v>40035</v>
      </c>
      <c r="E1998" s="38">
        <v>40026</v>
      </c>
      <c r="F1998" s="39">
        <v>135</v>
      </c>
      <c r="G1998" t="s">
        <v>9</v>
      </c>
      <c r="H1998" t="s">
        <v>9</v>
      </c>
      <c r="I1998">
        <v>1</v>
      </c>
      <c r="J1998">
        <v>0</v>
      </c>
      <c r="K1998">
        <v>0</v>
      </c>
      <c r="L1998">
        <v>0</v>
      </c>
      <c r="M1998">
        <v>1</v>
      </c>
      <c r="N1998" t="s">
        <v>193</v>
      </c>
      <c r="O1998" t="s">
        <v>213</v>
      </c>
      <c r="P1998" t="s">
        <v>204</v>
      </c>
      <c r="Q1998" t="s">
        <v>170</v>
      </c>
      <c r="R1998" t="s">
        <v>155</v>
      </c>
      <c r="S1998">
        <v>5</v>
      </c>
      <c r="T1998" t="s">
        <v>135</v>
      </c>
      <c r="U1998">
        <v>0</v>
      </c>
      <c r="V1998">
        <v>4</v>
      </c>
      <c r="W1998" t="s">
        <v>137</v>
      </c>
      <c r="X1998">
        <v>0</v>
      </c>
      <c r="Y1998" t="s">
        <v>140</v>
      </c>
      <c r="Z1998" t="s">
        <v>180</v>
      </c>
      <c r="AA1998" t="s">
        <v>144</v>
      </c>
      <c r="AB1998" t="s">
        <v>163</v>
      </c>
      <c r="AC1998" t="s">
        <v>173</v>
      </c>
      <c r="AD1998" t="s">
        <v>155</v>
      </c>
      <c r="AE1998" t="s">
        <v>128</v>
      </c>
      <c r="AF1998" t="s">
        <v>21</v>
      </c>
    </row>
    <row r="1999" spans="1:32">
      <c r="A1999" t="s">
        <v>3010</v>
      </c>
      <c r="B1999" s="37">
        <v>39976</v>
      </c>
      <c r="C1999" s="38">
        <v>39976</v>
      </c>
      <c r="D1999" s="38">
        <v>39972</v>
      </c>
      <c r="E1999" s="38">
        <v>39965</v>
      </c>
      <c r="F1999" s="39">
        <v>71</v>
      </c>
      <c r="G1999" t="s">
        <v>380</v>
      </c>
      <c r="H1999" t="s">
        <v>17</v>
      </c>
      <c r="I1999">
        <v>0</v>
      </c>
      <c r="J1999">
        <v>0</v>
      </c>
      <c r="K1999">
        <v>1</v>
      </c>
      <c r="L1999">
        <v>0</v>
      </c>
      <c r="M1999">
        <v>0</v>
      </c>
      <c r="N1999" t="s">
        <v>193</v>
      </c>
      <c r="O1999" t="s">
        <v>213</v>
      </c>
      <c r="P1999" t="s">
        <v>204</v>
      </c>
      <c r="Q1999" t="s">
        <v>170</v>
      </c>
      <c r="R1999" t="s">
        <v>155</v>
      </c>
      <c r="T1999" t="s">
        <v>134</v>
      </c>
      <c r="U1999">
        <v>1</v>
      </c>
      <c r="W1999" t="s">
        <v>134</v>
      </c>
      <c r="X1999">
        <v>1</v>
      </c>
      <c r="Y1999" t="s">
        <v>140</v>
      </c>
      <c r="Z1999" t="s">
        <v>180</v>
      </c>
      <c r="AA1999" t="s">
        <v>143</v>
      </c>
      <c r="AB1999" t="s">
        <v>162</v>
      </c>
      <c r="AC1999" t="s">
        <v>174</v>
      </c>
      <c r="AD1999" t="s">
        <v>159</v>
      </c>
      <c r="AE1999" t="s">
        <v>123</v>
      </c>
      <c r="AF1999" t="s">
        <v>123</v>
      </c>
    </row>
    <row r="2000" spans="1:32">
      <c r="A2000" t="s">
        <v>3011</v>
      </c>
      <c r="B2000" s="37">
        <v>40053</v>
      </c>
      <c r="C2000" s="38">
        <v>40053</v>
      </c>
      <c r="D2000" s="38">
        <v>40049</v>
      </c>
      <c r="E2000" s="38">
        <v>40026</v>
      </c>
      <c r="F2000" s="39">
        <v>148</v>
      </c>
      <c r="G2000" t="s">
        <v>21</v>
      </c>
      <c r="H2000" t="s">
        <v>21</v>
      </c>
      <c r="I2000">
        <v>0</v>
      </c>
      <c r="J2000">
        <v>0</v>
      </c>
      <c r="K2000">
        <v>0</v>
      </c>
      <c r="L2000">
        <v>1</v>
      </c>
      <c r="M2000">
        <v>0</v>
      </c>
      <c r="N2000" t="s">
        <v>197</v>
      </c>
      <c r="O2000" t="s">
        <v>213</v>
      </c>
      <c r="P2000" t="s">
        <v>209</v>
      </c>
      <c r="Q2000" t="s">
        <v>170</v>
      </c>
      <c r="R2000" t="s">
        <v>155</v>
      </c>
      <c r="S2000">
        <v>1</v>
      </c>
      <c r="T2000" t="s">
        <v>136</v>
      </c>
      <c r="U2000">
        <v>0</v>
      </c>
      <c r="V2000">
        <v>4</v>
      </c>
      <c r="W2000" t="s">
        <v>137</v>
      </c>
      <c r="X2000">
        <v>0</v>
      </c>
      <c r="Y2000" t="s">
        <v>139</v>
      </c>
      <c r="Z2000" t="s">
        <v>180</v>
      </c>
      <c r="AA2000" t="s">
        <v>146</v>
      </c>
      <c r="AB2000" t="s">
        <v>162</v>
      </c>
      <c r="AC2000" t="s">
        <v>174</v>
      </c>
      <c r="AD2000" t="s">
        <v>157</v>
      </c>
      <c r="AE2000" t="s">
        <v>434</v>
      </c>
      <c r="AF2000" t="s">
        <v>435</v>
      </c>
    </row>
    <row r="2001" spans="1:32">
      <c r="A2001" t="s">
        <v>3012</v>
      </c>
      <c r="B2001" s="37">
        <v>39992</v>
      </c>
      <c r="C2001" s="38">
        <v>39992</v>
      </c>
      <c r="D2001" s="38">
        <v>39986</v>
      </c>
      <c r="E2001" s="38">
        <v>39965</v>
      </c>
      <c r="F2001" s="39">
        <v>87</v>
      </c>
      <c r="G2001" t="s">
        <v>9</v>
      </c>
      <c r="H2001" t="s">
        <v>9</v>
      </c>
      <c r="I2001">
        <v>1</v>
      </c>
      <c r="J2001">
        <v>0</v>
      </c>
      <c r="K2001">
        <v>0</v>
      </c>
      <c r="L2001">
        <v>0</v>
      </c>
      <c r="M2001">
        <v>1</v>
      </c>
      <c r="N2001" t="s">
        <v>193</v>
      </c>
      <c r="O2001" t="s">
        <v>213</v>
      </c>
      <c r="P2001" t="s">
        <v>204</v>
      </c>
      <c r="Q2001" t="s">
        <v>170</v>
      </c>
      <c r="R2001" t="s">
        <v>155</v>
      </c>
      <c r="T2001" t="s">
        <v>134</v>
      </c>
      <c r="U2001">
        <v>1</v>
      </c>
      <c r="V2001">
        <v>5</v>
      </c>
      <c r="W2001" t="s">
        <v>135</v>
      </c>
      <c r="X2001">
        <v>0</v>
      </c>
      <c r="Y2001" t="s">
        <v>140</v>
      </c>
      <c r="Z2001" t="s">
        <v>180</v>
      </c>
      <c r="AA2001" t="s">
        <v>146</v>
      </c>
      <c r="AB2001" t="s">
        <v>163</v>
      </c>
      <c r="AC2001" t="s">
        <v>1228</v>
      </c>
      <c r="AD2001" t="s">
        <v>155</v>
      </c>
      <c r="AE2001" t="s">
        <v>125</v>
      </c>
      <c r="AF2001" t="s">
        <v>21</v>
      </c>
    </row>
    <row r="2002" spans="1:32">
      <c r="A2002" t="s">
        <v>3013</v>
      </c>
      <c r="B2002" s="37">
        <v>39936</v>
      </c>
      <c r="C2002" s="38">
        <v>39936</v>
      </c>
      <c r="D2002" s="38">
        <v>39930</v>
      </c>
      <c r="E2002" s="38">
        <v>39934</v>
      </c>
      <c r="F2002" s="39">
        <v>31</v>
      </c>
      <c r="G2002" t="s">
        <v>21</v>
      </c>
      <c r="H2002" t="s">
        <v>21</v>
      </c>
      <c r="I2002">
        <v>0</v>
      </c>
      <c r="J2002">
        <v>0</v>
      </c>
      <c r="K2002">
        <v>0</v>
      </c>
      <c r="L2002">
        <v>1</v>
      </c>
      <c r="M2002">
        <v>0</v>
      </c>
      <c r="N2002" t="s">
        <v>193</v>
      </c>
      <c r="O2002" t="s">
        <v>213</v>
      </c>
      <c r="P2002" t="s">
        <v>204</v>
      </c>
      <c r="Q2002" t="s">
        <v>170</v>
      </c>
      <c r="R2002" t="s">
        <v>155</v>
      </c>
      <c r="T2002" t="s">
        <v>134</v>
      </c>
      <c r="U2002">
        <v>1</v>
      </c>
      <c r="W2002" t="s">
        <v>134</v>
      </c>
      <c r="X2002">
        <v>1</v>
      </c>
      <c r="Y2002" t="s">
        <v>140</v>
      </c>
      <c r="Z2002" t="s">
        <v>180</v>
      </c>
      <c r="AA2002" t="s">
        <v>145</v>
      </c>
      <c r="AB2002" t="s">
        <v>163</v>
      </c>
      <c r="AC2002" t="s">
        <v>415</v>
      </c>
      <c r="AD2002" t="s">
        <v>155</v>
      </c>
      <c r="AE2002" t="s">
        <v>692</v>
      </c>
      <c r="AF2002" t="s">
        <v>21</v>
      </c>
    </row>
    <row r="2003" spans="1:32">
      <c r="A2003" t="s">
        <v>3014</v>
      </c>
      <c r="B2003" s="37">
        <v>40000</v>
      </c>
      <c r="C2003" s="38">
        <v>40000</v>
      </c>
      <c r="D2003" s="38">
        <v>40000</v>
      </c>
      <c r="E2003" s="38">
        <v>39995</v>
      </c>
      <c r="F2003" s="39">
        <v>95</v>
      </c>
      <c r="G2003" t="s">
        <v>383</v>
      </c>
      <c r="H2003" t="s">
        <v>17</v>
      </c>
      <c r="I2003">
        <v>0</v>
      </c>
      <c r="J2003">
        <v>0</v>
      </c>
      <c r="K2003">
        <v>1</v>
      </c>
      <c r="L2003">
        <v>0</v>
      </c>
      <c r="M2003">
        <v>0</v>
      </c>
      <c r="N2003" t="s">
        <v>196</v>
      </c>
      <c r="O2003" t="s">
        <v>213</v>
      </c>
      <c r="P2003" t="s">
        <v>207</v>
      </c>
      <c r="Q2003" t="s">
        <v>170</v>
      </c>
      <c r="R2003" t="s">
        <v>155</v>
      </c>
      <c r="T2003" t="s">
        <v>134</v>
      </c>
      <c r="U2003">
        <v>1</v>
      </c>
      <c r="V2003">
        <v>3</v>
      </c>
      <c r="W2003" t="s">
        <v>137</v>
      </c>
      <c r="X2003">
        <v>0</v>
      </c>
      <c r="Y2003" t="s">
        <v>139</v>
      </c>
      <c r="Z2003" t="s">
        <v>180</v>
      </c>
      <c r="AA2003" t="s">
        <v>145</v>
      </c>
      <c r="AB2003" t="s">
        <v>162</v>
      </c>
      <c r="AC2003" t="s">
        <v>2900</v>
      </c>
      <c r="AD2003" t="s">
        <v>156</v>
      </c>
      <c r="AE2003" t="s">
        <v>120</v>
      </c>
      <c r="AF2003" t="s">
        <v>2698</v>
      </c>
    </row>
    <row r="2004" spans="1:32">
      <c r="A2004" t="s">
        <v>3015</v>
      </c>
      <c r="B2004" s="37">
        <v>40000</v>
      </c>
      <c r="C2004" s="38">
        <v>40000</v>
      </c>
      <c r="D2004" s="38">
        <v>40000</v>
      </c>
      <c r="E2004" s="38">
        <v>39995</v>
      </c>
      <c r="F2004" s="39">
        <v>95</v>
      </c>
      <c r="G2004" t="s">
        <v>21</v>
      </c>
      <c r="H2004" t="s">
        <v>21</v>
      </c>
      <c r="I2004">
        <v>0</v>
      </c>
      <c r="J2004">
        <v>0</v>
      </c>
      <c r="K2004">
        <v>0</v>
      </c>
      <c r="L2004">
        <v>1</v>
      </c>
      <c r="M2004">
        <v>0</v>
      </c>
      <c r="N2004" t="s">
        <v>193</v>
      </c>
      <c r="O2004" t="s">
        <v>213</v>
      </c>
      <c r="P2004" t="s">
        <v>204</v>
      </c>
      <c r="Q2004" t="s">
        <v>170</v>
      </c>
      <c r="R2004" t="s">
        <v>155</v>
      </c>
      <c r="T2004" t="s">
        <v>134</v>
      </c>
      <c r="U2004">
        <v>1</v>
      </c>
      <c r="V2004">
        <v>5</v>
      </c>
      <c r="W2004" t="s">
        <v>135</v>
      </c>
      <c r="X2004">
        <v>0</v>
      </c>
      <c r="Y2004" t="s">
        <v>140</v>
      </c>
      <c r="Z2004" t="s">
        <v>180</v>
      </c>
      <c r="AA2004" t="s">
        <v>142</v>
      </c>
      <c r="AB2004" t="s">
        <v>165</v>
      </c>
      <c r="AC2004" t="s">
        <v>3016</v>
      </c>
      <c r="AD2004" t="s">
        <v>158</v>
      </c>
      <c r="AE2004" t="s">
        <v>122</v>
      </c>
      <c r="AF2004" t="s">
        <v>21</v>
      </c>
    </row>
    <row r="2005" spans="1:32">
      <c r="A2005" t="s">
        <v>3017</v>
      </c>
      <c r="B2005" s="37">
        <v>40082</v>
      </c>
      <c r="C2005" s="38">
        <v>40082</v>
      </c>
      <c r="D2005" s="38">
        <v>40077</v>
      </c>
      <c r="E2005" s="38">
        <v>40057</v>
      </c>
      <c r="F2005" s="39">
        <v>177</v>
      </c>
      <c r="G2005" t="s">
        <v>383</v>
      </c>
      <c r="H2005" t="s">
        <v>17</v>
      </c>
      <c r="I2005">
        <v>0</v>
      </c>
      <c r="J2005">
        <v>0</v>
      </c>
      <c r="K2005">
        <v>1</v>
      </c>
      <c r="L2005">
        <v>0</v>
      </c>
      <c r="M2005">
        <v>0</v>
      </c>
      <c r="N2005" t="s">
        <v>196</v>
      </c>
      <c r="O2005" t="s">
        <v>213</v>
      </c>
      <c r="P2005" t="s">
        <v>207</v>
      </c>
      <c r="Q2005" t="s">
        <v>170</v>
      </c>
      <c r="R2005" t="s">
        <v>155</v>
      </c>
      <c r="S2005">
        <v>5</v>
      </c>
      <c r="T2005" t="s">
        <v>135</v>
      </c>
      <c r="U2005">
        <v>0</v>
      </c>
      <c r="V2005">
        <v>3</v>
      </c>
      <c r="W2005" t="s">
        <v>137</v>
      </c>
      <c r="X2005">
        <v>0</v>
      </c>
      <c r="Y2005" t="s">
        <v>139</v>
      </c>
      <c r="Z2005" t="s">
        <v>180</v>
      </c>
      <c r="AA2005" t="s">
        <v>142</v>
      </c>
      <c r="AB2005" t="s">
        <v>163</v>
      </c>
      <c r="AC2005" t="s">
        <v>173</v>
      </c>
      <c r="AD2005" t="s">
        <v>155</v>
      </c>
      <c r="AE2005" t="s">
        <v>128</v>
      </c>
      <c r="AF2005" t="s">
        <v>21</v>
      </c>
    </row>
    <row r="2006" spans="1:32">
      <c r="A2006" t="s">
        <v>3018</v>
      </c>
      <c r="B2006" s="37">
        <v>39931</v>
      </c>
      <c r="C2006" s="38">
        <v>39931</v>
      </c>
      <c r="D2006" s="38">
        <v>39930</v>
      </c>
      <c r="E2006" s="38">
        <v>39904</v>
      </c>
      <c r="F2006" s="39">
        <v>26</v>
      </c>
      <c r="G2006" t="s">
        <v>21</v>
      </c>
      <c r="H2006" t="s">
        <v>21</v>
      </c>
      <c r="I2006">
        <v>0</v>
      </c>
      <c r="J2006">
        <v>0</v>
      </c>
      <c r="K2006">
        <v>0</v>
      </c>
      <c r="L2006">
        <v>1</v>
      </c>
      <c r="M2006">
        <v>0</v>
      </c>
      <c r="N2006" t="s">
        <v>202</v>
      </c>
      <c r="O2006" t="s">
        <v>213</v>
      </c>
      <c r="P2006" t="s">
        <v>211</v>
      </c>
      <c r="Q2006" t="s">
        <v>170</v>
      </c>
      <c r="R2006" t="s">
        <v>155</v>
      </c>
      <c r="T2006" t="s">
        <v>134</v>
      </c>
      <c r="U2006">
        <v>1</v>
      </c>
      <c r="W2006" t="s">
        <v>134</v>
      </c>
      <c r="X2006">
        <v>1</v>
      </c>
      <c r="Y2006" t="s">
        <v>139</v>
      </c>
      <c r="Z2006" t="s">
        <v>180</v>
      </c>
      <c r="AA2006" t="s">
        <v>149</v>
      </c>
      <c r="AB2006" t="s">
        <v>163</v>
      </c>
      <c r="AC2006" t="s">
        <v>415</v>
      </c>
      <c r="AD2006" t="s">
        <v>155</v>
      </c>
      <c r="AE2006" t="s">
        <v>125</v>
      </c>
      <c r="AF2006" t="s">
        <v>21</v>
      </c>
    </row>
    <row r="2007" spans="1:32">
      <c r="A2007" t="s">
        <v>3019</v>
      </c>
      <c r="B2007" s="37">
        <v>39907</v>
      </c>
      <c r="C2007" s="38">
        <v>39907</v>
      </c>
      <c r="D2007" s="38">
        <v>39902</v>
      </c>
      <c r="E2007" s="38">
        <v>39904</v>
      </c>
      <c r="F2007" s="39">
        <v>2</v>
      </c>
      <c r="G2007" t="s">
        <v>21</v>
      </c>
      <c r="H2007" t="s">
        <v>21</v>
      </c>
      <c r="I2007">
        <v>0</v>
      </c>
      <c r="J2007">
        <v>0</v>
      </c>
      <c r="K2007">
        <v>0</v>
      </c>
      <c r="L2007">
        <v>1</v>
      </c>
      <c r="M2007">
        <v>0</v>
      </c>
      <c r="N2007" t="s">
        <v>202</v>
      </c>
      <c r="O2007" t="s">
        <v>213</v>
      </c>
      <c r="P2007" t="s">
        <v>211</v>
      </c>
      <c r="Q2007" t="s">
        <v>170</v>
      </c>
      <c r="R2007" t="s">
        <v>155</v>
      </c>
      <c r="T2007" t="s">
        <v>134</v>
      </c>
      <c r="U2007">
        <v>1</v>
      </c>
      <c r="W2007" t="s">
        <v>134</v>
      </c>
      <c r="X2007">
        <v>1</v>
      </c>
      <c r="Y2007" t="s">
        <v>139</v>
      </c>
      <c r="Z2007" t="s">
        <v>180</v>
      </c>
      <c r="AA2007" t="s">
        <v>147</v>
      </c>
      <c r="AB2007" t="s">
        <v>163</v>
      </c>
      <c r="AC2007" t="s">
        <v>2629</v>
      </c>
      <c r="AD2007" t="s">
        <v>155</v>
      </c>
      <c r="AE2007" t="s">
        <v>454</v>
      </c>
      <c r="AF2007" t="s">
        <v>21</v>
      </c>
    </row>
    <row r="2008" spans="1:32">
      <c r="A2008" t="s">
        <v>3020</v>
      </c>
      <c r="B2008" s="37">
        <v>39967</v>
      </c>
      <c r="C2008" s="38">
        <v>39967</v>
      </c>
      <c r="D2008" s="38">
        <v>39965</v>
      </c>
      <c r="E2008" s="38">
        <v>39965</v>
      </c>
      <c r="F2008" s="39">
        <v>62</v>
      </c>
      <c r="G2008" t="s">
        <v>21</v>
      </c>
      <c r="H2008" t="s">
        <v>21</v>
      </c>
      <c r="I2008">
        <v>0</v>
      </c>
      <c r="J2008">
        <v>0</v>
      </c>
      <c r="K2008">
        <v>0</v>
      </c>
      <c r="L2008">
        <v>1</v>
      </c>
      <c r="M2008">
        <v>0</v>
      </c>
      <c r="N2008" t="s">
        <v>195</v>
      </c>
      <c r="O2008" t="s">
        <v>213</v>
      </c>
      <c r="P2008" t="s">
        <v>206</v>
      </c>
      <c r="Q2008" t="s">
        <v>170</v>
      </c>
      <c r="R2008" t="s">
        <v>155</v>
      </c>
      <c r="T2008" t="s">
        <v>134</v>
      </c>
      <c r="U2008">
        <v>1</v>
      </c>
      <c r="W2008" t="s">
        <v>134</v>
      </c>
      <c r="X2008">
        <v>1</v>
      </c>
      <c r="Y2008" t="s">
        <v>139</v>
      </c>
      <c r="Z2008" t="s">
        <v>180</v>
      </c>
      <c r="AA2008" t="s">
        <v>144</v>
      </c>
      <c r="AB2008" t="s">
        <v>162</v>
      </c>
      <c r="AC2008" t="s">
        <v>175</v>
      </c>
      <c r="AD2008" t="s">
        <v>159</v>
      </c>
      <c r="AE2008" t="s">
        <v>126</v>
      </c>
      <c r="AF2008" t="s">
        <v>601</v>
      </c>
    </row>
    <row r="2009" spans="1:32">
      <c r="A2009" t="s">
        <v>3021</v>
      </c>
      <c r="B2009" s="37">
        <v>39925</v>
      </c>
      <c r="C2009" s="38">
        <v>39925</v>
      </c>
      <c r="D2009" s="38">
        <v>39923</v>
      </c>
      <c r="E2009" s="38">
        <v>39904</v>
      </c>
      <c r="F2009" s="39">
        <v>20</v>
      </c>
      <c r="G2009" t="s">
        <v>21</v>
      </c>
      <c r="H2009" t="s">
        <v>21</v>
      </c>
      <c r="I2009">
        <v>0</v>
      </c>
      <c r="J2009">
        <v>0</v>
      </c>
      <c r="K2009">
        <v>0</v>
      </c>
      <c r="L2009">
        <v>1</v>
      </c>
      <c r="M2009">
        <v>0</v>
      </c>
      <c r="N2009" t="s">
        <v>201</v>
      </c>
      <c r="O2009" t="s">
        <v>214</v>
      </c>
      <c r="P2009" t="s">
        <v>204</v>
      </c>
      <c r="Q2009" t="s">
        <v>170</v>
      </c>
      <c r="R2009" t="s">
        <v>155</v>
      </c>
      <c r="T2009" t="s">
        <v>134</v>
      </c>
      <c r="U2009">
        <v>1</v>
      </c>
      <c r="W2009" t="s">
        <v>134</v>
      </c>
      <c r="X2009">
        <v>1</v>
      </c>
      <c r="Y2009" t="s">
        <v>140</v>
      </c>
      <c r="Z2009" t="s">
        <v>180</v>
      </c>
      <c r="AA2009" t="s">
        <v>147</v>
      </c>
      <c r="AB2009" t="s">
        <v>163</v>
      </c>
      <c r="AC2009" t="s">
        <v>173</v>
      </c>
      <c r="AD2009" t="s">
        <v>155</v>
      </c>
      <c r="AE2009" t="s">
        <v>692</v>
      </c>
      <c r="AF2009" t="s">
        <v>21</v>
      </c>
    </row>
    <row r="2010" spans="1:32">
      <c r="A2010" t="s">
        <v>3022</v>
      </c>
      <c r="B2010" s="37">
        <v>40035</v>
      </c>
      <c r="C2010" s="38">
        <v>40035</v>
      </c>
      <c r="D2010" s="38">
        <v>40035</v>
      </c>
      <c r="E2010" s="38">
        <v>40026</v>
      </c>
      <c r="F2010" s="39">
        <v>130</v>
      </c>
      <c r="G2010" t="s">
        <v>9</v>
      </c>
      <c r="H2010" t="s">
        <v>9</v>
      </c>
      <c r="I2010">
        <v>1</v>
      </c>
      <c r="J2010">
        <v>0</v>
      </c>
      <c r="K2010">
        <v>0</v>
      </c>
      <c r="L2010">
        <v>0</v>
      </c>
      <c r="M2010">
        <v>1</v>
      </c>
      <c r="N2010" t="s">
        <v>193</v>
      </c>
      <c r="O2010" t="s">
        <v>213</v>
      </c>
      <c r="P2010" t="s">
        <v>204</v>
      </c>
      <c r="Q2010" t="s">
        <v>170</v>
      </c>
      <c r="R2010" t="s">
        <v>155</v>
      </c>
      <c r="S2010">
        <v>5</v>
      </c>
      <c r="T2010" t="s">
        <v>135</v>
      </c>
      <c r="U2010">
        <v>0</v>
      </c>
      <c r="V2010">
        <v>5</v>
      </c>
      <c r="W2010" t="s">
        <v>135</v>
      </c>
      <c r="X2010">
        <v>0</v>
      </c>
      <c r="Y2010" t="s">
        <v>140</v>
      </c>
      <c r="Z2010" t="s">
        <v>180</v>
      </c>
      <c r="AA2010" t="s">
        <v>143</v>
      </c>
      <c r="AB2010" t="s">
        <v>162</v>
      </c>
      <c r="AC2010" t="s">
        <v>21</v>
      </c>
      <c r="AD2010" t="s">
        <v>160</v>
      </c>
      <c r="AE2010" t="s">
        <v>126</v>
      </c>
      <c r="AF2010" t="s">
        <v>900</v>
      </c>
    </row>
    <row r="2011" spans="1:32">
      <c r="A2011" t="s">
        <v>3023</v>
      </c>
      <c r="B2011" s="37">
        <v>40048</v>
      </c>
      <c r="C2011" s="38">
        <v>40048</v>
      </c>
      <c r="D2011" s="38">
        <v>40042</v>
      </c>
      <c r="E2011" s="38">
        <v>40026</v>
      </c>
      <c r="F2011" s="39">
        <v>143</v>
      </c>
      <c r="G2011" t="s">
        <v>9</v>
      </c>
      <c r="H2011" t="s">
        <v>9</v>
      </c>
      <c r="I2011">
        <v>1</v>
      </c>
      <c r="J2011">
        <v>0</v>
      </c>
      <c r="K2011">
        <v>0</v>
      </c>
      <c r="L2011">
        <v>0</v>
      </c>
      <c r="M2011">
        <v>1</v>
      </c>
      <c r="N2011" t="s">
        <v>193</v>
      </c>
      <c r="O2011" t="s">
        <v>213</v>
      </c>
      <c r="P2011" t="s">
        <v>204</v>
      </c>
      <c r="Q2011" t="s">
        <v>170</v>
      </c>
      <c r="R2011" t="s">
        <v>155</v>
      </c>
      <c r="S2011">
        <v>5</v>
      </c>
      <c r="T2011" t="s">
        <v>135</v>
      </c>
      <c r="U2011">
        <v>0</v>
      </c>
      <c r="V2011">
        <v>5</v>
      </c>
      <c r="W2011" t="s">
        <v>135</v>
      </c>
      <c r="X2011">
        <v>0</v>
      </c>
      <c r="Y2011" t="s">
        <v>140</v>
      </c>
      <c r="Z2011" t="s">
        <v>180</v>
      </c>
      <c r="AA2011" t="s">
        <v>145</v>
      </c>
      <c r="AB2011" t="s">
        <v>165</v>
      </c>
      <c r="AC2011" t="s">
        <v>1411</v>
      </c>
      <c r="AD2011" t="s">
        <v>158</v>
      </c>
      <c r="AE2011" t="s">
        <v>122</v>
      </c>
      <c r="AF2011" t="s">
        <v>21</v>
      </c>
    </row>
    <row r="2012" spans="1:32">
      <c r="A2012" t="s">
        <v>3024</v>
      </c>
      <c r="B2012" s="37">
        <v>39946</v>
      </c>
      <c r="C2012" s="38">
        <v>39946</v>
      </c>
      <c r="D2012" s="38">
        <v>39944</v>
      </c>
      <c r="E2012" s="38">
        <v>39934</v>
      </c>
      <c r="F2012" s="39">
        <v>41</v>
      </c>
      <c r="G2012" t="s">
        <v>21</v>
      </c>
      <c r="H2012" t="s">
        <v>21</v>
      </c>
      <c r="I2012">
        <v>0</v>
      </c>
      <c r="J2012">
        <v>0</v>
      </c>
      <c r="K2012">
        <v>0</v>
      </c>
      <c r="L2012">
        <v>1</v>
      </c>
      <c r="M2012">
        <v>0</v>
      </c>
      <c r="N2012" t="s">
        <v>193</v>
      </c>
      <c r="O2012" t="s">
        <v>213</v>
      </c>
      <c r="P2012" t="s">
        <v>204</v>
      </c>
      <c r="Q2012" t="s">
        <v>170</v>
      </c>
      <c r="R2012" t="s">
        <v>155</v>
      </c>
      <c r="T2012" t="s">
        <v>134</v>
      </c>
      <c r="U2012">
        <v>1</v>
      </c>
      <c r="W2012" t="s">
        <v>134</v>
      </c>
      <c r="X2012">
        <v>1</v>
      </c>
      <c r="Y2012" t="s">
        <v>140</v>
      </c>
      <c r="Z2012" t="s">
        <v>180</v>
      </c>
      <c r="AA2012" t="s">
        <v>151</v>
      </c>
      <c r="AB2012" t="s">
        <v>162</v>
      </c>
      <c r="AC2012" t="s">
        <v>174</v>
      </c>
      <c r="AD2012" t="s">
        <v>157</v>
      </c>
      <c r="AE2012" t="s">
        <v>434</v>
      </c>
      <c r="AF2012" t="s">
        <v>449</v>
      </c>
    </row>
    <row r="2013" spans="1:32">
      <c r="A2013" t="s">
        <v>3025</v>
      </c>
      <c r="B2013" s="37">
        <v>39975</v>
      </c>
      <c r="C2013" s="38">
        <v>39975</v>
      </c>
      <c r="D2013" s="38">
        <v>39972</v>
      </c>
      <c r="E2013" s="38">
        <v>39965</v>
      </c>
      <c r="F2013" s="39">
        <v>70</v>
      </c>
      <c r="G2013" t="s">
        <v>21</v>
      </c>
      <c r="H2013" t="s">
        <v>21</v>
      </c>
      <c r="I2013">
        <v>0</v>
      </c>
      <c r="J2013">
        <v>0</v>
      </c>
      <c r="K2013">
        <v>0</v>
      </c>
      <c r="L2013">
        <v>1</v>
      </c>
      <c r="M2013">
        <v>0</v>
      </c>
      <c r="N2013" t="s">
        <v>193</v>
      </c>
      <c r="O2013" t="s">
        <v>213</v>
      </c>
      <c r="P2013" t="s">
        <v>204</v>
      </c>
      <c r="Q2013" t="s">
        <v>170</v>
      </c>
      <c r="R2013" t="s">
        <v>155</v>
      </c>
      <c r="T2013" t="s">
        <v>134</v>
      </c>
      <c r="U2013">
        <v>1</v>
      </c>
      <c r="W2013" t="s">
        <v>134</v>
      </c>
      <c r="X2013">
        <v>1</v>
      </c>
      <c r="Y2013" t="s">
        <v>140</v>
      </c>
      <c r="Z2013" t="s">
        <v>181</v>
      </c>
      <c r="AA2013" t="s">
        <v>142</v>
      </c>
      <c r="AB2013" t="s">
        <v>162</v>
      </c>
      <c r="AC2013" t="s">
        <v>175</v>
      </c>
      <c r="AD2013" t="s">
        <v>155</v>
      </c>
      <c r="AE2013" t="s">
        <v>130</v>
      </c>
      <c r="AF2013" t="s">
        <v>21</v>
      </c>
    </row>
    <row r="2014" spans="1:32">
      <c r="A2014" t="s">
        <v>3026</v>
      </c>
      <c r="B2014" s="37">
        <v>39969</v>
      </c>
      <c r="C2014" s="38">
        <v>39969</v>
      </c>
      <c r="D2014" s="38">
        <v>39965</v>
      </c>
      <c r="E2014" s="38">
        <v>39965</v>
      </c>
      <c r="F2014" s="39">
        <v>64</v>
      </c>
      <c r="G2014" t="s">
        <v>21</v>
      </c>
      <c r="H2014" t="s">
        <v>21</v>
      </c>
      <c r="I2014">
        <v>0</v>
      </c>
      <c r="J2014">
        <v>0</v>
      </c>
      <c r="K2014">
        <v>0</v>
      </c>
      <c r="L2014">
        <v>1</v>
      </c>
      <c r="M2014">
        <v>0</v>
      </c>
      <c r="N2014" t="s">
        <v>194</v>
      </c>
      <c r="O2014" t="s">
        <v>213</v>
      </c>
      <c r="P2014" t="s">
        <v>205</v>
      </c>
      <c r="Q2014" t="s">
        <v>170</v>
      </c>
      <c r="R2014" t="s">
        <v>155</v>
      </c>
      <c r="T2014" t="s">
        <v>134</v>
      </c>
      <c r="U2014">
        <v>1</v>
      </c>
      <c r="W2014" t="s">
        <v>134</v>
      </c>
      <c r="X2014">
        <v>1</v>
      </c>
      <c r="Y2014" t="s">
        <v>139</v>
      </c>
      <c r="Z2014" t="s">
        <v>181</v>
      </c>
      <c r="AA2014" t="s">
        <v>148</v>
      </c>
      <c r="AB2014" t="s">
        <v>162</v>
      </c>
      <c r="AC2014" t="s">
        <v>175</v>
      </c>
      <c r="AD2014" t="s">
        <v>155</v>
      </c>
      <c r="AE2014" t="s">
        <v>130</v>
      </c>
      <c r="AF2014" t="s">
        <v>21</v>
      </c>
    </row>
    <row r="2015" spans="1:32">
      <c r="A2015" t="s">
        <v>3027</v>
      </c>
      <c r="B2015" s="37">
        <v>39965</v>
      </c>
      <c r="C2015" s="38">
        <v>39965</v>
      </c>
      <c r="D2015" s="38">
        <v>39965</v>
      </c>
      <c r="E2015" s="38">
        <v>39965</v>
      </c>
      <c r="F2015" s="39">
        <v>60</v>
      </c>
      <c r="G2015" t="s">
        <v>380</v>
      </c>
      <c r="H2015" t="s">
        <v>17</v>
      </c>
      <c r="I2015">
        <v>0</v>
      </c>
      <c r="J2015">
        <v>0</v>
      </c>
      <c r="K2015">
        <v>1</v>
      </c>
      <c r="L2015">
        <v>0</v>
      </c>
      <c r="M2015">
        <v>0</v>
      </c>
      <c r="N2015" t="s">
        <v>193</v>
      </c>
      <c r="O2015" t="s">
        <v>213</v>
      </c>
      <c r="P2015" t="s">
        <v>204</v>
      </c>
      <c r="Q2015" t="s">
        <v>170</v>
      </c>
      <c r="R2015" t="s">
        <v>155</v>
      </c>
      <c r="T2015" t="s">
        <v>134</v>
      </c>
      <c r="U2015">
        <v>1</v>
      </c>
      <c r="W2015" t="s">
        <v>134</v>
      </c>
      <c r="X2015">
        <v>1</v>
      </c>
      <c r="Y2015" t="s">
        <v>140</v>
      </c>
      <c r="Z2015" t="s">
        <v>178</v>
      </c>
      <c r="AA2015" t="s">
        <v>146</v>
      </c>
      <c r="AB2015" t="s">
        <v>163</v>
      </c>
      <c r="AC2015" t="s">
        <v>173</v>
      </c>
      <c r="AD2015" t="s">
        <v>161</v>
      </c>
      <c r="AE2015" t="s">
        <v>939</v>
      </c>
      <c r="AF2015" t="s">
        <v>21</v>
      </c>
    </row>
    <row r="2016" spans="1:32">
      <c r="A2016" t="s">
        <v>3028</v>
      </c>
      <c r="B2016" s="37">
        <v>39946</v>
      </c>
      <c r="C2016" s="38">
        <v>39946</v>
      </c>
      <c r="D2016" s="38">
        <v>39944</v>
      </c>
      <c r="E2016" s="38">
        <v>39934</v>
      </c>
      <c r="F2016" s="39">
        <v>41</v>
      </c>
      <c r="G2016" t="s">
        <v>21</v>
      </c>
      <c r="H2016" t="s">
        <v>21</v>
      </c>
      <c r="I2016">
        <v>0</v>
      </c>
      <c r="J2016">
        <v>0</v>
      </c>
      <c r="K2016">
        <v>0</v>
      </c>
      <c r="L2016">
        <v>1</v>
      </c>
      <c r="M2016">
        <v>0</v>
      </c>
      <c r="N2016" t="s">
        <v>193</v>
      </c>
      <c r="O2016" t="s">
        <v>213</v>
      </c>
      <c r="P2016" t="s">
        <v>204</v>
      </c>
      <c r="Q2016" t="s">
        <v>170</v>
      </c>
      <c r="R2016" t="s">
        <v>155</v>
      </c>
      <c r="T2016" t="s">
        <v>134</v>
      </c>
      <c r="U2016">
        <v>1</v>
      </c>
      <c r="W2016" t="s">
        <v>134</v>
      </c>
      <c r="X2016">
        <v>1</v>
      </c>
      <c r="Y2016" t="s">
        <v>140</v>
      </c>
      <c r="Z2016" t="s">
        <v>179</v>
      </c>
      <c r="AA2016" t="s">
        <v>150</v>
      </c>
      <c r="AB2016" t="s">
        <v>162</v>
      </c>
      <c r="AC2016" t="s">
        <v>1899</v>
      </c>
      <c r="AD2016" t="s">
        <v>155</v>
      </c>
      <c r="AE2016" t="s">
        <v>127</v>
      </c>
      <c r="AF2016" t="s">
        <v>21</v>
      </c>
    </row>
    <row r="2017" spans="1:32">
      <c r="A2017" t="s">
        <v>3029</v>
      </c>
      <c r="B2017" s="37">
        <v>40017</v>
      </c>
      <c r="C2017" s="38">
        <v>40017</v>
      </c>
      <c r="D2017" s="38">
        <v>40014</v>
      </c>
      <c r="E2017" s="38">
        <v>39995</v>
      </c>
      <c r="F2017" s="39">
        <v>112</v>
      </c>
      <c r="G2017" t="s">
        <v>21</v>
      </c>
      <c r="H2017" t="s">
        <v>21</v>
      </c>
      <c r="I2017">
        <v>0</v>
      </c>
      <c r="J2017">
        <v>0</v>
      </c>
      <c r="K2017">
        <v>0</v>
      </c>
      <c r="L2017">
        <v>1</v>
      </c>
      <c r="M2017">
        <v>0</v>
      </c>
      <c r="N2017" t="s">
        <v>193</v>
      </c>
      <c r="O2017" t="s">
        <v>213</v>
      </c>
      <c r="P2017" t="s">
        <v>204</v>
      </c>
      <c r="Q2017" t="s">
        <v>170</v>
      </c>
      <c r="R2017" t="s">
        <v>155</v>
      </c>
      <c r="S2017">
        <v>5</v>
      </c>
      <c r="T2017" t="s">
        <v>135</v>
      </c>
      <c r="U2017">
        <v>0</v>
      </c>
      <c r="V2017">
        <v>2</v>
      </c>
      <c r="W2017" t="s">
        <v>136</v>
      </c>
      <c r="X2017">
        <v>0</v>
      </c>
      <c r="Y2017" t="s">
        <v>140</v>
      </c>
      <c r="Z2017" t="s">
        <v>179</v>
      </c>
      <c r="AA2017" t="s">
        <v>148</v>
      </c>
      <c r="AB2017" t="s">
        <v>162</v>
      </c>
      <c r="AC2017" t="s">
        <v>21</v>
      </c>
      <c r="AD2017" t="s">
        <v>155</v>
      </c>
      <c r="AE2017" t="s">
        <v>130</v>
      </c>
      <c r="AF2017" t="s">
        <v>21</v>
      </c>
    </row>
    <row r="2018" spans="1:32">
      <c r="A2018" t="s">
        <v>3030</v>
      </c>
      <c r="B2018" s="37">
        <v>39924</v>
      </c>
      <c r="C2018" s="38">
        <v>39924</v>
      </c>
      <c r="D2018" s="38">
        <v>39923</v>
      </c>
      <c r="E2018" s="38">
        <v>39904</v>
      </c>
      <c r="F2018" s="39">
        <v>19</v>
      </c>
      <c r="G2018" t="s">
        <v>21</v>
      </c>
      <c r="H2018" t="s">
        <v>21</v>
      </c>
      <c r="I2018">
        <v>0</v>
      </c>
      <c r="J2018">
        <v>0</v>
      </c>
      <c r="K2018">
        <v>0</v>
      </c>
      <c r="L2018">
        <v>1</v>
      </c>
      <c r="M2018">
        <v>0</v>
      </c>
      <c r="N2018" t="s">
        <v>199</v>
      </c>
      <c r="O2018" t="s">
        <v>213</v>
      </c>
      <c r="P2018" t="s">
        <v>210</v>
      </c>
      <c r="Q2018" t="s">
        <v>170</v>
      </c>
      <c r="R2018" t="s">
        <v>155</v>
      </c>
      <c r="T2018" t="s">
        <v>134</v>
      </c>
      <c r="U2018">
        <v>1</v>
      </c>
      <c r="W2018" t="s">
        <v>134</v>
      </c>
      <c r="X2018">
        <v>1</v>
      </c>
      <c r="Y2018" t="s">
        <v>139</v>
      </c>
      <c r="Z2018" t="s">
        <v>178</v>
      </c>
      <c r="AA2018" t="s">
        <v>142</v>
      </c>
      <c r="AB2018" t="s">
        <v>162</v>
      </c>
      <c r="AC2018" t="s">
        <v>174</v>
      </c>
      <c r="AD2018" t="s">
        <v>156</v>
      </c>
      <c r="AE2018" t="s">
        <v>120</v>
      </c>
      <c r="AF2018" t="s">
        <v>631</v>
      </c>
    </row>
    <row r="2019" spans="1:32">
      <c r="A2019" t="s">
        <v>3031</v>
      </c>
      <c r="B2019" s="37">
        <v>40057</v>
      </c>
      <c r="C2019" s="38">
        <v>40057</v>
      </c>
      <c r="D2019" s="38">
        <v>40056</v>
      </c>
      <c r="E2019" s="38">
        <v>40057</v>
      </c>
      <c r="F2019" s="39">
        <v>152</v>
      </c>
      <c r="G2019" t="s">
        <v>496</v>
      </c>
      <c r="H2019" t="s">
        <v>13</v>
      </c>
      <c r="I2019">
        <v>0</v>
      </c>
      <c r="J2019">
        <v>1</v>
      </c>
      <c r="K2019">
        <v>0</v>
      </c>
      <c r="L2019">
        <v>0</v>
      </c>
      <c r="M2019">
        <v>1</v>
      </c>
      <c r="N2019" t="s">
        <v>193</v>
      </c>
      <c r="O2019" t="s">
        <v>213</v>
      </c>
      <c r="P2019" t="s">
        <v>204</v>
      </c>
      <c r="Q2019" t="s">
        <v>170</v>
      </c>
      <c r="R2019" t="s">
        <v>155</v>
      </c>
      <c r="S2019">
        <v>1</v>
      </c>
      <c r="T2019" t="s">
        <v>136</v>
      </c>
      <c r="U2019">
        <v>0</v>
      </c>
      <c r="V2019">
        <v>2</v>
      </c>
      <c r="W2019" t="s">
        <v>136</v>
      </c>
      <c r="X2019">
        <v>0</v>
      </c>
      <c r="Y2019" t="s">
        <v>140</v>
      </c>
      <c r="Z2019" t="s">
        <v>183</v>
      </c>
      <c r="AA2019" t="s">
        <v>150</v>
      </c>
      <c r="AB2019" t="s">
        <v>162</v>
      </c>
      <c r="AC2019" t="s">
        <v>429</v>
      </c>
      <c r="AD2019" t="s">
        <v>159</v>
      </c>
      <c r="AE2019" t="s">
        <v>126</v>
      </c>
      <c r="AF2019" t="s">
        <v>601</v>
      </c>
    </row>
    <row r="2020" spans="1:32">
      <c r="A2020" t="s">
        <v>3032</v>
      </c>
      <c r="B2020" s="37">
        <v>40026</v>
      </c>
      <c r="C2020" s="38">
        <v>40026</v>
      </c>
      <c r="D2020" s="38">
        <v>40021</v>
      </c>
      <c r="E2020" s="38">
        <v>40026</v>
      </c>
      <c r="F2020" s="39">
        <v>121</v>
      </c>
      <c r="G2020" t="s">
        <v>21</v>
      </c>
      <c r="H2020" t="s">
        <v>21</v>
      </c>
      <c r="I2020">
        <v>0</v>
      </c>
      <c r="J2020">
        <v>0</v>
      </c>
      <c r="K2020">
        <v>0</v>
      </c>
      <c r="L2020">
        <v>1</v>
      </c>
      <c r="M2020">
        <v>0</v>
      </c>
      <c r="N2020" t="s">
        <v>197</v>
      </c>
      <c r="O2020" t="s">
        <v>213</v>
      </c>
      <c r="P2020" t="s">
        <v>209</v>
      </c>
      <c r="Q2020" t="s">
        <v>170</v>
      </c>
      <c r="R2020" t="s">
        <v>155</v>
      </c>
      <c r="S2020">
        <v>5</v>
      </c>
      <c r="T2020" t="s">
        <v>135</v>
      </c>
      <c r="U2020">
        <v>0</v>
      </c>
      <c r="V2020">
        <v>5</v>
      </c>
      <c r="W2020" t="s">
        <v>135</v>
      </c>
      <c r="X2020">
        <v>0</v>
      </c>
      <c r="Y2020" t="s">
        <v>139</v>
      </c>
      <c r="Z2020" t="s">
        <v>183</v>
      </c>
      <c r="AA2020" t="s">
        <v>143</v>
      </c>
      <c r="AB2020" t="s">
        <v>162</v>
      </c>
      <c r="AC2020" t="s">
        <v>498</v>
      </c>
      <c r="AD2020" t="s">
        <v>155</v>
      </c>
      <c r="AE2020" t="s">
        <v>129</v>
      </c>
      <c r="AF2020" t="s">
        <v>21</v>
      </c>
    </row>
    <row r="2021" spans="1:32">
      <c r="A2021" t="s">
        <v>3033</v>
      </c>
      <c r="B2021" s="37">
        <v>39919</v>
      </c>
      <c r="C2021" s="38">
        <v>39919</v>
      </c>
      <c r="D2021" s="38">
        <v>39916</v>
      </c>
      <c r="E2021" s="38">
        <v>39904</v>
      </c>
      <c r="F2021" s="39">
        <v>14</v>
      </c>
      <c r="G2021" t="s">
        <v>21</v>
      </c>
      <c r="H2021" t="s">
        <v>21</v>
      </c>
      <c r="I2021">
        <v>0</v>
      </c>
      <c r="J2021">
        <v>0</v>
      </c>
      <c r="K2021">
        <v>0</v>
      </c>
      <c r="L2021">
        <v>1</v>
      </c>
      <c r="M2021">
        <v>0</v>
      </c>
      <c r="N2021" t="s">
        <v>198</v>
      </c>
      <c r="O2021" t="s">
        <v>213</v>
      </c>
      <c r="P2021" t="s">
        <v>208</v>
      </c>
      <c r="Q2021" t="s">
        <v>170</v>
      </c>
      <c r="R2021" t="s">
        <v>155</v>
      </c>
      <c r="T2021" t="s">
        <v>134</v>
      </c>
      <c r="U2021">
        <v>1</v>
      </c>
      <c r="W2021" t="s">
        <v>134</v>
      </c>
      <c r="X2021">
        <v>1</v>
      </c>
      <c r="Y2021" t="s">
        <v>139</v>
      </c>
      <c r="Z2021" t="s">
        <v>183</v>
      </c>
      <c r="AA2021" t="s">
        <v>147</v>
      </c>
      <c r="AB2021" t="s">
        <v>162</v>
      </c>
      <c r="AC2021" t="s">
        <v>174</v>
      </c>
      <c r="AD2021" t="s">
        <v>157</v>
      </c>
      <c r="AE2021" t="s">
        <v>130</v>
      </c>
      <c r="AF2021" t="s">
        <v>437</v>
      </c>
    </row>
    <row r="2022" spans="1:32">
      <c r="A2022" t="s">
        <v>3034</v>
      </c>
      <c r="B2022" s="37">
        <v>40020</v>
      </c>
      <c r="C2022" s="38">
        <v>40020</v>
      </c>
      <c r="D2022" s="38">
        <v>40014</v>
      </c>
      <c r="E2022" s="38">
        <v>39995</v>
      </c>
      <c r="F2022" s="39">
        <v>115</v>
      </c>
      <c r="G2022" t="s">
        <v>21</v>
      </c>
      <c r="H2022" t="s">
        <v>21</v>
      </c>
      <c r="I2022">
        <v>0</v>
      </c>
      <c r="J2022">
        <v>0</v>
      </c>
      <c r="K2022">
        <v>0</v>
      </c>
      <c r="L2022">
        <v>1</v>
      </c>
      <c r="M2022">
        <v>0</v>
      </c>
      <c r="N2022" t="s">
        <v>195</v>
      </c>
      <c r="O2022" t="s">
        <v>213</v>
      </c>
      <c r="P2022" t="s">
        <v>206</v>
      </c>
      <c r="Q2022" t="s">
        <v>170</v>
      </c>
      <c r="R2022" t="s">
        <v>155</v>
      </c>
      <c r="S2022">
        <v>4</v>
      </c>
      <c r="T2022" t="s">
        <v>137</v>
      </c>
      <c r="U2022">
        <v>0</v>
      </c>
      <c r="V2022">
        <v>4</v>
      </c>
      <c r="W2022" t="s">
        <v>137</v>
      </c>
      <c r="X2022">
        <v>0</v>
      </c>
      <c r="Y2022" t="s">
        <v>139</v>
      </c>
      <c r="Z2022" t="s">
        <v>190</v>
      </c>
      <c r="AA2022" t="s">
        <v>143</v>
      </c>
      <c r="AB2022" t="s">
        <v>162</v>
      </c>
      <c r="AC2022" t="s">
        <v>459</v>
      </c>
      <c r="AD2022" t="s">
        <v>159</v>
      </c>
      <c r="AE2022" t="s">
        <v>126</v>
      </c>
      <c r="AF2022" t="s">
        <v>601</v>
      </c>
    </row>
    <row r="2023" spans="1:32">
      <c r="A2023" t="s">
        <v>3035</v>
      </c>
      <c r="B2023" s="37">
        <v>40007</v>
      </c>
      <c r="C2023" s="38">
        <v>40007</v>
      </c>
      <c r="D2023" s="38">
        <v>40007</v>
      </c>
      <c r="E2023" s="38">
        <v>39995</v>
      </c>
      <c r="F2023" s="39">
        <v>102</v>
      </c>
      <c r="G2023" t="s">
        <v>21</v>
      </c>
      <c r="H2023" t="s">
        <v>21</v>
      </c>
      <c r="I2023">
        <v>0</v>
      </c>
      <c r="J2023">
        <v>0</v>
      </c>
      <c r="K2023">
        <v>0</v>
      </c>
      <c r="L2023">
        <v>1</v>
      </c>
      <c r="M2023">
        <v>0</v>
      </c>
      <c r="N2023" t="s">
        <v>193</v>
      </c>
      <c r="O2023" t="s">
        <v>213</v>
      </c>
      <c r="P2023" t="s">
        <v>204</v>
      </c>
      <c r="Q2023" t="s">
        <v>170</v>
      </c>
      <c r="R2023" t="s">
        <v>155</v>
      </c>
      <c r="S2023">
        <v>4</v>
      </c>
      <c r="T2023" t="s">
        <v>137</v>
      </c>
      <c r="U2023">
        <v>0</v>
      </c>
      <c r="V2023">
        <v>5</v>
      </c>
      <c r="W2023" t="s">
        <v>135</v>
      </c>
      <c r="X2023">
        <v>0</v>
      </c>
      <c r="Y2023" t="s">
        <v>140</v>
      </c>
      <c r="Z2023" t="s">
        <v>182</v>
      </c>
      <c r="AA2023" t="s">
        <v>148</v>
      </c>
      <c r="AB2023" t="s">
        <v>162</v>
      </c>
      <c r="AC2023" t="s">
        <v>459</v>
      </c>
      <c r="AD2023" t="s">
        <v>155</v>
      </c>
      <c r="AE2023" t="s">
        <v>130</v>
      </c>
      <c r="AF2023" t="s">
        <v>21</v>
      </c>
    </row>
    <row r="2024" spans="1:32">
      <c r="A2024" t="s">
        <v>3036</v>
      </c>
      <c r="B2024" s="37">
        <v>40046</v>
      </c>
      <c r="C2024" s="38">
        <v>40046</v>
      </c>
      <c r="D2024" s="38">
        <v>40042</v>
      </c>
      <c r="E2024" s="38">
        <v>40026</v>
      </c>
      <c r="F2024" s="39">
        <v>141</v>
      </c>
      <c r="G2024" t="s">
        <v>21</v>
      </c>
      <c r="H2024" t="s">
        <v>21</v>
      </c>
      <c r="I2024">
        <v>0</v>
      </c>
      <c r="J2024">
        <v>0</v>
      </c>
      <c r="K2024">
        <v>0</v>
      </c>
      <c r="L2024">
        <v>1</v>
      </c>
      <c r="M2024">
        <v>0</v>
      </c>
      <c r="N2024" t="s">
        <v>196</v>
      </c>
      <c r="O2024" t="s">
        <v>213</v>
      </c>
      <c r="P2024" t="s">
        <v>207</v>
      </c>
      <c r="Q2024" t="s">
        <v>170</v>
      </c>
      <c r="R2024" t="s">
        <v>155</v>
      </c>
      <c r="S2024">
        <v>5</v>
      </c>
      <c r="T2024" t="s">
        <v>135</v>
      </c>
      <c r="U2024">
        <v>0</v>
      </c>
      <c r="V2024">
        <v>5</v>
      </c>
      <c r="W2024" t="s">
        <v>135</v>
      </c>
      <c r="X2024">
        <v>0</v>
      </c>
      <c r="Y2024" t="s">
        <v>139</v>
      </c>
      <c r="Z2024" t="s">
        <v>184</v>
      </c>
      <c r="AA2024" t="s">
        <v>143</v>
      </c>
      <c r="AB2024" t="s">
        <v>162</v>
      </c>
      <c r="AC2024" t="s">
        <v>174</v>
      </c>
      <c r="AD2024" t="s">
        <v>156</v>
      </c>
      <c r="AE2024" t="s">
        <v>120</v>
      </c>
      <c r="AF2024" t="s">
        <v>425</v>
      </c>
    </row>
    <row r="2025" spans="1:32">
      <c r="A2025" t="s">
        <v>3037</v>
      </c>
      <c r="B2025" s="37">
        <v>40052</v>
      </c>
      <c r="C2025" s="38">
        <v>40052</v>
      </c>
      <c r="D2025" s="38">
        <v>40049</v>
      </c>
      <c r="E2025" s="38">
        <v>40026</v>
      </c>
      <c r="F2025" s="39">
        <v>147</v>
      </c>
      <c r="G2025" t="s">
        <v>9</v>
      </c>
      <c r="H2025" t="s">
        <v>9</v>
      </c>
      <c r="I2025">
        <v>1</v>
      </c>
      <c r="J2025">
        <v>0</v>
      </c>
      <c r="K2025">
        <v>0</v>
      </c>
      <c r="L2025">
        <v>0</v>
      </c>
      <c r="M2025">
        <v>1</v>
      </c>
      <c r="N2025" t="s">
        <v>195</v>
      </c>
      <c r="O2025" t="s">
        <v>213</v>
      </c>
      <c r="P2025" t="s">
        <v>206</v>
      </c>
      <c r="Q2025" t="s">
        <v>170</v>
      </c>
      <c r="R2025" t="s">
        <v>155</v>
      </c>
      <c r="S2025">
        <v>5</v>
      </c>
      <c r="T2025" t="s">
        <v>135</v>
      </c>
      <c r="U2025">
        <v>0</v>
      </c>
      <c r="V2025">
        <v>4</v>
      </c>
      <c r="W2025" t="s">
        <v>137</v>
      </c>
      <c r="X2025">
        <v>0</v>
      </c>
      <c r="Y2025" t="s">
        <v>139</v>
      </c>
      <c r="Z2025" t="s">
        <v>179</v>
      </c>
      <c r="AA2025" t="s">
        <v>144</v>
      </c>
      <c r="AB2025" t="s">
        <v>162</v>
      </c>
      <c r="AC2025" t="s">
        <v>175</v>
      </c>
      <c r="AD2025" t="s">
        <v>155</v>
      </c>
      <c r="AE2025" t="s">
        <v>454</v>
      </c>
      <c r="AF2025" t="s">
        <v>21</v>
      </c>
    </row>
    <row r="2026" spans="1:32">
      <c r="A2026" t="s">
        <v>3038</v>
      </c>
      <c r="B2026" s="37">
        <v>39945</v>
      </c>
      <c r="C2026" s="38">
        <v>39945</v>
      </c>
      <c r="D2026" s="38">
        <v>39944</v>
      </c>
      <c r="E2026" s="38">
        <v>39934</v>
      </c>
      <c r="F2026" s="39">
        <v>40</v>
      </c>
      <c r="G2026" t="s">
        <v>21</v>
      </c>
      <c r="H2026" t="s">
        <v>21</v>
      </c>
      <c r="I2026">
        <v>0</v>
      </c>
      <c r="J2026">
        <v>0</v>
      </c>
      <c r="K2026">
        <v>0</v>
      </c>
      <c r="L2026">
        <v>1</v>
      </c>
      <c r="M2026">
        <v>0</v>
      </c>
      <c r="N2026" t="s">
        <v>194</v>
      </c>
      <c r="O2026" t="s">
        <v>213</v>
      </c>
      <c r="P2026" t="s">
        <v>205</v>
      </c>
      <c r="Q2026" t="s">
        <v>170</v>
      </c>
      <c r="R2026" t="s">
        <v>155</v>
      </c>
      <c r="T2026" t="s">
        <v>134</v>
      </c>
      <c r="U2026">
        <v>1</v>
      </c>
      <c r="W2026" t="s">
        <v>134</v>
      </c>
      <c r="X2026">
        <v>1</v>
      </c>
      <c r="Y2026" t="s">
        <v>139</v>
      </c>
      <c r="Z2026" t="s">
        <v>179</v>
      </c>
      <c r="AA2026" t="s">
        <v>143</v>
      </c>
      <c r="AB2026" t="s">
        <v>162</v>
      </c>
      <c r="AC2026" t="s">
        <v>498</v>
      </c>
      <c r="AD2026" t="s">
        <v>160</v>
      </c>
      <c r="AE2026" t="s">
        <v>484</v>
      </c>
      <c r="AF2026" t="s">
        <v>3039</v>
      </c>
    </row>
    <row r="2027" spans="1:32">
      <c r="A2027" t="s">
        <v>3040</v>
      </c>
      <c r="B2027" s="37">
        <v>39979</v>
      </c>
      <c r="C2027" s="38">
        <v>39979</v>
      </c>
      <c r="D2027" s="38">
        <v>39979</v>
      </c>
      <c r="E2027" s="38">
        <v>39965</v>
      </c>
      <c r="F2027" s="39">
        <v>74</v>
      </c>
      <c r="G2027" t="s">
        <v>383</v>
      </c>
      <c r="H2027" t="s">
        <v>17</v>
      </c>
      <c r="I2027">
        <v>0</v>
      </c>
      <c r="J2027">
        <v>0</v>
      </c>
      <c r="K2027">
        <v>1</v>
      </c>
      <c r="L2027">
        <v>0</v>
      </c>
      <c r="M2027">
        <v>0</v>
      </c>
      <c r="N2027" t="s">
        <v>193</v>
      </c>
      <c r="O2027" t="s">
        <v>213</v>
      </c>
      <c r="P2027" t="s">
        <v>204</v>
      </c>
      <c r="Q2027" t="s">
        <v>170</v>
      </c>
      <c r="R2027" t="s">
        <v>155</v>
      </c>
      <c r="T2027" t="s">
        <v>134</v>
      </c>
      <c r="U2027">
        <v>1</v>
      </c>
      <c r="W2027" t="s">
        <v>134</v>
      </c>
      <c r="X2027">
        <v>1</v>
      </c>
      <c r="Y2027" t="s">
        <v>140</v>
      </c>
      <c r="Z2027" t="s">
        <v>534</v>
      </c>
      <c r="AA2027" t="s">
        <v>142</v>
      </c>
      <c r="AB2027" t="s">
        <v>162</v>
      </c>
      <c r="AC2027" t="s">
        <v>175</v>
      </c>
      <c r="AD2027" t="s">
        <v>155</v>
      </c>
      <c r="AE2027" t="s">
        <v>130</v>
      </c>
      <c r="AF2027" t="s">
        <v>21</v>
      </c>
    </row>
    <row r="2028" spans="1:32">
      <c r="A2028" t="s">
        <v>3041</v>
      </c>
      <c r="B2028" s="37">
        <v>40012</v>
      </c>
      <c r="C2028" s="38">
        <v>40012</v>
      </c>
      <c r="D2028" s="38">
        <v>40007</v>
      </c>
      <c r="E2028" s="38">
        <v>39995</v>
      </c>
      <c r="F2028" s="39">
        <v>107</v>
      </c>
      <c r="G2028" t="s">
        <v>21</v>
      </c>
      <c r="H2028" t="s">
        <v>21</v>
      </c>
      <c r="I2028">
        <v>0</v>
      </c>
      <c r="J2028">
        <v>0</v>
      </c>
      <c r="K2028">
        <v>0</v>
      </c>
      <c r="L2028">
        <v>1</v>
      </c>
      <c r="M2028">
        <v>0</v>
      </c>
      <c r="N2028" t="s">
        <v>196</v>
      </c>
      <c r="O2028" t="s">
        <v>213</v>
      </c>
      <c r="P2028" t="s">
        <v>207</v>
      </c>
      <c r="Q2028" t="s">
        <v>170</v>
      </c>
      <c r="R2028" t="s">
        <v>155</v>
      </c>
      <c r="S2028">
        <v>3</v>
      </c>
      <c r="T2028" t="s">
        <v>137</v>
      </c>
      <c r="U2028">
        <v>0</v>
      </c>
      <c r="V2028">
        <v>3</v>
      </c>
      <c r="W2028" t="s">
        <v>137</v>
      </c>
      <c r="X2028">
        <v>0</v>
      </c>
      <c r="Y2028" t="s">
        <v>139</v>
      </c>
      <c r="Z2028" t="s">
        <v>179</v>
      </c>
      <c r="AA2028" t="s">
        <v>146</v>
      </c>
      <c r="AB2028" t="s">
        <v>162</v>
      </c>
      <c r="AC2028" t="s">
        <v>21</v>
      </c>
      <c r="AD2028" t="s">
        <v>155</v>
      </c>
      <c r="AE2028" t="s">
        <v>130</v>
      </c>
      <c r="AF2028" t="s">
        <v>21</v>
      </c>
    </row>
    <row r="2029" spans="1:32">
      <c r="A2029" t="s">
        <v>3042</v>
      </c>
      <c r="B2029" s="37">
        <v>39951</v>
      </c>
      <c r="C2029" s="38">
        <v>39951</v>
      </c>
      <c r="D2029" s="38">
        <v>39951</v>
      </c>
      <c r="E2029" s="38">
        <v>39934</v>
      </c>
      <c r="F2029" s="39">
        <v>46</v>
      </c>
      <c r="G2029" t="s">
        <v>21</v>
      </c>
      <c r="H2029" t="s">
        <v>21</v>
      </c>
      <c r="I2029">
        <v>0</v>
      </c>
      <c r="J2029">
        <v>0</v>
      </c>
      <c r="K2029">
        <v>0</v>
      </c>
      <c r="L2029">
        <v>1</v>
      </c>
      <c r="M2029">
        <v>0</v>
      </c>
      <c r="N2029" t="s">
        <v>195</v>
      </c>
      <c r="O2029" t="s">
        <v>213</v>
      </c>
      <c r="P2029" t="s">
        <v>206</v>
      </c>
      <c r="Q2029" t="s">
        <v>170</v>
      </c>
      <c r="R2029" t="s">
        <v>155</v>
      </c>
      <c r="T2029" t="s">
        <v>134</v>
      </c>
      <c r="U2029">
        <v>1</v>
      </c>
      <c r="W2029" t="s">
        <v>134</v>
      </c>
      <c r="X2029">
        <v>1</v>
      </c>
      <c r="Y2029" t="s">
        <v>139</v>
      </c>
      <c r="Z2029" t="s">
        <v>534</v>
      </c>
      <c r="AA2029" t="s">
        <v>147</v>
      </c>
      <c r="AB2029" t="s">
        <v>163</v>
      </c>
      <c r="AC2029" t="s">
        <v>173</v>
      </c>
      <c r="AD2029" t="s">
        <v>155</v>
      </c>
      <c r="AE2029" t="s">
        <v>128</v>
      </c>
      <c r="AF2029" t="s">
        <v>21</v>
      </c>
    </row>
    <row r="2030" spans="1:32">
      <c r="A2030" t="s">
        <v>3043</v>
      </c>
      <c r="B2030" s="37">
        <v>39931</v>
      </c>
      <c r="C2030" s="38">
        <v>39931</v>
      </c>
      <c r="D2030" s="38">
        <v>39930</v>
      </c>
      <c r="E2030" s="38">
        <v>39904</v>
      </c>
      <c r="F2030" s="39">
        <v>26</v>
      </c>
      <c r="G2030" t="s">
        <v>21</v>
      </c>
      <c r="H2030" t="s">
        <v>21</v>
      </c>
      <c r="I2030">
        <v>0</v>
      </c>
      <c r="J2030">
        <v>0</v>
      </c>
      <c r="K2030">
        <v>0</v>
      </c>
      <c r="L2030">
        <v>1</v>
      </c>
      <c r="M2030">
        <v>0</v>
      </c>
      <c r="N2030" t="s">
        <v>198</v>
      </c>
      <c r="O2030" t="s">
        <v>213</v>
      </c>
      <c r="P2030" t="s">
        <v>208</v>
      </c>
      <c r="Q2030" t="s">
        <v>170</v>
      </c>
      <c r="R2030" t="s">
        <v>155</v>
      </c>
      <c r="T2030" t="s">
        <v>134</v>
      </c>
      <c r="U2030">
        <v>1</v>
      </c>
      <c r="W2030" t="s">
        <v>134</v>
      </c>
      <c r="X2030">
        <v>1</v>
      </c>
      <c r="Y2030" t="s">
        <v>139</v>
      </c>
      <c r="Z2030" t="s">
        <v>179</v>
      </c>
      <c r="AA2030" t="s">
        <v>147</v>
      </c>
      <c r="AB2030" t="s">
        <v>163</v>
      </c>
      <c r="AC2030" t="s">
        <v>415</v>
      </c>
      <c r="AD2030" t="s">
        <v>155</v>
      </c>
      <c r="AE2030" t="s">
        <v>125</v>
      </c>
      <c r="AF2030" t="s">
        <v>21</v>
      </c>
    </row>
    <row r="2031" spans="1:32">
      <c r="A2031" t="s">
        <v>3044</v>
      </c>
      <c r="B2031" s="37">
        <v>39989</v>
      </c>
      <c r="C2031" s="38">
        <v>39989</v>
      </c>
      <c r="D2031" s="38">
        <v>39986</v>
      </c>
      <c r="E2031" s="38">
        <v>39965</v>
      </c>
      <c r="F2031" s="39">
        <v>84</v>
      </c>
      <c r="G2031" t="s">
        <v>21</v>
      </c>
      <c r="H2031" t="s">
        <v>21</v>
      </c>
      <c r="I2031">
        <v>0</v>
      </c>
      <c r="J2031">
        <v>0</v>
      </c>
      <c r="K2031">
        <v>0</v>
      </c>
      <c r="L2031">
        <v>1</v>
      </c>
      <c r="M2031">
        <v>0</v>
      </c>
      <c r="N2031" t="s">
        <v>196</v>
      </c>
      <c r="O2031" t="s">
        <v>213</v>
      </c>
      <c r="P2031" t="s">
        <v>207</v>
      </c>
      <c r="Q2031" t="s">
        <v>170</v>
      </c>
      <c r="R2031" t="s">
        <v>155</v>
      </c>
      <c r="T2031" t="s">
        <v>134</v>
      </c>
      <c r="U2031">
        <v>1</v>
      </c>
      <c r="W2031" t="s">
        <v>134</v>
      </c>
      <c r="X2031">
        <v>1</v>
      </c>
      <c r="Y2031" t="s">
        <v>139</v>
      </c>
      <c r="Z2031" t="s">
        <v>182</v>
      </c>
      <c r="AA2031" t="s">
        <v>144</v>
      </c>
      <c r="AB2031" t="s">
        <v>162</v>
      </c>
      <c r="AC2031" t="s">
        <v>459</v>
      </c>
      <c r="AD2031" t="s">
        <v>155</v>
      </c>
      <c r="AE2031" t="s">
        <v>130</v>
      </c>
      <c r="AF2031" t="s">
        <v>21</v>
      </c>
    </row>
    <row r="2032" spans="1:32">
      <c r="A2032" t="s">
        <v>3045</v>
      </c>
      <c r="B2032" s="37">
        <v>39949</v>
      </c>
      <c r="C2032" s="38">
        <v>39949</v>
      </c>
      <c r="D2032" s="38">
        <v>39944</v>
      </c>
      <c r="E2032" s="38">
        <v>39934</v>
      </c>
      <c r="F2032" s="39">
        <v>44</v>
      </c>
      <c r="G2032" t="s">
        <v>21</v>
      </c>
      <c r="H2032" t="s">
        <v>21</v>
      </c>
      <c r="I2032">
        <v>0</v>
      </c>
      <c r="J2032">
        <v>0</v>
      </c>
      <c r="K2032">
        <v>0</v>
      </c>
      <c r="L2032">
        <v>1</v>
      </c>
      <c r="M2032">
        <v>0</v>
      </c>
      <c r="N2032" t="s">
        <v>193</v>
      </c>
      <c r="O2032" t="s">
        <v>213</v>
      </c>
      <c r="P2032" t="s">
        <v>204</v>
      </c>
      <c r="Q2032" t="s">
        <v>170</v>
      </c>
      <c r="R2032" t="s">
        <v>155</v>
      </c>
      <c r="T2032" t="s">
        <v>134</v>
      </c>
      <c r="U2032">
        <v>1</v>
      </c>
      <c r="W2032" t="s">
        <v>134</v>
      </c>
      <c r="X2032">
        <v>1</v>
      </c>
      <c r="Y2032" t="s">
        <v>140</v>
      </c>
      <c r="Z2032" t="s">
        <v>184</v>
      </c>
      <c r="AA2032" t="s">
        <v>145</v>
      </c>
      <c r="AB2032" t="s">
        <v>162</v>
      </c>
      <c r="AC2032" t="s">
        <v>573</v>
      </c>
      <c r="AD2032" t="s">
        <v>155</v>
      </c>
      <c r="AE2032" t="s">
        <v>127</v>
      </c>
      <c r="AF2032" t="s">
        <v>21</v>
      </c>
    </row>
    <row r="2033" spans="1:32">
      <c r="A2033" t="s">
        <v>3046</v>
      </c>
      <c r="B2033" s="37">
        <v>39915</v>
      </c>
      <c r="C2033" s="38">
        <v>39915</v>
      </c>
      <c r="D2033" s="38">
        <v>39909</v>
      </c>
      <c r="E2033" s="38">
        <v>39904</v>
      </c>
      <c r="F2033" s="39">
        <v>10</v>
      </c>
      <c r="G2033" t="s">
        <v>21</v>
      </c>
      <c r="H2033" t="s">
        <v>21</v>
      </c>
      <c r="I2033">
        <v>0</v>
      </c>
      <c r="J2033">
        <v>0</v>
      </c>
      <c r="K2033">
        <v>0</v>
      </c>
      <c r="L2033">
        <v>1</v>
      </c>
      <c r="M2033">
        <v>0</v>
      </c>
      <c r="N2033" t="s">
        <v>194</v>
      </c>
      <c r="O2033" t="s">
        <v>213</v>
      </c>
      <c r="P2033" t="s">
        <v>205</v>
      </c>
      <c r="Q2033" t="s">
        <v>170</v>
      </c>
      <c r="R2033" t="s">
        <v>155</v>
      </c>
      <c r="T2033" t="s">
        <v>134</v>
      </c>
      <c r="U2033">
        <v>1</v>
      </c>
      <c r="W2033" t="s">
        <v>134</v>
      </c>
      <c r="X2033">
        <v>1</v>
      </c>
      <c r="Y2033" t="s">
        <v>139</v>
      </c>
      <c r="Z2033" t="s">
        <v>178</v>
      </c>
      <c r="AA2033" t="s">
        <v>145</v>
      </c>
      <c r="AB2033" t="s">
        <v>162</v>
      </c>
      <c r="AC2033" t="s">
        <v>175</v>
      </c>
      <c r="AD2033" t="s">
        <v>155</v>
      </c>
      <c r="AE2033" t="s">
        <v>129</v>
      </c>
      <c r="AF2033" t="s">
        <v>21</v>
      </c>
    </row>
    <row r="2034" spans="1:32">
      <c r="A2034" t="s">
        <v>3047</v>
      </c>
      <c r="B2034" s="37">
        <v>40028</v>
      </c>
      <c r="C2034" s="38">
        <v>40028</v>
      </c>
      <c r="D2034" s="38">
        <v>40028</v>
      </c>
      <c r="E2034" s="38">
        <v>40026</v>
      </c>
      <c r="F2034" s="39">
        <v>123</v>
      </c>
      <c r="G2034" t="s">
        <v>21</v>
      </c>
      <c r="H2034" t="s">
        <v>21</v>
      </c>
      <c r="I2034">
        <v>0</v>
      </c>
      <c r="J2034">
        <v>0</v>
      </c>
      <c r="K2034">
        <v>0</v>
      </c>
      <c r="L2034">
        <v>1</v>
      </c>
      <c r="M2034">
        <v>0</v>
      </c>
      <c r="N2034" t="s">
        <v>193</v>
      </c>
      <c r="O2034" t="s">
        <v>213</v>
      </c>
      <c r="P2034" t="s">
        <v>204</v>
      </c>
      <c r="Q2034" t="s">
        <v>170</v>
      </c>
      <c r="R2034" t="s">
        <v>155</v>
      </c>
      <c r="S2034">
        <v>5</v>
      </c>
      <c r="T2034" t="s">
        <v>135</v>
      </c>
      <c r="U2034">
        <v>0</v>
      </c>
      <c r="V2034">
        <v>3</v>
      </c>
      <c r="W2034" t="s">
        <v>137</v>
      </c>
      <c r="X2034">
        <v>0</v>
      </c>
      <c r="Y2034" t="s">
        <v>140</v>
      </c>
      <c r="Z2034" t="s">
        <v>184</v>
      </c>
      <c r="AA2034" t="s">
        <v>143</v>
      </c>
      <c r="AB2034" t="s">
        <v>162</v>
      </c>
      <c r="AC2034" t="s">
        <v>174</v>
      </c>
      <c r="AD2034" t="s">
        <v>156</v>
      </c>
      <c r="AE2034" t="s">
        <v>120</v>
      </c>
      <c r="AF2034" t="s">
        <v>1087</v>
      </c>
    </row>
    <row r="2035" spans="1:32">
      <c r="A2035" t="s">
        <v>3048</v>
      </c>
      <c r="B2035" s="37">
        <v>39951</v>
      </c>
      <c r="C2035" s="38">
        <v>39951</v>
      </c>
      <c r="D2035" s="38">
        <v>39951</v>
      </c>
      <c r="E2035" s="38">
        <v>39934</v>
      </c>
      <c r="F2035" s="39">
        <v>46</v>
      </c>
      <c r="G2035" t="s">
        <v>21</v>
      </c>
      <c r="H2035" t="s">
        <v>21</v>
      </c>
      <c r="I2035">
        <v>0</v>
      </c>
      <c r="J2035">
        <v>0</v>
      </c>
      <c r="K2035">
        <v>0</v>
      </c>
      <c r="L2035">
        <v>1</v>
      </c>
      <c r="M2035">
        <v>0</v>
      </c>
      <c r="N2035" t="s">
        <v>193</v>
      </c>
      <c r="O2035" t="s">
        <v>213</v>
      </c>
      <c r="P2035" t="s">
        <v>204</v>
      </c>
      <c r="Q2035" t="s">
        <v>170</v>
      </c>
      <c r="R2035" t="s">
        <v>155</v>
      </c>
      <c r="T2035" t="s">
        <v>134</v>
      </c>
      <c r="U2035">
        <v>1</v>
      </c>
      <c r="W2035" t="s">
        <v>134</v>
      </c>
      <c r="X2035">
        <v>1</v>
      </c>
      <c r="Y2035" t="s">
        <v>140</v>
      </c>
      <c r="Z2035" t="s">
        <v>187</v>
      </c>
      <c r="AA2035" t="s">
        <v>147</v>
      </c>
      <c r="AB2035" t="s">
        <v>163</v>
      </c>
      <c r="AC2035" t="s">
        <v>21</v>
      </c>
      <c r="AD2035" t="s">
        <v>155</v>
      </c>
      <c r="AE2035" t="s">
        <v>392</v>
      </c>
      <c r="AF2035" t="s">
        <v>21</v>
      </c>
    </row>
    <row r="2036" spans="1:32">
      <c r="A2036" t="s">
        <v>3049</v>
      </c>
      <c r="B2036" s="37">
        <v>39951</v>
      </c>
      <c r="C2036" s="38">
        <v>39951</v>
      </c>
      <c r="D2036" s="38">
        <v>39951</v>
      </c>
      <c r="E2036" s="38">
        <v>39934</v>
      </c>
      <c r="F2036" s="39">
        <v>46</v>
      </c>
      <c r="G2036" t="s">
        <v>21</v>
      </c>
      <c r="H2036" t="s">
        <v>21</v>
      </c>
      <c r="I2036">
        <v>0</v>
      </c>
      <c r="J2036">
        <v>0</v>
      </c>
      <c r="K2036">
        <v>0</v>
      </c>
      <c r="L2036">
        <v>1</v>
      </c>
      <c r="M2036">
        <v>0</v>
      </c>
      <c r="N2036" t="s">
        <v>193</v>
      </c>
      <c r="O2036" t="s">
        <v>213</v>
      </c>
      <c r="P2036" t="s">
        <v>204</v>
      </c>
      <c r="Q2036" t="s">
        <v>170</v>
      </c>
      <c r="R2036" t="s">
        <v>155</v>
      </c>
      <c r="T2036" t="s">
        <v>134</v>
      </c>
      <c r="U2036">
        <v>1</v>
      </c>
      <c r="W2036" t="s">
        <v>134</v>
      </c>
      <c r="X2036">
        <v>1</v>
      </c>
      <c r="Y2036" t="s">
        <v>140</v>
      </c>
      <c r="Z2036" t="s">
        <v>187</v>
      </c>
      <c r="AA2036" t="s">
        <v>147</v>
      </c>
      <c r="AB2036" t="s">
        <v>162</v>
      </c>
      <c r="AC2036" t="s">
        <v>3050</v>
      </c>
      <c r="AD2036" t="s">
        <v>155</v>
      </c>
      <c r="AE2036" t="s">
        <v>129</v>
      </c>
      <c r="AF2036" t="s">
        <v>21</v>
      </c>
    </row>
    <row r="2037" spans="1:32">
      <c r="A2037" t="s">
        <v>3051</v>
      </c>
      <c r="B2037" s="37">
        <v>40026</v>
      </c>
      <c r="C2037" s="38">
        <v>40026</v>
      </c>
      <c r="D2037" s="38">
        <v>40021</v>
      </c>
      <c r="E2037" s="38">
        <v>40026</v>
      </c>
      <c r="F2037" s="39">
        <v>121</v>
      </c>
      <c r="G2037" t="s">
        <v>21</v>
      </c>
      <c r="H2037" t="s">
        <v>21</v>
      </c>
      <c r="I2037">
        <v>0</v>
      </c>
      <c r="J2037">
        <v>0</v>
      </c>
      <c r="K2037">
        <v>0</v>
      </c>
      <c r="L2037">
        <v>1</v>
      </c>
      <c r="M2037">
        <v>0</v>
      </c>
      <c r="N2037" t="s">
        <v>197</v>
      </c>
      <c r="O2037" t="s">
        <v>213</v>
      </c>
      <c r="P2037" t="s">
        <v>209</v>
      </c>
      <c r="Q2037" t="s">
        <v>170</v>
      </c>
      <c r="R2037" t="s">
        <v>155</v>
      </c>
      <c r="S2037">
        <v>5</v>
      </c>
      <c r="T2037" t="s">
        <v>135</v>
      </c>
      <c r="U2037">
        <v>0</v>
      </c>
      <c r="V2037">
        <v>5</v>
      </c>
      <c r="W2037" t="s">
        <v>135</v>
      </c>
      <c r="X2037">
        <v>0</v>
      </c>
      <c r="Y2037" t="s">
        <v>139</v>
      </c>
      <c r="Z2037" t="s">
        <v>187</v>
      </c>
      <c r="AA2037" t="s">
        <v>142</v>
      </c>
      <c r="AB2037" t="s">
        <v>163</v>
      </c>
      <c r="AC2037" t="s">
        <v>173</v>
      </c>
      <c r="AD2037" t="s">
        <v>155</v>
      </c>
      <c r="AE2037" t="s">
        <v>454</v>
      </c>
      <c r="AF2037" t="s">
        <v>21</v>
      </c>
    </row>
    <row r="2038" spans="1:32">
      <c r="A2038" t="s">
        <v>3052</v>
      </c>
      <c r="B2038" s="37">
        <v>40041</v>
      </c>
      <c r="C2038" s="38">
        <v>40041</v>
      </c>
      <c r="D2038" s="38">
        <v>40035</v>
      </c>
      <c r="E2038" s="38">
        <v>40026</v>
      </c>
      <c r="F2038" s="39">
        <v>136</v>
      </c>
      <c r="G2038" t="s">
        <v>21</v>
      </c>
      <c r="H2038" t="s">
        <v>21</v>
      </c>
      <c r="I2038">
        <v>0</v>
      </c>
      <c r="J2038">
        <v>0</v>
      </c>
      <c r="K2038">
        <v>0</v>
      </c>
      <c r="L2038">
        <v>1</v>
      </c>
      <c r="M2038">
        <v>0</v>
      </c>
      <c r="N2038" t="s">
        <v>196</v>
      </c>
      <c r="O2038" t="s">
        <v>213</v>
      </c>
      <c r="P2038" t="s">
        <v>207</v>
      </c>
      <c r="Q2038" t="s">
        <v>170</v>
      </c>
      <c r="R2038" t="s">
        <v>155</v>
      </c>
      <c r="S2038">
        <v>5</v>
      </c>
      <c r="T2038" t="s">
        <v>135</v>
      </c>
      <c r="U2038">
        <v>0</v>
      </c>
      <c r="V2038">
        <v>5</v>
      </c>
      <c r="W2038" t="s">
        <v>135</v>
      </c>
      <c r="X2038">
        <v>0</v>
      </c>
      <c r="Y2038" t="s">
        <v>139</v>
      </c>
      <c r="Z2038" t="s">
        <v>187</v>
      </c>
      <c r="AA2038" t="s">
        <v>142</v>
      </c>
      <c r="AB2038" t="s">
        <v>163</v>
      </c>
      <c r="AC2038" t="s">
        <v>173</v>
      </c>
      <c r="AD2038" t="s">
        <v>155</v>
      </c>
      <c r="AE2038" t="s">
        <v>125</v>
      </c>
      <c r="AF2038" t="s">
        <v>21</v>
      </c>
    </row>
    <row r="2039" spans="1:32">
      <c r="A2039" t="s">
        <v>3053</v>
      </c>
      <c r="B2039" s="37">
        <v>40052</v>
      </c>
      <c r="C2039" s="38">
        <v>40052</v>
      </c>
      <c r="D2039" s="38">
        <v>40049</v>
      </c>
      <c r="E2039" s="38">
        <v>40026</v>
      </c>
      <c r="F2039" s="39">
        <v>147</v>
      </c>
      <c r="G2039" t="s">
        <v>21</v>
      </c>
      <c r="H2039" t="s">
        <v>21</v>
      </c>
      <c r="I2039">
        <v>0</v>
      </c>
      <c r="J2039">
        <v>0</v>
      </c>
      <c r="K2039">
        <v>0</v>
      </c>
      <c r="L2039">
        <v>1</v>
      </c>
      <c r="M2039">
        <v>0</v>
      </c>
      <c r="N2039" t="s">
        <v>197</v>
      </c>
      <c r="O2039" t="s">
        <v>213</v>
      </c>
      <c r="P2039" t="s">
        <v>209</v>
      </c>
      <c r="Q2039" t="s">
        <v>170</v>
      </c>
      <c r="R2039" t="s">
        <v>155</v>
      </c>
      <c r="S2039">
        <v>5</v>
      </c>
      <c r="T2039" t="s">
        <v>135</v>
      </c>
      <c r="U2039">
        <v>0</v>
      </c>
      <c r="V2039">
        <v>5</v>
      </c>
      <c r="W2039" t="s">
        <v>135</v>
      </c>
      <c r="X2039">
        <v>0</v>
      </c>
      <c r="Y2039" t="s">
        <v>139</v>
      </c>
      <c r="Z2039" t="s">
        <v>187</v>
      </c>
      <c r="AA2039" t="s">
        <v>145</v>
      </c>
      <c r="AB2039" t="s">
        <v>163</v>
      </c>
      <c r="AC2039" t="s">
        <v>3054</v>
      </c>
      <c r="AD2039" t="s">
        <v>155</v>
      </c>
      <c r="AE2039" t="s">
        <v>1441</v>
      </c>
      <c r="AF2039" t="s">
        <v>21</v>
      </c>
    </row>
    <row r="2040" spans="1:32">
      <c r="A2040" t="s">
        <v>3055</v>
      </c>
      <c r="B2040" s="37">
        <v>39914</v>
      </c>
      <c r="C2040" s="38">
        <v>39914</v>
      </c>
      <c r="D2040" s="38">
        <v>39909</v>
      </c>
      <c r="E2040" s="38">
        <v>39904</v>
      </c>
      <c r="F2040" s="39">
        <v>9</v>
      </c>
      <c r="G2040" t="s">
        <v>21</v>
      </c>
      <c r="H2040" t="s">
        <v>21</v>
      </c>
      <c r="I2040">
        <v>0</v>
      </c>
      <c r="J2040">
        <v>0</v>
      </c>
      <c r="K2040">
        <v>0</v>
      </c>
      <c r="L2040">
        <v>1</v>
      </c>
      <c r="M2040">
        <v>0</v>
      </c>
      <c r="N2040" t="s">
        <v>194</v>
      </c>
      <c r="O2040" t="s">
        <v>213</v>
      </c>
      <c r="P2040" t="s">
        <v>205</v>
      </c>
      <c r="Q2040" t="s">
        <v>170</v>
      </c>
      <c r="R2040" t="s">
        <v>155</v>
      </c>
      <c r="T2040" t="s">
        <v>134</v>
      </c>
      <c r="U2040">
        <v>1</v>
      </c>
      <c r="W2040" t="s">
        <v>134</v>
      </c>
      <c r="X2040">
        <v>1</v>
      </c>
      <c r="Y2040" t="s">
        <v>139</v>
      </c>
      <c r="Z2040" t="s">
        <v>187</v>
      </c>
      <c r="AA2040" t="s">
        <v>145</v>
      </c>
      <c r="AB2040" t="s">
        <v>162</v>
      </c>
      <c r="AC2040" t="s">
        <v>1026</v>
      </c>
      <c r="AD2040" t="s">
        <v>156</v>
      </c>
      <c r="AE2040" t="s">
        <v>120</v>
      </c>
      <c r="AF2040" t="s">
        <v>794</v>
      </c>
    </row>
    <row r="2041" spans="1:32">
      <c r="A2041" t="s">
        <v>3056</v>
      </c>
      <c r="B2041" s="37">
        <v>39978</v>
      </c>
      <c r="C2041" s="38">
        <v>39978</v>
      </c>
      <c r="D2041" s="38">
        <v>39972</v>
      </c>
      <c r="E2041" s="38">
        <v>39965</v>
      </c>
      <c r="F2041" s="39">
        <v>73</v>
      </c>
      <c r="G2041" t="s">
        <v>21</v>
      </c>
      <c r="H2041" t="s">
        <v>21</v>
      </c>
      <c r="I2041">
        <v>0</v>
      </c>
      <c r="J2041">
        <v>0</v>
      </c>
      <c r="K2041">
        <v>0</v>
      </c>
      <c r="L2041">
        <v>1</v>
      </c>
      <c r="M2041">
        <v>0</v>
      </c>
      <c r="N2041" t="s">
        <v>193</v>
      </c>
      <c r="O2041" t="s">
        <v>213</v>
      </c>
      <c r="P2041" t="s">
        <v>204</v>
      </c>
      <c r="Q2041" t="s">
        <v>170</v>
      </c>
      <c r="R2041" t="s">
        <v>155</v>
      </c>
      <c r="T2041" t="s">
        <v>134</v>
      </c>
      <c r="U2041">
        <v>1</v>
      </c>
      <c r="W2041" t="s">
        <v>134</v>
      </c>
      <c r="X2041">
        <v>1</v>
      </c>
      <c r="Y2041" t="s">
        <v>140</v>
      </c>
      <c r="Z2041" t="s">
        <v>187</v>
      </c>
      <c r="AA2041" t="s">
        <v>146</v>
      </c>
      <c r="AB2041" t="s">
        <v>162</v>
      </c>
      <c r="AC2041" t="s">
        <v>3050</v>
      </c>
      <c r="AD2041" t="s">
        <v>155</v>
      </c>
      <c r="AE2041" t="s">
        <v>129</v>
      </c>
      <c r="AF2041" t="s">
        <v>21</v>
      </c>
    </row>
    <row r="2042" spans="1:32">
      <c r="A2042" t="s">
        <v>3057</v>
      </c>
      <c r="B2042" s="37">
        <v>39946</v>
      </c>
      <c r="C2042" s="38">
        <v>39946</v>
      </c>
      <c r="D2042" s="38">
        <v>39944</v>
      </c>
      <c r="E2042" s="38">
        <v>39934</v>
      </c>
      <c r="F2042" s="39">
        <v>41</v>
      </c>
      <c r="G2042" t="s">
        <v>570</v>
      </c>
      <c r="H2042" t="s">
        <v>13</v>
      </c>
      <c r="I2042">
        <v>0</v>
      </c>
      <c r="J2042">
        <v>1</v>
      </c>
      <c r="K2042">
        <v>0</v>
      </c>
      <c r="L2042">
        <v>0</v>
      </c>
      <c r="M2042">
        <v>1</v>
      </c>
      <c r="N2042" t="s">
        <v>193</v>
      </c>
      <c r="O2042" t="s">
        <v>213</v>
      </c>
      <c r="P2042" t="s">
        <v>204</v>
      </c>
      <c r="Q2042" t="s">
        <v>170</v>
      </c>
      <c r="R2042" t="s">
        <v>155</v>
      </c>
      <c r="T2042" t="s">
        <v>134</v>
      </c>
      <c r="U2042">
        <v>1</v>
      </c>
      <c r="W2042" t="s">
        <v>134</v>
      </c>
      <c r="X2042">
        <v>1</v>
      </c>
      <c r="Y2042" t="s">
        <v>140</v>
      </c>
      <c r="Z2042" t="s">
        <v>180</v>
      </c>
      <c r="AA2042" t="s">
        <v>151</v>
      </c>
      <c r="AB2042" t="s">
        <v>163</v>
      </c>
      <c r="AC2042" t="s">
        <v>173</v>
      </c>
      <c r="AD2042" t="s">
        <v>155</v>
      </c>
      <c r="AE2042" t="s">
        <v>692</v>
      </c>
      <c r="AF2042" t="s">
        <v>21</v>
      </c>
    </row>
    <row r="2043" spans="1:32">
      <c r="A2043" t="s">
        <v>3058</v>
      </c>
      <c r="B2043" s="37">
        <v>39944</v>
      </c>
      <c r="C2043" s="38">
        <v>39944</v>
      </c>
      <c r="D2043" s="38">
        <v>39944</v>
      </c>
      <c r="E2043" s="38">
        <v>39934</v>
      </c>
      <c r="F2043" s="39">
        <v>39</v>
      </c>
      <c r="G2043" t="s">
        <v>21</v>
      </c>
      <c r="H2043" t="s">
        <v>21</v>
      </c>
      <c r="I2043">
        <v>0</v>
      </c>
      <c r="J2043">
        <v>0</v>
      </c>
      <c r="K2043">
        <v>0</v>
      </c>
      <c r="L2043">
        <v>1</v>
      </c>
      <c r="M2043">
        <v>0</v>
      </c>
      <c r="N2043" t="s">
        <v>195</v>
      </c>
      <c r="O2043" t="s">
        <v>213</v>
      </c>
      <c r="P2043" t="s">
        <v>206</v>
      </c>
      <c r="Q2043" t="s">
        <v>170</v>
      </c>
      <c r="R2043" t="s">
        <v>155</v>
      </c>
      <c r="T2043" t="s">
        <v>134</v>
      </c>
      <c r="U2043">
        <v>1</v>
      </c>
      <c r="W2043" t="s">
        <v>134</v>
      </c>
      <c r="X2043">
        <v>1</v>
      </c>
      <c r="Y2043" t="s">
        <v>139</v>
      </c>
      <c r="Z2043" t="s">
        <v>184</v>
      </c>
      <c r="AA2043" t="s">
        <v>145</v>
      </c>
      <c r="AB2043" t="s">
        <v>163</v>
      </c>
      <c r="AC2043" t="s">
        <v>415</v>
      </c>
      <c r="AD2043" t="s">
        <v>155</v>
      </c>
      <c r="AE2043" t="s">
        <v>125</v>
      </c>
      <c r="AF2043" t="s">
        <v>21</v>
      </c>
    </row>
    <row r="2044" spans="1:32">
      <c r="A2044" t="s">
        <v>3059</v>
      </c>
      <c r="B2044" s="37">
        <v>39907</v>
      </c>
      <c r="C2044" s="38">
        <v>39907</v>
      </c>
      <c r="D2044" s="38">
        <v>39902</v>
      </c>
      <c r="E2044" s="38">
        <v>39904</v>
      </c>
      <c r="F2044" s="39">
        <v>2</v>
      </c>
      <c r="G2044" t="s">
        <v>21</v>
      </c>
      <c r="H2044" t="s">
        <v>21</v>
      </c>
      <c r="I2044">
        <v>0</v>
      </c>
      <c r="J2044">
        <v>0</v>
      </c>
      <c r="K2044">
        <v>0</v>
      </c>
      <c r="L2044">
        <v>1</v>
      </c>
      <c r="M2044">
        <v>0</v>
      </c>
      <c r="N2044" t="s">
        <v>200</v>
      </c>
      <c r="O2044" t="s">
        <v>214</v>
      </c>
      <c r="P2044" t="s">
        <v>208</v>
      </c>
      <c r="Q2044" t="s">
        <v>170</v>
      </c>
      <c r="R2044" t="s">
        <v>155</v>
      </c>
      <c r="T2044" t="s">
        <v>134</v>
      </c>
      <c r="U2044">
        <v>1</v>
      </c>
      <c r="W2044" t="s">
        <v>134</v>
      </c>
      <c r="X2044">
        <v>1</v>
      </c>
      <c r="Y2044" t="s">
        <v>139</v>
      </c>
      <c r="Z2044" t="s">
        <v>188</v>
      </c>
      <c r="AA2044" t="s">
        <v>147</v>
      </c>
      <c r="AB2044" t="s">
        <v>165</v>
      </c>
      <c r="AC2044" t="s">
        <v>3060</v>
      </c>
      <c r="AD2044" t="s">
        <v>158</v>
      </c>
      <c r="AE2044" t="s">
        <v>122</v>
      </c>
      <c r="AF2044" t="s">
        <v>21</v>
      </c>
    </row>
    <row r="2045" spans="1:32">
      <c r="A2045" t="s">
        <v>3061</v>
      </c>
      <c r="B2045" s="37">
        <v>40021</v>
      </c>
      <c r="C2045" s="38">
        <v>40021</v>
      </c>
      <c r="D2045" s="38">
        <v>40021</v>
      </c>
      <c r="E2045" s="38">
        <v>39995</v>
      </c>
      <c r="F2045" s="39">
        <v>116</v>
      </c>
      <c r="G2045" t="s">
        <v>496</v>
      </c>
      <c r="H2045" t="s">
        <v>13</v>
      </c>
      <c r="I2045">
        <v>0</v>
      </c>
      <c r="J2045">
        <v>1</v>
      </c>
      <c r="K2045">
        <v>0</v>
      </c>
      <c r="L2045">
        <v>0</v>
      </c>
      <c r="M2045">
        <v>1</v>
      </c>
      <c r="N2045" t="s">
        <v>196</v>
      </c>
      <c r="O2045" t="s">
        <v>213</v>
      </c>
      <c r="P2045" t="s">
        <v>207</v>
      </c>
      <c r="Q2045" t="s">
        <v>170</v>
      </c>
      <c r="R2045" t="s">
        <v>155</v>
      </c>
      <c r="S2045">
        <v>1</v>
      </c>
      <c r="T2045" t="s">
        <v>136</v>
      </c>
      <c r="U2045">
        <v>0</v>
      </c>
      <c r="V2045">
        <v>5</v>
      </c>
      <c r="W2045" t="s">
        <v>135</v>
      </c>
      <c r="X2045">
        <v>0</v>
      </c>
      <c r="Y2045" t="s">
        <v>139</v>
      </c>
      <c r="Z2045" t="s">
        <v>189</v>
      </c>
      <c r="AA2045" t="s">
        <v>145</v>
      </c>
      <c r="AB2045" t="s">
        <v>163</v>
      </c>
      <c r="AC2045" t="s">
        <v>173</v>
      </c>
      <c r="AD2045" t="s">
        <v>155</v>
      </c>
      <c r="AE2045" t="s">
        <v>124</v>
      </c>
      <c r="AF2045" t="s">
        <v>21</v>
      </c>
    </row>
    <row r="2046" spans="1:32">
      <c r="A2046" t="s">
        <v>3062</v>
      </c>
      <c r="B2046" s="37">
        <v>40015</v>
      </c>
      <c r="C2046" s="38">
        <v>40015</v>
      </c>
      <c r="D2046" s="38">
        <v>40014</v>
      </c>
      <c r="E2046" s="38">
        <v>39995</v>
      </c>
      <c r="F2046" s="39">
        <v>110</v>
      </c>
      <c r="G2046" t="s">
        <v>21</v>
      </c>
      <c r="H2046" t="s">
        <v>21</v>
      </c>
      <c r="I2046">
        <v>0</v>
      </c>
      <c r="J2046">
        <v>0</v>
      </c>
      <c r="K2046">
        <v>0</v>
      </c>
      <c r="L2046">
        <v>1</v>
      </c>
      <c r="M2046">
        <v>0</v>
      </c>
      <c r="N2046" t="s">
        <v>193</v>
      </c>
      <c r="O2046" t="s">
        <v>213</v>
      </c>
      <c r="P2046" t="s">
        <v>204</v>
      </c>
      <c r="Q2046" t="s">
        <v>170</v>
      </c>
      <c r="R2046" t="s">
        <v>155</v>
      </c>
      <c r="S2046">
        <v>5</v>
      </c>
      <c r="T2046" t="s">
        <v>135</v>
      </c>
      <c r="U2046">
        <v>0</v>
      </c>
      <c r="V2046">
        <v>3</v>
      </c>
      <c r="W2046" t="s">
        <v>137</v>
      </c>
      <c r="X2046">
        <v>0</v>
      </c>
      <c r="Y2046" t="s">
        <v>140</v>
      </c>
      <c r="Z2046" t="s">
        <v>182</v>
      </c>
      <c r="AA2046" t="s">
        <v>146</v>
      </c>
      <c r="AB2046" t="s">
        <v>162</v>
      </c>
      <c r="AC2046" t="s">
        <v>550</v>
      </c>
      <c r="AD2046" t="s">
        <v>156</v>
      </c>
      <c r="AE2046" t="s">
        <v>120</v>
      </c>
      <c r="AF2046" t="s">
        <v>967</v>
      </c>
    </row>
    <row r="2047" spans="1:32">
      <c r="A2047" t="s">
        <v>3063</v>
      </c>
      <c r="B2047" s="37">
        <v>40044</v>
      </c>
      <c r="C2047" s="38">
        <v>40044</v>
      </c>
      <c r="D2047" s="38">
        <v>40042</v>
      </c>
      <c r="E2047" s="38">
        <v>40026</v>
      </c>
      <c r="F2047" s="39">
        <v>139</v>
      </c>
      <c r="G2047" t="s">
        <v>21</v>
      </c>
      <c r="H2047" t="s">
        <v>21</v>
      </c>
      <c r="I2047">
        <v>0</v>
      </c>
      <c r="J2047">
        <v>0</v>
      </c>
      <c r="K2047">
        <v>0</v>
      </c>
      <c r="L2047">
        <v>1</v>
      </c>
      <c r="M2047">
        <v>0</v>
      </c>
      <c r="N2047" t="s">
        <v>193</v>
      </c>
      <c r="O2047" t="s">
        <v>213</v>
      </c>
      <c r="P2047" t="s">
        <v>204</v>
      </c>
      <c r="Q2047" t="s">
        <v>170</v>
      </c>
      <c r="R2047" t="s">
        <v>155</v>
      </c>
      <c r="S2047">
        <v>4</v>
      </c>
      <c r="T2047" t="s">
        <v>137</v>
      </c>
      <c r="U2047">
        <v>0</v>
      </c>
      <c r="V2047">
        <v>4</v>
      </c>
      <c r="W2047" t="s">
        <v>137</v>
      </c>
      <c r="X2047">
        <v>0</v>
      </c>
      <c r="Y2047" t="s">
        <v>140</v>
      </c>
      <c r="Z2047" t="s">
        <v>189</v>
      </c>
      <c r="AA2047" t="s">
        <v>143</v>
      </c>
      <c r="AB2047" t="s">
        <v>162</v>
      </c>
      <c r="AC2047" t="s">
        <v>550</v>
      </c>
      <c r="AD2047" t="s">
        <v>159</v>
      </c>
      <c r="AE2047" t="s">
        <v>123</v>
      </c>
      <c r="AF2047" t="s">
        <v>123</v>
      </c>
    </row>
    <row r="2048" spans="1:32">
      <c r="A2048" t="s">
        <v>3064</v>
      </c>
      <c r="B2048" s="37">
        <v>40056</v>
      </c>
      <c r="C2048" s="38">
        <v>40056</v>
      </c>
      <c r="D2048" s="38">
        <v>40056</v>
      </c>
      <c r="E2048" s="38">
        <v>40026</v>
      </c>
      <c r="F2048" s="39">
        <v>151</v>
      </c>
      <c r="G2048" t="s">
        <v>21</v>
      </c>
      <c r="H2048" t="s">
        <v>21</v>
      </c>
      <c r="I2048">
        <v>0</v>
      </c>
      <c r="J2048">
        <v>0</v>
      </c>
      <c r="K2048">
        <v>0</v>
      </c>
      <c r="L2048">
        <v>1</v>
      </c>
      <c r="M2048">
        <v>0</v>
      </c>
      <c r="N2048" t="s">
        <v>196</v>
      </c>
      <c r="O2048" t="s">
        <v>213</v>
      </c>
      <c r="P2048" t="s">
        <v>207</v>
      </c>
      <c r="Q2048" t="s">
        <v>170</v>
      </c>
      <c r="R2048" t="s">
        <v>155</v>
      </c>
      <c r="S2048">
        <v>5</v>
      </c>
      <c r="T2048" t="s">
        <v>135</v>
      </c>
      <c r="U2048">
        <v>0</v>
      </c>
      <c r="V2048">
        <v>2</v>
      </c>
      <c r="W2048" t="s">
        <v>136</v>
      </c>
      <c r="X2048">
        <v>0</v>
      </c>
      <c r="Y2048" t="s">
        <v>139</v>
      </c>
      <c r="Z2048" t="s">
        <v>187</v>
      </c>
      <c r="AA2048" t="s">
        <v>144</v>
      </c>
      <c r="AB2048" t="s">
        <v>163</v>
      </c>
      <c r="AC2048" t="s">
        <v>3065</v>
      </c>
      <c r="AD2048" t="s">
        <v>155</v>
      </c>
      <c r="AE2048" t="s">
        <v>128</v>
      </c>
      <c r="AF2048" t="s">
        <v>21</v>
      </c>
    </row>
    <row r="2049" spans="1:32">
      <c r="A2049" t="s">
        <v>3066</v>
      </c>
      <c r="B2049" s="37">
        <v>40035</v>
      </c>
      <c r="C2049" s="38">
        <v>40035</v>
      </c>
      <c r="D2049" s="38">
        <v>40035</v>
      </c>
      <c r="E2049" s="38">
        <v>40026</v>
      </c>
      <c r="F2049" s="39">
        <v>130</v>
      </c>
      <c r="G2049" t="s">
        <v>21</v>
      </c>
      <c r="H2049" t="s">
        <v>21</v>
      </c>
      <c r="I2049">
        <v>0</v>
      </c>
      <c r="J2049">
        <v>0</v>
      </c>
      <c r="K2049">
        <v>0</v>
      </c>
      <c r="L2049">
        <v>1</v>
      </c>
      <c r="M2049">
        <v>0</v>
      </c>
      <c r="N2049" t="s">
        <v>193</v>
      </c>
      <c r="O2049" t="s">
        <v>213</v>
      </c>
      <c r="P2049" t="s">
        <v>204</v>
      </c>
      <c r="Q2049" t="s">
        <v>170</v>
      </c>
      <c r="R2049" t="s">
        <v>155</v>
      </c>
      <c r="S2049">
        <v>5</v>
      </c>
      <c r="T2049" t="s">
        <v>135</v>
      </c>
      <c r="U2049">
        <v>0</v>
      </c>
      <c r="V2049">
        <v>5</v>
      </c>
      <c r="W2049" t="s">
        <v>135</v>
      </c>
      <c r="X2049">
        <v>0</v>
      </c>
      <c r="Y2049" t="s">
        <v>140</v>
      </c>
      <c r="Z2049" t="s">
        <v>384</v>
      </c>
      <c r="AA2049" t="s">
        <v>142</v>
      </c>
      <c r="AB2049" t="s">
        <v>163</v>
      </c>
      <c r="AC2049" t="s">
        <v>173</v>
      </c>
      <c r="AD2049" t="s">
        <v>155</v>
      </c>
      <c r="AE2049" t="s">
        <v>124</v>
      </c>
      <c r="AF2049" t="s">
        <v>21</v>
      </c>
    </row>
    <row r="2050" spans="1:32">
      <c r="A2050" t="s">
        <v>3067</v>
      </c>
      <c r="B2050" s="37">
        <v>39906</v>
      </c>
      <c r="C2050" s="38">
        <v>39906</v>
      </c>
      <c r="D2050" s="38">
        <v>39902</v>
      </c>
      <c r="E2050" s="38">
        <v>39904</v>
      </c>
      <c r="F2050" s="39">
        <v>1</v>
      </c>
      <c r="G2050" t="s">
        <v>21</v>
      </c>
      <c r="H2050" t="s">
        <v>21</v>
      </c>
      <c r="I2050">
        <v>0</v>
      </c>
      <c r="J2050">
        <v>0</v>
      </c>
      <c r="K2050">
        <v>0</v>
      </c>
      <c r="L2050">
        <v>1</v>
      </c>
      <c r="M2050">
        <v>0</v>
      </c>
      <c r="N2050" t="s">
        <v>199</v>
      </c>
      <c r="O2050" t="s">
        <v>213</v>
      </c>
      <c r="P2050" t="s">
        <v>210</v>
      </c>
      <c r="Q2050" t="s">
        <v>170</v>
      </c>
      <c r="R2050" t="s">
        <v>155</v>
      </c>
      <c r="T2050" t="s">
        <v>134</v>
      </c>
      <c r="U2050">
        <v>1</v>
      </c>
      <c r="W2050" t="s">
        <v>134</v>
      </c>
      <c r="X2050">
        <v>1</v>
      </c>
      <c r="Y2050" t="s">
        <v>139</v>
      </c>
      <c r="Z2050" t="s">
        <v>187</v>
      </c>
      <c r="AA2050" t="s">
        <v>145</v>
      </c>
      <c r="AB2050" t="s">
        <v>165</v>
      </c>
      <c r="AC2050" t="s">
        <v>3068</v>
      </c>
      <c r="AD2050" t="s">
        <v>158</v>
      </c>
      <c r="AE2050" t="s">
        <v>122</v>
      </c>
      <c r="AF2050" t="s">
        <v>21</v>
      </c>
    </row>
    <row r="2051" spans="1:32">
      <c r="A2051" t="s">
        <v>3069</v>
      </c>
      <c r="B2051" s="37">
        <v>39972</v>
      </c>
      <c r="C2051" s="38">
        <v>39972</v>
      </c>
      <c r="D2051" s="38">
        <v>39972</v>
      </c>
      <c r="E2051" s="38">
        <v>39965</v>
      </c>
      <c r="F2051" s="39">
        <v>67</v>
      </c>
      <c r="G2051" t="s">
        <v>21</v>
      </c>
      <c r="H2051" t="s">
        <v>21</v>
      </c>
      <c r="I2051">
        <v>0</v>
      </c>
      <c r="J2051">
        <v>0</v>
      </c>
      <c r="K2051">
        <v>0</v>
      </c>
      <c r="L2051">
        <v>1</v>
      </c>
      <c r="M2051">
        <v>0</v>
      </c>
      <c r="N2051" t="s">
        <v>193</v>
      </c>
      <c r="O2051" t="s">
        <v>213</v>
      </c>
      <c r="P2051" t="s">
        <v>204</v>
      </c>
      <c r="Q2051" t="s">
        <v>170</v>
      </c>
      <c r="R2051" t="s">
        <v>155</v>
      </c>
      <c r="T2051" t="s">
        <v>134</v>
      </c>
      <c r="U2051">
        <v>1</v>
      </c>
      <c r="W2051" t="s">
        <v>134</v>
      </c>
      <c r="X2051">
        <v>1</v>
      </c>
      <c r="Y2051" t="s">
        <v>140</v>
      </c>
      <c r="Z2051" t="s">
        <v>187</v>
      </c>
      <c r="AA2051" t="s">
        <v>148</v>
      </c>
      <c r="AB2051" t="s">
        <v>162</v>
      </c>
      <c r="AC2051" t="s">
        <v>175</v>
      </c>
      <c r="AD2051" t="s">
        <v>161</v>
      </c>
      <c r="AE2051" t="s">
        <v>571</v>
      </c>
      <c r="AF2051" t="s">
        <v>21</v>
      </c>
    </row>
    <row r="2052" spans="1:32">
      <c r="A2052" t="s">
        <v>3070</v>
      </c>
      <c r="B2052" s="37">
        <v>40024</v>
      </c>
      <c r="C2052" s="38">
        <v>40024</v>
      </c>
      <c r="D2052" s="38">
        <v>40021</v>
      </c>
      <c r="E2052" s="38">
        <v>39995</v>
      </c>
      <c r="F2052" s="39">
        <v>119</v>
      </c>
      <c r="G2052" t="s">
        <v>21</v>
      </c>
      <c r="H2052" t="s">
        <v>21</v>
      </c>
      <c r="I2052">
        <v>0</v>
      </c>
      <c r="J2052">
        <v>0</v>
      </c>
      <c r="K2052">
        <v>0</v>
      </c>
      <c r="L2052">
        <v>1</v>
      </c>
      <c r="M2052">
        <v>0</v>
      </c>
      <c r="N2052" t="s">
        <v>195</v>
      </c>
      <c r="O2052" t="s">
        <v>213</v>
      </c>
      <c r="P2052" t="s">
        <v>206</v>
      </c>
      <c r="Q2052" t="s">
        <v>170</v>
      </c>
      <c r="R2052" t="s">
        <v>155</v>
      </c>
      <c r="S2052">
        <v>5</v>
      </c>
      <c r="T2052" t="s">
        <v>135</v>
      </c>
      <c r="U2052">
        <v>0</v>
      </c>
      <c r="V2052">
        <v>3</v>
      </c>
      <c r="W2052" t="s">
        <v>137</v>
      </c>
      <c r="X2052">
        <v>0</v>
      </c>
      <c r="Y2052" t="s">
        <v>139</v>
      </c>
      <c r="Z2052" t="s">
        <v>528</v>
      </c>
      <c r="AA2052" t="s">
        <v>145</v>
      </c>
      <c r="AB2052" t="s">
        <v>163</v>
      </c>
      <c r="AC2052" t="s">
        <v>173</v>
      </c>
      <c r="AD2052" t="s">
        <v>155</v>
      </c>
      <c r="AE2052" t="s">
        <v>763</v>
      </c>
      <c r="AF2052" t="s">
        <v>21</v>
      </c>
    </row>
    <row r="2053" spans="1:32">
      <c r="A2053" t="s">
        <v>3071</v>
      </c>
      <c r="B2053" s="37">
        <v>39992</v>
      </c>
      <c r="C2053" s="38">
        <v>39992</v>
      </c>
      <c r="D2053" s="38">
        <v>39986</v>
      </c>
      <c r="E2053" s="38">
        <v>39965</v>
      </c>
      <c r="F2053" s="39">
        <v>87</v>
      </c>
      <c r="G2053" t="s">
        <v>525</v>
      </c>
      <c r="H2053" t="s">
        <v>17</v>
      </c>
      <c r="I2053">
        <v>0</v>
      </c>
      <c r="J2053">
        <v>0</v>
      </c>
      <c r="K2053">
        <v>1</v>
      </c>
      <c r="L2053">
        <v>0</v>
      </c>
      <c r="M2053">
        <v>0</v>
      </c>
      <c r="N2053" t="s">
        <v>196</v>
      </c>
      <c r="O2053" t="s">
        <v>213</v>
      </c>
      <c r="P2053" t="s">
        <v>207</v>
      </c>
      <c r="Q2053" t="s">
        <v>170</v>
      </c>
      <c r="R2053" t="s">
        <v>155</v>
      </c>
      <c r="T2053" t="s">
        <v>134</v>
      </c>
      <c r="U2053">
        <v>1</v>
      </c>
      <c r="V2053">
        <v>3</v>
      </c>
      <c r="W2053" t="s">
        <v>137</v>
      </c>
      <c r="X2053">
        <v>0</v>
      </c>
      <c r="Y2053" t="s">
        <v>139</v>
      </c>
      <c r="Z2053" t="s">
        <v>179</v>
      </c>
      <c r="AA2053" t="s">
        <v>144</v>
      </c>
      <c r="AB2053" t="s">
        <v>162</v>
      </c>
      <c r="AC2053" t="s">
        <v>3072</v>
      </c>
      <c r="AD2053" t="s">
        <v>157</v>
      </c>
      <c r="AE2053" t="s">
        <v>130</v>
      </c>
      <c r="AF2053" t="s">
        <v>437</v>
      </c>
    </row>
    <row r="2054" spans="1:32">
      <c r="A2054" t="s">
        <v>3073</v>
      </c>
      <c r="B2054" s="37">
        <v>40083</v>
      </c>
      <c r="C2054" s="38">
        <v>40083</v>
      </c>
      <c r="D2054" s="38">
        <v>40077</v>
      </c>
      <c r="E2054" s="38">
        <v>40057</v>
      </c>
      <c r="F2054" s="39">
        <v>178</v>
      </c>
      <c r="G2054" t="s">
        <v>21</v>
      </c>
      <c r="H2054" t="s">
        <v>21</v>
      </c>
      <c r="I2054">
        <v>0</v>
      </c>
      <c r="J2054">
        <v>0</v>
      </c>
      <c r="K2054">
        <v>0</v>
      </c>
      <c r="L2054">
        <v>1</v>
      </c>
      <c r="M2054">
        <v>0</v>
      </c>
      <c r="N2054" t="s">
        <v>193</v>
      </c>
      <c r="O2054" t="s">
        <v>213</v>
      </c>
      <c r="P2054" t="s">
        <v>204</v>
      </c>
      <c r="Q2054" t="s">
        <v>170</v>
      </c>
      <c r="R2054" t="s">
        <v>155</v>
      </c>
      <c r="S2054">
        <v>3</v>
      </c>
      <c r="T2054" t="s">
        <v>137</v>
      </c>
      <c r="U2054">
        <v>0</v>
      </c>
      <c r="V2054">
        <v>4</v>
      </c>
      <c r="W2054" t="s">
        <v>137</v>
      </c>
      <c r="X2054">
        <v>0</v>
      </c>
      <c r="Y2054" t="s">
        <v>140</v>
      </c>
      <c r="Z2054" t="s">
        <v>179</v>
      </c>
      <c r="AA2054" t="s">
        <v>149</v>
      </c>
      <c r="AB2054" t="s">
        <v>162</v>
      </c>
      <c r="AC2054" t="s">
        <v>174</v>
      </c>
      <c r="AD2054" t="s">
        <v>157</v>
      </c>
      <c r="AE2054" t="s">
        <v>434</v>
      </c>
      <c r="AF2054" t="s">
        <v>435</v>
      </c>
    </row>
    <row r="2055" spans="1:32">
      <c r="A2055" t="s">
        <v>3074</v>
      </c>
      <c r="B2055" s="37">
        <v>40056</v>
      </c>
      <c r="C2055" s="38">
        <v>40056</v>
      </c>
      <c r="D2055" s="38">
        <v>40056</v>
      </c>
      <c r="E2055" s="38">
        <v>40026</v>
      </c>
      <c r="F2055" s="39">
        <v>151</v>
      </c>
      <c r="G2055" t="s">
        <v>21</v>
      </c>
      <c r="H2055" t="s">
        <v>21</v>
      </c>
      <c r="I2055">
        <v>0</v>
      </c>
      <c r="J2055">
        <v>0</v>
      </c>
      <c r="K2055">
        <v>0</v>
      </c>
      <c r="L2055">
        <v>1</v>
      </c>
      <c r="M2055">
        <v>0</v>
      </c>
      <c r="N2055" t="s">
        <v>197</v>
      </c>
      <c r="O2055" t="s">
        <v>213</v>
      </c>
      <c r="P2055" t="s">
        <v>209</v>
      </c>
      <c r="Q2055" t="s">
        <v>170</v>
      </c>
      <c r="R2055" t="s">
        <v>155</v>
      </c>
      <c r="S2055">
        <v>5</v>
      </c>
      <c r="T2055" t="s">
        <v>135</v>
      </c>
      <c r="U2055">
        <v>0</v>
      </c>
      <c r="V2055">
        <v>4</v>
      </c>
      <c r="W2055" t="s">
        <v>137</v>
      </c>
      <c r="X2055">
        <v>0</v>
      </c>
      <c r="Y2055" t="s">
        <v>139</v>
      </c>
      <c r="Z2055" t="s">
        <v>409</v>
      </c>
      <c r="AA2055" t="s">
        <v>142</v>
      </c>
      <c r="AB2055" t="s">
        <v>163</v>
      </c>
      <c r="AC2055" t="s">
        <v>1042</v>
      </c>
      <c r="AD2055" t="s">
        <v>155</v>
      </c>
      <c r="AE2055" t="s">
        <v>956</v>
      </c>
      <c r="AF2055" t="s">
        <v>21</v>
      </c>
    </row>
    <row r="2056" spans="1:32">
      <c r="A2056" t="s">
        <v>3075</v>
      </c>
      <c r="B2056" s="37">
        <v>39959</v>
      </c>
      <c r="C2056" s="38">
        <v>39959</v>
      </c>
      <c r="D2056" s="38">
        <v>39958</v>
      </c>
      <c r="E2056" s="38">
        <v>39934</v>
      </c>
      <c r="F2056" s="39">
        <v>54</v>
      </c>
      <c r="G2056" t="s">
        <v>21</v>
      </c>
      <c r="H2056" t="s">
        <v>21</v>
      </c>
      <c r="I2056">
        <v>0</v>
      </c>
      <c r="J2056">
        <v>0</v>
      </c>
      <c r="K2056">
        <v>0</v>
      </c>
      <c r="L2056">
        <v>1</v>
      </c>
      <c r="M2056">
        <v>0</v>
      </c>
      <c r="N2056" t="s">
        <v>193</v>
      </c>
      <c r="O2056" t="s">
        <v>213</v>
      </c>
      <c r="P2056" t="s">
        <v>204</v>
      </c>
      <c r="Q2056" t="s">
        <v>170</v>
      </c>
      <c r="R2056" t="s">
        <v>155</v>
      </c>
      <c r="T2056" t="s">
        <v>134</v>
      </c>
      <c r="U2056">
        <v>1</v>
      </c>
      <c r="W2056" t="s">
        <v>134</v>
      </c>
      <c r="X2056">
        <v>1</v>
      </c>
      <c r="Y2056" t="s">
        <v>140</v>
      </c>
      <c r="Z2056" t="s">
        <v>187</v>
      </c>
      <c r="AA2056" t="s">
        <v>144</v>
      </c>
      <c r="AB2056" t="s">
        <v>163</v>
      </c>
      <c r="AC2056" t="s">
        <v>3076</v>
      </c>
      <c r="AD2056" t="s">
        <v>155</v>
      </c>
      <c r="AE2056" t="s">
        <v>130</v>
      </c>
      <c r="AF2056" t="s">
        <v>21</v>
      </c>
    </row>
    <row r="2057" spans="1:32">
      <c r="A2057" t="s">
        <v>3077</v>
      </c>
      <c r="B2057" s="37">
        <v>40048</v>
      </c>
      <c r="C2057" s="38">
        <v>40048</v>
      </c>
      <c r="D2057" s="38">
        <v>40042</v>
      </c>
      <c r="E2057" s="38">
        <v>40026</v>
      </c>
      <c r="F2057" s="39">
        <v>143</v>
      </c>
      <c r="G2057" t="s">
        <v>9</v>
      </c>
      <c r="H2057" t="s">
        <v>9</v>
      </c>
      <c r="I2057">
        <v>1</v>
      </c>
      <c r="J2057">
        <v>0</v>
      </c>
      <c r="K2057">
        <v>0</v>
      </c>
      <c r="L2057">
        <v>0</v>
      </c>
      <c r="M2057">
        <v>1</v>
      </c>
      <c r="N2057" t="s">
        <v>196</v>
      </c>
      <c r="O2057" t="s">
        <v>213</v>
      </c>
      <c r="P2057" t="s">
        <v>207</v>
      </c>
      <c r="Q2057" t="s">
        <v>170</v>
      </c>
      <c r="R2057" t="s">
        <v>155</v>
      </c>
      <c r="S2057">
        <v>5</v>
      </c>
      <c r="T2057" t="s">
        <v>135</v>
      </c>
      <c r="U2057">
        <v>0</v>
      </c>
      <c r="V2057">
        <v>5</v>
      </c>
      <c r="W2057" t="s">
        <v>135</v>
      </c>
      <c r="X2057">
        <v>0</v>
      </c>
      <c r="Y2057" t="s">
        <v>139</v>
      </c>
      <c r="Z2057" t="s">
        <v>187</v>
      </c>
      <c r="AA2057" t="s">
        <v>145</v>
      </c>
      <c r="AB2057" t="s">
        <v>165</v>
      </c>
      <c r="AC2057" t="s">
        <v>2169</v>
      </c>
      <c r="AD2057" t="s">
        <v>158</v>
      </c>
      <c r="AE2057" t="s">
        <v>122</v>
      </c>
      <c r="AF2057" t="s">
        <v>21</v>
      </c>
    </row>
    <row r="2058" spans="1:32">
      <c r="A2058" t="s">
        <v>3078</v>
      </c>
      <c r="B2058" s="37">
        <v>40003</v>
      </c>
      <c r="C2058" s="38">
        <v>40003</v>
      </c>
      <c r="D2058" s="38">
        <v>40000</v>
      </c>
      <c r="E2058" s="38">
        <v>39995</v>
      </c>
      <c r="F2058" s="39">
        <v>98</v>
      </c>
      <c r="G2058" t="s">
        <v>21</v>
      </c>
      <c r="H2058" t="s">
        <v>21</v>
      </c>
      <c r="I2058">
        <v>0</v>
      </c>
      <c r="J2058">
        <v>0</v>
      </c>
      <c r="K2058">
        <v>0</v>
      </c>
      <c r="L2058">
        <v>1</v>
      </c>
      <c r="M2058">
        <v>0</v>
      </c>
      <c r="N2058" t="s">
        <v>194</v>
      </c>
      <c r="O2058" t="s">
        <v>213</v>
      </c>
      <c r="P2058" t="s">
        <v>205</v>
      </c>
      <c r="Q2058" t="s">
        <v>170</v>
      </c>
      <c r="R2058" t="s">
        <v>155</v>
      </c>
      <c r="T2058" t="s">
        <v>134</v>
      </c>
      <c r="U2058">
        <v>1</v>
      </c>
      <c r="V2058">
        <v>2</v>
      </c>
      <c r="W2058" t="s">
        <v>136</v>
      </c>
      <c r="X2058">
        <v>0</v>
      </c>
      <c r="Y2058" t="s">
        <v>139</v>
      </c>
      <c r="Z2058" t="s">
        <v>433</v>
      </c>
      <c r="AA2058" t="s">
        <v>148</v>
      </c>
      <c r="AB2058" t="s">
        <v>162</v>
      </c>
      <c r="AC2058" t="s">
        <v>174</v>
      </c>
      <c r="AD2058" t="s">
        <v>157</v>
      </c>
      <c r="AE2058" t="s">
        <v>434</v>
      </c>
      <c r="AF2058" t="s">
        <v>435</v>
      </c>
    </row>
    <row r="2059" spans="1:32">
      <c r="A2059" t="s">
        <v>3079</v>
      </c>
      <c r="B2059" s="37">
        <v>39990</v>
      </c>
      <c r="C2059" s="38">
        <v>39990</v>
      </c>
      <c r="D2059" s="38">
        <v>39986</v>
      </c>
      <c r="E2059" s="38">
        <v>39965</v>
      </c>
      <c r="F2059" s="39">
        <v>85</v>
      </c>
      <c r="G2059" t="s">
        <v>9</v>
      </c>
      <c r="H2059" t="s">
        <v>9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544</v>
      </c>
      <c r="O2059" t="s">
        <v>213</v>
      </c>
      <c r="P2059" t="s">
        <v>545</v>
      </c>
      <c r="Q2059" t="s">
        <v>170</v>
      </c>
      <c r="R2059" t="s">
        <v>155</v>
      </c>
      <c r="T2059" t="s">
        <v>134</v>
      </c>
      <c r="U2059">
        <v>1</v>
      </c>
      <c r="V2059">
        <v>3</v>
      </c>
      <c r="W2059" t="s">
        <v>137</v>
      </c>
      <c r="X2059">
        <v>0</v>
      </c>
      <c r="Y2059" t="s">
        <v>139</v>
      </c>
      <c r="Z2059" t="s">
        <v>433</v>
      </c>
      <c r="AA2059" t="s">
        <v>143</v>
      </c>
      <c r="AB2059" t="s">
        <v>162</v>
      </c>
      <c r="AC2059" t="s">
        <v>1572</v>
      </c>
      <c r="AD2059" t="s">
        <v>159</v>
      </c>
      <c r="AE2059" t="s">
        <v>123</v>
      </c>
      <c r="AF2059" t="s">
        <v>123</v>
      </c>
    </row>
    <row r="2060" spans="1:32">
      <c r="A2060" t="s">
        <v>3080</v>
      </c>
      <c r="B2060" s="37">
        <v>39906</v>
      </c>
      <c r="C2060" s="38">
        <v>39906</v>
      </c>
      <c r="D2060" s="38">
        <v>39902</v>
      </c>
      <c r="E2060" s="38">
        <v>39904</v>
      </c>
      <c r="F2060" s="39">
        <v>1</v>
      </c>
      <c r="G2060" t="s">
        <v>21</v>
      </c>
      <c r="H2060" t="s">
        <v>21</v>
      </c>
      <c r="I2060">
        <v>0</v>
      </c>
      <c r="J2060">
        <v>0</v>
      </c>
      <c r="K2060">
        <v>0</v>
      </c>
      <c r="L2060">
        <v>1</v>
      </c>
      <c r="M2060">
        <v>0</v>
      </c>
      <c r="N2060" t="s">
        <v>198</v>
      </c>
      <c r="O2060" t="s">
        <v>213</v>
      </c>
      <c r="P2060" t="s">
        <v>208</v>
      </c>
      <c r="Q2060" t="s">
        <v>171</v>
      </c>
      <c r="R2060" t="s">
        <v>168</v>
      </c>
      <c r="T2060" t="s">
        <v>134</v>
      </c>
      <c r="U2060">
        <v>1</v>
      </c>
      <c r="W2060" t="s">
        <v>134</v>
      </c>
      <c r="X2060">
        <v>1</v>
      </c>
      <c r="Y2060" t="s">
        <v>139</v>
      </c>
      <c r="Z2060" t="s">
        <v>180</v>
      </c>
      <c r="AA2060" t="s">
        <v>147</v>
      </c>
      <c r="AB2060" t="s">
        <v>164</v>
      </c>
      <c r="AC2060" t="s">
        <v>21</v>
      </c>
      <c r="AD2060" t="s">
        <v>21</v>
      </c>
      <c r="AE2060" t="s">
        <v>21</v>
      </c>
      <c r="AF2060" t="s">
        <v>21</v>
      </c>
    </row>
    <row r="2061" spans="1:32">
      <c r="A2061" t="s">
        <v>3081</v>
      </c>
      <c r="B2061" s="37">
        <v>39907</v>
      </c>
      <c r="C2061" s="38">
        <v>39907</v>
      </c>
      <c r="D2061" s="38">
        <v>39902</v>
      </c>
      <c r="E2061" s="38">
        <v>39904</v>
      </c>
      <c r="F2061" s="39">
        <v>2</v>
      </c>
      <c r="G2061" t="s">
        <v>21</v>
      </c>
      <c r="H2061" t="s">
        <v>21</v>
      </c>
      <c r="I2061">
        <v>0</v>
      </c>
      <c r="J2061">
        <v>0</v>
      </c>
      <c r="K2061">
        <v>0</v>
      </c>
      <c r="L2061">
        <v>1</v>
      </c>
      <c r="M2061">
        <v>0</v>
      </c>
      <c r="N2061" t="s">
        <v>198</v>
      </c>
      <c r="O2061" t="s">
        <v>213</v>
      </c>
      <c r="P2061" t="s">
        <v>208</v>
      </c>
      <c r="Q2061" t="s">
        <v>171</v>
      </c>
      <c r="R2061" t="s">
        <v>168</v>
      </c>
      <c r="T2061" t="s">
        <v>134</v>
      </c>
      <c r="U2061">
        <v>1</v>
      </c>
      <c r="W2061" t="s">
        <v>134</v>
      </c>
      <c r="X2061">
        <v>1</v>
      </c>
      <c r="Y2061" t="s">
        <v>139</v>
      </c>
      <c r="Z2061" t="s">
        <v>376</v>
      </c>
      <c r="AA2061" t="s">
        <v>145</v>
      </c>
      <c r="AB2061" t="s">
        <v>164</v>
      </c>
      <c r="AC2061" t="s">
        <v>21</v>
      </c>
      <c r="AD2061" t="s">
        <v>21</v>
      </c>
      <c r="AE2061" t="s">
        <v>21</v>
      </c>
      <c r="AF2061" t="s">
        <v>21</v>
      </c>
    </row>
    <row r="2062" spans="1:32">
      <c r="A2062" t="s">
        <v>3082</v>
      </c>
      <c r="B2062" s="37">
        <v>39909</v>
      </c>
      <c r="C2062" s="38">
        <v>39909</v>
      </c>
      <c r="D2062" s="38">
        <v>39909</v>
      </c>
      <c r="E2062" s="38">
        <v>39904</v>
      </c>
      <c r="F2062" s="39">
        <v>4</v>
      </c>
      <c r="G2062" t="s">
        <v>21</v>
      </c>
      <c r="H2062" t="s">
        <v>21</v>
      </c>
      <c r="I2062">
        <v>0</v>
      </c>
      <c r="J2062">
        <v>0</v>
      </c>
      <c r="K2062">
        <v>0</v>
      </c>
      <c r="L2062">
        <v>1</v>
      </c>
      <c r="M2062">
        <v>0</v>
      </c>
      <c r="N2062" t="s">
        <v>198</v>
      </c>
      <c r="O2062" t="s">
        <v>213</v>
      </c>
      <c r="P2062" t="s">
        <v>208</v>
      </c>
      <c r="Q2062" t="s">
        <v>171</v>
      </c>
      <c r="R2062" t="s">
        <v>168</v>
      </c>
      <c r="T2062" t="s">
        <v>134</v>
      </c>
      <c r="U2062">
        <v>1</v>
      </c>
      <c r="W2062" t="s">
        <v>134</v>
      </c>
      <c r="X2062">
        <v>1</v>
      </c>
      <c r="Y2062" t="s">
        <v>139</v>
      </c>
      <c r="Z2062" t="s">
        <v>185</v>
      </c>
      <c r="AA2062" t="s">
        <v>147</v>
      </c>
      <c r="AB2062" t="s">
        <v>164</v>
      </c>
      <c r="AC2062" t="s">
        <v>21</v>
      </c>
      <c r="AD2062" t="s">
        <v>21</v>
      </c>
      <c r="AE2062" t="s">
        <v>21</v>
      </c>
      <c r="AF2062" t="s">
        <v>21</v>
      </c>
    </row>
    <row r="2063" spans="1:32">
      <c r="A2063" t="s">
        <v>3083</v>
      </c>
      <c r="B2063" s="37">
        <v>39910</v>
      </c>
      <c r="C2063" s="38">
        <v>39910</v>
      </c>
      <c r="D2063" s="38">
        <v>39909</v>
      </c>
      <c r="E2063" s="38">
        <v>39904</v>
      </c>
      <c r="F2063" s="39">
        <v>5</v>
      </c>
      <c r="G2063" t="s">
        <v>21</v>
      </c>
      <c r="H2063" t="s">
        <v>21</v>
      </c>
      <c r="I2063">
        <v>0</v>
      </c>
      <c r="J2063">
        <v>0</v>
      </c>
      <c r="K2063">
        <v>0</v>
      </c>
      <c r="L2063">
        <v>1</v>
      </c>
      <c r="M2063">
        <v>0</v>
      </c>
      <c r="N2063" t="s">
        <v>199</v>
      </c>
      <c r="O2063" t="s">
        <v>213</v>
      </c>
      <c r="P2063" t="s">
        <v>210</v>
      </c>
      <c r="Q2063" t="s">
        <v>171</v>
      </c>
      <c r="R2063" t="s">
        <v>168</v>
      </c>
      <c r="T2063" t="s">
        <v>134</v>
      </c>
      <c r="U2063">
        <v>1</v>
      </c>
      <c r="W2063" t="s">
        <v>134</v>
      </c>
      <c r="X2063">
        <v>1</v>
      </c>
      <c r="Y2063" t="s">
        <v>139</v>
      </c>
      <c r="Z2063" t="s">
        <v>185</v>
      </c>
      <c r="AA2063" t="s">
        <v>147</v>
      </c>
      <c r="AB2063" t="s">
        <v>164</v>
      </c>
      <c r="AC2063" t="s">
        <v>21</v>
      </c>
      <c r="AD2063" t="s">
        <v>21</v>
      </c>
      <c r="AE2063" t="s">
        <v>21</v>
      </c>
      <c r="AF2063" t="s">
        <v>21</v>
      </c>
    </row>
    <row r="2064" spans="1:32">
      <c r="A2064" t="s">
        <v>3084</v>
      </c>
      <c r="B2064" s="37">
        <v>39912</v>
      </c>
      <c r="C2064" s="38">
        <v>39912</v>
      </c>
      <c r="D2064" s="38">
        <v>39909</v>
      </c>
      <c r="E2064" s="38">
        <v>39904</v>
      </c>
      <c r="F2064" s="39">
        <v>7</v>
      </c>
      <c r="G2064" t="s">
        <v>21</v>
      </c>
      <c r="H2064" t="s">
        <v>21</v>
      </c>
      <c r="I2064">
        <v>0</v>
      </c>
      <c r="J2064">
        <v>0</v>
      </c>
      <c r="K2064">
        <v>0</v>
      </c>
      <c r="L2064">
        <v>1</v>
      </c>
      <c r="M2064">
        <v>0</v>
      </c>
      <c r="N2064" t="s">
        <v>199</v>
      </c>
      <c r="O2064" t="s">
        <v>213</v>
      </c>
      <c r="P2064" t="s">
        <v>210</v>
      </c>
      <c r="Q2064" t="s">
        <v>171</v>
      </c>
      <c r="R2064" t="s">
        <v>168</v>
      </c>
      <c r="T2064" t="s">
        <v>134</v>
      </c>
      <c r="U2064">
        <v>1</v>
      </c>
      <c r="W2064" t="s">
        <v>134</v>
      </c>
      <c r="X2064">
        <v>1</v>
      </c>
      <c r="Y2064" t="s">
        <v>139</v>
      </c>
      <c r="Z2064" t="s">
        <v>181</v>
      </c>
      <c r="AA2064" t="s">
        <v>147</v>
      </c>
      <c r="AB2064" t="s">
        <v>164</v>
      </c>
      <c r="AC2064" t="s">
        <v>21</v>
      </c>
      <c r="AD2064" t="s">
        <v>21</v>
      </c>
      <c r="AE2064" t="s">
        <v>21</v>
      </c>
      <c r="AF2064" t="s">
        <v>21</v>
      </c>
    </row>
    <row r="2065" spans="1:32">
      <c r="A2065" t="s">
        <v>3085</v>
      </c>
      <c r="B2065" s="37">
        <v>39912</v>
      </c>
      <c r="C2065" s="38">
        <v>39912</v>
      </c>
      <c r="D2065" s="38">
        <v>39909</v>
      </c>
      <c r="E2065" s="38">
        <v>39904</v>
      </c>
      <c r="F2065" s="39">
        <v>7</v>
      </c>
      <c r="G2065" t="s">
        <v>21</v>
      </c>
      <c r="H2065" t="s">
        <v>21</v>
      </c>
      <c r="I2065">
        <v>0</v>
      </c>
      <c r="J2065">
        <v>0</v>
      </c>
      <c r="K2065">
        <v>0</v>
      </c>
      <c r="L2065">
        <v>1</v>
      </c>
      <c r="M2065">
        <v>0</v>
      </c>
      <c r="N2065" t="s">
        <v>194</v>
      </c>
      <c r="O2065" t="s">
        <v>213</v>
      </c>
      <c r="P2065" t="s">
        <v>205</v>
      </c>
      <c r="Q2065" t="s">
        <v>171</v>
      </c>
      <c r="R2065" t="s">
        <v>168</v>
      </c>
      <c r="T2065" t="s">
        <v>134</v>
      </c>
      <c r="U2065">
        <v>1</v>
      </c>
      <c r="W2065" t="s">
        <v>134</v>
      </c>
      <c r="X2065">
        <v>1</v>
      </c>
      <c r="Y2065" t="s">
        <v>139</v>
      </c>
      <c r="Z2065" t="s">
        <v>187</v>
      </c>
      <c r="AA2065" t="s">
        <v>145</v>
      </c>
      <c r="AB2065" t="s">
        <v>164</v>
      </c>
      <c r="AC2065" t="s">
        <v>21</v>
      </c>
      <c r="AD2065" t="s">
        <v>21</v>
      </c>
      <c r="AE2065" t="s">
        <v>21</v>
      </c>
      <c r="AF2065" t="s">
        <v>21</v>
      </c>
    </row>
    <row r="2066" spans="1:32">
      <c r="A2066" t="s">
        <v>3086</v>
      </c>
      <c r="B2066" s="37">
        <v>39912</v>
      </c>
      <c r="C2066" s="38">
        <v>39912</v>
      </c>
      <c r="D2066" s="38">
        <v>39909</v>
      </c>
      <c r="E2066" s="38">
        <v>39904</v>
      </c>
      <c r="F2066" s="39">
        <v>7</v>
      </c>
      <c r="G2066" t="s">
        <v>21</v>
      </c>
      <c r="H2066" t="s">
        <v>21</v>
      </c>
      <c r="I2066">
        <v>0</v>
      </c>
      <c r="J2066">
        <v>0</v>
      </c>
      <c r="K2066">
        <v>0</v>
      </c>
      <c r="L2066">
        <v>1</v>
      </c>
      <c r="M2066">
        <v>0</v>
      </c>
      <c r="N2066" t="s">
        <v>200</v>
      </c>
      <c r="O2066" t="s">
        <v>214</v>
      </c>
      <c r="P2066" t="s">
        <v>208</v>
      </c>
      <c r="Q2066" t="s">
        <v>171</v>
      </c>
      <c r="R2066" t="s">
        <v>168</v>
      </c>
      <c r="T2066" t="s">
        <v>134</v>
      </c>
      <c r="U2066">
        <v>1</v>
      </c>
      <c r="W2066" t="s">
        <v>134</v>
      </c>
      <c r="X2066">
        <v>1</v>
      </c>
      <c r="Y2066" t="s">
        <v>139</v>
      </c>
      <c r="Z2066" t="s">
        <v>409</v>
      </c>
      <c r="AA2066" t="s">
        <v>147</v>
      </c>
      <c r="AB2066" t="s">
        <v>164</v>
      </c>
      <c r="AC2066" t="s">
        <v>21</v>
      </c>
      <c r="AD2066" t="s">
        <v>21</v>
      </c>
      <c r="AE2066" t="s">
        <v>21</v>
      </c>
      <c r="AF2066" t="s">
        <v>21</v>
      </c>
    </row>
    <row r="2067" spans="1:32">
      <c r="A2067" t="s">
        <v>3087</v>
      </c>
      <c r="B2067" s="37">
        <v>39913</v>
      </c>
      <c r="C2067" s="38">
        <v>39913</v>
      </c>
      <c r="D2067" s="38">
        <v>39909</v>
      </c>
      <c r="E2067" s="38">
        <v>39904</v>
      </c>
      <c r="F2067" s="39">
        <v>8</v>
      </c>
      <c r="G2067" t="s">
        <v>21</v>
      </c>
      <c r="H2067" t="s">
        <v>21</v>
      </c>
      <c r="I2067">
        <v>0</v>
      </c>
      <c r="J2067">
        <v>0</v>
      </c>
      <c r="K2067">
        <v>0</v>
      </c>
      <c r="L2067">
        <v>1</v>
      </c>
      <c r="M2067">
        <v>0</v>
      </c>
      <c r="N2067" t="s">
        <v>202</v>
      </c>
      <c r="O2067" t="s">
        <v>213</v>
      </c>
      <c r="P2067" t="s">
        <v>211</v>
      </c>
      <c r="Q2067" t="s">
        <v>171</v>
      </c>
      <c r="R2067" t="s">
        <v>168</v>
      </c>
      <c r="T2067" t="s">
        <v>134</v>
      </c>
      <c r="U2067">
        <v>1</v>
      </c>
      <c r="W2067" t="s">
        <v>134</v>
      </c>
      <c r="X2067">
        <v>1</v>
      </c>
      <c r="Y2067" t="s">
        <v>139</v>
      </c>
      <c r="Z2067" t="s">
        <v>180</v>
      </c>
      <c r="AA2067" t="s">
        <v>147</v>
      </c>
      <c r="AB2067" t="s">
        <v>164</v>
      </c>
      <c r="AC2067" t="s">
        <v>21</v>
      </c>
      <c r="AD2067" t="s">
        <v>21</v>
      </c>
      <c r="AE2067" t="s">
        <v>21</v>
      </c>
      <c r="AF2067" t="s">
        <v>21</v>
      </c>
    </row>
    <row r="2068" spans="1:32">
      <c r="A2068" t="s">
        <v>3088</v>
      </c>
      <c r="B2068" s="37">
        <v>39913</v>
      </c>
      <c r="C2068" s="38">
        <v>39913</v>
      </c>
      <c r="D2068" s="38">
        <v>39909</v>
      </c>
      <c r="E2068" s="38">
        <v>39904</v>
      </c>
      <c r="F2068" s="39">
        <v>8</v>
      </c>
      <c r="G2068" t="s">
        <v>21</v>
      </c>
      <c r="H2068" t="s">
        <v>21</v>
      </c>
      <c r="I2068">
        <v>0</v>
      </c>
      <c r="J2068">
        <v>0</v>
      </c>
      <c r="K2068">
        <v>0</v>
      </c>
      <c r="L2068">
        <v>1</v>
      </c>
      <c r="M2068">
        <v>0</v>
      </c>
      <c r="N2068" t="s">
        <v>202</v>
      </c>
      <c r="O2068" t="s">
        <v>213</v>
      </c>
      <c r="P2068" t="s">
        <v>211</v>
      </c>
      <c r="Q2068" t="s">
        <v>171</v>
      </c>
      <c r="R2068" t="s">
        <v>168</v>
      </c>
      <c r="T2068" t="s">
        <v>134</v>
      </c>
      <c r="U2068">
        <v>1</v>
      </c>
      <c r="W2068" t="s">
        <v>134</v>
      </c>
      <c r="X2068">
        <v>1</v>
      </c>
      <c r="Y2068" t="s">
        <v>139</v>
      </c>
      <c r="Z2068" t="s">
        <v>187</v>
      </c>
      <c r="AA2068" t="s">
        <v>148</v>
      </c>
      <c r="AB2068" t="s">
        <v>164</v>
      </c>
      <c r="AC2068" t="s">
        <v>21</v>
      </c>
      <c r="AD2068" t="s">
        <v>21</v>
      </c>
      <c r="AE2068" t="s">
        <v>21</v>
      </c>
      <c r="AF2068" t="s">
        <v>21</v>
      </c>
    </row>
    <row r="2069" spans="1:32">
      <c r="A2069" t="s">
        <v>3089</v>
      </c>
      <c r="B2069" s="37">
        <v>39916</v>
      </c>
      <c r="C2069" s="38">
        <v>39916</v>
      </c>
      <c r="D2069" s="38">
        <v>39916</v>
      </c>
      <c r="E2069" s="38">
        <v>39904</v>
      </c>
      <c r="F2069" s="39">
        <v>11</v>
      </c>
      <c r="G2069" t="s">
        <v>21</v>
      </c>
      <c r="H2069" t="s">
        <v>21</v>
      </c>
      <c r="I2069">
        <v>0</v>
      </c>
      <c r="J2069">
        <v>0</v>
      </c>
      <c r="K2069">
        <v>0</v>
      </c>
      <c r="L2069">
        <v>1</v>
      </c>
      <c r="M2069">
        <v>0</v>
      </c>
      <c r="N2069" t="s">
        <v>199</v>
      </c>
      <c r="O2069" t="s">
        <v>213</v>
      </c>
      <c r="P2069" t="s">
        <v>210</v>
      </c>
      <c r="Q2069" t="s">
        <v>171</v>
      </c>
      <c r="R2069" t="s">
        <v>168</v>
      </c>
      <c r="T2069" t="s">
        <v>134</v>
      </c>
      <c r="U2069">
        <v>1</v>
      </c>
      <c r="W2069" t="s">
        <v>134</v>
      </c>
      <c r="X2069">
        <v>1</v>
      </c>
      <c r="Y2069" t="s">
        <v>139</v>
      </c>
      <c r="Z2069" t="s">
        <v>186</v>
      </c>
      <c r="AA2069" t="s">
        <v>149</v>
      </c>
      <c r="AB2069" t="s">
        <v>164</v>
      </c>
      <c r="AC2069" t="s">
        <v>21</v>
      </c>
      <c r="AD2069" t="s">
        <v>21</v>
      </c>
      <c r="AE2069" t="s">
        <v>21</v>
      </c>
      <c r="AF2069" t="s">
        <v>21</v>
      </c>
    </row>
    <row r="2070" spans="1:32">
      <c r="A2070" t="s">
        <v>3090</v>
      </c>
      <c r="B2070" s="37">
        <v>39916</v>
      </c>
      <c r="C2070" s="38">
        <v>39916</v>
      </c>
      <c r="D2070" s="38">
        <v>39916</v>
      </c>
      <c r="E2070" s="38">
        <v>39904</v>
      </c>
      <c r="F2070" s="39">
        <v>11</v>
      </c>
      <c r="G2070" t="s">
        <v>21</v>
      </c>
      <c r="H2070" t="s">
        <v>21</v>
      </c>
      <c r="I2070">
        <v>0</v>
      </c>
      <c r="J2070">
        <v>0</v>
      </c>
      <c r="K2070">
        <v>0</v>
      </c>
      <c r="L2070">
        <v>1</v>
      </c>
      <c r="M2070">
        <v>0</v>
      </c>
      <c r="N2070" t="s">
        <v>194</v>
      </c>
      <c r="O2070" t="s">
        <v>213</v>
      </c>
      <c r="P2070" t="s">
        <v>205</v>
      </c>
      <c r="Q2070" t="s">
        <v>171</v>
      </c>
      <c r="R2070" t="s">
        <v>168</v>
      </c>
      <c r="T2070" t="s">
        <v>134</v>
      </c>
      <c r="U2070">
        <v>1</v>
      </c>
      <c r="W2070" t="s">
        <v>134</v>
      </c>
      <c r="X2070">
        <v>1</v>
      </c>
      <c r="Y2070" t="s">
        <v>139</v>
      </c>
      <c r="Z2070" t="s">
        <v>180</v>
      </c>
      <c r="AA2070" t="s">
        <v>143</v>
      </c>
      <c r="AB2070" t="s">
        <v>164</v>
      </c>
      <c r="AC2070" t="s">
        <v>21</v>
      </c>
      <c r="AD2070" t="s">
        <v>21</v>
      </c>
      <c r="AE2070" t="s">
        <v>21</v>
      </c>
      <c r="AF2070" t="s">
        <v>21</v>
      </c>
    </row>
    <row r="2071" spans="1:32">
      <c r="A2071" t="s">
        <v>3091</v>
      </c>
      <c r="B2071" s="37">
        <v>39916</v>
      </c>
      <c r="C2071" s="38">
        <v>39916</v>
      </c>
      <c r="D2071" s="38">
        <v>39916</v>
      </c>
      <c r="E2071" s="38">
        <v>39904</v>
      </c>
      <c r="F2071" s="39">
        <v>11</v>
      </c>
      <c r="G2071" t="s">
        <v>21</v>
      </c>
      <c r="H2071" t="s">
        <v>21</v>
      </c>
      <c r="I2071">
        <v>0</v>
      </c>
      <c r="J2071">
        <v>0</v>
      </c>
      <c r="K2071">
        <v>0</v>
      </c>
      <c r="L2071">
        <v>1</v>
      </c>
      <c r="M2071">
        <v>0</v>
      </c>
      <c r="N2071" t="s">
        <v>202</v>
      </c>
      <c r="O2071" t="s">
        <v>213</v>
      </c>
      <c r="P2071" t="s">
        <v>211</v>
      </c>
      <c r="Q2071" t="s">
        <v>171</v>
      </c>
      <c r="R2071" t="s">
        <v>168</v>
      </c>
      <c r="T2071" t="s">
        <v>134</v>
      </c>
      <c r="U2071">
        <v>1</v>
      </c>
      <c r="W2071" t="s">
        <v>134</v>
      </c>
      <c r="X2071">
        <v>1</v>
      </c>
      <c r="Y2071" t="s">
        <v>139</v>
      </c>
      <c r="Z2071" t="s">
        <v>179</v>
      </c>
      <c r="AA2071" t="s">
        <v>148</v>
      </c>
      <c r="AB2071" t="s">
        <v>164</v>
      </c>
      <c r="AC2071" t="s">
        <v>21</v>
      </c>
      <c r="AD2071" t="s">
        <v>21</v>
      </c>
      <c r="AE2071" t="s">
        <v>21</v>
      </c>
      <c r="AF2071" t="s">
        <v>21</v>
      </c>
    </row>
    <row r="2072" spans="1:32">
      <c r="A2072" t="s">
        <v>3092</v>
      </c>
      <c r="B2072" s="37">
        <v>39917</v>
      </c>
      <c r="C2072" s="38">
        <v>39917</v>
      </c>
      <c r="D2072" s="38">
        <v>39916</v>
      </c>
      <c r="E2072" s="38">
        <v>39904</v>
      </c>
      <c r="F2072" s="39">
        <v>12</v>
      </c>
      <c r="G2072" t="s">
        <v>9</v>
      </c>
      <c r="H2072" t="s">
        <v>9</v>
      </c>
      <c r="I2072">
        <v>1</v>
      </c>
      <c r="J2072">
        <v>0</v>
      </c>
      <c r="K2072">
        <v>0</v>
      </c>
      <c r="L2072">
        <v>0</v>
      </c>
      <c r="M2072">
        <v>1</v>
      </c>
      <c r="N2072" t="s">
        <v>198</v>
      </c>
      <c r="O2072" t="s">
        <v>213</v>
      </c>
      <c r="P2072" t="s">
        <v>208</v>
      </c>
      <c r="Q2072" t="s">
        <v>171</v>
      </c>
      <c r="R2072" t="s">
        <v>168</v>
      </c>
      <c r="T2072" t="s">
        <v>134</v>
      </c>
      <c r="U2072">
        <v>1</v>
      </c>
      <c r="W2072" t="s">
        <v>134</v>
      </c>
      <c r="X2072">
        <v>1</v>
      </c>
      <c r="Y2072" t="s">
        <v>139</v>
      </c>
      <c r="Z2072" t="s">
        <v>187</v>
      </c>
      <c r="AA2072" t="s">
        <v>143</v>
      </c>
      <c r="AB2072" t="s">
        <v>164</v>
      </c>
      <c r="AC2072" t="s">
        <v>21</v>
      </c>
      <c r="AD2072" t="s">
        <v>21</v>
      </c>
      <c r="AE2072" t="s">
        <v>21</v>
      </c>
      <c r="AF2072" t="s">
        <v>21</v>
      </c>
    </row>
    <row r="2073" spans="1:32">
      <c r="A2073" t="s">
        <v>3093</v>
      </c>
      <c r="B2073" s="37">
        <v>39917</v>
      </c>
      <c r="C2073" s="38">
        <v>39917</v>
      </c>
      <c r="D2073" s="38">
        <v>39916</v>
      </c>
      <c r="E2073" s="38">
        <v>39904</v>
      </c>
      <c r="F2073" s="39">
        <v>12</v>
      </c>
      <c r="G2073" t="s">
        <v>21</v>
      </c>
      <c r="H2073" t="s">
        <v>21</v>
      </c>
      <c r="I2073">
        <v>0</v>
      </c>
      <c r="J2073">
        <v>0</v>
      </c>
      <c r="K2073">
        <v>0</v>
      </c>
      <c r="L2073">
        <v>1</v>
      </c>
      <c r="M2073">
        <v>0</v>
      </c>
      <c r="N2073" t="s">
        <v>198</v>
      </c>
      <c r="O2073" t="s">
        <v>213</v>
      </c>
      <c r="P2073" t="s">
        <v>208</v>
      </c>
      <c r="Q2073" t="s">
        <v>171</v>
      </c>
      <c r="R2073" t="s">
        <v>168</v>
      </c>
      <c r="T2073" t="s">
        <v>134</v>
      </c>
      <c r="U2073">
        <v>1</v>
      </c>
      <c r="W2073" t="s">
        <v>134</v>
      </c>
      <c r="X2073">
        <v>1</v>
      </c>
      <c r="Y2073" t="s">
        <v>139</v>
      </c>
      <c r="Z2073" t="s">
        <v>179</v>
      </c>
      <c r="AA2073" t="s">
        <v>145</v>
      </c>
      <c r="AB2073" t="s">
        <v>164</v>
      </c>
      <c r="AC2073" t="s">
        <v>21</v>
      </c>
      <c r="AD2073" t="s">
        <v>21</v>
      </c>
      <c r="AE2073" t="s">
        <v>21</v>
      </c>
      <c r="AF2073" t="s">
        <v>21</v>
      </c>
    </row>
    <row r="2074" spans="1:32">
      <c r="A2074" t="s">
        <v>3094</v>
      </c>
      <c r="B2074" s="37">
        <v>39917</v>
      </c>
      <c r="C2074" s="38">
        <v>39917</v>
      </c>
      <c r="D2074" s="38">
        <v>39916</v>
      </c>
      <c r="E2074" s="38">
        <v>39904</v>
      </c>
      <c r="F2074" s="39">
        <v>12</v>
      </c>
      <c r="G2074" t="s">
        <v>21</v>
      </c>
      <c r="H2074" t="s">
        <v>21</v>
      </c>
      <c r="I2074">
        <v>0</v>
      </c>
      <c r="J2074">
        <v>0</v>
      </c>
      <c r="K2074">
        <v>0</v>
      </c>
      <c r="L2074">
        <v>1</v>
      </c>
      <c r="M2074">
        <v>0</v>
      </c>
      <c r="N2074" t="s">
        <v>194</v>
      </c>
      <c r="O2074" t="s">
        <v>213</v>
      </c>
      <c r="P2074" t="s">
        <v>205</v>
      </c>
      <c r="Q2074" t="s">
        <v>171</v>
      </c>
      <c r="R2074" t="s">
        <v>168</v>
      </c>
      <c r="T2074" t="s">
        <v>134</v>
      </c>
      <c r="U2074">
        <v>1</v>
      </c>
      <c r="W2074" t="s">
        <v>134</v>
      </c>
      <c r="X2074">
        <v>1</v>
      </c>
      <c r="Y2074" t="s">
        <v>139</v>
      </c>
      <c r="Z2074" t="s">
        <v>178</v>
      </c>
      <c r="AA2074" t="s">
        <v>147</v>
      </c>
      <c r="AB2074" t="s">
        <v>164</v>
      </c>
      <c r="AC2074" t="s">
        <v>21</v>
      </c>
      <c r="AD2074" t="s">
        <v>21</v>
      </c>
      <c r="AE2074" t="s">
        <v>21</v>
      </c>
      <c r="AF2074" t="s">
        <v>21</v>
      </c>
    </row>
    <row r="2075" spans="1:32">
      <c r="A2075" t="s">
        <v>3095</v>
      </c>
      <c r="B2075" s="37">
        <v>39918</v>
      </c>
      <c r="C2075" s="38">
        <v>39918</v>
      </c>
      <c r="D2075" s="38">
        <v>39916</v>
      </c>
      <c r="E2075" s="38">
        <v>39904</v>
      </c>
      <c r="F2075" s="39">
        <v>13</v>
      </c>
      <c r="G2075" t="s">
        <v>21</v>
      </c>
      <c r="H2075" t="s">
        <v>21</v>
      </c>
      <c r="I2075">
        <v>0</v>
      </c>
      <c r="J2075">
        <v>0</v>
      </c>
      <c r="K2075">
        <v>0</v>
      </c>
      <c r="L2075">
        <v>1</v>
      </c>
      <c r="M2075">
        <v>0</v>
      </c>
      <c r="N2075" t="s">
        <v>198</v>
      </c>
      <c r="O2075" t="s">
        <v>213</v>
      </c>
      <c r="P2075" t="s">
        <v>208</v>
      </c>
      <c r="Q2075" t="s">
        <v>171</v>
      </c>
      <c r="R2075" t="s">
        <v>168</v>
      </c>
      <c r="T2075" t="s">
        <v>134</v>
      </c>
      <c r="U2075">
        <v>1</v>
      </c>
      <c r="W2075" t="s">
        <v>134</v>
      </c>
      <c r="X2075">
        <v>1</v>
      </c>
      <c r="Y2075" t="s">
        <v>139</v>
      </c>
      <c r="Z2075" t="s">
        <v>182</v>
      </c>
      <c r="AA2075" t="s">
        <v>147</v>
      </c>
      <c r="AB2075" t="s">
        <v>164</v>
      </c>
      <c r="AC2075" t="s">
        <v>21</v>
      </c>
      <c r="AD2075" t="s">
        <v>21</v>
      </c>
      <c r="AE2075" t="s">
        <v>21</v>
      </c>
      <c r="AF2075" t="s">
        <v>21</v>
      </c>
    </row>
    <row r="2076" spans="1:32">
      <c r="A2076" t="s">
        <v>3096</v>
      </c>
      <c r="B2076" s="37">
        <v>39918</v>
      </c>
      <c r="C2076" s="38">
        <v>39918</v>
      </c>
      <c r="D2076" s="38">
        <v>39916</v>
      </c>
      <c r="E2076" s="38">
        <v>39904</v>
      </c>
      <c r="F2076" s="39">
        <v>13</v>
      </c>
      <c r="G2076" t="s">
        <v>21</v>
      </c>
      <c r="H2076" t="s">
        <v>21</v>
      </c>
      <c r="I2076">
        <v>0</v>
      </c>
      <c r="J2076">
        <v>0</v>
      </c>
      <c r="K2076">
        <v>0</v>
      </c>
      <c r="L2076">
        <v>1</v>
      </c>
      <c r="M2076">
        <v>0</v>
      </c>
      <c r="N2076" t="s">
        <v>194</v>
      </c>
      <c r="O2076" t="s">
        <v>213</v>
      </c>
      <c r="P2076" t="s">
        <v>205</v>
      </c>
      <c r="Q2076" t="s">
        <v>171</v>
      </c>
      <c r="R2076" t="s">
        <v>168</v>
      </c>
      <c r="T2076" t="s">
        <v>134</v>
      </c>
      <c r="U2076">
        <v>1</v>
      </c>
      <c r="W2076" t="s">
        <v>134</v>
      </c>
      <c r="X2076">
        <v>1</v>
      </c>
      <c r="Y2076" t="s">
        <v>139</v>
      </c>
      <c r="Z2076" t="s">
        <v>182</v>
      </c>
      <c r="AA2076" t="s">
        <v>148</v>
      </c>
      <c r="AB2076" t="s">
        <v>164</v>
      </c>
      <c r="AC2076" t="s">
        <v>21</v>
      </c>
      <c r="AD2076" t="s">
        <v>21</v>
      </c>
      <c r="AE2076" t="s">
        <v>21</v>
      </c>
      <c r="AF2076" t="s">
        <v>21</v>
      </c>
    </row>
    <row r="2077" spans="1:32">
      <c r="A2077" t="s">
        <v>3097</v>
      </c>
      <c r="B2077" s="37">
        <v>39919</v>
      </c>
      <c r="C2077" s="38">
        <v>39919</v>
      </c>
      <c r="D2077" s="38">
        <v>39916</v>
      </c>
      <c r="E2077" s="38">
        <v>39904</v>
      </c>
      <c r="F2077" s="39">
        <v>14</v>
      </c>
      <c r="G2077" t="s">
        <v>21</v>
      </c>
      <c r="H2077" t="s">
        <v>21</v>
      </c>
      <c r="I2077">
        <v>0</v>
      </c>
      <c r="J2077">
        <v>0</v>
      </c>
      <c r="K2077">
        <v>0</v>
      </c>
      <c r="L2077">
        <v>1</v>
      </c>
      <c r="M2077">
        <v>0</v>
      </c>
      <c r="N2077" t="s">
        <v>199</v>
      </c>
      <c r="O2077" t="s">
        <v>213</v>
      </c>
      <c r="P2077" t="s">
        <v>210</v>
      </c>
      <c r="Q2077" t="s">
        <v>171</v>
      </c>
      <c r="R2077" t="s">
        <v>168</v>
      </c>
      <c r="T2077" t="s">
        <v>134</v>
      </c>
      <c r="U2077">
        <v>1</v>
      </c>
      <c r="W2077" t="s">
        <v>134</v>
      </c>
      <c r="X2077">
        <v>1</v>
      </c>
      <c r="Y2077" t="s">
        <v>139</v>
      </c>
      <c r="Z2077" t="s">
        <v>178</v>
      </c>
      <c r="AA2077" t="s">
        <v>142</v>
      </c>
      <c r="AB2077" t="s">
        <v>164</v>
      </c>
      <c r="AC2077" t="s">
        <v>21</v>
      </c>
      <c r="AD2077" t="s">
        <v>21</v>
      </c>
      <c r="AE2077" t="s">
        <v>21</v>
      </c>
      <c r="AF2077" t="s">
        <v>21</v>
      </c>
    </row>
    <row r="2078" spans="1:32">
      <c r="A2078" t="s">
        <v>3098</v>
      </c>
      <c r="B2078" s="37">
        <v>39920</v>
      </c>
      <c r="C2078" s="38">
        <v>39920</v>
      </c>
      <c r="D2078" s="38">
        <v>39916</v>
      </c>
      <c r="E2078" s="38">
        <v>39904</v>
      </c>
      <c r="F2078" s="39">
        <v>15</v>
      </c>
      <c r="G2078" t="s">
        <v>21</v>
      </c>
      <c r="H2078" t="s">
        <v>21</v>
      </c>
      <c r="I2078">
        <v>0</v>
      </c>
      <c r="J2078">
        <v>0</v>
      </c>
      <c r="K2078">
        <v>0</v>
      </c>
      <c r="L2078">
        <v>1</v>
      </c>
      <c r="M2078">
        <v>0</v>
      </c>
      <c r="N2078" t="s">
        <v>194</v>
      </c>
      <c r="O2078" t="s">
        <v>213</v>
      </c>
      <c r="P2078" t="s">
        <v>205</v>
      </c>
      <c r="Q2078" t="s">
        <v>171</v>
      </c>
      <c r="R2078" t="s">
        <v>168</v>
      </c>
      <c r="T2078" t="s">
        <v>134</v>
      </c>
      <c r="U2078">
        <v>1</v>
      </c>
      <c r="W2078" t="s">
        <v>134</v>
      </c>
      <c r="X2078">
        <v>1</v>
      </c>
      <c r="Y2078" t="s">
        <v>139</v>
      </c>
      <c r="Z2078" t="s">
        <v>189</v>
      </c>
      <c r="AA2078" t="s">
        <v>147</v>
      </c>
      <c r="AB2078" t="s">
        <v>164</v>
      </c>
      <c r="AC2078" t="s">
        <v>21</v>
      </c>
      <c r="AD2078" t="s">
        <v>21</v>
      </c>
      <c r="AE2078" t="s">
        <v>21</v>
      </c>
      <c r="AF2078" t="s">
        <v>21</v>
      </c>
    </row>
    <row r="2079" spans="1:32">
      <c r="A2079" t="s">
        <v>3099</v>
      </c>
      <c r="B2079" s="37">
        <v>39921</v>
      </c>
      <c r="C2079" s="38">
        <v>39921</v>
      </c>
      <c r="D2079" s="38">
        <v>39916</v>
      </c>
      <c r="E2079" s="38">
        <v>39904</v>
      </c>
      <c r="F2079" s="39">
        <v>16</v>
      </c>
      <c r="G2079" t="s">
        <v>21</v>
      </c>
      <c r="H2079" t="s">
        <v>21</v>
      </c>
      <c r="I2079">
        <v>0</v>
      </c>
      <c r="J2079">
        <v>0</v>
      </c>
      <c r="K2079">
        <v>0</v>
      </c>
      <c r="L2079">
        <v>1</v>
      </c>
      <c r="M2079">
        <v>0</v>
      </c>
      <c r="N2079" t="s">
        <v>194</v>
      </c>
      <c r="O2079" t="s">
        <v>213</v>
      </c>
      <c r="P2079" t="s">
        <v>205</v>
      </c>
      <c r="Q2079" t="s">
        <v>171</v>
      </c>
      <c r="R2079" t="s">
        <v>168</v>
      </c>
      <c r="T2079" t="s">
        <v>134</v>
      </c>
      <c r="U2079">
        <v>1</v>
      </c>
      <c r="W2079" t="s">
        <v>134</v>
      </c>
      <c r="X2079">
        <v>1</v>
      </c>
      <c r="Y2079" t="s">
        <v>139</v>
      </c>
      <c r="Z2079" t="s">
        <v>391</v>
      </c>
      <c r="AA2079" t="s">
        <v>150</v>
      </c>
      <c r="AB2079" t="s">
        <v>164</v>
      </c>
      <c r="AC2079" t="s">
        <v>21</v>
      </c>
      <c r="AD2079" t="s">
        <v>21</v>
      </c>
      <c r="AE2079" t="s">
        <v>21</v>
      </c>
      <c r="AF2079" t="s">
        <v>21</v>
      </c>
    </row>
    <row r="2080" spans="1:32">
      <c r="A2080" t="s">
        <v>3100</v>
      </c>
      <c r="B2080" s="37">
        <v>39921</v>
      </c>
      <c r="C2080" s="38">
        <v>39921</v>
      </c>
      <c r="D2080" s="38">
        <v>39916</v>
      </c>
      <c r="E2080" s="38">
        <v>39904</v>
      </c>
      <c r="F2080" s="39">
        <v>16</v>
      </c>
      <c r="G2080" t="s">
        <v>21</v>
      </c>
      <c r="H2080" t="s">
        <v>21</v>
      </c>
      <c r="I2080">
        <v>0</v>
      </c>
      <c r="J2080">
        <v>0</v>
      </c>
      <c r="K2080">
        <v>0</v>
      </c>
      <c r="L2080">
        <v>1</v>
      </c>
      <c r="M2080">
        <v>0</v>
      </c>
      <c r="N2080" t="s">
        <v>194</v>
      </c>
      <c r="O2080" t="s">
        <v>213</v>
      </c>
      <c r="P2080" t="s">
        <v>205</v>
      </c>
      <c r="Q2080" t="s">
        <v>171</v>
      </c>
      <c r="R2080" t="s">
        <v>168</v>
      </c>
      <c r="T2080" t="s">
        <v>134</v>
      </c>
      <c r="U2080">
        <v>1</v>
      </c>
      <c r="W2080" t="s">
        <v>134</v>
      </c>
      <c r="X2080">
        <v>1</v>
      </c>
      <c r="Y2080" t="s">
        <v>139</v>
      </c>
      <c r="Z2080" t="s">
        <v>185</v>
      </c>
      <c r="AA2080" t="s">
        <v>147</v>
      </c>
      <c r="AB2080" t="s">
        <v>164</v>
      </c>
      <c r="AC2080" t="s">
        <v>21</v>
      </c>
      <c r="AD2080" t="s">
        <v>21</v>
      </c>
      <c r="AE2080" t="s">
        <v>21</v>
      </c>
      <c r="AF2080" t="s">
        <v>21</v>
      </c>
    </row>
    <row r="2081" spans="1:32">
      <c r="A2081" t="s">
        <v>3101</v>
      </c>
      <c r="B2081" s="37">
        <v>39923</v>
      </c>
      <c r="C2081" s="38">
        <v>39923</v>
      </c>
      <c r="D2081" s="38">
        <v>39923</v>
      </c>
      <c r="E2081" s="38">
        <v>39904</v>
      </c>
      <c r="F2081" s="39">
        <v>18</v>
      </c>
      <c r="G2081" t="s">
        <v>9</v>
      </c>
      <c r="H2081" t="s">
        <v>9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194</v>
      </c>
      <c r="O2081" t="s">
        <v>213</v>
      </c>
      <c r="P2081" t="s">
        <v>205</v>
      </c>
      <c r="Q2081" t="s">
        <v>171</v>
      </c>
      <c r="R2081" t="s">
        <v>168</v>
      </c>
      <c r="T2081" t="s">
        <v>134</v>
      </c>
      <c r="U2081">
        <v>1</v>
      </c>
      <c r="W2081" t="s">
        <v>134</v>
      </c>
      <c r="X2081">
        <v>1</v>
      </c>
      <c r="Y2081" t="s">
        <v>139</v>
      </c>
      <c r="Z2081" t="s">
        <v>187</v>
      </c>
      <c r="AA2081" t="s">
        <v>147</v>
      </c>
      <c r="AB2081" t="s">
        <v>164</v>
      </c>
      <c r="AC2081" t="s">
        <v>21</v>
      </c>
      <c r="AD2081" t="s">
        <v>21</v>
      </c>
      <c r="AE2081" t="s">
        <v>21</v>
      </c>
      <c r="AF2081" t="s">
        <v>21</v>
      </c>
    </row>
    <row r="2082" spans="1:32">
      <c r="A2082" t="s">
        <v>3102</v>
      </c>
      <c r="B2082" s="37">
        <v>39923</v>
      </c>
      <c r="C2082" s="38">
        <v>39923</v>
      </c>
      <c r="D2082" s="38">
        <v>39923</v>
      </c>
      <c r="E2082" s="38">
        <v>39904</v>
      </c>
      <c r="F2082" s="39">
        <v>18</v>
      </c>
      <c r="G2082" t="s">
        <v>380</v>
      </c>
      <c r="H2082" t="s">
        <v>17</v>
      </c>
      <c r="I2082">
        <v>0</v>
      </c>
      <c r="J2082">
        <v>0</v>
      </c>
      <c r="K2082">
        <v>1</v>
      </c>
      <c r="L2082">
        <v>0</v>
      </c>
      <c r="M2082">
        <v>0</v>
      </c>
      <c r="N2082" t="s">
        <v>194</v>
      </c>
      <c r="O2082" t="s">
        <v>213</v>
      </c>
      <c r="P2082" t="s">
        <v>205</v>
      </c>
      <c r="Q2082" t="s">
        <v>171</v>
      </c>
      <c r="R2082" t="s">
        <v>168</v>
      </c>
      <c r="T2082" t="s">
        <v>134</v>
      </c>
      <c r="U2082">
        <v>1</v>
      </c>
      <c r="W2082" t="s">
        <v>134</v>
      </c>
      <c r="X2082">
        <v>1</v>
      </c>
      <c r="Y2082" t="s">
        <v>139</v>
      </c>
      <c r="Z2082" t="s">
        <v>187</v>
      </c>
      <c r="AA2082" t="s">
        <v>149</v>
      </c>
      <c r="AB2082" t="s">
        <v>164</v>
      </c>
      <c r="AC2082" t="s">
        <v>21</v>
      </c>
      <c r="AD2082" t="s">
        <v>21</v>
      </c>
      <c r="AE2082" t="s">
        <v>21</v>
      </c>
      <c r="AF2082" t="s">
        <v>21</v>
      </c>
    </row>
    <row r="2083" spans="1:32">
      <c r="A2083" t="s">
        <v>3103</v>
      </c>
      <c r="B2083" s="37">
        <v>39923</v>
      </c>
      <c r="C2083" s="38">
        <v>39923</v>
      </c>
      <c r="D2083" s="38">
        <v>39923</v>
      </c>
      <c r="E2083" s="38">
        <v>39904</v>
      </c>
      <c r="F2083" s="39">
        <v>18</v>
      </c>
      <c r="G2083" t="s">
        <v>21</v>
      </c>
      <c r="H2083" t="s">
        <v>21</v>
      </c>
      <c r="I2083">
        <v>0</v>
      </c>
      <c r="J2083">
        <v>0</v>
      </c>
      <c r="K2083">
        <v>0</v>
      </c>
      <c r="L2083">
        <v>1</v>
      </c>
      <c r="M2083">
        <v>0</v>
      </c>
      <c r="N2083" t="s">
        <v>194</v>
      </c>
      <c r="O2083" t="s">
        <v>213</v>
      </c>
      <c r="P2083" t="s">
        <v>205</v>
      </c>
      <c r="Q2083" t="s">
        <v>171</v>
      </c>
      <c r="R2083" t="s">
        <v>168</v>
      </c>
      <c r="T2083" t="s">
        <v>134</v>
      </c>
      <c r="U2083">
        <v>1</v>
      </c>
      <c r="W2083" t="s">
        <v>134</v>
      </c>
      <c r="X2083">
        <v>1</v>
      </c>
      <c r="Y2083" t="s">
        <v>139</v>
      </c>
      <c r="Z2083" t="s">
        <v>178</v>
      </c>
      <c r="AA2083" t="s">
        <v>147</v>
      </c>
      <c r="AB2083" t="s">
        <v>164</v>
      </c>
      <c r="AC2083" t="s">
        <v>21</v>
      </c>
      <c r="AD2083" t="s">
        <v>21</v>
      </c>
      <c r="AE2083" t="s">
        <v>21</v>
      </c>
      <c r="AF2083" t="s">
        <v>21</v>
      </c>
    </row>
    <row r="2084" spans="1:32">
      <c r="A2084" t="s">
        <v>3104</v>
      </c>
      <c r="B2084" s="37">
        <v>39923</v>
      </c>
      <c r="C2084" s="38">
        <v>39923</v>
      </c>
      <c r="D2084" s="38">
        <v>39923</v>
      </c>
      <c r="E2084" s="38">
        <v>39904</v>
      </c>
      <c r="F2084" s="39">
        <v>18</v>
      </c>
      <c r="G2084" t="s">
        <v>525</v>
      </c>
      <c r="H2084" t="s">
        <v>17</v>
      </c>
      <c r="I2084">
        <v>0</v>
      </c>
      <c r="J2084">
        <v>0</v>
      </c>
      <c r="K2084">
        <v>1</v>
      </c>
      <c r="L2084">
        <v>0</v>
      </c>
      <c r="M2084">
        <v>0</v>
      </c>
      <c r="N2084" t="s">
        <v>194</v>
      </c>
      <c r="O2084" t="s">
        <v>213</v>
      </c>
      <c r="P2084" t="s">
        <v>205</v>
      </c>
      <c r="Q2084" t="s">
        <v>171</v>
      </c>
      <c r="R2084" t="s">
        <v>168</v>
      </c>
      <c r="T2084" t="s">
        <v>134</v>
      </c>
      <c r="U2084">
        <v>1</v>
      </c>
      <c r="W2084" t="s">
        <v>134</v>
      </c>
      <c r="X2084">
        <v>1</v>
      </c>
      <c r="Y2084" t="s">
        <v>139</v>
      </c>
      <c r="Z2084" t="s">
        <v>187</v>
      </c>
      <c r="AA2084" t="s">
        <v>147</v>
      </c>
      <c r="AB2084" t="s">
        <v>164</v>
      </c>
      <c r="AC2084" t="s">
        <v>21</v>
      </c>
      <c r="AD2084" t="s">
        <v>21</v>
      </c>
      <c r="AE2084" t="s">
        <v>21</v>
      </c>
      <c r="AF2084" t="s">
        <v>21</v>
      </c>
    </row>
    <row r="2085" spans="1:32">
      <c r="A2085" t="s">
        <v>3105</v>
      </c>
      <c r="B2085" s="37">
        <v>39924</v>
      </c>
      <c r="C2085" s="38">
        <v>39924</v>
      </c>
      <c r="D2085" s="38">
        <v>39923</v>
      </c>
      <c r="E2085" s="38">
        <v>39904</v>
      </c>
      <c r="F2085" s="39">
        <v>19</v>
      </c>
      <c r="G2085" t="s">
        <v>496</v>
      </c>
      <c r="H2085" t="s">
        <v>13</v>
      </c>
      <c r="I2085">
        <v>0</v>
      </c>
      <c r="J2085">
        <v>1</v>
      </c>
      <c r="K2085">
        <v>0</v>
      </c>
      <c r="L2085">
        <v>0</v>
      </c>
      <c r="M2085">
        <v>1</v>
      </c>
      <c r="N2085" t="s">
        <v>194</v>
      </c>
      <c r="O2085" t="s">
        <v>213</v>
      </c>
      <c r="P2085" t="s">
        <v>205</v>
      </c>
      <c r="Q2085" t="s">
        <v>171</v>
      </c>
      <c r="R2085" t="s">
        <v>168</v>
      </c>
      <c r="T2085" t="s">
        <v>134</v>
      </c>
      <c r="U2085">
        <v>1</v>
      </c>
      <c r="W2085" t="s">
        <v>134</v>
      </c>
      <c r="X2085">
        <v>1</v>
      </c>
      <c r="Y2085" t="s">
        <v>139</v>
      </c>
      <c r="Z2085" t="s">
        <v>179</v>
      </c>
      <c r="AA2085" t="s">
        <v>143</v>
      </c>
      <c r="AB2085" t="s">
        <v>164</v>
      </c>
      <c r="AC2085" t="s">
        <v>21</v>
      </c>
      <c r="AD2085" t="s">
        <v>21</v>
      </c>
      <c r="AE2085" t="s">
        <v>21</v>
      </c>
      <c r="AF2085" t="s">
        <v>21</v>
      </c>
    </row>
    <row r="2086" spans="1:32">
      <c r="A2086" t="s">
        <v>3106</v>
      </c>
      <c r="B2086" s="37">
        <v>39924</v>
      </c>
      <c r="C2086" s="38">
        <v>39924</v>
      </c>
      <c r="D2086" s="38">
        <v>39923</v>
      </c>
      <c r="E2086" s="38">
        <v>39904</v>
      </c>
      <c r="F2086" s="39">
        <v>19</v>
      </c>
      <c r="G2086" t="s">
        <v>496</v>
      </c>
      <c r="H2086" t="s">
        <v>13</v>
      </c>
      <c r="I2086">
        <v>0</v>
      </c>
      <c r="J2086">
        <v>1</v>
      </c>
      <c r="K2086">
        <v>0</v>
      </c>
      <c r="L2086">
        <v>0</v>
      </c>
      <c r="M2086">
        <v>1</v>
      </c>
      <c r="N2086" t="s">
        <v>194</v>
      </c>
      <c r="O2086" t="s">
        <v>213</v>
      </c>
      <c r="P2086" t="s">
        <v>205</v>
      </c>
      <c r="Q2086" t="s">
        <v>171</v>
      </c>
      <c r="R2086" t="s">
        <v>168</v>
      </c>
      <c r="T2086" t="s">
        <v>134</v>
      </c>
      <c r="U2086">
        <v>1</v>
      </c>
      <c r="W2086" t="s">
        <v>134</v>
      </c>
      <c r="X2086">
        <v>1</v>
      </c>
      <c r="Y2086" t="s">
        <v>139</v>
      </c>
      <c r="Z2086" t="s">
        <v>603</v>
      </c>
      <c r="AA2086" t="s">
        <v>147</v>
      </c>
      <c r="AB2086" t="s">
        <v>164</v>
      </c>
      <c r="AC2086" t="s">
        <v>21</v>
      </c>
      <c r="AD2086" t="s">
        <v>21</v>
      </c>
      <c r="AE2086" t="s">
        <v>21</v>
      </c>
      <c r="AF2086" t="s">
        <v>21</v>
      </c>
    </row>
    <row r="2087" spans="1:32">
      <c r="A2087" t="s">
        <v>3107</v>
      </c>
      <c r="B2087" s="37">
        <v>39924</v>
      </c>
      <c r="C2087" s="38">
        <v>39924</v>
      </c>
      <c r="D2087" s="38">
        <v>39923</v>
      </c>
      <c r="E2087" s="38">
        <v>39904</v>
      </c>
      <c r="F2087" s="39">
        <v>19</v>
      </c>
      <c r="G2087" t="s">
        <v>21</v>
      </c>
      <c r="H2087" t="s">
        <v>21</v>
      </c>
      <c r="I2087">
        <v>0</v>
      </c>
      <c r="J2087">
        <v>0</v>
      </c>
      <c r="K2087">
        <v>0</v>
      </c>
      <c r="L2087">
        <v>1</v>
      </c>
      <c r="M2087">
        <v>0</v>
      </c>
      <c r="N2087" t="s">
        <v>194</v>
      </c>
      <c r="O2087" t="s">
        <v>213</v>
      </c>
      <c r="P2087" t="s">
        <v>205</v>
      </c>
      <c r="Q2087" t="s">
        <v>171</v>
      </c>
      <c r="R2087" t="s">
        <v>168</v>
      </c>
      <c r="T2087" t="s">
        <v>134</v>
      </c>
      <c r="U2087">
        <v>1</v>
      </c>
      <c r="W2087" t="s">
        <v>134</v>
      </c>
      <c r="X2087">
        <v>1</v>
      </c>
      <c r="Y2087" t="s">
        <v>139</v>
      </c>
      <c r="Z2087" t="s">
        <v>180</v>
      </c>
      <c r="AA2087" t="s">
        <v>143</v>
      </c>
      <c r="AB2087" t="s">
        <v>164</v>
      </c>
      <c r="AC2087" t="s">
        <v>21</v>
      </c>
      <c r="AD2087" t="s">
        <v>21</v>
      </c>
      <c r="AE2087" t="s">
        <v>21</v>
      </c>
      <c r="AF2087" t="s">
        <v>21</v>
      </c>
    </row>
    <row r="2088" spans="1:32">
      <c r="A2088" t="s">
        <v>3108</v>
      </c>
      <c r="B2088" s="37">
        <v>39925</v>
      </c>
      <c r="C2088" s="38">
        <v>39925</v>
      </c>
      <c r="D2088" s="38">
        <v>39923</v>
      </c>
      <c r="E2088" s="38">
        <v>39904</v>
      </c>
      <c r="F2088" s="39">
        <v>20</v>
      </c>
      <c r="G2088" t="s">
        <v>496</v>
      </c>
      <c r="H2088" t="s">
        <v>13</v>
      </c>
      <c r="I2088">
        <v>0</v>
      </c>
      <c r="J2088">
        <v>1</v>
      </c>
      <c r="K2088">
        <v>0</v>
      </c>
      <c r="L2088">
        <v>0</v>
      </c>
      <c r="M2088">
        <v>1</v>
      </c>
      <c r="N2088" t="s">
        <v>194</v>
      </c>
      <c r="O2088" t="s">
        <v>213</v>
      </c>
      <c r="P2088" t="s">
        <v>205</v>
      </c>
      <c r="Q2088" t="s">
        <v>171</v>
      </c>
      <c r="R2088" t="s">
        <v>168</v>
      </c>
      <c r="T2088" t="s">
        <v>134</v>
      </c>
      <c r="U2088">
        <v>1</v>
      </c>
      <c r="W2088" t="s">
        <v>134</v>
      </c>
      <c r="X2088">
        <v>1</v>
      </c>
      <c r="Y2088" t="s">
        <v>139</v>
      </c>
      <c r="Z2088" t="s">
        <v>178</v>
      </c>
      <c r="AA2088" t="s">
        <v>147</v>
      </c>
      <c r="AB2088" t="s">
        <v>164</v>
      </c>
      <c r="AC2088" t="s">
        <v>21</v>
      </c>
      <c r="AD2088" t="s">
        <v>21</v>
      </c>
      <c r="AE2088" t="s">
        <v>21</v>
      </c>
      <c r="AF2088" t="s">
        <v>21</v>
      </c>
    </row>
    <row r="2089" spans="1:32">
      <c r="A2089" t="s">
        <v>3109</v>
      </c>
      <c r="B2089" s="37">
        <v>39925</v>
      </c>
      <c r="C2089" s="38">
        <v>39925</v>
      </c>
      <c r="D2089" s="38">
        <v>39923</v>
      </c>
      <c r="E2089" s="38">
        <v>39904</v>
      </c>
      <c r="F2089" s="39">
        <v>20</v>
      </c>
      <c r="G2089" t="s">
        <v>570</v>
      </c>
      <c r="H2089" t="s">
        <v>13</v>
      </c>
      <c r="I2089">
        <v>0</v>
      </c>
      <c r="J2089">
        <v>1</v>
      </c>
      <c r="K2089">
        <v>0</v>
      </c>
      <c r="L2089">
        <v>0</v>
      </c>
      <c r="M2089">
        <v>1</v>
      </c>
      <c r="N2089" t="s">
        <v>194</v>
      </c>
      <c r="O2089" t="s">
        <v>213</v>
      </c>
      <c r="P2089" t="s">
        <v>205</v>
      </c>
      <c r="Q2089" t="s">
        <v>171</v>
      </c>
      <c r="R2089" t="s">
        <v>168</v>
      </c>
      <c r="T2089" t="s">
        <v>134</v>
      </c>
      <c r="U2089">
        <v>1</v>
      </c>
      <c r="W2089" t="s">
        <v>134</v>
      </c>
      <c r="X2089">
        <v>1</v>
      </c>
      <c r="Y2089" t="s">
        <v>139</v>
      </c>
      <c r="Z2089" t="s">
        <v>433</v>
      </c>
      <c r="AA2089" t="s">
        <v>142</v>
      </c>
      <c r="AB2089" t="s">
        <v>164</v>
      </c>
      <c r="AC2089" t="s">
        <v>21</v>
      </c>
      <c r="AD2089" t="s">
        <v>21</v>
      </c>
      <c r="AE2089" t="s">
        <v>21</v>
      </c>
      <c r="AF2089" t="s">
        <v>21</v>
      </c>
    </row>
    <row r="2090" spans="1:32">
      <c r="A2090" t="s">
        <v>3110</v>
      </c>
      <c r="B2090" s="37">
        <v>39925</v>
      </c>
      <c r="C2090" s="38">
        <v>39925</v>
      </c>
      <c r="D2090" s="38">
        <v>39923</v>
      </c>
      <c r="E2090" s="38">
        <v>39904</v>
      </c>
      <c r="F2090" s="39">
        <v>20</v>
      </c>
      <c r="G2090" t="s">
        <v>525</v>
      </c>
      <c r="H2090" t="s">
        <v>17</v>
      </c>
      <c r="I2090">
        <v>0</v>
      </c>
      <c r="J2090">
        <v>0</v>
      </c>
      <c r="K2090">
        <v>1</v>
      </c>
      <c r="L2090">
        <v>0</v>
      </c>
      <c r="M2090">
        <v>0</v>
      </c>
      <c r="N2090" t="s">
        <v>194</v>
      </c>
      <c r="O2090" t="s">
        <v>213</v>
      </c>
      <c r="P2090" t="s">
        <v>205</v>
      </c>
      <c r="Q2090" t="s">
        <v>171</v>
      </c>
      <c r="R2090" t="s">
        <v>168</v>
      </c>
      <c r="T2090" t="s">
        <v>134</v>
      </c>
      <c r="U2090">
        <v>1</v>
      </c>
      <c r="W2090" t="s">
        <v>134</v>
      </c>
      <c r="X2090">
        <v>1</v>
      </c>
      <c r="Y2090" t="s">
        <v>139</v>
      </c>
      <c r="Z2090" t="s">
        <v>180</v>
      </c>
      <c r="AA2090" t="s">
        <v>151</v>
      </c>
      <c r="AB2090" t="s">
        <v>164</v>
      </c>
      <c r="AC2090" t="s">
        <v>21</v>
      </c>
      <c r="AD2090" t="s">
        <v>21</v>
      </c>
      <c r="AE2090" t="s">
        <v>21</v>
      </c>
      <c r="AF2090" t="s">
        <v>21</v>
      </c>
    </row>
    <row r="2091" spans="1:32">
      <c r="A2091" t="s">
        <v>3111</v>
      </c>
      <c r="B2091" s="37">
        <v>39925</v>
      </c>
      <c r="C2091" s="38">
        <v>39925</v>
      </c>
      <c r="D2091" s="38">
        <v>39923</v>
      </c>
      <c r="E2091" s="38">
        <v>39904</v>
      </c>
      <c r="F2091" s="39">
        <v>20</v>
      </c>
      <c r="G2091" t="s">
        <v>380</v>
      </c>
      <c r="H2091" t="s">
        <v>17</v>
      </c>
      <c r="I2091">
        <v>0</v>
      </c>
      <c r="J2091">
        <v>0</v>
      </c>
      <c r="K2091">
        <v>1</v>
      </c>
      <c r="L2091">
        <v>0</v>
      </c>
      <c r="M2091">
        <v>0</v>
      </c>
      <c r="N2091" t="s">
        <v>194</v>
      </c>
      <c r="O2091" t="s">
        <v>213</v>
      </c>
      <c r="P2091" t="s">
        <v>205</v>
      </c>
      <c r="Q2091" t="s">
        <v>171</v>
      </c>
      <c r="R2091" t="s">
        <v>168</v>
      </c>
      <c r="T2091" t="s">
        <v>134</v>
      </c>
      <c r="U2091">
        <v>1</v>
      </c>
      <c r="W2091" t="s">
        <v>134</v>
      </c>
      <c r="X2091">
        <v>1</v>
      </c>
      <c r="Y2091" t="s">
        <v>139</v>
      </c>
      <c r="Z2091" t="s">
        <v>182</v>
      </c>
      <c r="AA2091" t="s">
        <v>147</v>
      </c>
      <c r="AB2091" t="s">
        <v>164</v>
      </c>
      <c r="AC2091" t="s">
        <v>21</v>
      </c>
      <c r="AD2091" t="s">
        <v>21</v>
      </c>
      <c r="AE2091" t="s">
        <v>21</v>
      </c>
      <c r="AF2091" t="s">
        <v>21</v>
      </c>
    </row>
    <row r="2092" spans="1:32">
      <c r="A2092" t="s">
        <v>3112</v>
      </c>
      <c r="B2092" s="37">
        <v>39925</v>
      </c>
      <c r="C2092" s="38">
        <v>39925</v>
      </c>
      <c r="D2092" s="38">
        <v>39923</v>
      </c>
      <c r="E2092" s="38">
        <v>39904</v>
      </c>
      <c r="F2092" s="39">
        <v>20</v>
      </c>
      <c r="G2092" t="s">
        <v>21</v>
      </c>
      <c r="H2092" t="s">
        <v>21</v>
      </c>
      <c r="I2092">
        <v>0</v>
      </c>
      <c r="J2092">
        <v>0</v>
      </c>
      <c r="K2092">
        <v>0</v>
      </c>
      <c r="L2092">
        <v>1</v>
      </c>
      <c r="M2092">
        <v>0</v>
      </c>
      <c r="N2092" t="s">
        <v>194</v>
      </c>
      <c r="O2092" t="s">
        <v>213</v>
      </c>
      <c r="P2092" t="s">
        <v>205</v>
      </c>
      <c r="Q2092" t="s">
        <v>171</v>
      </c>
      <c r="R2092" t="s">
        <v>168</v>
      </c>
      <c r="T2092" t="s">
        <v>134</v>
      </c>
      <c r="U2092">
        <v>1</v>
      </c>
      <c r="W2092" t="s">
        <v>134</v>
      </c>
      <c r="X2092">
        <v>1</v>
      </c>
      <c r="Y2092" t="s">
        <v>139</v>
      </c>
      <c r="Z2092" t="s">
        <v>187</v>
      </c>
      <c r="AA2092" t="s">
        <v>147</v>
      </c>
      <c r="AB2092" t="s">
        <v>164</v>
      </c>
      <c r="AC2092" t="s">
        <v>21</v>
      </c>
      <c r="AD2092" t="s">
        <v>21</v>
      </c>
      <c r="AE2092" t="s">
        <v>21</v>
      </c>
      <c r="AF2092" t="s">
        <v>21</v>
      </c>
    </row>
    <row r="2093" spans="1:32">
      <c r="A2093" t="s">
        <v>3113</v>
      </c>
      <c r="B2093" s="37">
        <v>39925</v>
      </c>
      <c r="C2093" s="38">
        <v>39925</v>
      </c>
      <c r="D2093" s="38">
        <v>39923</v>
      </c>
      <c r="E2093" s="38">
        <v>39904</v>
      </c>
      <c r="F2093" s="39">
        <v>20</v>
      </c>
      <c r="G2093" t="s">
        <v>21</v>
      </c>
      <c r="H2093" t="s">
        <v>21</v>
      </c>
      <c r="I2093">
        <v>0</v>
      </c>
      <c r="J2093">
        <v>0</v>
      </c>
      <c r="K2093">
        <v>0</v>
      </c>
      <c r="L2093">
        <v>1</v>
      </c>
      <c r="M2093">
        <v>0</v>
      </c>
      <c r="N2093" t="s">
        <v>194</v>
      </c>
      <c r="O2093" t="s">
        <v>213</v>
      </c>
      <c r="P2093" t="s">
        <v>205</v>
      </c>
      <c r="Q2093" t="s">
        <v>171</v>
      </c>
      <c r="R2093" t="s">
        <v>168</v>
      </c>
      <c r="T2093" t="s">
        <v>134</v>
      </c>
      <c r="U2093">
        <v>1</v>
      </c>
      <c r="W2093" t="s">
        <v>134</v>
      </c>
      <c r="X2093">
        <v>1</v>
      </c>
      <c r="Y2093" t="s">
        <v>139</v>
      </c>
      <c r="Z2093" t="s">
        <v>178</v>
      </c>
      <c r="AA2093" t="s">
        <v>145</v>
      </c>
      <c r="AB2093" t="s">
        <v>164</v>
      </c>
      <c r="AC2093" t="s">
        <v>21</v>
      </c>
      <c r="AD2093" t="s">
        <v>21</v>
      </c>
      <c r="AE2093" t="s">
        <v>21</v>
      </c>
      <c r="AF2093" t="s">
        <v>21</v>
      </c>
    </row>
    <row r="2094" spans="1:32">
      <c r="A2094" t="s">
        <v>3114</v>
      </c>
      <c r="B2094" s="37">
        <v>39925</v>
      </c>
      <c r="C2094" s="38">
        <v>39925</v>
      </c>
      <c r="D2094" s="38">
        <v>39923</v>
      </c>
      <c r="E2094" s="38">
        <v>39904</v>
      </c>
      <c r="F2094" s="39">
        <v>20</v>
      </c>
      <c r="G2094" t="s">
        <v>21</v>
      </c>
      <c r="H2094" t="s">
        <v>21</v>
      </c>
      <c r="I2094">
        <v>0</v>
      </c>
      <c r="J2094">
        <v>0</v>
      </c>
      <c r="K2094">
        <v>0</v>
      </c>
      <c r="L2094">
        <v>1</v>
      </c>
      <c r="M2094">
        <v>0</v>
      </c>
      <c r="N2094" t="s">
        <v>194</v>
      </c>
      <c r="O2094" t="s">
        <v>213</v>
      </c>
      <c r="P2094" t="s">
        <v>205</v>
      </c>
      <c r="Q2094" t="s">
        <v>171</v>
      </c>
      <c r="R2094" t="s">
        <v>168</v>
      </c>
      <c r="T2094" t="s">
        <v>134</v>
      </c>
      <c r="U2094">
        <v>1</v>
      </c>
      <c r="W2094" t="s">
        <v>134</v>
      </c>
      <c r="X2094">
        <v>1</v>
      </c>
      <c r="Y2094" t="s">
        <v>139</v>
      </c>
      <c r="Z2094" t="s">
        <v>178</v>
      </c>
      <c r="AA2094" t="s">
        <v>142</v>
      </c>
      <c r="AB2094" t="s">
        <v>164</v>
      </c>
      <c r="AC2094" t="s">
        <v>21</v>
      </c>
      <c r="AD2094" t="s">
        <v>21</v>
      </c>
      <c r="AE2094" t="s">
        <v>21</v>
      </c>
      <c r="AF2094" t="s">
        <v>21</v>
      </c>
    </row>
    <row r="2095" spans="1:32">
      <c r="A2095" t="s">
        <v>3115</v>
      </c>
      <c r="B2095" s="37">
        <v>39927</v>
      </c>
      <c r="C2095" s="38">
        <v>39927</v>
      </c>
      <c r="D2095" s="38">
        <v>39923</v>
      </c>
      <c r="E2095" s="38">
        <v>39904</v>
      </c>
      <c r="F2095" s="39">
        <v>22</v>
      </c>
      <c r="G2095" t="s">
        <v>21</v>
      </c>
      <c r="H2095" t="s">
        <v>21</v>
      </c>
      <c r="I2095">
        <v>0</v>
      </c>
      <c r="J2095">
        <v>0</v>
      </c>
      <c r="K2095">
        <v>0</v>
      </c>
      <c r="L2095">
        <v>1</v>
      </c>
      <c r="M2095">
        <v>0</v>
      </c>
      <c r="N2095" t="s">
        <v>194</v>
      </c>
      <c r="O2095" t="s">
        <v>213</v>
      </c>
      <c r="P2095" t="s">
        <v>205</v>
      </c>
      <c r="Q2095" t="s">
        <v>171</v>
      </c>
      <c r="R2095" t="s">
        <v>168</v>
      </c>
      <c r="T2095" t="s">
        <v>134</v>
      </c>
      <c r="U2095">
        <v>1</v>
      </c>
      <c r="W2095" t="s">
        <v>134</v>
      </c>
      <c r="X2095">
        <v>1</v>
      </c>
      <c r="Y2095" t="s">
        <v>139</v>
      </c>
      <c r="Z2095" t="s">
        <v>188</v>
      </c>
      <c r="AA2095" t="s">
        <v>148</v>
      </c>
      <c r="AB2095" t="s">
        <v>164</v>
      </c>
      <c r="AC2095" t="s">
        <v>21</v>
      </c>
      <c r="AD2095" t="s">
        <v>21</v>
      </c>
      <c r="AE2095" t="s">
        <v>21</v>
      </c>
      <c r="AF2095" t="s">
        <v>21</v>
      </c>
    </row>
    <row r="2096" spans="1:32">
      <c r="A2096" t="s">
        <v>3116</v>
      </c>
      <c r="B2096" s="37">
        <v>39927</v>
      </c>
      <c r="C2096" s="38">
        <v>39927</v>
      </c>
      <c r="D2096" s="38">
        <v>39923</v>
      </c>
      <c r="E2096" s="38">
        <v>39904</v>
      </c>
      <c r="F2096" s="39">
        <v>22</v>
      </c>
      <c r="G2096" t="s">
        <v>21</v>
      </c>
      <c r="H2096" t="s">
        <v>21</v>
      </c>
      <c r="I2096">
        <v>0</v>
      </c>
      <c r="J2096">
        <v>0</v>
      </c>
      <c r="K2096">
        <v>0</v>
      </c>
      <c r="L2096">
        <v>1</v>
      </c>
      <c r="M2096">
        <v>0</v>
      </c>
      <c r="N2096" t="s">
        <v>194</v>
      </c>
      <c r="O2096" t="s">
        <v>213</v>
      </c>
      <c r="P2096" t="s">
        <v>205</v>
      </c>
      <c r="Q2096" t="s">
        <v>171</v>
      </c>
      <c r="R2096" t="s">
        <v>168</v>
      </c>
      <c r="T2096" t="s">
        <v>134</v>
      </c>
      <c r="U2096">
        <v>1</v>
      </c>
      <c r="W2096" t="s">
        <v>134</v>
      </c>
      <c r="X2096">
        <v>1</v>
      </c>
      <c r="Y2096" t="s">
        <v>139</v>
      </c>
      <c r="Z2096" t="s">
        <v>409</v>
      </c>
      <c r="AA2096" t="s">
        <v>147</v>
      </c>
      <c r="AB2096" t="s">
        <v>164</v>
      </c>
      <c r="AC2096" t="s">
        <v>21</v>
      </c>
      <c r="AD2096" t="s">
        <v>21</v>
      </c>
      <c r="AE2096" t="s">
        <v>21</v>
      </c>
      <c r="AF2096" t="s">
        <v>21</v>
      </c>
    </row>
    <row r="2097" spans="1:32">
      <c r="A2097" t="s">
        <v>3117</v>
      </c>
      <c r="B2097" s="37">
        <v>39927</v>
      </c>
      <c r="C2097" s="38">
        <v>39927</v>
      </c>
      <c r="D2097" s="38">
        <v>39923</v>
      </c>
      <c r="E2097" s="38">
        <v>39904</v>
      </c>
      <c r="F2097" s="39">
        <v>22</v>
      </c>
      <c r="G2097" t="s">
        <v>21</v>
      </c>
      <c r="H2097" t="s">
        <v>21</v>
      </c>
      <c r="I2097">
        <v>0</v>
      </c>
      <c r="J2097">
        <v>0</v>
      </c>
      <c r="K2097">
        <v>0</v>
      </c>
      <c r="L2097">
        <v>1</v>
      </c>
      <c r="M2097">
        <v>0</v>
      </c>
      <c r="N2097" t="s">
        <v>194</v>
      </c>
      <c r="O2097" t="s">
        <v>213</v>
      </c>
      <c r="P2097" t="s">
        <v>205</v>
      </c>
      <c r="Q2097" t="s">
        <v>171</v>
      </c>
      <c r="R2097" t="s">
        <v>168</v>
      </c>
      <c r="T2097" t="s">
        <v>134</v>
      </c>
      <c r="U2097">
        <v>1</v>
      </c>
      <c r="W2097" t="s">
        <v>134</v>
      </c>
      <c r="X2097">
        <v>1</v>
      </c>
      <c r="Y2097" t="s">
        <v>139</v>
      </c>
      <c r="Z2097" t="s">
        <v>180</v>
      </c>
      <c r="AA2097" t="s">
        <v>143</v>
      </c>
      <c r="AB2097" t="s">
        <v>164</v>
      </c>
      <c r="AC2097" t="s">
        <v>21</v>
      </c>
      <c r="AD2097" t="s">
        <v>21</v>
      </c>
      <c r="AE2097" t="s">
        <v>21</v>
      </c>
      <c r="AF2097" t="s">
        <v>21</v>
      </c>
    </row>
    <row r="2098" spans="1:32">
      <c r="A2098" t="s">
        <v>3118</v>
      </c>
      <c r="B2098" s="37">
        <v>39928</v>
      </c>
      <c r="C2098" s="38">
        <v>39928</v>
      </c>
      <c r="D2098" s="38">
        <v>39923</v>
      </c>
      <c r="E2098" s="38">
        <v>39904</v>
      </c>
      <c r="F2098" s="39">
        <v>23</v>
      </c>
      <c r="G2098" t="s">
        <v>21</v>
      </c>
      <c r="H2098" t="s">
        <v>21</v>
      </c>
      <c r="I2098">
        <v>0</v>
      </c>
      <c r="J2098">
        <v>0</v>
      </c>
      <c r="K2098">
        <v>0</v>
      </c>
      <c r="L2098">
        <v>1</v>
      </c>
      <c r="M2098">
        <v>0</v>
      </c>
      <c r="N2098" t="s">
        <v>194</v>
      </c>
      <c r="O2098" t="s">
        <v>213</v>
      </c>
      <c r="P2098" t="s">
        <v>205</v>
      </c>
      <c r="Q2098" t="s">
        <v>171</v>
      </c>
      <c r="R2098" t="s">
        <v>168</v>
      </c>
      <c r="T2098" t="s">
        <v>134</v>
      </c>
      <c r="U2098">
        <v>1</v>
      </c>
      <c r="W2098" t="s">
        <v>134</v>
      </c>
      <c r="X2098">
        <v>1</v>
      </c>
      <c r="Y2098" t="s">
        <v>139</v>
      </c>
      <c r="Z2098" t="s">
        <v>179</v>
      </c>
      <c r="AA2098" t="s">
        <v>147</v>
      </c>
      <c r="AB2098" t="s">
        <v>164</v>
      </c>
      <c r="AC2098" t="s">
        <v>21</v>
      </c>
      <c r="AD2098" t="s">
        <v>21</v>
      </c>
      <c r="AE2098" t="s">
        <v>21</v>
      </c>
      <c r="AF2098" t="s">
        <v>21</v>
      </c>
    </row>
    <row r="2099" spans="1:32">
      <c r="A2099" t="s">
        <v>3119</v>
      </c>
      <c r="B2099" s="37">
        <v>39931</v>
      </c>
      <c r="C2099" s="38">
        <v>39931</v>
      </c>
      <c r="D2099" s="38">
        <v>39930</v>
      </c>
      <c r="E2099" s="38">
        <v>39904</v>
      </c>
      <c r="F2099" s="39">
        <v>26</v>
      </c>
      <c r="G2099" t="s">
        <v>21</v>
      </c>
      <c r="H2099" t="s">
        <v>21</v>
      </c>
      <c r="I2099">
        <v>0</v>
      </c>
      <c r="J2099">
        <v>0</v>
      </c>
      <c r="K2099">
        <v>0</v>
      </c>
      <c r="L2099">
        <v>1</v>
      </c>
      <c r="M2099">
        <v>0</v>
      </c>
      <c r="N2099" t="s">
        <v>194</v>
      </c>
      <c r="O2099" t="s">
        <v>213</v>
      </c>
      <c r="P2099" t="s">
        <v>205</v>
      </c>
      <c r="Q2099" t="s">
        <v>171</v>
      </c>
      <c r="R2099" t="s">
        <v>168</v>
      </c>
      <c r="T2099" t="s">
        <v>134</v>
      </c>
      <c r="U2099">
        <v>1</v>
      </c>
      <c r="W2099" t="s">
        <v>134</v>
      </c>
      <c r="X2099">
        <v>1</v>
      </c>
      <c r="Y2099" t="s">
        <v>139</v>
      </c>
      <c r="Z2099" t="s">
        <v>184</v>
      </c>
      <c r="AA2099" t="s">
        <v>147</v>
      </c>
      <c r="AB2099" t="s">
        <v>164</v>
      </c>
      <c r="AC2099" t="s">
        <v>21</v>
      </c>
      <c r="AD2099" t="s">
        <v>21</v>
      </c>
      <c r="AE2099" t="s">
        <v>21</v>
      </c>
      <c r="AF2099" t="s">
        <v>21</v>
      </c>
    </row>
    <row r="2100" spans="1:32">
      <c r="A2100" t="s">
        <v>3120</v>
      </c>
      <c r="B2100" s="37">
        <v>39933</v>
      </c>
      <c r="C2100" s="38">
        <v>39933</v>
      </c>
      <c r="D2100" s="38">
        <v>39930</v>
      </c>
      <c r="E2100" s="38">
        <v>39904</v>
      </c>
      <c r="F2100" s="39">
        <v>28</v>
      </c>
      <c r="G2100" t="s">
        <v>21</v>
      </c>
      <c r="H2100" t="s">
        <v>21</v>
      </c>
      <c r="I2100">
        <v>0</v>
      </c>
      <c r="J2100">
        <v>0</v>
      </c>
      <c r="K2100">
        <v>0</v>
      </c>
      <c r="L2100">
        <v>1</v>
      </c>
      <c r="M2100">
        <v>0</v>
      </c>
      <c r="N2100" t="s">
        <v>194</v>
      </c>
      <c r="O2100" t="s">
        <v>213</v>
      </c>
      <c r="P2100" t="s">
        <v>205</v>
      </c>
      <c r="Q2100" t="s">
        <v>171</v>
      </c>
      <c r="R2100" t="s">
        <v>168</v>
      </c>
      <c r="T2100" t="s">
        <v>134</v>
      </c>
      <c r="U2100">
        <v>1</v>
      </c>
      <c r="W2100" t="s">
        <v>134</v>
      </c>
      <c r="X2100">
        <v>1</v>
      </c>
      <c r="Y2100" t="s">
        <v>139</v>
      </c>
      <c r="Z2100" t="s">
        <v>178</v>
      </c>
      <c r="AA2100" t="s">
        <v>145</v>
      </c>
      <c r="AB2100" t="s">
        <v>164</v>
      </c>
      <c r="AC2100" t="s">
        <v>21</v>
      </c>
      <c r="AD2100" t="s">
        <v>21</v>
      </c>
      <c r="AE2100" t="s">
        <v>21</v>
      </c>
      <c r="AF2100" t="s">
        <v>21</v>
      </c>
    </row>
    <row r="2101" spans="1:32">
      <c r="A2101" t="s">
        <v>3121</v>
      </c>
      <c r="B2101" s="37">
        <v>39934</v>
      </c>
      <c r="C2101" s="38">
        <v>39934</v>
      </c>
      <c r="D2101" s="38">
        <v>39930</v>
      </c>
      <c r="E2101" s="38">
        <v>39934</v>
      </c>
      <c r="F2101" s="39">
        <v>29</v>
      </c>
      <c r="G2101" t="s">
        <v>21</v>
      </c>
      <c r="H2101" t="s">
        <v>21</v>
      </c>
      <c r="I2101">
        <v>0</v>
      </c>
      <c r="J2101">
        <v>0</v>
      </c>
      <c r="K2101">
        <v>0</v>
      </c>
      <c r="L2101">
        <v>1</v>
      </c>
      <c r="M2101">
        <v>0</v>
      </c>
      <c r="N2101" t="s">
        <v>194</v>
      </c>
      <c r="O2101" t="s">
        <v>213</v>
      </c>
      <c r="P2101" t="s">
        <v>205</v>
      </c>
      <c r="Q2101" t="s">
        <v>171</v>
      </c>
      <c r="R2101" t="s">
        <v>168</v>
      </c>
      <c r="T2101" t="s">
        <v>134</v>
      </c>
      <c r="U2101">
        <v>1</v>
      </c>
      <c r="W2101" t="s">
        <v>134</v>
      </c>
      <c r="X2101">
        <v>1</v>
      </c>
      <c r="Y2101" t="s">
        <v>139</v>
      </c>
      <c r="Z2101" t="s">
        <v>181</v>
      </c>
      <c r="AA2101" t="s">
        <v>142</v>
      </c>
      <c r="AB2101" t="s">
        <v>164</v>
      </c>
      <c r="AC2101" t="s">
        <v>21</v>
      </c>
      <c r="AD2101" t="s">
        <v>21</v>
      </c>
      <c r="AE2101" t="s">
        <v>21</v>
      </c>
      <c r="AF2101" t="s">
        <v>21</v>
      </c>
    </row>
    <row r="2102" spans="1:32">
      <c r="A2102" t="s">
        <v>3122</v>
      </c>
      <c r="B2102" s="37">
        <v>39934</v>
      </c>
      <c r="C2102" s="38">
        <v>39934</v>
      </c>
      <c r="D2102" s="38">
        <v>39930</v>
      </c>
      <c r="E2102" s="38">
        <v>39934</v>
      </c>
      <c r="F2102" s="39">
        <v>29</v>
      </c>
      <c r="G2102" t="s">
        <v>21</v>
      </c>
      <c r="H2102" t="s">
        <v>21</v>
      </c>
      <c r="I2102">
        <v>0</v>
      </c>
      <c r="J2102">
        <v>0</v>
      </c>
      <c r="K2102">
        <v>0</v>
      </c>
      <c r="L2102">
        <v>1</v>
      </c>
      <c r="M2102">
        <v>0</v>
      </c>
      <c r="N2102" t="s">
        <v>194</v>
      </c>
      <c r="O2102" t="s">
        <v>213</v>
      </c>
      <c r="P2102" t="s">
        <v>205</v>
      </c>
      <c r="Q2102" t="s">
        <v>171</v>
      </c>
      <c r="R2102" t="s">
        <v>168</v>
      </c>
      <c r="T2102" t="s">
        <v>134</v>
      </c>
      <c r="U2102">
        <v>1</v>
      </c>
      <c r="W2102" t="s">
        <v>134</v>
      </c>
      <c r="X2102">
        <v>1</v>
      </c>
      <c r="Y2102" t="s">
        <v>139</v>
      </c>
      <c r="Z2102" t="s">
        <v>179</v>
      </c>
      <c r="AA2102" t="s">
        <v>143</v>
      </c>
      <c r="AB2102" t="s">
        <v>164</v>
      </c>
      <c r="AC2102" t="s">
        <v>21</v>
      </c>
      <c r="AD2102" t="s">
        <v>21</v>
      </c>
      <c r="AE2102" t="s">
        <v>21</v>
      </c>
      <c r="AF2102" t="s">
        <v>21</v>
      </c>
    </row>
    <row r="2103" spans="1:32">
      <c r="A2103" t="s">
        <v>3123</v>
      </c>
      <c r="B2103" s="37">
        <v>39934</v>
      </c>
      <c r="C2103" s="38">
        <v>39934</v>
      </c>
      <c r="D2103" s="38">
        <v>39930</v>
      </c>
      <c r="E2103" s="38">
        <v>39934</v>
      </c>
      <c r="F2103" s="39">
        <v>29</v>
      </c>
      <c r="G2103" t="s">
        <v>21</v>
      </c>
      <c r="H2103" t="s">
        <v>21</v>
      </c>
      <c r="I2103">
        <v>0</v>
      </c>
      <c r="J2103">
        <v>0</v>
      </c>
      <c r="K2103">
        <v>0</v>
      </c>
      <c r="L2103">
        <v>1</v>
      </c>
      <c r="M2103">
        <v>0</v>
      </c>
      <c r="N2103" t="s">
        <v>194</v>
      </c>
      <c r="O2103" t="s">
        <v>213</v>
      </c>
      <c r="P2103" t="s">
        <v>205</v>
      </c>
      <c r="Q2103" t="s">
        <v>171</v>
      </c>
      <c r="R2103" t="s">
        <v>168</v>
      </c>
      <c r="T2103" t="s">
        <v>134</v>
      </c>
      <c r="U2103">
        <v>1</v>
      </c>
      <c r="W2103" t="s">
        <v>134</v>
      </c>
      <c r="X2103">
        <v>1</v>
      </c>
      <c r="Y2103" t="s">
        <v>139</v>
      </c>
      <c r="Z2103" t="s">
        <v>179</v>
      </c>
      <c r="AA2103" t="s">
        <v>147</v>
      </c>
      <c r="AB2103" t="s">
        <v>164</v>
      </c>
      <c r="AC2103" t="s">
        <v>21</v>
      </c>
      <c r="AD2103" t="s">
        <v>21</v>
      </c>
      <c r="AE2103" t="s">
        <v>21</v>
      </c>
      <c r="AF2103" t="s">
        <v>21</v>
      </c>
    </row>
    <row r="2104" spans="1:32">
      <c r="A2104" t="s">
        <v>3124</v>
      </c>
      <c r="B2104" s="37">
        <v>39934</v>
      </c>
      <c r="C2104" s="38">
        <v>39934</v>
      </c>
      <c r="D2104" s="38">
        <v>39930</v>
      </c>
      <c r="E2104" s="38">
        <v>39934</v>
      </c>
      <c r="F2104" s="39">
        <v>29</v>
      </c>
      <c r="G2104" t="s">
        <v>21</v>
      </c>
      <c r="H2104" t="s">
        <v>21</v>
      </c>
      <c r="I2104">
        <v>0</v>
      </c>
      <c r="J2104">
        <v>0</v>
      </c>
      <c r="K2104">
        <v>0</v>
      </c>
      <c r="L2104">
        <v>1</v>
      </c>
      <c r="M2104">
        <v>0</v>
      </c>
      <c r="N2104" t="s">
        <v>194</v>
      </c>
      <c r="O2104" t="s">
        <v>213</v>
      </c>
      <c r="P2104" t="s">
        <v>205</v>
      </c>
      <c r="Q2104" t="s">
        <v>171</v>
      </c>
      <c r="R2104" t="s">
        <v>168</v>
      </c>
      <c r="T2104" t="s">
        <v>134</v>
      </c>
      <c r="U2104">
        <v>1</v>
      </c>
      <c r="W2104" t="s">
        <v>134</v>
      </c>
      <c r="X2104">
        <v>1</v>
      </c>
      <c r="Y2104" t="s">
        <v>139</v>
      </c>
      <c r="Z2104" t="s">
        <v>178</v>
      </c>
      <c r="AA2104" t="s">
        <v>147</v>
      </c>
      <c r="AB2104" t="s">
        <v>164</v>
      </c>
      <c r="AC2104" t="s">
        <v>21</v>
      </c>
      <c r="AD2104" t="s">
        <v>21</v>
      </c>
      <c r="AE2104" t="s">
        <v>21</v>
      </c>
      <c r="AF2104" t="s">
        <v>21</v>
      </c>
    </row>
    <row r="2105" spans="1:32">
      <c r="A2105" t="s">
        <v>3125</v>
      </c>
      <c r="B2105" s="37">
        <v>39936</v>
      </c>
      <c r="C2105" s="38">
        <v>39936</v>
      </c>
      <c r="D2105" s="38">
        <v>39930</v>
      </c>
      <c r="E2105" s="38">
        <v>39934</v>
      </c>
      <c r="F2105" s="39">
        <v>31</v>
      </c>
      <c r="G2105" t="s">
        <v>21</v>
      </c>
      <c r="H2105" t="s">
        <v>21</v>
      </c>
      <c r="I2105">
        <v>0</v>
      </c>
      <c r="J2105">
        <v>0</v>
      </c>
      <c r="K2105">
        <v>0</v>
      </c>
      <c r="L2105">
        <v>1</v>
      </c>
      <c r="M2105">
        <v>0</v>
      </c>
      <c r="N2105" t="s">
        <v>194</v>
      </c>
      <c r="O2105" t="s">
        <v>213</v>
      </c>
      <c r="P2105" t="s">
        <v>205</v>
      </c>
      <c r="Q2105" t="s">
        <v>171</v>
      </c>
      <c r="R2105" t="s">
        <v>168</v>
      </c>
      <c r="T2105" t="s">
        <v>134</v>
      </c>
      <c r="U2105">
        <v>1</v>
      </c>
      <c r="W2105" t="s">
        <v>134</v>
      </c>
      <c r="X2105">
        <v>1</v>
      </c>
      <c r="Y2105" t="s">
        <v>139</v>
      </c>
      <c r="Z2105" t="s">
        <v>179</v>
      </c>
      <c r="AA2105" t="s">
        <v>147</v>
      </c>
      <c r="AB2105" t="s">
        <v>164</v>
      </c>
      <c r="AC2105" t="s">
        <v>21</v>
      </c>
      <c r="AD2105" t="s">
        <v>21</v>
      </c>
      <c r="AE2105" t="s">
        <v>21</v>
      </c>
      <c r="AF2105" t="s">
        <v>21</v>
      </c>
    </row>
    <row r="2106" spans="1:32">
      <c r="A2106" t="s">
        <v>3126</v>
      </c>
      <c r="B2106" s="37">
        <v>39937</v>
      </c>
      <c r="C2106" s="38">
        <v>39937</v>
      </c>
      <c r="D2106" s="38">
        <v>39937</v>
      </c>
      <c r="E2106" s="38">
        <v>39934</v>
      </c>
      <c r="F2106" s="39">
        <v>32</v>
      </c>
      <c r="G2106" t="s">
        <v>21</v>
      </c>
      <c r="H2106" t="s">
        <v>21</v>
      </c>
      <c r="I2106">
        <v>0</v>
      </c>
      <c r="J2106">
        <v>0</v>
      </c>
      <c r="K2106">
        <v>0</v>
      </c>
      <c r="L2106">
        <v>1</v>
      </c>
      <c r="M2106">
        <v>0</v>
      </c>
      <c r="N2106" t="s">
        <v>194</v>
      </c>
      <c r="O2106" t="s">
        <v>213</v>
      </c>
      <c r="P2106" t="s">
        <v>205</v>
      </c>
      <c r="Q2106" t="s">
        <v>171</v>
      </c>
      <c r="R2106" t="s">
        <v>168</v>
      </c>
      <c r="T2106" t="s">
        <v>134</v>
      </c>
      <c r="U2106">
        <v>1</v>
      </c>
      <c r="W2106" t="s">
        <v>134</v>
      </c>
      <c r="X2106">
        <v>1</v>
      </c>
      <c r="Y2106" t="s">
        <v>139</v>
      </c>
      <c r="Z2106" t="s">
        <v>179</v>
      </c>
      <c r="AA2106" t="s">
        <v>143</v>
      </c>
      <c r="AB2106" t="s">
        <v>164</v>
      </c>
      <c r="AC2106" t="s">
        <v>21</v>
      </c>
      <c r="AD2106" t="s">
        <v>21</v>
      </c>
      <c r="AE2106" t="s">
        <v>21</v>
      </c>
      <c r="AF2106" t="s">
        <v>21</v>
      </c>
    </row>
    <row r="2107" spans="1:32">
      <c r="A2107" t="s">
        <v>3127</v>
      </c>
      <c r="B2107" s="37">
        <v>39937</v>
      </c>
      <c r="C2107" s="38">
        <v>39937</v>
      </c>
      <c r="D2107" s="38">
        <v>39937</v>
      </c>
      <c r="E2107" s="38">
        <v>39934</v>
      </c>
      <c r="F2107" s="39">
        <v>32</v>
      </c>
      <c r="G2107" t="s">
        <v>21</v>
      </c>
      <c r="H2107" t="s">
        <v>21</v>
      </c>
      <c r="I2107">
        <v>0</v>
      </c>
      <c r="J2107">
        <v>0</v>
      </c>
      <c r="K2107">
        <v>0</v>
      </c>
      <c r="L2107">
        <v>1</v>
      </c>
      <c r="M2107">
        <v>0</v>
      </c>
      <c r="N2107" t="s">
        <v>194</v>
      </c>
      <c r="O2107" t="s">
        <v>213</v>
      </c>
      <c r="P2107" t="s">
        <v>205</v>
      </c>
      <c r="Q2107" t="s">
        <v>171</v>
      </c>
      <c r="R2107" t="s">
        <v>168</v>
      </c>
      <c r="T2107" t="s">
        <v>134</v>
      </c>
      <c r="U2107">
        <v>1</v>
      </c>
      <c r="W2107" t="s">
        <v>134</v>
      </c>
      <c r="X2107">
        <v>1</v>
      </c>
      <c r="Y2107" t="s">
        <v>139</v>
      </c>
      <c r="Z2107" t="s">
        <v>178</v>
      </c>
      <c r="AA2107" t="s">
        <v>142</v>
      </c>
      <c r="AB2107" t="s">
        <v>164</v>
      </c>
      <c r="AC2107" t="s">
        <v>21</v>
      </c>
      <c r="AD2107" t="s">
        <v>21</v>
      </c>
      <c r="AE2107" t="s">
        <v>21</v>
      </c>
      <c r="AF2107" t="s">
        <v>21</v>
      </c>
    </row>
    <row r="2108" spans="1:32">
      <c r="A2108" t="s">
        <v>3128</v>
      </c>
      <c r="B2108" s="37">
        <v>39937</v>
      </c>
      <c r="C2108" s="38">
        <v>39937</v>
      </c>
      <c r="D2108" s="38">
        <v>39937</v>
      </c>
      <c r="E2108" s="38">
        <v>39934</v>
      </c>
      <c r="F2108" s="39">
        <v>32</v>
      </c>
      <c r="G2108" t="s">
        <v>525</v>
      </c>
      <c r="H2108" t="s">
        <v>17</v>
      </c>
      <c r="I2108">
        <v>0</v>
      </c>
      <c r="J2108">
        <v>0</v>
      </c>
      <c r="K2108">
        <v>1</v>
      </c>
      <c r="L2108">
        <v>0</v>
      </c>
      <c r="M2108">
        <v>0</v>
      </c>
      <c r="N2108" t="s">
        <v>194</v>
      </c>
      <c r="O2108" t="s">
        <v>213</v>
      </c>
      <c r="P2108" t="s">
        <v>205</v>
      </c>
      <c r="Q2108" t="s">
        <v>171</v>
      </c>
      <c r="R2108" t="s">
        <v>168</v>
      </c>
      <c r="T2108" t="s">
        <v>134</v>
      </c>
      <c r="U2108">
        <v>1</v>
      </c>
      <c r="W2108" t="s">
        <v>134</v>
      </c>
      <c r="X2108">
        <v>1</v>
      </c>
      <c r="Y2108" t="s">
        <v>139</v>
      </c>
      <c r="Z2108" t="s">
        <v>184</v>
      </c>
      <c r="AA2108" t="s">
        <v>150</v>
      </c>
      <c r="AB2108" t="s">
        <v>164</v>
      </c>
      <c r="AC2108" t="s">
        <v>21</v>
      </c>
      <c r="AD2108" t="s">
        <v>21</v>
      </c>
      <c r="AE2108" t="s">
        <v>21</v>
      </c>
      <c r="AF2108" t="s">
        <v>21</v>
      </c>
    </row>
    <row r="2109" spans="1:32">
      <c r="A2109" t="s">
        <v>3129</v>
      </c>
      <c r="B2109" s="37">
        <v>39937</v>
      </c>
      <c r="C2109" s="38">
        <v>39937</v>
      </c>
      <c r="D2109" s="38">
        <v>39937</v>
      </c>
      <c r="E2109" s="38">
        <v>39934</v>
      </c>
      <c r="F2109" s="39">
        <v>32</v>
      </c>
      <c r="G2109" t="s">
        <v>21</v>
      </c>
      <c r="H2109" t="s">
        <v>21</v>
      </c>
      <c r="I2109">
        <v>0</v>
      </c>
      <c r="J2109">
        <v>0</v>
      </c>
      <c r="K2109">
        <v>0</v>
      </c>
      <c r="L2109">
        <v>1</v>
      </c>
      <c r="M2109">
        <v>0</v>
      </c>
      <c r="N2109" t="s">
        <v>194</v>
      </c>
      <c r="O2109" t="s">
        <v>213</v>
      </c>
      <c r="P2109" t="s">
        <v>205</v>
      </c>
      <c r="Q2109" t="s">
        <v>171</v>
      </c>
      <c r="R2109" t="s">
        <v>168</v>
      </c>
      <c r="T2109" t="s">
        <v>134</v>
      </c>
      <c r="U2109">
        <v>1</v>
      </c>
      <c r="W2109" t="s">
        <v>134</v>
      </c>
      <c r="X2109">
        <v>1</v>
      </c>
      <c r="Y2109" t="s">
        <v>139</v>
      </c>
      <c r="Z2109" t="s">
        <v>188</v>
      </c>
      <c r="AA2109" t="s">
        <v>145</v>
      </c>
      <c r="AB2109" t="s">
        <v>164</v>
      </c>
      <c r="AC2109" t="s">
        <v>21</v>
      </c>
      <c r="AD2109" t="s">
        <v>21</v>
      </c>
      <c r="AE2109" t="s">
        <v>21</v>
      </c>
      <c r="AF2109" t="s">
        <v>21</v>
      </c>
    </row>
    <row r="2110" spans="1:32">
      <c r="A2110" t="s">
        <v>3130</v>
      </c>
      <c r="B2110" s="37">
        <v>39939</v>
      </c>
      <c r="C2110" s="38">
        <v>39939</v>
      </c>
      <c r="D2110" s="38">
        <v>39937</v>
      </c>
      <c r="E2110" s="38">
        <v>39934</v>
      </c>
      <c r="F2110" s="39">
        <v>34</v>
      </c>
      <c r="G2110" t="s">
        <v>21</v>
      </c>
      <c r="H2110" t="s">
        <v>21</v>
      </c>
      <c r="I2110">
        <v>0</v>
      </c>
      <c r="J2110">
        <v>0</v>
      </c>
      <c r="K2110">
        <v>0</v>
      </c>
      <c r="L2110">
        <v>1</v>
      </c>
      <c r="M2110">
        <v>0</v>
      </c>
      <c r="N2110" t="s">
        <v>194</v>
      </c>
      <c r="O2110" t="s">
        <v>213</v>
      </c>
      <c r="P2110" t="s">
        <v>205</v>
      </c>
      <c r="Q2110" t="s">
        <v>171</v>
      </c>
      <c r="R2110" t="s">
        <v>168</v>
      </c>
      <c r="T2110" t="s">
        <v>134</v>
      </c>
      <c r="U2110">
        <v>1</v>
      </c>
      <c r="W2110" t="s">
        <v>134</v>
      </c>
      <c r="X2110">
        <v>1</v>
      </c>
      <c r="Y2110" t="s">
        <v>139</v>
      </c>
      <c r="Z2110" t="s">
        <v>180</v>
      </c>
      <c r="AA2110" t="s">
        <v>145</v>
      </c>
      <c r="AB2110" t="s">
        <v>164</v>
      </c>
      <c r="AC2110" t="s">
        <v>21</v>
      </c>
      <c r="AD2110" t="s">
        <v>21</v>
      </c>
      <c r="AE2110" t="s">
        <v>21</v>
      </c>
      <c r="AF2110" t="s">
        <v>21</v>
      </c>
    </row>
    <row r="2111" spans="1:32">
      <c r="A2111" t="s">
        <v>3131</v>
      </c>
      <c r="B2111" s="37">
        <v>39939</v>
      </c>
      <c r="C2111" s="38">
        <v>39939</v>
      </c>
      <c r="D2111" s="38">
        <v>39937</v>
      </c>
      <c r="E2111" s="38">
        <v>39934</v>
      </c>
      <c r="F2111" s="39">
        <v>34</v>
      </c>
      <c r="G2111" t="s">
        <v>21</v>
      </c>
      <c r="H2111" t="s">
        <v>21</v>
      </c>
      <c r="I2111">
        <v>0</v>
      </c>
      <c r="J2111">
        <v>0</v>
      </c>
      <c r="K2111">
        <v>0</v>
      </c>
      <c r="L2111">
        <v>1</v>
      </c>
      <c r="M2111">
        <v>0</v>
      </c>
      <c r="N2111" t="s">
        <v>194</v>
      </c>
      <c r="O2111" t="s">
        <v>213</v>
      </c>
      <c r="P2111" t="s">
        <v>205</v>
      </c>
      <c r="Q2111" t="s">
        <v>171</v>
      </c>
      <c r="R2111" t="s">
        <v>168</v>
      </c>
      <c r="T2111" t="s">
        <v>134</v>
      </c>
      <c r="U2111">
        <v>1</v>
      </c>
      <c r="W2111" t="s">
        <v>134</v>
      </c>
      <c r="X2111">
        <v>1</v>
      </c>
      <c r="Y2111" t="s">
        <v>139</v>
      </c>
      <c r="Z2111" t="s">
        <v>188</v>
      </c>
      <c r="AA2111" t="s">
        <v>147</v>
      </c>
      <c r="AB2111" t="s">
        <v>164</v>
      </c>
      <c r="AC2111" t="s">
        <v>21</v>
      </c>
      <c r="AD2111" t="s">
        <v>21</v>
      </c>
      <c r="AE2111" t="s">
        <v>21</v>
      </c>
      <c r="AF2111" t="s">
        <v>21</v>
      </c>
    </row>
    <row r="2112" spans="1:32">
      <c r="A2112" t="s">
        <v>3132</v>
      </c>
      <c r="B2112" s="37">
        <v>39939</v>
      </c>
      <c r="C2112" s="38">
        <v>39939</v>
      </c>
      <c r="D2112" s="38">
        <v>39937</v>
      </c>
      <c r="E2112" s="38">
        <v>39934</v>
      </c>
      <c r="F2112" s="39">
        <v>34</v>
      </c>
      <c r="G2112" t="s">
        <v>21</v>
      </c>
      <c r="H2112" t="s">
        <v>21</v>
      </c>
      <c r="I2112">
        <v>0</v>
      </c>
      <c r="J2112">
        <v>0</v>
      </c>
      <c r="K2112">
        <v>0</v>
      </c>
      <c r="L2112">
        <v>1</v>
      </c>
      <c r="M2112">
        <v>0</v>
      </c>
      <c r="N2112" t="s">
        <v>194</v>
      </c>
      <c r="O2112" t="s">
        <v>213</v>
      </c>
      <c r="P2112" t="s">
        <v>205</v>
      </c>
      <c r="Q2112" t="s">
        <v>171</v>
      </c>
      <c r="R2112" t="s">
        <v>168</v>
      </c>
      <c r="T2112" t="s">
        <v>134</v>
      </c>
      <c r="U2112">
        <v>1</v>
      </c>
      <c r="W2112" t="s">
        <v>134</v>
      </c>
      <c r="X2112">
        <v>1</v>
      </c>
      <c r="Y2112" t="s">
        <v>139</v>
      </c>
      <c r="Z2112" t="s">
        <v>190</v>
      </c>
      <c r="AA2112" t="s">
        <v>145</v>
      </c>
      <c r="AB2112" t="s">
        <v>164</v>
      </c>
      <c r="AC2112" t="s">
        <v>21</v>
      </c>
      <c r="AD2112" t="s">
        <v>21</v>
      </c>
      <c r="AE2112" t="s">
        <v>21</v>
      </c>
      <c r="AF2112" t="s">
        <v>21</v>
      </c>
    </row>
    <row r="2113" spans="1:32">
      <c r="A2113" t="s">
        <v>3133</v>
      </c>
      <c r="B2113" s="37">
        <v>39940</v>
      </c>
      <c r="C2113" s="38">
        <v>39940</v>
      </c>
      <c r="D2113" s="38">
        <v>39937</v>
      </c>
      <c r="E2113" s="38">
        <v>39934</v>
      </c>
      <c r="F2113" s="39">
        <v>35</v>
      </c>
      <c r="G2113" t="s">
        <v>9</v>
      </c>
      <c r="H2113" t="s">
        <v>9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194</v>
      </c>
      <c r="O2113" t="s">
        <v>213</v>
      </c>
      <c r="P2113" t="s">
        <v>205</v>
      </c>
      <c r="Q2113" t="s">
        <v>171</v>
      </c>
      <c r="R2113" t="s">
        <v>168</v>
      </c>
      <c r="T2113" t="s">
        <v>134</v>
      </c>
      <c r="U2113">
        <v>1</v>
      </c>
      <c r="W2113" t="s">
        <v>134</v>
      </c>
      <c r="X2113">
        <v>1</v>
      </c>
      <c r="Y2113" t="s">
        <v>139</v>
      </c>
      <c r="Z2113" t="s">
        <v>181</v>
      </c>
      <c r="AA2113" t="s">
        <v>142</v>
      </c>
      <c r="AB2113" t="s">
        <v>164</v>
      </c>
      <c r="AC2113" t="s">
        <v>21</v>
      </c>
      <c r="AD2113" t="s">
        <v>21</v>
      </c>
      <c r="AE2113" t="s">
        <v>21</v>
      </c>
      <c r="AF2113" t="s">
        <v>21</v>
      </c>
    </row>
    <row r="2114" spans="1:32">
      <c r="A2114" t="s">
        <v>3134</v>
      </c>
      <c r="B2114" s="37">
        <v>39940</v>
      </c>
      <c r="C2114" s="38">
        <v>39940</v>
      </c>
      <c r="D2114" s="38">
        <v>39937</v>
      </c>
      <c r="E2114" s="38">
        <v>39934</v>
      </c>
      <c r="F2114" s="39">
        <v>35</v>
      </c>
      <c r="G2114" t="s">
        <v>21</v>
      </c>
      <c r="H2114" t="s">
        <v>21</v>
      </c>
      <c r="I2114">
        <v>0</v>
      </c>
      <c r="J2114">
        <v>0</v>
      </c>
      <c r="K2114">
        <v>0</v>
      </c>
      <c r="L2114">
        <v>1</v>
      </c>
      <c r="M2114">
        <v>0</v>
      </c>
      <c r="N2114" t="s">
        <v>194</v>
      </c>
      <c r="O2114" t="s">
        <v>213</v>
      </c>
      <c r="P2114" t="s">
        <v>205</v>
      </c>
      <c r="Q2114" t="s">
        <v>171</v>
      </c>
      <c r="R2114" t="s">
        <v>168</v>
      </c>
      <c r="T2114" t="s">
        <v>134</v>
      </c>
      <c r="U2114">
        <v>1</v>
      </c>
      <c r="W2114" t="s">
        <v>134</v>
      </c>
      <c r="X2114">
        <v>1</v>
      </c>
      <c r="Y2114" t="s">
        <v>139</v>
      </c>
      <c r="Z2114" t="s">
        <v>447</v>
      </c>
      <c r="AA2114" t="s">
        <v>147</v>
      </c>
      <c r="AB2114" t="s">
        <v>164</v>
      </c>
      <c r="AC2114" t="s">
        <v>21</v>
      </c>
      <c r="AD2114" t="s">
        <v>21</v>
      </c>
      <c r="AE2114" t="s">
        <v>21</v>
      </c>
      <c r="AF2114" t="s">
        <v>21</v>
      </c>
    </row>
    <row r="2115" spans="1:32">
      <c r="A2115" t="s">
        <v>3135</v>
      </c>
      <c r="B2115" s="37">
        <v>39940</v>
      </c>
      <c r="C2115" s="38">
        <v>39940</v>
      </c>
      <c r="D2115" s="38">
        <v>39937</v>
      </c>
      <c r="E2115" s="38">
        <v>39934</v>
      </c>
      <c r="F2115" s="39">
        <v>35</v>
      </c>
      <c r="G2115" t="s">
        <v>21</v>
      </c>
      <c r="H2115" t="s">
        <v>21</v>
      </c>
      <c r="I2115">
        <v>0</v>
      </c>
      <c r="J2115">
        <v>0</v>
      </c>
      <c r="K2115">
        <v>0</v>
      </c>
      <c r="L2115">
        <v>1</v>
      </c>
      <c r="M2115">
        <v>0</v>
      </c>
      <c r="N2115" t="s">
        <v>194</v>
      </c>
      <c r="O2115" t="s">
        <v>213</v>
      </c>
      <c r="P2115" t="s">
        <v>205</v>
      </c>
      <c r="Q2115" t="s">
        <v>171</v>
      </c>
      <c r="R2115" t="s">
        <v>168</v>
      </c>
      <c r="T2115" t="s">
        <v>134</v>
      </c>
      <c r="U2115">
        <v>1</v>
      </c>
      <c r="W2115" t="s">
        <v>134</v>
      </c>
      <c r="X2115">
        <v>1</v>
      </c>
      <c r="Y2115" t="s">
        <v>139</v>
      </c>
      <c r="Z2115" t="s">
        <v>190</v>
      </c>
      <c r="AA2115" t="s">
        <v>150</v>
      </c>
      <c r="AB2115" t="s">
        <v>164</v>
      </c>
      <c r="AC2115" t="s">
        <v>21</v>
      </c>
      <c r="AD2115" t="s">
        <v>21</v>
      </c>
      <c r="AE2115" t="s">
        <v>21</v>
      </c>
      <c r="AF2115" t="s">
        <v>21</v>
      </c>
    </row>
    <row r="2116" spans="1:32">
      <c r="A2116" t="s">
        <v>3136</v>
      </c>
      <c r="B2116" s="37">
        <v>39941</v>
      </c>
      <c r="C2116" s="38">
        <v>39941</v>
      </c>
      <c r="D2116" s="38">
        <v>39937</v>
      </c>
      <c r="E2116" s="38">
        <v>39934</v>
      </c>
      <c r="F2116" s="39">
        <v>36</v>
      </c>
      <c r="G2116" t="s">
        <v>9</v>
      </c>
      <c r="H2116" t="s">
        <v>9</v>
      </c>
      <c r="I2116">
        <v>1</v>
      </c>
      <c r="J2116">
        <v>0</v>
      </c>
      <c r="K2116">
        <v>0</v>
      </c>
      <c r="L2116">
        <v>0</v>
      </c>
      <c r="M2116">
        <v>1</v>
      </c>
      <c r="N2116" t="s">
        <v>194</v>
      </c>
      <c r="O2116" t="s">
        <v>213</v>
      </c>
      <c r="P2116" t="s">
        <v>205</v>
      </c>
      <c r="Q2116" t="s">
        <v>171</v>
      </c>
      <c r="R2116" t="s">
        <v>168</v>
      </c>
      <c r="T2116" t="s">
        <v>134</v>
      </c>
      <c r="U2116">
        <v>1</v>
      </c>
      <c r="W2116" t="s">
        <v>134</v>
      </c>
      <c r="X2116">
        <v>1</v>
      </c>
      <c r="Y2116" t="s">
        <v>139</v>
      </c>
      <c r="Z2116" t="s">
        <v>178</v>
      </c>
      <c r="AA2116" t="s">
        <v>147</v>
      </c>
      <c r="AB2116" t="s">
        <v>164</v>
      </c>
      <c r="AC2116" t="s">
        <v>21</v>
      </c>
      <c r="AD2116" t="s">
        <v>21</v>
      </c>
      <c r="AE2116" t="s">
        <v>21</v>
      </c>
      <c r="AF2116" t="s">
        <v>21</v>
      </c>
    </row>
    <row r="2117" spans="1:32">
      <c r="A2117" t="s">
        <v>3137</v>
      </c>
      <c r="B2117" s="37">
        <v>39944</v>
      </c>
      <c r="C2117" s="38">
        <v>39944</v>
      </c>
      <c r="D2117" s="38">
        <v>39944</v>
      </c>
      <c r="E2117" s="38">
        <v>39934</v>
      </c>
      <c r="F2117" s="39">
        <v>39</v>
      </c>
      <c r="G2117" t="s">
        <v>21</v>
      </c>
      <c r="H2117" t="s">
        <v>21</v>
      </c>
      <c r="I2117">
        <v>0</v>
      </c>
      <c r="J2117">
        <v>0</v>
      </c>
      <c r="K2117">
        <v>0</v>
      </c>
      <c r="L2117">
        <v>1</v>
      </c>
      <c r="M2117">
        <v>0</v>
      </c>
      <c r="N2117" t="s">
        <v>194</v>
      </c>
      <c r="O2117" t="s">
        <v>213</v>
      </c>
      <c r="P2117" t="s">
        <v>205</v>
      </c>
      <c r="Q2117" t="s">
        <v>171</v>
      </c>
      <c r="R2117" t="s">
        <v>168</v>
      </c>
      <c r="T2117" t="s">
        <v>134</v>
      </c>
      <c r="U2117">
        <v>1</v>
      </c>
      <c r="W2117" t="s">
        <v>134</v>
      </c>
      <c r="X2117">
        <v>1</v>
      </c>
      <c r="Y2117" t="s">
        <v>139</v>
      </c>
      <c r="Z2117" t="s">
        <v>182</v>
      </c>
      <c r="AA2117" t="s">
        <v>148</v>
      </c>
      <c r="AB2117" t="s">
        <v>164</v>
      </c>
      <c r="AC2117" t="s">
        <v>21</v>
      </c>
      <c r="AD2117" t="s">
        <v>21</v>
      </c>
      <c r="AE2117" t="s">
        <v>21</v>
      </c>
      <c r="AF2117" t="s">
        <v>21</v>
      </c>
    </row>
    <row r="2118" spans="1:32">
      <c r="A2118" t="s">
        <v>3138</v>
      </c>
      <c r="B2118" s="37">
        <v>39944</v>
      </c>
      <c r="C2118" s="38">
        <v>39944</v>
      </c>
      <c r="D2118" s="38">
        <v>39944</v>
      </c>
      <c r="E2118" s="38">
        <v>39934</v>
      </c>
      <c r="F2118" s="39">
        <v>39</v>
      </c>
      <c r="G2118" t="s">
        <v>21</v>
      </c>
      <c r="H2118" t="s">
        <v>21</v>
      </c>
      <c r="I2118">
        <v>0</v>
      </c>
      <c r="J2118">
        <v>0</v>
      </c>
      <c r="K2118">
        <v>0</v>
      </c>
      <c r="L2118">
        <v>1</v>
      </c>
      <c r="M2118">
        <v>0</v>
      </c>
      <c r="N2118" t="s">
        <v>194</v>
      </c>
      <c r="O2118" t="s">
        <v>213</v>
      </c>
      <c r="P2118" t="s">
        <v>205</v>
      </c>
      <c r="Q2118" t="s">
        <v>171</v>
      </c>
      <c r="R2118" t="s">
        <v>168</v>
      </c>
      <c r="T2118" t="s">
        <v>134</v>
      </c>
      <c r="U2118">
        <v>1</v>
      </c>
      <c r="W2118" t="s">
        <v>134</v>
      </c>
      <c r="X2118">
        <v>1</v>
      </c>
      <c r="Y2118" t="s">
        <v>139</v>
      </c>
      <c r="Z2118" t="s">
        <v>183</v>
      </c>
      <c r="AA2118" t="s">
        <v>143</v>
      </c>
      <c r="AB2118" t="s">
        <v>164</v>
      </c>
      <c r="AC2118" t="s">
        <v>21</v>
      </c>
      <c r="AD2118" t="s">
        <v>21</v>
      </c>
      <c r="AE2118" t="s">
        <v>21</v>
      </c>
      <c r="AF2118" t="s">
        <v>21</v>
      </c>
    </row>
    <row r="2119" spans="1:32">
      <c r="A2119" t="s">
        <v>3139</v>
      </c>
      <c r="B2119" s="37">
        <v>39944</v>
      </c>
      <c r="C2119" s="38">
        <v>39944</v>
      </c>
      <c r="D2119" s="38">
        <v>39944</v>
      </c>
      <c r="E2119" s="38">
        <v>39934</v>
      </c>
      <c r="F2119" s="39">
        <v>39</v>
      </c>
      <c r="G2119" t="s">
        <v>21</v>
      </c>
      <c r="H2119" t="s">
        <v>21</v>
      </c>
      <c r="I2119">
        <v>0</v>
      </c>
      <c r="J2119">
        <v>0</v>
      </c>
      <c r="K2119">
        <v>0</v>
      </c>
      <c r="L2119">
        <v>1</v>
      </c>
      <c r="M2119">
        <v>0</v>
      </c>
      <c r="N2119" t="s">
        <v>194</v>
      </c>
      <c r="O2119" t="s">
        <v>213</v>
      </c>
      <c r="P2119" t="s">
        <v>205</v>
      </c>
      <c r="Q2119" t="s">
        <v>171</v>
      </c>
      <c r="R2119" t="s">
        <v>168</v>
      </c>
      <c r="T2119" t="s">
        <v>134</v>
      </c>
      <c r="U2119">
        <v>1</v>
      </c>
      <c r="W2119" t="s">
        <v>134</v>
      </c>
      <c r="X2119">
        <v>1</v>
      </c>
      <c r="Y2119" t="s">
        <v>139</v>
      </c>
      <c r="Z2119" t="s">
        <v>178</v>
      </c>
      <c r="AA2119" t="s">
        <v>148</v>
      </c>
      <c r="AB2119" t="s">
        <v>164</v>
      </c>
      <c r="AC2119" t="s">
        <v>21</v>
      </c>
      <c r="AD2119" t="s">
        <v>21</v>
      </c>
      <c r="AE2119" t="s">
        <v>21</v>
      </c>
      <c r="AF2119" t="s">
        <v>21</v>
      </c>
    </row>
    <row r="2120" spans="1:32">
      <c r="A2120" t="s">
        <v>3140</v>
      </c>
      <c r="B2120" s="37">
        <v>39944</v>
      </c>
      <c r="C2120" s="38">
        <v>39944</v>
      </c>
      <c r="D2120" s="38">
        <v>39944</v>
      </c>
      <c r="E2120" s="38">
        <v>39934</v>
      </c>
      <c r="F2120" s="39">
        <v>39</v>
      </c>
      <c r="G2120" t="s">
        <v>21</v>
      </c>
      <c r="H2120" t="s">
        <v>21</v>
      </c>
      <c r="I2120">
        <v>0</v>
      </c>
      <c r="J2120">
        <v>0</v>
      </c>
      <c r="K2120">
        <v>0</v>
      </c>
      <c r="L2120">
        <v>1</v>
      </c>
      <c r="M2120">
        <v>0</v>
      </c>
      <c r="N2120" t="s">
        <v>194</v>
      </c>
      <c r="O2120" t="s">
        <v>213</v>
      </c>
      <c r="P2120" t="s">
        <v>205</v>
      </c>
      <c r="Q2120" t="s">
        <v>171</v>
      </c>
      <c r="R2120" t="s">
        <v>168</v>
      </c>
      <c r="T2120" t="s">
        <v>134</v>
      </c>
      <c r="U2120">
        <v>1</v>
      </c>
      <c r="W2120" t="s">
        <v>134</v>
      </c>
      <c r="X2120">
        <v>1</v>
      </c>
      <c r="Y2120" t="s">
        <v>139</v>
      </c>
      <c r="Z2120" t="s">
        <v>178</v>
      </c>
      <c r="AA2120" t="s">
        <v>143</v>
      </c>
      <c r="AB2120" t="s">
        <v>164</v>
      </c>
      <c r="AC2120" t="s">
        <v>21</v>
      </c>
      <c r="AD2120" t="s">
        <v>21</v>
      </c>
      <c r="AE2120" t="s">
        <v>21</v>
      </c>
      <c r="AF2120" t="s">
        <v>21</v>
      </c>
    </row>
    <row r="2121" spans="1:32">
      <c r="A2121" t="s">
        <v>3141</v>
      </c>
      <c r="B2121" s="37">
        <v>39945</v>
      </c>
      <c r="C2121" s="38">
        <v>39945</v>
      </c>
      <c r="D2121" s="38">
        <v>39944</v>
      </c>
      <c r="E2121" s="38">
        <v>39934</v>
      </c>
      <c r="F2121" s="39">
        <v>40</v>
      </c>
      <c r="G2121" t="s">
        <v>496</v>
      </c>
      <c r="H2121" t="s">
        <v>13</v>
      </c>
      <c r="I2121">
        <v>0</v>
      </c>
      <c r="J2121">
        <v>1</v>
      </c>
      <c r="K2121">
        <v>0</v>
      </c>
      <c r="L2121">
        <v>0</v>
      </c>
      <c r="M2121">
        <v>1</v>
      </c>
      <c r="N2121" t="s">
        <v>194</v>
      </c>
      <c r="O2121" t="s">
        <v>213</v>
      </c>
      <c r="P2121" t="s">
        <v>205</v>
      </c>
      <c r="Q2121" t="s">
        <v>171</v>
      </c>
      <c r="R2121" t="s">
        <v>168</v>
      </c>
      <c r="T2121" t="s">
        <v>134</v>
      </c>
      <c r="U2121">
        <v>1</v>
      </c>
      <c r="W2121" t="s">
        <v>134</v>
      </c>
      <c r="X2121">
        <v>1</v>
      </c>
      <c r="Y2121" t="s">
        <v>139</v>
      </c>
      <c r="Z2121" t="s">
        <v>178</v>
      </c>
      <c r="AA2121" t="s">
        <v>145</v>
      </c>
      <c r="AB2121" t="s">
        <v>164</v>
      </c>
      <c r="AC2121" t="s">
        <v>21</v>
      </c>
      <c r="AD2121" t="s">
        <v>21</v>
      </c>
      <c r="AE2121" t="s">
        <v>21</v>
      </c>
      <c r="AF2121" t="s">
        <v>21</v>
      </c>
    </row>
    <row r="2122" spans="1:32">
      <c r="A2122" t="s">
        <v>3142</v>
      </c>
      <c r="B2122" s="37">
        <v>39945</v>
      </c>
      <c r="C2122" s="38">
        <v>39945</v>
      </c>
      <c r="D2122" s="38">
        <v>39944</v>
      </c>
      <c r="E2122" s="38">
        <v>39934</v>
      </c>
      <c r="F2122" s="39">
        <v>40</v>
      </c>
      <c r="G2122" t="s">
        <v>525</v>
      </c>
      <c r="H2122" t="s">
        <v>17</v>
      </c>
      <c r="I2122">
        <v>0</v>
      </c>
      <c r="J2122">
        <v>0</v>
      </c>
      <c r="K2122">
        <v>1</v>
      </c>
      <c r="L2122">
        <v>0</v>
      </c>
      <c r="M2122">
        <v>0</v>
      </c>
      <c r="N2122" t="s">
        <v>194</v>
      </c>
      <c r="O2122" t="s">
        <v>213</v>
      </c>
      <c r="P2122" t="s">
        <v>205</v>
      </c>
      <c r="Q2122" t="s">
        <v>171</v>
      </c>
      <c r="R2122" t="s">
        <v>168</v>
      </c>
      <c r="T2122" t="s">
        <v>134</v>
      </c>
      <c r="U2122">
        <v>1</v>
      </c>
      <c r="W2122" t="s">
        <v>134</v>
      </c>
      <c r="X2122">
        <v>1</v>
      </c>
      <c r="Y2122" t="s">
        <v>139</v>
      </c>
      <c r="Z2122" t="s">
        <v>178</v>
      </c>
      <c r="AA2122" t="s">
        <v>145</v>
      </c>
      <c r="AB2122" t="s">
        <v>164</v>
      </c>
      <c r="AC2122" t="s">
        <v>21</v>
      </c>
      <c r="AD2122" t="s">
        <v>21</v>
      </c>
      <c r="AE2122" t="s">
        <v>21</v>
      </c>
      <c r="AF2122" t="s">
        <v>21</v>
      </c>
    </row>
    <row r="2123" spans="1:32">
      <c r="A2123" t="s">
        <v>3143</v>
      </c>
      <c r="B2123" s="37">
        <v>39945</v>
      </c>
      <c r="C2123" s="38">
        <v>39945</v>
      </c>
      <c r="D2123" s="38">
        <v>39944</v>
      </c>
      <c r="E2123" s="38">
        <v>39934</v>
      </c>
      <c r="F2123" s="39">
        <v>40</v>
      </c>
      <c r="G2123" t="s">
        <v>525</v>
      </c>
      <c r="H2123" t="s">
        <v>17</v>
      </c>
      <c r="I2123">
        <v>0</v>
      </c>
      <c r="J2123">
        <v>0</v>
      </c>
      <c r="K2123">
        <v>1</v>
      </c>
      <c r="L2123">
        <v>0</v>
      </c>
      <c r="M2123">
        <v>0</v>
      </c>
      <c r="N2123" t="s">
        <v>194</v>
      </c>
      <c r="O2123" t="s">
        <v>213</v>
      </c>
      <c r="P2123" t="s">
        <v>205</v>
      </c>
      <c r="Q2123" t="s">
        <v>171</v>
      </c>
      <c r="R2123" t="s">
        <v>168</v>
      </c>
      <c r="T2123" t="s">
        <v>134</v>
      </c>
      <c r="U2123">
        <v>1</v>
      </c>
      <c r="W2123" t="s">
        <v>134</v>
      </c>
      <c r="X2123">
        <v>1</v>
      </c>
      <c r="Y2123" t="s">
        <v>139</v>
      </c>
      <c r="Z2123" t="s">
        <v>178</v>
      </c>
      <c r="AA2123" t="s">
        <v>147</v>
      </c>
      <c r="AB2123" t="s">
        <v>164</v>
      </c>
      <c r="AC2123" t="s">
        <v>21</v>
      </c>
      <c r="AD2123" t="s">
        <v>21</v>
      </c>
      <c r="AE2123" t="s">
        <v>21</v>
      </c>
      <c r="AF2123" t="s">
        <v>21</v>
      </c>
    </row>
    <row r="2124" spans="1:32">
      <c r="A2124" t="s">
        <v>3144</v>
      </c>
      <c r="B2124" s="37">
        <v>39945</v>
      </c>
      <c r="C2124" s="38">
        <v>39945</v>
      </c>
      <c r="D2124" s="38">
        <v>39944</v>
      </c>
      <c r="E2124" s="38">
        <v>39934</v>
      </c>
      <c r="F2124" s="39">
        <v>40</v>
      </c>
      <c r="G2124" t="s">
        <v>21</v>
      </c>
      <c r="H2124" t="s">
        <v>21</v>
      </c>
      <c r="I2124">
        <v>0</v>
      </c>
      <c r="J2124">
        <v>0</v>
      </c>
      <c r="K2124">
        <v>0</v>
      </c>
      <c r="L2124">
        <v>1</v>
      </c>
      <c r="M2124">
        <v>0</v>
      </c>
      <c r="N2124" t="s">
        <v>194</v>
      </c>
      <c r="O2124" t="s">
        <v>213</v>
      </c>
      <c r="P2124" t="s">
        <v>205</v>
      </c>
      <c r="Q2124" t="s">
        <v>171</v>
      </c>
      <c r="R2124" t="s">
        <v>168</v>
      </c>
      <c r="T2124" t="s">
        <v>134</v>
      </c>
      <c r="U2124">
        <v>1</v>
      </c>
      <c r="W2124" t="s">
        <v>134</v>
      </c>
      <c r="X2124">
        <v>1</v>
      </c>
      <c r="Y2124" t="s">
        <v>139</v>
      </c>
      <c r="Z2124" t="s">
        <v>181</v>
      </c>
      <c r="AA2124" t="s">
        <v>142</v>
      </c>
      <c r="AB2124" t="s">
        <v>164</v>
      </c>
      <c r="AC2124" t="s">
        <v>21</v>
      </c>
      <c r="AD2124" t="s">
        <v>21</v>
      </c>
      <c r="AE2124" t="s">
        <v>21</v>
      </c>
      <c r="AF2124" t="s">
        <v>21</v>
      </c>
    </row>
    <row r="2125" spans="1:32">
      <c r="A2125" t="s">
        <v>3145</v>
      </c>
      <c r="B2125" s="37">
        <v>39947</v>
      </c>
      <c r="C2125" s="38">
        <v>39947</v>
      </c>
      <c r="D2125" s="38">
        <v>39944</v>
      </c>
      <c r="E2125" s="38">
        <v>39934</v>
      </c>
      <c r="F2125" s="39">
        <v>42</v>
      </c>
      <c r="G2125" t="s">
        <v>21</v>
      </c>
      <c r="H2125" t="s">
        <v>21</v>
      </c>
      <c r="I2125">
        <v>0</v>
      </c>
      <c r="J2125">
        <v>0</v>
      </c>
      <c r="K2125">
        <v>0</v>
      </c>
      <c r="L2125">
        <v>1</v>
      </c>
      <c r="M2125">
        <v>0</v>
      </c>
      <c r="N2125" t="s">
        <v>194</v>
      </c>
      <c r="O2125" t="s">
        <v>213</v>
      </c>
      <c r="P2125" t="s">
        <v>205</v>
      </c>
      <c r="Q2125" t="s">
        <v>171</v>
      </c>
      <c r="R2125" t="s">
        <v>168</v>
      </c>
      <c r="T2125" t="s">
        <v>134</v>
      </c>
      <c r="U2125">
        <v>1</v>
      </c>
      <c r="W2125" t="s">
        <v>134</v>
      </c>
      <c r="X2125">
        <v>1</v>
      </c>
      <c r="Y2125" t="s">
        <v>139</v>
      </c>
      <c r="Z2125" t="s">
        <v>179</v>
      </c>
      <c r="AA2125" t="s">
        <v>147</v>
      </c>
      <c r="AB2125" t="s">
        <v>164</v>
      </c>
      <c r="AC2125" t="s">
        <v>21</v>
      </c>
      <c r="AD2125" t="s">
        <v>21</v>
      </c>
      <c r="AE2125" t="s">
        <v>21</v>
      </c>
      <c r="AF2125" t="s">
        <v>21</v>
      </c>
    </row>
    <row r="2126" spans="1:32">
      <c r="A2126" t="s">
        <v>3146</v>
      </c>
      <c r="B2126" s="37">
        <v>39947</v>
      </c>
      <c r="C2126" s="38">
        <v>39947</v>
      </c>
      <c r="D2126" s="38">
        <v>39944</v>
      </c>
      <c r="E2126" s="38">
        <v>39934</v>
      </c>
      <c r="F2126" s="39">
        <v>42</v>
      </c>
      <c r="G2126" t="s">
        <v>21</v>
      </c>
      <c r="H2126" t="s">
        <v>21</v>
      </c>
      <c r="I2126">
        <v>0</v>
      </c>
      <c r="J2126">
        <v>0</v>
      </c>
      <c r="K2126">
        <v>0</v>
      </c>
      <c r="L2126">
        <v>1</v>
      </c>
      <c r="M2126">
        <v>0</v>
      </c>
      <c r="N2126" t="s">
        <v>194</v>
      </c>
      <c r="O2126" t="s">
        <v>213</v>
      </c>
      <c r="P2126" t="s">
        <v>205</v>
      </c>
      <c r="Q2126" t="s">
        <v>171</v>
      </c>
      <c r="R2126" t="s">
        <v>168</v>
      </c>
      <c r="T2126" t="s">
        <v>134</v>
      </c>
      <c r="U2126">
        <v>1</v>
      </c>
      <c r="W2126" t="s">
        <v>134</v>
      </c>
      <c r="X2126">
        <v>1</v>
      </c>
      <c r="Y2126" t="s">
        <v>139</v>
      </c>
      <c r="Z2126" t="s">
        <v>433</v>
      </c>
      <c r="AA2126" t="s">
        <v>148</v>
      </c>
      <c r="AB2126" t="s">
        <v>164</v>
      </c>
      <c r="AC2126" t="s">
        <v>21</v>
      </c>
      <c r="AD2126" t="s">
        <v>21</v>
      </c>
      <c r="AE2126" t="s">
        <v>21</v>
      </c>
      <c r="AF2126" t="s">
        <v>21</v>
      </c>
    </row>
    <row r="2127" spans="1:32">
      <c r="A2127" t="s">
        <v>3147</v>
      </c>
      <c r="B2127" s="37">
        <v>39947</v>
      </c>
      <c r="C2127" s="38">
        <v>39947</v>
      </c>
      <c r="D2127" s="38">
        <v>39944</v>
      </c>
      <c r="E2127" s="38">
        <v>39934</v>
      </c>
      <c r="F2127" s="39">
        <v>42</v>
      </c>
      <c r="G2127" t="s">
        <v>21</v>
      </c>
      <c r="H2127" t="s">
        <v>21</v>
      </c>
      <c r="I2127">
        <v>0</v>
      </c>
      <c r="J2127">
        <v>0</v>
      </c>
      <c r="K2127">
        <v>0</v>
      </c>
      <c r="L2127">
        <v>1</v>
      </c>
      <c r="M2127">
        <v>0</v>
      </c>
      <c r="N2127" t="s">
        <v>194</v>
      </c>
      <c r="O2127" t="s">
        <v>213</v>
      </c>
      <c r="P2127" t="s">
        <v>205</v>
      </c>
      <c r="Q2127" t="s">
        <v>171</v>
      </c>
      <c r="R2127" t="s">
        <v>168</v>
      </c>
      <c r="T2127" t="s">
        <v>134</v>
      </c>
      <c r="U2127">
        <v>1</v>
      </c>
      <c r="W2127" t="s">
        <v>134</v>
      </c>
      <c r="X2127">
        <v>1</v>
      </c>
      <c r="Y2127" t="s">
        <v>139</v>
      </c>
      <c r="Z2127" t="s">
        <v>189</v>
      </c>
      <c r="AA2127" t="s">
        <v>147</v>
      </c>
      <c r="AB2127" t="s">
        <v>164</v>
      </c>
      <c r="AC2127" t="s">
        <v>21</v>
      </c>
      <c r="AD2127" t="s">
        <v>21</v>
      </c>
      <c r="AE2127" t="s">
        <v>21</v>
      </c>
      <c r="AF2127" t="s">
        <v>21</v>
      </c>
    </row>
    <row r="2128" spans="1:32">
      <c r="A2128" t="s">
        <v>3148</v>
      </c>
      <c r="B2128" s="37">
        <v>39947</v>
      </c>
      <c r="C2128" s="38">
        <v>39947</v>
      </c>
      <c r="D2128" s="38">
        <v>39944</v>
      </c>
      <c r="E2128" s="38">
        <v>39934</v>
      </c>
      <c r="F2128" s="39">
        <v>42</v>
      </c>
      <c r="G2128" t="s">
        <v>21</v>
      </c>
      <c r="H2128" t="s">
        <v>21</v>
      </c>
      <c r="I2128">
        <v>0</v>
      </c>
      <c r="J2128">
        <v>0</v>
      </c>
      <c r="K2128">
        <v>0</v>
      </c>
      <c r="L2128">
        <v>1</v>
      </c>
      <c r="M2128">
        <v>0</v>
      </c>
      <c r="N2128" t="s">
        <v>194</v>
      </c>
      <c r="O2128" t="s">
        <v>213</v>
      </c>
      <c r="P2128" t="s">
        <v>205</v>
      </c>
      <c r="Q2128" t="s">
        <v>171</v>
      </c>
      <c r="R2128" t="s">
        <v>168</v>
      </c>
      <c r="T2128" t="s">
        <v>134</v>
      </c>
      <c r="U2128">
        <v>1</v>
      </c>
      <c r="W2128" t="s">
        <v>134</v>
      </c>
      <c r="X2128">
        <v>1</v>
      </c>
      <c r="Y2128" t="s">
        <v>139</v>
      </c>
      <c r="Z2128" t="s">
        <v>184</v>
      </c>
      <c r="AA2128" t="s">
        <v>147</v>
      </c>
      <c r="AB2128" t="s">
        <v>164</v>
      </c>
      <c r="AC2128" t="s">
        <v>21</v>
      </c>
      <c r="AD2128" t="s">
        <v>21</v>
      </c>
      <c r="AE2128" t="s">
        <v>21</v>
      </c>
      <c r="AF2128" t="s">
        <v>21</v>
      </c>
    </row>
    <row r="2129" spans="1:32">
      <c r="A2129" t="s">
        <v>3149</v>
      </c>
      <c r="B2129" s="37">
        <v>39948</v>
      </c>
      <c r="C2129" s="38">
        <v>39948</v>
      </c>
      <c r="D2129" s="38">
        <v>39944</v>
      </c>
      <c r="E2129" s="38">
        <v>39934</v>
      </c>
      <c r="F2129" s="39">
        <v>43</v>
      </c>
      <c r="G2129" t="s">
        <v>21</v>
      </c>
      <c r="H2129" t="s">
        <v>21</v>
      </c>
      <c r="I2129">
        <v>0</v>
      </c>
      <c r="J2129">
        <v>0</v>
      </c>
      <c r="K2129">
        <v>0</v>
      </c>
      <c r="L2129">
        <v>1</v>
      </c>
      <c r="M2129">
        <v>0</v>
      </c>
      <c r="N2129" t="s">
        <v>194</v>
      </c>
      <c r="O2129" t="s">
        <v>213</v>
      </c>
      <c r="P2129" t="s">
        <v>205</v>
      </c>
      <c r="Q2129" t="s">
        <v>171</v>
      </c>
      <c r="R2129" t="s">
        <v>168</v>
      </c>
      <c r="T2129" t="s">
        <v>134</v>
      </c>
      <c r="U2129">
        <v>1</v>
      </c>
      <c r="W2129" t="s">
        <v>134</v>
      </c>
      <c r="X2129">
        <v>1</v>
      </c>
      <c r="Y2129" t="s">
        <v>139</v>
      </c>
      <c r="Z2129" t="s">
        <v>178</v>
      </c>
      <c r="AA2129" t="s">
        <v>145</v>
      </c>
      <c r="AB2129" t="s">
        <v>164</v>
      </c>
      <c r="AC2129" t="s">
        <v>21</v>
      </c>
      <c r="AD2129" t="s">
        <v>21</v>
      </c>
      <c r="AE2129" t="s">
        <v>21</v>
      </c>
      <c r="AF2129" t="s">
        <v>21</v>
      </c>
    </row>
    <row r="2130" spans="1:32">
      <c r="A2130" t="s">
        <v>3150</v>
      </c>
      <c r="B2130" s="37">
        <v>39951</v>
      </c>
      <c r="C2130" s="38">
        <v>39951</v>
      </c>
      <c r="D2130" s="38">
        <v>39951</v>
      </c>
      <c r="E2130" s="38">
        <v>39934</v>
      </c>
      <c r="F2130" s="39">
        <v>46</v>
      </c>
      <c r="G2130" t="s">
        <v>21</v>
      </c>
      <c r="H2130" t="s">
        <v>21</v>
      </c>
      <c r="I2130">
        <v>0</v>
      </c>
      <c r="J2130">
        <v>0</v>
      </c>
      <c r="K2130">
        <v>0</v>
      </c>
      <c r="L2130">
        <v>1</v>
      </c>
      <c r="M2130">
        <v>0</v>
      </c>
      <c r="N2130" t="s">
        <v>194</v>
      </c>
      <c r="O2130" t="s">
        <v>213</v>
      </c>
      <c r="P2130" t="s">
        <v>205</v>
      </c>
      <c r="Q2130" t="s">
        <v>171</v>
      </c>
      <c r="R2130" t="s">
        <v>168</v>
      </c>
      <c r="T2130" t="s">
        <v>134</v>
      </c>
      <c r="U2130">
        <v>1</v>
      </c>
      <c r="W2130" t="s">
        <v>134</v>
      </c>
      <c r="X2130">
        <v>1</v>
      </c>
      <c r="Y2130" t="s">
        <v>139</v>
      </c>
      <c r="Z2130" t="s">
        <v>178</v>
      </c>
      <c r="AA2130" t="s">
        <v>145</v>
      </c>
      <c r="AB2130" t="s">
        <v>164</v>
      </c>
      <c r="AC2130" t="s">
        <v>21</v>
      </c>
      <c r="AD2130" t="s">
        <v>21</v>
      </c>
      <c r="AE2130" t="s">
        <v>21</v>
      </c>
      <c r="AF2130" t="s">
        <v>21</v>
      </c>
    </row>
    <row r="2131" spans="1:32">
      <c r="A2131" t="s">
        <v>3151</v>
      </c>
      <c r="B2131" s="37">
        <v>39953</v>
      </c>
      <c r="C2131" s="38">
        <v>39953</v>
      </c>
      <c r="D2131" s="38">
        <v>39951</v>
      </c>
      <c r="E2131" s="38">
        <v>39934</v>
      </c>
      <c r="F2131" s="39">
        <v>48</v>
      </c>
      <c r="G2131" t="s">
        <v>21</v>
      </c>
      <c r="H2131" t="s">
        <v>21</v>
      </c>
      <c r="I2131">
        <v>0</v>
      </c>
      <c r="J2131">
        <v>0</v>
      </c>
      <c r="K2131">
        <v>0</v>
      </c>
      <c r="L2131">
        <v>1</v>
      </c>
      <c r="M2131">
        <v>0</v>
      </c>
      <c r="N2131" t="s">
        <v>194</v>
      </c>
      <c r="O2131" t="s">
        <v>213</v>
      </c>
      <c r="P2131" t="s">
        <v>205</v>
      </c>
      <c r="Q2131" t="s">
        <v>171</v>
      </c>
      <c r="R2131" t="s">
        <v>168</v>
      </c>
      <c r="T2131" t="s">
        <v>134</v>
      </c>
      <c r="U2131">
        <v>1</v>
      </c>
      <c r="W2131" t="s">
        <v>134</v>
      </c>
      <c r="X2131">
        <v>1</v>
      </c>
      <c r="Y2131" t="s">
        <v>139</v>
      </c>
      <c r="Z2131" t="s">
        <v>181</v>
      </c>
      <c r="AA2131" t="s">
        <v>145</v>
      </c>
      <c r="AB2131" t="s">
        <v>164</v>
      </c>
      <c r="AC2131" t="s">
        <v>21</v>
      </c>
      <c r="AD2131" t="s">
        <v>21</v>
      </c>
      <c r="AE2131" t="s">
        <v>21</v>
      </c>
      <c r="AF2131" t="s">
        <v>21</v>
      </c>
    </row>
    <row r="2132" spans="1:32">
      <c r="A2132" t="s">
        <v>3152</v>
      </c>
      <c r="B2132" s="37">
        <v>39954</v>
      </c>
      <c r="C2132" s="38">
        <v>39954</v>
      </c>
      <c r="D2132" s="38">
        <v>39951</v>
      </c>
      <c r="E2132" s="38">
        <v>39934</v>
      </c>
      <c r="F2132" s="39">
        <v>49</v>
      </c>
      <c r="G2132" t="s">
        <v>496</v>
      </c>
      <c r="H2132" t="s">
        <v>13</v>
      </c>
      <c r="I2132">
        <v>0</v>
      </c>
      <c r="J2132">
        <v>1</v>
      </c>
      <c r="K2132">
        <v>0</v>
      </c>
      <c r="L2132">
        <v>0</v>
      </c>
      <c r="M2132">
        <v>1</v>
      </c>
      <c r="N2132" t="s">
        <v>194</v>
      </c>
      <c r="O2132" t="s">
        <v>213</v>
      </c>
      <c r="P2132" t="s">
        <v>205</v>
      </c>
      <c r="Q2132" t="s">
        <v>171</v>
      </c>
      <c r="R2132" t="s">
        <v>168</v>
      </c>
      <c r="T2132" t="s">
        <v>134</v>
      </c>
      <c r="U2132">
        <v>1</v>
      </c>
      <c r="W2132" t="s">
        <v>134</v>
      </c>
      <c r="X2132">
        <v>1</v>
      </c>
      <c r="Y2132" t="s">
        <v>139</v>
      </c>
      <c r="Z2132" t="s">
        <v>178</v>
      </c>
      <c r="AA2132" t="s">
        <v>145</v>
      </c>
      <c r="AB2132" t="s">
        <v>164</v>
      </c>
      <c r="AC2132" t="s">
        <v>21</v>
      </c>
      <c r="AD2132" t="s">
        <v>21</v>
      </c>
      <c r="AE2132" t="s">
        <v>21</v>
      </c>
      <c r="AF2132" t="s">
        <v>21</v>
      </c>
    </row>
    <row r="2133" spans="1:32">
      <c r="A2133" t="s">
        <v>3153</v>
      </c>
      <c r="B2133" s="37">
        <v>39954</v>
      </c>
      <c r="C2133" s="38">
        <v>39954</v>
      </c>
      <c r="D2133" s="38">
        <v>39951</v>
      </c>
      <c r="E2133" s="38">
        <v>39934</v>
      </c>
      <c r="F2133" s="39">
        <v>49</v>
      </c>
      <c r="G2133" t="s">
        <v>21</v>
      </c>
      <c r="H2133" t="s">
        <v>21</v>
      </c>
      <c r="I2133">
        <v>0</v>
      </c>
      <c r="J2133">
        <v>0</v>
      </c>
      <c r="K2133">
        <v>0</v>
      </c>
      <c r="L2133">
        <v>1</v>
      </c>
      <c r="M2133">
        <v>0</v>
      </c>
      <c r="N2133" t="s">
        <v>194</v>
      </c>
      <c r="O2133" t="s">
        <v>213</v>
      </c>
      <c r="P2133" t="s">
        <v>205</v>
      </c>
      <c r="Q2133" t="s">
        <v>171</v>
      </c>
      <c r="R2133" t="s">
        <v>168</v>
      </c>
      <c r="T2133" t="s">
        <v>134</v>
      </c>
      <c r="U2133">
        <v>1</v>
      </c>
      <c r="W2133" t="s">
        <v>134</v>
      </c>
      <c r="X2133">
        <v>1</v>
      </c>
      <c r="Y2133" t="s">
        <v>139</v>
      </c>
      <c r="Z2133" t="s">
        <v>178</v>
      </c>
      <c r="AA2133" t="s">
        <v>149</v>
      </c>
      <c r="AB2133" t="s">
        <v>164</v>
      </c>
      <c r="AC2133" t="s">
        <v>21</v>
      </c>
      <c r="AD2133" t="s">
        <v>21</v>
      </c>
      <c r="AE2133" t="s">
        <v>21</v>
      </c>
      <c r="AF2133" t="s">
        <v>21</v>
      </c>
    </row>
    <row r="2134" spans="1:32">
      <c r="A2134" t="s">
        <v>3154</v>
      </c>
      <c r="B2134" s="37">
        <v>39954</v>
      </c>
      <c r="C2134" s="38">
        <v>39954</v>
      </c>
      <c r="D2134" s="38">
        <v>39951</v>
      </c>
      <c r="E2134" s="38">
        <v>39934</v>
      </c>
      <c r="F2134" s="39">
        <v>49</v>
      </c>
      <c r="G2134" t="s">
        <v>21</v>
      </c>
      <c r="H2134" t="s">
        <v>21</v>
      </c>
      <c r="I2134">
        <v>0</v>
      </c>
      <c r="J2134">
        <v>0</v>
      </c>
      <c r="K2134">
        <v>0</v>
      </c>
      <c r="L2134">
        <v>1</v>
      </c>
      <c r="M2134">
        <v>0</v>
      </c>
      <c r="N2134" t="s">
        <v>194</v>
      </c>
      <c r="O2134" t="s">
        <v>213</v>
      </c>
      <c r="P2134" t="s">
        <v>205</v>
      </c>
      <c r="Q2134" t="s">
        <v>171</v>
      </c>
      <c r="R2134" t="s">
        <v>168</v>
      </c>
      <c r="T2134" t="s">
        <v>134</v>
      </c>
      <c r="U2134">
        <v>1</v>
      </c>
      <c r="W2134" t="s">
        <v>134</v>
      </c>
      <c r="X2134">
        <v>1</v>
      </c>
      <c r="Y2134" t="s">
        <v>139</v>
      </c>
      <c r="Z2134" t="s">
        <v>178</v>
      </c>
      <c r="AA2134" t="s">
        <v>147</v>
      </c>
      <c r="AB2134" t="s">
        <v>164</v>
      </c>
      <c r="AC2134" t="s">
        <v>21</v>
      </c>
      <c r="AD2134" t="s">
        <v>21</v>
      </c>
      <c r="AE2134" t="s">
        <v>21</v>
      </c>
      <c r="AF2134" t="s">
        <v>21</v>
      </c>
    </row>
    <row r="2135" spans="1:32">
      <c r="A2135" t="s">
        <v>3155</v>
      </c>
      <c r="B2135" s="37">
        <v>39954</v>
      </c>
      <c r="C2135" s="38">
        <v>39954</v>
      </c>
      <c r="D2135" s="38">
        <v>39951</v>
      </c>
      <c r="E2135" s="38">
        <v>39934</v>
      </c>
      <c r="F2135" s="39">
        <v>49</v>
      </c>
      <c r="G2135" t="s">
        <v>21</v>
      </c>
      <c r="H2135" t="s">
        <v>21</v>
      </c>
      <c r="I2135">
        <v>0</v>
      </c>
      <c r="J2135">
        <v>0</v>
      </c>
      <c r="K2135">
        <v>0</v>
      </c>
      <c r="L2135">
        <v>1</v>
      </c>
      <c r="M2135">
        <v>0</v>
      </c>
      <c r="N2135" t="s">
        <v>194</v>
      </c>
      <c r="O2135" t="s">
        <v>213</v>
      </c>
      <c r="P2135" t="s">
        <v>205</v>
      </c>
      <c r="Q2135" t="s">
        <v>171</v>
      </c>
      <c r="R2135" t="s">
        <v>168</v>
      </c>
      <c r="T2135" t="s">
        <v>134</v>
      </c>
      <c r="U2135">
        <v>1</v>
      </c>
      <c r="W2135" t="s">
        <v>134</v>
      </c>
      <c r="X2135">
        <v>1</v>
      </c>
      <c r="Y2135" t="s">
        <v>139</v>
      </c>
      <c r="Z2135" t="s">
        <v>180</v>
      </c>
      <c r="AA2135" t="s">
        <v>142</v>
      </c>
      <c r="AB2135" t="s">
        <v>164</v>
      </c>
      <c r="AC2135" t="s">
        <v>21</v>
      </c>
      <c r="AD2135" t="s">
        <v>21</v>
      </c>
      <c r="AE2135" t="s">
        <v>21</v>
      </c>
      <c r="AF2135" t="s">
        <v>21</v>
      </c>
    </row>
    <row r="2136" spans="1:32">
      <c r="A2136" t="s">
        <v>3156</v>
      </c>
      <c r="B2136" s="37">
        <v>39955</v>
      </c>
      <c r="C2136" s="38">
        <v>39955</v>
      </c>
      <c r="D2136" s="38">
        <v>39951</v>
      </c>
      <c r="E2136" s="38">
        <v>39934</v>
      </c>
      <c r="F2136" s="39">
        <v>50</v>
      </c>
      <c r="G2136" t="s">
        <v>525</v>
      </c>
      <c r="H2136" t="s">
        <v>17</v>
      </c>
      <c r="I2136">
        <v>0</v>
      </c>
      <c r="J2136">
        <v>0</v>
      </c>
      <c r="K2136">
        <v>1</v>
      </c>
      <c r="L2136">
        <v>0</v>
      </c>
      <c r="M2136">
        <v>0</v>
      </c>
      <c r="N2136" t="s">
        <v>194</v>
      </c>
      <c r="O2136" t="s">
        <v>213</v>
      </c>
      <c r="P2136" t="s">
        <v>205</v>
      </c>
      <c r="Q2136" t="s">
        <v>171</v>
      </c>
      <c r="R2136" t="s">
        <v>168</v>
      </c>
      <c r="T2136" t="s">
        <v>134</v>
      </c>
      <c r="U2136">
        <v>1</v>
      </c>
      <c r="W2136" t="s">
        <v>134</v>
      </c>
      <c r="X2136">
        <v>1</v>
      </c>
      <c r="Y2136" t="s">
        <v>139</v>
      </c>
      <c r="Z2136" t="s">
        <v>187</v>
      </c>
      <c r="AA2136" t="s">
        <v>144</v>
      </c>
      <c r="AB2136" t="s">
        <v>164</v>
      </c>
      <c r="AC2136" t="s">
        <v>21</v>
      </c>
      <c r="AD2136" t="s">
        <v>21</v>
      </c>
      <c r="AE2136" t="s">
        <v>21</v>
      </c>
      <c r="AF2136" t="s">
        <v>21</v>
      </c>
    </row>
    <row r="2137" spans="1:32">
      <c r="A2137" t="s">
        <v>3157</v>
      </c>
      <c r="B2137" s="37">
        <v>39955</v>
      </c>
      <c r="C2137" s="38">
        <v>39955</v>
      </c>
      <c r="D2137" s="38">
        <v>39951</v>
      </c>
      <c r="E2137" s="38">
        <v>39934</v>
      </c>
      <c r="F2137" s="39">
        <v>50</v>
      </c>
      <c r="G2137" t="s">
        <v>21</v>
      </c>
      <c r="H2137" t="s">
        <v>21</v>
      </c>
      <c r="I2137">
        <v>0</v>
      </c>
      <c r="J2137">
        <v>0</v>
      </c>
      <c r="K2137">
        <v>0</v>
      </c>
      <c r="L2137">
        <v>1</v>
      </c>
      <c r="M2137">
        <v>0</v>
      </c>
      <c r="N2137" t="s">
        <v>194</v>
      </c>
      <c r="O2137" t="s">
        <v>213</v>
      </c>
      <c r="P2137" t="s">
        <v>205</v>
      </c>
      <c r="Q2137" t="s">
        <v>171</v>
      </c>
      <c r="R2137" t="s">
        <v>168</v>
      </c>
      <c r="T2137" t="s">
        <v>134</v>
      </c>
      <c r="U2137">
        <v>1</v>
      </c>
      <c r="W2137" t="s">
        <v>134</v>
      </c>
      <c r="X2137">
        <v>1</v>
      </c>
      <c r="Y2137" t="s">
        <v>139</v>
      </c>
      <c r="Z2137" t="s">
        <v>180</v>
      </c>
      <c r="AA2137" t="s">
        <v>144</v>
      </c>
      <c r="AB2137" t="s">
        <v>164</v>
      </c>
      <c r="AC2137" t="s">
        <v>21</v>
      </c>
      <c r="AD2137" t="s">
        <v>21</v>
      </c>
      <c r="AE2137" t="s">
        <v>21</v>
      </c>
      <c r="AF2137" t="s">
        <v>21</v>
      </c>
    </row>
    <row r="2138" spans="1:32">
      <c r="A2138" t="s">
        <v>3158</v>
      </c>
      <c r="B2138" s="37">
        <v>39955</v>
      </c>
      <c r="C2138" s="38">
        <v>39955</v>
      </c>
      <c r="D2138" s="38">
        <v>39951</v>
      </c>
      <c r="E2138" s="38">
        <v>39934</v>
      </c>
      <c r="F2138" s="39">
        <v>50</v>
      </c>
      <c r="G2138" t="s">
        <v>21</v>
      </c>
      <c r="H2138" t="s">
        <v>21</v>
      </c>
      <c r="I2138">
        <v>0</v>
      </c>
      <c r="J2138">
        <v>0</v>
      </c>
      <c r="K2138">
        <v>0</v>
      </c>
      <c r="L2138">
        <v>1</v>
      </c>
      <c r="M2138">
        <v>0</v>
      </c>
      <c r="N2138" t="s">
        <v>194</v>
      </c>
      <c r="O2138" t="s">
        <v>213</v>
      </c>
      <c r="P2138" t="s">
        <v>205</v>
      </c>
      <c r="Q2138" t="s">
        <v>171</v>
      </c>
      <c r="R2138" t="s">
        <v>168</v>
      </c>
      <c r="T2138" t="s">
        <v>134</v>
      </c>
      <c r="U2138">
        <v>1</v>
      </c>
      <c r="W2138" t="s">
        <v>134</v>
      </c>
      <c r="X2138">
        <v>1</v>
      </c>
      <c r="Y2138" t="s">
        <v>139</v>
      </c>
      <c r="Z2138" t="s">
        <v>181</v>
      </c>
      <c r="AA2138" t="s">
        <v>143</v>
      </c>
      <c r="AB2138" t="s">
        <v>164</v>
      </c>
      <c r="AC2138" t="s">
        <v>21</v>
      </c>
      <c r="AD2138" t="s">
        <v>21</v>
      </c>
      <c r="AE2138" t="s">
        <v>21</v>
      </c>
      <c r="AF2138" t="s">
        <v>21</v>
      </c>
    </row>
    <row r="2139" spans="1:32">
      <c r="A2139" t="s">
        <v>3159</v>
      </c>
      <c r="B2139" s="37">
        <v>39960</v>
      </c>
      <c r="C2139" s="38">
        <v>39960</v>
      </c>
      <c r="D2139" s="38">
        <v>39958</v>
      </c>
      <c r="E2139" s="38">
        <v>39934</v>
      </c>
      <c r="F2139" s="39">
        <v>55</v>
      </c>
      <c r="G2139" t="s">
        <v>525</v>
      </c>
      <c r="H2139" t="s">
        <v>17</v>
      </c>
      <c r="I2139">
        <v>0</v>
      </c>
      <c r="J2139">
        <v>0</v>
      </c>
      <c r="K2139">
        <v>1</v>
      </c>
      <c r="L2139">
        <v>0</v>
      </c>
      <c r="M2139">
        <v>0</v>
      </c>
      <c r="N2139" t="s">
        <v>194</v>
      </c>
      <c r="O2139" t="s">
        <v>213</v>
      </c>
      <c r="P2139" t="s">
        <v>205</v>
      </c>
      <c r="Q2139" t="s">
        <v>171</v>
      </c>
      <c r="R2139" t="s">
        <v>168</v>
      </c>
      <c r="T2139" t="s">
        <v>134</v>
      </c>
      <c r="U2139">
        <v>1</v>
      </c>
      <c r="W2139" t="s">
        <v>134</v>
      </c>
      <c r="X2139">
        <v>1</v>
      </c>
      <c r="Y2139" t="s">
        <v>139</v>
      </c>
      <c r="Z2139" t="s">
        <v>181</v>
      </c>
      <c r="AA2139" t="s">
        <v>144</v>
      </c>
      <c r="AB2139" t="s">
        <v>164</v>
      </c>
      <c r="AC2139" t="s">
        <v>21</v>
      </c>
      <c r="AD2139" t="s">
        <v>21</v>
      </c>
      <c r="AE2139" t="s">
        <v>21</v>
      </c>
      <c r="AF2139" t="s">
        <v>21</v>
      </c>
    </row>
    <row r="2140" spans="1:32">
      <c r="A2140" t="s">
        <v>3160</v>
      </c>
      <c r="B2140" s="37">
        <v>39961</v>
      </c>
      <c r="C2140" s="38">
        <v>39961</v>
      </c>
      <c r="D2140" s="38">
        <v>39958</v>
      </c>
      <c r="E2140" s="38">
        <v>39934</v>
      </c>
      <c r="F2140" s="39">
        <v>56</v>
      </c>
      <c r="G2140" t="s">
        <v>21</v>
      </c>
      <c r="H2140" t="s">
        <v>21</v>
      </c>
      <c r="I2140">
        <v>0</v>
      </c>
      <c r="J2140">
        <v>0</v>
      </c>
      <c r="K2140">
        <v>0</v>
      </c>
      <c r="L2140">
        <v>1</v>
      </c>
      <c r="M2140">
        <v>0</v>
      </c>
      <c r="N2140" t="s">
        <v>194</v>
      </c>
      <c r="O2140" t="s">
        <v>213</v>
      </c>
      <c r="P2140" t="s">
        <v>205</v>
      </c>
      <c r="Q2140" t="s">
        <v>171</v>
      </c>
      <c r="R2140" t="s">
        <v>168</v>
      </c>
      <c r="T2140" t="s">
        <v>134</v>
      </c>
      <c r="U2140">
        <v>1</v>
      </c>
      <c r="W2140" t="s">
        <v>134</v>
      </c>
      <c r="X2140">
        <v>1</v>
      </c>
      <c r="Y2140" t="s">
        <v>139</v>
      </c>
      <c r="Z2140" t="s">
        <v>181</v>
      </c>
      <c r="AA2140" t="s">
        <v>144</v>
      </c>
      <c r="AB2140" t="s">
        <v>164</v>
      </c>
      <c r="AC2140" t="s">
        <v>21</v>
      </c>
      <c r="AD2140" t="s">
        <v>21</v>
      </c>
      <c r="AE2140" t="s">
        <v>21</v>
      </c>
      <c r="AF2140" t="s">
        <v>21</v>
      </c>
    </row>
    <row r="2141" spans="1:32">
      <c r="A2141" t="s">
        <v>3161</v>
      </c>
      <c r="B2141" s="37">
        <v>39961</v>
      </c>
      <c r="C2141" s="38">
        <v>39961</v>
      </c>
      <c r="D2141" s="38">
        <v>39958</v>
      </c>
      <c r="E2141" s="38">
        <v>39934</v>
      </c>
      <c r="F2141" s="39">
        <v>56</v>
      </c>
      <c r="G2141" t="s">
        <v>21</v>
      </c>
      <c r="H2141" t="s">
        <v>21</v>
      </c>
      <c r="I2141">
        <v>0</v>
      </c>
      <c r="J2141">
        <v>0</v>
      </c>
      <c r="K2141">
        <v>0</v>
      </c>
      <c r="L2141">
        <v>1</v>
      </c>
      <c r="M2141">
        <v>0</v>
      </c>
      <c r="N2141" t="s">
        <v>194</v>
      </c>
      <c r="O2141" t="s">
        <v>213</v>
      </c>
      <c r="P2141" t="s">
        <v>205</v>
      </c>
      <c r="Q2141" t="s">
        <v>171</v>
      </c>
      <c r="R2141" t="s">
        <v>168</v>
      </c>
      <c r="T2141" t="s">
        <v>134</v>
      </c>
      <c r="U2141">
        <v>1</v>
      </c>
      <c r="W2141" t="s">
        <v>134</v>
      </c>
      <c r="X2141">
        <v>1</v>
      </c>
      <c r="Y2141" t="s">
        <v>139</v>
      </c>
      <c r="Z2141" t="s">
        <v>180</v>
      </c>
      <c r="AA2141" t="s">
        <v>146</v>
      </c>
      <c r="AB2141" t="s">
        <v>164</v>
      </c>
      <c r="AC2141" t="s">
        <v>21</v>
      </c>
      <c r="AD2141" t="s">
        <v>21</v>
      </c>
      <c r="AE2141" t="s">
        <v>21</v>
      </c>
      <c r="AF2141" t="s">
        <v>21</v>
      </c>
    </row>
    <row r="2142" spans="1:32">
      <c r="A2142" t="s">
        <v>3162</v>
      </c>
      <c r="B2142" s="37">
        <v>39961</v>
      </c>
      <c r="C2142" s="38">
        <v>39961</v>
      </c>
      <c r="D2142" s="38">
        <v>39958</v>
      </c>
      <c r="E2142" s="38">
        <v>39934</v>
      </c>
      <c r="F2142" s="39">
        <v>56</v>
      </c>
      <c r="G2142" t="s">
        <v>21</v>
      </c>
      <c r="H2142" t="s">
        <v>21</v>
      </c>
      <c r="I2142">
        <v>0</v>
      </c>
      <c r="J2142">
        <v>0</v>
      </c>
      <c r="K2142">
        <v>0</v>
      </c>
      <c r="L2142">
        <v>1</v>
      </c>
      <c r="M2142">
        <v>0</v>
      </c>
      <c r="N2142" t="s">
        <v>194</v>
      </c>
      <c r="O2142" t="s">
        <v>213</v>
      </c>
      <c r="P2142" t="s">
        <v>205</v>
      </c>
      <c r="Q2142" t="s">
        <v>171</v>
      </c>
      <c r="R2142" t="s">
        <v>168</v>
      </c>
      <c r="T2142" t="s">
        <v>134</v>
      </c>
      <c r="U2142">
        <v>1</v>
      </c>
      <c r="W2142" t="s">
        <v>134</v>
      </c>
      <c r="X2142">
        <v>1</v>
      </c>
      <c r="Y2142" t="s">
        <v>139</v>
      </c>
      <c r="Z2142" t="s">
        <v>179</v>
      </c>
      <c r="AA2142" t="s">
        <v>142</v>
      </c>
      <c r="AB2142" t="s">
        <v>164</v>
      </c>
      <c r="AC2142" t="s">
        <v>21</v>
      </c>
      <c r="AD2142" t="s">
        <v>21</v>
      </c>
      <c r="AE2142" t="s">
        <v>21</v>
      </c>
      <c r="AF2142" t="s">
        <v>21</v>
      </c>
    </row>
    <row r="2143" spans="1:32">
      <c r="A2143" t="s">
        <v>3163</v>
      </c>
      <c r="B2143" s="37">
        <v>39963</v>
      </c>
      <c r="C2143" s="38">
        <v>39963</v>
      </c>
      <c r="D2143" s="38">
        <v>39958</v>
      </c>
      <c r="E2143" s="38">
        <v>39934</v>
      </c>
      <c r="F2143" s="39">
        <v>58</v>
      </c>
      <c r="G2143" t="s">
        <v>380</v>
      </c>
      <c r="H2143" t="s">
        <v>17</v>
      </c>
      <c r="I2143">
        <v>0</v>
      </c>
      <c r="J2143">
        <v>0</v>
      </c>
      <c r="K2143">
        <v>1</v>
      </c>
      <c r="L2143">
        <v>0</v>
      </c>
      <c r="M2143">
        <v>0</v>
      </c>
      <c r="N2143" t="s">
        <v>194</v>
      </c>
      <c r="O2143" t="s">
        <v>213</v>
      </c>
      <c r="P2143" t="s">
        <v>205</v>
      </c>
      <c r="Q2143" t="s">
        <v>171</v>
      </c>
      <c r="R2143" t="s">
        <v>168</v>
      </c>
      <c r="T2143" t="s">
        <v>134</v>
      </c>
      <c r="U2143">
        <v>1</v>
      </c>
      <c r="W2143" t="s">
        <v>134</v>
      </c>
      <c r="X2143">
        <v>1</v>
      </c>
      <c r="Y2143" t="s">
        <v>139</v>
      </c>
      <c r="Z2143" t="s">
        <v>509</v>
      </c>
      <c r="AA2143" t="s">
        <v>144</v>
      </c>
      <c r="AB2143" t="s">
        <v>164</v>
      </c>
      <c r="AC2143" t="s">
        <v>21</v>
      </c>
      <c r="AD2143" t="s">
        <v>21</v>
      </c>
      <c r="AE2143" t="s">
        <v>21</v>
      </c>
      <c r="AF2143" t="s">
        <v>21</v>
      </c>
    </row>
    <row r="2144" spans="1:32">
      <c r="A2144" t="s">
        <v>3164</v>
      </c>
      <c r="B2144" s="37">
        <v>39964</v>
      </c>
      <c r="C2144" s="38">
        <v>39964</v>
      </c>
      <c r="D2144" s="38">
        <v>39958</v>
      </c>
      <c r="E2144" s="38">
        <v>39934</v>
      </c>
      <c r="F2144" s="39">
        <v>59</v>
      </c>
      <c r="G2144" t="s">
        <v>21</v>
      </c>
      <c r="H2144" t="s">
        <v>21</v>
      </c>
      <c r="I2144">
        <v>0</v>
      </c>
      <c r="J2144">
        <v>0</v>
      </c>
      <c r="K2144">
        <v>0</v>
      </c>
      <c r="L2144">
        <v>1</v>
      </c>
      <c r="M2144">
        <v>0</v>
      </c>
      <c r="N2144" t="s">
        <v>194</v>
      </c>
      <c r="O2144" t="s">
        <v>213</v>
      </c>
      <c r="P2144" t="s">
        <v>205</v>
      </c>
      <c r="Q2144" t="s">
        <v>171</v>
      </c>
      <c r="R2144" t="s">
        <v>168</v>
      </c>
      <c r="T2144" t="s">
        <v>134</v>
      </c>
      <c r="U2144">
        <v>1</v>
      </c>
      <c r="W2144" t="s">
        <v>134</v>
      </c>
      <c r="X2144">
        <v>1</v>
      </c>
      <c r="Y2144" t="s">
        <v>139</v>
      </c>
      <c r="Z2144" t="s">
        <v>189</v>
      </c>
      <c r="AA2144" t="s">
        <v>145</v>
      </c>
      <c r="AB2144" t="s">
        <v>164</v>
      </c>
      <c r="AC2144" t="s">
        <v>21</v>
      </c>
      <c r="AD2144" t="s">
        <v>21</v>
      </c>
      <c r="AE2144" t="s">
        <v>21</v>
      </c>
      <c r="AF2144" t="s">
        <v>21</v>
      </c>
    </row>
    <row r="2145" spans="1:32">
      <c r="A2145" t="s">
        <v>3165</v>
      </c>
      <c r="B2145" s="37">
        <v>39965</v>
      </c>
      <c r="C2145" s="38">
        <v>39965</v>
      </c>
      <c r="D2145" s="38">
        <v>39965</v>
      </c>
      <c r="E2145" s="38">
        <v>39965</v>
      </c>
      <c r="F2145" s="39">
        <v>60</v>
      </c>
      <c r="G2145" t="s">
        <v>9</v>
      </c>
      <c r="H2145" t="s">
        <v>9</v>
      </c>
      <c r="I2145">
        <v>1</v>
      </c>
      <c r="J2145">
        <v>0</v>
      </c>
      <c r="K2145">
        <v>0</v>
      </c>
      <c r="L2145">
        <v>0</v>
      </c>
      <c r="M2145">
        <v>1</v>
      </c>
      <c r="N2145" t="s">
        <v>194</v>
      </c>
      <c r="O2145" t="s">
        <v>213</v>
      </c>
      <c r="P2145" t="s">
        <v>205</v>
      </c>
      <c r="Q2145" t="s">
        <v>171</v>
      </c>
      <c r="R2145" t="s">
        <v>168</v>
      </c>
      <c r="T2145" t="s">
        <v>134</v>
      </c>
      <c r="U2145">
        <v>1</v>
      </c>
      <c r="W2145" t="s">
        <v>134</v>
      </c>
      <c r="X2145">
        <v>1</v>
      </c>
      <c r="Y2145" t="s">
        <v>139</v>
      </c>
      <c r="Z2145" t="s">
        <v>181</v>
      </c>
      <c r="AA2145" t="s">
        <v>142</v>
      </c>
      <c r="AB2145" t="s">
        <v>164</v>
      </c>
      <c r="AC2145" t="s">
        <v>21</v>
      </c>
      <c r="AD2145" t="s">
        <v>21</v>
      </c>
      <c r="AE2145" t="s">
        <v>21</v>
      </c>
      <c r="AF2145" t="s">
        <v>21</v>
      </c>
    </row>
    <row r="2146" spans="1:32">
      <c r="A2146" t="s">
        <v>3166</v>
      </c>
      <c r="B2146" s="37">
        <v>39965</v>
      </c>
      <c r="C2146" s="38">
        <v>39965</v>
      </c>
      <c r="D2146" s="38">
        <v>39965</v>
      </c>
      <c r="E2146" s="38">
        <v>39965</v>
      </c>
      <c r="F2146" s="39">
        <v>60</v>
      </c>
      <c r="G2146" t="s">
        <v>21</v>
      </c>
      <c r="H2146" t="s">
        <v>21</v>
      </c>
      <c r="I2146">
        <v>0</v>
      </c>
      <c r="J2146">
        <v>0</v>
      </c>
      <c r="K2146">
        <v>0</v>
      </c>
      <c r="L2146">
        <v>1</v>
      </c>
      <c r="M2146">
        <v>0</v>
      </c>
      <c r="N2146" t="s">
        <v>194</v>
      </c>
      <c r="O2146" t="s">
        <v>213</v>
      </c>
      <c r="P2146" t="s">
        <v>205</v>
      </c>
      <c r="Q2146" t="s">
        <v>171</v>
      </c>
      <c r="R2146" t="s">
        <v>168</v>
      </c>
      <c r="T2146" t="s">
        <v>134</v>
      </c>
      <c r="U2146">
        <v>1</v>
      </c>
      <c r="W2146" t="s">
        <v>134</v>
      </c>
      <c r="X2146">
        <v>1</v>
      </c>
      <c r="Y2146" t="s">
        <v>139</v>
      </c>
      <c r="Z2146" t="s">
        <v>180</v>
      </c>
      <c r="AA2146" t="s">
        <v>145</v>
      </c>
      <c r="AB2146" t="s">
        <v>164</v>
      </c>
      <c r="AC2146" t="s">
        <v>21</v>
      </c>
      <c r="AD2146" t="s">
        <v>21</v>
      </c>
      <c r="AE2146" t="s">
        <v>21</v>
      </c>
      <c r="AF2146" t="s">
        <v>21</v>
      </c>
    </row>
    <row r="2147" spans="1:32">
      <c r="A2147" t="s">
        <v>3167</v>
      </c>
      <c r="B2147" s="37">
        <v>39965</v>
      </c>
      <c r="C2147" s="38">
        <v>39965</v>
      </c>
      <c r="D2147" s="38">
        <v>39965</v>
      </c>
      <c r="E2147" s="38">
        <v>39965</v>
      </c>
      <c r="F2147" s="39">
        <v>60</v>
      </c>
      <c r="G2147" t="s">
        <v>383</v>
      </c>
      <c r="H2147" t="s">
        <v>17</v>
      </c>
      <c r="I2147">
        <v>0</v>
      </c>
      <c r="J2147">
        <v>0</v>
      </c>
      <c r="K2147">
        <v>1</v>
      </c>
      <c r="L2147">
        <v>0</v>
      </c>
      <c r="M2147">
        <v>0</v>
      </c>
      <c r="N2147" t="s">
        <v>194</v>
      </c>
      <c r="O2147" t="s">
        <v>213</v>
      </c>
      <c r="P2147" t="s">
        <v>205</v>
      </c>
      <c r="Q2147" t="s">
        <v>171</v>
      </c>
      <c r="R2147" t="s">
        <v>168</v>
      </c>
      <c r="T2147" t="s">
        <v>134</v>
      </c>
      <c r="U2147">
        <v>1</v>
      </c>
      <c r="W2147" t="s">
        <v>134</v>
      </c>
      <c r="X2147">
        <v>1</v>
      </c>
      <c r="Y2147" t="s">
        <v>139</v>
      </c>
      <c r="Z2147" t="s">
        <v>591</v>
      </c>
      <c r="AA2147" t="s">
        <v>145</v>
      </c>
      <c r="AB2147" t="s">
        <v>164</v>
      </c>
      <c r="AC2147" t="s">
        <v>21</v>
      </c>
      <c r="AD2147" t="s">
        <v>21</v>
      </c>
      <c r="AE2147" t="s">
        <v>21</v>
      </c>
      <c r="AF2147" t="s">
        <v>21</v>
      </c>
    </row>
    <row r="2148" spans="1:32">
      <c r="A2148" t="s">
        <v>3168</v>
      </c>
      <c r="B2148" s="37">
        <v>39965</v>
      </c>
      <c r="C2148" s="38">
        <v>39965</v>
      </c>
      <c r="D2148" s="38">
        <v>39965</v>
      </c>
      <c r="E2148" s="38">
        <v>39965</v>
      </c>
      <c r="F2148" s="39">
        <v>60</v>
      </c>
      <c r="G2148" t="s">
        <v>21</v>
      </c>
      <c r="H2148" t="s">
        <v>21</v>
      </c>
      <c r="I2148">
        <v>0</v>
      </c>
      <c r="J2148">
        <v>0</v>
      </c>
      <c r="K2148">
        <v>0</v>
      </c>
      <c r="L2148">
        <v>1</v>
      </c>
      <c r="M2148">
        <v>0</v>
      </c>
      <c r="N2148" t="s">
        <v>194</v>
      </c>
      <c r="O2148" t="s">
        <v>213</v>
      </c>
      <c r="P2148" t="s">
        <v>205</v>
      </c>
      <c r="Q2148" t="s">
        <v>171</v>
      </c>
      <c r="R2148" t="s">
        <v>168</v>
      </c>
      <c r="T2148" t="s">
        <v>134</v>
      </c>
      <c r="U2148">
        <v>1</v>
      </c>
      <c r="W2148" t="s">
        <v>134</v>
      </c>
      <c r="X2148">
        <v>1</v>
      </c>
      <c r="Y2148" t="s">
        <v>139</v>
      </c>
      <c r="Z2148" t="s">
        <v>189</v>
      </c>
      <c r="AA2148" t="s">
        <v>142</v>
      </c>
      <c r="AB2148" t="s">
        <v>164</v>
      </c>
      <c r="AC2148" t="s">
        <v>21</v>
      </c>
      <c r="AD2148" t="s">
        <v>21</v>
      </c>
      <c r="AE2148" t="s">
        <v>21</v>
      </c>
      <c r="AF2148" t="s">
        <v>21</v>
      </c>
    </row>
    <row r="2149" spans="1:32">
      <c r="A2149" t="s">
        <v>3169</v>
      </c>
      <c r="B2149" s="37">
        <v>39966</v>
      </c>
      <c r="C2149" s="38">
        <v>39966</v>
      </c>
      <c r="D2149" s="38">
        <v>39965</v>
      </c>
      <c r="E2149" s="38">
        <v>39965</v>
      </c>
      <c r="F2149" s="39">
        <v>61</v>
      </c>
      <c r="G2149" t="s">
        <v>21</v>
      </c>
      <c r="H2149" t="s">
        <v>21</v>
      </c>
      <c r="I2149">
        <v>0</v>
      </c>
      <c r="J2149">
        <v>0</v>
      </c>
      <c r="K2149">
        <v>0</v>
      </c>
      <c r="L2149">
        <v>1</v>
      </c>
      <c r="M2149">
        <v>0</v>
      </c>
      <c r="N2149" t="s">
        <v>194</v>
      </c>
      <c r="O2149" t="s">
        <v>213</v>
      </c>
      <c r="P2149" t="s">
        <v>205</v>
      </c>
      <c r="Q2149" t="s">
        <v>171</v>
      </c>
      <c r="R2149" t="s">
        <v>168</v>
      </c>
      <c r="T2149" t="s">
        <v>134</v>
      </c>
      <c r="U2149">
        <v>1</v>
      </c>
      <c r="W2149" t="s">
        <v>134</v>
      </c>
      <c r="X2149">
        <v>1</v>
      </c>
      <c r="Y2149" t="s">
        <v>139</v>
      </c>
      <c r="Z2149" t="s">
        <v>187</v>
      </c>
      <c r="AA2149" t="s">
        <v>143</v>
      </c>
      <c r="AB2149" t="s">
        <v>164</v>
      </c>
      <c r="AC2149" t="s">
        <v>21</v>
      </c>
      <c r="AD2149" t="s">
        <v>21</v>
      </c>
      <c r="AE2149" t="s">
        <v>21</v>
      </c>
      <c r="AF2149" t="s">
        <v>21</v>
      </c>
    </row>
    <row r="2150" spans="1:32">
      <c r="A2150" t="s">
        <v>3170</v>
      </c>
      <c r="B2150" s="37">
        <v>39966</v>
      </c>
      <c r="C2150" s="38">
        <v>39966</v>
      </c>
      <c r="D2150" s="38">
        <v>39965</v>
      </c>
      <c r="E2150" s="38">
        <v>39965</v>
      </c>
      <c r="F2150" s="39">
        <v>61</v>
      </c>
      <c r="G2150" t="s">
        <v>21</v>
      </c>
      <c r="H2150" t="s">
        <v>21</v>
      </c>
      <c r="I2150">
        <v>0</v>
      </c>
      <c r="J2150">
        <v>0</v>
      </c>
      <c r="K2150">
        <v>0</v>
      </c>
      <c r="L2150">
        <v>1</v>
      </c>
      <c r="M2150">
        <v>0</v>
      </c>
      <c r="N2150" t="s">
        <v>194</v>
      </c>
      <c r="O2150" t="s">
        <v>213</v>
      </c>
      <c r="P2150" t="s">
        <v>205</v>
      </c>
      <c r="Q2150" t="s">
        <v>171</v>
      </c>
      <c r="R2150" t="s">
        <v>168</v>
      </c>
      <c r="T2150" t="s">
        <v>134</v>
      </c>
      <c r="U2150">
        <v>1</v>
      </c>
      <c r="W2150" t="s">
        <v>134</v>
      </c>
      <c r="X2150">
        <v>1</v>
      </c>
      <c r="Y2150" t="s">
        <v>139</v>
      </c>
      <c r="Z2150" t="s">
        <v>181</v>
      </c>
      <c r="AA2150" t="s">
        <v>148</v>
      </c>
      <c r="AB2150" t="s">
        <v>164</v>
      </c>
      <c r="AC2150" t="s">
        <v>21</v>
      </c>
      <c r="AD2150" t="s">
        <v>21</v>
      </c>
      <c r="AE2150" t="s">
        <v>21</v>
      </c>
      <c r="AF2150" t="s">
        <v>21</v>
      </c>
    </row>
    <row r="2151" spans="1:32">
      <c r="A2151" t="s">
        <v>3171</v>
      </c>
      <c r="B2151" s="37">
        <v>39967</v>
      </c>
      <c r="C2151" s="38">
        <v>39967</v>
      </c>
      <c r="D2151" s="38">
        <v>39965</v>
      </c>
      <c r="E2151" s="38">
        <v>39965</v>
      </c>
      <c r="F2151" s="39">
        <v>62</v>
      </c>
      <c r="G2151" t="s">
        <v>383</v>
      </c>
      <c r="H2151" t="s">
        <v>17</v>
      </c>
      <c r="I2151">
        <v>0</v>
      </c>
      <c r="J2151">
        <v>0</v>
      </c>
      <c r="K2151">
        <v>1</v>
      </c>
      <c r="L2151">
        <v>0</v>
      </c>
      <c r="M2151">
        <v>0</v>
      </c>
      <c r="N2151" t="s">
        <v>194</v>
      </c>
      <c r="O2151" t="s">
        <v>213</v>
      </c>
      <c r="P2151" t="s">
        <v>205</v>
      </c>
      <c r="Q2151" t="s">
        <v>171</v>
      </c>
      <c r="R2151" t="s">
        <v>168</v>
      </c>
      <c r="T2151" t="s">
        <v>134</v>
      </c>
      <c r="U2151">
        <v>1</v>
      </c>
      <c r="W2151" t="s">
        <v>134</v>
      </c>
      <c r="X2151">
        <v>1</v>
      </c>
      <c r="Y2151" t="s">
        <v>139</v>
      </c>
      <c r="Z2151" t="s">
        <v>187</v>
      </c>
      <c r="AA2151" t="s">
        <v>149</v>
      </c>
      <c r="AB2151" t="s">
        <v>164</v>
      </c>
      <c r="AC2151" t="s">
        <v>21</v>
      </c>
      <c r="AD2151" t="s">
        <v>21</v>
      </c>
      <c r="AE2151" t="s">
        <v>21</v>
      </c>
      <c r="AF2151" t="s">
        <v>21</v>
      </c>
    </row>
    <row r="2152" spans="1:32">
      <c r="A2152" t="s">
        <v>3172</v>
      </c>
      <c r="B2152" s="37">
        <v>39967</v>
      </c>
      <c r="C2152" s="38">
        <v>39967</v>
      </c>
      <c r="D2152" s="38">
        <v>39965</v>
      </c>
      <c r="E2152" s="38">
        <v>39965</v>
      </c>
      <c r="F2152" s="39">
        <v>62</v>
      </c>
      <c r="G2152" t="s">
        <v>383</v>
      </c>
      <c r="H2152" t="s">
        <v>17</v>
      </c>
      <c r="I2152">
        <v>0</v>
      </c>
      <c r="J2152">
        <v>0</v>
      </c>
      <c r="K2152">
        <v>1</v>
      </c>
      <c r="L2152">
        <v>0</v>
      </c>
      <c r="M2152">
        <v>0</v>
      </c>
      <c r="N2152" t="s">
        <v>194</v>
      </c>
      <c r="O2152" t="s">
        <v>213</v>
      </c>
      <c r="P2152" t="s">
        <v>205</v>
      </c>
      <c r="Q2152" t="s">
        <v>171</v>
      </c>
      <c r="R2152" t="s">
        <v>168</v>
      </c>
      <c r="T2152" t="s">
        <v>134</v>
      </c>
      <c r="U2152">
        <v>1</v>
      </c>
      <c r="W2152" t="s">
        <v>134</v>
      </c>
      <c r="X2152">
        <v>1</v>
      </c>
      <c r="Y2152" t="s">
        <v>139</v>
      </c>
      <c r="Z2152" t="s">
        <v>178</v>
      </c>
      <c r="AA2152" t="s">
        <v>142</v>
      </c>
      <c r="AB2152" t="s">
        <v>164</v>
      </c>
      <c r="AC2152" t="s">
        <v>21</v>
      </c>
      <c r="AD2152" t="s">
        <v>21</v>
      </c>
      <c r="AE2152" t="s">
        <v>21</v>
      </c>
      <c r="AF2152" t="s">
        <v>21</v>
      </c>
    </row>
    <row r="2153" spans="1:32">
      <c r="A2153" t="s">
        <v>3173</v>
      </c>
      <c r="B2153" s="37">
        <v>39968</v>
      </c>
      <c r="C2153" s="38">
        <v>39968</v>
      </c>
      <c r="D2153" s="38">
        <v>39965</v>
      </c>
      <c r="E2153" s="38">
        <v>39965</v>
      </c>
      <c r="F2153" s="39">
        <v>63</v>
      </c>
      <c r="G2153" t="s">
        <v>9</v>
      </c>
      <c r="H2153" t="s">
        <v>9</v>
      </c>
      <c r="I2153">
        <v>1</v>
      </c>
      <c r="J2153">
        <v>0</v>
      </c>
      <c r="K2153">
        <v>0</v>
      </c>
      <c r="L2153">
        <v>0</v>
      </c>
      <c r="M2153">
        <v>1</v>
      </c>
      <c r="N2153" t="s">
        <v>194</v>
      </c>
      <c r="O2153" t="s">
        <v>213</v>
      </c>
      <c r="P2153" t="s">
        <v>205</v>
      </c>
      <c r="Q2153" t="s">
        <v>171</v>
      </c>
      <c r="R2153" t="s">
        <v>168</v>
      </c>
      <c r="T2153" t="s">
        <v>134</v>
      </c>
      <c r="U2153">
        <v>1</v>
      </c>
      <c r="W2153" t="s">
        <v>134</v>
      </c>
      <c r="X2153">
        <v>1</v>
      </c>
      <c r="Y2153" t="s">
        <v>139</v>
      </c>
      <c r="Z2153" t="s">
        <v>189</v>
      </c>
      <c r="AA2153" t="s">
        <v>144</v>
      </c>
      <c r="AB2153" t="s">
        <v>164</v>
      </c>
      <c r="AC2153" t="s">
        <v>21</v>
      </c>
      <c r="AD2153" t="s">
        <v>21</v>
      </c>
      <c r="AE2153" t="s">
        <v>21</v>
      </c>
      <c r="AF2153" t="s">
        <v>21</v>
      </c>
    </row>
    <row r="2154" spans="1:32">
      <c r="A2154" t="s">
        <v>3174</v>
      </c>
      <c r="B2154" s="37">
        <v>39971</v>
      </c>
      <c r="C2154" s="38">
        <v>39971</v>
      </c>
      <c r="D2154" s="38">
        <v>39965</v>
      </c>
      <c r="E2154" s="38">
        <v>39965</v>
      </c>
      <c r="F2154" s="39">
        <v>66</v>
      </c>
      <c r="G2154" t="s">
        <v>383</v>
      </c>
      <c r="H2154" t="s">
        <v>17</v>
      </c>
      <c r="I2154">
        <v>0</v>
      </c>
      <c r="J2154">
        <v>0</v>
      </c>
      <c r="K2154">
        <v>1</v>
      </c>
      <c r="L2154">
        <v>0</v>
      </c>
      <c r="M2154">
        <v>0</v>
      </c>
      <c r="N2154" t="s">
        <v>194</v>
      </c>
      <c r="O2154" t="s">
        <v>213</v>
      </c>
      <c r="P2154" t="s">
        <v>205</v>
      </c>
      <c r="Q2154" t="s">
        <v>171</v>
      </c>
      <c r="R2154" t="s">
        <v>168</v>
      </c>
      <c r="T2154" t="s">
        <v>134</v>
      </c>
      <c r="U2154">
        <v>1</v>
      </c>
      <c r="W2154" t="s">
        <v>134</v>
      </c>
      <c r="X2154">
        <v>1</v>
      </c>
      <c r="Y2154" t="s">
        <v>139</v>
      </c>
      <c r="Z2154" t="s">
        <v>187</v>
      </c>
      <c r="AA2154" t="s">
        <v>145</v>
      </c>
      <c r="AB2154" t="s">
        <v>164</v>
      </c>
      <c r="AC2154" t="s">
        <v>21</v>
      </c>
      <c r="AD2154" t="s">
        <v>21</v>
      </c>
      <c r="AE2154" t="s">
        <v>21</v>
      </c>
      <c r="AF2154" t="s">
        <v>21</v>
      </c>
    </row>
    <row r="2155" spans="1:32">
      <c r="A2155" t="s">
        <v>3175</v>
      </c>
      <c r="B2155" s="37">
        <v>39972</v>
      </c>
      <c r="C2155" s="38">
        <v>39972</v>
      </c>
      <c r="D2155" s="38">
        <v>39972</v>
      </c>
      <c r="E2155" s="38">
        <v>39965</v>
      </c>
      <c r="F2155" s="39">
        <v>67</v>
      </c>
      <c r="G2155" t="s">
        <v>21</v>
      </c>
      <c r="H2155" t="s">
        <v>21</v>
      </c>
      <c r="I2155">
        <v>0</v>
      </c>
      <c r="J2155">
        <v>0</v>
      </c>
      <c r="K2155">
        <v>0</v>
      </c>
      <c r="L2155">
        <v>1</v>
      </c>
      <c r="M2155">
        <v>0</v>
      </c>
      <c r="N2155" t="s">
        <v>194</v>
      </c>
      <c r="O2155" t="s">
        <v>213</v>
      </c>
      <c r="P2155" t="s">
        <v>205</v>
      </c>
      <c r="Q2155" t="s">
        <v>171</v>
      </c>
      <c r="R2155" t="s">
        <v>168</v>
      </c>
      <c r="T2155" t="s">
        <v>134</v>
      </c>
      <c r="U2155">
        <v>1</v>
      </c>
      <c r="W2155" t="s">
        <v>134</v>
      </c>
      <c r="X2155">
        <v>1</v>
      </c>
      <c r="Y2155" t="s">
        <v>139</v>
      </c>
      <c r="Z2155" t="s">
        <v>180</v>
      </c>
      <c r="AA2155" t="s">
        <v>143</v>
      </c>
      <c r="AB2155" t="s">
        <v>164</v>
      </c>
      <c r="AC2155" t="s">
        <v>21</v>
      </c>
      <c r="AD2155" t="s">
        <v>21</v>
      </c>
      <c r="AE2155" t="s">
        <v>21</v>
      </c>
      <c r="AF2155" t="s">
        <v>21</v>
      </c>
    </row>
    <row r="2156" spans="1:32">
      <c r="A2156" t="s">
        <v>3176</v>
      </c>
      <c r="B2156" s="37">
        <v>39972</v>
      </c>
      <c r="C2156" s="38">
        <v>39972</v>
      </c>
      <c r="D2156" s="38">
        <v>39972</v>
      </c>
      <c r="E2156" s="38">
        <v>39965</v>
      </c>
      <c r="F2156" s="39">
        <v>67</v>
      </c>
      <c r="G2156" t="s">
        <v>21</v>
      </c>
      <c r="H2156" t="s">
        <v>21</v>
      </c>
      <c r="I2156">
        <v>0</v>
      </c>
      <c r="J2156">
        <v>0</v>
      </c>
      <c r="K2156">
        <v>0</v>
      </c>
      <c r="L2156">
        <v>1</v>
      </c>
      <c r="M2156">
        <v>0</v>
      </c>
      <c r="N2156" t="s">
        <v>194</v>
      </c>
      <c r="O2156" t="s">
        <v>213</v>
      </c>
      <c r="P2156" t="s">
        <v>205</v>
      </c>
      <c r="Q2156" t="s">
        <v>171</v>
      </c>
      <c r="R2156" t="s">
        <v>168</v>
      </c>
      <c r="T2156" t="s">
        <v>134</v>
      </c>
      <c r="U2156">
        <v>1</v>
      </c>
      <c r="W2156" t="s">
        <v>134</v>
      </c>
      <c r="X2156">
        <v>1</v>
      </c>
      <c r="Y2156" t="s">
        <v>139</v>
      </c>
      <c r="Z2156" t="s">
        <v>178</v>
      </c>
      <c r="AA2156" t="s">
        <v>144</v>
      </c>
      <c r="AB2156" t="s">
        <v>164</v>
      </c>
      <c r="AC2156" t="s">
        <v>21</v>
      </c>
      <c r="AD2156" t="s">
        <v>21</v>
      </c>
      <c r="AE2156" t="s">
        <v>21</v>
      </c>
      <c r="AF2156" t="s">
        <v>21</v>
      </c>
    </row>
    <row r="2157" spans="1:32">
      <c r="A2157" t="s">
        <v>3177</v>
      </c>
      <c r="B2157" s="37">
        <v>39972</v>
      </c>
      <c r="C2157" s="38">
        <v>39972</v>
      </c>
      <c r="D2157" s="38">
        <v>39972</v>
      </c>
      <c r="E2157" s="38">
        <v>39965</v>
      </c>
      <c r="F2157" s="39">
        <v>67</v>
      </c>
      <c r="G2157" t="s">
        <v>525</v>
      </c>
      <c r="H2157" t="s">
        <v>17</v>
      </c>
      <c r="I2157">
        <v>0</v>
      </c>
      <c r="J2157">
        <v>0</v>
      </c>
      <c r="K2157">
        <v>1</v>
      </c>
      <c r="L2157">
        <v>0</v>
      </c>
      <c r="M2157">
        <v>0</v>
      </c>
      <c r="N2157" t="s">
        <v>194</v>
      </c>
      <c r="O2157" t="s">
        <v>213</v>
      </c>
      <c r="P2157" t="s">
        <v>205</v>
      </c>
      <c r="Q2157" t="s">
        <v>171</v>
      </c>
      <c r="R2157" t="s">
        <v>168</v>
      </c>
      <c r="T2157" t="s">
        <v>134</v>
      </c>
      <c r="U2157">
        <v>1</v>
      </c>
      <c r="W2157" t="s">
        <v>134</v>
      </c>
      <c r="X2157">
        <v>1</v>
      </c>
      <c r="Y2157" t="s">
        <v>139</v>
      </c>
      <c r="Z2157" t="s">
        <v>182</v>
      </c>
      <c r="AA2157" t="s">
        <v>149</v>
      </c>
      <c r="AB2157" t="s">
        <v>164</v>
      </c>
      <c r="AC2157" t="s">
        <v>21</v>
      </c>
      <c r="AD2157" t="s">
        <v>21</v>
      </c>
      <c r="AE2157" t="s">
        <v>21</v>
      </c>
      <c r="AF2157" t="s">
        <v>21</v>
      </c>
    </row>
    <row r="2158" spans="1:32">
      <c r="A2158" t="s">
        <v>3178</v>
      </c>
      <c r="B2158" s="37">
        <v>39972</v>
      </c>
      <c r="C2158" s="38">
        <v>39972</v>
      </c>
      <c r="D2158" s="38">
        <v>39972</v>
      </c>
      <c r="E2158" s="38">
        <v>39965</v>
      </c>
      <c r="F2158" s="39">
        <v>67</v>
      </c>
      <c r="G2158" t="s">
        <v>21</v>
      </c>
      <c r="H2158" t="s">
        <v>21</v>
      </c>
      <c r="I2158">
        <v>0</v>
      </c>
      <c r="J2158">
        <v>0</v>
      </c>
      <c r="K2158">
        <v>0</v>
      </c>
      <c r="L2158">
        <v>1</v>
      </c>
      <c r="M2158">
        <v>0</v>
      </c>
      <c r="N2158" t="s">
        <v>194</v>
      </c>
      <c r="O2158" t="s">
        <v>213</v>
      </c>
      <c r="P2158" t="s">
        <v>205</v>
      </c>
      <c r="Q2158" t="s">
        <v>171</v>
      </c>
      <c r="R2158" t="s">
        <v>168</v>
      </c>
      <c r="T2158" t="s">
        <v>134</v>
      </c>
      <c r="U2158">
        <v>1</v>
      </c>
      <c r="W2158" t="s">
        <v>134</v>
      </c>
      <c r="X2158">
        <v>1</v>
      </c>
      <c r="Y2158" t="s">
        <v>139</v>
      </c>
      <c r="Z2158" t="s">
        <v>180</v>
      </c>
      <c r="AA2158" t="s">
        <v>146</v>
      </c>
      <c r="AB2158" t="s">
        <v>164</v>
      </c>
      <c r="AC2158" t="s">
        <v>21</v>
      </c>
      <c r="AD2158" t="s">
        <v>21</v>
      </c>
      <c r="AE2158" t="s">
        <v>21</v>
      </c>
      <c r="AF2158" t="s">
        <v>21</v>
      </c>
    </row>
    <row r="2159" spans="1:32">
      <c r="A2159" t="s">
        <v>3179</v>
      </c>
      <c r="B2159" s="37">
        <v>39972</v>
      </c>
      <c r="C2159" s="38">
        <v>39972</v>
      </c>
      <c r="D2159" s="38">
        <v>39972</v>
      </c>
      <c r="E2159" s="38">
        <v>39965</v>
      </c>
      <c r="F2159" s="39">
        <v>67</v>
      </c>
      <c r="G2159" t="s">
        <v>21</v>
      </c>
      <c r="H2159" t="s">
        <v>21</v>
      </c>
      <c r="I2159">
        <v>0</v>
      </c>
      <c r="J2159">
        <v>0</v>
      </c>
      <c r="K2159">
        <v>0</v>
      </c>
      <c r="L2159">
        <v>1</v>
      </c>
      <c r="M2159">
        <v>0</v>
      </c>
      <c r="N2159" t="s">
        <v>194</v>
      </c>
      <c r="O2159" t="s">
        <v>213</v>
      </c>
      <c r="P2159" t="s">
        <v>205</v>
      </c>
      <c r="Q2159" t="s">
        <v>171</v>
      </c>
      <c r="R2159" t="s">
        <v>168</v>
      </c>
      <c r="T2159" t="s">
        <v>134</v>
      </c>
      <c r="U2159">
        <v>1</v>
      </c>
      <c r="W2159" t="s">
        <v>134</v>
      </c>
      <c r="X2159">
        <v>1</v>
      </c>
      <c r="Y2159" t="s">
        <v>139</v>
      </c>
      <c r="Z2159" t="s">
        <v>591</v>
      </c>
      <c r="AA2159" t="s">
        <v>143</v>
      </c>
      <c r="AB2159" t="s">
        <v>164</v>
      </c>
      <c r="AC2159" t="s">
        <v>21</v>
      </c>
      <c r="AD2159" t="s">
        <v>21</v>
      </c>
      <c r="AE2159" t="s">
        <v>21</v>
      </c>
      <c r="AF2159" t="s">
        <v>21</v>
      </c>
    </row>
    <row r="2160" spans="1:32">
      <c r="A2160" t="s">
        <v>3180</v>
      </c>
      <c r="B2160" s="37">
        <v>39972</v>
      </c>
      <c r="C2160" s="38">
        <v>39972</v>
      </c>
      <c r="D2160" s="38">
        <v>39972</v>
      </c>
      <c r="E2160" s="38">
        <v>39965</v>
      </c>
      <c r="F2160" s="39">
        <v>67</v>
      </c>
      <c r="G2160" t="s">
        <v>21</v>
      </c>
      <c r="H2160" t="s">
        <v>21</v>
      </c>
      <c r="I2160">
        <v>0</v>
      </c>
      <c r="J2160">
        <v>0</v>
      </c>
      <c r="K2160">
        <v>0</v>
      </c>
      <c r="L2160">
        <v>1</v>
      </c>
      <c r="M2160">
        <v>0</v>
      </c>
      <c r="N2160" t="s">
        <v>194</v>
      </c>
      <c r="O2160" t="s">
        <v>213</v>
      </c>
      <c r="P2160" t="s">
        <v>205</v>
      </c>
      <c r="Q2160" t="s">
        <v>171</v>
      </c>
      <c r="R2160" t="s">
        <v>168</v>
      </c>
      <c r="T2160" t="s">
        <v>134</v>
      </c>
      <c r="U2160">
        <v>1</v>
      </c>
      <c r="W2160" t="s">
        <v>134</v>
      </c>
      <c r="X2160">
        <v>1</v>
      </c>
      <c r="Y2160" t="s">
        <v>139</v>
      </c>
      <c r="Z2160" t="s">
        <v>180</v>
      </c>
      <c r="AA2160" t="s">
        <v>144</v>
      </c>
      <c r="AB2160" t="s">
        <v>164</v>
      </c>
      <c r="AC2160" t="s">
        <v>21</v>
      </c>
      <c r="AD2160" t="s">
        <v>21</v>
      </c>
      <c r="AE2160" t="s">
        <v>21</v>
      </c>
      <c r="AF2160" t="s">
        <v>21</v>
      </c>
    </row>
    <row r="2161" spans="1:32">
      <c r="A2161" t="s">
        <v>3181</v>
      </c>
      <c r="B2161" s="37">
        <v>39973</v>
      </c>
      <c r="C2161" s="38">
        <v>39973</v>
      </c>
      <c r="D2161" s="38">
        <v>39972</v>
      </c>
      <c r="E2161" s="38">
        <v>39965</v>
      </c>
      <c r="F2161" s="39">
        <v>68</v>
      </c>
      <c r="G2161" t="s">
        <v>9</v>
      </c>
      <c r="H2161" t="s">
        <v>9</v>
      </c>
      <c r="I2161">
        <v>1</v>
      </c>
      <c r="J2161">
        <v>0</v>
      </c>
      <c r="K2161">
        <v>0</v>
      </c>
      <c r="L2161">
        <v>0</v>
      </c>
      <c r="M2161">
        <v>1</v>
      </c>
      <c r="N2161" t="s">
        <v>194</v>
      </c>
      <c r="O2161" t="s">
        <v>213</v>
      </c>
      <c r="P2161" t="s">
        <v>205</v>
      </c>
      <c r="Q2161" t="s">
        <v>171</v>
      </c>
      <c r="R2161" t="s">
        <v>168</v>
      </c>
      <c r="T2161" t="s">
        <v>134</v>
      </c>
      <c r="U2161">
        <v>1</v>
      </c>
      <c r="W2161" t="s">
        <v>134</v>
      </c>
      <c r="X2161">
        <v>1</v>
      </c>
      <c r="Y2161" t="s">
        <v>139</v>
      </c>
      <c r="Z2161" t="s">
        <v>188</v>
      </c>
      <c r="AA2161" t="s">
        <v>142</v>
      </c>
      <c r="AB2161" t="s">
        <v>164</v>
      </c>
      <c r="AC2161" t="s">
        <v>21</v>
      </c>
      <c r="AD2161" t="s">
        <v>21</v>
      </c>
      <c r="AE2161" t="s">
        <v>21</v>
      </c>
      <c r="AF2161" t="s">
        <v>21</v>
      </c>
    </row>
    <row r="2162" spans="1:32">
      <c r="A2162" t="s">
        <v>3182</v>
      </c>
      <c r="B2162" s="37">
        <v>39974</v>
      </c>
      <c r="C2162" s="38">
        <v>39974</v>
      </c>
      <c r="D2162" s="38">
        <v>39972</v>
      </c>
      <c r="E2162" s="38">
        <v>39965</v>
      </c>
      <c r="F2162" s="39">
        <v>69</v>
      </c>
      <c r="G2162" t="s">
        <v>21</v>
      </c>
      <c r="H2162" t="s">
        <v>21</v>
      </c>
      <c r="I2162">
        <v>0</v>
      </c>
      <c r="J2162">
        <v>0</v>
      </c>
      <c r="K2162">
        <v>0</v>
      </c>
      <c r="L2162">
        <v>1</v>
      </c>
      <c r="M2162">
        <v>0</v>
      </c>
      <c r="N2162" t="s">
        <v>194</v>
      </c>
      <c r="O2162" t="s">
        <v>213</v>
      </c>
      <c r="P2162" t="s">
        <v>205</v>
      </c>
      <c r="Q2162" t="s">
        <v>171</v>
      </c>
      <c r="R2162" t="s">
        <v>168</v>
      </c>
      <c r="T2162" t="s">
        <v>134</v>
      </c>
      <c r="U2162">
        <v>1</v>
      </c>
      <c r="W2162" t="s">
        <v>134</v>
      </c>
      <c r="X2162">
        <v>1</v>
      </c>
      <c r="Y2162" t="s">
        <v>139</v>
      </c>
      <c r="Z2162" t="s">
        <v>409</v>
      </c>
      <c r="AA2162" t="s">
        <v>148</v>
      </c>
      <c r="AB2162" t="s">
        <v>164</v>
      </c>
      <c r="AC2162" t="s">
        <v>21</v>
      </c>
      <c r="AD2162" t="s">
        <v>21</v>
      </c>
      <c r="AE2162" t="s">
        <v>21</v>
      </c>
      <c r="AF2162" t="s">
        <v>21</v>
      </c>
    </row>
    <row r="2163" spans="1:32">
      <c r="A2163" t="s">
        <v>3183</v>
      </c>
      <c r="B2163" s="37">
        <v>39974</v>
      </c>
      <c r="C2163" s="38">
        <v>39974</v>
      </c>
      <c r="D2163" s="38">
        <v>39972</v>
      </c>
      <c r="E2163" s="38">
        <v>39965</v>
      </c>
      <c r="F2163" s="39">
        <v>69</v>
      </c>
      <c r="G2163" t="s">
        <v>383</v>
      </c>
      <c r="H2163" t="s">
        <v>17</v>
      </c>
      <c r="I2163">
        <v>0</v>
      </c>
      <c r="J2163">
        <v>0</v>
      </c>
      <c r="K2163">
        <v>1</v>
      </c>
      <c r="L2163">
        <v>0</v>
      </c>
      <c r="M2163">
        <v>0</v>
      </c>
      <c r="N2163" t="s">
        <v>194</v>
      </c>
      <c r="O2163" t="s">
        <v>213</v>
      </c>
      <c r="P2163" t="s">
        <v>205</v>
      </c>
      <c r="Q2163" t="s">
        <v>171</v>
      </c>
      <c r="R2163" t="s">
        <v>168</v>
      </c>
      <c r="T2163" t="s">
        <v>134</v>
      </c>
      <c r="U2163">
        <v>1</v>
      </c>
      <c r="W2163" t="s">
        <v>134</v>
      </c>
      <c r="X2163">
        <v>1</v>
      </c>
      <c r="Y2163" t="s">
        <v>139</v>
      </c>
      <c r="Z2163" t="s">
        <v>181</v>
      </c>
      <c r="AA2163" t="s">
        <v>150</v>
      </c>
      <c r="AB2163" t="s">
        <v>164</v>
      </c>
      <c r="AC2163" t="s">
        <v>21</v>
      </c>
      <c r="AD2163" t="s">
        <v>21</v>
      </c>
      <c r="AE2163" t="s">
        <v>21</v>
      </c>
      <c r="AF2163" t="s">
        <v>21</v>
      </c>
    </row>
    <row r="2164" spans="1:32">
      <c r="A2164" t="s">
        <v>3184</v>
      </c>
      <c r="B2164" s="37">
        <v>39974</v>
      </c>
      <c r="C2164" s="38">
        <v>39974</v>
      </c>
      <c r="D2164" s="38">
        <v>39972</v>
      </c>
      <c r="E2164" s="38">
        <v>39965</v>
      </c>
      <c r="F2164" s="39">
        <v>69</v>
      </c>
      <c r="G2164" t="s">
        <v>21</v>
      </c>
      <c r="H2164" t="s">
        <v>21</v>
      </c>
      <c r="I2164">
        <v>0</v>
      </c>
      <c r="J2164">
        <v>0</v>
      </c>
      <c r="K2164">
        <v>0</v>
      </c>
      <c r="L2164">
        <v>1</v>
      </c>
      <c r="M2164">
        <v>0</v>
      </c>
      <c r="N2164" t="s">
        <v>194</v>
      </c>
      <c r="O2164" t="s">
        <v>213</v>
      </c>
      <c r="P2164" t="s">
        <v>205</v>
      </c>
      <c r="Q2164" t="s">
        <v>171</v>
      </c>
      <c r="R2164" t="s">
        <v>168</v>
      </c>
      <c r="T2164" t="s">
        <v>134</v>
      </c>
      <c r="U2164">
        <v>1</v>
      </c>
      <c r="W2164" t="s">
        <v>134</v>
      </c>
      <c r="X2164">
        <v>1</v>
      </c>
      <c r="Y2164" t="s">
        <v>139</v>
      </c>
      <c r="Z2164" t="s">
        <v>184</v>
      </c>
      <c r="AA2164" t="s">
        <v>144</v>
      </c>
      <c r="AB2164" t="s">
        <v>164</v>
      </c>
      <c r="AC2164" t="s">
        <v>21</v>
      </c>
      <c r="AD2164" t="s">
        <v>21</v>
      </c>
      <c r="AE2164" t="s">
        <v>21</v>
      </c>
      <c r="AF2164" t="s">
        <v>21</v>
      </c>
    </row>
    <row r="2165" spans="1:32">
      <c r="A2165" t="s">
        <v>3185</v>
      </c>
      <c r="B2165" s="37">
        <v>39974</v>
      </c>
      <c r="C2165" s="38">
        <v>39974</v>
      </c>
      <c r="D2165" s="38">
        <v>39972</v>
      </c>
      <c r="E2165" s="38">
        <v>39965</v>
      </c>
      <c r="F2165" s="39">
        <v>69</v>
      </c>
      <c r="G2165" t="s">
        <v>21</v>
      </c>
      <c r="H2165" t="s">
        <v>21</v>
      </c>
      <c r="I2165">
        <v>0</v>
      </c>
      <c r="J2165">
        <v>0</v>
      </c>
      <c r="K2165">
        <v>0</v>
      </c>
      <c r="L2165">
        <v>1</v>
      </c>
      <c r="M2165">
        <v>0</v>
      </c>
      <c r="N2165" t="s">
        <v>194</v>
      </c>
      <c r="O2165" t="s">
        <v>213</v>
      </c>
      <c r="P2165" t="s">
        <v>205</v>
      </c>
      <c r="Q2165" t="s">
        <v>171</v>
      </c>
      <c r="R2165" t="s">
        <v>168</v>
      </c>
      <c r="T2165" t="s">
        <v>134</v>
      </c>
      <c r="U2165">
        <v>1</v>
      </c>
      <c r="W2165" t="s">
        <v>134</v>
      </c>
      <c r="X2165">
        <v>1</v>
      </c>
      <c r="Y2165" t="s">
        <v>139</v>
      </c>
      <c r="Z2165" t="s">
        <v>182</v>
      </c>
      <c r="AA2165" t="s">
        <v>143</v>
      </c>
      <c r="AB2165" t="s">
        <v>164</v>
      </c>
      <c r="AC2165" t="s">
        <v>21</v>
      </c>
      <c r="AD2165" t="s">
        <v>21</v>
      </c>
      <c r="AE2165" t="s">
        <v>21</v>
      </c>
      <c r="AF2165" t="s">
        <v>21</v>
      </c>
    </row>
    <row r="2166" spans="1:32">
      <c r="A2166" t="s">
        <v>3186</v>
      </c>
      <c r="B2166" s="37">
        <v>39975</v>
      </c>
      <c r="C2166" s="38">
        <v>39975</v>
      </c>
      <c r="D2166" s="38">
        <v>39972</v>
      </c>
      <c r="E2166" s="38">
        <v>39965</v>
      </c>
      <c r="F2166" s="39">
        <v>70</v>
      </c>
      <c r="G2166" t="s">
        <v>21</v>
      </c>
      <c r="H2166" t="s">
        <v>21</v>
      </c>
      <c r="I2166">
        <v>0</v>
      </c>
      <c r="J2166">
        <v>0</v>
      </c>
      <c r="K2166">
        <v>0</v>
      </c>
      <c r="L2166">
        <v>1</v>
      </c>
      <c r="M2166">
        <v>0</v>
      </c>
      <c r="N2166" t="s">
        <v>194</v>
      </c>
      <c r="O2166" t="s">
        <v>213</v>
      </c>
      <c r="P2166" t="s">
        <v>205</v>
      </c>
      <c r="Q2166" t="s">
        <v>171</v>
      </c>
      <c r="R2166" t="s">
        <v>168</v>
      </c>
      <c r="T2166" t="s">
        <v>134</v>
      </c>
      <c r="U2166">
        <v>1</v>
      </c>
      <c r="W2166" t="s">
        <v>134</v>
      </c>
      <c r="X2166">
        <v>1</v>
      </c>
      <c r="Y2166" t="s">
        <v>139</v>
      </c>
      <c r="Z2166" t="s">
        <v>185</v>
      </c>
      <c r="AA2166" t="s">
        <v>144</v>
      </c>
      <c r="AB2166" t="s">
        <v>164</v>
      </c>
      <c r="AC2166" t="s">
        <v>21</v>
      </c>
      <c r="AD2166" t="s">
        <v>21</v>
      </c>
      <c r="AE2166" t="s">
        <v>21</v>
      </c>
      <c r="AF2166" t="s">
        <v>21</v>
      </c>
    </row>
    <row r="2167" spans="1:32">
      <c r="A2167" t="s">
        <v>3187</v>
      </c>
      <c r="B2167" s="37">
        <v>39976</v>
      </c>
      <c r="C2167" s="38">
        <v>39976</v>
      </c>
      <c r="D2167" s="38">
        <v>39972</v>
      </c>
      <c r="E2167" s="38">
        <v>39965</v>
      </c>
      <c r="F2167" s="39">
        <v>71</v>
      </c>
      <c r="G2167" t="s">
        <v>383</v>
      </c>
      <c r="H2167" t="s">
        <v>17</v>
      </c>
      <c r="I2167">
        <v>0</v>
      </c>
      <c r="J2167">
        <v>0</v>
      </c>
      <c r="K2167">
        <v>1</v>
      </c>
      <c r="L2167">
        <v>0</v>
      </c>
      <c r="M2167">
        <v>0</v>
      </c>
      <c r="N2167" t="s">
        <v>194</v>
      </c>
      <c r="O2167" t="s">
        <v>213</v>
      </c>
      <c r="P2167" t="s">
        <v>205</v>
      </c>
      <c r="Q2167" t="s">
        <v>171</v>
      </c>
      <c r="R2167" t="s">
        <v>168</v>
      </c>
      <c r="T2167" t="s">
        <v>134</v>
      </c>
      <c r="U2167">
        <v>1</v>
      </c>
      <c r="W2167" t="s">
        <v>134</v>
      </c>
      <c r="X2167">
        <v>1</v>
      </c>
      <c r="Y2167" t="s">
        <v>139</v>
      </c>
      <c r="Z2167" t="s">
        <v>189</v>
      </c>
      <c r="AA2167" t="s">
        <v>149</v>
      </c>
      <c r="AB2167" t="s">
        <v>164</v>
      </c>
      <c r="AC2167" t="s">
        <v>21</v>
      </c>
      <c r="AD2167" t="s">
        <v>21</v>
      </c>
      <c r="AE2167" t="s">
        <v>21</v>
      </c>
      <c r="AF2167" t="s">
        <v>21</v>
      </c>
    </row>
    <row r="2168" spans="1:32">
      <c r="A2168" t="s">
        <v>3188</v>
      </c>
      <c r="B2168" s="37">
        <v>39977</v>
      </c>
      <c r="C2168" s="38">
        <v>39977</v>
      </c>
      <c r="D2168" s="38">
        <v>39972</v>
      </c>
      <c r="E2168" s="38">
        <v>39965</v>
      </c>
      <c r="F2168" s="39">
        <v>72</v>
      </c>
      <c r="G2168" t="s">
        <v>21</v>
      </c>
      <c r="H2168" t="s">
        <v>21</v>
      </c>
      <c r="I2168">
        <v>0</v>
      </c>
      <c r="J2168">
        <v>0</v>
      </c>
      <c r="K2168">
        <v>0</v>
      </c>
      <c r="L2168">
        <v>1</v>
      </c>
      <c r="M2168">
        <v>0</v>
      </c>
      <c r="N2168" t="s">
        <v>194</v>
      </c>
      <c r="O2168" t="s">
        <v>213</v>
      </c>
      <c r="P2168" t="s">
        <v>205</v>
      </c>
      <c r="Q2168" t="s">
        <v>171</v>
      </c>
      <c r="R2168" t="s">
        <v>168</v>
      </c>
      <c r="T2168" t="s">
        <v>134</v>
      </c>
      <c r="U2168">
        <v>1</v>
      </c>
      <c r="W2168" t="s">
        <v>134</v>
      </c>
      <c r="X2168">
        <v>1</v>
      </c>
      <c r="Y2168" t="s">
        <v>139</v>
      </c>
      <c r="Z2168" t="s">
        <v>179</v>
      </c>
      <c r="AA2168" t="s">
        <v>148</v>
      </c>
      <c r="AB2168" t="s">
        <v>164</v>
      </c>
      <c r="AC2168" t="s">
        <v>21</v>
      </c>
      <c r="AD2168" t="s">
        <v>21</v>
      </c>
      <c r="AE2168" t="s">
        <v>21</v>
      </c>
      <c r="AF2168" t="s">
        <v>21</v>
      </c>
    </row>
    <row r="2169" spans="1:32">
      <c r="A2169" t="s">
        <v>3189</v>
      </c>
      <c r="B2169" s="37">
        <v>39979</v>
      </c>
      <c r="C2169" s="38">
        <v>39979</v>
      </c>
      <c r="D2169" s="38">
        <v>39979</v>
      </c>
      <c r="E2169" s="38">
        <v>39965</v>
      </c>
      <c r="F2169" s="39">
        <v>74</v>
      </c>
      <c r="G2169" t="s">
        <v>9</v>
      </c>
      <c r="H2169" t="s">
        <v>9</v>
      </c>
      <c r="I2169">
        <v>1</v>
      </c>
      <c r="J2169">
        <v>0</v>
      </c>
      <c r="K2169">
        <v>0</v>
      </c>
      <c r="L2169">
        <v>0</v>
      </c>
      <c r="M2169">
        <v>1</v>
      </c>
      <c r="N2169" t="s">
        <v>194</v>
      </c>
      <c r="O2169" t="s">
        <v>213</v>
      </c>
      <c r="P2169" t="s">
        <v>205</v>
      </c>
      <c r="Q2169" t="s">
        <v>171</v>
      </c>
      <c r="R2169" t="s">
        <v>168</v>
      </c>
      <c r="T2169" t="s">
        <v>134</v>
      </c>
      <c r="U2169">
        <v>1</v>
      </c>
      <c r="W2169" t="s">
        <v>134</v>
      </c>
      <c r="X2169">
        <v>1</v>
      </c>
      <c r="Y2169" t="s">
        <v>139</v>
      </c>
      <c r="Z2169" t="s">
        <v>603</v>
      </c>
      <c r="AA2169" t="s">
        <v>142</v>
      </c>
      <c r="AB2169" t="s">
        <v>164</v>
      </c>
      <c r="AC2169" t="s">
        <v>21</v>
      </c>
      <c r="AD2169" t="s">
        <v>21</v>
      </c>
      <c r="AE2169" t="s">
        <v>21</v>
      </c>
      <c r="AF2169" t="s">
        <v>21</v>
      </c>
    </row>
    <row r="2170" spans="1:32">
      <c r="A2170" t="s">
        <v>3190</v>
      </c>
      <c r="B2170" s="37">
        <v>39979</v>
      </c>
      <c r="C2170" s="38">
        <v>39979</v>
      </c>
      <c r="D2170" s="38">
        <v>39979</v>
      </c>
      <c r="E2170" s="38">
        <v>39965</v>
      </c>
      <c r="F2170" s="39">
        <v>74</v>
      </c>
      <c r="G2170" t="s">
        <v>21</v>
      </c>
      <c r="H2170" t="s">
        <v>21</v>
      </c>
      <c r="I2170">
        <v>0</v>
      </c>
      <c r="J2170">
        <v>0</v>
      </c>
      <c r="K2170">
        <v>0</v>
      </c>
      <c r="L2170">
        <v>1</v>
      </c>
      <c r="M2170">
        <v>0</v>
      </c>
      <c r="N2170" t="s">
        <v>194</v>
      </c>
      <c r="O2170" t="s">
        <v>213</v>
      </c>
      <c r="P2170" t="s">
        <v>205</v>
      </c>
      <c r="Q2170" t="s">
        <v>171</v>
      </c>
      <c r="R2170" t="s">
        <v>168</v>
      </c>
      <c r="T2170" t="s">
        <v>134</v>
      </c>
      <c r="U2170">
        <v>1</v>
      </c>
      <c r="W2170" t="s">
        <v>134</v>
      </c>
      <c r="X2170">
        <v>1</v>
      </c>
      <c r="Y2170" t="s">
        <v>139</v>
      </c>
      <c r="Z2170" t="s">
        <v>391</v>
      </c>
      <c r="AA2170" t="s">
        <v>142</v>
      </c>
      <c r="AB2170" t="s">
        <v>164</v>
      </c>
      <c r="AC2170" t="s">
        <v>21</v>
      </c>
      <c r="AD2170" t="s">
        <v>21</v>
      </c>
      <c r="AE2170" t="s">
        <v>21</v>
      </c>
      <c r="AF2170" t="s">
        <v>21</v>
      </c>
    </row>
    <row r="2171" spans="1:32">
      <c r="A2171" t="s">
        <v>3191</v>
      </c>
      <c r="B2171" s="37">
        <v>39979</v>
      </c>
      <c r="C2171" s="38">
        <v>39979</v>
      </c>
      <c r="D2171" s="38">
        <v>39979</v>
      </c>
      <c r="E2171" s="38">
        <v>39965</v>
      </c>
      <c r="F2171" s="39">
        <v>74</v>
      </c>
      <c r="G2171" t="s">
        <v>21</v>
      </c>
      <c r="H2171" t="s">
        <v>21</v>
      </c>
      <c r="I2171">
        <v>0</v>
      </c>
      <c r="J2171">
        <v>0</v>
      </c>
      <c r="K2171">
        <v>0</v>
      </c>
      <c r="L2171">
        <v>1</v>
      </c>
      <c r="M2171">
        <v>0</v>
      </c>
      <c r="N2171" t="s">
        <v>194</v>
      </c>
      <c r="O2171" t="s">
        <v>213</v>
      </c>
      <c r="P2171" t="s">
        <v>205</v>
      </c>
      <c r="Q2171" t="s">
        <v>171</v>
      </c>
      <c r="R2171" t="s">
        <v>168</v>
      </c>
      <c r="T2171" t="s">
        <v>134</v>
      </c>
      <c r="U2171">
        <v>1</v>
      </c>
      <c r="W2171" t="s">
        <v>134</v>
      </c>
      <c r="X2171">
        <v>1</v>
      </c>
      <c r="Y2171" t="s">
        <v>139</v>
      </c>
      <c r="Z2171" t="s">
        <v>189</v>
      </c>
      <c r="AA2171" t="s">
        <v>146</v>
      </c>
      <c r="AB2171" t="s">
        <v>164</v>
      </c>
      <c r="AC2171" t="s">
        <v>21</v>
      </c>
      <c r="AD2171" t="s">
        <v>21</v>
      </c>
      <c r="AE2171" t="s">
        <v>21</v>
      </c>
      <c r="AF2171" t="s">
        <v>21</v>
      </c>
    </row>
    <row r="2172" spans="1:32">
      <c r="A2172" t="s">
        <v>3192</v>
      </c>
      <c r="B2172" s="37">
        <v>39980</v>
      </c>
      <c r="C2172" s="38">
        <v>39980</v>
      </c>
      <c r="D2172" s="38">
        <v>39979</v>
      </c>
      <c r="E2172" s="38">
        <v>39965</v>
      </c>
      <c r="F2172" s="39">
        <v>75</v>
      </c>
      <c r="G2172" t="s">
        <v>21</v>
      </c>
      <c r="H2172" t="s">
        <v>21</v>
      </c>
      <c r="I2172">
        <v>0</v>
      </c>
      <c r="J2172">
        <v>0</v>
      </c>
      <c r="K2172">
        <v>0</v>
      </c>
      <c r="L2172">
        <v>1</v>
      </c>
      <c r="M2172">
        <v>0</v>
      </c>
      <c r="N2172" t="s">
        <v>194</v>
      </c>
      <c r="O2172" t="s">
        <v>213</v>
      </c>
      <c r="P2172" t="s">
        <v>205</v>
      </c>
      <c r="Q2172" t="s">
        <v>171</v>
      </c>
      <c r="R2172" t="s">
        <v>168</v>
      </c>
      <c r="T2172" t="s">
        <v>134</v>
      </c>
      <c r="U2172">
        <v>1</v>
      </c>
      <c r="W2172" t="s">
        <v>134</v>
      </c>
      <c r="X2172">
        <v>1</v>
      </c>
      <c r="Y2172" t="s">
        <v>139</v>
      </c>
      <c r="Z2172" t="s">
        <v>186</v>
      </c>
      <c r="AA2172" t="s">
        <v>144</v>
      </c>
      <c r="AB2172" t="s">
        <v>164</v>
      </c>
      <c r="AC2172" t="s">
        <v>21</v>
      </c>
      <c r="AD2172" t="s">
        <v>21</v>
      </c>
      <c r="AE2172" t="s">
        <v>21</v>
      </c>
      <c r="AF2172" t="s">
        <v>21</v>
      </c>
    </row>
    <row r="2173" spans="1:32">
      <c r="A2173" t="s">
        <v>3193</v>
      </c>
      <c r="B2173" s="37">
        <v>39981</v>
      </c>
      <c r="C2173" s="38">
        <v>39981</v>
      </c>
      <c r="D2173" s="38">
        <v>39979</v>
      </c>
      <c r="E2173" s="38">
        <v>39965</v>
      </c>
      <c r="F2173" s="39">
        <v>76</v>
      </c>
      <c r="G2173" t="s">
        <v>9</v>
      </c>
      <c r="H2173" t="s">
        <v>9</v>
      </c>
      <c r="I2173">
        <v>1</v>
      </c>
      <c r="J2173">
        <v>0</v>
      </c>
      <c r="K2173">
        <v>0</v>
      </c>
      <c r="L2173">
        <v>0</v>
      </c>
      <c r="M2173">
        <v>1</v>
      </c>
      <c r="N2173" t="s">
        <v>194</v>
      </c>
      <c r="O2173" t="s">
        <v>213</v>
      </c>
      <c r="P2173" t="s">
        <v>205</v>
      </c>
      <c r="Q2173" t="s">
        <v>171</v>
      </c>
      <c r="R2173" t="s">
        <v>168</v>
      </c>
      <c r="T2173" t="s">
        <v>134</v>
      </c>
      <c r="U2173">
        <v>1</v>
      </c>
      <c r="W2173" t="s">
        <v>134</v>
      </c>
      <c r="X2173">
        <v>1</v>
      </c>
      <c r="Y2173" t="s">
        <v>139</v>
      </c>
      <c r="Z2173" t="s">
        <v>184</v>
      </c>
      <c r="AA2173" t="s">
        <v>142</v>
      </c>
      <c r="AB2173" t="s">
        <v>164</v>
      </c>
      <c r="AC2173" t="s">
        <v>21</v>
      </c>
      <c r="AD2173" t="s">
        <v>21</v>
      </c>
      <c r="AE2173" t="s">
        <v>21</v>
      </c>
      <c r="AF2173" t="s">
        <v>21</v>
      </c>
    </row>
    <row r="2174" spans="1:32">
      <c r="A2174" t="s">
        <v>3194</v>
      </c>
      <c r="B2174" s="37">
        <v>39981</v>
      </c>
      <c r="C2174" s="38">
        <v>39981</v>
      </c>
      <c r="D2174" s="38">
        <v>39979</v>
      </c>
      <c r="E2174" s="38">
        <v>39965</v>
      </c>
      <c r="F2174" s="39">
        <v>76</v>
      </c>
      <c r="G2174" t="s">
        <v>21</v>
      </c>
      <c r="H2174" t="s">
        <v>21</v>
      </c>
      <c r="I2174">
        <v>0</v>
      </c>
      <c r="J2174">
        <v>0</v>
      </c>
      <c r="K2174">
        <v>0</v>
      </c>
      <c r="L2174">
        <v>1</v>
      </c>
      <c r="M2174">
        <v>0</v>
      </c>
      <c r="N2174" t="s">
        <v>194</v>
      </c>
      <c r="O2174" t="s">
        <v>213</v>
      </c>
      <c r="P2174" t="s">
        <v>205</v>
      </c>
      <c r="Q2174" t="s">
        <v>171</v>
      </c>
      <c r="R2174" t="s">
        <v>168</v>
      </c>
      <c r="T2174" t="s">
        <v>134</v>
      </c>
      <c r="U2174">
        <v>1</v>
      </c>
      <c r="W2174" t="s">
        <v>134</v>
      </c>
      <c r="X2174">
        <v>1</v>
      </c>
      <c r="Y2174" t="s">
        <v>139</v>
      </c>
      <c r="Z2174" t="s">
        <v>433</v>
      </c>
      <c r="AA2174" t="s">
        <v>143</v>
      </c>
      <c r="AB2174" t="s">
        <v>164</v>
      </c>
      <c r="AC2174" t="s">
        <v>21</v>
      </c>
      <c r="AD2174" t="s">
        <v>21</v>
      </c>
      <c r="AE2174" t="s">
        <v>21</v>
      </c>
      <c r="AF2174" t="s">
        <v>21</v>
      </c>
    </row>
    <row r="2175" spans="1:32">
      <c r="A2175" t="s">
        <v>3195</v>
      </c>
      <c r="B2175" s="37">
        <v>39981</v>
      </c>
      <c r="C2175" s="38">
        <v>39981</v>
      </c>
      <c r="D2175" s="38">
        <v>39979</v>
      </c>
      <c r="E2175" s="38">
        <v>39965</v>
      </c>
      <c r="F2175" s="39">
        <v>76</v>
      </c>
      <c r="G2175" t="s">
        <v>383</v>
      </c>
      <c r="H2175" t="s">
        <v>17</v>
      </c>
      <c r="I2175">
        <v>0</v>
      </c>
      <c r="J2175">
        <v>0</v>
      </c>
      <c r="K2175">
        <v>1</v>
      </c>
      <c r="L2175">
        <v>0</v>
      </c>
      <c r="M2175">
        <v>0</v>
      </c>
      <c r="N2175" t="s">
        <v>194</v>
      </c>
      <c r="O2175" t="s">
        <v>213</v>
      </c>
      <c r="P2175" t="s">
        <v>205</v>
      </c>
      <c r="Q2175" t="s">
        <v>171</v>
      </c>
      <c r="R2175" t="s">
        <v>168</v>
      </c>
      <c r="T2175" t="s">
        <v>134</v>
      </c>
      <c r="U2175">
        <v>1</v>
      </c>
      <c r="W2175" t="s">
        <v>134</v>
      </c>
      <c r="X2175">
        <v>1</v>
      </c>
      <c r="Y2175" t="s">
        <v>139</v>
      </c>
      <c r="Z2175" t="s">
        <v>183</v>
      </c>
      <c r="AA2175" t="s">
        <v>144</v>
      </c>
      <c r="AB2175" t="s">
        <v>164</v>
      </c>
      <c r="AC2175" t="s">
        <v>21</v>
      </c>
      <c r="AD2175" t="s">
        <v>21</v>
      </c>
      <c r="AE2175" t="s">
        <v>21</v>
      </c>
      <c r="AF2175" t="s">
        <v>21</v>
      </c>
    </row>
    <row r="2176" spans="1:32">
      <c r="A2176" t="s">
        <v>3196</v>
      </c>
      <c r="B2176" s="37">
        <v>39982</v>
      </c>
      <c r="C2176" s="38">
        <v>39982</v>
      </c>
      <c r="D2176" s="38">
        <v>39979</v>
      </c>
      <c r="E2176" s="38">
        <v>39965</v>
      </c>
      <c r="F2176" s="39">
        <v>77</v>
      </c>
      <c r="G2176" t="s">
        <v>21</v>
      </c>
      <c r="H2176" t="s">
        <v>21</v>
      </c>
      <c r="I2176">
        <v>0</v>
      </c>
      <c r="J2176">
        <v>0</v>
      </c>
      <c r="K2176">
        <v>0</v>
      </c>
      <c r="L2176">
        <v>1</v>
      </c>
      <c r="M2176">
        <v>0</v>
      </c>
      <c r="N2176" t="s">
        <v>194</v>
      </c>
      <c r="O2176" t="s">
        <v>213</v>
      </c>
      <c r="P2176" t="s">
        <v>205</v>
      </c>
      <c r="Q2176" t="s">
        <v>171</v>
      </c>
      <c r="R2176" t="s">
        <v>168</v>
      </c>
      <c r="T2176" t="s">
        <v>134</v>
      </c>
      <c r="U2176">
        <v>1</v>
      </c>
      <c r="W2176" t="s">
        <v>134</v>
      </c>
      <c r="X2176">
        <v>1</v>
      </c>
      <c r="Y2176" t="s">
        <v>139</v>
      </c>
      <c r="Z2176" t="s">
        <v>180</v>
      </c>
      <c r="AA2176" t="s">
        <v>145</v>
      </c>
      <c r="AB2176" t="s">
        <v>164</v>
      </c>
      <c r="AC2176" t="s">
        <v>21</v>
      </c>
      <c r="AD2176" t="s">
        <v>21</v>
      </c>
      <c r="AE2176" t="s">
        <v>21</v>
      </c>
      <c r="AF2176" t="s">
        <v>21</v>
      </c>
    </row>
    <row r="2177" spans="1:32">
      <c r="A2177" t="s">
        <v>3197</v>
      </c>
      <c r="B2177" s="37">
        <v>39983</v>
      </c>
      <c r="C2177" s="38">
        <v>39983</v>
      </c>
      <c r="D2177" s="38">
        <v>39979</v>
      </c>
      <c r="E2177" s="38">
        <v>39965</v>
      </c>
      <c r="F2177" s="39">
        <v>78</v>
      </c>
      <c r="G2177" t="s">
        <v>9</v>
      </c>
      <c r="H2177" t="s">
        <v>9</v>
      </c>
      <c r="I2177">
        <v>1</v>
      </c>
      <c r="J2177">
        <v>0</v>
      </c>
      <c r="K2177">
        <v>0</v>
      </c>
      <c r="L2177">
        <v>0</v>
      </c>
      <c r="M2177">
        <v>1</v>
      </c>
      <c r="N2177" t="s">
        <v>194</v>
      </c>
      <c r="O2177" t="s">
        <v>213</v>
      </c>
      <c r="P2177" t="s">
        <v>205</v>
      </c>
      <c r="Q2177" t="s">
        <v>171</v>
      </c>
      <c r="R2177" t="s">
        <v>168</v>
      </c>
      <c r="T2177" t="s">
        <v>134</v>
      </c>
      <c r="U2177">
        <v>1</v>
      </c>
      <c r="W2177" t="s">
        <v>134</v>
      </c>
      <c r="X2177">
        <v>1</v>
      </c>
      <c r="Y2177" t="s">
        <v>139</v>
      </c>
      <c r="Z2177" t="s">
        <v>180</v>
      </c>
      <c r="AA2177" t="s">
        <v>144</v>
      </c>
      <c r="AB2177" t="s">
        <v>164</v>
      </c>
      <c r="AC2177" t="s">
        <v>21</v>
      </c>
      <c r="AD2177" t="s">
        <v>21</v>
      </c>
      <c r="AE2177" t="s">
        <v>21</v>
      </c>
      <c r="AF2177" t="s">
        <v>21</v>
      </c>
    </row>
    <row r="2178" spans="1:32">
      <c r="A2178" t="s">
        <v>3198</v>
      </c>
      <c r="B2178" s="37">
        <v>39983</v>
      </c>
      <c r="C2178" s="38">
        <v>39983</v>
      </c>
      <c r="D2178" s="38">
        <v>39979</v>
      </c>
      <c r="E2178" s="38">
        <v>39965</v>
      </c>
      <c r="F2178" s="39">
        <v>78</v>
      </c>
      <c r="G2178" t="s">
        <v>21</v>
      </c>
      <c r="H2178" t="s">
        <v>21</v>
      </c>
      <c r="I2178">
        <v>0</v>
      </c>
      <c r="J2178">
        <v>0</v>
      </c>
      <c r="K2178">
        <v>0</v>
      </c>
      <c r="L2178">
        <v>1</v>
      </c>
      <c r="M2178">
        <v>0</v>
      </c>
      <c r="N2178" t="s">
        <v>194</v>
      </c>
      <c r="O2178" t="s">
        <v>213</v>
      </c>
      <c r="P2178" t="s">
        <v>205</v>
      </c>
      <c r="Q2178" t="s">
        <v>171</v>
      </c>
      <c r="R2178" t="s">
        <v>168</v>
      </c>
      <c r="T2178" t="s">
        <v>134</v>
      </c>
      <c r="U2178">
        <v>1</v>
      </c>
      <c r="W2178" t="s">
        <v>134</v>
      </c>
      <c r="X2178">
        <v>1</v>
      </c>
      <c r="Y2178" t="s">
        <v>139</v>
      </c>
      <c r="Z2178" t="s">
        <v>178</v>
      </c>
      <c r="AA2178" t="s">
        <v>144</v>
      </c>
      <c r="AB2178" t="s">
        <v>164</v>
      </c>
      <c r="AC2178" t="s">
        <v>21</v>
      </c>
      <c r="AD2178" t="s">
        <v>21</v>
      </c>
      <c r="AE2178" t="s">
        <v>21</v>
      </c>
      <c r="AF2178" t="s">
        <v>21</v>
      </c>
    </row>
    <row r="2179" spans="1:32">
      <c r="A2179" t="s">
        <v>3199</v>
      </c>
      <c r="B2179" s="37">
        <v>39984</v>
      </c>
      <c r="C2179" s="38">
        <v>39984</v>
      </c>
      <c r="D2179" s="38">
        <v>39979</v>
      </c>
      <c r="E2179" s="38">
        <v>39965</v>
      </c>
      <c r="F2179" s="39">
        <v>79</v>
      </c>
      <c r="G2179" t="s">
        <v>21</v>
      </c>
      <c r="H2179" t="s">
        <v>21</v>
      </c>
      <c r="I2179">
        <v>0</v>
      </c>
      <c r="J2179">
        <v>0</v>
      </c>
      <c r="K2179">
        <v>0</v>
      </c>
      <c r="L2179">
        <v>1</v>
      </c>
      <c r="M2179">
        <v>0</v>
      </c>
      <c r="N2179" t="s">
        <v>194</v>
      </c>
      <c r="O2179" t="s">
        <v>213</v>
      </c>
      <c r="P2179" t="s">
        <v>205</v>
      </c>
      <c r="Q2179" t="s">
        <v>171</v>
      </c>
      <c r="R2179" t="s">
        <v>168</v>
      </c>
      <c r="T2179" t="s">
        <v>134</v>
      </c>
      <c r="U2179">
        <v>1</v>
      </c>
      <c r="W2179" t="s">
        <v>134</v>
      </c>
      <c r="X2179">
        <v>1</v>
      </c>
      <c r="Y2179" t="s">
        <v>139</v>
      </c>
      <c r="Z2179" t="s">
        <v>189</v>
      </c>
      <c r="AA2179" t="s">
        <v>146</v>
      </c>
      <c r="AB2179" t="s">
        <v>164</v>
      </c>
      <c r="AC2179" t="s">
        <v>21</v>
      </c>
      <c r="AD2179" t="s">
        <v>21</v>
      </c>
      <c r="AE2179" t="s">
        <v>21</v>
      </c>
      <c r="AF2179" t="s">
        <v>21</v>
      </c>
    </row>
    <row r="2180" spans="1:32">
      <c r="A2180" t="s">
        <v>3200</v>
      </c>
      <c r="B2180" s="37">
        <v>39984</v>
      </c>
      <c r="C2180" s="38">
        <v>39984</v>
      </c>
      <c r="D2180" s="38">
        <v>39979</v>
      </c>
      <c r="E2180" s="38">
        <v>39965</v>
      </c>
      <c r="F2180" s="39">
        <v>79</v>
      </c>
      <c r="G2180" t="s">
        <v>21</v>
      </c>
      <c r="H2180" t="s">
        <v>21</v>
      </c>
      <c r="I2180">
        <v>0</v>
      </c>
      <c r="J2180">
        <v>0</v>
      </c>
      <c r="K2180">
        <v>0</v>
      </c>
      <c r="L2180">
        <v>1</v>
      </c>
      <c r="M2180">
        <v>0</v>
      </c>
      <c r="N2180" t="s">
        <v>194</v>
      </c>
      <c r="O2180" t="s">
        <v>213</v>
      </c>
      <c r="P2180" t="s">
        <v>205</v>
      </c>
      <c r="Q2180" t="s">
        <v>171</v>
      </c>
      <c r="R2180" t="s">
        <v>168</v>
      </c>
      <c r="T2180" t="s">
        <v>134</v>
      </c>
      <c r="U2180">
        <v>1</v>
      </c>
      <c r="W2180" t="s">
        <v>134</v>
      </c>
      <c r="X2180">
        <v>1</v>
      </c>
      <c r="Y2180" t="s">
        <v>139</v>
      </c>
      <c r="Z2180" t="s">
        <v>180</v>
      </c>
      <c r="AA2180" t="s">
        <v>151</v>
      </c>
      <c r="AB2180" t="s">
        <v>164</v>
      </c>
      <c r="AC2180" t="s">
        <v>21</v>
      </c>
      <c r="AD2180" t="s">
        <v>21</v>
      </c>
      <c r="AE2180" t="s">
        <v>21</v>
      </c>
      <c r="AF2180" t="s">
        <v>21</v>
      </c>
    </row>
    <row r="2181" spans="1:32">
      <c r="A2181" t="s">
        <v>3201</v>
      </c>
      <c r="B2181" s="37">
        <v>39985</v>
      </c>
      <c r="C2181" s="38">
        <v>39985</v>
      </c>
      <c r="D2181" s="38">
        <v>39979</v>
      </c>
      <c r="E2181" s="38">
        <v>39965</v>
      </c>
      <c r="F2181" s="39">
        <v>80</v>
      </c>
      <c r="G2181" t="s">
        <v>21</v>
      </c>
      <c r="H2181" t="s">
        <v>21</v>
      </c>
      <c r="I2181">
        <v>0</v>
      </c>
      <c r="J2181">
        <v>0</v>
      </c>
      <c r="K2181">
        <v>0</v>
      </c>
      <c r="L2181">
        <v>1</v>
      </c>
      <c r="M2181">
        <v>0</v>
      </c>
      <c r="N2181" t="s">
        <v>194</v>
      </c>
      <c r="O2181" t="s">
        <v>213</v>
      </c>
      <c r="P2181" t="s">
        <v>205</v>
      </c>
      <c r="Q2181" t="s">
        <v>171</v>
      </c>
      <c r="R2181" t="s">
        <v>168</v>
      </c>
      <c r="T2181" t="s">
        <v>134</v>
      </c>
      <c r="U2181">
        <v>1</v>
      </c>
      <c r="W2181" t="s">
        <v>134</v>
      </c>
      <c r="X2181">
        <v>1</v>
      </c>
      <c r="Y2181" t="s">
        <v>139</v>
      </c>
      <c r="Z2181" t="s">
        <v>187</v>
      </c>
      <c r="AA2181" t="s">
        <v>145</v>
      </c>
      <c r="AB2181" t="s">
        <v>164</v>
      </c>
      <c r="AC2181" t="s">
        <v>21</v>
      </c>
      <c r="AD2181" t="s">
        <v>21</v>
      </c>
      <c r="AE2181" t="s">
        <v>21</v>
      </c>
      <c r="AF2181" t="s">
        <v>21</v>
      </c>
    </row>
    <row r="2182" spans="1:32">
      <c r="A2182" t="s">
        <v>3202</v>
      </c>
      <c r="B2182" s="37">
        <v>39986</v>
      </c>
      <c r="C2182" s="38">
        <v>39986</v>
      </c>
      <c r="D2182" s="38">
        <v>39986</v>
      </c>
      <c r="E2182" s="38">
        <v>39965</v>
      </c>
      <c r="F2182" s="39">
        <v>81</v>
      </c>
      <c r="G2182" t="s">
        <v>496</v>
      </c>
      <c r="H2182" t="s">
        <v>13</v>
      </c>
      <c r="I2182">
        <v>0</v>
      </c>
      <c r="J2182">
        <v>1</v>
      </c>
      <c r="K2182">
        <v>0</v>
      </c>
      <c r="L2182">
        <v>0</v>
      </c>
      <c r="M2182">
        <v>1</v>
      </c>
      <c r="N2182" t="s">
        <v>194</v>
      </c>
      <c r="O2182" t="s">
        <v>213</v>
      </c>
      <c r="P2182" t="s">
        <v>205</v>
      </c>
      <c r="Q2182" t="s">
        <v>171</v>
      </c>
      <c r="R2182" t="s">
        <v>168</v>
      </c>
      <c r="T2182" t="s">
        <v>134</v>
      </c>
      <c r="U2182">
        <v>1</v>
      </c>
      <c r="W2182" t="s">
        <v>134</v>
      </c>
      <c r="X2182">
        <v>1</v>
      </c>
      <c r="Y2182" t="s">
        <v>139</v>
      </c>
      <c r="Z2182" t="s">
        <v>188</v>
      </c>
      <c r="AA2182" t="s">
        <v>146</v>
      </c>
      <c r="AB2182" t="s">
        <v>164</v>
      </c>
      <c r="AC2182" t="s">
        <v>21</v>
      </c>
      <c r="AD2182" t="s">
        <v>21</v>
      </c>
      <c r="AE2182" t="s">
        <v>21</v>
      </c>
      <c r="AF2182" t="s">
        <v>21</v>
      </c>
    </row>
    <row r="2183" spans="1:32">
      <c r="A2183" t="s">
        <v>3203</v>
      </c>
      <c r="B2183" s="37">
        <v>39986</v>
      </c>
      <c r="C2183" s="38">
        <v>39986</v>
      </c>
      <c r="D2183" s="38">
        <v>39986</v>
      </c>
      <c r="E2183" s="38">
        <v>39965</v>
      </c>
      <c r="F2183" s="39">
        <v>81</v>
      </c>
      <c r="G2183" t="s">
        <v>496</v>
      </c>
      <c r="H2183" t="s">
        <v>13</v>
      </c>
      <c r="I2183">
        <v>0</v>
      </c>
      <c r="J2183">
        <v>1</v>
      </c>
      <c r="K2183">
        <v>0</v>
      </c>
      <c r="L2183">
        <v>0</v>
      </c>
      <c r="M2183">
        <v>1</v>
      </c>
      <c r="N2183" t="s">
        <v>194</v>
      </c>
      <c r="O2183" t="s">
        <v>213</v>
      </c>
      <c r="P2183" t="s">
        <v>205</v>
      </c>
      <c r="Q2183" t="s">
        <v>171</v>
      </c>
      <c r="R2183" t="s">
        <v>168</v>
      </c>
      <c r="T2183" t="s">
        <v>134</v>
      </c>
      <c r="U2183">
        <v>1</v>
      </c>
      <c r="W2183" t="s">
        <v>134</v>
      </c>
      <c r="X2183">
        <v>1</v>
      </c>
      <c r="Y2183" t="s">
        <v>139</v>
      </c>
      <c r="Z2183" t="s">
        <v>433</v>
      </c>
      <c r="AA2183" t="s">
        <v>142</v>
      </c>
      <c r="AB2183" t="s">
        <v>164</v>
      </c>
      <c r="AC2183" t="s">
        <v>21</v>
      </c>
      <c r="AD2183" t="s">
        <v>21</v>
      </c>
      <c r="AE2183" t="s">
        <v>21</v>
      </c>
      <c r="AF2183" t="s">
        <v>21</v>
      </c>
    </row>
    <row r="2184" spans="1:32">
      <c r="A2184" t="s">
        <v>3204</v>
      </c>
      <c r="B2184" s="37">
        <v>39986</v>
      </c>
      <c r="C2184" s="38">
        <v>39986</v>
      </c>
      <c r="D2184" s="38">
        <v>39986</v>
      </c>
      <c r="E2184" s="38">
        <v>39965</v>
      </c>
      <c r="F2184" s="39">
        <v>81</v>
      </c>
      <c r="G2184" t="s">
        <v>380</v>
      </c>
      <c r="H2184" t="s">
        <v>17</v>
      </c>
      <c r="I2184">
        <v>0</v>
      </c>
      <c r="J2184">
        <v>0</v>
      </c>
      <c r="K2184">
        <v>1</v>
      </c>
      <c r="L2184">
        <v>0</v>
      </c>
      <c r="M2184">
        <v>0</v>
      </c>
      <c r="N2184" t="s">
        <v>194</v>
      </c>
      <c r="O2184" t="s">
        <v>213</v>
      </c>
      <c r="P2184" t="s">
        <v>205</v>
      </c>
      <c r="Q2184" t="s">
        <v>171</v>
      </c>
      <c r="R2184" t="s">
        <v>168</v>
      </c>
      <c r="T2184" t="s">
        <v>134</v>
      </c>
      <c r="U2184">
        <v>1</v>
      </c>
      <c r="W2184" t="s">
        <v>134</v>
      </c>
      <c r="X2184">
        <v>1</v>
      </c>
      <c r="Y2184" t="s">
        <v>139</v>
      </c>
      <c r="Z2184" t="s">
        <v>178</v>
      </c>
      <c r="AA2184" t="s">
        <v>144</v>
      </c>
      <c r="AB2184" t="s">
        <v>164</v>
      </c>
      <c r="AC2184" t="s">
        <v>21</v>
      </c>
      <c r="AD2184" t="s">
        <v>21</v>
      </c>
      <c r="AE2184" t="s">
        <v>21</v>
      </c>
      <c r="AF2184" t="s">
        <v>21</v>
      </c>
    </row>
    <row r="2185" spans="1:32">
      <c r="A2185" t="s">
        <v>3205</v>
      </c>
      <c r="B2185" s="37">
        <v>39987</v>
      </c>
      <c r="C2185" s="38">
        <v>39987</v>
      </c>
      <c r="D2185" s="38">
        <v>39986</v>
      </c>
      <c r="E2185" s="38">
        <v>39965</v>
      </c>
      <c r="F2185" s="39">
        <v>82</v>
      </c>
      <c r="G2185" t="s">
        <v>383</v>
      </c>
      <c r="H2185" t="s">
        <v>17</v>
      </c>
      <c r="I2185">
        <v>0</v>
      </c>
      <c r="J2185">
        <v>0</v>
      </c>
      <c r="K2185">
        <v>1</v>
      </c>
      <c r="L2185">
        <v>0</v>
      </c>
      <c r="M2185">
        <v>0</v>
      </c>
      <c r="N2185" t="s">
        <v>194</v>
      </c>
      <c r="O2185" t="s">
        <v>213</v>
      </c>
      <c r="P2185" t="s">
        <v>205</v>
      </c>
      <c r="Q2185" t="s">
        <v>171</v>
      </c>
      <c r="R2185" t="s">
        <v>168</v>
      </c>
      <c r="T2185" t="s">
        <v>134</v>
      </c>
      <c r="U2185">
        <v>1</v>
      </c>
      <c r="W2185" t="s">
        <v>134</v>
      </c>
      <c r="X2185">
        <v>1</v>
      </c>
      <c r="Y2185" t="s">
        <v>139</v>
      </c>
      <c r="Z2185" t="s">
        <v>178</v>
      </c>
      <c r="AA2185" t="s">
        <v>142</v>
      </c>
      <c r="AB2185" t="s">
        <v>164</v>
      </c>
      <c r="AC2185" t="s">
        <v>21</v>
      </c>
      <c r="AD2185" t="s">
        <v>21</v>
      </c>
      <c r="AE2185" t="s">
        <v>21</v>
      </c>
      <c r="AF2185" t="s">
        <v>21</v>
      </c>
    </row>
    <row r="2186" spans="1:32">
      <c r="A2186" t="s">
        <v>3206</v>
      </c>
      <c r="B2186" s="37">
        <v>39987</v>
      </c>
      <c r="C2186" s="38">
        <v>39987</v>
      </c>
      <c r="D2186" s="38">
        <v>39986</v>
      </c>
      <c r="E2186" s="38">
        <v>39965</v>
      </c>
      <c r="F2186" s="39">
        <v>82</v>
      </c>
      <c r="G2186" t="s">
        <v>383</v>
      </c>
      <c r="H2186" t="s">
        <v>17</v>
      </c>
      <c r="I2186">
        <v>0</v>
      </c>
      <c r="J2186">
        <v>0</v>
      </c>
      <c r="K2186">
        <v>1</v>
      </c>
      <c r="L2186">
        <v>0</v>
      </c>
      <c r="M2186">
        <v>0</v>
      </c>
      <c r="N2186" t="s">
        <v>194</v>
      </c>
      <c r="O2186" t="s">
        <v>213</v>
      </c>
      <c r="P2186" t="s">
        <v>205</v>
      </c>
      <c r="Q2186" t="s">
        <v>171</v>
      </c>
      <c r="R2186" t="s">
        <v>168</v>
      </c>
      <c r="T2186" t="s">
        <v>134</v>
      </c>
      <c r="U2186">
        <v>1</v>
      </c>
      <c r="W2186" t="s">
        <v>134</v>
      </c>
      <c r="X2186">
        <v>1</v>
      </c>
      <c r="Y2186" t="s">
        <v>139</v>
      </c>
      <c r="Z2186" t="s">
        <v>180</v>
      </c>
      <c r="AA2186" t="s">
        <v>144</v>
      </c>
      <c r="AB2186" t="s">
        <v>164</v>
      </c>
      <c r="AC2186" t="s">
        <v>21</v>
      </c>
      <c r="AD2186" t="s">
        <v>21</v>
      </c>
      <c r="AE2186" t="s">
        <v>21</v>
      </c>
      <c r="AF2186" t="s">
        <v>21</v>
      </c>
    </row>
    <row r="2187" spans="1:32">
      <c r="A2187" t="s">
        <v>3207</v>
      </c>
      <c r="B2187" s="37">
        <v>39988</v>
      </c>
      <c r="C2187" s="38">
        <v>39988</v>
      </c>
      <c r="D2187" s="38">
        <v>39986</v>
      </c>
      <c r="E2187" s="38">
        <v>39965</v>
      </c>
      <c r="F2187" s="39">
        <v>83</v>
      </c>
      <c r="G2187" t="s">
        <v>383</v>
      </c>
      <c r="H2187" t="s">
        <v>17</v>
      </c>
      <c r="I2187">
        <v>0</v>
      </c>
      <c r="J2187">
        <v>0</v>
      </c>
      <c r="K2187">
        <v>1</v>
      </c>
      <c r="L2187">
        <v>0</v>
      </c>
      <c r="M2187">
        <v>0</v>
      </c>
      <c r="N2187" t="s">
        <v>194</v>
      </c>
      <c r="O2187" t="s">
        <v>213</v>
      </c>
      <c r="P2187" t="s">
        <v>205</v>
      </c>
      <c r="Q2187" t="s">
        <v>171</v>
      </c>
      <c r="R2187" t="s">
        <v>168</v>
      </c>
      <c r="T2187" t="s">
        <v>134</v>
      </c>
      <c r="U2187">
        <v>1</v>
      </c>
      <c r="W2187" t="s">
        <v>134</v>
      </c>
      <c r="X2187">
        <v>1</v>
      </c>
      <c r="Y2187" t="s">
        <v>139</v>
      </c>
      <c r="Z2187" t="s">
        <v>188</v>
      </c>
      <c r="AA2187" t="s">
        <v>149</v>
      </c>
      <c r="AB2187" t="s">
        <v>164</v>
      </c>
      <c r="AC2187" t="s">
        <v>21</v>
      </c>
      <c r="AD2187" t="s">
        <v>21</v>
      </c>
      <c r="AE2187" t="s">
        <v>21</v>
      </c>
      <c r="AF2187" t="s">
        <v>21</v>
      </c>
    </row>
    <row r="2188" spans="1:32">
      <c r="A2188" t="s">
        <v>3208</v>
      </c>
      <c r="B2188" s="37">
        <v>39988</v>
      </c>
      <c r="C2188" s="38">
        <v>39988</v>
      </c>
      <c r="D2188" s="38">
        <v>39986</v>
      </c>
      <c r="E2188" s="38">
        <v>39965</v>
      </c>
      <c r="F2188" s="39">
        <v>83</v>
      </c>
      <c r="G2188" t="s">
        <v>380</v>
      </c>
      <c r="H2188" t="s">
        <v>17</v>
      </c>
      <c r="I2188">
        <v>0</v>
      </c>
      <c r="J2188">
        <v>0</v>
      </c>
      <c r="K2188">
        <v>1</v>
      </c>
      <c r="L2188">
        <v>0</v>
      </c>
      <c r="M2188">
        <v>0</v>
      </c>
      <c r="N2188" t="s">
        <v>194</v>
      </c>
      <c r="O2188" t="s">
        <v>213</v>
      </c>
      <c r="P2188" t="s">
        <v>205</v>
      </c>
      <c r="Q2188" t="s">
        <v>171</v>
      </c>
      <c r="R2188" t="s">
        <v>168</v>
      </c>
      <c r="T2188" t="s">
        <v>134</v>
      </c>
      <c r="U2188">
        <v>1</v>
      </c>
      <c r="W2188" t="s">
        <v>134</v>
      </c>
      <c r="X2188">
        <v>1</v>
      </c>
      <c r="Y2188" t="s">
        <v>139</v>
      </c>
      <c r="Z2188" t="s">
        <v>188</v>
      </c>
      <c r="AA2188" t="s">
        <v>144</v>
      </c>
      <c r="AB2188" t="s">
        <v>164</v>
      </c>
      <c r="AC2188" t="s">
        <v>21</v>
      </c>
      <c r="AD2188" t="s">
        <v>21</v>
      </c>
      <c r="AE2188" t="s">
        <v>21</v>
      </c>
      <c r="AF2188" t="s">
        <v>21</v>
      </c>
    </row>
    <row r="2189" spans="1:32">
      <c r="A2189" t="s">
        <v>3209</v>
      </c>
      <c r="B2189" s="37">
        <v>39988</v>
      </c>
      <c r="C2189" s="38">
        <v>39988</v>
      </c>
      <c r="D2189" s="38">
        <v>39986</v>
      </c>
      <c r="E2189" s="38">
        <v>39965</v>
      </c>
      <c r="F2189" s="39">
        <v>83</v>
      </c>
      <c r="G2189" t="s">
        <v>383</v>
      </c>
      <c r="H2189" t="s">
        <v>17</v>
      </c>
      <c r="I2189">
        <v>0</v>
      </c>
      <c r="J2189">
        <v>0</v>
      </c>
      <c r="K2189">
        <v>1</v>
      </c>
      <c r="L2189">
        <v>0</v>
      </c>
      <c r="M2189">
        <v>0</v>
      </c>
      <c r="N2189" t="s">
        <v>194</v>
      </c>
      <c r="O2189" t="s">
        <v>213</v>
      </c>
      <c r="P2189" t="s">
        <v>205</v>
      </c>
      <c r="Q2189" t="s">
        <v>171</v>
      </c>
      <c r="R2189" t="s">
        <v>168</v>
      </c>
      <c r="T2189" t="s">
        <v>134</v>
      </c>
      <c r="U2189">
        <v>1</v>
      </c>
      <c r="W2189" t="s">
        <v>134</v>
      </c>
      <c r="X2189">
        <v>1</v>
      </c>
      <c r="Y2189" t="s">
        <v>139</v>
      </c>
      <c r="Z2189" t="s">
        <v>178</v>
      </c>
      <c r="AA2189" t="s">
        <v>144</v>
      </c>
      <c r="AB2189" t="s">
        <v>164</v>
      </c>
      <c r="AC2189" t="s">
        <v>21</v>
      </c>
      <c r="AD2189" t="s">
        <v>21</v>
      </c>
      <c r="AE2189" t="s">
        <v>21</v>
      </c>
      <c r="AF2189" t="s">
        <v>21</v>
      </c>
    </row>
    <row r="2190" spans="1:32">
      <c r="A2190" t="s">
        <v>3210</v>
      </c>
      <c r="B2190" s="37">
        <v>39988</v>
      </c>
      <c r="C2190" s="38">
        <v>39988</v>
      </c>
      <c r="D2190" s="38">
        <v>39986</v>
      </c>
      <c r="E2190" s="38">
        <v>39965</v>
      </c>
      <c r="F2190" s="39">
        <v>83</v>
      </c>
      <c r="G2190" t="s">
        <v>383</v>
      </c>
      <c r="H2190" t="s">
        <v>17</v>
      </c>
      <c r="I2190">
        <v>0</v>
      </c>
      <c r="J2190">
        <v>0</v>
      </c>
      <c r="K2190">
        <v>1</v>
      </c>
      <c r="L2190">
        <v>0</v>
      </c>
      <c r="M2190">
        <v>0</v>
      </c>
      <c r="N2190" t="s">
        <v>194</v>
      </c>
      <c r="O2190" t="s">
        <v>213</v>
      </c>
      <c r="P2190" t="s">
        <v>205</v>
      </c>
      <c r="Q2190" t="s">
        <v>171</v>
      </c>
      <c r="R2190" t="s">
        <v>168</v>
      </c>
      <c r="T2190" t="s">
        <v>134</v>
      </c>
      <c r="U2190">
        <v>1</v>
      </c>
      <c r="W2190" t="s">
        <v>134</v>
      </c>
      <c r="X2190">
        <v>1</v>
      </c>
      <c r="Y2190" t="s">
        <v>139</v>
      </c>
      <c r="Z2190" t="s">
        <v>576</v>
      </c>
      <c r="AA2190" t="s">
        <v>144</v>
      </c>
      <c r="AB2190" t="s">
        <v>164</v>
      </c>
      <c r="AC2190" t="s">
        <v>21</v>
      </c>
      <c r="AD2190" t="s">
        <v>21</v>
      </c>
      <c r="AE2190" t="s">
        <v>21</v>
      </c>
      <c r="AF2190" t="s">
        <v>21</v>
      </c>
    </row>
    <row r="2191" spans="1:32">
      <c r="A2191" t="s">
        <v>3211</v>
      </c>
      <c r="B2191" s="37">
        <v>39988</v>
      </c>
      <c r="C2191" s="38">
        <v>39988</v>
      </c>
      <c r="D2191" s="38">
        <v>39986</v>
      </c>
      <c r="E2191" s="38">
        <v>39965</v>
      </c>
      <c r="F2191" s="39">
        <v>83</v>
      </c>
      <c r="G2191" t="s">
        <v>383</v>
      </c>
      <c r="H2191" t="s">
        <v>17</v>
      </c>
      <c r="I2191">
        <v>0</v>
      </c>
      <c r="J2191">
        <v>0</v>
      </c>
      <c r="K2191">
        <v>1</v>
      </c>
      <c r="L2191">
        <v>0</v>
      </c>
      <c r="M2191">
        <v>0</v>
      </c>
      <c r="N2191" t="s">
        <v>194</v>
      </c>
      <c r="O2191" t="s">
        <v>213</v>
      </c>
      <c r="P2191" t="s">
        <v>205</v>
      </c>
      <c r="Q2191" t="s">
        <v>171</v>
      </c>
      <c r="R2191" t="s">
        <v>168</v>
      </c>
      <c r="T2191" t="s">
        <v>134</v>
      </c>
      <c r="U2191">
        <v>1</v>
      </c>
      <c r="W2191" t="s">
        <v>134</v>
      </c>
      <c r="X2191">
        <v>1</v>
      </c>
      <c r="Y2191" t="s">
        <v>139</v>
      </c>
      <c r="Z2191" t="s">
        <v>188</v>
      </c>
      <c r="AA2191" t="s">
        <v>144</v>
      </c>
      <c r="AB2191" t="s">
        <v>164</v>
      </c>
      <c r="AC2191" t="s">
        <v>21</v>
      </c>
      <c r="AD2191" t="s">
        <v>21</v>
      </c>
      <c r="AE2191" t="s">
        <v>21</v>
      </c>
      <c r="AF2191" t="s">
        <v>21</v>
      </c>
    </row>
    <row r="2192" spans="1:32">
      <c r="A2192" t="s">
        <v>3212</v>
      </c>
      <c r="B2192" s="37">
        <v>39989</v>
      </c>
      <c r="C2192" s="38">
        <v>39989</v>
      </c>
      <c r="D2192" s="38">
        <v>39986</v>
      </c>
      <c r="E2192" s="38">
        <v>39965</v>
      </c>
      <c r="F2192" s="39">
        <v>84</v>
      </c>
      <c r="G2192" t="s">
        <v>9</v>
      </c>
      <c r="H2192" t="s">
        <v>9</v>
      </c>
      <c r="I2192">
        <v>1</v>
      </c>
      <c r="J2192">
        <v>0</v>
      </c>
      <c r="K2192">
        <v>0</v>
      </c>
      <c r="L2192">
        <v>0</v>
      </c>
      <c r="M2192">
        <v>1</v>
      </c>
      <c r="N2192" t="s">
        <v>194</v>
      </c>
      <c r="O2192" t="s">
        <v>213</v>
      </c>
      <c r="P2192" t="s">
        <v>205</v>
      </c>
      <c r="Q2192" t="s">
        <v>171</v>
      </c>
      <c r="R2192" t="s">
        <v>168</v>
      </c>
      <c r="T2192" t="s">
        <v>134</v>
      </c>
      <c r="U2192">
        <v>1</v>
      </c>
      <c r="W2192" t="s">
        <v>134</v>
      </c>
      <c r="X2192">
        <v>1</v>
      </c>
      <c r="Y2192" t="s">
        <v>139</v>
      </c>
      <c r="Z2192" t="s">
        <v>182</v>
      </c>
      <c r="AA2192" t="s">
        <v>146</v>
      </c>
      <c r="AB2192" t="s">
        <v>164</v>
      </c>
      <c r="AC2192" t="s">
        <v>21</v>
      </c>
      <c r="AD2192" t="s">
        <v>21</v>
      </c>
      <c r="AE2192" t="s">
        <v>21</v>
      </c>
      <c r="AF2192" t="s">
        <v>21</v>
      </c>
    </row>
    <row r="2193" spans="1:32">
      <c r="A2193" t="s">
        <v>3213</v>
      </c>
      <c r="B2193" s="37">
        <v>39989</v>
      </c>
      <c r="C2193" s="38">
        <v>39989</v>
      </c>
      <c r="D2193" s="38">
        <v>39986</v>
      </c>
      <c r="E2193" s="38">
        <v>39965</v>
      </c>
      <c r="F2193" s="39">
        <v>84</v>
      </c>
      <c r="G2193" t="s">
        <v>383</v>
      </c>
      <c r="H2193" t="s">
        <v>17</v>
      </c>
      <c r="I2193">
        <v>0</v>
      </c>
      <c r="J2193">
        <v>0</v>
      </c>
      <c r="K2193">
        <v>1</v>
      </c>
      <c r="L2193">
        <v>0</v>
      </c>
      <c r="M2193">
        <v>0</v>
      </c>
      <c r="N2193" t="s">
        <v>194</v>
      </c>
      <c r="O2193" t="s">
        <v>213</v>
      </c>
      <c r="P2193" t="s">
        <v>205</v>
      </c>
      <c r="Q2193" t="s">
        <v>171</v>
      </c>
      <c r="R2193" t="s">
        <v>168</v>
      </c>
      <c r="T2193" t="s">
        <v>134</v>
      </c>
      <c r="U2193">
        <v>1</v>
      </c>
      <c r="W2193" t="s">
        <v>134</v>
      </c>
      <c r="X2193">
        <v>1</v>
      </c>
      <c r="Y2193" t="s">
        <v>139</v>
      </c>
      <c r="Z2193" t="s">
        <v>188</v>
      </c>
      <c r="AA2193" t="s">
        <v>144</v>
      </c>
      <c r="AB2193" t="s">
        <v>164</v>
      </c>
      <c r="AC2193" t="s">
        <v>21</v>
      </c>
      <c r="AD2193" t="s">
        <v>21</v>
      </c>
      <c r="AE2193" t="s">
        <v>21</v>
      </c>
      <c r="AF2193" t="s">
        <v>21</v>
      </c>
    </row>
    <row r="2194" spans="1:32">
      <c r="A2194" t="s">
        <v>3214</v>
      </c>
      <c r="B2194" s="37">
        <v>39989</v>
      </c>
      <c r="C2194" s="38">
        <v>39989</v>
      </c>
      <c r="D2194" s="38">
        <v>39986</v>
      </c>
      <c r="E2194" s="38">
        <v>39965</v>
      </c>
      <c r="F2194" s="39">
        <v>84</v>
      </c>
      <c r="G2194" t="s">
        <v>21</v>
      </c>
      <c r="H2194" t="s">
        <v>21</v>
      </c>
      <c r="I2194">
        <v>0</v>
      </c>
      <c r="J2194">
        <v>0</v>
      </c>
      <c r="K2194">
        <v>0</v>
      </c>
      <c r="L2194">
        <v>1</v>
      </c>
      <c r="M2194">
        <v>0</v>
      </c>
      <c r="N2194" t="s">
        <v>194</v>
      </c>
      <c r="O2194" t="s">
        <v>213</v>
      </c>
      <c r="P2194" t="s">
        <v>205</v>
      </c>
      <c r="Q2194" t="s">
        <v>171</v>
      </c>
      <c r="R2194" t="s">
        <v>168</v>
      </c>
      <c r="T2194" t="s">
        <v>134</v>
      </c>
      <c r="U2194">
        <v>1</v>
      </c>
      <c r="W2194" t="s">
        <v>134</v>
      </c>
      <c r="X2194">
        <v>1</v>
      </c>
      <c r="Y2194" t="s">
        <v>139</v>
      </c>
      <c r="Z2194" t="s">
        <v>528</v>
      </c>
      <c r="AA2194" t="s">
        <v>144</v>
      </c>
      <c r="AB2194" t="s">
        <v>164</v>
      </c>
      <c r="AC2194" t="s">
        <v>21</v>
      </c>
      <c r="AD2194" t="s">
        <v>21</v>
      </c>
      <c r="AE2194" t="s">
        <v>21</v>
      </c>
      <c r="AF2194" t="s">
        <v>21</v>
      </c>
    </row>
    <row r="2195" spans="1:32">
      <c r="A2195" t="s">
        <v>3215</v>
      </c>
      <c r="B2195" s="37">
        <v>39990</v>
      </c>
      <c r="C2195" s="38">
        <v>39990</v>
      </c>
      <c r="D2195" s="38">
        <v>39986</v>
      </c>
      <c r="E2195" s="38">
        <v>39965</v>
      </c>
      <c r="F2195" s="39">
        <v>85</v>
      </c>
      <c r="G2195" t="s">
        <v>525</v>
      </c>
      <c r="H2195" t="s">
        <v>17</v>
      </c>
      <c r="I2195">
        <v>0</v>
      </c>
      <c r="J2195">
        <v>0</v>
      </c>
      <c r="K2195">
        <v>1</v>
      </c>
      <c r="L2195">
        <v>0</v>
      </c>
      <c r="M2195">
        <v>0</v>
      </c>
      <c r="N2195" t="s">
        <v>194</v>
      </c>
      <c r="O2195" t="s">
        <v>213</v>
      </c>
      <c r="P2195" t="s">
        <v>205</v>
      </c>
      <c r="Q2195" t="s">
        <v>171</v>
      </c>
      <c r="R2195" t="s">
        <v>168</v>
      </c>
      <c r="T2195" t="s">
        <v>134</v>
      </c>
      <c r="U2195">
        <v>1</v>
      </c>
      <c r="V2195">
        <v>2</v>
      </c>
      <c r="W2195" t="s">
        <v>136</v>
      </c>
      <c r="X2195">
        <v>0</v>
      </c>
      <c r="Y2195" t="s">
        <v>139</v>
      </c>
      <c r="Z2195" t="s">
        <v>181</v>
      </c>
      <c r="AA2195" t="s">
        <v>144</v>
      </c>
      <c r="AB2195" t="s">
        <v>164</v>
      </c>
      <c r="AC2195" t="s">
        <v>21</v>
      </c>
      <c r="AD2195" t="s">
        <v>21</v>
      </c>
      <c r="AE2195" t="s">
        <v>21</v>
      </c>
      <c r="AF2195" t="s">
        <v>21</v>
      </c>
    </row>
    <row r="2196" spans="1:32">
      <c r="A2196" t="s">
        <v>3216</v>
      </c>
      <c r="B2196" s="37">
        <v>39990</v>
      </c>
      <c r="C2196" s="38">
        <v>39990</v>
      </c>
      <c r="D2196" s="38">
        <v>39986</v>
      </c>
      <c r="E2196" s="38">
        <v>39965</v>
      </c>
      <c r="F2196" s="39">
        <v>85</v>
      </c>
      <c r="G2196" t="s">
        <v>21</v>
      </c>
      <c r="H2196" t="s">
        <v>21</v>
      </c>
      <c r="I2196">
        <v>0</v>
      </c>
      <c r="J2196">
        <v>0</v>
      </c>
      <c r="K2196">
        <v>0</v>
      </c>
      <c r="L2196">
        <v>1</v>
      </c>
      <c r="M2196">
        <v>0</v>
      </c>
      <c r="N2196" t="s">
        <v>194</v>
      </c>
      <c r="O2196" t="s">
        <v>213</v>
      </c>
      <c r="P2196" t="s">
        <v>205</v>
      </c>
      <c r="Q2196" t="s">
        <v>171</v>
      </c>
      <c r="R2196" t="s">
        <v>168</v>
      </c>
      <c r="T2196" t="s">
        <v>134</v>
      </c>
      <c r="U2196">
        <v>1</v>
      </c>
      <c r="V2196">
        <v>3</v>
      </c>
      <c r="W2196" t="s">
        <v>137</v>
      </c>
      <c r="X2196">
        <v>0</v>
      </c>
      <c r="Y2196" t="s">
        <v>139</v>
      </c>
      <c r="Z2196" t="s">
        <v>186</v>
      </c>
      <c r="AA2196" t="s">
        <v>144</v>
      </c>
      <c r="AB2196" t="s">
        <v>164</v>
      </c>
      <c r="AC2196" t="s">
        <v>21</v>
      </c>
      <c r="AD2196" t="s">
        <v>21</v>
      </c>
      <c r="AE2196" t="s">
        <v>21</v>
      </c>
      <c r="AF2196" t="s">
        <v>21</v>
      </c>
    </row>
    <row r="2197" spans="1:32">
      <c r="A2197" t="s">
        <v>3217</v>
      </c>
      <c r="B2197" s="37">
        <v>39990</v>
      </c>
      <c r="C2197" s="38">
        <v>39990</v>
      </c>
      <c r="D2197" s="38">
        <v>39986</v>
      </c>
      <c r="E2197" s="38">
        <v>39965</v>
      </c>
      <c r="F2197" s="39">
        <v>85</v>
      </c>
      <c r="G2197" t="s">
        <v>21</v>
      </c>
      <c r="H2197" t="s">
        <v>21</v>
      </c>
      <c r="I2197">
        <v>0</v>
      </c>
      <c r="J2197">
        <v>0</v>
      </c>
      <c r="K2197">
        <v>0</v>
      </c>
      <c r="L2197">
        <v>1</v>
      </c>
      <c r="M2197">
        <v>0</v>
      </c>
      <c r="N2197" t="s">
        <v>194</v>
      </c>
      <c r="O2197" t="s">
        <v>213</v>
      </c>
      <c r="P2197" t="s">
        <v>205</v>
      </c>
      <c r="Q2197" t="s">
        <v>171</v>
      </c>
      <c r="R2197" t="s">
        <v>168</v>
      </c>
      <c r="T2197" t="s">
        <v>134</v>
      </c>
      <c r="U2197">
        <v>1</v>
      </c>
      <c r="V2197">
        <v>3</v>
      </c>
      <c r="W2197" t="s">
        <v>137</v>
      </c>
      <c r="X2197">
        <v>0</v>
      </c>
      <c r="Y2197" t="s">
        <v>139</v>
      </c>
      <c r="Z2197" t="s">
        <v>185</v>
      </c>
      <c r="AA2197" t="s">
        <v>148</v>
      </c>
      <c r="AB2197" t="s">
        <v>164</v>
      </c>
      <c r="AC2197" t="s">
        <v>21</v>
      </c>
      <c r="AD2197" t="s">
        <v>21</v>
      </c>
      <c r="AE2197" t="s">
        <v>21</v>
      </c>
      <c r="AF2197" t="s">
        <v>21</v>
      </c>
    </row>
    <row r="2198" spans="1:32">
      <c r="A2198" t="s">
        <v>3218</v>
      </c>
      <c r="B2198" s="37">
        <v>39991</v>
      </c>
      <c r="C2198" s="38">
        <v>39991</v>
      </c>
      <c r="D2198" s="38">
        <v>39986</v>
      </c>
      <c r="E2198" s="38">
        <v>39965</v>
      </c>
      <c r="F2198" s="39">
        <v>86</v>
      </c>
      <c r="G2198" t="s">
        <v>9</v>
      </c>
      <c r="H2198" t="s">
        <v>9</v>
      </c>
      <c r="I2198">
        <v>1</v>
      </c>
      <c r="J2198">
        <v>0</v>
      </c>
      <c r="K2198">
        <v>0</v>
      </c>
      <c r="L2198">
        <v>0</v>
      </c>
      <c r="M2198">
        <v>1</v>
      </c>
      <c r="N2198" t="s">
        <v>194</v>
      </c>
      <c r="O2198" t="s">
        <v>213</v>
      </c>
      <c r="P2198" t="s">
        <v>205</v>
      </c>
      <c r="Q2198" t="s">
        <v>171</v>
      </c>
      <c r="R2198" t="s">
        <v>168</v>
      </c>
      <c r="T2198" t="s">
        <v>134</v>
      </c>
      <c r="U2198">
        <v>1</v>
      </c>
      <c r="V2198">
        <v>2</v>
      </c>
      <c r="W2198" t="s">
        <v>136</v>
      </c>
      <c r="X2198">
        <v>0</v>
      </c>
      <c r="Y2198" t="s">
        <v>139</v>
      </c>
      <c r="Z2198" t="s">
        <v>576</v>
      </c>
      <c r="AA2198" t="s">
        <v>144</v>
      </c>
      <c r="AB2198" t="s">
        <v>164</v>
      </c>
      <c r="AC2198" t="s">
        <v>21</v>
      </c>
      <c r="AD2198" t="s">
        <v>21</v>
      </c>
      <c r="AE2198" t="s">
        <v>21</v>
      </c>
      <c r="AF2198" t="s">
        <v>21</v>
      </c>
    </row>
    <row r="2199" spans="1:32">
      <c r="A2199" t="s">
        <v>3219</v>
      </c>
      <c r="B2199" s="37">
        <v>39992</v>
      </c>
      <c r="C2199" s="38">
        <v>39992</v>
      </c>
      <c r="D2199" s="38">
        <v>39986</v>
      </c>
      <c r="E2199" s="38">
        <v>39965</v>
      </c>
      <c r="F2199" s="39">
        <v>87</v>
      </c>
      <c r="G2199" t="s">
        <v>383</v>
      </c>
      <c r="H2199" t="s">
        <v>17</v>
      </c>
      <c r="I2199">
        <v>0</v>
      </c>
      <c r="J2199">
        <v>0</v>
      </c>
      <c r="K2199">
        <v>1</v>
      </c>
      <c r="L2199">
        <v>0</v>
      </c>
      <c r="M2199">
        <v>0</v>
      </c>
      <c r="N2199" t="s">
        <v>194</v>
      </c>
      <c r="O2199" t="s">
        <v>213</v>
      </c>
      <c r="P2199" t="s">
        <v>205</v>
      </c>
      <c r="Q2199" t="s">
        <v>171</v>
      </c>
      <c r="R2199" t="s">
        <v>168</v>
      </c>
      <c r="T2199" t="s">
        <v>134</v>
      </c>
      <c r="U2199">
        <v>1</v>
      </c>
      <c r="V2199">
        <v>2</v>
      </c>
      <c r="W2199" t="s">
        <v>136</v>
      </c>
      <c r="X2199">
        <v>0</v>
      </c>
      <c r="Y2199" t="s">
        <v>139</v>
      </c>
      <c r="Z2199" t="s">
        <v>184</v>
      </c>
      <c r="AA2199" t="s">
        <v>142</v>
      </c>
      <c r="AB2199" t="s">
        <v>164</v>
      </c>
      <c r="AC2199" t="s">
        <v>21</v>
      </c>
      <c r="AD2199" t="s">
        <v>21</v>
      </c>
      <c r="AE2199" t="s">
        <v>21</v>
      </c>
      <c r="AF2199" t="s">
        <v>21</v>
      </c>
    </row>
    <row r="2200" spans="1:32">
      <c r="A2200" t="s">
        <v>3220</v>
      </c>
      <c r="B2200" s="37">
        <v>39992</v>
      </c>
      <c r="C2200" s="38">
        <v>39992</v>
      </c>
      <c r="D2200" s="38">
        <v>39986</v>
      </c>
      <c r="E2200" s="38">
        <v>39965</v>
      </c>
      <c r="F2200" s="39">
        <v>87</v>
      </c>
      <c r="G2200" t="s">
        <v>21</v>
      </c>
      <c r="H2200" t="s">
        <v>21</v>
      </c>
      <c r="I2200">
        <v>0</v>
      </c>
      <c r="J2200">
        <v>0</v>
      </c>
      <c r="K2200">
        <v>0</v>
      </c>
      <c r="L2200">
        <v>1</v>
      </c>
      <c r="M2200">
        <v>0</v>
      </c>
      <c r="N2200" t="s">
        <v>194</v>
      </c>
      <c r="O2200" t="s">
        <v>213</v>
      </c>
      <c r="P2200" t="s">
        <v>205</v>
      </c>
      <c r="Q2200" t="s">
        <v>171</v>
      </c>
      <c r="R2200" t="s">
        <v>168</v>
      </c>
      <c r="T2200" t="s">
        <v>134</v>
      </c>
      <c r="U2200">
        <v>1</v>
      </c>
      <c r="V2200">
        <v>4</v>
      </c>
      <c r="W2200" t="s">
        <v>137</v>
      </c>
      <c r="X2200">
        <v>0</v>
      </c>
      <c r="Y2200" t="s">
        <v>139</v>
      </c>
      <c r="Z2200" t="s">
        <v>183</v>
      </c>
      <c r="AA2200" t="s">
        <v>144</v>
      </c>
      <c r="AB2200" t="s">
        <v>164</v>
      </c>
      <c r="AC2200" t="s">
        <v>21</v>
      </c>
      <c r="AD2200" t="s">
        <v>21</v>
      </c>
      <c r="AE2200" t="s">
        <v>21</v>
      </c>
      <c r="AF2200" t="s">
        <v>21</v>
      </c>
    </row>
    <row r="2201" spans="1:32">
      <c r="A2201" t="s">
        <v>3221</v>
      </c>
      <c r="B2201" s="37">
        <v>39993</v>
      </c>
      <c r="C2201" s="38">
        <v>39993</v>
      </c>
      <c r="D2201" s="38">
        <v>39993</v>
      </c>
      <c r="E2201" s="38">
        <v>39965</v>
      </c>
      <c r="F2201" s="39">
        <v>88</v>
      </c>
      <c r="G2201" t="s">
        <v>21</v>
      </c>
      <c r="H2201" t="s">
        <v>21</v>
      </c>
      <c r="I2201">
        <v>0</v>
      </c>
      <c r="J2201">
        <v>0</v>
      </c>
      <c r="K2201">
        <v>0</v>
      </c>
      <c r="L2201">
        <v>1</v>
      </c>
      <c r="M2201">
        <v>0</v>
      </c>
      <c r="N2201" t="s">
        <v>194</v>
      </c>
      <c r="O2201" t="s">
        <v>213</v>
      </c>
      <c r="P2201" t="s">
        <v>205</v>
      </c>
      <c r="Q2201" t="s">
        <v>171</v>
      </c>
      <c r="R2201" t="s">
        <v>168</v>
      </c>
      <c r="T2201" t="s">
        <v>134</v>
      </c>
      <c r="U2201">
        <v>1</v>
      </c>
      <c r="V2201">
        <v>2</v>
      </c>
      <c r="W2201" t="s">
        <v>136</v>
      </c>
      <c r="X2201">
        <v>0</v>
      </c>
      <c r="Y2201" t="s">
        <v>139</v>
      </c>
      <c r="Z2201" t="s">
        <v>433</v>
      </c>
      <c r="AA2201" t="s">
        <v>148</v>
      </c>
      <c r="AB2201" t="s">
        <v>164</v>
      </c>
      <c r="AC2201" t="s">
        <v>21</v>
      </c>
      <c r="AD2201" t="s">
        <v>21</v>
      </c>
      <c r="AE2201" t="s">
        <v>21</v>
      </c>
      <c r="AF2201" t="s">
        <v>21</v>
      </c>
    </row>
    <row r="2202" spans="1:32">
      <c r="A2202" t="s">
        <v>3222</v>
      </c>
      <c r="B2202" s="37">
        <v>39993</v>
      </c>
      <c r="C2202" s="38">
        <v>39993</v>
      </c>
      <c r="D2202" s="38">
        <v>39993</v>
      </c>
      <c r="E2202" s="38">
        <v>39965</v>
      </c>
      <c r="F2202" s="39">
        <v>88</v>
      </c>
      <c r="G2202" t="s">
        <v>21</v>
      </c>
      <c r="H2202" t="s">
        <v>21</v>
      </c>
      <c r="I2202">
        <v>0</v>
      </c>
      <c r="J2202">
        <v>0</v>
      </c>
      <c r="K2202">
        <v>0</v>
      </c>
      <c r="L2202">
        <v>1</v>
      </c>
      <c r="M2202">
        <v>0</v>
      </c>
      <c r="N2202" t="s">
        <v>194</v>
      </c>
      <c r="O2202" t="s">
        <v>213</v>
      </c>
      <c r="P2202" t="s">
        <v>205</v>
      </c>
      <c r="Q2202" t="s">
        <v>171</v>
      </c>
      <c r="R2202" t="s">
        <v>168</v>
      </c>
      <c r="T2202" t="s">
        <v>134</v>
      </c>
      <c r="U2202">
        <v>1</v>
      </c>
      <c r="V2202">
        <v>5</v>
      </c>
      <c r="W2202" t="s">
        <v>135</v>
      </c>
      <c r="X2202">
        <v>0</v>
      </c>
      <c r="Y2202" t="s">
        <v>139</v>
      </c>
      <c r="Z2202" t="s">
        <v>178</v>
      </c>
      <c r="AA2202" t="s">
        <v>142</v>
      </c>
      <c r="AB2202" t="s">
        <v>164</v>
      </c>
      <c r="AC2202" t="s">
        <v>21</v>
      </c>
      <c r="AD2202" t="s">
        <v>21</v>
      </c>
      <c r="AE2202" t="s">
        <v>21</v>
      </c>
      <c r="AF2202" t="s">
        <v>21</v>
      </c>
    </row>
    <row r="2203" spans="1:32">
      <c r="A2203" t="s">
        <v>3223</v>
      </c>
      <c r="B2203" s="37">
        <v>39993</v>
      </c>
      <c r="C2203" s="38">
        <v>39993</v>
      </c>
      <c r="D2203" s="38">
        <v>39993</v>
      </c>
      <c r="E2203" s="38">
        <v>39965</v>
      </c>
      <c r="F2203" s="39">
        <v>88</v>
      </c>
      <c r="G2203" t="s">
        <v>383</v>
      </c>
      <c r="H2203" t="s">
        <v>17</v>
      </c>
      <c r="I2203">
        <v>0</v>
      </c>
      <c r="J2203">
        <v>0</v>
      </c>
      <c r="K2203">
        <v>1</v>
      </c>
      <c r="L2203">
        <v>0</v>
      </c>
      <c r="M2203">
        <v>0</v>
      </c>
      <c r="N2203" t="s">
        <v>194</v>
      </c>
      <c r="O2203" t="s">
        <v>213</v>
      </c>
      <c r="P2203" t="s">
        <v>205</v>
      </c>
      <c r="Q2203" t="s">
        <v>171</v>
      </c>
      <c r="R2203" t="s">
        <v>168</v>
      </c>
      <c r="T2203" t="s">
        <v>134</v>
      </c>
      <c r="U2203">
        <v>1</v>
      </c>
      <c r="V2203">
        <v>3</v>
      </c>
      <c r="W2203" t="s">
        <v>137</v>
      </c>
      <c r="X2203">
        <v>0</v>
      </c>
      <c r="Y2203" t="s">
        <v>139</v>
      </c>
      <c r="Z2203" t="s">
        <v>178</v>
      </c>
      <c r="AA2203" t="s">
        <v>145</v>
      </c>
      <c r="AB2203" t="s">
        <v>164</v>
      </c>
      <c r="AC2203" t="s">
        <v>21</v>
      </c>
      <c r="AD2203" t="s">
        <v>21</v>
      </c>
      <c r="AE2203" t="s">
        <v>21</v>
      </c>
      <c r="AF2203" t="s">
        <v>21</v>
      </c>
    </row>
    <row r="2204" spans="1:32">
      <c r="A2204" t="s">
        <v>3224</v>
      </c>
      <c r="B2204" s="37">
        <v>39994</v>
      </c>
      <c r="C2204" s="38">
        <v>39994</v>
      </c>
      <c r="D2204" s="38">
        <v>39993</v>
      </c>
      <c r="E2204" s="38">
        <v>39965</v>
      </c>
      <c r="F2204" s="39">
        <v>89</v>
      </c>
      <c r="G2204" t="s">
        <v>21</v>
      </c>
      <c r="H2204" t="s">
        <v>21</v>
      </c>
      <c r="I2204">
        <v>0</v>
      </c>
      <c r="J2204">
        <v>0</v>
      </c>
      <c r="K2204">
        <v>0</v>
      </c>
      <c r="L2204">
        <v>1</v>
      </c>
      <c r="M2204">
        <v>0</v>
      </c>
      <c r="N2204" t="s">
        <v>194</v>
      </c>
      <c r="O2204" t="s">
        <v>213</v>
      </c>
      <c r="P2204" t="s">
        <v>205</v>
      </c>
      <c r="Q2204" t="s">
        <v>171</v>
      </c>
      <c r="R2204" t="s">
        <v>168</v>
      </c>
      <c r="T2204" t="s">
        <v>134</v>
      </c>
      <c r="U2204">
        <v>1</v>
      </c>
      <c r="V2204">
        <v>3</v>
      </c>
      <c r="W2204" t="s">
        <v>137</v>
      </c>
      <c r="X2204">
        <v>0</v>
      </c>
      <c r="Y2204" t="s">
        <v>139</v>
      </c>
      <c r="Z2204" t="s">
        <v>179</v>
      </c>
      <c r="AA2204" t="s">
        <v>145</v>
      </c>
      <c r="AB2204" t="s">
        <v>164</v>
      </c>
      <c r="AC2204" t="s">
        <v>21</v>
      </c>
      <c r="AD2204" t="s">
        <v>21</v>
      </c>
      <c r="AE2204" t="s">
        <v>21</v>
      </c>
      <c r="AF2204" t="s">
        <v>21</v>
      </c>
    </row>
    <row r="2205" spans="1:32">
      <c r="A2205" t="s">
        <v>3225</v>
      </c>
      <c r="B2205" s="37">
        <v>39995</v>
      </c>
      <c r="C2205" s="38">
        <v>39995</v>
      </c>
      <c r="D2205" s="38">
        <v>39993</v>
      </c>
      <c r="E2205" s="38">
        <v>39995</v>
      </c>
      <c r="F2205" s="39">
        <v>90</v>
      </c>
      <c r="G2205" t="s">
        <v>383</v>
      </c>
      <c r="H2205" t="s">
        <v>17</v>
      </c>
      <c r="I2205">
        <v>0</v>
      </c>
      <c r="J2205">
        <v>0</v>
      </c>
      <c r="K2205">
        <v>1</v>
      </c>
      <c r="L2205">
        <v>0</v>
      </c>
      <c r="M2205">
        <v>0</v>
      </c>
      <c r="N2205" t="s">
        <v>194</v>
      </c>
      <c r="O2205" t="s">
        <v>213</v>
      </c>
      <c r="P2205" t="s">
        <v>205</v>
      </c>
      <c r="Q2205" t="s">
        <v>171</v>
      </c>
      <c r="R2205" t="s">
        <v>168</v>
      </c>
      <c r="T2205" t="s">
        <v>134</v>
      </c>
      <c r="U2205">
        <v>1</v>
      </c>
      <c r="V2205">
        <v>5</v>
      </c>
      <c r="W2205" t="s">
        <v>135</v>
      </c>
      <c r="X2205">
        <v>0</v>
      </c>
      <c r="Y2205" t="s">
        <v>139</v>
      </c>
      <c r="Z2205" t="s">
        <v>187</v>
      </c>
      <c r="AA2205" t="s">
        <v>145</v>
      </c>
      <c r="AB2205" t="s">
        <v>164</v>
      </c>
      <c r="AC2205" t="s">
        <v>21</v>
      </c>
      <c r="AD2205" t="s">
        <v>21</v>
      </c>
      <c r="AE2205" t="s">
        <v>21</v>
      </c>
      <c r="AF2205" t="s">
        <v>21</v>
      </c>
    </row>
    <row r="2206" spans="1:32">
      <c r="A2206" t="s">
        <v>3226</v>
      </c>
      <c r="B2206" s="37">
        <v>39995</v>
      </c>
      <c r="C2206" s="38">
        <v>39995</v>
      </c>
      <c r="D2206" s="38">
        <v>39993</v>
      </c>
      <c r="E2206" s="38">
        <v>39995</v>
      </c>
      <c r="F2206" s="39">
        <v>90</v>
      </c>
      <c r="G2206" t="s">
        <v>383</v>
      </c>
      <c r="H2206" t="s">
        <v>17</v>
      </c>
      <c r="I2206">
        <v>0</v>
      </c>
      <c r="J2206">
        <v>0</v>
      </c>
      <c r="K2206">
        <v>1</v>
      </c>
      <c r="L2206">
        <v>0</v>
      </c>
      <c r="M2206">
        <v>0</v>
      </c>
      <c r="N2206" t="s">
        <v>194</v>
      </c>
      <c r="O2206" t="s">
        <v>213</v>
      </c>
      <c r="P2206" t="s">
        <v>205</v>
      </c>
      <c r="Q2206" t="s">
        <v>171</v>
      </c>
      <c r="R2206" t="s">
        <v>168</v>
      </c>
      <c r="T2206" t="s">
        <v>134</v>
      </c>
      <c r="U2206">
        <v>1</v>
      </c>
      <c r="V2206">
        <v>5</v>
      </c>
      <c r="W2206" t="s">
        <v>135</v>
      </c>
      <c r="X2206">
        <v>0</v>
      </c>
      <c r="Y2206" t="s">
        <v>139</v>
      </c>
      <c r="Z2206" t="s">
        <v>190</v>
      </c>
      <c r="AA2206" t="s">
        <v>144</v>
      </c>
      <c r="AB2206" t="s">
        <v>164</v>
      </c>
      <c r="AC2206" t="s">
        <v>21</v>
      </c>
      <c r="AD2206" t="s">
        <v>21</v>
      </c>
      <c r="AE2206" t="s">
        <v>21</v>
      </c>
      <c r="AF2206" t="s">
        <v>21</v>
      </c>
    </row>
    <row r="2207" spans="1:32">
      <c r="A2207" t="s">
        <v>3227</v>
      </c>
      <c r="B2207" s="37">
        <v>39996</v>
      </c>
      <c r="C2207" s="38">
        <v>39996</v>
      </c>
      <c r="D2207" s="38">
        <v>39993</v>
      </c>
      <c r="E2207" s="38">
        <v>39995</v>
      </c>
      <c r="F2207" s="39">
        <v>91</v>
      </c>
      <c r="G2207" t="s">
        <v>21</v>
      </c>
      <c r="H2207" t="s">
        <v>21</v>
      </c>
      <c r="I2207">
        <v>0</v>
      </c>
      <c r="J2207">
        <v>0</v>
      </c>
      <c r="K2207">
        <v>0</v>
      </c>
      <c r="L2207">
        <v>1</v>
      </c>
      <c r="M2207">
        <v>0</v>
      </c>
      <c r="N2207" t="s">
        <v>194</v>
      </c>
      <c r="O2207" t="s">
        <v>213</v>
      </c>
      <c r="P2207" t="s">
        <v>205</v>
      </c>
      <c r="Q2207" t="s">
        <v>171</v>
      </c>
      <c r="R2207" t="s">
        <v>168</v>
      </c>
      <c r="T2207" t="s">
        <v>134</v>
      </c>
      <c r="U2207">
        <v>1</v>
      </c>
      <c r="V2207">
        <v>2</v>
      </c>
      <c r="W2207" t="s">
        <v>136</v>
      </c>
      <c r="X2207">
        <v>0</v>
      </c>
      <c r="Y2207" t="s">
        <v>139</v>
      </c>
      <c r="Z2207" t="s">
        <v>188</v>
      </c>
      <c r="AA2207" t="s">
        <v>145</v>
      </c>
      <c r="AB2207" t="s">
        <v>164</v>
      </c>
      <c r="AC2207" t="s">
        <v>21</v>
      </c>
      <c r="AD2207" t="s">
        <v>21</v>
      </c>
      <c r="AE2207" t="s">
        <v>21</v>
      </c>
      <c r="AF2207" t="s">
        <v>21</v>
      </c>
    </row>
    <row r="2208" spans="1:32">
      <c r="A2208" t="s">
        <v>3228</v>
      </c>
      <c r="B2208" s="37">
        <v>39997</v>
      </c>
      <c r="C2208" s="38">
        <v>39997</v>
      </c>
      <c r="D2208" s="38">
        <v>39993</v>
      </c>
      <c r="E2208" s="38">
        <v>39995</v>
      </c>
      <c r="F2208" s="39">
        <v>92</v>
      </c>
      <c r="G2208" t="s">
        <v>496</v>
      </c>
      <c r="H2208" t="s">
        <v>13</v>
      </c>
      <c r="I2208">
        <v>0</v>
      </c>
      <c r="J2208">
        <v>1</v>
      </c>
      <c r="K2208">
        <v>0</v>
      </c>
      <c r="L2208">
        <v>0</v>
      </c>
      <c r="M2208">
        <v>1</v>
      </c>
      <c r="N2208" t="s">
        <v>194</v>
      </c>
      <c r="O2208" t="s">
        <v>213</v>
      </c>
      <c r="P2208" t="s">
        <v>205</v>
      </c>
      <c r="Q2208" t="s">
        <v>171</v>
      </c>
      <c r="R2208" t="s">
        <v>168</v>
      </c>
      <c r="T2208" t="s">
        <v>134</v>
      </c>
      <c r="U2208">
        <v>1</v>
      </c>
      <c r="V2208">
        <v>5</v>
      </c>
      <c r="W2208" t="s">
        <v>135</v>
      </c>
      <c r="X2208">
        <v>0</v>
      </c>
      <c r="Y2208" t="s">
        <v>139</v>
      </c>
      <c r="Z2208" t="s">
        <v>179</v>
      </c>
      <c r="AA2208" t="s">
        <v>142</v>
      </c>
      <c r="AB2208" t="s">
        <v>164</v>
      </c>
      <c r="AC2208" t="s">
        <v>21</v>
      </c>
      <c r="AD2208" t="s">
        <v>21</v>
      </c>
      <c r="AE2208" t="s">
        <v>21</v>
      </c>
      <c r="AF2208" t="s">
        <v>21</v>
      </c>
    </row>
    <row r="2209" spans="1:32">
      <c r="A2209" t="s">
        <v>3229</v>
      </c>
      <c r="B2209" s="37">
        <v>40000</v>
      </c>
      <c r="C2209" s="38">
        <v>40000</v>
      </c>
      <c r="D2209" s="38">
        <v>40000</v>
      </c>
      <c r="E2209" s="38">
        <v>39995</v>
      </c>
      <c r="F2209" s="39">
        <v>95</v>
      </c>
      <c r="G2209" t="s">
        <v>21</v>
      </c>
      <c r="H2209" t="s">
        <v>21</v>
      </c>
      <c r="I2209">
        <v>0</v>
      </c>
      <c r="J2209">
        <v>0</v>
      </c>
      <c r="K2209">
        <v>0</v>
      </c>
      <c r="L2209">
        <v>1</v>
      </c>
      <c r="M2209">
        <v>0</v>
      </c>
      <c r="N2209" t="s">
        <v>194</v>
      </c>
      <c r="O2209" t="s">
        <v>213</v>
      </c>
      <c r="P2209" t="s">
        <v>205</v>
      </c>
      <c r="Q2209" t="s">
        <v>171</v>
      </c>
      <c r="R2209" t="s">
        <v>168</v>
      </c>
      <c r="T2209" t="s">
        <v>134</v>
      </c>
      <c r="U2209">
        <v>1</v>
      </c>
      <c r="V2209">
        <v>5</v>
      </c>
      <c r="W2209" t="s">
        <v>135</v>
      </c>
      <c r="X2209">
        <v>0</v>
      </c>
      <c r="Y2209" t="s">
        <v>139</v>
      </c>
      <c r="Z2209" t="s">
        <v>180</v>
      </c>
      <c r="AA2209" t="s">
        <v>146</v>
      </c>
      <c r="AB2209" t="s">
        <v>164</v>
      </c>
      <c r="AC2209" t="s">
        <v>21</v>
      </c>
      <c r="AD2209" t="s">
        <v>21</v>
      </c>
      <c r="AE2209" t="s">
        <v>21</v>
      </c>
      <c r="AF2209" t="s">
        <v>21</v>
      </c>
    </row>
    <row r="2210" spans="1:32">
      <c r="A2210" t="s">
        <v>3230</v>
      </c>
      <c r="B2210" s="37">
        <v>40001</v>
      </c>
      <c r="C2210" s="38">
        <v>40001</v>
      </c>
      <c r="D2210" s="38">
        <v>40000</v>
      </c>
      <c r="E2210" s="38">
        <v>39995</v>
      </c>
      <c r="F2210" s="39">
        <v>96</v>
      </c>
      <c r="G2210" t="s">
        <v>21</v>
      </c>
      <c r="H2210" t="s">
        <v>21</v>
      </c>
      <c r="I2210">
        <v>0</v>
      </c>
      <c r="J2210">
        <v>0</v>
      </c>
      <c r="K2210">
        <v>0</v>
      </c>
      <c r="L2210">
        <v>1</v>
      </c>
      <c r="M2210">
        <v>0</v>
      </c>
      <c r="N2210" t="s">
        <v>194</v>
      </c>
      <c r="O2210" t="s">
        <v>213</v>
      </c>
      <c r="P2210" t="s">
        <v>205</v>
      </c>
      <c r="Q2210" t="s">
        <v>171</v>
      </c>
      <c r="R2210" t="s">
        <v>168</v>
      </c>
      <c r="T2210" t="s">
        <v>134</v>
      </c>
      <c r="U2210">
        <v>1</v>
      </c>
      <c r="V2210">
        <v>3</v>
      </c>
      <c r="W2210" t="s">
        <v>137</v>
      </c>
      <c r="X2210">
        <v>0</v>
      </c>
      <c r="Y2210" t="s">
        <v>139</v>
      </c>
      <c r="Z2210" t="s">
        <v>180</v>
      </c>
      <c r="AA2210" t="s">
        <v>146</v>
      </c>
      <c r="AB2210" t="s">
        <v>164</v>
      </c>
      <c r="AC2210" t="s">
        <v>21</v>
      </c>
      <c r="AD2210" t="s">
        <v>21</v>
      </c>
      <c r="AE2210" t="s">
        <v>21</v>
      </c>
      <c r="AF2210" t="s">
        <v>21</v>
      </c>
    </row>
    <row r="2211" spans="1:32">
      <c r="A2211" t="s">
        <v>3231</v>
      </c>
      <c r="B2211" s="37">
        <v>40001</v>
      </c>
      <c r="C2211" s="38">
        <v>40001</v>
      </c>
      <c r="D2211" s="38">
        <v>40000</v>
      </c>
      <c r="E2211" s="38">
        <v>39995</v>
      </c>
      <c r="F2211" s="39">
        <v>96</v>
      </c>
      <c r="G2211" t="s">
        <v>21</v>
      </c>
      <c r="H2211" t="s">
        <v>21</v>
      </c>
      <c r="I2211">
        <v>0</v>
      </c>
      <c r="J2211">
        <v>0</v>
      </c>
      <c r="K2211">
        <v>0</v>
      </c>
      <c r="L2211">
        <v>1</v>
      </c>
      <c r="M2211">
        <v>0</v>
      </c>
      <c r="N2211" t="s">
        <v>194</v>
      </c>
      <c r="O2211" t="s">
        <v>213</v>
      </c>
      <c r="P2211" t="s">
        <v>205</v>
      </c>
      <c r="Q2211" t="s">
        <v>171</v>
      </c>
      <c r="R2211" t="s">
        <v>168</v>
      </c>
      <c r="T2211" t="s">
        <v>134</v>
      </c>
      <c r="U2211">
        <v>1</v>
      </c>
      <c r="V2211">
        <v>3</v>
      </c>
      <c r="W2211" t="s">
        <v>137</v>
      </c>
      <c r="X2211">
        <v>0</v>
      </c>
      <c r="Y2211" t="s">
        <v>139</v>
      </c>
      <c r="Z2211" t="s">
        <v>191</v>
      </c>
      <c r="AA2211" t="s">
        <v>142</v>
      </c>
      <c r="AB2211" t="s">
        <v>164</v>
      </c>
      <c r="AC2211" t="s">
        <v>21</v>
      </c>
      <c r="AD2211" t="s">
        <v>21</v>
      </c>
      <c r="AE2211" t="s">
        <v>21</v>
      </c>
      <c r="AF2211" t="s">
        <v>21</v>
      </c>
    </row>
    <row r="2212" spans="1:32">
      <c r="A2212" t="s">
        <v>3232</v>
      </c>
      <c r="B2212" s="37">
        <v>40001</v>
      </c>
      <c r="C2212" s="38">
        <v>40001</v>
      </c>
      <c r="D2212" s="38">
        <v>40000</v>
      </c>
      <c r="E2212" s="38">
        <v>39995</v>
      </c>
      <c r="F2212" s="39">
        <v>96</v>
      </c>
      <c r="G2212" t="s">
        <v>383</v>
      </c>
      <c r="H2212" t="s">
        <v>17</v>
      </c>
      <c r="I2212">
        <v>0</v>
      </c>
      <c r="J2212">
        <v>0</v>
      </c>
      <c r="K2212">
        <v>1</v>
      </c>
      <c r="L2212">
        <v>0</v>
      </c>
      <c r="M2212">
        <v>0</v>
      </c>
      <c r="N2212" t="s">
        <v>194</v>
      </c>
      <c r="O2212" t="s">
        <v>213</v>
      </c>
      <c r="P2212" t="s">
        <v>205</v>
      </c>
      <c r="Q2212" t="s">
        <v>171</v>
      </c>
      <c r="R2212" t="s">
        <v>168</v>
      </c>
      <c r="T2212" t="s">
        <v>134</v>
      </c>
      <c r="U2212">
        <v>1</v>
      </c>
      <c r="V2212">
        <v>3</v>
      </c>
      <c r="W2212" t="s">
        <v>137</v>
      </c>
      <c r="X2212">
        <v>0</v>
      </c>
      <c r="Y2212" t="s">
        <v>139</v>
      </c>
      <c r="Z2212" t="s">
        <v>181</v>
      </c>
      <c r="AA2212" t="s">
        <v>144</v>
      </c>
      <c r="AB2212" t="s">
        <v>164</v>
      </c>
      <c r="AC2212" t="s">
        <v>21</v>
      </c>
      <c r="AD2212" t="s">
        <v>21</v>
      </c>
      <c r="AE2212" t="s">
        <v>21</v>
      </c>
      <c r="AF2212" t="s">
        <v>21</v>
      </c>
    </row>
    <row r="2213" spans="1:32">
      <c r="A2213" t="s">
        <v>3233</v>
      </c>
      <c r="B2213" s="37">
        <v>40001</v>
      </c>
      <c r="C2213" s="38">
        <v>40001</v>
      </c>
      <c r="D2213" s="38">
        <v>40000</v>
      </c>
      <c r="E2213" s="38">
        <v>39995</v>
      </c>
      <c r="F2213" s="39">
        <v>96</v>
      </c>
      <c r="G2213" t="s">
        <v>21</v>
      </c>
      <c r="H2213" t="s">
        <v>21</v>
      </c>
      <c r="I2213">
        <v>0</v>
      </c>
      <c r="J2213">
        <v>0</v>
      </c>
      <c r="K2213">
        <v>0</v>
      </c>
      <c r="L2213">
        <v>1</v>
      </c>
      <c r="M2213">
        <v>0</v>
      </c>
      <c r="N2213" t="s">
        <v>194</v>
      </c>
      <c r="O2213" t="s">
        <v>213</v>
      </c>
      <c r="P2213" t="s">
        <v>205</v>
      </c>
      <c r="Q2213" t="s">
        <v>171</v>
      </c>
      <c r="R2213" t="s">
        <v>168</v>
      </c>
      <c r="T2213" t="s">
        <v>134</v>
      </c>
      <c r="U2213">
        <v>1</v>
      </c>
      <c r="V2213">
        <v>5</v>
      </c>
      <c r="W2213" t="s">
        <v>135</v>
      </c>
      <c r="X2213">
        <v>0</v>
      </c>
      <c r="Y2213" t="s">
        <v>139</v>
      </c>
      <c r="Z2213" t="s">
        <v>413</v>
      </c>
      <c r="AA2213" t="s">
        <v>142</v>
      </c>
      <c r="AB2213" t="s">
        <v>164</v>
      </c>
      <c r="AC2213" t="s">
        <v>21</v>
      </c>
      <c r="AD2213" t="s">
        <v>21</v>
      </c>
      <c r="AE2213" t="s">
        <v>21</v>
      </c>
      <c r="AF2213" t="s">
        <v>21</v>
      </c>
    </row>
    <row r="2214" spans="1:32">
      <c r="A2214" t="s">
        <v>3234</v>
      </c>
      <c r="B2214" s="37">
        <v>40002</v>
      </c>
      <c r="C2214" s="38">
        <v>40002</v>
      </c>
      <c r="D2214" s="38">
        <v>40000</v>
      </c>
      <c r="E2214" s="38">
        <v>39995</v>
      </c>
      <c r="F2214" s="39">
        <v>97</v>
      </c>
      <c r="G2214" t="s">
        <v>496</v>
      </c>
      <c r="H2214" t="s">
        <v>13</v>
      </c>
      <c r="I2214">
        <v>0</v>
      </c>
      <c r="J2214">
        <v>1</v>
      </c>
      <c r="K2214">
        <v>0</v>
      </c>
      <c r="L2214">
        <v>0</v>
      </c>
      <c r="M2214">
        <v>1</v>
      </c>
      <c r="N2214" t="s">
        <v>194</v>
      </c>
      <c r="O2214" t="s">
        <v>213</v>
      </c>
      <c r="P2214" t="s">
        <v>205</v>
      </c>
      <c r="Q2214" t="s">
        <v>171</v>
      </c>
      <c r="R2214" t="s">
        <v>168</v>
      </c>
      <c r="T2214" t="s">
        <v>134</v>
      </c>
      <c r="U2214">
        <v>1</v>
      </c>
      <c r="V2214">
        <v>4</v>
      </c>
      <c r="W2214" t="s">
        <v>137</v>
      </c>
      <c r="X2214">
        <v>0</v>
      </c>
      <c r="Y2214" t="s">
        <v>139</v>
      </c>
      <c r="Z2214" t="s">
        <v>187</v>
      </c>
      <c r="AA2214" t="s">
        <v>145</v>
      </c>
      <c r="AB2214" t="s">
        <v>164</v>
      </c>
      <c r="AC2214" t="s">
        <v>21</v>
      </c>
      <c r="AD2214" t="s">
        <v>21</v>
      </c>
      <c r="AE2214" t="s">
        <v>21</v>
      </c>
      <c r="AF2214" t="s">
        <v>21</v>
      </c>
    </row>
    <row r="2215" spans="1:32">
      <c r="A2215" t="s">
        <v>3235</v>
      </c>
      <c r="B2215" s="37">
        <v>40002</v>
      </c>
      <c r="C2215" s="38">
        <v>40002</v>
      </c>
      <c r="D2215" s="38">
        <v>40000</v>
      </c>
      <c r="E2215" s="38">
        <v>39995</v>
      </c>
      <c r="F2215" s="39">
        <v>97</v>
      </c>
      <c r="G2215" t="s">
        <v>383</v>
      </c>
      <c r="H2215" t="s">
        <v>17</v>
      </c>
      <c r="I2215">
        <v>0</v>
      </c>
      <c r="J2215">
        <v>0</v>
      </c>
      <c r="K2215">
        <v>1</v>
      </c>
      <c r="L2215">
        <v>0</v>
      </c>
      <c r="M2215">
        <v>0</v>
      </c>
      <c r="N2215" t="s">
        <v>194</v>
      </c>
      <c r="O2215" t="s">
        <v>213</v>
      </c>
      <c r="P2215" t="s">
        <v>205</v>
      </c>
      <c r="Q2215" t="s">
        <v>171</v>
      </c>
      <c r="R2215" t="s">
        <v>168</v>
      </c>
      <c r="T2215" t="s">
        <v>134</v>
      </c>
      <c r="U2215">
        <v>1</v>
      </c>
      <c r="V2215">
        <v>2</v>
      </c>
      <c r="W2215" t="s">
        <v>136</v>
      </c>
      <c r="X2215">
        <v>0</v>
      </c>
      <c r="Y2215" t="s">
        <v>139</v>
      </c>
      <c r="Z2215" t="s">
        <v>534</v>
      </c>
      <c r="AA2215" t="s">
        <v>144</v>
      </c>
      <c r="AB2215" t="s">
        <v>164</v>
      </c>
      <c r="AC2215" t="s">
        <v>21</v>
      </c>
      <c r="AD2215" t="s">
        <v>21</v>
      </c>
      <c r="AE2215" t="s">
        <v>21</v>
      </c>
      <c r="AF2215" t="s">
        <v>21</v>
      </c>
    </row>
    <row r="2216" spans="1:32">
      <c r="A2216" t="s">
        <v>3236</v>
      </c>
      <c r="B2216" s="37">
        <v>40002</v>
      </c>
      <c r="C2216" s="38">
        <v>40002</v>
      </c>
      <c r="D2216" s="38">
        <v>40000</v>
      </c>
      <c r="E2216" s="38">
        <v>39995</v>
      </c>
      <c r="F2216" s="39">
        <v>97</v>
      </c>
      <c r="G2216" t="s">
        <v>383</v>
      </c>
      <c r="H2216" t="s">
        <v>17</v>
      </c>
      <c r="I2216">
        <v>0</v>
      </c>
      <c r="J2216">
        <v>0</v>
      </c>
      <c r="K2216">
        <v>1</v>
      </c>
      <c r="L2216">
        <v>0</v>
      </c>
      <c r="M2216">
        <v>0</v>
      </c>
      <c r="N2216" t="s">
        <v>194</v>
      </c>
      <c r="O2216" t="s">
        <v>213</v>
      </c>
      <c r="P2216" t="s">
        <v>205</v>
      </c>
      <c r="Q2216" t="s">
        <v>171</v>
      </c>
      <c r="R2216" t="s">
        <v>168</v>
      </c>
      <c r="T2216" t="s">
        <v>134</v>
      </c>
      <c r="U2216">
        <v>1</v>
      </c>
      <c r="V2216">
        <v>3</v>
      </c>
      <c r="W2216" t="s">
        <v>137</v>
      </c>
      <c r="X2216">
        <v>0</v>
      </c>
      <c r="Y2216" t="s">
        <v>139</v>
      </c>
      <c r="Z2216" t="s">
        <v>182</v>
      </c>
      <c r="AA2216" t="s">
        <v>144</v>
      </c>
      <c r="AB2216" t="s">
        <v>164</v>
      </c>
      <c r="AC2216" t="s">
        <v>21</v>
      </c>
      <c r="AD2216" t="s">
        <v>21</v>
      </c>
      <c r="AE2216" t="s">
        <v>21</v>
      </c>
      <c r="AF2216" t="s">
        <v>21</v>
      </c>
    </row>
    <row r="2217" spans="1:32">
      <c r="A2217" t="s">
        <v>3237</v>
      </c>
      <c r="B2217" s="37">
        <v>40003</v>
      </c>
      <c r="C2217" s="38">
        <v>40003</v>
      </c>
      <c r="D2217" s="38">
        <v>40000</v>
      </c>
      <c r="E2217" s="38">
        <v>39995</v>
      </c>
      <c r="F2217" s="39">
        <v>98</v>
      </c>
      <c r="G2217" t="s">
        <v>383</v>
      </c>
      <c r="H2217" t="s">
        <v>17</v>
      </c>
      <c r="I2217">
        <v>0</v>
      </c>
      <c r="J2217">
        <v>0</v>
      </c>
      <c r="K2217">
        <v>1</v>
      </c>
      <c r="L2217">
        <v>0</v>
      </c>
      <c r="M2217">
        <v>0</v>
      </c>
      <c r="N2217" t="s">
        <v>194</v>
      </c>
      <c r="O2217" t="s">
        <v>213</v>
      </c>
      <c r="P2217" t="s">
        <v>205</v>
      </c>
      <c r="Q2217" t="s">
        <v>171</v>
      </c>
      <c r="R2217" t="s">
        <v>168</v>
      </c>
      <c r="T2217" t="s">
        <v>134</v>
      </c>
      <c r="U2217">
        <v>1</v>
      </c>
      <c r="V2217">
        <v>5</v>
      </c>
      <c r="W2217" t="s">
        <v>135</v>
      </c>
      <c r="X2217">
        <v>0</v>
      </c>
      <c r="Y2217" t="s">
        <v>139</v>
      </c>
      <c r="Z2217" t="s">
        <v>181</v>
      </c>
      <c r="AA2217" t="s">
        <v>149</v>
      </c>
      <c r="AB2217" t="s">
        <v>164</v>
      </c>
      <c r="AC2217" t="s">
        <v>21</v>
      </c>
      <c r="AD2217" t="s">
        <v>21</v>
      </c>
      <c r="AE2217" t="s">
        <v>21</v>
      </c>
      <c r="AF2217" t="s">
        <v>21</v>
      </c>
    </row>
    <row r="2218" spans="1:32">
      <c r="A2218" t="s">
        <v>3238</v>
      </c>
      <c r="B2218" s="37">
        <v>40004</v>
      </c>
      <c r="C2218" s="38">
        <v>40004</v>
      </c>
      <c r="D2218" s="38">
        <v>40000</v>
      </c>
      <c r="E2218" s="38">
        <v>39995</v>
      </c>
      <c r="F2218" s="39">
        <v>99</v>
      </c>
      <c r="G2218" t="s">
        <v>383</v>
      </c>
      <c r="H2218" t="s">
        <v>17</v>
      </c>
      <c r="I2218">
        <v>0</v>
      </c>
      <c r="J2218">
        <v>0</v>
      </c>
      <c r="K2218">
        <v>1</v>
      </c>
      <c r="L2218">
        <v>0</v>
      </c>
      <c r="M2218">
        <v>0</v>
      </c>
      <c r="N2218" t="s">
        <v>194</v>
      </c>
      <c r="O2218" t="s">
        <v>213</v>
      </c>
      <c r="P2218" t="s">
        <v>205</v>
      </c>
      <c r="Q2218" t="s">
        <v>171</v>
      </c>
      <c r="R2218" t="s">
        <v>168</v>
      </c>
      <c r="T2218" t="s">
        <v>134</v>
      </c>
      <c r="U2218">
        <v>1</v>
      </c>
      <c r="V2218">
        <v>4</v>
      </c>
      <c r="W2218" t="s">
        <v>137</v>
      </c>
      <c r="X2218">
        <v>0</v>
      </c>
      <c r="Y2218" t="s">
        <v>139</v>
      </c>
      <c r="Z2218" t="s">
        <v>182</v>
      </c>
      <c r="AA2218" t="s">
        <v>146</v>
      </c>
      <c r="AB2218" t="s">
        <v>164</v>
      </c>
      <c r="AC2218" t="s">
        <v>21</v>
      </c>
      <c r="AD2218" t="s">
        <v>21</v>
      </c>
      <c r="AE2218" t="s">
        <v>21</v>
      </c>
      <c r="AF2218" t="s">
        <v>21</v>
      </c>
    </row>
    <row r="2219" spans="1:32">
      <c r="A2219" t="s">
        <v>3239</v>
      </c>
      <c r="B2219" s="37">
        <v>40004</v>
      </c>
      <c r="C2219" s="38">
        <v>40004</v>
      </c>
      <c r="D2219" s="38">
        <v>40000</v>
      </c>
      <c r="E2219" s="38">
        <v>39995</v>
      </c>
      <c r="F2219" s="39">
        <v>99</v>
      </c>
      <c r="G2219" t="s">
        <v>380</v>
      </c>
      <c r="H2219" t="s">
        <v>17</v>
      </c>
      <c r="I2219">
        <v>0</v>
      </c>
      <c r="J2219">
        <v>0</v>
      </c>
      <c r="K2219">
        <v>1</v>
      </c>
      <c r="L2219">
        <v>0</v>
      </c>
      <c r="M2219">
        <v>0</v>
      </c>
      <c r="N2219" t="s">
        <v>194</v>
      </c>
      <c r="O2219" t="s">
        <v>213</v>
      </c>
      <c r="P2219" t="s">
        <v>205</v>
      </c>
      <c r="Q2219" t="s">
        <v>171</v>
      </c>
      <c r="R2219" t="s">
        <v>168</v>
      </c>
      <c r="T2219" t="s">
        <v>134</v>
      </c>
      <c r="U2219">
        <v>1</v>
      </c>
      <c r="V2219">
        <v>3</v>
      </c>
      <c r="W2219" t="s">
        <v>137</v>
      </c>
      <c r="X2219">
        <v>0</v>
      </c>
      <c r="Y2219" t="s">
        <v>139</v>
      </c>
      <c r="Z2219" t="s">
        <v>178</v>
      </c>
      <c r="AA2219" t="s">
        <v>143</v>
      </c>
      <c r="AB2219" t="s">
        <v>164</v>
      </c>
      <c r="AC2219" t="s">
        <v>21</v>
      </c>
      <c r="AD2219" t="s">
        <v>21</v>
      </c>
      <c r="AE2219" t="s">
        <v>21</v>
      </c>
      <c r="AF2219" t="s">
        <v>21</v>
      </c>
    </row>
    <row r="2220" spans="1:32">
      <c r="A2220" t="s">
        <v>3240</v>
      </c>
      <c r="B2220" s="37">
        <v>40007</v>
      </c>
      <c r="C2220" s="38">
        <v>40007</v>
      </c>
      <c r="D2220" s="38">
        <v>40007</v>
      </c>
      <c r="E2220" s="38">
        <v>39995</v>
      </c>
      <c r="F2220" s="39">
        <v>102</v>
      </c>
      <c r="G2220" t="s">
        <v>9</v>
      </c>
      <c r="H2220" t="s">
        <v>9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194</v>
      </c>
      <c r="O2220" t="s">
        <v>213</v>
      </c>
      <c r="P2220" t="s">
        <v>205</v>
      </c>
      <c r="Q2220" t="s">
        <v>171</v>
      </c>
      <c r="R2220" t="s">
        <v>168</v>
      </c>
      <c r="T2220" t="s">
        <v>134</v>
      </c>
      <c r="U2220">
        <v>1</v>
      </c>
      <c r="W2220" t="s">
        <v>134</v>
      </c>
      <c r="X2220">
        <v>1</v>
      </c>
      <c r="Y2220" t="s">
        <v>139</v>
      </c>
      <c r="Z2220" t="s">
        <v>187</v>
      </c>
      <c r="AA2220" t="s">
        <v>142</v>
      </c>
      <c r="AB2220" t="s">
        <v>164</v>
      </c>
      <c r="AC2220" t="s">
        <v>21</v>
      </c>
      <c r="AD2220" t="s">
        <v>21</v>
      </c>
      <c r="AE2220" t="s">
        <v>21</v>
      </c>
      <c r="AF2220" t="s">
        <v>21</v>
      </c>
    </row>
    <row r="2221" spans="1:32">
      <c r="A2221" t="s">
        <v>3241</v>
      </c>
      <c r="B2221" s="37">
        <v>40007</v>
      </c>
      <c r="C2221" s="38">
        <v>40007</v>
      </c>
      <c r="D2221" s="38">
        <v>40007</v>
      </c>
      <c r="E2221" s="38">
        <v>39995</v>
      </c>
      <c r="F2221" s="39">
        <v>102</v>
      </c>
      <c r="G2221" t="s">
        <v>496</v>
      </c>
      <c r="H2221" t="s">
        <v>13</v>
      </c>
      <c r="I2221">
        <v>0</v>
      </c>
      <c r="J2221">
        <v>1</v>
      </c>
      <c r="K2221">
        <v>0</v>
      </c>
      <c r="L2221">
        <v>0</v>
      </c>
      <c r="M2221">
        <v>1</v>
      </c>
      <c r="N2221" t="s">
        <v>194</v>
      </c>
      <c r="O2221" t="s">
        <v>213</v>
      </c>
      <c r="P2221" t="s">
        <v>205</v>
      </c>
      <c r="Q2221" t="s">
        <v>171</v>
      </c>
      <c r="R2221" t="s">
        <v>168</v>
      </c>
      <c r="S2221">
        <v>5</v>
      </c>
      <c r="T2221" t="s">
        <v>135</v>
      </c>
      <c r="U2221">
        <v>0</v>
      </c>
      <c r="V2221">
        <v>2</v>
      </c>
      <c r="W2221" t="s">
        <v>136</v>
      </c>
      <c r="X2221">
        <v>0</v>
      </c>
      <c r="Y2221" t="s">
        <v>139</v>
      </c>
      <c r="Z2221" t="s">
        <v>181</v>
      </c>
      <c r="AA2221" t="s">
        <v>143</v>
      </c>
      <c r="AB2221" t="s">
        <v>164</v>
      </c>
      <c r="AC2221" t="s">
        <v>21</v>
      </c>
      <c r="AD2221" t="s">
        <v>21</v>
      </c>
      <c r="AE2221" t="s">
        <v>21</v>
      </c>
      <c r="AF2221" t="s">
        <v>21</v>
      </c>
    </row>
    <row r="2222" spans="1:32">
      <c r="A2222" t="s">
        <v>3242</v>
      </c>
      <c r="B2222" s="37">
        <v>40007</v>
      </c>
      <c r="C2222" s="38">
        <v>40007</v>
      </c>
      <c r="D2222" s="38">
        <v>40007</v>
      </c>
      <c r="E2222" s="38">
        <v>39995</v>
      </c>
      <c r="F2222" s="39">
        <v>102</v>
      </c>
      <c r="G2222" t="s">
        <v>9</v>
      </c>
      <c r="H2222" t="s">
        <v>9</v>
      </c>
      <c r="I2222">
        <v>1</v>
      </c>
      <c r="J2222">
        <v>0</v>
      </c>
      <c r="K2222">
        <v>0</v>
      </c>
      <c r="L2222">
        <v>0</v>
      </c>
      <c r="M2222">
        <v>1</v>
      </c>
      <c r="N2222" t="s">
        <v>194</v>
      </c>
      <c r="O2222" t="s">
        <v>213</v>
      </c>
      <c r="P2222" t="s">
        <v>205</v>
      </c>
      <c r="Q2222" t="s">
        <v>171</v>
      </c>
      <c r="R2222" t="s">
        <v>168</v>
      </c>
      <c r="S2222">
        <v>5</v>
      </c>
      <c r="T2222" t="s">
        <v>135</v>
      </c>
      <c r="U2222">
        <v>0</v>
      </c>
      <c r="V2222">
        <v>3</v>
      </c>
      <c r="W2222" t="s">
        <v>137</v>
      </c>
      <c r="X2222">
        <v>0</v>
      </c>
      <c r="Y2222" t="s">
        <v>139</v>
      </c>
      <c r="Z2222" t="s">
        <v>178</v>
      </c>
      <c r="AA2222" t="s">
        <v>144</v>
      </c>
      <c r="AB2222" t="s">
        <v>164</v>
      </c>
      <c r="AC2222" t="s">
        <v>21</v>
      </c>
      <c r="AD2222" t="s">
        <v>21</v>
      </c>
      <c r="AE2222" t="s">
        <v>21</v>
      </c>
      <c r="AF2222" t="s">
        <v>21</v>
      </c>
    </row>
    <row r="2223" spans="1:32">
      <c r="A2223" t="s">
        <v>3243</v>
      </c>
      <c r="B2223" s="37">
        <v>40007</v>
      </c>
      <c r="C2223" s="38">
        <v>40007</v>
      </c>
      <c r="D2223" s="38">
        <v>40007</v>
      </c>
      <c r="E2223" s="38">
        <v>39995</v>
      </c>
      <c r="F2223" s="39">
        <v>102</v>
      </c>
      <c r="G2223" t="s">
        <v>21</v>
      </c>
      <c r="H2223" t="s">
        <v>21</v>
      </c>
      <c r="I2223">
        <v>0</v>
      </c>
      <c r="J2223">
        <v>0</v>
      </c>
      <c r="K2223">
        <v>0</v>
      </c>
      <c r="L2223">
        <v>1</v>
      </c>
      <c r="M2223">
        <v>0</v>
      </c>
      <c r="N2223" t="s">
        <v>194</v>
      </c>
      <c r="O2223" t="s">
        <v>213</v>
      </c>
      <c r="P2223" t="s">
        <v>205</v>
      </c>
      <c r="Q2223" t="s">
        <v>171</v>
      </c>
      <c r="R2223" t="s">
        <v>168</v>
      </c>
      <c r="T2223" t="s">
        <v>134</v>
      </c>
      <c r="U2223">
        <v>1</v>
      </c>
      <c r="W2223" t="s">
        <v>134</v>
      </c>
      <c r="X2223">
        <v>1</v>
      </c>
      <c r="Y2223" t="s">
        <v>139</v>
      </c>
      <c r="Z2223" t="s">
        <v>190</v>
      </c>
      <c r="AA2223" t="s">
        <v>148</v>
      </c>
      <c r="AB2223" t="s">
        <v>164</v>
      </c>
      <c r="AC2223" t="s">
        <v>21</v>
      </c>
      <c r="AD2223" t="s">
        <v>21</v>
      </c>
      <c r="AE2223" t="s">
        <v>21</v>
      </c>
      <c r="AF2223" t="s">
        <v>21</v>
      </c>
    </row>
    <row r="2224" spans="1:32">
      <c r="A2224" t="s">
        <v>3244</v>
      </c>
      <c r="B2224" s="37">
        <v>40007</v>
      </c>
      <c r="C2224" s="38">
        <v>40007</v>
      </c>
      <c r="D2224" s="38">
        <v>40007</v>
      </c>
      <c r="E2224" s="38">
        <v>39995</v>
      </c>
      <c r="F2224" s="39">
        <v>102</v>
      </c>
      <c r="G2224" t="s">
        <v>383</v>
      </c>
      <c r="H2224" t="s">
        <v>17</v>
      </c>
      <c r="I2224">
        <v>0</v>
      </c>
      <c r="J2224">
        <v>0</v>
      </c>
      <c r="K2224">
        <v>1</v>
      </c>
      <c r="L2224">
        <v>0</v>
      </c>
      <c r="M2224">
        <v>0</v>
      </c>
      <c r="N2224" t="s">
        <v>194</v>
      </c>
      <c r="O2224" t="s">
        <v>213</v>
      </c>
      <c r="P2224" t="s">
        <v>205</v>
      </c>
      <c r="Q2224" t="s">
        <v>171</v>
      </c>
      <c r="R2224" t="s">
        <v>168</v>
      </c>
      <c r="S2224">
        <v>5</v>
      </c>
      <c r="T2224" t="s">
        <v>135</v>
      </c>
      <c r="U2224">
        <v>0</v>
      </c>
      <c r="V2224">
        <v>5</v>
      </c>
      <c r="W2224" t="s">
        <v>135</v>
      </c>
      <c r="X2224">
        <v>0</v>
      </c>
      <c r="Y2224" t="s">
        <v>139</v>
      </c>
      <c r="Z2224" t="s">
        <v>191</v>
      </c>
      <c r="AA2224" t="s">
        <v>142</v>
      </c>
      <c r="AB2224" t="s">
        <v>164</v>
      </c>
      <c r="AC2224" t="s">
        <v>21</v>
      </c>
      <c r="AD2224" t="s">
        <v>21</v>
      </c>
      <c r="AE2224" t="s">
        <v>21</v>
      </c>
      <c r="AF2224" t="s">
        <v>21</v>
      </c>
    </row>
    <row r="2225" spans="1:32">
      <c r="A2225" t="s">
        <v>3245</v>
      </c>
      <c r="B2225" s="37">
        <v>40007</v>
      </c>
      <c r="C2225" s="38">
        <v>40007</v>
      </c>
      <c r="D2225" s="38">
        <v>40007</v>
      </c>
      <c r="E2225" s="38">
        <v>39995</v>
      </c>
      <c r="F2225" s="39">
        <v>102</v>
      </c>
      <c r="G2225" t="s">
        <v>21</v>
      </c>
      <c r="H2225" t="s">
        <v>21</v>
      </c>
      <c r="I2225">
        <v>0</v>
      </c>
      <c r="J2225">
        <v>0</v>
      </c>
      <c r="K2225">
        <v>0</v>
      </c>
      <c r="L2225">
        <v>1</v>
      </c>
      <c r="M2225">
        <v>0</v>
      </c>
      <c r="N2225" t="s">
        <v>194</v>
      </c>
      <c r="O2225" t="s">
        <v>213</v>
      </c>
      <c r="P2225" t="s">
        <v>205</v>
      </c>
      <c r="Q2225" t="s">
        <v>171</v>
      </c>
      <c r="R2225" t="s">
        <v>168</v>
      </c>
      <c r="S2225">
        <v>5</v>
      </c>
      <c r="T2225" t="s">
        <v>135</v>
      </c>
      <c r="U2225">
        <v>0</v>
      </c>
      <c r="V2225">
        <v>5</v>
      </c>
      <c r="W2225" t="s">
        <v>135</v>
      </c>
      <c r="X2225">
        <v>0</v>
      </c>
      <c r="Y2225" t="s">
        <v>139</v>
      </c>
      <c r="Z2225" t="s">
        <v>185</v>
      </c>
      <c r="AA2225" t="s">
        <v>148</v>
      </c>
      <c r="AB2225" t="s">
        <v>164</v>
      </c>
      <c r="AC2225" t="s">
        <v>21</v>
      </c>
      <c r="AD2225" t="s">
        <v>21</v>
      </c>
      <c r="AE2225" t="s">
        <v>21</v>
      </c>
      <c r="AF2225" t="s">
        <v>21</v>
      </c>
    </row>
    <row r="2226" spans="1:32">
      <c r="A2226" t="s">
        <v>3246</v>
      </c>
      <c r="B2226" s="37">
        <v>40007</v>
      </c>
      <c r="C2226" s="38">
        <v>40007</v>
      </c>
      <c r="D2226" s="38">
        <v>40007</v>
      </c>
      <c r="E2226" s="38">
        <v>39995</v>
      </c>
      <c r="F2226" s="39">
        <v>102</v>
      </c>
      <c r="G2226" t="s">
        <v>21</v>
      </c>
      <c r="H2226" t="s">
        <v>21</v>
      </c>
      <c r="I2226">
        <v>0</v>
      </c>
      <c r="J2226">
        <v>0</v>
      </c>
      <c r="K2226">
        <v>0</v>
      </c>
      <c r="L2226">
        <v>1</v>
      </c>
      <c r="M2226">
        <v>0</v>
      </c>
      <c r="N2226" t="s">
        <v>194</v>
      </c>
      <c r="O2226" t="s">
        <v>213</v>
      </c>
      <c r="P2226" t="s">
        <v>205</v>
      </c>
      <c r="Q2226" t="s">
        <v>171</v>
      </c>
      <c r="R2226" t="s">
        <v>168</v>
      </c>
      <c r="S2226">
        <v>1</v>
      </c>
      <c r="T2226" t="s">
        <v>136</v>
      </c>
      <c r="U2226">
        <v>0</v>
      </c>
      <c r="V2226">
        <v>3</v>
      </c>
      <c r="W2226" t="s">
        <v>137</v>
      </c>
      <c r="X2226">
        <v>0</v>
      </c>
      <c r="Y2226" t="s">
        <v>139</v>
      </c>
      <c r="Z2226" t="s">
        <v>179</v>
      </c>
      <c r="AA2226" t="s">
        <v>142</v>
      </c>
      <c r="AB2226" t="s">
        <v>164</v>
      </c>
      <c r="AC2226" t="s">
        <v>21</v>
      </c>
      <c r="AD2226" t="s">
        <v>21</v>
      </c>
      <c r="AE2226" t="s">
        <v>21</v>
      </c>
      <c r="AF2226" t="s">
        <v>21</v>
      </c>
    </row>
    <row r="2227" spans="1:32">
      <c r="A2227" t="s">
        <v>3247</v>
      </c>
      <c r="B2227" s="37">
        <v>40007</v>
      </c>
      <c r="C2227" s="38">
        <v>40007</v>
      </c>
      <c r="D2227" s="38">
        <v>40007</v>
      </c>
      <c r="E2227" s="38">
        <v>39995</v>
      </c>
      <c r="F2227" s="39">
        <v>102</v>
      </c>
      <c r="G2227" t="s">
        <v>383</v>
      </c>
      <c r="H2227" t="s">
        <v>17</v>
      </c>
      <c r="I2227">
        <v>0</v>
      </c>
      <c r="J2227">
        <v>0</v>
      </c>
      <c r="K2227">
        <v>1</v>
      </c>
      <c r="L2227">
        <v>0</v>
      </c>
      <c r="M2227">
        <v>0</v>
      </c>
      <c r="N2227" t="s">
        <v>194</v>
      </c>
      <c r="O2227" t="s">
        <v>213</v>
      </c>
      <c r="P2227" t="s">
        <v>205</v>
      </c>
      <c r="Q2227" t="s">
        <v>171</v>
      </c>
      <c r="R2227" t="s">
        <v>168</v>
      </c>
      <c r="T2227" t="s">
        <v>134</v>
      </c>
      <c r="U2227">
        <v>1</v>
      </c>
      <c r="W2227" t="s">
        <v>134</v>
      </c>
      <c r="X2227">
        <v>1</v>
      </c>
      <c r="Y2227" t="s">
        <v>139</v>
      </c>
      <c r="Z2227" t="s">
        <v>178</v>
      </c>
      <c r="AA2227" t="s">
        <v>143</v>
      </c>
      <c r="AB2227" t="s">
        <v>164</v>
      </c>
      <c r="AC2227" t="s">
        <v>21</v>
      </c>
      <c r="AD2227" t="s">
        <v>21</v>
      </c>
      <c r="AE2227" t="s">
        <v>21</v>
      </c>
      <c r="AF2227" t="s">
        <v>21</v>
      </c>
    </row>
    <row r="2228" spans="1:32">
      <c r="A2228" t="s">
        <v>3248</v>
      </c>
      <c r="B2228" s="37">
        <v>40007</v>
      </c>
      <c r="C2228" s="38">
        <v>40007</v>
      </c>
      <c r="D2228" s="38">
        <v>40007</v>
      </c>
      <c r="E2228" s="38">
        <v>39995</v>
      </c>
      <c r="F2228" s="39">
        <v>102</v>
      </c>
      <c r="G2228" t="s">
        <v>383</v>
      </c>
      <c r="H2228" t="s">
        <v>17</v>
      </c>
      <c r="I2228">
        <v>0</v>
      </c>
      <c r="J2228">
        <v>0</v>
      </c>
      <c r="K2228">
        <v>1</v>
      </c>
      <c r="L2228">
        <v>0</v>
      </c>
      <c r="M2228">
        <v>0</v>
      </c>
      <c r="N2228" t="s">
        <v>194</v>
      </c>
      <c r="O2228" t="s">
        <v>213</v>
      </c>
      <c r="P2228" t="s">
        <v>205</v>
      </c>
      <c r="Q2228" t="s">
        <v>171</v>
      </c>
      <c r="R2228" t="s">
        <v>168</v>
      </c>
      <c r="S2228">
        <v>5</v>
      </c>
      <c r="T2228" t="s">
        <v>135</v>
      </c>
      <c r="U2228">
        <v>0</v>
      </c>
      <c r="V2228">
        <v>3</v>
      </c>
      <c r="W2228" t="s">
        <v>137</v>
      </c>
      <c r="X2228">
        <v>0</v>
      </c>
      <c r="Y2228" t="s">
        <v>139</v>
      </c>
      <c r="Z2228" t="s">
        <v>182</v>
      </c>
      <c r="AA2228" t="s">
        <v>146</v>
      </c>
      <c r="AB2228" t="s">
        <v>164</v>
      </c>
      <c r="AC2228" t="s">
        <v>21</v>
      </c>
      <c r="AD2228" t="s">
        <v>21</v>
      </c>
      <c r="AE2228" t="s">
        <v>21</v>
      </c>
      <c r="AF2228" t="s">
        <v>21</v>
      </c>
    </row>
    <row r="2229" spans="1:32">
      <c r="A2229" t="s">
        <v>3249</v>
      </c>
      <c r="B2229" s="37">
        <v>40008</v>
      </c>
      <c r="C2229" s="38">
        <v>40008</v>
      </c>
      <c r="D2229" s="38">
        <v>40007</v>
      </c>
      <c r="E2229" s="38">
        <v>39995</v>
      </c>
      <c r="F2229" s="39">
        <v>103</v>
      </c>
      <c r="G2229" t="s">
        <v>9</v>
      </c>
      <c r="H2229" t="s">
        <v>9</v>
      </c>
      <c r="I2229">
        <v>1</v>
      </c>
      <c r="J2229">
        <v>0</v>
      </c>
      <c r="K2229">
        <v>0</v>
      </c>
      <c r="L2229">
        <v>0</v>
      </c>
      <c r="M2229">
        <v>1</v>
      </c>
      <c r="N2229" t="s">
        <v>194</v>
      </c>
      <c r="O2229" t="s">
        <v>213</v>
      </c>
      <c r="P2229" t="s">
        <v>205</v>
      </c>
      <c r="Q2229" t="s">
        <v>171</v>
      </c>
      <c r="R2229" t="s">
        <v>168</v>
      </c>
      <c r="S2229">
        <v>2</v>
      </c>
      <c r="T2229" t="s">
        <v>136</v>
      </c>
      <c r="U2229">
        <v>0</v>
      </c>
      <c r="V2229">
        <v>5</v>
      </c>
      <c r="W2229" t="s">
        <v>135</v>
      </c>
      <c r="X2229">
        <v>0</v>
      </c>
      <c r="Y2229" t="s">
        <v>139</v>
      </c>
      <c r="Z2229" t="s">
        <v>180</v>
      </c>
      <c r="AA2229" t="s">
        <v>145</v>
      </c>
      <c r="AB2229" t="s">
        <v>164</v>
      </c>
      <c r="AC2229" t="s">
        <v>21</v>
      </c>
      <c r="AD2229" t="s">
        <v>21</v>
      </c>
      <c r="AE2229" t="s">
        <v>21</v>
      </c>
      <c r="AF2229" t="s">
        <v>21</v>
      </c>
    </row>
    <row r="2230" spans="1:32">
      <c r="A2230" t="s">
        <v>3250</v>
      </c>
      <c r="B2230" s="37">
        <v>40008</v>
      </c>
      <c r="C2230" s="38">
        <v>40008</v>
      </c>
      <c r="D2230" s="38">
        <v>40007</v>
      </c>
      <c r="E2230" s="38">
        <v>39995</v>
      </c>
      <c r="F2230" s="39">
        <v>103</v>
      </c>
      <c r="G2230" t="s">
        <v>383</v>
      </c>
      <c r="H2230" t="s">
        <v>17</v>
      </c>
      <c r="I2230">
        <v>0</v>
      </c>
      <c r="J2230">
        <v>0</v>
      </c>
      <c r="K2230">
        <v>1</v>
      </c>
      <c r="L2230">
        <v>0</v>
      </c>
      <c r="M2230">
        <v>0</v>
      </c>
      <c r="N2230" t="s">
        <v>194</v>
      </c>
      <c r="O2230" t="s">
        <v>213</v>
      </c>
      <c r="P2230" t="s">
        <v>205</v>
      </c>
      <c r="Q2230" t="s">
        <v>171</v>
      </c>
      <c r="R2230" t="s">
        <v>168</v>
      </c>
      <c r="S2230">
        <v>5</v>
      </c>
      <c r="T2230" t="s">
        <v>135</v>
      </c>
      <c r="U2230">
        <v>0</v>
      </c>
      <c r="V2230">
        <v>3</v>
      </c>
      <c r="W2230" t="s">
        <v>137</v>
      </c>
      <c r="X2230">
        <v>0</v>
      </c>
      <c r="Y2230" t="s">
        <v>139</v>
      </c>
      <c r="Z2230" t="s">
        <v>179</v>
      </c>
      <c r="AA2230" t="s">
        <v>148</v>
      </c>
      <c r="AB2230" t="s">
        <v>164</v>
      </c>
      <c r="AC2230" t="s">
        <v>21</v>
      </c>
      <c r="AD2230" t="s">
        <v>21</v>
      </c>
      <c r="AE2230" t="s">
        <v>21</v>
      </c>
      <c r="AF2230" t="s">
        <v>21</v>
      </c>
    </row>
    <row r="2231" spans="1:32">
      <c r="A2231" t="s">
        <v>3251</v>
      </c>
      <c r="B2231" s="37">
        <v>40008</v>
      </c>
      <c r="C2231" s="38">
        <v>40008</v>
      </c>
      <c r="D2231" s="38">
        <v>40007</v>
      </c>
      <c r="E2231" s="38">
        <v>39995</v>
      </c>
      <c r="F2231" s="39">
        <v>103</v>
      </c>
      <c r="G2231" t="s">
        <v>21</v>
      </c>
      <c r="H2231" t="s">
        <v>21</v>
      </c>
      <c r="I2231">
        <v>0</v>
      </c>
      <c r="J2231">
        <v>0</v>
      </c>
      <c r="K2231">
        <v>0</v>
      </c>
      <c r="L2231">
        <v>1</v>
      </c>
      <c r="M2231">
        <v>0</v>
      </c>
      <c r="N2231" t="s">
        <v>194</v>
      </c>
      <c r="O2231" t="s">
        <v>213</v>
      </c>
      <c r="P2231" t="s">
        <v>205</v>
      </c>
      <c r="Q2231" t="s">
        <v>171</v>
      </c>
      <c r="R2231" t="s">
        <v>168</v>
      </c>
      <c r="S2231">
        <v>3</v>
      </c>
      <c r="T2231" t="s">
        <v>137</v>
      </c>
      <c r="U2231">
        <v>0</v>
      </c>
      <c r="V2231">
        <v>2</v>
      </c>
      <c r="W2231" t="s">
        <v>136</v>
      </c>
      <c r="X2231">
        <v>0</v>
      </c>
      <c r="Y2231" t="s">
        <v>139</v>
      </c>
      <c r="Z2231" t="s">
        <v>178</v>
      </c>
      <c r="AA2231" t="s">
        <v>148</v>
      </c>
      <c r="AB2231" t="s">
        <v>164</v>
      </c>
      <c r="AC2231" t="s">
        <v>21</v>
      </c>
      <c r="AD2231" t="s">
        <v>21</v>
      </c>
      <c r="AE2231" t="s">
        <v>21</v>
      </c>
      <c r="AF2231" t="s">
        <v>21</v>
      </c>
    </row>
    <row r="2232" spans="1:32">
      <c r="A2232" t="s">
        <v>3252</v>
      </c>
      <c r="B2232" s="37">
        <v>40008</v>
      </c>
      <c r="C2232" s="38">
        <v>40008</v>
      </c>
      <c r="D2232" s="38">
        <v>40007</v>
      </c>
      <c r="E2232" s="38">
        <v>39995</v>
      </c>
      <c r="F2232" s="39">
        <v>103</v>
      </c>
      <c r="G2232" t="s">
        <v>383</v>
      </c>
      <c r="H2232" t="s">
        <v>17</v>
      </c>
      <c r="I2232">
        <v>0</v>
      </c>
      <c r="J2232">
        <v>0</v>
      </c>
      <c r="K2232">
        <v>1</v>
      </c>
      <c r="L2232">
        <v>0</v>
      </c>
      <c r="M2232">
        <v>0</v>
      </c>
      <c r="N2232" t="s">
        <v>194</v>
      </c>
      <c r="O2232" t="s">
        <v>213</v>
      </c>
      <c r="P2232" t="s">
        <v>205</v>
      </c>
      <c r="Q2232" t="s">
        <v>171</v>
      </c>
      <c r="R2232" t="s">
        <v>168</v>
      </c>
      <c r="S2232">
        <v>1</v>
      </c>
      <c r="T2232" t="s">
        <v>136</v>
      </c>
      <c r="U2232">
        <v>0</v>
      </c>
      <c r="V2232">
        <v>3</v>
      </c>
      <c r="W2232" t="s">
        <v>137</v>
      </c>
      <c r="X2232">
        <v>0</v>
      </c>
      <c r="Y2232" t="s">
        <v>139</v>
      </c>
      <c r="Z2232" t="s">
        <v>186</v>
      </c>
      <c r="AA2232" t="s">
        <v>149</v>
      </c>
      <c r="AB2232" t="s">
        <v>164</v>
      </c>
      <c r="AC2232" t="s">
        <v>21</v>
      </c>
      <c r="AD2232" t="s">
        <v>21</v>
      </c>
      <c r="AE2232" t="s">
        <v>21</v>
      </c>
      <c r="AF2232" t="s">
        <v>21</v>
      </c>
    </row>
    <row r="2233" spans="1:32">
      <c r="A2233" t="s">
        <v>3253</v>
      </c>
      <c r="B2233" s="37">
        <v>40009</v>
      </c>
      <c r="C2233" s="38">
        <v>40009</v>
      </c>
      <c r="D2233" s="38">
        <v>40007</v>
      </c>
      <c r="E2233" s="38">
        <v>39995</v>
      </c>
      <c r="F2233" s="39">
        <v>104</v>
      </c>
      <c r="G2233" t="s">
        <v>21</v>
      </c>
      <c r="H2233" t="s">
        <v>21</v>
      </c>
      <c r="I2233">
        <v>0</v>
      </c>
      <c r="J2233">
        <v>0</v>
      </c>
      <c r="K2233">
        <v>0</v>
      </c>
      <c r="L2233">
        <v>1</v>
      </c>
      <c r="M2233">
        <v>0</v>
      </c>
      <c r="N2233" t="s">
        <v>194</v>
      </c>
      <c r="O2233" t="s">
        <v>213</v>
      </c>
      <c r="P2233" t="s">
        <v>205</v>
      </c>
      <c r="Q2233" t="s">
        <v>171</v>
      </c>
      <c r="R2233" t="s">
        <v>168</v>
      </c>
      <c r="S2233">
        <v>5</v>
      </c>
      <c r="T2233" t="s">
        <v>135</v>
      </c>
      <c r="U2233">
        <v>0</v>
      </c>
      <c r="V2233">
        <v>3</v>
      </c>
      <c r="W2233" t="s">
        <v>137</v>
      </c>
      <c r="X2233">
        <v>0</v>
      </c>
      <c r="Y2233" t="s">
        <v>139</v>
      </c>
      <c r="Z2233" t="s">
        <v>180</v>
      </c>
      <c r="AA2233" t="s">
        <v>148</v>
      </c>
      <c r="AB2233" t="s">
        <v>164</v>
      </c>
      <c r="AC2233" t="s">
        <v>21</v>
      </c>
      <c r="AD2233" t="s">
        <v>21</v>
      </c>
      <c r="AE2233" t="s">
        <v>21</v>
      </c>
      <c r="AF2233" t="s">
        <v>21</v>
      </c>
    </row>
    <row r="2234" spans="1:32">
      <c r="A2234" t="s">
        <v>3254</v>
      </c>
      <c r="B2234" s="37">
        <v>40009</v>
      </c>
      <c r="C2234" s="38">
        <v>40009</v>
      </c>
      <c r="D2234" s="38">
        <v>40007</v>
      </c>
      <c r="E2234" s="38">
        <v>39995</v>
      </c>
      <c r="F2234" s="39">
        <v>104</v>
      </c>
      <c r="G2234" t="s">
        <v>21</v>
      </c>
      <c r="H2234" t="s">
        <v>21</v>
      </c>
      <c r="I2234">
        <v>0</v>
      </c>
      <c r="J2234">
        <v>0</v>
      </c>
      <c r="K2234">
        <v>0</v>
      </c>
      <c r="L2234">
        <v>1</v>
      </c>
      <c r="M2234">
        <v>0</v>
      </c>
      <c r="N2234" t="s">
        <v>194</v>
      </c>
      <c r="O2234" t="s">
        <v>213</v>
      </c>
      <c r="P2234" t="s">
        <v>205</v>
      </c>
      <c r="Q2234" t="s">
        <v>171</v>
      </c>
      <c r="R2234" t="s">
        <v>168</v>
      </c>
      <c r="S2234">
        <v>1</v>
      </c>
      <c r="T2234" t="s">
        <v>136</v>
      </c>
      <c r="U2234">
        <v>0</v>
      </c>
      <c r="V2234">
        <v>3</v>
      </c>
      <c r="W2234" t="s">
        <v>137</v>
      </c>
      <c r="X2234">
        <v>0</v>
      </c>
      <c r="Y2234" t="s">
        <v>139</v>
      </c>
      <c r="Z2234" t="s">
        <v>447</v>
      </c>
      <c r="AA2234" t="s">
        <v>144</v>
      </c>
      <c r="AB2234" t="s">
        <v>164</v>
      </c>
      <c r="AC2234" t="s">
        <v>21</v>
      </c>
      <c r="AD2234" t="s">
        <v>21</v>
      </c>
      <c r="AE2234" t="s">
        <v>21</v>
      </c>
      <c r="AF2234" t="s">
        <v>21</v>
      </c>
    </row>
    <row r="2235" spans="1:32">
      <c r="A2235" t="s">
        <v>3255</v>
      </c>
      <c r="B2235" s="37">
        <v>40009</v>
      </c>
      <c r="C2235" s="38">
        <v>40009</v>
      </c>
      <c r="D2235" s="38">
        <v>40007</v>
      </c>
      <c r="E2235" s="38">
        <v>39995</v>
      </c>
      <c r="F2235" s="39">
        <v>104</v>
      </c>
      <c r="G2235" t="s">
        <v>380</v>
      </c>
      <c r="H2235" t="s">
        <v>17</v>
      </c>
      <c r="I2235">
        <v>0</v>
      </c>
      <c r="J2235">
        <v>0</v>
      </c>
      <c r="K2235">
        <v>1</v>
      </c>
      <c r="L2235">
        <v>0</v>
      </c>
      <c r="M2235">
        <v>0</v>
      </c>
      <c r="N2235" t="s">
        <v>194</v>
      </c>
      <c r="O2235" t="s">
        <v>213</v>
      </c>
      <c r="P2235" t="s">
        <v>205</v>
      </c>
      <c r="Q2235" t="s">
        <v>171</v>
      </c>
      <c r="R2235" t="s">
        <v>168</v>
      </c>
      <c r="S2235">
        <v>1</v>
      </c>
      <c r="T2235" t="s">
        <v>136</v>
      </c>
      <c r="U2235">
        <v>0</v>
      </c>
      <c r="V2235">
        <v>4</v>
      </c>
      <c r="W2235" t="s">
        <v>137</v>
      </c>
      <c r="X2235">
        <v>0</v>
      </c>
      <c r="Y2235" t="s">
        <v>139</v>
      </c>
      <c r="Z2235" t="s">
        <v>178</v>
      </c>
      <c r="AA2235" t="s">
        <v>142</v>
      </c>
      <c r="AB2235" t="s">
        <v>164</v>
      </c>
      <c r="AC2235" t="s">
        <v>21</v>
      </c>
      <c r="AD2235" t="s">
        <v>21</v>
      </c>
      <c r="AE2235" t="s">
        <v>21</v>
      </c>
      <c r="AF2235" t="s">
        <v>21</v>
      </c>
    </row>
    <row r="2236" spans="1:32">
      <c r="A2236" t="s">
        <v>3256</v>
      </c>
      <c r="B2236" s="37">
        <v>40010</v>
      </c>
      <c r="C2236" s="38">
        <v>40010</v>
      </c>
      <c r="D2236" s="38">
        <v>40007</v>
      </c>
      <c r="E2236" s="38">
        <v>39995</v>
      </c>
      <c r="F2236" s="39">
        <v>105</v>
      </c>
      <c r="G2236" t="s">
        <v>21</v>
      </c>
      <c r="H2236" t="s">
        <v>21</v>
      </c>
      <c r="I2236">
        <v>0</v>
      </c>
      <c r="J2236">
        <v>0</v>
      </c>
      <c r="K2236">
        <v>0</v>
      </c>
      <c r="L2236">
        <v>1</v>
      </c>
      <c r="M2236">
        <v>0</v>
      </c>
      <c r="N2236" t="s">
        <v>194</v>
      </c>
      <c r="O2236" t="s">
        <v>213</v>
      </c>
      <c r="P2236" t="s">
        <v>205</v>
      </c>
      <c r="Q2236" t="s">
        <v>171</v>
      </c>
      <c r="R2236" t="s">
        <v>168</v>
      </c>
      <c r="S2236">
        <v>5</v>
      </c>
      <c r="T2236" t="s">
        <v>135</v>
      </c>
      <c r="U2236">
        <v>0</v>
      </c>
      <c r="V2236">
        <v>3</v>
      </c>
      <c r="W2236" t="s">
        <v>137</v>
      </c>
      <c r="X2236">
        <v>0</v>
      </c>
      <c r="Y2236" t="s">
        <v>139</v>
      </c>
      <c r="Z2236" t="s">
        <v>190</v>
      </c>
      <c r="AA2236" t="s">
        <v>148</v>
      </c>
      <c r="AB2236" t="s">
        <v>164</v>
      </c>
      <c r="AC2236" t="s">
        <v>21</v>
      </c>
      <c r="AD2236" t="s">
        <v>21</v>
      </c>
      <c r="AE2236" t="s">
        <v>21</v>
      </c>
      <c r="AF2236" t="s">
        <v>21</v>
      </c>
    </row>
    <row r="2237" spans="1:32">
      <c r="A2237" t="s">
        <v>3257</v>
      </c>
      <c r="B2237" s="37">
        <v>40010</v>
      </c>
      <c r="C2237" s="38">
        <v>40010</v>
      </c>
      <c r="D2237" s="38">
        <v>40007</v>
      </c>
      <c r="E2237" s="38">
        <v>39995</v>
      </c>
      <c r="F2237" s="39">
        <v>105</v>
      </c>
      <c r="G2237" t="s">
        <v>380</v>
      </c>
      <c r="H2237" t="s">
        <v>17</v>
      </c>
      <c r="I2237">
        <v>0</v>
      </c>
      <c r="J2237">
        <v>0</v>
      </c>
      <c r="K2237">
        <v>1</v>
      </c>
      <c r="L2237">
        <v>0</v>
      </c>
      <c r="M2237">
        <v>0</v>
      </c>
      <c r="N2237" t="s">
        <v>194</v>
      </c>
      <c r="O2237" t="s">
        <v>213</v>
      </c>
      <c r="P2237" t="s">
        <v>205</v>
      </c>
      <c r="Q2237" t="s">
        <v>171</v>
      </c>
      <c r="R2237" t="s">
        <v>168</v>
      </c>
      <c r="S2237">
        <v>4</v>
      </c>
      <c r="T2237" t="s">
        <v>137</v>
      </c>
      <c r="U2237">
        <v>0</v>
      </c>
      <c r="V2237">
        <v>3</v>
      </c>
      <c r="W2237" t="s">
        <v>137</v>
      </c>
      <c r="X2237">
        <v>0</v>
      </c>
      <c r="Y2237" t="s">
        <v>139</v>
      </c>
      <c r="Z2237" t="s">
        <v>179</v>
      </c>
      <c r="AA2237" t="s">
        <v>142</v>
      </c>
      <c r="AB2237" t="s">
        <v>164</v>
      </c>
      <c r="AC2237" t="s">
        <v>21</v>
      </c>
      <c r="AD2237" t="s">
        <v>21</v>
      </c>
      <c r="AE2237" t="s">
        <v>21</v>
      </c>
      <c r="AF2237" t="s">
        <v>21</v>
      </c>
    </row>
    <row r="2238" spans="1:32">
      <c r="A2238" t="s">
        <v>3258</v>
      </c>
      <c r="B2238" s="37">
        <v>40010</v>
      </c>
      <c r="C2238" s="38">
        <v>40010</v>
      </c>
      <c r="D2238" s="38">
        <v>40007</v>
      </c>
      <c r="E2238" s="38">
        <v>39995</v>
      </c>
      <c r="F2238" s="39">
        <v>105</v>
      </c>
      <c r="G2238" t="s">
        <v>21</v>
      </c>
      <c r="H2238" t="s">
        <v>21</v>
      </c>
      <c r="I2238">
        <v>0</v>
      </c>
      <c r="J2238">
        <v>0</v>
      </c>
      <c r="K2238">
        <v>0</v>
      </c>
      <c r="L2238">
        <v>1</v>
      </c>
      <c r="M2238">
        <v>0</v>
      </c>
      <c r="N2238" t="s">
        <v>194</v>
      </c>
      <c r="O2238" t="s">
        <v>213</v>
      </c>
      <c r="P2238" t="s">
        <v>205</v>
      </c>
      <c r="Q2238" t="s">
        <v>171</v>
      </c>
      <c r="R2238" t="s">
        <v>168</v>
      </c>
      <c r="S2238">
        <v>5</v>
      </c>
      <c r="T2238" t="s">
        <v>135</v>
      </c>
      <c r="U2238">
        <v>0</v>
      </c>
      <c r="V2238">
        <v>2</v>
      </c>
      <c r="W2238" t="s">
        <v>136</v>
      </c>
      <c r="X2238">
        <v>0</v>
      </c>
      <c r="Y2238" t="s">
        <v>139</v>
      </c>
      <c r="Z2238" t="s">
        <v>184</v>
      </c>
      <c r="AA2238" t="s">
        <v>150</v>
      </c>
      <c r="AB2238" t="s">
        <v>164</v>
      </c>
      <c r="AC2238" t="s">
        <v>21</v>
      </c>
      <c r="AD2238" t="s">
        <v>21</v>
      </c>
      <c r="AE2238" t="s">
        <v>21</v>
      </c>
      <c r="AF2238" t="s">
        <v>21</v>
      </c>
    </row>
    <row r="2239" spans="1:32">
      <c r="A2239" t="s">
        <v>3259</v>
      </c>
      <c r="B2239" s="37">
        <v>40014</v>
      </c>
      <c r="C2239" s="38">
        <v>40014</v>
      </c>
      <c r="D2239" s="38">
        <v>40014</v>
      </c>
      <c r="E2239" s="38">
        <v>39995</v>
      </c>
      <c r="F2239" s="39">
        <v>109</v>
      </c>
      <c r="G2239" t="s">
        <v>21</v>
      </c>
      <c r="H2239" t="s">
        <v>21</v>
      </c>
      <c r="I2239">
        <v>0</v>
      </c>
      <c r="J2239">
        <v>0</v>
      </c>
      <c r="K2239">
        <v>0</v>
      </c>
      <c r="L2239">
        <v>1</v>
      </c>
      <c r="M2239">
        <v>0</v>
      </c>
      <c r="N2239" t="s">
        <v>194</v>
      </c>
      <c r="O2239" t="s">
        <v>213</v>
      </c>
      <c r="P2239" t="s">
        <v>205</v>
      </c>
      <c r="Q2239" t="s">
        <v>171</v>
      </c>
      <c r="R2239" t="s">
        <v>168</v>
      </c>
      <c r="S2239">
        <v>5</v>
      </c>
      <c r="T2239" t="s">
        <v>135</v>
      </c>
      <c r="U2239">
        <v>0</v>
      </c>
      <c r="V2239">
        <v>3</v>
      </c>
      <c r="W2239" t="s">
        <v>137</v>
      </c>
      <c r="X2239">
        <v>0</v>
      </c>
      <c r="Y2239" t="s">
        <v>139</v>
      </c>
      <c r="Z2239" t="s">
        <v>184</v>
      </c>
      <c r="AA2239" t="s">
        <v>144</v>
      </c>
      <c r="AB2239" t="s">
        <v>164</v>
      </c>
      <c r="AC2239" t="s">
        <v>21</v>
      </c>
      <c r="AD2239" t="s">
        <v>21</v>
      </c>
      <c r="AE2239" t="s">
        <v>21</v>
      </c>
      <c r="AF2239" t="s">
        <v>21</v>
      </c>
    </row>
    <row r="2240" spans="1:32">
      <c r="A2240" t="s">
        <v>3260</v>
      </c>
      <c r="B2240" s="37">
        <v>40014</v>
      </c>
      <c r="C2240" s="38">
        <v>40014</v>
      </c>
      <c r="D2240" s="38">
        <v>40014</v>
      </c>
      <c r="E2240" s="38">
        <v>39995</v>
      </c>
      <c r="F2240" s="39">
        <v>109</v>
      </c>
      <c r="G2240" t="s">
        <v>21</v>
      </c>
      <c r="H2240" t="s">
        <v>21</v>
      </c>
      <c r="I2240">
        <v>0</v>
      </c>
      <c r="J2240">
        <v>0</v>
      </c>
      <c r="K2240">
        <v>0</v>
      </c>
      <c r="L2240">
        <v>1</v>
      </c>
      <c r="M2240">
        <v>0</v>
      </c>
      <c r="N2240" t="s">
        <v>194</v>
      </c>
      <c r="O2240" t="s">
        <v>213</v>
      </c>
      <c r="P2240" t="s">
        <v>205</v>
      </c>
      <c r="Q2240" t="s">
        <v>171</v>
      </c>
      <c r="R2240" t="s">
        <v>168</v>
      </c>
      <c r="S2240">
        <v>5</v>
      </c>
      <c r="T2240" t="s">
        <v>135</v>
      </c>
      <c r="U2240">
        <v>0</v>
      </c>
      <c r="V2240">
        <v>3</v>
      </c>
      <c r="W2240" t="s">
        <v>137</v>
      </c>
      <c r="X2240">
        <v>0</v>
      </c>
      <c r="Y2240" t="s">
        <v>139</v>
      </c>
      <c r="Z2240" t="s">
        <v>180</v>
      </c>
      <c r="AA2240" t="s">
        <v>142</v>
      </c>
      <c r="AB2240" t="s">
        <v>164</v>
      </c>
      <c r="AC2240" t="s">
        <v>21</v>
      </c>
      <c r="AD2240" t="s">
        <v>21</v>
      </c>
      <c r="AE2240" t="s">
        <v>21</v>
      </c>
      <c r="AF2240" t="s">
        <v>21</v>
      </c>
    </row>
    <row r="2241" spans="1:32">
      <c r="A2241" t="s">
        <v>3261</v>
      </c>
      <c r="B2241" s="37">
        <v>40014</v>
      </c>
      <c r="C2241" s="38">
        <v>40014</v>
      </c>
      <c r="D2241" s="38">
        <v>40014</v>
      </c>
      <c r="E2241" s="38">
        <v>39995</v>
      </c>
      <c r="F2241" s="39">
        <v>109</v>
      </c>
      <c r="G2241" t="s">
        <v>380</v>
      </c>
      <c r="H2241" t="s">
        <v>17</v>
      </c>
      <c r="I2241">
        <v>0</v>
      </c>
      <c r="J2241">
        <v>0</v>
      </c>
      <c r="K2241">
        <v>1</v>
      </c>
      <c r="L2241">
        <v>0</v>
      </c>
      <c r="M2241">
        <v>0</v>
      </c>
      <c r="N2241" t="s">
        <v>194</v>
      </c>
      <c r="O2241" t="s">
        <v>213</v>
      </c>
      <c r="P2241" t="s">
        <v>205</v>
      </c>
      <c r="Q2241" t="s">
        <v>171</v>
      </c>
      <c r="R2241" t="s">
        <v>168</v>
      </c>
      <c r="S2241">
        <v>5</v>
      </c>
      <c r="T2241" t="s">
        <v>135</v>
      </c>
      <c r="U2241">
        <v>0</v>
      </c>
      <c r="V2241">
        <v>5</v>
      </c>
      <c r="W2241" t="s">
        <v>135</v>
      </c>
      <c r="X2241">
        <v>0</v>
      </c>
      <c r="Y2241" t="s">
        <v>139</v>
      </c>
      <c r="Z2241" t="s">
        <v>180</v>
      </c>
      <c r="AA2241" t="s">
        <v>148</v>
      </c>
      <c r="AB2241" t="s">
        <v>164</v>
      </c>
      <c r="AC2241" t="s">
        <v>21</v>
      </c>
      <c r="AD2241" t="s">
        <v>21</v>
      </c>
      <c r="AE2241" t="s">
        <v>21</v>
      </c>
      <c r="AF2241" t="s">
        <v>21</v>
      </c>
    </row>
    <row r="2242" spans="1:32">
      <c r="A2242" t="s">
        <v>3262</v>
      </c>
      <c r="B2242" s="37">
        <v>40015</v>
      </c>
      <c r="C2242" s="38">
        <v>40015</v>
      </c>
      <c r="D2242" s="38">
        <v>40014</v>
      </c>
      <c r="E2242" s="38">
        <v>39995</v>
      </c>
      <c r="F2242" s="39">
        <v>110</v>
      </c>
      <c r="G2242" t="s">
        <v>383</v>
      </c>
      <c r="H2242" t="s">
        <v>17</v>
      </c>
      <c r="I2242">
        <v>0</v>
      </c>
      <c r="J2242">
        <v>0</v>
      </c>
      <c r="K2242">
        <v>1</v>
      </c>
      <c r="L2242">
        <v>0</v>
      </c>
      <c r="M2242">
        <v>0</v>
      </c>
      <c r="N2242" t="s">
        <v>194</v>
      </c>
      <c r="O2242" t="s">
        <v>213</v>
      </c>
      <c r="P2242" t="s">
        <v>205</v>
      </c>
      <c r="Q2242" t="s">
        <v>171</v>
      </c>
      <c r="R2242" t="s">
        <v>168</v>
      </c>
      <c r="S2242">
        <v>5</v>
      </c>
      <c r="T2242" t="s">
        <v>135</v>
      </c>
      <c r="U2242">
        <v>0</v>
      </c>
      <c r="V2242">
        <v>3</v>
      </c>
      <c r="W2242" t="s">
        <v>137</v>
      </c>
      <c r="X2242">
        <v>0</v>
      </c>
      <c r="Y2242" t="s">
        <v>139</v>
      </c>
      <c r="Z2242" t="s">
        <v>183</v>
      </c>
      <c r="AA2242" t="s">
        <v>144</v>
      </c>
      <c r="AB2242" t="s">
        <v>164</v>
      </c>
      <c r="AC2242" t="s">
        <v>21</v>
      </c>
      <c r="AD2242" t="s">
        <v>21</v>
      </c>
      <c r="AE2242" t="s">
        <v>21</v>
      </c>
      <c r="AF2242" t="s">
        <v>21</v>
      </c>
    </row>
    <row r="2243" spans="1:32">
      <c r="A2243" t="s">
        <v>3263</v>
      </c>
      <c r="B2243" s="37">
        <v>40015</v>
      </c>
      <c r="C2243" s="38">
        <v>40015</v>
      </c>
      <c r="D2243" s="38">
        <v>40014</v>
      </c>
      <c r="E2243" s="38">
        <v>39995</v>
      </c>
      <c r="F2243" s="39">
        <v>110</v>
      </c>
      <c r="G2243" t="s">
        <v>525</v>
      </c>
      <c r="H2243" t="s">
        <v>17</v>
      </c>
      <c r="I2243">
        <v>0</v>
      </c>
      <c r="J2243">
        <v>0</v>
      </c>
      <c r="K2243">
        <v>1</v>
      </c>
      <c r="L2243">
        <v>0</v>
      </c>
      <c r="M2243">
        <v>0</v>
      </c>
      <c r="N2243" t="s">
        <v>194</v>
      </c>
      <c r="O2243" t="s">
        <v>213</v>
      </c>
      <c r="P2243" t="s">
        <v>205</v>
      </c>
      <c r="Q2243" t="s">
        <v>171</v>
      </c>
      <c r="R2243" t="s">
        <v>168</v>
      </c>
      <c r="S2243">
        <v>5</v>
      </c>
      <c r="T2243" t="s">
        <v>135</v>
      </c>
      <c r="U2243">
        <v>0</v>
      </c>
      <c r="V2243">
        <v>5</v>
      </c>
      <c r="W2243" t="s">
        <v>135</v>
      </c>
      <c r="X2243">
        <v>0</v>
      </c>
      <c r="Y2243" t="s">
        <v>139</v>
      </c>
      <c r="Z2243" t="s">
        <v>185</v>
      </c>
      <c r="AA2243" t="s">
        <v>142</v>
      </c>
      <c r="AB2243" t="s">
        <v>164</v>
      </c>
      <c r="AC2243" t="s">
        <v>21</v>
      </c>
      <c r="AD2243" t="s">
        <v>21</v>
      </c>
      <c r="AE2243" t="s">
        <v>21</v>
      </c>
      <c r="AF2243" t="s">
        <v>21</v>
      </c>
    </row>
    <row r="2244" spans="1:32">
      <c r="A2244" t="s">
        <v>3264</v>
      </c>
      <c r="B2244" s="37">
        <v>40015</v>
      </c>
      <c r="C2244" s="38">
        <v>40015</v>
      </c>
      <c r="D2244" s="38">
        <v>40014</v>
      </c>
      <c r="E2244" s="38">
        <v>39995</v>
      </c>
      <c r="F2244" s="39">
        <v>110</v>
      </c>
      <c r="G2244" t="s">
        <v>21</v>
      </c>
      <c r="H2244" t="s">
        <v>21</v>
      </c>
      <c r="I2244">
        <v>0</v>
      </c>
      <c r="J2244">
        <v>0</v>
      </c>
      <c r="K2244">
        <v>0</v>
      </c>
      <c r="L2244">
        <v>1</v>
      </c>
      <c r="M2244">
        <v>0</v>
      </c>
      <c r="N2244" t="s">
        <v>194</v>
      </c>
      <c r="O2244" t="s">
        <v>213</v>
      </c>
      <c r="P2244" t="s">
        <v>205</v>
      </c>
      <c r="Q2244" t="s">
        <v>171</v>
      </c>
      <c r="R2244" t="s">
        <v>168</v>
      </c>
      <c r="S2244">
        <v>4</v>
      </c>
      <c r="T2244" t="s">
        <v>137</v>
      </c>
      <c r="U2244">
        <v>0</v>
      </c>
      <c r="V2244">
        <v>3</v>
      </c>
      <c r="W2244" t="s">
        <v>137</v>
      </c>
      <c r="X2244">
        <v>0</v>
      </c>
      <c r="Y2244" t="s">
        <v>139</v>
      </c>
      <c r="Z2244" t="s">
        <v>534</v>
      </c>
      <c r="AA2244" t="s">
        <v>144</v>
      </c>
      <c r="AB2244" t="s">
        <v>164</v>
      </c>
      <c r="AC2244" t="s">
        <v>21</v>
      </c>
      <c r="AD2244" t="s">
        <v>21</v>
      </c>
      <c r="AE2244" t="s">
        <v>21</v>
      </c>
      <c r="AF2244" t="s">
        <v>21</v>
      </c>
    </row>
    <row r="2245" spans="1:32">
      <c r="A2245" t="s">
        <v>3265</v>
      </c>
      <c r="B2245" s="37">
        <v>40016</v>
      </c>
      <c r="C2245" s="38">
        <v>40016</v>
      </c>
      <c r="D2245" s="38">
        <v>40014</v>
      </c>
      <c r="E2245" s="38">
        <v>39995</v>
      </c>
      <c r="F2245" s="39">
        <v>111</v>
      </c>
      <c r="G2245" t="s">
        <v>21</v>
      </c>
      <c r="H2245" t="s">
        <v>21</v>
      </c>
      <c r="I2245">
        <v>0</v>
      </c>
      <c r="J2245">
        <v>0</v>
      </c>
      <c r="K2245">
        <v>0</v>
      </c>
      <c r="L2245">
        <v>1</v>
      </c>
      <c r="M2245">
        <v>0</v>
      </c>
      <c r="N2245" t="s">
        <v>194</v>
      </c>
      <c r="O2245" t="s">
        <v>213</v>
      </c>
      <c r="P2245" t="s">
        <v>205</v>
      </c>
      <c r="Q2245" t="s">
        <v>171</v>
      </c>
      <c r="R2245" t="s">
        <v>168</v>
      </c>
      <c r="S2245">
        <v>5</v>
      </c>
      <c r="T2245" t="s">
        <v>135</v>
      </c>
      <c r="U2245">
        <v>0</v>
      </c>
      <c r="V2245">
        <v>3</v>
      </c>
      <c r="W2245" t="s">
        <v>137</v>
      </c>
      <c r="X2245">
        <v>0</v>
      </c>
      <c r="Y2245" t="s">
        <v>139</v>
      </c>
      <c r="Z2245" t="s">
        <v>189</v>
      </c>
      <c r="AA2245" t="s">
        <v>143</v>
      </c>
      <c r="AB2245" t="s">
        <v>164</v>
      </c>
      <c r="AC2245" t="s">
        <v>21</v>
      </c>
      <c r="AD2245" t="s">
        <v>21</v>
      </c>
      <c r="AE2245" t="s">
        <v>21</v>
      </c>
      <c r="AF2245" t="s">
        <v>21</v>
      </c>
    </row>
    <row r="2246" spans="1:32">
      <c r="A2246" t="s">
        <v>3266</v>
      </c>
      <c r="B2246" s="37">
        <v>40016</v>
      </c>
      <c r="C2246" s="38">
        <v>40016</v>
      </c>
      <c r="D2246" s="38">
        <v>40014</v>
      </c>
      <c r="E2246" s="38">
        <v>39995</v>
      </c>
      <c r="F2246" s="39">
        <v>111</v>
      </c>
      <c r="G2246" t="s">
        <v>383</v>
      </c>
      <c r="H2246" t="s">
        <v>17</v>
      </c>
      <c r="I2246">
        <v>0</v>
      </c>
      <c r="J2246">
        <v>0</v>
      </c>
      <c r="K2246">
        <v>1</v>
      </c>
      <c r="L2246">
        <v>0</v>
      </c>
      <c r="M2246">
        <v>0</v>
      </c>
      <c r="N2246" t="s">
        <v>194</v>
      </c>
      <c r="O2246" t="s">
        <v>213</v>
      </c>
      <c r="P2246" t="s">
        <v>205</v>
      </c>
      <c r="Q2246" t="s">
        <v>171</v>
      </c>
      <c r="R2246" t="s">
        <v>168</v>
      </c>
      <c r="S2246">
        <v>5</v>
      </c>
      <c r="T2246" t="s">
        <v>135</v>
      </c>
      <c r="U2246">
        <v>0</v>
      </c>
      <c r="V2246">
        <v>5</v>
      </c>
      <c r="W2246" t="s">
        <v>135</v>
      </c>
      <c r="X2246">
        <v>0</v>
      </c>
      <c r="Y2246" t="s">
        <v>139</v>
      </c>
      <c r="Z2246" t="s">
        <v>186</v>
      </c>
      <c r="AA2246" t="s">
        <v>149</v>
      </c>
      <c r="AB2246" t="s">
        <v>164</v>
      </c>
      <c r="AC2246" t="s">
        <v>21</v>
      </c>
      <c r="AD2246" t="s">
        <v>21</v>
      </c>
      <c r="AE2246" t="s">
        <v>21</v>
      </c>
      <c r="AF2246" t="s">
        <v>21</v>
      </c>
    </row>
    <row r="2247" spans="1:32">
      <c r="A2247" t="s">
        <v>3267</v>
      </c>
      <c r="B2247" s="37">
        <v>40017</v>
      </c>
      <c r="C2247" s="38">
        <v>40017</v>
      </c>
      <c r="D2247" s="38">
        <v>40014</v>
      </c>
      <c r="E2247" s="38">
        <v>39995</v>
      </c>
      <c r="F2247" s="39">
        <v>112</v>
      </c>
      <c r="G2247" t="s">
        <v>21</v>
      </c>
      <c r="H2247" t="s">
        <v>21</v>
      </c>
      <c r="I2247">
        <v>0</v>
      </c>
      <c r="J2247">
        <v>0</v>
      </c>
      <c r="K2247">
        <v>0</v>
      </c>
      <c r="L2247">
        <v>1</v>
      </c>
      <c r="M2247">
        <v>0</v>
      </c>
      <c r="N2247" t="s">
        <v>194</v>
      </c>
      <c r="O2247" t="s">
        <v>213</v>
      </c>
      <c r="P2247" t="s">
        <v>205</v>
      </c>
      <c r="Q2247" t="s">
        <v>171</v>
      </c>
      <c r="R2247" t="s">
        <v>168</v>
      </c>
      <c r="S2247">
        <v>5</v>
      </c>
      <c r="T2247" t="s">
        <v>135</v>
      </c>
      <c r="U2247">
        <v>0</v>
      </c>
      <c r="V2247">
        <v>4</v>
      </c>
      <c r="W2247" t="s">
        <v>137</v>
      </c>
      <c r="X2247">
        <v>0</v>
      </c>
      <c r="Y2247" t="s">
        <v>139</v>
      </c>
      <c r="Z2247" t="s">
        <v>179</v>
      </c>
      <c r="AA2247" t="s">
        <v>145</v>
      </c>
      <c r="AB2247" t="s">
        <v>164</v>
      </c>
      <c r="AC2247" t="s">
        <v>21</v>
      </c>
      <c r="AD2247" t="s">
        <v>21</v>
      </c>
      <c r="AE2247" t="s">
        <v>21</v>
      </c>
      <c r="AF2247" t="s">
        <v>21</v>
      </c>
    </row>
    <row r="2248" spans="1:32">
      <c r="A2248" t="s">
        <v>3268</v>
      </c>
      <c r="B2248" s="37">
        <v>40017</v>
      </c>
      <c r="C2248" s="38">
        <v>40017</v>
      </c>
      <c r="D2248" s="38">
        <v>40014</v>
      </c>
      <c r="E2248" s="38">
        <v>39995</v>
      </c>
      <c r="F2248" s="39">
        <v>112</v>
      </c>
      <c r="G2248" t="s">
        <v>21</v>
      </c>
      <c r="H2248" t="s">
        <v>21</v>
      </c>
      <c r="I2248">
        <v>0</v>
      </c>
      <c r="J2248">
        <v>0</v>
      </c>
      <c r="K2248">
        <v>0</v>
      </c>
      <c r="L2248">
        <v>1</v>
      </c>
      <c r="M2248">
        <v>0</v>
      </c>
      <c r="N2248" t="s">
        <v>194</v>
      </c>
      <c r="O2248" t="s">
        <v>213</v>
      </c>
      <c r="P2248" t="s">
        <v>205</v>
      </c>
      <c r="Q2248" t="s">
        <v>171</v>
      </c>
      <c r="R2248" t="s">
        <v>168</v>
      </c>
      <c r="S2248">
        <v>5</v>
      </c>
      <c r="T2248" t="s">
        <v>135</v>
      </c>
      <c r="U2248">
        <v>0</v>
      </c>
      <c r="V2248">
        <v>2</v>
      </c>
      <c r="W2248" t="s">
        <v>136</v>
      </c>
      <c r="X2248">
        <v>0</v>
      </c>
      <c r="Y2248" t="s">
        <v>139</v>
      </c>
      <c r="Z2248" t="s">
        <v>184</v>
      </c>
      <c r="AA2248" t="s">
        <v>146</v>
      </c>
      <c r="AB2248" t="s">
        <v>164</v>
      </c>
      <c r="AC2248" t="s">
        <v>21</v>
      </c>
      <c r="AD2248" t="s">
        <v>21</v>
      </c>
      <c r="AE2248" t="s">
        <v>21</v>
      </c>
      <c r="AF2248" t="s">
        <v>21</v>
      </c>
    </row>
    <row r="2249" spans="1:32">
      <c r="A2249" t="s">
        <v>3269</v>
      </c>
      <c r="B2249" s="37">
        <v>40018</v>
      </c>
      <c r="C2249" s="38">
        <v>40018</v>
      </c>
      <c r="D2249" s="38">
        <v>40014</v>
      </c>
      <c r="E2249" s="38">
        <v>39995</v>
      </c>
      <c r="F2249" s="39">
        <v>113</v>
      </c>
      <c r="G2249" t="s">
        <v>9</v>
      </c>
      <c r="H2249" t="s">
        <v>9</v>
      </c>
      <c r="I2249">
        <v>1</v>
      </c>
      <c r="J2249">
        <v>0</v>
      </c>
      <c r="K2249">
        <v>0</v>
      </c>
      <c r="L2249">
        <v>0</v>
      </c>
      <c r="M2249">
        <v>1</v>
      </c>
      <c r="N2249" t="s">
        <v>194</v>
      </c>
      <c r="O2249" t="s">
        <v>213</v>
      </c>
      <c r="P2249" t="s">
        <v>205</v>
      </c>
      <c r="Q2249" t="s">
        <v>171</v>
      </c>
      <c r="R2249" t="s">
        <v>168</v>
      </c>
      <c r="S2249">
        <v>5</v>
      </c>
      <c r="T2249" t="s">
        <v>135</v>
      </c>
      <c r="U2249">
        <v>0</v>
      </c>
      <c r="V2249">
        <v>5</v>
      </c>
      <c r="W2249" t="s">
        <v>135</v>
      </c>
      <c r="X2249">
        <v>0</v>
      </c>
      <c r="Y2249" t="s">
        <v>139</v>
      </c>
      <c r="Z2249" t="s">
        <v>182</v>
      </c>
      <c r="AA2249" t="s">
        <v>142</v>
      </c>
      <c r="AB2249" t="s">
        <v>164</v>
      </c>
      <c r="AC2249" t="s">
        <v>21</v>
      </c>
      <c r="AD2249" t="s">
        <v>21</v>
      </c>
      <c r="AE2249" t="s">
        <v>21</v>
      </c>
      <c r="AF2249" t="s">
        <v>21</v>
      </c>
    </row>
    <row r="2250" spans="1:32">
      <c r="A2250" t="s">
        <v>3270</v>
      </c>
      <c r="B2250" s="37">
        <v>40018</v>
      </c>
      <c r="C2250" s="38">
        <v>40018</v>
      </c>
      <c r="D2250" s="38">
        <v>40014</v>
      </c>
      <c r="E2250" s="38">
        <v>39995</v>
      </c>
      <c r="F2250" s="39">
        <v>113</v>
      </c>
      <c r="G2250" t="s">
        <v>9</v>
      </c>
      <c r="H2250" t="s">
        <v>9</v>
      </c>
      <c r="I2250">
        <v>1</v>
      </c>
      <c r="J2250">
        <v>0</v>
      </c>
      <c r="K2250">
        <v>0</v>
      </c>
      <c r="L2250">
        <v>0</v>
      </c>
      <c r="M2250">
        <v>1</v>
      </c>
      <c r="N2250" t="s">
        <v>194</v>
      </c>
      <c r="O2250" t="s">
        <v>213</v>
      </c>
      <c r="P2250" t="s">
        <v>205</v>
      </c>
      <c r="Q2250" t="s">
        <v>171</v>
      </c>
      <c r="R2250" t="s">
        <v>168</v>
      </c>
      <c r="S2250">
        <v>5</v>
      </c>
      <c r="T2250" t="s">
        <v>135</v>
      </c>
      <c r="U2250">
        <v>0</v>
      </c>
      <c r="V2250">
        <v>5</v>
      </c>
      <c r="W2250" t="s">
        <v>135</v>
      </c>
      <c r="X2250">
        <v>0</v>
      </c>
      <c r="Y2250" t="s">
        <v>139</v>
      </c>
      <c r="Z2250" t="s">
        <v>184</v>
      </c>
      <c r="AA2250" t="s">
        <v>149</v>
      </c>
      <c r="AB2250" t="s">
        <v>164</v>
      </c>
      <c r="AC2250" t="s">
        <v>21</v>
      </c>
      <c r="AD2250" t="s">
        <v>21</v>
      </c>
      <c r="AE2250" t="s">
        <v>21</v>
      </c>
      <c r="AF2250" t="s">
        <v>21</v>
      </c>
    </row>
    <row r="2251" spans="1:32">
      <c r="A2251" t="s">
        <v>3271</v>
      </c>
      <c r="B2251" s="37">
        <v>40018</v>
      </c>
      <c r="C2251" s="38">
        <v>40018</v>
      </c>
      <c r="D2251" s="38">
        <v>40014</v>
      </c>
      <c r="E2251" s="38">
        <v>39995</v>
      </c>
      <c r="F2251" s="39">
        <v>113</v>
      </c>
      <c r="G2251" t="s">
        <v>21</v>
      </c>
      <c r="H2251" t="s">
        <v>21</v>
      </c>
      <c r="I2251">
        <v>0</v>
      </c>
      <c r="J2251">
        <v>0</v>
      </c>
      <c r="K2251">
        <v>0</v>
      </c>
      <c r="L2251">
        <v>1</v>
      </c>
      <c r="M2251">
        <v>0</v>
      </c>
      <c r="N2251" t="s">
        <v>194</v>
      </c>
      <c r="O2251" t="s">
        <v>213</v>
      </c>
      <c r="P2251" t="s">
        <v>205</v>
      </c>
      <c r="Q2251" t="s">
        <v>171</v>
      </c>
      <c r="R2251" t="s">
        <v>168</v>
      </c>
      <c r="S2251">
        <v>5</v>
      </c>
      <c r="T2251" t="s">
        <v>135</v>
      </c>
      <c r="U2251">
        <v>0</v>
      </c>
      <c r="V2251">
        <v>3</v>
      </c>
      <c r="W2251" t="s">
        <v>137</v>
      </c>
      <c r="X2251">
        <v>0</v>
      </c>
      <c r="Y2251" t="s">
        <v>139</v>
      </c>
      <c r="Z2251" t="s">
        <v>184</v>
      </c>
      <c r="AA2251" t="s">
        <v>144</v>
      </c>
      <c r="AB2251" t="s">
        <v>164</v>
      </c>
      <c r="AC2251" t="s">
        <v>21</v>
      </c>
      <c r="AD2251" t="s">
        <v>21</v>
      </c>
      <c r="AE2251" t="s">
        <v>21</v>
      </c>
      <c r="AF2251" t="s">
        <v>21</v>
      </c>
    </row>
    <row r="2252" spans="1:32">
      <c r="A2252" t="s">
        <v>3272</v>
      </c>
      <c r="B2252" s="37">
        <v>40018</v>
      </c>
      <c r="C2252" s="38">
        <v>40018</v>
      </c>
      <c r="D2252" s="38">
        <v>40014</v>
      </c>
      <c r="E2252" s="38">
        <v>39995</v>
      </c>
      <c r="F2252" s="39">
        <v>113</v>
      </c>
      <c r="G2252" t="s">
        <v>380</v>
      </c>
      <c r="H2252" t="s">
        <v>17</v>
      </c>
      <c r="I2252">
        <v>0</v>
      </c>
      <c r="J2252">
        <v>0</v>
      </c>
      <c r="K2252">
        <v>1</v>
      </c>
      <c r="L2252">
        <v>0</v>
      </c>
      <c r="M2252">
        <v>0</v>
      </c>
      <c r="N2252" t="s">
        <v>194</v>
      </c>
      <c r="O2252" t="s">
        <v>213</v>
      </c>
      <c r="P2252" t="s">
        <v>205</v>
      </c>
      <c r="Q2252" t="s">
        <v>171</v>
      </c>
      <c r="R2252" t="s">
        <v>168</v>
      </c>
      <c r="S2252">
        <v>1</v>
      </c>
      <c r="T2252" t="s">
        <v>136</v>
      </c>
      <c r="U2252">
        <v>0</v>
      </c>
      <c r="V2252">
        <v>2</v>
      </c>
      <c r="W2252" t="s">
        <v>136</v>
      </c>
      <c r="X2252">
        <v>0</v>
      </c>
      <c r="Y2252" t="s">
        <v>139</v>
      </c>
      <c r="Z2252" t="s">
        <v>509</v>
      </c>
      <c r="AA2252" t="s">
        <v>144</v>
      </c>
      <c r="AB2252" t="s">
        <v>164</v>
      </c>
      <c r="AC2252" t="s">
        <v>21</v>
      </c>
      <c r="AD2252" t="s">
        <v>21</v>
      </c>
      <c r="AE2252" t="s">
        <v>21</v>
      </c>
      <c r="AF2252" t="s">
        <v>21</v>
      </c>
    </row>
    <row r="2253" spans="1:32">
      <c r="A2253" t="s">
        <v>3273</v>
      </c>
      <c r="B2253" s="37">
        <v>40020</v>
      </c>
      <c r="C2253" s="38">
        <v>40020</v>
      </c>
      <c r="D2253" s="38">
        <v>40014</v>
      </c>
      <c r="E2253" s="38">
        <v>39995</v>
      </c>
      <c r="F2253" s="39">
        <v>115</v>
      </c>
      <c r="G2253" t="s">
        <v>383</v>
      </c>
      <c r="H2253" t="s">
        <v>17</v>
      </c>
      <c r="I2253">
        <v>0</v>
      </c>
      <c r="J2253">
        <v>0</v>
      </c>
      <c r="K2253">
        <v>1</v>
      </c>
      <c r="L2253">
        <v>0</v>
      </c>
      <c r="M2253">
        <v>0</v>
      </c>
      <c r="N2253" t="s">
        <v>194</v>
      </c>
      <c r="O2253" t="s">
        <v>213</v>
      </c>
      <c r="P2253" t="s">
        <v>205</v>
      </c>
      <c r="Q2253" t="s">
        <v>171</v>
      </c>
      <c r="R2253" t="s">
        <v>168</v>
      </c>
      <c r="S2253">
        <v>5</v>
      </c>
      <c r="T2253" t="s">
        <v>135</v>
      </c>
      <c r="U2253">
        <v>0</v>
      </c>
      <c r="V2253">
        <v>3</v>
      </c>
      <c r="W2253" t="s">
        <v>137</v>
      </c>
      <c r="X2253">
        <v>0</v>
      </c>
      <c r="Y2253" t="s">
        <v>139</v>
      </c>
      <c r="Z2253" t="s">
        <v>179</v>
      </c>
      <c r="AA2253" t="s">
        <v>148</v>
      </c>
      <c r="AB2253" t="s">
        <v>164</v>
      </c>
      <c r="AC2253" t="s">
        <v>21</v>
      </c>
      <c r="AD2253" t="s">
        <v>21</v>
      </c>
      <c r="AE2253" t="s">
        <v>21</v>
      </c>
      <c r="AF2253" t="s">
        <v>21</v>
      </c>
    </row>
    <row r="2254" spans="1:32">
      <c r="A2254" t="s">
        <v>3274</v>
      </c>
      <c r="B2254" s="37">
        <v>40021</v>
      </c>
      <c r="C2254" s="38">
        <v>40021</v>
      </c>
      <c r="D2254" s="38">
        <v>40021</v>
      </c>
      <c r="E2254" s="38">
        <v>39995</v>
      </c>
      <c r="F2254" s="39">
        <v>116</v>
      </c>
      <c r="G2254" t="s">
        <v>383</v>
      </c>
      <c r="H2254" t="s">
        <v>17</v>
      </c>
      <c r="I2254">
        <v>0</v>
      </c>
      <c r="J2254">
        <v>0</v>
      </c>
      <c r="K2254">
        <v>1</v>
      </c>
      <c r="L2254">
        <v>0</v>
      </c>
      <c r="M2254">
        <v>0</v>
      </c>
      <c r="N2254" t="s">
        <v>194</v>
      </c>
      <c r="O2254" t="s">
        <v>213</v>
      </c>
      <c r="P2254" t="s">
        <v>205</v>
      </c>
      <c r="Q2254" t="s">
        <v>171</v>
      </c>
      <c r="R2254" t="s">
        <v>168</v>
      </c>
      <c r="S2254">
        <v>5</v>
      </c>
      <c r="T2254" t="s">
        <v>135</v>
      </c>
      <c r="U2254">
        <v>0</v>
      </c>
      <c r="V2254">
        <v>5</v>
      </c>
      <c r="W2254" t="s">
        <v>135</v>
      </c>
      <c r="X2254">
        <v>0</v>
      </c>
      <c r="Y2254" t="s">
        <v>139</v>
      </c>
      <c r="Z2254" t="s">
        <v>178</v>
      </c>
      <c r="AA2254" t="s">
        <v>142</v>
      </c>
      <c r="AB2254" t="s">
        <v>164</v>
      </c>
      <c r="AC2254" t="s">
        <v>21</v>
      </c>
      <c r="AD2254" t="s">
        <v>21</v>
      </c>
      <c r="AE2254" t="s">
        <v>21</v>
      </c>
      <c r="AF2254" t="s">
        <v>21</v>
      </c>
    </row>
    <row r="2255" spans="1:32">
      <c r="A2255" t="s">
        <v>3275</v>
      </c>
      <c r="B2255" s="37">
        <v>40021</v>
      </c>
      <c r="C2255" s="38">
        <v>40021</v>
      </c>
      <c r="D2255" s="38">
        <v>40021</v>
      </c>
      <c r="E2255" s="38">
        <v>39995</v>
      </c>
      <c r="F2255" s="39">
        <v>116</v>
      </c>
      <c r="G2255" t="s">
        <v>21</v>
      </c>
      <c r="H2255" t="s">
        <v>21</v>
      </c>
      <c r="I2255">
        <v>0</v>
      </c>
      <c r="J2255">
        <v>0</v>
      </c>
      <c r="K2255">
        <v>0</v>
      </c>
      <c r="L2255">
        <v>1</v>
      </c>
      <c r="M2255">
        <v>0</v>
      </c>
      <c r="N2255" t="s">
        <v>194</v>
      </c>
      <c r="O2255" t="s">
        <v>213</v>
      </c>
      <c r="P2255" t="s">
        <v>205</v>
      </c>
      <c r="Q2255" t="s">
        <v>171</v>
      </c>
      <c r="R2255" t="s">
        <v>168</v>
      </c>
      <c r="S2255">
        <v>5</v>
      </c>
      <c r="T2255" t="s">
        <v>135</v>
      </c>
      <c r="U2255">
        <v>0</v>
      </c>
      <c r="V2255">
        <v>5</v>
      </c>
      <c r="W2255" t="s">
        <v>135</v>
      </c>
      <c r="X2255">
        <v>0</v>
      </c>
      <c r="Y2255" t="s">
        <v>139</v>
      </c>
      <c r="Z2255" t="s">
        <v>184</v>
      </c>
      <c r="AA2255" t="s">
        <v>146</v>
      </c>
      <c r="AB2255" t="s">
        <v>164</v>
      </c>
      <c r="AC2255" t="s">
        <v>21</v>
      </c>
      <c r="AD2255" t="s">
        <v>21</v>
      </c>
      <c r="AE2255" t="s">
        <v>21</v>
      </c>
      <c r="AF2255" t="s">
        <v>21</v>
      </c>
    </row>
    <row r="2256" spans="1:32">
      <c r="A2256" t="s">
        <v>3276</v>
      </c>
      <c r="B2256" s="37">
        <v>40021</v>
      </c>
      <c r="C2256" s="38">
        <v>40021</v>
      </c>
      <c r="D2256" s="38">
        <v>40021</v>
      </c>
      <c r="E2256" s="38">
        <v>39995</v>
      </c>
      <c r="F2256" s="39">
        <v>116</v>
      </c>
      <c r="G2256" t="s">
        <v>383</v>
      </c>
      <c r="H2256" t="s">
        <v>17</v>
      </c>
      <c r="I2256">
        <v>0</v>
      </c>
      <c r="J2256">
        <v>0</v>
      </c>
      <c r="K2256">
        <v>1</v>
      </c>
      <c r="L2256">
        <v>0</v>
      </c>
      <c r="M2256">
        <v>0</v>
      </c>
      <c r="N2256" t="s">
        <v>194</v>
      </c>
      <c r="O2256" t="s">
        <v>213</v>
      </c>
      <c r="P2256" t="s">
        <v>205</v>
      </c>
      <c r="Q2256" t="s">
        <v>171</v>
      </c>
      <c r="R2256" t="s">
        <v>168</v>
      </c>
      <c r="S2256">
        <v>5</v>
      </c>
      <c r="T2256" t="s">
        <v>135</v>
      </c>
      <c r="U2256">
        <v>0</v>
      </c>
      <c r="V2256">
        <v>2</v>
      </c>
      <c r="W2256" t="s">
        <v>136</v>
      </c>
      <c r="X2256">
        <v>0</v>
      </c>
      <c r="Y2256" t="s">
        <v>139</v>
      </c>
      <c r="Z2256" t="s">
        <v>181</v>
      </c>
      <c r="AA2256" t="s">
        <v>146</v>
      </c>
      <c r="AB2256" t="s">
        <v>164</v>
      </c>
      <c r="AC2256" t="s">
        <v>21</v>
      </c>
      <c r="AD2256" t="s">
        <v>21</v>
      </c>
      <c r="AE2256" t="s">
        <v>21</v>
      </c>
      <c r="AF2256" t="s">
        <v>21</v>
      </c>
    </row>
    <row r="2257" spans="1:32">
      <c r="A2257" t="s">
        <v>3277</v>
      </c>
      <c r="B2257" s="37">
        <v>40022</v>
      </c>
      <c r="C2257" s="38">
        <v>40022</v>
      </c>
      <c r="D2257" s="38">
        <v>40021</v>
      </c>
      <c r="E2257" s="38">
        <v>39995</v>
      </c>
      <c r="F2257" s="39">
        <v>117</v>
      </c>
      <c r="G2257" t="s">
        <v>383</v>
      </c>
      <c r="H2257" t="s">
        <v>17</v>
      </c>
      <c r="I2257">
        <v>0</v>
      </c>
      <c r="J2257">
        <v>0</v>
      </c>
      <c r="K2257">
        <v>1</v>
      </c>
      <c r="L2257">
        <v>0</v>
      </c>
      <c r="M2257">
        <v>0</v>
      </c>
      <c r="N2257" t="s">
        <v>194</v>
      </c>
      <c r="O2257" t="s">
        <v>213</v>
      </c>
      <c r="P2257" t="s">
        <v>205</v>
      </c>
      <c r="Q2257" t="s">
        <v>171</v>
      </c>
      <c r="R2257" t="s">
        <v>168</v>
      </c>
      <c r="S2257">
        <v>5</v>
      </c>
      <c r="T2257" t="s">
        <v>135</v>
      </c>
      <c r="U2257">
        <v>0</v>
      </c>
      <c r="V2257">
        <v>3</v>
      </c>
      <c r="W2257" t="s">
        <v>137</v>
      </c>
      <c r="X2257">
        <v>0</v>
      </c>
      <c r="Y2257" t="s">
        <v>139</v>
      </c>
      <c r="Z2257" t="s">
        <v>384</v>
      </c>
      <c r="AA2257" t="s">
        <v>144</v>
      </c>
      <c r="AB2257" t="s">
        <v>164</v>
      </c>
      <c r="AC2257" t="s">
        <v>21</v>
      </c>
      <c r="AD2257" t="s">
        <v>21</v>
      </c>
      <c r="AE2257" t="s">
        <v>21</v>
      </c>
      <c r="AF2257" t="s">
        <v>21</v>
      </c>
    </row>
    <row r="2258" spans="1:32">
      <c r="A2258" t="s">
        <v>3278</v>
      </c>
      <c r="B2258" s="37">
        <v>40023</v>
      </c>
      <c r="C2258" s="38">
        <v>40023</v>
      </c>
      <c r="D2258" s="38">
        <v>40021</v>
      </c>
      <c r="E2258" s="38">
        <v>39995</v>
      </c>
      <c r="F2258" s="39">
        <v>118</v>
      </c>
      <c r="G2258" t="s">
        <v>21</v>
      </c>
      <c r="H2258" t="s">
        <v>21</v>
      </c>
      <c r="I2258">
        <v>0</v>
      </c>
      <c r="J2258">
        <v>0</v>
      </c>
      <c r="K2258">
        <v>0</v>
      </c>
      <c r="L2258">
        <v>1</v>
      </c>
      <c r="M2258">
        <v>0</v>
      </c>
      <c r="N2258" t="s">
        <v>194</v>
      </c>
      <c r="O2258" t="s">
        <v>213</v>
      </c>
      <c r="P2258" t="s">
        <v>205</v>
      </c>
      <c r="Q2258" t="s">
        <v>171</v>
      </c>
      <c r="R2258" t="s">
        <v>168</v>
      </c>
      <c r="S2258">
        <v>5</v>
      </c>
      <c r="T2258" t="s">
        <v>135</v>
      </c>
      <c r="U2258">
        <v>0</v>
      </c>
      <c r="V2258">
        <v>3</v>
      </c>
      <c r="W2258" t="s">
        <v>137</v>
      </c>
      <c r="X2258">
        <v>0</v>
      </c>
      <c r="Y2258" t="s">
        <v>139</v>
      </c>
      <c r="Z2258" t="s">
        <v>181</v>
      </c>
      <c r="AA2258" t="s">
        <v>146</v>
      </c>
      <c r="AB2258" t="s">
        <v>164</v>
      </c>
      <c r="AC2258" t="s">
        <v>21</v>
      </c>
      <c r="AD2258" t="s">
        <v>21</v>
      </c>
      <c r="AE2258" t="s">
        <v>21</v>
      </c>
      <c r="AF2258" t="s">
        <v>21</v>
      </c>
    </row>
    <row r="2259" spans="1:32">
      <c r="A2259" t="s">
        <v>3279</v>
      </c>
      <c r="B2259" s="37">
        <v>40023</v>
      </c>
      <c r="C2259" s="38">
        <v>40023</v>
      </c>
      <c r="D2259" s="38">
        <v>40021</v>
      </c>
      <c r="E2259" s="38">
        <v>39995</v>
      </c>
      <c r="F2259" s="39">
        <v>118</v>
      </c>
      <c r="G2259" t="s">
        <v>21</v>
      </c>
      <c r="H2259" t="s">
        <v>21</v>
      </c>
      <c r="I2259">
        <v>0</v>
      </c>
      <c r="J2259">
        <v>0</v>
      </c>
      <c r="K2259">
        <v>0</v>
      </c>
      <c r="L2259">
        <v>1</v>
      </c>
      <c r="M2259">
        <v>0</v>
      </c>
      <c r="N2259" t="s">
        <v>194</v>
      </c>
      <c r="O2259" t="s">
        <v>213</v>
      </c>
      <c r="P2259" t="s">
        <v>205</v>
      </c>
      <c r="Q2259" t="s">
        <v>171</v>
      </c>
      <c r="R2259" t="s">
        <v>168</v>
      </c>
      <c r="S2259">
        <v>5</v>
      </c>
      <c r="T2259" t="s">
        <v>135</v>
      </c>
      <c r="U2259">
        <v>0</v>
      </c>
      <c r="V2259">
        <v>3</v>
      </c>
      <c r="W2259" t="s">
        <v>137</v>
      </c>
      <c r="X2259">
        <v>0</v>
      </c>
      <c r="Y2259" t="s">
        <v>139</v>
      </c>
      <c r="Z2259" t="s">
        <v>182</v>
      </c>
      <c r="AA2259" t="s">
        <v>144</v>
      </c>
      <c r="AB2259" t="s">
        <v>164</v>
      </c>
      <c r="AC2259" t="s">
        <v>21</v>
      </c>
      <c r="AD2259" t="s">
        <v>21</v>
      </c>
      <c r="AE2259" t="s">
        <v>21</v>
      </c>
      <c r="AF2259" t="s">
        <v>21</v>
      </c>
    </row>
    <row r="2260" spans="1:32">
      <c r="A2260" t="s">
        <v>3280</v>
      </c>
      <c r="B2260" s="37">
        <v>40026</v>
      </c>
      <c r="C2260" s="38">
        <v>40026</v>
      </c>
      <c r="D2260" s="38">
        <v>40021</v>
      </c>
      <c r="E2260" s="38">
        <v>40026</v>
      </c>
      <c r="F2260" s="39">
        <v>121</v>
      </c>
      <c r="G2260" t="s">
        <v>9</v>
      </c>
      <c r="H2260" t="s">
        <v>9</v>
      </c>
      <c r="I2260">
        <v>1</v>
      </c>
      <c r="J2260">
        <v>0</v>
      </c>
      <c r="K2260">
        <v>0</v>
      </c>
      <c r="L2260">
        <v>0</v>
      </c>
      <c r="M2260">
        <v>1</v>
      </c>
      <c r="N2260" t="s">
        <v>194</v>
      </c>
      <c r="O2260" t="s">
        <v>213</v>
      </c>
      <c r="P2260" t="s">
        <v>205</v>
      </c>
      <c r="Q2260" t="s">
        <v>171</v>
      </c>
      <c r="R2260" t="s">
        <v>168</v>
      </c>
      <c r="S2260">
        <v>2</v>
      </c>
      <c r="T2260" t="s">
        <v>136</v>
      </c>
      <c r="U2260">
        <v>0</v>
      </c>
      <c r="V2260">
        <v>3</v>
      </c>
      <c r="W2260" t="s">
        <v>137</v>
      </c>
      <c r="X2260">
        <v>0</v>
      </c>
      <c r="Y2260" t="s">
        <v>139</v>
      </c>
      <c r="Z2260" t="s">
        <v>186</v>
      </c>
      <c r="AA2260" t="s">
        <v>146</v>
      </c>
      <c r="AB2260" t="s">
        <v>164</v>
      </c>
      <c r="AC2260" t="s">
        <v>21</v>
      </c>
      <c r="AD2260" t="s">
        <v>21</v>
      </c>
      <c r="AE2260" t="s">
        <v>21</v>
      </c>
      <c r="AF2260" t="s">
        <v>21</v>
      </c>
    </row>
    <row r="2261" spans="1:32">
      <c r="A2261" t="s">
        <v>3281</v>
      </c>
      <c r="B2261" s="37">
        <v>40026</v>
      </c>
      <c r="C2261" s="38">
        <v>40026</v>
      </c>
      <c r="D2261" s="38">
        <v>40021</v>
      </c>
      <c r="E2261" s="38">
        <v>40026</v>
      </c>
      <c r="F2261" s="39">
        <v>121</v>
      </c>
      <c r="G2261" t="s">
        <v>9</v>
      </c>
      <c r="H2261" t="s">
        <v>9</v>
      </c>
      <c r="I2261">
        <v>1</v>
      </c>
      <c r="J2261">
        <v>0</v>
      </c>
      <c r="K2261">
        <v>0</v>
      </c>
      <c r="L2261">
        <v>0</v>
      </c>
      <c r="M2261">
        <v>1</v>
      </c>
      <c r="N2261" t="s">
        <v>194</v>
      </c>
      <c r="O2261" t="s">
        <v>213</v>
      </c>
      <c r="P2261" t="s">
        <v>205</v>
      </c>
      <c r="Q2261" t="s">
        <v>171</v>
      </c>
      <c r="R2261" t="s">
        <v>168</v>
      </c>
      <c r="S2261">
        <v>5</v>
      </c>
      <c r="T2261" t="s">
        <v>135</v>
      </c>
      <c r="U2261">
        <v>0</v>
      </c>
      <c r="V2261">
        <v>5</v>
      </c>
      <c r="W2261" t="s">
        <v>135</v>
      </c>
      <c r="X2261">
        <v>0</v>
      </c>
      <c r="Y2261" t="s">
        <v>139</v>
      </c>
      <c r="Z2261" t="s">
        <v>603</v>
      </c>
      <c r="AA2261" t="s">
        <v>144</v>
      </c>
      <c r="AB2261" t="s">
        <v>164</v>
      </c>
      <c r="AC2261" t="s">
        <v>21</v>
      </c>
      <c r="AD2261" t="s">
        <v>21</v>
      </c>
      <c r="AE2261" t="s">
        <v>21</v>
      </c>
      <c r="AF2261" t="s">
        <v>21</v>
      </c>
    </row>
    <row r="2262" spans="1:32">
      <c r="A2262" t="s">
        <v>3282</v>
      </c>
      <c r="B2262" s="37">
        <v>40027</v>
      </c>
      <c r="C2262" s="38">
        <v>40027</v>
      </c>
      <c r="D2262" s="38">
        <v>40021</v>
      </c>
      <c r="E2262" s="38">
        <v>40026</v>
      </c>
      <c r="F2262" s="39">
        <v>122</v>
      </c>
      <c r="G2262" t="s">
        <v>9</v>
      </c>
      <c r="H2262" t="s">
        <v>9</v>
      </c>
      <c r="I2262">
        <v>1</v>
      </c>
      <c r="J2262">
        <v>0</v>
      </c>
      <c r="K2262">
        <v>0</v>
      </c>
      <c r="L2262">
        <v>0</v>
      </c>
      <c r="M2262">
        <v>1</v>
      </c>
      <c r="N2262" t="s">
        <v>194</v>
      </c>
      <c r="O2262" t="s">
        <v>213</v>
      </c>
      <c r="P2262" t="s">
        <v>205</v>
      </c>
      <c r="Q2262" t="s">
        <v>171</v>
      </c>
      <c r="R2262" t="s">
        <v>168</v>
      </c>
      <c r="S2262">
        <v>3</v>
      </c>
      <c r="T2262" t="s">
        <v>137</v>
      </c>
      <c r="U2262">
        <v>0</v>
      </c>
      <c r="V2262">
        <v>4</v>
      </c>
      <c r="W2262" t="s">
        <v>137</v>
      </c>
      <c r="X2262">
        <v>0</v>
      </c>
      <c r="Y2262" t="s">
        <v>139</v>
      </c>
      <c r="Z2262" t="s">
        <v>181</v>
      </c>
      <c r="AA2262" t="s">
        <v>146</v>
      </c>
      <c r="AB2262" t="s">
        <v>164</v>
      </c>
      <c r="AC2262" t="s">
        <v>21</v>
      </c>
      <c r="AD2262" t="s">
        <v>21</v>
      </c>
      <c r="AE2262" t="s">
        <v>21</v>
      </c>
      <c r="AF2262" t="s">
        <v>21</v>
      </c>
    </row>
    <row r="2263" spans="1:32">
      <c r="A2263" t="s">
        <v>3283</v>
      </c>
      <c r="B2263" s="37">
        <v>40028</v>
      </c>
      <c r="C2263" s="38">
        <v>40028</v>
      </c>
      <c r="D2263" s="38">
        <v>40028</v>
      </c>
      <c r="E2263" s="38">
        <v>40026</v>
      </c>
      <c r="F2263" s="39">
        <v>123</v>
      </c>
      <c r="G2263" t="s">
        <v>21</v>
      </c>
      <c r="H2263" t="s">
        <v>21</v>
      </c>
      <c r="I2263">
        <v>0</v>
      </c>
      <c r="J2263">
        <v>0</v>
      </c>
      <c r="K2263">
        <v>0</v>
      </c>
      <c r="L2263">
        <v>1</v>
      </c>
      <c r="M2263">
        <v>0</v>
      </c>
      <c r="N2263" t="s">
        <v>194</v>
      </c>
      <c r="O2263" t="s">
        <v>213</v>
      </c>
      <c r="P2263" t="s">
        <v>205</v>
      </c>
      <c r="Q2263" t="s">
        <v>171</v>
      </c>
      <c r="R2263" t="s">
        <v>168</v>
      </c>
      <c r="T2263" t="s">
        <v>134</v>
      </c>
      <c r="U2263">
        <v>1</v>
      </c>
      <c r="W2263" t="s">
        <v>134</v>
      </c>
      <c r="X2263">
        <v>1</v>
      </c>
      <c r="Y2263" t="s">
        <v>139</v>
      </c>
      <c r="Z2263" t="s">
        <v>184</v>
      </c>
      <c r="AA2263" t="s">
        <v>146</v>
      </c>
      <c r="AB2263" t="s">
        <v>164</v>
      </c>
      <c r="AC2263" t="s">
        <v>21</v>
      </c>
      <c r="AD2263" t="s">
        <v>21</v>
      </c>
      <c r="AE2263" t="s">
        <v>21</v>
      </c>
      <c r="AF2263" t="s">
        <v>21</v>
      </c>
    </row>
    <row r="2264" spans="1:32">
      <c r="A2264" t="s">
        <v>3284</v>
      </c>
      <c r="B2264" s="37">
        <v>40028</v>
      </c>
      <c r="C2264" s="38">
        <v>40028</v>
      </c>
      <c r="D2264" s="38">
        <v>40028</v>
      </c>
      <c r="E2264" s="38">
        <v>40026</v>
      </c>
      <c r="F2264" s="39">
        <v>123</v>
      </c>
      <c r="G2264" t="s">
        <v>21</v>
      </c>
      <c r="H2264" t="s">
        <v>21</v>
      </c>
      <c r="I2264">
        <v>0</v>
      </c>
      <c r="J2264">
        <v>0</v>
      </c>
      <c r="K2264">
        <v>0</v>
      </c>
      <c r="L2264">
        <v>1</v>
      </c>
      <c r="M2264">
        <v>0</v>
      </c>
      <c r="N2264" t="s">
        <v>194</v>
      </c>
      <c r="O2264" t="s">
        <v>213</v>
      </c>
      <c r="P2264" t="s">
        <v>205</v>
      </c>
      <c r="Q2264" t="s">
        <v>171</v>
      </c>
      <c r="R2264" t="s">
        <v>168</v>
      </c>
      <c r="S2264">
        <v>2</v>
      </c>
      <c r="T2264" t="s">
        <v>136</v>
      </c>
      <c r="U2264">
        <v>0</v>
      </c>
      <c r="V2264">
        <v>3</v>
      </c>
      <c r="W2264" t="s">
        <v>137</v>
      </c>
      <c r="X2264">
        <v>0</v>
      </c>
      <c r="Y2264" t="s">
        <v>139</v>
      </c>
      <c r="Z2264" t="s">
        <v>178</v>
      </c>
      <c r="AA2264" t="s">
        <v>146</v>
      </c>
      <c r="AB2264" t="s">
        <v>164</v>
      </c>
      <c r="AC2264" t="s">
        <v>21</v>
      </c>
      <c r="AD2264" t="s">
        <v>21</v>
      </c>
      <c r="AE2264" t="s">
        <v>21</v>
      </c>
      <c r="AF2264" t="s">
        <v>21</v>
      </c>
    </row>
    <row r="2265" spans="1:32">
      <c r="A2265" t="s">
        <v>3285</v>
      </c>
      <c r="B2265" s="37">
        <v>40029</v>
      </c>
      <c r="C2265" s="38">
        <v>40029</v>
      </c>
      <c r="D2265" s="38">
        <v>40028</v>
      </c>
      <c r="E2265" s="38">
        <v>40026</v>
      </c>
      <c r="F2265" s="39">
        <v>124</v>
      </c>
      <c r="G2265" t="s">
        <v>9</v>
      </c>
      <c r="H2265" t="s">
        <v>9</v>
      </c>
      <c r="I2265">
        <v>1</v>
      </c>
      <c r="J2265">
        <v>0</v>
      </c>
      <c r="K2265">
        <v>0</v>
      </c>
      <c r="L2265">
        <v>0</v>
      </c>
      <c r="M2265">
        <v>1</v>
      </c>
      <c r="N2265" t="s">
        <v>194</v>
      </c>
      <c r="O2265" t="s">
        <v>213</v>
      </c>
      <c r="P2265" t="s">
        <v>205</v>
      </c>
      <c r="Q2265" t="s">
        <v>171</v>
      </c>
      <c r="R2265" t="s">
        <v>168</v>
      </c>
      <c r="S2265">
        <v>1</v>
      </c>
      <c r="T2265" t="s">
        <v>136</v>
      </c>
      <c r="U2265">
        <v>0</v>
      </c>
      <c r="V2265">
        <v>5</v>
      </c>
      <c r="W2265" t="s">
        <v>135</v>
      </c>
      <c r="X2265">
        <v>0</v>
      </c>
      <c r="Y2265" t="s">
        <v>139</v>
      </c>
      <c r="Z2265" t="s">
        <v>433</v>
      </c>
      <c r="AA2265" t="s">
        <v>151</v>
      </c>
      <c r="AB2265" t="s">
        <v>164</v>
      </c>
      <c r="AC2265" t="s">
        <v>21</v>
      </c>
      <c r="AD2265" t="s">
        <v>21</v>
      </c>
      <c r="AE2265" t="s">
        <v>21</v>
      </c>
      <c r="AF2265" t="s">
        <v>21</v>
      </c>
    </row>
    <row r="2266" spans="1:32">
      <c r="A2266" t="s">
        <v>3286</v>
      </c>
      <c r="B2266" s="37">
        <v>40029</v>
      </c>
      <c r="C2266" s="38">
        <v>40029</v>
      </c>
      <c r="D2266" s="38">
        <v>40028</v>
      </c>
      <c r="E2266" s="38">
        <v>40026</v>
      </c>
      <c r="F2266" s="39">
        <v>124</v>
      </c>
      <c r="G2266" t="s">
        <v>496</v>
      </c>
      <c r="H2266" t="s">
        <v>13</v>
      </c>
      <c r="I2266">
        <v>0</v>
      </c>
      <c r="J2266">
        <v>1</v>
      </c>
      <c r="K2266">
        <v>0</v>
      </c>
      <c r="L2266">
        <v>0</v>
      </c>
      <c r="M2266">
        <v>1</v>
      </c>
      <c r="N2266" t="s">
        <v>194</v>
      </c>
      <c r="O2266" t="s">
        <v>213</v>
      </c>
      <c r="P2266" t="s">
        <v>205</v>
      </c>
      <c r="Q2266" t="s">
        <v>171</v>
      </c>
      <c r="R2266" t="s">
        <v>168</v>
      </c>
      <c r="S2266">
        <v>1</v>
      </c>
      <c r="T2266" t="s">
        <v>136</v>
      </c>
      <c r="U2266">
        <v>0</v>
      </c>
      <c r="V2266">
        <v>5</v>
      </c>
      <c r="W2266" t="s">
        <v>135</v>
      </c>
      <c r="X2266">
        <v>0</v>
      </c>
      <c r="Y2266" t="s">
        <v>139</v>
      </c>
      <c r="Z2266" t="s">
        <v>384</v>
      </c>
      <c r="AA2266" t="s">
        <v>145</v>
      </c>
      <c r="AB2266" t="s">
        <v>164</v>
      </c>
      <c r="AC2266" t="s">
        <v>21</v>
      </c>
      <c r="AD2266" t="s">
        <v>21</v>
      </c>
      <c r="AE2266" t="s">
        <v>21</v>
      </c>
      <c r="AF2266" t="s">
        <v>21</v>
      </c>
    </row>
    <row r="2267" spans="1:32">
      <c r="A2267" t="s">
        <v>3287</v>
      </c>
      <c r="B2267" s="37">
        <v>40030</v>
      </c>
      <c r="C2267" s="38">
        <v>40030</v>
      </c>
      <c r="D2267" s="38">
        <v>40028</v>
      </c>
      <c r="E2267" s="38">
        <v>40026</v>
      </c>
      <c r="F2267" s="39">
        <v>125</v>
      </c>
      <c r="G2267" t="s">
        <v>21</v>
      </c>
      <c r="H2267" t="s">
        <v>21</v>
      </c>
      <c r="I2267">
        <v>0</v>
      </c>
      <c r="J2267">
        <v>0</v>
      </c>
      <c r="K2267">
        <v>0</v>
      </c>
      <c r="L2267">
        <v>1</v>
      </c>
      <c r="M2267">
        <v>0</v>
      </c>
      <c r="N2267" t="s">
        <v>194</v>
      </c>
      <c r="O2267" t="s">
        <v>213</v>
      </c>
      <c r="P2267" t="s">
        <v>205</v>
      </c>
      <c r="Q2267" t="s">
        <v>171</v>
      </c>
      <c r="R2267" t="s">
        <v>168</v>
      </c>
      <c r="S2267">
        <v>5</v>
      </c>
      <c r="T2267" t="s">
        <v>135</v>
      </c>
      <c r="U2267">
        <v>0</v>
      </c>
      <c r="V2267">
        <v>5</v>
      </c>
      <c r="W2267" t="s">
        <v>135</v>
      </c>
      <c r="X2267">
        <v>0</v>
      </c>
      <c r="Y2267" t="s">
        <v>139</v>
      </c>
      <c r="Z2267" t="s">
        <v>509</v>
      </c>
      <c r="AA2267" t="s">
        <v>143</v>
      </c>
      <c r="AB2267" t="s">
        <v>164</v>
      </c>
      <c r="AC2267" t="s">
        <v>21</v>
      </c>
      <c r="AD2267" t="s">
        <v>21</v>
      </c>
      <c r="AE2267" t="s">
        <v>21</v>
      </c>
      <c r="AF2267" t="s">
        <v>21</v>
      </c>
    </row>
    <row r="2268" spans="1:32">
      <c r="A2268" t="s">
        <v>3288</v>
      </c>
      <c r="B2268" s="37">
        <v>40030</v>
      </c>
      <c r="C2268" s="38">
        <v>40030</v>
      </c>
      <c r="D2268" s="38">
        <v>40028</v>
      </c>
      <c r="E2268" s="38">
        <v>40026</v>
      </c>
      <c r="F2268" s="39">
        <v>125</v>
      </c>
      <c r="G2268" t="s">
        <v>21</v>
      </c>
      <c r="H2268" t="s">
        <v>21</v>
      </c>
      <c r="I2268">
        <v>0</v>
      </c>
      <c r="J2268">
        <v>0</v>
      </c>
      <c r="K2268">
        <v>0</v>
      </c>
      <c r="L2268">
        <v>1</v>
      </c>
      <c r="M2268">
        <v>0</v>
      </c>
      <c r="N2268" t="s">
        <v>194</v>
      </c>
      <c r="O2268" t="s">
        <v>213</v>
      </c>
      <c r="P2268" t="s">
        <v>205</v>
      </c>
      <c r="Q2268" t="s">
        <v>171</v>
      </c>
      <c r="R2268" t="s">
        <v>168</v>
      </c>
      <c r="S2268">
        <v>5</v>
      </c>
      <c r="T2268" t="s">
        <v>135</v>
      </c>
      <c r="U2268">
        <v>0</v>
      </c>
      <c r="V2268">
        <v>4</v>
      </c>
      <c r="W2268" t="s">
        <v>137</v>
      </c>
      <c r="X2268">
        <v>0</v>
      </c>
      <c r="Y2268" t="s">
        <v>139</v>
      </c>
      <c r="Z2268" t="s">
        <v>179</v>
      </c>
      <c r="AA2268" t="s">
        <v>145</v>
      </c>
      <c r="AB2268" t="s">
        <v>164</v>
      </c>
      <c r="AC2268" t="s">
        <v>21</v>
      </c>
      <c r="AD2268" t="s">
        <v>21</v>
      </c>
      <c r="AE2268" t="s">
        <v>21</v>
      </c>
      <c r="AF2268" t="s">
        <v>21</v>
      </c>
    </row>
    <row r="2269" spans="1:32">
      <c r="A2269" t="s">
        <v>3289</v>
      </c>
      <c r="B2269" s="37">
        <v>40032</v>
      </c>
      <c r="C2269" s="38">
        <v>40032</v>
      </c>
      <c r="D2269" s="38">
        <v>40028</v>
      </c>
      <c r="E2269" s="38">
        <v>40026</v>
      </c>
      <c r="F2269" s="39">
        <v>127</v>
      </c>
      <c r="G2269" t="s">
        <v>21</v>
      </c>
      <c r="H2269" t="s">
        <v>21</v>
      </c>
      <c r="I2269">
        <v>0</v>
      </c>
      <c r="J2269">
        <v>0</v>
      </c>
      <c r="K2269">
        <v>0</v>
      </c>
      <c r="L2269">
        <v>1</v>
      </c>
      <c r="M2269">
        <v>0</v>
      </c>
      <c r="N2269" t="s">
        <v>194</v>
      </c>
      <c r="O2269" t="s">
        <v>213</v>
      </c>
      <c r="P2269" t="s">
        <v>205</v>
      </c>
      <c r="Q2269" t="s">
        <v>171</v>
      </c>
      <c r="R2269" t="s">
        <v>168</v>
      </c>
      <c r="S2269">
        <v>5</v>
      </c>
      <c r="T2269" t="s">
        <v>135</v>
      </c>
      <c r="U2269">
        <v>0</v>
      </c>
      <c r="V2269">
        <v>5</v>
      </c>
      <c r="W2269" t="s">
        <v>135</v>
      </c>
      <c r="X2269">
        <v>0</v>
      </c>
      <c r="Y2269" t="s">
        <v>139</v>
      </c>
      <c r="Z2269" t="s">
        <v>184</v>
      </c>
      <c r="AA2269" t="s">
        <v>145</v>
      </c>
      <c r="AB2269" t="s">
        <v>164</v>
      </c>
      <c r="AC2269" t="s">
        <v>21</v>
      </c>
      <c r="AD2269" t="s">
        <v>21</v>
      </c>
      <c r="AE2269" t="s">
        <v>21</v>
      </c>
      <c r="AF2269" t="s">
        <v>21</v>
      </c>
    </row>
    <row r="2270" spans="1:32">
      <c r="A2270" t="s">
        <v>3290</v>
      </c>
      <c r="B2270" s="37">
        <v>40033</v>
      </c>
      <c r="C2270" s="38">
        <v>40033</v>
      </c>
      <c r="D2270" s="38">
        <v>40028</v>
      </c>
      <c r="E2270" s="38">
        <v>40026</v>
      </c>
      <c r="F2270" s="39">
        <v>128</v>
      </c>
      <c r="G2270" t="s">
        <v>21</v>
      </c>
      <c r="H2270" t="s">
        <v>21</v>
      </c>
      <c r="I2270">
        <v>0</v>
      </c>
      <c r="J2270">
        <v>0</v>
      </c>
      <c r="K2270">
        <v>0</v>
      </c>
      <c r="L2270">
        <v>1</v>
      </c>
      <c r="M2270">
        <v>0</v>
      </c>
      <c r="N2270" t="s">
        <v>194</v>
      </c>
      <c r="O2270" t="s">
        <v>213</v>
      </c>
      <c r="P2270" t="s">
        <v>205</v>
      </c>
      <c r="Q2270" t="s">
        <v>171</v>
      </c>
      <c r="R2270" t="s">
        <v>168</v>
      </c>
      <c r="S2270">
        <v>1</v>
      </c>
      <c r="T2270" t="s">
        <v>136</v>
      </c>
      <c r="U2270">
        <v>0</v>
      </c>
      <c r="V2270">
        <v>5</v>
      </c>
      <c r="W2270" t="s">
        <v>135</v>
      </c>
      <c r="X2270">
        <v>0</v>
      </c>
      <c r="Y2270" t="s">
        <v>139</v>
      </c>
      <c r="Z2270" t="s">
        <v>188</v>
      </c>
      <c r="AA2270" t="s">
        <v>145</v>
      </c>
      <c r="AB2270" t="s">
        <v>164</v>
      </c>
      <c r="AC2270" t="s">
        <v>21</v>
      </c>
      <c r="AD2270" t="s">
        <v>21</v>
      </c>
      <c r="AE2270" t="s">
        <v>21</v>
      </c>
      <c r="AF2270" t="s">
        <v>21</v>
      </c>
    </row>
    <row r="2271" spans="1:32">
      <c r="A2271" t="s">
        <v>3291</v>
      </c>
      <c r="B2271" s="37">
        <v>40034</v>
      </c>
      <c r="C2271" s="38">
        <v>40034</v>
      </c>
      <c r="D2271" s="38">
        <v>40028</v>
      </c>
      <c r="E2271" s="38">
        <v>40026</v>
      </c>
      <c r="F2271" s="39">
        <v>129</v>
      </c>
      <c r="G2271" t="s">
        <v>21</v>
      </c>
      <c r="H2271" t="s">
        <v>21</v>
      </c>
      <c r="I2271">
        <v>0</v>
      </c>
      <c r="J2271">
        <v>0</v>
      </c>
      <c r="K2271">
        <v>0</v>
      </c>
      <c r="L2271">
        <v>1</v>
      </c>
      <c r="M2271">
        <v>0</v>
      </c>
      <c r="N2271" t="s">
        <v>194</v>
      </c>
      <c r="O2271" t="s">
        <v>213</v>
      </c>
      <c r="P2271" t="s">
        <v>205</v>
      </c>
      <c r="Q2271" t="s">
        <v>171</v>
      </c>
      <c r="R2271" t="s">
        <v>168</v>
      </c>
      <c r="S2271">
        <v>5</v>
      </c>
      <c r="T2271" t="s">
        <v>135</v>
      </c>
      <c r="U2271">
        <v>0</v>
      </c>
      <c r="V2271">
        <v>5</v>
      </c>
      <c r="W2271" t="s">
        <v>135</v>
      </c>
      <c r="X2271">
        <v>0</v>
      </c>
      <c r="Y2271" t="s">
        <v>139</v>
      </c>
      <c r="Z2271" t="s">
        <v>182</v>
      </c>
      <c r="AA2271" t="s">
        <v>146</v>
      </c>
      <c r="AB2271" t="s">
        <v>164</v>
      </c>
      <c r="AC2271" t="s">
        <v>21</v>
      </c>
      <c r="AD2271" t="s">
        <v>21</v>
      </c>
      <c r="AE2271" t="s">
        <v>21</v>
      </c>
      <c r="AF2271" t="s">
        <v>21</v>
      </c>
    </row>
    <row r="2272" spans="1:32">
      <c r="A2272" t="s">
        <v>3292</v>
      </c>
      <c r="B2272" s="37">
        <v>40035</v>
      </c>
      <c r="C2272" s="38">
        <v>40035</v>
      </c>
      <c r="D2272" s="38">
        <v>40035</v>
      </c>
      <c r="E2272" s="38">
        <v>40026</v>
      </c>
      <c r="F2272" s="39">
        <v>130</v>
      </c>
      <c r="G2272" t="s">
        <v>9</v>
      </c>
      <c r="H2272" t="s">
        <v>9</v>
      </c>
      <c r="I2272">
        <v>1</v>
      </c>
      <c r="J2272">
        <v>0</v>
      </c>
      <c r="K2272">
        <v>0</v>
      </c>
      <c r="L2272">
        <v>0</v>
      </c>
      <c r="M2272">
        <v>1</v>
      </c>
      <c r="N2272" t="s">
        <v>194</v>
      </c>
      <c r="O2272" t="s">
        <v>213</v>
      </c>
      <c r="P2272" t="s">
        <v>205</v>
      </c>
      <c r="Q2272" t="s">
        <v>171</v>
      </c>
      <c r="R2272" t="s">
        <v>168</v>
      </c>
      <c r="S2272">
        <v>2</v>
      </c>
      <c r="T2272" t="s">
        <v>136</v>
      </c>
      <c r="U2272">
        <v>0</v>
      </c>
      <c r="V2272">
        <v>3</v>
      </c>
      <c r="W2272" t="s">
        <v>137</v>
      </c>
      <c r="X2272">
        <v>0</v>
      </c>
      <c r="Y2272" t="s">
        <v>139</v>
      </c>
      <c r="Z2272" t="s">
        <v>178</v>
      </c>
      <c r="AA2272" t="s">
        <v>145</v>
      </c>
      <c r="AB2272" t="s">
        <v>164</v>
      </c>
      <c r="AC2272" t="s">
        <v>21</v>
      </c>
      <c r="AD2272" t="s">
        <v>21</v>
      </c>
      <c r="AE2272" t="s">
        <v>21</v>
      </c>
      <c r="AF2272" t="s">
        <v>21</v>
      </c>
    </row>
    <row r="2273" spans="1:32">
      <c r="A2273" t="s">
        <v>3293</v>
      </c>
      <c r="B2273" s="37">
        <v>40035</v>
      </c>
      <c r="C2273" s="38">
        <v>40035</v>
      </c>
      <c r="D2273" s="38">
        <v>40035</v>
      </c>
      <c r="E2273" s="38">
        <v>40026</v>
      </c>
      <c r="F2273" s="39">
        <v>130</v>
      </c>
      <c r="G2273" t="s">
        <v>383</v>
      </c>
      <c r="H2273" t="s">
        <v>17</v>
      </c>
      <c r="I2273">
        <v>0</v>
      </c>
      <c r="J2273">
        <v>0</v>
      </c>
      <c r="K2273">
        <v>1</v>
      </c>
      <c r="L2273">
        <v>0</v>
      </c>
      <c r="M2273">
        <v>0</v>
      </c>
      <c r="N2273" t="s">
        <v>194</v>
      </c>
      <c r="O2273" t="s">
        <v>213</v>
      </c>
      <c r="P2273" t="s">
        <v>205</v>
      </c>
      <c r="Q2273" t="s">
        <v>171</v>
      </c>
      <c r="R2273" t="s">
        <v>168</v>
      </c>
      <c r="S2273">
        <v>1</v>
      </c>
      <c r="T2273" t="s">
        <v>136</v>
      </c>
      <c r="U2273">
        <v>0</v>
      </c>
      <c r="V2273">
        <v>2</v>
      </c>
      <c r="W2273" t="s">
        <v>136</v>
      </c>
      <c r="X2273">
        <v>0</v>
      </c>
      <c r="Y2273" t="s">
        <v>139</v>
      </c>
      <c r="Z2273" t="s">
        <v>182</v>
      </c>
      <c r="AA2273" t="s">
        <v>143</v>
      </c>
      <c r="AB2273" t="s">
        <v>164</v>
      </c>
      <c r="AC2273" t="s">
        <v>21</v>
      </c>
      <c r="AD2273" t="s">
        <v>21</v>
      </c>
      <c r="AE2273" t="s">
        <v>21</v>
      </c>
      <c r="AF2273" t="s">
        <v>21</v>
      </c>
    </row>
    <row r="2274" spans="1:32">
      <c r="A2274" t="s">
        <v>3294</v>
      </c>
      <c r="B2274" s="37">
        <v>40036</v>
      </c>
      <c r="C2274" s="38">
        <v>40036</v>
      </c>
      <c r="D2274" s="38">
        <v>40035</v>
      </c>
      <c r="E2274" s="38">
        <v>40026</v>
      </c>
      <c r="F2274" s="39">
        <v>131</v>
      </c>
      <c r="G2274" t="s">
        <v>21</v>
      </c>
      <c r="H2274" t="s">
        <v>21</v>
      </c>
      <c r="I2274">
        <v>0</v>
      </c>
      <c r="J2274">
        <v>0</v>
      </c>
      <c r="K2274">
        <v>0</v>
      </c>
      <c r="L2274">
        <v>1</v>
      </c>
      <c r="M2274">
        <v>0</v>
      </c>
      <c r="N2274" t="s">
        <v>194</v>
      </c>
      <c r="O2274" t="s">
        <v>213</v>
      </c>
      <c r="P2274" t="s">
        <v>205</v>
      </c>
      <c r="Q2274" t="s">
        <v>171</v>
      </c>
      <c r="R2274" t="s">
        <v>168</v>
      </c>
      <c r="S2274">
        <v>4</v>
      </c>
      <c r="T2274" t="s">
        <v>137</v>
      </c>
      <c r="U2274">
        <v>0</v>
      </c>
      <c r="V2274">
        <v>2</v>
      </c>
      <c r="W2274" t="s">
        <v>136</v>
      </c>
      <c r="X2274">
        <v>0</v>
      </c>
      <c r="Y2274" t="s">
        <v>139</v>
      </c>
      <c r="Z2274" t="s">
        <v>180</v>
      </c>
      <c r="AA2274" t="s">
        <v>149</v>
      </c>
      <c r="AB2274" t="s">
        <v>164</v>
      </c>
      <c r="AC2274" t="s">
        <v>21</v>
      </c>
      <c r="AD2274" t="s">
        <v>21</v>
      </c>
      <c r="AE2274" t="s">
        <v>21</v>
      </c>
      <c r="AF2274" t="s">
        <v>21</v>
      </c>
    </row>
    <row r="2275" spans="1:32">
      <c r="A2275" t="s">
        <v>3295</v>
      </c>
      <c r="B2275" s="37">
        <v>40037</v>
      </c>
      <c r="C2275" s="38">
        <v>40037</v>
      </c>
      <c r="D2275" s="38">
        <v>40035</v>
      </c>
      <c r="E2275" s="38">
        <v>40026</v>
      </c>
      <c r="F2275" s="39">
        <v>132</v>
      </c>
      <c r="G2275" t="s">
        <v>21</v>
      </c>
      <c r="H2275" t="s">
        <v>21</v>
      </c>
      <c r="I2275">
        <v>0</v>
      </c>
      <c r="J2275">
        <v>0</v>
      </c>
      <c r="K2275">
        <v>0</v>
      </c>
      <c r="L2275">
        <v>1</v>
      </c>
      <c r="M2275">
        <v>0</v>
      </c>
      <c r="N2275" t="s">
        <v>194</v>
      </c>
      <c r="O2275" t="s">
        <v>213</v>
      </c>
      <c r="P2275" t="s">
        <v>205</v>
      </c>
      <c r="Q2275" t="s">
        <v>171</v>
      </c>
      <c r="R2275" t="s">
        <v>168</v>
      </c>
      <c r="S2275">
        <v>5</v>
      </c>
      <c r="T2275" t="s">
        <v>135</v>
      </c>
      <c r="U2275">
        <v>0</v>
      </c>
      <c r="V2275">
        <v>5</v>
      </c>
      <c r="W2275" t="s">
        <v>135</v>
      </c>
      <c r="X2275">
        <v>0</v>
      </c>
      <c r="Y2275" t="s">
        <v>139</v>
      </c>
      <c r="Z2275" t="s">
        <v>447</v>
      </c>
      <c r="AA2275" t="s">
        <v>145</v>
      </c>
      <c r="AB2275" t="s">
        <v>164</v>
      </c>
      <c r="AC2275" t="s">
        <v>21</v>
      </c>
      <c r="AD2275" t="s">
        <v>21</v>
      </c>
      <c r="AE2275" t="s">
        <v>21</v>
      </c>
      <c r="AF2275" t="s">
        <v>21</v>
      </c>
    </row>
    <row r="2276" spans="1:32">
      <c r="A2276" t="s">
        <v>3296</v>
      </c>
      <c r="B2276" s="37">
        <v>40038</v>
      </c>
      <c r="C2276" s="38">
        <v>40038</v>
      </c>
      <c r="D2276" s="38">
        <v>40035</v>
      </c>
      <c r="E2276" s="38">
        <v>40026</v>
      </c>
      <c r="F2276" s="39">
        <v>133</v>
      </c>
      <c r="G2276" t="s">
        <v>9</v>
      </c>
      <c r="H2276" t="s">
        <v>9</v>
      </c>
      <c r="I2276">
        <v>1</v>
      </c>
      <c r="J2276">
        <v>0</v>
      </c>
      <c r="K2276">
        <v>0</v>
      </c>
      <c r="L2276">
        <v>0</v>
      </c>
      <c r="M2276">
        <v>1</v>
      </c>
      <c r="N2276" t="s">
        <v>194</v>
      </c>
      <c r="O2276" t="s">
        <v>213</v>
      </c>
      <c r="P2276" t="s">
        <v>205</v>
      </c>
      <c r="Q2276" t="s">
        <v>171</v>
      </c>
      <c r="R2276" t="s">
        <v>168</v>
      </c>
      <c r="S2276">
        <v>5</v>
      </c>
      <c r="T2276" t="s">
        <v>135</v>
      </c>
      <c r="U2276">
        <v>0</v>
      </c>
      <c r="V2276">
        <v>3</v>
      </c>
      <c r="W2276" t="s">
        <v>137</v>
      </c>
      <c r="X2276">
        <v>0</v>
      </c>
      <c r="Y2276" t="s">
        <v>139</v>
      </c>
      <c r="Z2276" t="s">
        <v>180</v>
      </c>
      <c r="AA2276" t="s">
        <v>146</v>
      </c>
      <c r="AB2276" t="s">
        <v>164</v>
      </c>
      <c r="AC2276" t="s">
        <v>21</v>
      </c>
      <c r="AD2276" t="s">
        <v>21</v>
      </c>
      <c r="AE2276" t="s">
        <v>21</v>
      </c>
      <c r="AF2276" t="s">
        <v>21</v>
      </c>
    </row>
    <row r="2277" spans="1:32">
      <c r="A2277" t="s">
        <v>3297</v>
      </c>
      <c r="B2277" s="37">
        <v>40042</v>
      </c>
      <c r="C2277" s="38">
        <v>40042</v>
      </c>
      <c r="D2277" s="38">
        <v>40042</v>
      </c>
      <c r="E2277" s="38">
        <v>40026</v>
      </c>
      <c r="F2277" s="39">
        <v>137</v>
      </c>
      <c r="G2277" t="s">
        <v>21</v>
      </c>
      <c r="H2277" t="s">
        <v>21</v>
      </c>
      <c r="I2277">
        <v>0</v>
      </c>
      <c r="J2277">
        <v>0</v>
      </c>
      <c r="K2277">
        <v>0</v>
      </c>
      <c r="L2277">
        <v>1</v>
      </c>
      <c r="M2277">
        <v>0</v>
      </c>
      <c r="N2277" t="s">
        <v>194</v>
      </c>
      <c r="O2277" t="s">
        <v>213</v>
      </c>
      <c r="P2277" t="s">
        <v>205</v>
      </c>
      <c r="Q2277" t="s">
        <v>171</v>
      </c>
      <c r="R2277" t="s">
        <v>168</v>
      </c>
      <c r="S2277">
        <v>5</v>
      </c>
      <c r="T2277" t="s">
        <v>135</v>
      </c>
      <c r="U2277">
        <v>0</v>
      </c>
      <c r="V2277">
        <v>3</v>
      </c>
      <c r="W2277" t="s">
        <v>137</v>
      </c>
      <c r="X2277">
        <v>0</v>
      </c>
      <c r="Y2277" t="s">
        <v>139</v>
      </c>
      <c r="Z2277" t="s">
        <v>191</v>
      </c>
      <c r="AA2277" t="s">
        <v>145</v>
      </c>
      <c r="AB2277" t="s">
        <v>164</v>
      </c>
      <c r="AC2277" t="s">
        <v>21</v>
      </c>
      <c r="AD2277" t="s">
        <v>21</v>
      </c>
      <c r="AE2277" t="s">
        <v>21</v>
      </c>
      <c r="AF2277" t="s">
        <v>21</v>
      </c>
    </row>
    <row r="2278" spans="1:32">
      <c r="A2278" t="s">
        <v>3298</v>
      </c>
      <c r="B2278" s="37">
        <v>40042</v>
      </c>
      <c r="C2278" s="38">
        <v>40042</v>
      </c>
      <c r="D2278" s="38">
        <v>40042</v>
      </c>
      <c r="E2278" s="38">
        <v>40026</v>
      </c>
      <c r="F2278" s="39">
        <v>137</v>
      </c>
      <c r="G2278" t="s">
        <v>21</v>
      </c>
      <c r="H2278" t="s">
        <v>21</v>
      </c>
      <c r="I2278">
        <v>0</v>
      </c>
      <c r="J2278">
        <v>0</v>
      </c>
      <c r="K2278">
        <v>0</v>
      </c>
      <c r="L2278">
        <v>1</v>
      </c>
      <c r="M2278">
        <v>0</v>
      </c>
      <c r="N2278" t="s">
        <v>194</v>
      </c>
      <c r="O2278" t="s">
        <v>213</v>
      </c>
      <c r="P2278" t="s">
        <v>205</v>
      </c>
      <c r="Q2278" t="s">
        <v>171</v>
      </c>
      <c r="R2278" t="s">
        <v>168</v>
      </c>
      <c r="S2278">
        <v>5</v>
      </c>
      <c r="T2278" t="s">
        <v>135</v>
      </c>
      <c r="U2278">
        <v>0</v>
      </c>
      <c r="V2278">
        <v>5</v>
      </c>
      <c r="W2278" t="s">
        <v>135</v>
      </c>
      <c r="X2278">
        <v>0</v>
      </c>
      <c r="Y2278" t="s">
        <v>139</v>
      </c>
      <c r="Z2278" t="s">
        <v>181</v>
      </c>
      <c r="AA2278" t="s">
        <v>150</v>
      </c>
      <c r="AB2278" t="s">
        <v>164</v>
      </c>
      <c r="AC2278" t="s">
        <v>21</v>
      </c>
      <c r="AD2278" t="s">
        <v>21</v>
      </c>
      <c r="AE2278" t="s">
        <v>21</v>
      </c>
      <c r="AF2278" t="s">
        <v>21</v>
      </c>
    </row>
    <row r="2279" spans="1:32">
      <c r="A2279" t="s">
        <v>3299</v>
      </c>
      <c r="B2279" s="37">
        <v>40043</v>
      </c>
      <c r="C2279" s="38">
        <v>40043</v>
      </c>
      <c r="D2279" s="38">
        <v>40042</v>
      </c>
      <c r="E2279" s="38">
        <v>40026</v>
      </c>
      <c r="F2279" s="39">
        <v>138</v>
      </c>
      <c r="G2279" t="s">
        <v>383</v>
      </c>
      <c r="H2279" t="s">
        <v>17</v>
      </c>
      <c r="I2279">
        <v>0</v>
      </c>
      <c r="J2279">
        <v>0</v>
      </c>
      <c r="K2279">
        <v>1</v>
      </c>
      <c r="L2279">
        <v>0</v>
      </c>
      <c r="M2279">
        <v>0</v>
      </c>
      <c r="N2279" t="s">
        <v>194</v>
      </c>
      <c r="O2279" t="s">
        <v>213</v>
      </c>
      <c r="P2279" t="s">
        <v>205</v>
      </c>
      <c r="Q2279" t="s">
        <v>171</v>
      </c>
      <c r="R2279" t="s">
        <v>168</v>
      </c>
      <c r="S2279">
        <v>5</v>
      </c>
      <c r="T2279" t="s">
        <v>135</v>
      </c>
      <c r="U2279">
        <v>0</v>
      </c>
      <c r="V2279">
        <v>5</v>
      </c>
      <c r="W2279" t="s">
        <v>135</v>
      </c>
      <c r="X2279">
        <v>0</v>
      </c>
      <c r="Y2279" t="s">
        <v>139</v>
      </c>
      <c r="Z2279" t="s">
        <v>189</v>
      </c>
      <c r="AA2279" t="s">
        <v>144</v>
      </c>
      <c r="AB2279" t="s">
        <v>164</v>
      </c>
      <c r="AC2279" t="s">
        <v>21</v>
      </c>
      <c r="AD2279" t="s">
        <v>21</v>
      </c>
      <c r="AE2279" t="s">
        <v>21</v>
      </c>
      <c r="AF2279" t="s">
        <v>21</v>
      </c>
    </row>
    <row r="2280" spans="1:32">
      <c r="A2280" t="s">
        <v>3300</v>
      </c>
      <c r="B2280" s="37">
        <v>40043</v>
      </c>
      <c r="C2280" s="38">
        <v>40043</v>
      </c>
      <c r="D2280" s="38">
        <v>40042</v>
      </c>
      <c r="E2280" s="38">
        <v>40026</v>
      </c>
      <c r="F2280" s="39">
        <v>138</v>
      </c>
      <c r="G2280" t="s">
        <v>380</v>
      </c>
      <c r="H2280" t="s">
        <v>17</v>
      </c>
      <c r="I2280">
        <v>0</v>
      </c>
      <c r="J2280">
        <v>0</v>
      </c>
      <c r="K2280">
        <v>1</v>
      </c>
      <c r="L2280">
        <v>0</v>
      </c>
      <c r="M2280">
        <v>0</v>
      </c>
      <c r="N2280" t="s">
        <v>194</v>
      </c>
      <c r="O2280" t="s">
        <v>213</v>
      </c>
      <c r="P2280" t="s">
        <v>205</v>
      </c>
      <c r="Q2280" t="s">
        <v>171</v>
      </c>
      <c r="R2280" t="s">
        <v>168</v>
      </c>
      <c r="S2280">
        <v>5</v>
      </c>
      <c r="T2280" t="s">
        <v>135</v>
      </c>
      <c r="U2280">
        <v>0</v>
      </c>
      <c r="V2280">
        <v>3</v>
      </c>
      <c r="W2280" t="s">
        <v>137</v>
      </c>
      <c r="X2280">
        <v>0</v>
      </c>
      <c r="Y2280" t="s">
        <v>139</v>
      </c>
      <c r="Z2280" t="s">
        <v>191</v>
      </c>
      <c r="AA2280" t="s">
        <v>145</v>
      </c>
      <c r="AB2280" t="s">
        <v>164</v>
      </c>
      <c r="AC2280" t="s">
        <v>21</v>
      </c>
      <c r="AD2280" t="s">
        <v>21</v>
      </c>
      <c r="AE2280" t="s">
        <v>21</v>
      </c>
      <c r="AF2280" t="s">
        <v>21</v>
      </c>
    </row>
    <row r="2281" spans="1:32">
      <c r="A2281" t="s">
        <v>3301</v>
      </c>
      <c r="B2281" s="37">
        <v>40043</v>
      </c>
      <c r="C2281" s="38">
        <v>40043</v>
      </c>
      <c r="D2281" s="38">
        <v>40042</v>
      </c>
      <c r="E2281" s="38">
        <v>40026</v>
      </c>
      <c r="F2281" s="39">
        <v>138</v>
      </c>
      <c r="G2281" t="s">
        <v>383</v>
      </c>
      <c r="H2281" t="s">
        <v>17</v>
      </c>
      <c r="I2281">
        <v>0</v>
      </c>
      <c r="J2281">
        <v>0</v>
      </c>
      <c r="K2281">
        <v>1</v>
      </c>
      <c r="L2281">
        <v>0</v>
      </c>
      <c r="M2281">
        <v>0</v>
      </c>
      <c r="N2281" t="s">
        <v>194</v>
      </c>
      <c r="O2281" t="s">
        <v>213</v>
      </c>
      <c r="P2281" t="s">
        <v>205</v>
      </c>
      <c r="Q2281" t="s">
        <v>171</v>
      </c>
      <c r="R2281" t="s">
        <v>168</v>
      </c>
      <c r="S2281">
        <v>5</v>
      </c>
      <c r="T2281" t="s">
        <v>135</v>
      </c>
      <c r="U2281">
        <v>0</v>
      </c>
      <c r="V2281">
        <v>5</v>
      </c>
      <c r="W2281" t="s">
        <v>135</v>
      </c>
      <c r="X2281">
        <v>0</v>
      </c>
      <c r="Y2281" t="s">
        <v>139</v>
      </c>
      <c r="Z2281" t="s">
        <v>178</v>
      </c>
      <c r="AA2281" t="s">
        <v>145</v>
      </c>
      <c r="AB2281" t="s">
        <v>164</v>
      </c>
      <c r="AC2281" t="s">
        <v>21</v>
      </c>
      <c r="AD2281" t="s">
        <v>21</v>
      </c>
      <c r="AE2281" t="s">
        <v>21</v>
      </c>
      <c r="AF2281" t="s">
        <v>21</v>
      </c>
    </row>
    <row r="2282" spans="1:32">
      <c r="A2282" t="s">
        <v>3302</v>
      </c>
      <c r="B2282" s="37">
        <v>40043</v>
      </c>
      <c r="C2282" s="38">
        <v>40043</v>
      </c>
      <c r="D2282" s="38">
        <v>40042</v>
      </c>
      <c r="E2282" s="38">
        <v>40026</v>
      </c>
      <c r="F2282" s="39">
        <v>138</v>
      </c>
      <c r="G2282" t="s">
        <v>21</v>
      </c>
      <c r="H2282" t="s">
        <v>21</v>
      </c>
      <c r="I2282">
        <v>0</v>
      </c>
      <c r="J2282">
        <v>0</v>
      </c>
      <c r="K2282">
        <v>0</v>
      </c>
      <c r="L2282">
        <v>1</v>
      </c>
      <c r="M2282">
        <v>0</v>
      </c>
      <c r="N2282" t="s">
        <v>194</v>
      </c>
      <c r="O2282" t="s">
        <v>213</v>
      </c>
      <c r="P2282" t="s">
        <v>205</v>
      </c>
      <c r="Q2282" t="s">
        <v>171</v>
      </c>
      <c r="R2282" t="s">
        <v>168</v>
      </c>
      <c r="S2282">
        <v>5</v>
      </c>
      <c r="T2282" t="s">
        <v>135</v>
      </c>
      <c r="U2282">
        <v>0</v>
      </c>
      <c r="V2282">
        <v>3</v>
      </c>
      <c r="W2282" t="s">
        <v>137</v>
      </c>
      <c r="X2282">
        <v>0</v>
      </c>
      <c r="Y2282" t="s">
        <v>139</v>
      </c>
      <c r="Z2282" t="s">
        <v>178</v>
      </c>
      <c r="AA2282" t="s">
        <v>150</v>
      </c>
      <c r="AB2282" t="s">
        <v>164</v>
      </c>
      <c r="AC2282" t="s">
        <v>21</v>
      </c>
      <c r="AD2282" t="s">
        <v>21</v>
      </c>
      <c r="AE2282" t="s">
        <v>21</v>
      </c>
      <c r="AF2282" t="s">
        <v>21</v>
      </c>
    </row>
    <row r="2283" spans="1:32">
      <c r="A2283" t="s">
        <v>3303</v>
      </c>
      <c r="B2283" s="37">
        <v>40044</v>
      </c>
      <c r="C2283" s="38">
        <v>40044</v>
      </c>
      <c r="D2283" s="38">
        <v>40042</v>
      </c>
      <c r="E2283" s="38">
        <v>40026</v>
      </c>
      <c r="F2283" s="39">
        <v>139</v>
      </c>
      <c r="G2283" t="s">
        <v>9</v>
      </c>
      <c r="H2283" t="s">
        <v>9</v>
      </c>
      <c r="I2283">
        <v>1</v>
      </c>
      <c r="J2283">
        <v>0</v>
      </c>
      <c r="K2283">
        <v>0</v>
      </c>
      <c r="L2283">
        <v>0</v>
      </c>
      <c r="M2283">
        <v>1</v>
      </c>
      <c r="N2283" t="s">
        <v>194</v>
      </c>
      <c r="O2283" t="s">
        <v>213</v>
      </c>
      <c r="P2283" t="s">
        <v>205</v>
      </c>
      <c r="Q2283" t="s">
        <v>171</v>
      </c>
      <c r="R2283" t="s">
        <v>168</v>
      </c>
      <c r="S2283">
        <v>5</v>
      </c>
      <c r="T2283" t="s">
        <v>135</v>
      </c>
      <c r="U2283">
        <v>0</v>
      </c>
      <c r="V2283">
        <v>5</v>
      </c>
      <c r="W2283" t="s">
        <v>135</v>
      </c>
      <c r="X2283">
        <v>0</v>
      </c>
      <c r="Y2283" t="s">
        <v>139</v>
      </c>
      <c r="Z2283" t="s">
        <v>191</v>
      </c>
      <c r="AA2283" t="s">
        <v>146</v>
      </c>
      <c r="AB2283" t="s">
        <v>164</v>
      </c>
      <c r="AC2283" t="s">
        <v>21</v>
      </c>
      <c r="AD2283" t="s">
        <v>21</v>
      </c>
      <c r="AE2283" t="s">
        <v>21</v>
      </c>
      <c r="AF2283" t="s">
        <v>21</v>
      </c>
    </row>
    <row r="2284" spans="1:32">
      <c r="A2284" t="s">
        <v>3304</v>
      </c>
      <c r="B2284" s="37">
        <v>40044</v>
      </c>
      <c r="C2284" s="38">
        <v>40044</v>
      </c>
      <c r="D2284" s="38">
        <v>40042</v>
      </c>
      <c r="E2284" s="38">
        <v>40026</v>
      </c>
      <c r="F2284" s="39">
        <v>139</v>
      </c>
      <c r="G2284" t="s">
        <v>496</v>
      </c>
      <c r="H2284" t="s">
        <v>13</v>
      </c>
      <c r="I2284">
        <v>0</v>
      </c>
      <c r="J2284">
        <v>1</v>
      </c>
      <c r="K2284">
        <v>0</v>
      </c>
      <c r="L2284">
        <v>0</v>
      </c>
      <c r="M2284">
        <v>1</v>
      </c>
      <c r="N2284" t="s">
        <v>194</v>
      </c>
      <c r="O2284" t="s">
        <v>213</v>
      </c>
      <c r="P2284" t="s">
        <v>205</v>
      </c>
      <c r="Q2284" t="s">
        <v>171</v>
      </c>
      <c r="R2284" t="s">
        <v>168</v>
      </c>
      <c r="S2284">
        <v>5</v>
      </c>
      <c r="T2284" t="s">
        <v>135</v>
      </c>
      <c r="U2284">
        <v>0</v>
      </c>
      <c r="V2284">
        <v>3</v>
      </c>
      <c r="W2284" t="s">
        <v>137</v>
      </c>
      <c r="X2284">
        <v>0</v>
      </c>
      <c r="Y2284" t="s">
        <v>139</v>
      </c>
      <c r="Z2284" t="s">
        <v>179</v>
      </c>
      <c r="AA2284" t="s">
        <v>148</v>
      </c>
      <c r="AB2284" t="s">
        <v>164</v>
      </c>
      <c r="AC2284" t="s">
        <v>21</v>
      </c>
      <c r="AD2284" t="s">
        <v>21</v>
      </c>
      <c r="AE2284" t="s">
        <v>21</v>
      </c>
      <c r="AF2284" t="s">
        <v>21</v>
      </c>
    </row>
    <row r="2285" spans="1:32">
      <c r="A2285" t="s">
        <v>3305</v>
      </c>
      <c r="B2285" s="37">
        <v>40045</v>
      </c>
      <c r="C2285" s="38">
        <v>40045</v>
      </c>
      <c r="D2285" s="38">
        <v>40042</v>
      </c>
      <c r="E2285" s="38">
        <v>40026</v>
      </c>
      <c r="F2285" s="39">
        <v>140</v>
      </c>
      <c r="G2285" t="s">
        <v>496</v>
      </c>
      <c r="H2285" t="s">
        <v>13</v>
      </c>
      <c r="I2285">
        <v>0</v>
      </c>
      <c r="J2285">
        <v>1</v>
      </c>
      <c r="K2285">
        <v>0</v>
      </c>
      <c r="L2285">
        <v>0</v>
      </c>
      <c r="M2285">
        <v>1</v>
      </c>
      <c r="N2285" t="s">
        <v>194</v>
      </c>
      <c r="O2285" t="s">
        <v>213</v>
      </c>
      <c r="P2285" t="s">
        <v>205</v>
      </c>
      <c r="Q2285" t="s">
        <v>171</v>
      </c>
      <c r="R2285" t="s">
        <v>168</v>
      </c>
      <c r="S2285">
        <v>5</v>
      </c>
      <c r="T2285" t="s">
        <v>135</v>
      </c>
      <c r="U2285">
        <v>0</v>
      </c>
      <c r="V2285">
        <v>3</v>
      </c>
      <c r="W2285" t="s">
        <v>137</v>
      </c>
      <c r="X2285">
        <v>0</v>
      </c>
      <c r="Y2285" t="s">
        <v>139</v>
      </c>
      <c r="Z2285" t="s">
        <v>178</v>
      </c>
      <c r="AA2285" t="s">
        <v>148</v>
      </c>
      <c r="AB2285" t="s">
        <v>164</v>
      </c>
      <c r="AC2285" t="s">
        <v>21</v>
      </c>
      <c r="AD2285" t="s">
        <v>21</v>
      </c>
      <c r="AE2285" t="s">
        <v>21</v>
      </c>
      <c r="AF2285" t="s">
        <v>21</v>
      </c>
    </row>
    <row r="2286" spans="1:32">
      <c r="A2286" t="s">
        <v>3306</v>
      </c>
      <c r="B2286" s="37">
        <v>40047</v>
      </c>
      <c r="C2286" s="38">
        <v>40047</v>
      </c>
      <c r="D2286" s="38">
        <v>40042</v>
      </c>
      <c r="E2286" s="38">
        <v>40026</v>
      </c>
      <c r="F2286" s="39">
        <v>142</v>
      </c>
      <c r="G2286" t="s">
        <v>21</v>
      </c>
      <c r="H2286" t="s">
        <v>21</v>
      </c>
      <c r="I2286">
        <v>0</v>
      </c>
      <c r="J2286">
        <v>0</v>
      </c>
      <c r="K2286">
        <v>0</v>
      </c>
      <c r="L2286">
        <v>1</v>
      </c>
      <c r="M2286">
        <v>0</v>
      </c>
      <c r="N2286" t="s">
        <v>194</v>
      </c>
      <c r="O2286" t="s">
        <v>213</v>
      </c>
      <c r="P2286" t="s">
        <v>205</v>
      </c>
      <c r="Q2286" t="s">
        <v>171</v>
      </c>
      <c r="R2286" t="s">
        <v>168</v>
      </c>
      <c r="S2286">
        <v>5</v>
      </c>
      <c r="T2286" t="s">
        <v>135</v>
      </c>
      <c r="U2286">
        <v>0</v>
      </c>
      <c r="V2286">
        <v>4</v>
      </c>
      <c r="W2286" t="s">
        <v>137</v>
      </c>
      <c r="X2286">
        <v>0</v>
      </c>
      <c r="Y2286" t="s">
        <v>139</v>
      </c>
      <c r="Z2286" t="s">
        <v>179</v>
      </c>
      <c r="AA2286" t="s">
        <v>144</v>
      </c>
      <c r="AB2286" t="s">
        <v>164</v>
      </c>
      <c r="AC2286" t="s">
        <v>21</v>
      </c>
      <c r="AD2286" t="s">
        <v>21</v>
      </c>
      <c r="AE2286" t="s">
        <v>21</v>
      </c>
      <c r="AF2286" t="s">
        <v>21</v>
      </c>
    </row>
    <row r="2287" spans="1:32">
      <c r="A2287" t="s">
        <v>3307</v>
      </c>
      <c r="B2287" s="37">
        <v>40049</v>
      </c>
      <c r="C2287" s="38">
        <v>40049</v>
      </c>
      <c r="D2287" s="38">
        <v>40049</v>
      </c>
      <c r="E2287" s="38">
        <v>40026</v>
      </c>
      <c r="F2287" s="39">
        <v>144</v>
      </c>
      <c r="G2287" t="s">
        <v>21</v>
      </c>
      <c r="H2287" t="s">
        <v>21</v>
      </c>
      <c r="I2287">
        <v>0</v>
      </c>
      <c r="J2287">
        <v>0</v>
      </c>
      <c r="K2287">
        <v>0</v>
      </c>
      <c r="L2287">
        <v>1</v>
      </c>
      <c r="M2287">
        <v>0</v>
      </c>
      <c r="N2287" t="s">
        <v>194</v>
      </c>
      <c r="O2287" t="s">
        <v>213</v>
      </c>
      <c r="P2287" t="s">
        <v>205</v>
      </c>
      <c r="Q2287" t="s">
        <v>171</v>
      </c>
      <c r="R2287" t="s">
        <v>168</v>
      </c>
      <c r="S2287">
        <v>5</v>
      </c>
      <c r="T2287" t="s">
        <v>135</v>
      </c>
      <c r="U2287">
        <v>0</v>
      </c>
      <c r="V2287">
        <v>4</v>
      </c>
      <c r="W2287" t="s">
        <v>137</v>
      </c>
      <c r="X2287">
        <v>0</v>
      </c>
      <c r="Y2287" t="s">
        <v>139</v>
      </c>
      <c r="Z2287" t="s">
        <v>186</v>
      </c>
      <c r="AA2287" t="s">
        <v>146</v>
      </c>
      <c r="AB2287" t="s">
        <v>164</v>
      </c>
      <c r="AC2287" t="s">
        <v>21</v>
      </c>
      <c r="AD2287" t="s">
        <v>21</v>
      </c>
      <c r="AE2287" t="s">
        <v>21</v>
      </c>
      <c r="AF2287" t="s">
        <v>21</v>
      </c>
    </row>
    <row r="2288" spans="1:32">
      <c r="A2288" t="s">
        <v>3308</v>
      </c>
      <c r="B2288" s="37">
        <v>40050</v>
      </c>
      <c r="C2288" s="38">
        <v>40050</v>
      </c>
      <c r="D2288" s="38">
        <v>40049</v>
      </c>
      <c r="E2288" s="38">
        <v>40026</v>
      </c>
      <c r="F2288" s="39">
        <v>145</v>
      </c>
      <c r="G2288" t="s">
        <v>21</v>
      </c>
      <c r="H2288" t="s">
        <v>21</v>
      </c>
      <c r="I2288">
        <v>0</v>
      </c>
      <c r="J2288">
        <v>0</v>
      </c>
      <c r="K2288">
        <v>0</v>
      </c>
      <c r="L2288">
        <v>1</v>
      </c>
      <c r="M2288">
        <v>0</v>
      </c>
      <c r="N2288" t="s">
        <v>194</v>
      </c>
      <c r="O2288" t="s">
        <v>213</v>
      </c>
      <c r="P2288" t="s">
        <v>205</v>
      </c>
      <c r="Q2288" t="s">
        <v>171</v>
      </c>
      <c r="R2288" t="s">
        <v>168</v>
      </c>
      <c r="S2288">
        <v>5</v>
      </c>
      <c r="T2288" t="s">
        <v>135</v>
      </c>
      <c r="U2288">
        <v>0</v>
      </c>
      <c r="V2288">
        <v>2</v>
      </c>
      <c r="W2288" t="s">
        <v>136</v>
      </c>
      <c r="X2288">
        <v>0</v>
      </c>
      <c r="Y2288" t="s">
        <v>139</v>
      </c>
      <c r="Z2288" t="s">
        <v>179</v>
      </c>
      <c r="AA2288" t="s">
        <v>146</v>
      </c>
      <c r="AB2288" t="s">
        <v>164</v>
      </c>
      <c r="AC2288" t="s">
        <v>21</v>
      </c>
      <c r="AD2288" t="s">
        <v>21</v>
      </c>
      <c r="AE2288" t="s">
        <v>21</v>
      </c>
      <c r="AF2288" t="s">
        <v>21</v>
      </c>
    </row>
    <row r="2289" spans="1:32">
      <c r="A2289" t="s">
        <v>3309</v>
      </c>
      <c r="B2289" s="37">
        <v>40050</v>
      </c>
      <c r="C2289" s="38">
        <v>40050</v>
      </c>
      <c r="D2289" s="38">
        <v>40049</v>
      </c>
      <c r="E2289" s="38">
        <v>40026</v>
      </c>
      <c r="F2289" s="39">
        <v>145</v>
      </c>
      <c r="G2289" t="s">
        <v>525</v>
      </c>
      <c r="H2289" t="s">
        <v>17</v>
      </c>
      <c r="I2289">
        <v>0</v>
      </c>
      <c r="J2289">
        <v>0</v>
      </c>
      <c r="K2289">
        <v>1</v>
      </c>
      <c r="L2289">
        <v>0</v>
      </c>
      <c r="M2289">
        <v>0</v>
      </c>
      <c r="N2289" t="s">
        <v>194</v>
      </c>
      <c r="O2289" t="s">
        <v>213</v>
      </c>
      <c r="P2289" t="s">
        <v>205</v>
      </c>
      <c r="Q2289" t="s">
        <v>171</v>
      </c>
      <c r="R2289" t="s">
        <v>168</v>
      </c>
      <c r="S2289">
        <v>3</v>
      </c>
      <c r="T2289" t="s">
        <v>137</v>
      </c>
      <c r="U2289">
        <v>0</v>
      </c>
      <c r="V2289">
        <v>3</v>
      </c>
      <c r="W2289" t="s">
        <v>137</v>
      </c>
      <c r="X2289">
        <v>0</v>
      </c>
      <c r="Y2289" t="s">
        <v>139</v>
      </c>
      <c r="Z2289" t="s">
        <v>185</v>
      </c>
      <c r="AA2289" t="s">
        <v>146</v>
      </c>
      <c r="AB2289" t="s">
        <v>164</v>
      </c>
      <c r="AC2289" t="s">
        <v>21</v>
      </c>
      <c r="AD2289" t="s">
        <v>21</v>
      </c>
      <c r="AE2289" t="s">
        <v>21</v>
      </c>
      <c r="AF2289" t="s">
        <v>21</v>
      </c>
    </row>
    <row r="2290" spans="1:32">
      <c r="A2290" t="s">
        <v>3310</v>
      </c>
      <c r="B2290" s="37">
        <v>40051</v>
      </c>
      <c r="C2290" s="38">
        <v>40051</v>
      </c>
      <c r="D2290" s="38">
        <v>40049</v>
      </c>
      <c r="E2290" s="38">
        <v>40026</v>
      </c>
      <c r="F2290" s="39">
        <v>146</v>
      </c>
      <c r="G2290" t="s">
        <v>21</v>
      </c>
      <c r="H2290" t="s">
        <v>21</v>
      </c>
      <c r="I2290">
        <v>0</v>
      </c>
      <c r="J2290">
        <v>0</v>
      </c>
      <c r="K2290">
        <v>0</v>
      </c>
      <c r="L2290">
        <v>1</v>
      </c>
      <c r="M2290">
        <v>0</v>
      </c>
      <c r="N2290" t="s">
        <v>194</v>
      </c>
      <c r="O2290" t="s">
        <v>213</v>
      </c>
      <c r="P2290" t="s">
        <v>205</v>
      </c>
      <c r="Q2290" t="s">
        <v>171</v>
      </c>
      <c r="R2290" t="s">
        <v>168</v>
      </c>
      <c r="S2290">
        <v>5</v>
      </c>
      <c r="T2290" t="s">
        <v>135</v>
      </c>
      <c r="U2290">
        <v>0</v>
      </c>
      <c r="V2290">
        <v>3</v>
      </c>
      <c r="W2290" t="s">
        <v>137</v>
      </c>
      <c r="X2290">
        <v>0</v>
      </c>
      <c r="Y2290" t="s">
        <v>139</v>
      </c>
      <c r="Z2290" t="s">
        <v>179</v>
      </c>
      <c r="AA2290" t="s">
        <v>145</v>
      </c>
      <c r="AB2290" t="s">
        <v>164</v>
      </c>
      <c r="AC2290" t="s">
        <v>21</v>
      </c>
      <c r="AD2290" t="s">
        <v>21</v>
      </c>
      <c r="AE2290" t="s">
        <v>21</v>
      </c>
      <c r="AF2290" t="s">
        <v>21</v>
      </c>
    </row>
    <row r="2291" spans="1:32">
      <c r="A2291" t="s">
        <v>3311</v>
      </c>
      <c r="B2291" s="37">
        <v>40052</v>
      </c>
      <c r="C2291" s="38">
        <v>40052</v>
      </c>
      <c r="D2291" s="38">
        <v>40049</v>
      </c>
      <c r="E2291" s="38">
        <v>40026</v>
      </c>
      <c r="F2291" s="39">
        <v>147</v>
      </c>
      <c r="G2291" t="s">
        <v>380</v>
      </c>
      <c r="H2291" t="s">
        <v>17</v>
      </c>
      <c r="I2291">
        <v>0</v>
      </c>
      <c r="J2291">
        <v>0</v>
      </c>
      <c r="K2291">
        <v>1</v>
      </c>
      <c r="L2291">
        <v>0</v>
      </c>
      <c r="M2291">
        <v>0</v>
      </c>
      <c r="N2291" t="s">
        <v>194</v>
      </c>
      <c r="O2291" t="s">
        <v>213</v>
      </c>
      <c r="P2291" t="s">
        <v>205</v>
      </c>
      <c r="Q2291" t="s">
        <v>171</v>
      </c>
      <c r="R2291" t="s">
        <v>168</v>
      </c>
      <c r="S2291">
        <v>5</v>
      </c>
      <c r="T2291" t="s">
        <v>135</v>
      </c>
      <c r="U2291">
        <v>0</v>
      </c>
      <c r="V2291">
        <v>5</v>
      </c>
      <c r="W2291" t="s">
        <v>135</v>
      </c>
      <c r="X2291">
        <v>0</v>
      </c>
      <c r="Y2291" t="s">
        <v>139</v>
      </c>
      <c r="Z2291" t="s">
        <v>180</v>
      </c>
      <c r="AA2291" t="s">
        <v>143</v>
      </c>
      <c r="AB2291" t="s">
        <v>164</v>
      </c>
      <c r="AC2291" t="s">
        <v>21</v>
      </c>
      <c r="AD2291" t="s">
        <v>21</v>
      </c>
      <c r="AE2291" t="s">
        <v>21</v>
      </c>
      <c r="AF2291" t="s">
        <v>21</v>
      </c>
    </row>
    <row r="2292" spans="1:32">
      <c r="A2292" t="s">
        <v>3312</v>
      </c>
      <c r="B2292" s="37">
        <v>40053</v>
      </c>
      <c r="C2292" s="38">
        <v>40053</v>
      </c>
      <c r="D2292" s="38">
        <v>40049</v>
      </c>
      <c r="E2292" s="38">
        <v>40026</v>
      </c>
      <c r="F2292" s="39">
        <v>148</v>
      </c>
      <c r="G2292" t="s">
        <v>21</v>
      </c>
      <c r="H2292" t="s">
        <v>21</v>
      </c>
      <c r="I2292">
        <v>0</v>
      </c>
      <c r="J2292">
        <v>0</v>
      </c>
      <c r="K2292">
        <v>0</v>
      </c>
      <c r="L2292">
        <v>1</v>
      </c>
      <c r="M2292">
        <v>0</v>
      </c>
      <c r="N2292" t="s">
        <v>194</v>
      </c>
      <c r="O2292" t="s">
        <v>213</v>
      </c>
      <c r="P2292" t="s">
        <v>205</v>
      </c>
      <c r="Q2292" t="s">
        <v>171</v>
      </c>
      <c r="R2292" t="s">
        <v>168</v>
      </c>
      <c r="S2292">
        <v>5</v>
      </c>
      <c r="T2292" t="s">
        <v>135</v>
      </c>
      <c r="U2292">
        <v>0</v>
      </c>
      <c r="V2292">
        <v>3</v>
      </c>
      <c r="W2292" t="s">
        <v>137</v>
      </c>
      <c r="X2292">
        <v>0</v>
      </c>
      <c r="Y2292" t="s">
        <v>139</v>
      </c>
      <c r="Z2292" t="s">
        <v>185</v>
      </c>
      <c r="AA2292" t="s">
        <v>150</v>
      </c>
      <c r="AB2292" t="s">
        <v>164</v>
      </c>
      <c r="AC2292" t="s">
        <v>21</v>
      </c>
      <c r="AD2292" t="s">
        <v>21</v>
      </c>
      <c r="AE2292" t="s">
        <v>21</v>
      </c>
      <c r="AF2292" t="s">
        <v>21</v>
      </c>
    </row>
    <row r="2293" spans="1:32">
      <c r="A2293" t="s">
        <v>3313</v>
      </c>
      <c r="B2293" s="37">
        <v>40054</v>
      </c>
      <c r="C2293" s="38">
        <v>40054</v>
      </c>
      <c r="D2293" s="38">
        <v>40049</v>
      </c>
      <c r="E2293" s="38">
        <v>40026</v>
      </c>
      <c r="F2293" s="39">
        <v>149</v>
      </c>
      <c r="G2293" t="s">
        <v>21</v>
      </c>
      <c r="H2293" t="s">
        <v>21</v>
      </c>
      <c r="I2293">
        <v>0</v>
      </c>
      <c r="J2293">
        <v>0</v>
      </c>
      <c r="K2293">
        <v>0</v>
      </c>
      <c r="L2293">
        <v>1</v>
      </c>
      <c r="M2293">
        <v>0</v>
      </c>
      <c r="N2293" t="s">
        <v>194</v>
      </c>
      <c r="O2293" t="s">
        <v>213</v>
      </c>
      <c r="P2293" t="s">
        <v>205</v>
      </c>
      <c r="Q2293" t="s">
        <v>171</v>
      </c>
      <c r="R2293" t="s">
        <v>168</v>
      </c>
      <c r="S2293">
        <v>5</v>
      </c>
      <c r="T2293" t="s">
        <v>135</v>
      </c>
      <c r="U2293">
        <v>0</v>
      </c>
      <c r="V2293">
        <v>3</v>
      </c>
      <c r="W2293" t="s">
        <v>137</v>
      </c>
      <c r="X2293">
        <v>0</v>
      </c>
      <c r="Y2293" t="s">
        <v>139</v>
      </c>
      <c r="Z2293" t="s">
        <v>181</v>
      </c>
      <c r="AA2293" t="s">
        <v>146</v>
      </c>
      <c r="AB2293" t="s">
        <v>164</v>
      </c>
      <c r="AC2293" t="s">
        <v>21</v>
      </c>
      <c r="AD2293" t="s">
        <v>21</v>
      </c>
      <c r="AE2293" t="s">
        <v>21</v>
      </c>
      <c r="AF2293" t="s">
        <v>21</v>
      </c>
    </row>
    <row r="2294" spans="1:32">
      <c r="A2294" t="s">
        <v>3314</v>
      </c>
      <c r="B2294" s="37">
        <v>40055</v>
      </c>
      <c r="C2294" s="38">
        <v>40055</v>
      </c>
      <c r="D2294" s="38">
        <v>40049</v>
      </c>
      <c r="E2294" s="38">
        <v>40026</v>
      </c>
      <c r="F2294" s="39">
        <v>150</v>
      </c>
      <c r="G2294" t="s">
        <v>21</v>
      </c>
      <c r="H2294" t="s">
        <v>21</v>
      </c>
      <c r="I2294">
        <v>0</v>
      </c>
      <c r="J2294">
        <v>0</v>
      </c>
      <c r="K2294">
        <v>0</v>
      </c>
      <c r="L2294">
        <v>1</v>
      </c>
      <c r="M2294">
        <v>0</v>
      </c>
      <c r="N2294" t="s">
        <v>194</v>
      </c>
      <c r="O2294" t="s">
        <v>213</v>
      </c>
      <c r="P2294" t="s">
        <v>205</v>
      </c>
      <c r="Q2294" t="s">
        <v>171</v>
      </c>
      <c r="R2294" t="s">
        <v>168</v>
      </c>
      <c r="S2294">
        <v>5</v>
      </c>
      <c r="T2294" t="s">
        <v>135</v>
      </c>
      <c r="U2294">
        <v>0</v>
      </c>
      <c r="V2294">
        <v>5</v>
      </c>
      <c r="W2294" t="s">
        <v>135</v>
      </c>
      <c r="X2294">
        <v>0</v>
      </c>
      <c r="Y2294" t="s">
        <v>139</v>
      </c>
      <c r="Z2294" t="s">
        <v>181</v>
      </c>
      <c r="AA2294" t="s">
        <v>145</v>
      </c>
      <c r="AB2294" t="s">
        <v>164</v>
      </c>
      <c r="AC2294" t="s">
        <v>21</v>
      </c>
      <c r="AD2294" t="s">
        <v>21</v>
      </c>
      <c r="AE2294" t="s">
        <v>21</v>
      </c>
      <c r="AF2294" t="s">
        <v>21</v>
      </c>
    </row>
    <row r="2295" spans="1:32">
      <c r="A2295" t="s">
        <v>3315</v>
      </c>
      <c r="B2295" s="37">
        <v>40057</v>
      </c>
      <c r="C2295" s="38">
        <v>40057</v>
      </c>
      <c r="D2295" s="38">
        <v>40056</v>
      </c>
      <c r="E2295" s="38">
        <v>40057</v>
      </c>
      <c r="F2295" s="39">
        <v>152</v>
      </c>
      <c r="G2295" t="s">
        <v>21</v>
      </c>
      <c r="H2295" t="s">
        <v>21</v>
      </c>
      <c r="I2295">
        <v>0</v>
      </c>
      <c r="J2295">
        <v>0</v>
      </c>
      <c r="K2295">
        <v>0</v>
      </c>
      <c r="L2295">
        <v>1</v>
      </c>
      <c r="M2295">
        <v>0</v>
      </c>
      <c r="N2295" t="s">
        <v>194</v>
      </c>
      <c r="O2295" t="s">
        <v>213</v>
      </c>
      <c r="P2295" t="s">
        <v>205</v>
      </c>
      <c r="Q2295" t="s">
        <v>171</v>
      </c>
      <c r="R2295" t="s">
        <v>168</v>
      </c>
      <c r="S2295">
        <v>1</v>
      </c>
      <c r="T2295" t="s">
        <v>136</v>
      </c>
      <c r="U2295">
        <v>0</v>
      </c>
      <c r="V2295">
        <v>5</v>
      </c>
      <c r="W2295" t="s">
        <v>135</v>
      </c>
      <c r="X2295">
        <v>0</v>
      </c>
      <c r="Y2295" t="s">
        <v>139</v>
      </c>
      <c r="Z2295" t="s">
        <v>180</v>
      </c>
      <c r="AA2295" t="s">
        <v>145</v>
      </c>
      <c r="AB2295" t="s">
        <v>164</v>
      </c>
      <c r="AC2295" t="s">
        <v>21</v>
      </c>
      <c r="AD2295" t="s">
        <v>21</v>
      </c>
      <c r="AE2295" t="s">
        <v>21</v>
      </c>
      <c r="AF2295" t="s">
        <v>21</v>
      </c>
    </row>
    <row r="2296" spans="1:32">
      <c r="A2296" t="s">
        <v>3316</v>
      </c>
      <c r="B2296" s="37">
        <v>40057</v>
      </c>
      <c r="C2296" s="38">
        <v>40057</v>
      </c>
      <c r="D2296" s="38">
        <v>40056</v>
      </c>
      <c r="E2296" s="38">
        <v>40057</v>
      </c>
      <c r="F2296" s="39">
        <v>152</v>
      </c>
      <c r="G2296" t="s">
        <v>21</v>
      </c>
      <c r="H2296" t="s">
        <v>21</v>
      </c>
      <c r="I2296">
        <v>0</v>
      </c>
      <c r="J2296">
        <v>0</v>
      </c>
      <c r="K2296">
        <v>0</v>
      </c>
      <c r="L2296">
        <v>1</v>
      </c>
      <c r="M2296">
        <v>0</v>
      </c>
      <c r="N2296" t="s">
        <v>194</v>
      </c>
      <c r="O2296" t="s">
        <v>213</v>
      </c>
      <c r="P2296" t="s">
        <v>205</v>
      </c>
      <c r="Q2296" t="s">
        <v>171</v>
      </c>
      <c r="R2296" t="s">
        <v>168</v>
      </c>
      <c r="S2296">
        <v>1</v>
      </c>
      <c r="T2296" t="s">
        <v>136</v>
      </c>
      <c r="U2296">
        <v>0</v>
      </c>
      <c r="V2296">
        <v>3</v>
      </c>
      <c r="W2296" t="s">
        <v>137</v>
      </c>
      <c r="X2296">
        <v>0</v>
      </c>
      <c r="Y2296" t="s">
        <v>139</v>
      </c>
      <c r="Z2296" t="s">
        <v>179</v>
      </c>
      <c r="AA2296" t="s">
        <v>146</v>
      </c>
      <c r="AB2296" t="s">
        <v>164</v>
      </c>
      <c r="AC2296" t="s">
        <v>21</v>
      </c>
      <c r="AD2296" t="s">
        <v>21</v>
      </c>
      <c r="AE2296" t="s">
        <v>21</v>
      </c>
      <c r="AF2296" t="s">
        <v>21</v>
      </c>
    </row>
    <row r="2297" spans="1:32">
      <c r="A2297" t="s">
        <v>3317</v>
      </c>
      <c r="B2297" s="37">
        <v>40059</v>
      </c>
      <c r="C2297" s="38">
        <v>40059</v>
      </c>
      <c r="D2297" s="38">
        <v>40056</v>
      </c>
      <c r="E2297" s="38">
        <v>40057</v>
      </c>
      <c r="F2297" s="39">
        <v>154</v>
      </c>
      <c r="G2297" t="s">
        <v>21</v>
      </c>
      <c r="H2297" t="s">
        <v>21</v>
      </c>
      <c r="I2297">
        <v>0</v>
      </c>
      <c r="J2297">
        <v>0</v>
      </c>
      <c r="K2297">
        <v>0</v>
      </c>
      <c r="L2297">
        <v>1</v>
      </c>
      <c r="M2297">
        <v>0</v>
      </c>
      <c r="N2297" t="s">
        <v>194</v>
      </c>
      <c r="O2297" t="s">
        <v>213</v>
      </c>
      <c r="P2297" t="s">
        <v>205</v>
      </c>
      <c r="Q2297" t="s">
        <v>171</v>
      </c>
      <c r="R2297" t="s">
        <v>168</v>
      </c>
      <c r="S2297">
        <v>5</v>
      </c>
      <c r="T2297" t="s">
        <v>135</v>
      </c>
      <c r="U2297">
        <v>0</v>
      </c>
      <c r="V2297">
        <v>3</v>
      </c>
      <c r="W2297" t="s">
        <v>137</v>
      </c>
      <c r="X2297">
        <v>0</v>
      </c>
      <c r="Y2297" t="s">
        <v>139</v>
      </c>
      <c r="Z2297" t="s">
        <v>184</v>
      </c>
      <c r="AA2297" t="s">
        <v>143</v>
      </c>
      <c r="AB2297" t="s">
        <v>164</v>
      </c>
      <c r="AC2297" t="s">
        <v>21</v>
      </c>
      <c r="AD2297" t="s">
        <v>21</v>
      </c>
      <c r="AE2297" t="s">
        <v>21</v>
      </c>
      <c r="AF2297" t="s">
        <v>21</v>
      </c>
    </row>
    <row r="2298" spans="1:32">
      <c r="A2298" t="s">
        <v>3318</v>
      </c>
      <c r="B2298" s="37">
        <v>40059</v>
      </c>
      <c r="C2298" s="38">
        <v>40059</v>
      </c>
      <c r="D2298" s="38">
        <v>40056</v>
      </c>
      <c r="E2298" s="38">
        <v>40057</v>
      </c>
      <c r="F2298" s="39">
        <v>154</v>
      </c>
      <c r="G2298" t="s">
        <v>21</v>
      </c>
      <c r="H2298" t="s">
        <v>21</v>
      </c>
      <c r="I2298">
        <v>0</v>
      </c>
      <c r="J2298">
        <v>0</v>
      </c>
      <c r="K2298">
        <v>0</v>
      </c>
      <c r="L2298">
        <v>1</v>
      </c>
      <c r="M2298">
        <v>0</v>
      </c>
      <c r="N2298" t="s">
        <v>194</v>
      </c>
      <c r="O2298" t="s">
        <v>213</v>
      </c>
      <c r="P2298" t="s">
        <v>205</v>
      </c>
      <c r="Q2298" t="s">
        <v>171</v>
      </c>
      <c r="R2298" t="s">
        <v>168</v>
      </c>
      <c r="S2298">
        <v>5</v>
      </c>
      <c r="T2298" t="s">
        <v>135</v>
      </c>
      <c r="U2298">
        <v>0</v>
      </c>
      <c r="V2298">
        <v>3</v>
      </c>
      <c r="W2298" t="s">
        <v>137</v>
      </c>
      <c r="X2298">
        <v>0</v>
      </c>
      <c r="Y2298" t="s">
        <v>139</v>
      </c>
      <c r="Z2298" t="s">
        <v>384</v>
      </c>
      <c r="AA2298" t="s">
        <v>142</v>
      </c>
      <c r="AB2298" t="s">
        <v>164</v>
      </c>
      <c r="AC2298" t="s">
        <v>21</v>
      </c>
      <c r="AD2298" t="s">
        <v>21</v>
      </c>
      <c r="AE2298" t="s">
        <v>21</v>
      </c>
      <c r="AF2298" t="s">
        <v>21</v>
      </c>
    </row>
    <row r="2299" spans="1:32">
      <c r="A2299" t="s">
        <v>3319</v>
      </c>
      <c r="B2299" s="37">
        <v>40061</v>
      </c>
      <c r="C2299" s="38">
        <v>40061</v>
      </c>
      <c r="D2299" s="38">
        <v>40056</v>
      </c>
      <c r="E2299" s="38">
        <v>40057</v>
      </c>
      <c r="F2299" s="39">
        <v>156</v>
      </c>
      <c r="G2299" t="s">
        <v>9</v>
      </c>
      <c r="H2299" t="s">
        <v>9</v>
      </c>
      <c r="I2299">
        <v>1</v>
      </c>
      <c r="J2299">
        <v>0</v>
      </c>
      <c r="K2299">
        <v>0</v>
      </c>
      <c r="L2299">
        <v>0</v>
      </c>
      <c r="M2299">
        <v>1</v>
      </c>
      <c r="N2299" t="s">
        <v>194</v>
      </c>
      <c r="O2299" t="s">
        <v>213</v>
      </c>
      <c r="P2299" t="s">
        <v>205</v>
      </c>
      <c r="Q2299" t="s">
        <v>171</v>
      </c>
      <c r="R2299" t="s">
        <v>168</v>
      </c>
      <c r="S2299">
        <v>5</v>
      </c>
      <c r="T2299" t="s">
        <v>135</v>
      </c>
      <c r="U2299">
        <v>0</v>
      </c>
      <c r="V2299">
        <v>3</v>
      </c>
      <c r="W2299" t="s">
        <v>137</v>
      </c>
      <c r="X2299">
        <v>0</v>
      </c>
      <c r="Y2299" t="s">
        <v>139</v>
      </c>
      <c r="Z2299" t="s">
        <v>178</v>
      </c>
      <c r="AA2299" t="s">
        <v>146</v>
      </c>
      <c r="AB2299" t="s">
        <v>164</v>
      </c>
      <c r="AC2299" t="s">
        <v>21</v>
      </c>
      <c r="AD2299" t="s">
        <v>21</v>
      </c>
      <c r="AE2299" t="s">
        <v>21</v>
      </c>
      <c r="AF2299" t="s">
        <v>21</v>
      </c>
    </row>
    <row r="2300" spans="1:32">
      <c r="A2300" t="s">
        <v>3320</v>
      </c>
      <c r="B2300" s="37">
        <v>40064</v>
      </c>
      <c r="C2300" s="38">
        <v>40064</v>
      </c>
      <c r="D2300" s="38">
        <v>40063</v>
      </c>
      <c r="E2300" s="38">
        <v>40057</v>
      </c>
      <c r="F2300" s="39">
        <v>159</v>
      </c>
      <c r="G2300" t="s">
        <v>21</v>
      </c>
      <c r="H2300" t="s">
        <v>21</v>
      </c>
      <c r="I2300">
        <v>0</v>
      </c>
      <c r="J2300">
        <v>0</v>
      </c>
      <c r="K2300">
        <v>0</v>
      </c>
      <c r="L2300">
        <v>1</v>
      </c>
      <c r="M2300">
        <v>0</v>
      </c>
      <c r="N2300" t="s">
        <v>194</v>
      </c>
      <c r="O2300" t="s">
        <v>213</v>
      </c>
      <c r="P2300" t="s">
        <v>205</v>
      </c>
      <c r="Q2300" t="s">
        <v>171</v>
      </c>
      <c r="R2300" t="s">
        <v>168</v>
      </c>
      <c r="S2300">
        <v>5</v>
      </c>
      <c r="T2300" t="s">
        <v>135</v>
      </c>
      <c r="U2300">
        <v>0</v>
      </c>
      <c r="V2300">
        <v>3</v>
      </c>
      <c r="W2300" t="s">
        <v>137</v>
      </c>
      <c r="X2300">
        <v>0</v>
      </c>
      <c r="Y2300" t="s">
        <v>139</v>
      </c>
      <c r="Z2300" t="s">
        <v>183</v>
      </c>
      <c r="AA2300" t="s">
        <v>143</v>
      </c>
      <c r="AB2300" t="s">
        <v>164</v>
      </c>
      <c r="AC2300" t="s">
        <v>21</v>
      </c>
      <c r="AD2300" t="s">
        <v>21</v>
      </c>
      <c r="AE2300" t="s">
        <v>21</v>
      </c>
      <c r="AF2300" t="s">
        <v>21</v>
      </c>
    </row>
    <row r="2301" spans="1:32">
      <c r="A2301" t="s">
        <v>3321</v>
      </c>
      <c r="B2301" s="37">
        <v>40064</v>
      </c>
      <c r="C2301" s="38">
        <v>40064</v>
      </c>
      <c r="D2301" s="38">
        <v>40063</v>
      </c>
      <c r="E2301" s="38">
        <v>40057</v>
      </c>
      <c r="F2301" s="39">
        <v>159</v>
      </c>
      <c r="G2301" t="s">
        <v>21</v>
      </c>
      <c r="H2301" t="s">
        <v>21</v>
      </c>
      <c r="I2301">
        <v>0</v>
      </c>
      <c r="J2301">
        <v>0</v>
      </c>
      <c r="K2301">
        <v>0</v>
      </c>
      <c r="L2301">
        <v>1</v>
      </c>
      <c r="M2301">
        <v>0</v>
      </c>
      <c r="N2301" t="s">
        <v>194</v>
      </c>
      <c r="O2301" t="s">
        <v>213</v>
      </c>
      <c r="P2301" t="s">
        <v>205</v>
      </c>
      <c r="Q2301" t="s">
        <v>171</v>
      </c>
      <c r="R2301" t="s">
        <v>168</v>
      </c>
      <c r="S2301">
        <v>5</v>
      </c>
      <c r="T2301" t="s">
        <v>135</v>
      </c>
      <c r="U2301">
        <v>0</v>
      </c>
      <c r="V2301">
        <v>5</v>
      </c>
      <c r="W2301" t="s">
        <v>135</v>
      </c>
      <c r="X2301">
        <v>0</v>
      </c>
      <c r="Y2301" t="s">
        <v>139</v>
      </c>
      <c r="Z2301" t="s">
        <v>180</v>
      </c>
      <c r="AA2301" t="s">
        <v>150</v>
      </c>
      <c r="AB2301" t="s">
        <v>164</v>
      </c>
      <c r="AC2301" t="s">
        <v>21</v>
      </c>
      <c r="AD2301" t="s">
        <v>21</v>
      </c>
      <c r="AE2301" t="s">
        <v>21</v>
      </c>
      <c r="AF2301" t="s">
        <v>21</v>
      </c>
    </row>
    <row r="2302" spans="1:32">
      <c r="A2302" t="s">
        <v>3322</v>
      </c>
      <c r="B2302" s="37">
        <v>40064</v>
      </c>
      <c r="C2302" s="38">
        <v>40064</v>
      </c>
      <c r="D2302" s="38">
        <v>40063</v>
      </c>
      <c r="E2302" s="38">
        <v>40057</v>
      </c>
      <c r="F2302" s="39">
        <v>159</v>
      </c>
      <c r="G2302" t="s">
        <v>21</v>
      </c>
      <c r="H2302" t="s">
        <v>21</v>
      </c>
      <c r="I2302">
        <v>0</v>
      </c>
      <c r="J2302">
        <v>0</v>
      </c>
      <c r="K2302">
        <v>0</v>
      </c>
      <c r="L2302">
        <v>1</v>
      </c>
      <c r="M2302">
        <v>0</v>
      </c>
      <c r="N2302" t="s">
        <v>194</v>
      </c>
      <c r="O2302" t="s">
        <v>213</v>
      </c>
      <c r="P2302" t="s">
        <v>205</v>
      </c>
      <c r="Q2302" t="s">
        <v>171</v>
      </c>
      <c r="R2302" t="s">
        <v>168</v>
      </c>
      <c r="S2302">
        <v>5</v>
      </c>
      <c r="T2302" t="s">
        <v>135</v>
      </c>
      <c r="U2302">
        <v>0</v>
      </c>
      <c r="V2302">
        <v>4</v>
      </c>
      <c r="W2302" t="s">
        <v>137</v>
      </c>
      <c r="X2302">
        <v>0</v>
      </c>
      <c r="Y2302" t="s">
        <v>139</v>
      </c>
      <c r="Z2302" t="s">
        <v>182</v>
      </c>
      <c r="AA2302" t="s">
        <v>143</v>
      </c>
      <c r="AB2302" t="s">
        <v>164</v>
      </c>
      <c r="AC2302" t="s">
        <v>21</v>
      </c>
      <c r="AD2302" t="s">
        <v>21</v>
      </c>
      <c r="AE2302" t="s">
        <v>21</v>
      </c>
      <c r="AF2302" t="s">
        <v>21</v>
      </c>
    </row>
    <row r="2303" spans="1:32">
      <c r="A2303" t="s">
        <v>3323</v>
      </c>
      <c r="B2303" s="37">
        <v>40065</v>
      </c>
      <c r="C2303" s="38">
        <v>40065</v>
      </c>
      <c r="D2303" s="38">
        <v>40063</v>
      </c>
      <c r="E2303" s="38">
        <v>40057</v>
      </c>
      <c r="F2303" s="39">
        <v>160</v>
      </c>
      <c r="G2303" t="s">
        <v>21</v>
      </c>
      <c r="H2303" t="s">
        <v>21</v>
      </c>
      <c r="I2303">
        <v>0</v>
      </c>
      <c r="J2303">
        <v>0</v>
      </c>
      <c r="K2303">
        <v>0</v>
      </c>
      <c r="L2303">
        <v>1</v>
      </c>
      <c r="M2303">
        <v>0</v>
      </c>
      <c r="N2303" t="s">
        <v>194</v>
      </c>
      <c r="O2303" t="s">
        <v>213</v>
      </c>
      <c r="P2303" t="s">
        <v>205</v>
      </c>
      <c r="Q2303" t="s">
        <v>171</v>
      </c>
      <c r="R2303" t="s">
        <v>168</v>
      </c>
      <c r="S2303">
        <v>5</v>
      </c>
      <c r="T2303" t="s">
        <v>135</v>
      </c>
      <c r="U2303">
        <v>0</v>
      </c>
      <c r="V2303">
        <v>5</v>
      </c>
      <c r="W2303" t="s">
        <v>135</v>
      </c>
      <c r="X2303">
        <v>0</v>
      </c>
      <c r="Y2303" t="s">
        <v>139</v>
      </c>
      <c r="Z2303" t="s">
        <v>180</v>
      </c>
      <c r="AA2303" t="s">
        <v>145</v>
      </c>
      <c r="AB2303" t="s">
        <v>164</v>
      </c>
      <c r="AC2303" t="s">
        <v>21</v>
      </c>
      <c r="AD2303" t="s">
        <v>21</v>
      </c>
      <c r="AE2303" t="s">
        <v>21</v>
      </c>
      <c r="AF2303" t="s">
        <v>21</v>
      </c>
    </row>
    <row r="2304" spans="1:32">
      <c r="A2304" t="s">
        <v>3324</v>
      </c>
      <c r="B2304" s="37">
        <v>40065</v>
      </c>
      <c r="C2304" s="38">
        <v>40065</v>
      </c>
      <c r="D2304" s="38">
        <v>40063</v>
      </c>
      <c r="E2304" s="38">
        <v>40057</v>
      </c>
      <c r="F2304" s="39">
        <v>160</v>
      </c>
      <c r="G2304" t="s">
        <v>525</v>
      </c>
      <c r="H2304" t="s">
        <v>17</v>
      </c>
      <c r="I2304">
        <v>0</v>
      </c>
      <c r="J2304">
        <v>0</v>
      </c>
      <c r="K2304">
        <v>1</v>
      </c>
      <c r="L2304">
        <v>0</v>
      </c>
      <c r="M2304">
        <v>0</v>
      </c>
      <c r="N2304" t="s">
        <v>194</v>
      </c>
      <c r="O2304" t="s">
        <v>213</v>
      </c>
      <c r="P2304" t="s">
        <v>205</v>
      </c>
      <c r="Q2304" t="s">
        <v>171</v>
      </c>
      <c r="R2304" t="s">
        <v>168</v>
      </c>
      <c r="S2304">
        <v>5</v>
      </c>
      <c r="T2304" t="s">
        <v>135</v>
      </c>
      <c r="U2304">
        <v>0</v>
      </c>
      <c r="V2304">
        <v>3</v>
      </c>
      <c r="W2304" t="s">
        <v>137</v>
      </c>
      <c r="X2304">
        <v>0</v>
      </c>
      <c r="Y2304" t="s">
        <v>139</v>
      </c>
      <c r="Z2304" t="s">
        <v>182</v>
      </c>
      <c r="AA2304" t="s">
        <v>143</v>
      </c>
      <c r="AB2304" t="s">
        <v>164</v>
      </c>
      <c r="AC2304" t="s">
        <v>21</v>
      </c>
      <c r="AD2304" t="s">
        <v>21</v>
      </c>
      <c r="AE2304" t="s">
        <v>21</v>
      </c>
      <c r="AF2304" t="s">
        <v>21</v>
      </c>
    </row>
    <row r="2305" spans="1:32">
      <c r="A2305" t="s">
        <v>3325</v>
      </c>
      <c r="B2305" s="37">
        <v>40066</v>
      </c>
      <c r="C2305" s="38">
        <v>40066</v>
      </c>
      <c r="D2305" s="38">
        <v>40063</v>
      </c>
      <c r="E2305" s="38">
        <v>40057</v>
      </c>
      <c r="F2305" s="39">
        <v>161</v>
      </c>
      <c r="G2305" t="s">
        <v>21</v>
      </c>
      <c r="H2305" t="s">
        <v>21</v>
      </c>
      <c r="I2305">
        <v>0</v>
      </c>
      <c r="J2305">
        <v>0</v>
      </c>
      <c r="K2305">
        <v>0</v>
      </c>
      <c r="L2305">
        <v>1</v>
      </c>
      <c r="M2305">
        <v>0</v>
      </c>
      <c r="N2305" t="s">
        <v>194</v>
      </c>
      <c r="O2305" t="s">
        <v>213</v>
      </c>
      <c r="P2305" t="s">
        <v>205</v>
      </c>
      <c r="Q2305" t="s">
        <v>171</v>
      </c>
      <c r="R2305" t="s">
        <v>168</v>
      </c>
      <c r="S2305">
        <v>5</v>
      </c>
      <c r="T2305" t="s">
        <v>135</v>
      </c>
      <c r="U2305">
        <v>0</v>
      </c>
      <c r="V2305">
        <v>4</v>
      </c>
      <c r="W2305" t="s">
        <v>137</v>
      </c>
      <c r="X2305">
        <v>0</v>
      </c>
      <c r="Y2305" t="s">
        <v>139</v>
      </c>
      <c r="Z2305" t="s">
        <v>384</v>
      </c>
      <c r="AA2305" t="s">
        <v>142</v>
      </c>
      <c r="AB2305" t="s">
        <v>164</v>
      </c>
      <c r="AC2305" t="s">
        <v>21</v>
      </c>
      <c r="AD2305" t="s">
        <v>21</v>
      </c>
      <c r="AE2305" t="s">
        <v>21</v>
      </c>
      <c r="AF2305" t="s">
        <v>21</v>
      </c>
    </row>
    <row r="2306" spans="1:32">
      <c r="A2306" t="s">
        <v>3326</v>
      </c>
      <c r="B2306" s="37">
        <v>40066</v>
      </c>
      <c r="C2306" s="38">
        <v>40066</v>
      </c>
      <c r="D2306" s="38">
        <v>40063</v>
      </c>
      <c r="E2306" s="38">
        <v>40057</v>
      </c>
      <c r="F2306" s="39">
        <v>161</v>
      </c>
      <c r="G2306" t="s">
        <v>21</v>
      </c>
      <c r="H2306" t="s">
        <v>21</v>
      </c>
      <c r="I2306">
        <v>0</v>
      </c>
      <c r="J2306">
        <v>0</v>
      </c>
      <c r="K2306">
        <v>0</v>
      </c>
      <c r="L2306">
        <v>1</v>
      </c>
      <c r="M2306">
        <v>0</v>
      </c>
      <c r="N2306" t="s">
        <v>194</v>
      </c>
      <c r="O2306" t="s">
        <v>213</v>
      </c>
      <c r="P2306" t="s">
        <v>205</v>
      </c>
      <c r="Q2306" t="s">
        <v>171</v>
      </c>
      <c r="R2306" t="s">
        <v>168</v>
      </c>
      <c r="S2306">
        <v>2</v>
      </c>
      <c r="T2306" t="s">
        <v>136</v>
      </c>
      <c r="U2306">
        <v>0</v>
      </c>
      <c r="V2306">
        <v>4</v>
      </c>
      <c r="W2306" t="s">
        <v>137</v>
      </c>
      <c r="X2306">
        <v>0</v>
      </c>
      <c r="Y2306" t="s">
        <v>139</v>
      </c>
      <c r="Z2306" t="s">
        <v>534</v>
      </c>
      <c r="AA2306" t="s">
        <v>150</v>
      </c>
      <c r="AB2306" t="s">
        <v>164</v>
      </c>
      <c r="AC2306" t="s">
        <v>21</v>
      </c>
      <c r="AD2306" t="s">
        <v>21</v>
      </c>
      <c r="AE2306" t="s">
        <v>21</v>
      </c>
      <c r="AF2306" t="s">
        <v>21</v>
      </c>
    </row>
    <row r="2307" spans="1:32">
      <c r="A2307" t="s">
        <v>3327</v>
      </c>
      <c r="B2307" s="37">
        <v>40068</v>
      </c>
      <c r="C2307" s="38">
        <v>40068</v>
      </c>
      <c r="D2307" s="38">
        <v>40063</v>
      </c>
      <c r="E2307" s="38">
        <v>40057</v>
      </c>
      <c r="F2307" s="39">
        <v>163</v>
      </c>
      <c r="G2307" t="s">
        <v>496</v>
      </c>
      <c r="H2307" t="s">
        <v>13</v>
      </c>
      <c r="I2307">
        <v>0</v>
      </c>
      <c r="J2307">
        <v>1</v>
      </c>
      <c r="K2307">
        <v>0</v>
      </c>
      <c r="L2307">
        <v>0</v>
      </c>
      <c r="M2307">
        <v>1</v>
      </c>
      <c r="N2307" t="s">
        <v>194</v>
      </c>
      <c r="O2307" t="s">
        <v>213</v>
      </c>
      <c r="P2307" t="s">
        <v>205</v>
      </c>
      <c r="Q2307" t="s">
        <v>171</v>
      </c>
      <c r="R2307" t="s">
        <v>168</v>
      </c>
      <c r="S2307">
        <v>5</v>
      </c>
      <c r="T2307" t="s">
        <v>135</v>
      </c>
      <c r="U2307">
        <v>0</v>
      </c>
      <c r="V2307">
        <v>3</v>
      </c>
      <c r="W2307" t="s">
        <v>137</v>
      </c>
      <c r="X2307">
        <v>0</v>
      </c>
      <c r="Y2307" t="s">
        <v>139</v>
      </c>
      <c r="Z2307" t="s">
        <v>178</v>
      </c>
      <c r="AA2307" t="s">
        <v>146</v>
      </c>
      <c r="AB2307" t="s">
        <v>164</v>
      </c>
      <c r="AC2307" t="s">
        <v>21</v>
      </c>
      <c r="AD2307" t="s">
        <v>21</v>
      </c>
      <c r="AE2307" t="s">
        <v>21</v>
      </c>
      <c r="AF2307" t="s">
        <v>21</v>
      </c>
    </row>
    <row r="2308" spans="1:32">
      <c r="A2308" t="s">
        <v>3328</v>
      </c>
      <c r="B2308" s="37">
        <v>40070</v>
      </c>
      <c r="C2308" s="38">
        <v>40070</v>
      </c>
      <c r="D2308" s="38">
        <v>40070</v>
      </c>
      <c r="E2308" s="38">
        <v>40057</v>
      </c>
      <c r="F2308" s="39">
        <v>165</v>
      </c>
      <c r="G2308" t="s">
        <v>9</v>
      </c>
      <c r="H2308" t="s">
        <v>9</v>
      </c>
      <c r="I2308">
        <v>1</v>
      </c>
      <c r="J2308">
        <v>0</v>
      </c>
      <c r="K2308">
        <v>0</v>
      </c>
      <c r="L2308">
        <v>0</v>
      </c>
      <c r="M2308">
        <v>1</v>
      </c>
      <c r="N2308" t="s">
        <v>194</v>
      </c>
      <c r="O2308" t="s">
        <v>213</v>
      </c>
      <c r="P2308" t="s">
        <v>205</v>
      </c>
      <c r="Q2308" t="s">
        <v>171</v>
      </c>
      <c r="R2308" t="s">
        <v>168</v>
      </c>
      <c r="S2308">
        <v>5</v>
      </c>
      <c r="T2308" t="s">
        <v>135</v>
      </c>
      <c r="U2308">
        <v>0</v>
      </c>
      <c r="V2308">
        <v>5</v>
      </c>
      <c r="W2308" t="s">
        <v>135</v>
      </c>
      <c r="X2308">
        <v>0</v>
      </c>
      <c r="Y2308" t="s">
        <v>139</v>
      </c>
      <c r="Z2308" t="s">
        <v>178</v>
      </c>
      <c r="AA2308" t="s">
        <v>148</v>
      </c>
      <c r="AB2308" t="s">
        <v>164</v>
      </c>
      <c r="AC2308" t="s">
        <v>21</v>
      </c>
      <c r="AD2308" t="s">
        <v>21</v>
      </c>
      <c r="AE2308" t="s">
        <v>21</v>
      </c>
      <c r="AF2308" t="s">
        <v>21</v>
      </c>
    </row>
    <row r="2309" spans="1:32">
      <c r="A2309" t="s">
        <v>3329</v>
      </c>
      <c r="B2309" s="37">
        <v>40070</v>
      </c>
      <c r="C2309" s="38">
        <v>40070</v>
      </c>
      <c r="D2309" s="38">
        <v>40070</v>
      </c>
      <c r="E2309" s="38">
        <v>40057</v>
      </c>
      <c r="F2309" s="39">
        <v>165</v>
      </c>
      <c r="G2309" t="s">
        <v>21</v>
      </c>
      <c r="H2309" t="s">
        <v>21</v>
      </c>
      <c r="I2309">
        <v>0</v>
      </c>
      <c r="J2309">
        <v>0</v>
      </c>
      <c r="K2309">
        <v>0</v>
      </c>
      <c r="L2309">
        <v>1</v>
      </c>
      <c r="M2309">
        <v>0</v>
      </c>
      <c r="N2309" t="s">
        <v>194</v>
      </c>
      <c r="O2309" t="s">
        <v>213</v>
      </c>
      <c r="P2309" t="s">
        <v>205</v>
      </c>
      <c r="Q2309" t="s">
        <v>171</v>
      </c>
      <c r="R2309" t="s">
        <v>168</v>
      </c>
      <c r="S2309">
        <v>5</v>
      </c>
      <c r="T2309" t="s">
        <v>135</v>
      </c>
      <c r="U2309">
        <v>0</v>
      </c>
      <c r="V2309">
        <v>3</v>
      </c>
      <c r="W2309" t="s">
        <v>137</v>
      </c>
      <c r="X2309">
        <v>0</v>
      </c>
      <c r="Y2309" t="s">
        <v>139</v>
      </c>
      <c r="Z2309" t="s">
        <v>182</v>
      </c>
      <c r="AA2309" t="s">
        <v>142</v>
      </c>
      <c r="AB2309" t="s">
        <v>164</v>
      </c>
      <c r="AC2309" t="s">
        <v>21</v>
      </c>
      <c r="AD2309" t="s">
        <v>21</v>
      </c>
      <c r="AE2309" t="s">
        <v>21</v>
      </c>
      <c r="AF2309" t="s">
        <v>21</v>
      </c>
    </row>
    <row r="2310" spans="1:32">
      <c r="A2310" t="s">
        <v>3330</v>
      </c>
      <c r="B2310" s="37">
        <v>40071</v>
      </c>
      <c r="C2310" s="38">
        <v>40071</v>
      </c>
      <c r="D2310" s="38">
        <v>40070</v>
      </c>
      <c r="E2310" s="38">
        <v>40057</v>
      </c>
      <c r="F2310" s="39">
        <v>166</v>
      </c>
      <c r="G2310" t="s">
        <v>383</v>
      </c>
      <c r="H2310" t="s">
        <v>17</v>
      </c>
      <c r="I2310">
        <v>0</v>
      </c>
      <c r="J2310">
        <v>0</v>
      </c>
      <c r="K2310">
        <v>1</v>
      </c>
      <c r="L2310">
        <v>0</v>
      </c>
      <c r="M2310">
        <v>0</v>
      </c>
      <c r="N2310" t="s">
        <v>194</v>
      </c>
      <c r="O2310" t="s">
        <v>213</v>
      </c>
      <c r="P2310" t="s">
        <v>205</v>
      </c>
      <c r="Q2310" t="s">
        <v>171</v>
      </c>
      <c r="R2310" t="s">
        <v>168</v>
      </c>
      <c r="S2310">
        <v>5</v>
      </c>
      <c r="T2310" t="s">
        <v>135</v>
      </c>
      <c r="U2310">
        <v>0</v>
      </c>
      <c r="V2310">
        <v>5</v>
      </c>
      <c r="W2310" t="s">
        <v>135</v>
      </c>
      <c r="X2310">
        <v>0</v>
      </c>
      <c r="Y2310" t="s">
        <v>139</v>
      </c>
      <c r="Z2310" t="s">
        <v>184</v>
      </c>
      <c r="AA2310" t="s">
        <v>145</v>
      </c>
      <c r="AB2310" t="s">
        <v>164</v>
      </c>
      <c r="AC2310" t="s">
        <v>21</v>
      </c>
      <c r="AD2310" t="s">
        <v>21</v>
      </c>
      <c r="AE2310" t="s">
        <v>21</v>
      </c>
      <c r="AF2310" t="s">
        <v>21</v>
      </c>
    </row>
    <row r="2311" spans="1:32">
      <c r="A2311" t="s">
        <v>3331</v>
      </c>
      <c r="B2311" s="37">
        <v>40072</v>
      </c>
      <c r="C2311" s="38">
        <v>40072</v>
      </c>
      <c r="D2311" s="38">
        <v>40070</v>
      </c>
      <c r="E2311" s="38">
        <v>40057</v>
      </c>
      <c r="F2311" s="39">
        <v>167</v>
      </c>
      <c r="G2311" t="s">
        <v>21</v>
      </c>
      <c r="H2311" t="s">
        <v>21</v>
      </c>
      <c r="I2311">
        <v>0</v>
      </c>
      <c r="J2311">
        <v>0</v>
      </c>
      <c r="K2311">
        <v>0</v>
      </c>
      <c r="L2311">
        <v>1</v>
      </c>
      <c r="M2311">
        <v>0</v>
      </c>
      <c r="N2311" t="s">
        <v>194</v>
      </c>
      <c r="O2311" t="s">
        <v>213</v>
      </c>
      <c r="P2311" t="s">
        <v>205</v>
      </c>
      <c r="Q2311" t="s">
        <v>171</v>
      </c>
      <c r="R2311" t="s">
        <v>168</v>
      </c>
      <c r="S2311">
        <v>5</v>
      </c>
      <c r="T2311" t="s">
        <v>135</v>
      </c>
      <c r="U2311">
        <v>0</v>
      </c>
      <c r="V2311">
        <v>5</v>
      </c>
      <c r="W2311" t="s">
        <v>135</v>
      </c>
      <c r="X2311">
        <v>0</v>
      </c>
      <c r="Y2311" t="s">
        <v>139</v>
      </c>
      <c r="Z2311" t="s">
        <v>186</v>
      </c>
      <c r="AA2311" t="s">
        <v>149</v>
      </c>
      <c r="AB2311" t="s">
        <v>164</v>
      </c>
      <c r="AC2311" t="s">
        <v>21</v>
      </c>
      <c r="AD2311" t="s">
        <v>21</v>
      </c>
      <c r="AE2311" t="s">
        <v>21</v>
      </c>
      <c r="AF2311" t="s">
        <v>21</v>
      </c>
    </row>
    <row r="2312" spans="1:32">
      <c r="A2312" t="s">
        <v>3332</v>
      </c>
      <c r="B2312" s="37">
        <v>40072</v>
      </c>
      <c r="C2312" s="38">
        <v>40072</v>
      </c>
      <c r="D2312" s="38">
        <v>40070</v>
      </c>
      <c r="E2312" s="38">
        <v>40057</v>
      </c>
      <c r="F2312" s="39">
        <v>167</v>
      </c>
      <c r="G2312" t="s">
        <v>21</v>
      </c>
      <c r="H2312" t="s">
        <v>21</v>
      </c>
      <c r="I2312">
        <v>0</v>
      </c>
      <c r="J2312">
        <v>0</v>
      </c>
      <c r="K2312">
        <v>0</v>
      </c>
      <c r="L2312">
        <v>1</v>
      </c>
      <c r="M2312">
        <v>0</v>
      </c>
      <c r="N2312" t="s">
        <v>194</v>
      </c>
      <c r="O2312" t="s">
        <v>213</v>
      </c>
      <c r="P2312" t="s">
        <v>205</v>
      </c>
      <c r="Q2312" t="s">
        <v>171</v>
      </c>
      <c r="R2312" t="s">
        <v>168</v>
      </c>
      <c r="S2312">
        <v>5</v>
      </c>
      <c r="T2312" t="s">
        <v>135</v>
      </c>
      <c r="U2312">
        <v>0</v>
      </c>
      <c r="V2312">
        <v>3</v>
      </c>
      <c r="W2312" t="s">
        <v>137</v>
      </c>
      <c r="X2312">
        <v>0</v>
      </c>
      <c r="Y2312" t="s">
        <v>139</v>
      </c>
      <c r="Z2312" t="s">
        <v>178</v>
      </c>
      <c r="AA2312" t="s">
        <v>149</v>
      </c>
      <c r="AB2312" t="s">
        <v>164</v>
      </c>
      <c r="AC2312" t="s">
        <v>21</v>
      </c>
      <c r="AD2312" t="s">
        <v>21</v>
      </c>
      <c r="AE2312" t="s">
        <v>21</v>
      </c>
      <c r="AF2312" t="s">
        <v>21</v>
      </c>
    </row>
    <row r="2313" spans="1:32">
      <c r="A2313" t="s">
        <v>3333</v>
      </c>
      <c r="B2313" s="37">
        <v>40073</v>
      </c>
      <c r="C2313" s="38">
        <v>40073</v>
      </c>
      <c r="D2313" s="38">
        <v>40070</v>
      </c>
      <c r="E2313" s="38">
        <v>40057</v>
      </c>
      <c r="F2313" s="39">
        <v>168</v>
      </c>
      <c r="G2313" t="s">
        <v>21</v>
      </c>
      <c r="H2313" t="s">
        <v>21</v>
      </c>
      <c r="I2313">
        <v>0</v>
      </c>
      <c r="J2313">
        <v>0</v>
      </c>
      <c r="K2313">
        <v>0</v>
      </c>
      <c r="L2313">
        <v>1</v>
      </c>
      <c r="M2313">
        <v>0</v>
      </c>
      <c r="N2313" t="s">
        <v>194</v>
      </c>
      <c r="O2313" t="s">
        <v>213</v>
      </c>
      <c r="P2313" t="s">
        <v>205</v>
      </c>
      <c r="Q2313" t="s">
        <v>171</v>
      </c>
      <c r="R2313" t="s">
        <v>168</v>
      </c>
      <c r="S2313">
        <v>4</v>
      </c>
      <c r="T2313" t="s">
        <v>137</v>
      </c>
      <c r="U2313">
        <v>0</v>
      </c>
      <c r="V2313">
        <v>3</v>
      </c>
      <c r="W2313" t="s">
        <v>137</v>
      </c>
      <c r="X2313">
        <v>0</v>
      </c>
      <c r="Y2313" t="s">
        <v>139</v>
      </c>
      <c r="Z2313" t="s">
        <v>178</v>
      </c>
      <c r="AA2313" t="s">
        <v>145</v>
      </c>
      <c r="AB2313" t="s">
        <v>164</v>
      </c>
      <c r="AC2313" t="s">
        <v>21</v>
      </c>
      <c r="AD2313" t="s">
        <v>21</v>
      </c>
      <c r="AE2313" t="s">
        <v>21</v>
      </c>
      <c r="AF2313" t="s">
        <v>21</v>
      </c>
    </row>
    <row r="2314" spans="1:32">
      <c r="A2314" t="s">
        <v>3334</v>
      </c>
      <c r="B2314" s="37">
        <v>40077</v>
      </c>
      <c r="C2314" s="38">
        <v>40077</v>
      </c>
      <c r="D2314" s="38">
        <v>40077</v>
      </c>
      <c r="E2314" s="38">
        <v>40057</v>
      </c>
      <c r="F2314" s="39">
        <v>172</v>
      </c>
      <c r="G2314" t="s">
        <v>496</v>
      </c>
      <c r="H2314" t="s">
        <v>13</v>
      </c>
      <c r="I2314">
        <v>0</v>
      </c>
      <c r="J2314">
        <v>1</v>
      </c>
      <c r="K2314">
        <v>0</v>
      </c>
      <c r="L2314">
        <v>0</v>
      </c>
      <c r="M2314">
        <v>1</v>
      </c>
      <c r="N2314" t="s">
        <v>194</v>
      </c>
      <c r="O2314" t="s">
        <v>213</v>
      </c>
      <c r="P2314" t="s">
        <v>205</v>
      </c>
      <c r="Q2314" t="s">
        <v>171</v>
      </c>
      <c r="R2314" t="s">
        <v>168</v>
      </c>
      <c r="S2314">
        <v>5</v>
      </c>
      <c r="T2314" t="s">
        <v>135</v>
      </c>
      <c r="U2314">
        <v>0</v>
      </c>
      <c r="V2314">
        <v>5</v>
      </c>
      <c r="W2314" t="s">
        <v>135</v>
      </c>
      <c r="X2314">
        <v>0</v>
      </c>
      <c r="Y2314" t="s">
        <v>139</v>
      </c>
      <c r="Z2314" t="s">
        <v>433</v>
      </c>
      <c r="AA2314" t="s">
        <v>145</v>
      </c>
      <c r="AB2314" t="s">
        <v>164</v>
      </c>
      <c r="AC2314" t="s">
        <v>21</v>
      </c>
      <c r="AD2314" t="s">
        <v>21</v>
      </c>
      <c r="AE2314" t="s">
        <v>21</v>
      </c>
      <c r="AF2314" t="s">
        <v>21</v>
      </c>
    </row>
    <row r="2315" spans="1:32">
      <c r="A2315" t="s">
        <v>3335</v>
      </c>
      <c r="B2315" s="37">
        <v>40079</v>
      </c>
      <c r="C2315" s="38">
        <v>40079</v>
      </c>
      <c r="D2315" s="38">
        <v>40077</v>
      </c>
      <c r="E2315" s="38">
        <v>40057</v>
      </c>
      <c r="F2315" s="39">
        <v>174</v>
      </c>
      <c r="G2315" t="s">
        <v>496</v>
      </c>
      <c r="H2315" t="s">
        <v>13</v>
      </c>
      <c r="I2315">
        <v>0</v>
      </c>
      <c r="J2315">
        <v>1</v>
      </c>
      <c r="K2315">
        <v>0</v>
      </c>
      <c r="L2315">
        <v>0</v>
      </c>
      <c r="M2315">
        <v>1</v>
      </c>
      <c r="N2315" t="s">
        <v>194</v>
      </c>
      <c r="O2315" t="s">
        <v>213</v>
      </c>
      <c r="P2315" t="s">
        <v>205</v>
      </c>
      <c r="Q2315" t="s">
        <v>171</v>
      </c>
      <c r="R2315" t="s">
        <v>168</v>
      </c>
      <c r="S2315">
        <v>5</v>
      </c>
      <c r="T2315" t="s">
        <v>135</v>
      </c>
      <c r="U2315">
        <v>0</v>
      </c>
      <c r="V2315">
        <v>5</v>
      </c>
      <c r="W2315" t="s">
        <v>135</v>
      </c>
      <c r="X2315">
        <v>0</v>
      </c>
      <c r="Y2315" t="s">
        <v>139</v>
      </c>
      <c r="Z2315" t="s">
        <v>376</v>
      </c>
      <c r="AA2315" t="s">
        <v>146</v>
      </c>
      <c r="AB2315" t="s">
        <v>164</v>
      </c>
      <c r="AC2315" t="s">
        <v>21</v>
      </c>
      <c r="AD2315" t="s">
        <v>21</v>
      </c>
      <c r="AE2315" t="s">
        <v>21</v>
      </c>
      <c r="AF2315" t="s">
        <v>21</v>
      </c>
    </row>
    <row r="2316" spans="1:32">
      <c r="A2316" t="s">
        <v>3336</v>
      </c>
      <c r="B2316" s="37">
        <v>40080</v>
      </c>
      <c r="C2316" s="38">
        <v>40080</v>
      </c>
      <c r="D2316" s="38">
        <v>40077</v>
      </c>
      <c r="E2316" s="38">
        <v>40057</v>
      </c>
      <c r="F2316" s="39">
        <v>175</v>
      </c>
      <c r="G2316" t="s">
        <v>383</v>
      </c>
      <c r="H2316" t="s">
        <v>17</v>
      </c>
      <c r="I2316">
        <v>0</v>
      </c>
      <c r="J2316">
        <v>0</v>
      </c>
      <c r="K2316">
        <v>1</v>
      </c>
      <c r="L2316">
        <v>0</v>
      </c>
      <c r="M2316">
        <v>0</v>
      </c>
      <c r="N2316" t="s">
        <v>194</v>
      </c>
      <c r="O2316" t="s">
        <v>213</v>
      </c>
      <c r="P2316" t="s">
        <v>205</v>
      </c>
      <c r="Q2316" t="s">
        <v>171</v>
      </c>
      <c r="R2316" t="s">
        <v>168</v>
      </c>
      <c r="S2316">
        <v>5</v>
      </c>
      <c r="T2316" t="s">
        <v>135</v>
      </c>
      <c r="U2316">
        <v>0</v>
      </c>
      <c r="V2316">
        <v>3</v>
      </c>
      <c r="W2316" t="s">
        <v>137</v>
      </c>
      <c r="X2316">
        <v>0</v>
      </c>
      <c r="Y2316" t="s">
        <v>139</v>
      </c>
      <c r="Z2316" t="s">
        <v>187</v>
      </c>
      <c r="AA2316" t="s">
        <v>144</v>
      </c>
      <c r="AB2316" t="s">
        <v>164</v>
      </c>
      <c r="AC2316" t="s">
        <v>21</v>
      </c>
      <c r="AD2316" t="s">
        <v>21</v>
      </c>
      <c r="AE2316" t="s">
        <v>21</v>
      </c>
      <c r="AF2316" t="s">
        <v>21</v>
      </c>
    </row>
    <row r="2317" spans="1:32">
      <c r="A2317" t="s">
        <v>3337</v>
      </c>
      <c r="B2317" s="37">
        <v>40081</v>
      </c>
      <c r="C2317" s="38">
        <v>40081</v>
      </c>
      <c r="D2317" s="38">
        <v>40077</v>
      </c>
      <c r="E2317" s="38">
        <v>40057</v>
      </c>
      <c r="F2317" s="39">
        <v>176</v>
      </c>
      <c r="G2317" t="s">
        <v>496</v>
      </c>
      <c r="H2317" t="s">
        <v>13</v>
      </c>
      <c r="I2317">
        <v>0</v>
      </c>
      <c r="J2317">
        <v>1</v>
      </c>
      <c r="K2317">
        <v>0</v>
      </c>
      <c r="L2317">
        <v>0</v>
      </c>
      <c r="M2317">
        <v>1</v>
      </c>
      <c r="N2317" t="s">
        <v>194</v>
      </c>
      <c r="O2317" t="s">
        <v>213</v>
      </c>
      <c r="P2317" t="s">
        <v>205</v>
      </c>
      <c r="Q2317" t="s">
        <v>171</v>
      </c>
      <c r="R2317" t="s">
        <v>168</v>
      </c>
      <c r="S2317">
        <v>5</v>
      </c>
      <c r="T2317" t="s">
        <v>135</v>
      </c>
      <c r="U2317">
        <v>0</v>
      </c>
      <c r="V2317">
        <v>5</v>
      </c>
      <c r="W2317" t="s">
        <v>135</v>
      </c>
      <c r="X2317">
        <v>0</v>
      </c>
      <c r="Y2317" t="s">
        <v>139</v>
      </c>
      <c r="Z2317" t="s">
        <v>184</v>
      </c>
      <c r="AA2317" t="s">
        <v>143</v>
      </c>
      <c r="AB2317" t="s">
        <v>164</v>
      </c>
      <c r="AC2317" t="s">
        <v>21</v>
      </c>
      <c r="AD2317" t="s">
        <v>21</v>
      </c>
      <c r="AE2317" t="s">
        <v>21</v>
      </c>
      <c r="AF2317" t="s">
        <v>21</v>
      </c>
    </row>
    <row r="2318" spans="1:32">
      <c r="A2318" t="s">
        <v>3338</v>
      </c>
      <c r="B2318" s="37">
        <v>40081</v>
      </c>
      <c r="C2318" s="38">
        <v>40081</v>
      </c>
      <c r="D2318" s="38">
        <v>40077</v>
      </c>
      <c r="E2318" s="38">
        <v>40057</v>
      </c>
      <c r="F2318" s="39">
        <v>176</v>
      </c>
      <c r="G2318" t="s">
        <v>21</v>
      </c>
      <c r="H2318" t="s">
        <v>21</v>
      </c>
      <c r="I2318">
        <v>0</v>
      </c>
      <c r="J2318">
        <v>0</v>
      </c>
      <c r="K2318">
        <v>0</v>
      </c>
      <c r="L2318">
        <v>1</v>
      </c>
      <c r="M2318">
        <v>0</v>
      </c>
      <c r="N2318" t="s">
        <v>194</v>
      </c>
      <c r="O2318" t="s">
        <v>213</v>
      </c>
      <c r="P2318" t="s">
        <v>205</v>
      </c>
      <c r="Q2318" t="s">
        <v>171</v>
      </c>
      <c r="R2318" t="s">
        <v>168</v>
      </c>
      <c r="S2318">
        <v>5</v>
      </c>
      <c r="T2318" t="s">
        <v>135</v>
      </c>
      <c r="U2318">
        <v>0</v>
      </c>
      <c r="V2318">
        <v>2</v>
      </c>
      <c r="W2318" t="s">
        <v>136</v>
      </c>
      <c r="X2318">
        <v>0</v>
      </c>
      <c r="Y2318" t="s">
        <v>139</v>
      </c>
      <c r="Z2318" t="s">
        <v>191</v>
      </c>
      <c r="AA2318" t="s">
        <v>143</v>
      </c>
      <c r="AB2318" t="s">
        <v>164</v>
      </c>
      <c r="AC2318" t="s">
        <v>21</v>
      </c>
      <c r="AD2318" t="s">
        <v>21</v>
      </c>
      <c r="AE2318" t="s">
        <v>21</v>
      </c>
      <c r="AF2318" t="s">
        <v>21</v>
      </c>
    </row>
    <row r="2319" spans="1:32">
      <c r="A2319" t="s">
        <v>3339</v>
      </c>
      <c r="B2319" s="37">
        <v>40082</v>
      </c>
      <c r="C2319" s="38">
        <v>40082</v>
      </c>
      <c r="D2319" s="38">
        <v>40077</v>
      </c>
      <c r="E2319" s="38">
        <v>40057</v>
      </c>
      <c r="F2319" s="39">
        <v>177</v>
      </c>
      <c r="G2319" t="s">
        <v>383</v>
      </c>
      <c r="H2319" t="s">
        <v>17</v>
      </c>
      <c r="I2319">
        <v>0</v>
      </c>
      <c r="J2319">
        <v>0</v>
      </c>
      <c r="K2319">
        <v>1</v>
      </c>
      <c r="L2319">
        <v>0</v>
      </c>
      <c r="M2319">
        <v>0</v>
      </c>
      <c r="N2319" t="s">
        <v>194</v>
      </c>
      <c r="O2319" t="s">
        <v>213</v>
      </c>
      <c r="P2319" t="s">
        <v>205</v>
      </c>
      <c r="Q2319" t="s">
        <v>171</v>
      </c>
      <c r="R2319" t="s">
        <v>168</v>
      </c>
      <c r="S2319">
        <v>5</v>
      </c>
      <c r="T2319" t="s">
        <v>135</v>
      </c>
      <c r="U2319">
        <v>0</v>
      </c>
      <c r="V2319">
        <v>4</v>
      </c>
      <c r="W2319" t="s">
        <v>137</v>
      </c>
      <c r="X2319">
        <v>0</v>
      </c>
      <c r="Y2319" t="s">
        <v>139</v>
      </c>
      <c r="Z2319" t="s">
        <v>376</v>
      </c>
      <c r="AA2319" t="s">
        <v>149</v>
      </c>
      <c r="AB2319" t="s">
        <v>164</v>
      </c>
      <c r="AC2319" t="s">
        <v>21</v>
      </c>
      <c r="AD2319" t="s">
        <v>21</v>
      </c>
      <c r="AE2319" t="s">
        <v>21</v>
      </c>
      <c r="AF2319" t="s">
        <v>21</v>
      </c>
    </row>
    <row r="2320" spans="1:32">
      <c r="A2320" t="s">
        <v>3340</v>
      </c>
      <c r="B2320" s="37">
        <v>40083</v>
      </c>
      <c r="C2320" s="38">
        <v>40083</v>
      </c>
      <c r="D2320" s="38">
        <v>40077</v>
      </c>
      <c r="E2320" s="38">
        <v>40057</v>
      </c>
      <c r="F2320" s="39">
        <v>178</v>
      </c>
      <c r="G2320" t="s">
        <v>21</v>
      </c>
      <c r="H2320" t="s">
        <v>21</v>
      </c>
      <c r="I2320">
        <v>0</v>
      </c>
      <c r="J2320">
        <v>0</v>
      </c>
      <c r="K2320">
        <v>0</v>
      </c>
      <c r="L2320">
        <v>1</v>
      </c>
      <c r="M2320">
        <v>0</v>
      </c>
      <c r="N2320" t="s">
        <v>194</v>
      </c>
      <c r="O2320" t="s">
        <v>213</v>
      </c>
      <c r="P2320" t="s">
        <v>205</v>
      </c>
      <c r="Q2320" t="s">
        <v>171</v>
      </c>
      <c r="R2320" t="s">
        <v>168</v>
      </c>
      <c r="S2320">
        <v>5</v>
      </c>
      <c r="T2320" t="s">
        <v>135</v>
      </c>
      <c r="U2320">
        <v>0</v>
      </c>
      <c r="V2320">
        <v>3</v>
      </c>
      <c r="W2320" t="s">
        <v>137</v>
      </c>
      <c r="X2320">
        <v>0</v>
      </c>
      <c r="Y2320" t="s">
        <v>139</v>
      </c>
      <c r="Z2320" t="s">
        <v>433</v>
      </c>
      <c r="AA2320" t="s">
        <v>150</v>
      </c>
      <c r="AB2320" t="s">
        <v>164</v>
      </c>
      <c r="AC2320" t="s">
        <v>21</v>
      </c>
      <c r="AD2320" t="s">
        <v>21</v>
      </c>
      <c r="AE2320" t="s">
        <v>21</v>
      </c>
      <c r="AF2320" t="s">
        <v>21</v>
      </c>
    </row>
    <row r="2321" spans="1:32">
      <c r="A2321" t="s">
        <v>3341</v>
      </c>
      <c r="B2321" s="37">
        <v>40083</v>
      </c>
      <c r="C2321" s="38">
        <v>40083</v>
      </c>
      <c r="D2321" s="38">
        <v>40077</v>
      </c>
      <c r="E2321" s="38">
        <v>40057</v>
      </c>
      <c r="F2321" s="39">
        <v>178</v>
      </c>
      <c r="G2321" t="s">
        <v>21</v>
      </c>
      <c r="H2321" t="s">
        <v>21</v>
      </c>
      <c r="I2321">
        <v>0</v>
      </c>
      <c r="J2321">
        <v>0</v>
      </c>
      <c r="K2321">
        <v>0</v>
      </c>
      <c r="L2321">
        <v>1</v>
      </c>
      <c r="M2321">
        <v>0</v>
      </c>
      <c r="N2321" t="s">
        <v>194</v>
      </c>
      <c r="O2321" t="s">
        <v>213</v>
      </c>
      <c r="P2321" t="s">
        <v>205</v>
      </c>
      <c r="Q2321" t="s">
        <v>171</v>
      </c>
      <c r="R2321" t="s">
        <v>168</v>
      </c>
      <c r="S2321">
        <v>3</v>
      </c>
      <c r="T2321" t="s">
        <v>137</v>
      </c>
      <c r="U2321">
        <v>0</v>
      </c>
      <c r="V2321">
        <v>3</v>
      </c>
      <c r="W2321" t="s">
        <v>137</v>
      </c>
      <c r="X2321">
        <v>0</v>
      </c>
      <c r="Y2321" t="s">
        <v>139</v>
      </c>
      <c r="Z2321" t="s">
        <v>178</v>
      </c>
      <c r="AA2321" t="s">
        <v>145</v>
      </c>
      <c r="AB2321" t="s">
        <v>164</v>
      </c>
      <c r="AC2321" t="s">
        <v>21</v>
      </c>
      <c r="AD2321" t="s">
        <v>21</v>
      </c>
      <c r="AE2321" t="s">
        <v>21</v>
      </c>
      <c r="AF2321" t="s">
        <v>21</v>
      </c>
    </row>
    <row r="2322" spans="1:32">
      <c r="A2322" t="s">
        <v>3342</v>
      </c>
      <c r="B2322" s="37">
        <v>40084</v>
      </c>
      <c r="C2322" s="38">
        <v>40084</v>
      </c>
      <c r="D2322" s="38">
        <v>40084</v>
      </c>
      <c r="E2322" s="38">
        <v>40057</v>
      </c>
      <c r="F2322" s="39">
        <v>179</v>
      </c>
      <c r="G2322" t="s">
        <v>21</v>
      </c>
      <c r="H2322" t="s">
        <v>21</v>
      </c>
      <c r="I2322">
        <v>0</v>
      </c>
      <c r="J2322">
        <v>0</v>
      </c>
      <c r="K2322">
        <v>0</v>
      </c>
      <c r="L2322">
        <v>1</v>
      </c>
      <c r="M2322">
        <v>0</v>
      </c>
      <c r="N2322" t="s">
        <v>194</v>
      </c>
      <c r="O2322" t="s">
        <v>213</v>
      </c>
      <c r="P2322" t="s">
        <v>205</v>
      </c>
      <c r="Q2322" t="s">
        <v>171</v>
      </c>
      <c r="R2322" t="s">
        <v>168</v>
      </c>
      <c r="S2322">
        <v>5</v>
      </c>
      <c r="T2322" t="s">
        <v>135</v>
      </c>
      <c r="U2322">
        <v>0</v>
      </c>
      <c r="V2322">
        <v>5</v>
      </c>
      <c r="W2322" t="s">
        <v>135</v>
      </c>
      <c r="X2322">
        <v>0</v>
      </c>
      <c r="Y2322" t="s">
        <v>139</v>
      </c>
      <c r="Z2322" t="s">
        <v>181</v>
      </c>
      <c r="AA2322" t="s">
        <v>144</v>
      </c>
      <c r="AB2322" t="s">
        <v>164</v>
      </c>
      <c r="AC2322" t="s">
        <v>21</v>
      </c>
      <c r="AD2322" t="s">
        <v>21</v>
      </c>
      <c r="AE2322" t="s">
        <v>21</v>
      </c>
      <c r="AF2322" t="s">
        <v>21</v>
      </c>
    </row>
    <row r="2323" spans="1:32">
      <c r="A2323" t="s">
        <v>3343</v>
      </c>
      <c r="B2323" s="37">
        <v>40084</v>
      </c>
      <c r="C2323" s="38">
        <v>40084</v>
      </c>
      <c r="D2323" s="38">
        <v>40084</v>
      </c>
      <c r="E2323" s="38">
        <v>40057</v>
      </c>
      <c r="F2323" s="39">
        <v>179</v>
      </c>
      <c r="G2323" t="s">
        <v>21</v>
      </c>
      <c r="H2323" t="s">
        <v>21</v>
      </c>
      <c r="I2323">
        <v>0</v>
      </c>
      <c r="J2323">
        <v>0</v>
      </c>
      <c r="K2323">
        <v>0</v>
      </c>
      <c r="L2323">
        <v>1</v>
      </c>
      <c r="M2323">
        <v>0</v>
      </c>
      <c r="N2323" t="s">
        <v>194</v>
      </c>
      <c r="O2323" t="s">
        <v>213</v>
      </c>
      <c r="P2323" t="s">
        <v>205</v>
      </c>
      <c r="Q2323" t="s">
        <v>171</v>
      </c>
      <c r="R2323" t="s">
        <v>168</v>
      </c>
      <c r="S2323">
        <v>3</v>
      </c>
      <c r="T2323" t="s">
        <v>137</v>
      </c>
      <c r="U2323">
        <v>0</v>
      </c>
      <c r="V2323">
        <v>2</v>
      </c>
      <c r="W2323" t="s">
        <v>136</v>
      </c>
      <c r="X2323">
        <v>0</v>
      </c>
      <c r="Y2323" t="s">
        <v>139</v>
      </c>
      <c r="Z2323" t="s">
        <v>185</v>
      </c>
      <c r="AA2323" t="s">
        <v>142</v>
      </c>
      <c r="AB2323" t="s">
        <v>164</v>
      </c>
      <c r="AC2323" t="s">
        <v>21</v>
      </c>
      <c r="AD2323" t="s">
        <v>21</v>
      </c>
      <c r="AE2323" t="s">
        <v>21</v>
      </c>
      <c r="AF2323" t="s">
        <v>21</v>
      </c>
    </row>
    <row r="2324" spans="1:32">
      <c r="A2324" t="s">
        <v>3344</v>
      </c>
      <c r="B2324" s="37">
        <v>40084</v>
      </c>
      <c r="C2324" s="38">
        <v>40084</v>
      </c>
      <c r="D2324" s="38">
        <v>40084</v>
      </c>
      <c r="E2324" s="38">
        <v>40057</v>
      </c>
      <c r="F2324" s="39">
        <v>179</v>
      </c>
      <c r="G2324" t="s">
        <v>21</v>
      </c>
      <c r="H2324" t="s">
        <v>21</v>
      </c>
      <c r="I2324">
        <v>0</v>
      </c>
      <c r="J2324">
        <v>0</v>
      </c>
      <c r="K2324">
        <v>0</v>
      </c>
      <c r="L2324">
        <v>1</v>
      </c>
      <c r="M2324">
        <v>0</v>
      </c>
      <c r="N2324" t="s">
        <v>194</v>
      </c>
      <c r="O2324" t="s">
        <v>213</v>
      </c>
      <c r="P2324" t="s">
        <v>205</v>
      </c>
      <c r="Q2324" t="s">
        <v>171</v>
      </c>
      <c r="R2324" t="s">
        <v>168</v>
      </c>
      <c r="S2324">
        <v>5</v>
      </c>
      <c r="T2324" t="s">
        <v>135</v>
      </c>
      <c r="U2324">
        <v>0</v>
      </c>
      <c r="V2324">
        <v>2</v>
      </c>
      <c r="W2324" t="s">
        <v>136</v>
      </c>
      <c r="X2324">
        <v>0</v>
      </c>
      <c r="Y2324" t="s">
        <v>139</v>
      </c>
      <c r="Z2324" t="s">
        <v>447</v>
      </c>
      <c r="AA2324" t="s">
        <v>144</v>
      </c>
      <c r="AB2324" t="s">
        <v>164</v>
      </c>
      <c r="AC2324" t="s">
        <v>21</v>
      </c>
      <c r="AD2324" t="s">
        <v>21</v>
      </c>
      <c r="AE2324" t="s">
        <v>21</v>
      </c>
      <c r="AF2324" t="s">
        <v>21</v>
      </c>
    </row>
    <row r="2325" spans="1:32">
      <c r="A2325" t="s">
        <v>3345</v>
      </c>
      <c r="B2325" s="37">
        <v>40085</v>
      </c>
      <c r="C2325" s="38">
        <v>40085</v>
      </c>
      <c r="D2325" s="38">
        <v>40084</v>
      </c>
      <c r="E2325" s="38">
        <v>40057</v>
      </c>
      <c r="F2325" s="39">
        <v>180</v>
      </c>
      <c r="G2325" t="s">
        <v>21</v>
      </c>
      <c r="H2325" t="s">
        <v>21</v>
      </c>
      <c r="I2325">
        <v>0</v>
      </c>
      <c r="J2325">
        <v>0</v>
      </c>
      <c r="K2325">
        <v>0</v>
      </c>
      <c r="L2325">
        <v>1</v>
      </c>
      <c r="M2325">
        <v>0</v>
      </c>
      <c r="N2325" t="s">
        <v>194</v>
      </c>
      <c r="O2325" t="s">
        <v>213</v>
      </c>
      <c r="P2325" t="s">
        <v>205</v>
      </c>
      <c r="Q2325" t="s">
        <v>171</v>
      </c>
      <c r="R2325" t="s">
        <v>168</v>
      </c>
      <c r="S2325">
        <v>1</v>
      </c>
      <c r="T2325" t="s">
        <v>136</v>
      </c>
      <c r="U2325">
        <v>0</v>
      </c>
      <c r="V2325">
        <v>4</v>
      </c>
      <c r="W2325" t="s">
        <v>137</v>
      </c>
      <c r="X2325">
        <v>0</v>
      </c>
      <c r="Y2325" t="s">
        <v>139</v>
      </c>
      <c r="Z2325" t="s">
        <v>190</v>
      </c>
      <c r="AA2325" t="s">
        <v>151</v>
      </c>
      <c r="AB2325" t="s">
        <v>164</v>
      </c>
      <c r="AC2325" t="s">
        <v>21</v>
      </c>
      <c r="AD2325" t="s">
        <v>21</v>
      </c>
      <c r="AE2325" t="s">
        <v>21</v>
      </c>
      <c r="AF2325" t="s">
        <v>21</v>
      </c>
    </row>
    <row r="2326" spans="1:32">
      <c r="A2326" t="s">
        <v>3346</v>
      </c>
      <c r="B2326" s="37">
        <v>40085</v>
      </c>
      <c r="C2326" s="38">
        <v>40085</v>
      </c>
      <c r="D2326" s="38">
        <v>40084</v>
      </c>
      <c r="E2326" s="38">
        <v>40057</v>
      </c>
      <c r="F2326" s="39">
        <v>180</v>
      </c>
      <c r="G2326" t="s">
        <v>383</v>
      </c>
      <c r="H2326" t="s">
        <v>17</v>
      </c>
      <c r="I2326">
        <v>0</v>
      </c>
      <c r="J2326">
        <v>0</v>
      </c>
      <c r="K2326">
        <v>1</v>
      </c>
      <c r="L2326">
        <v>0</v>
      </c>
      <c r="M2326">
        <v>0</v>
      </c>
      <c r="N2326" t="s">
        <v>194</v>
      </c>
      <c r="O2326" t="s">
        <v>213</v>
      </c>
      <c r="P2326" t="s">
        <v>205</v>
      </c>
      <c r="Q2326" t="s">
        <v>171</v>
      </c>
      <c r="R2326" t="s">
        <v>168</v>
      </c>
      <c r="S2326">
        <v>5</v>
      </c>
      <c r="T2326" t="s">
        <v>135</v>
      </c>
      <c r="U2326">
        <v>0</v>
      </c>
      <c r="V2326">
        <v>3</v>
      </c>
      <c r="W2326" t="s">
        <v>137</v>
      </c>
      <c r="X2326">
        <v>0</v>
      </c>
      <c r="Y2326" t="s">
        <v>139</v>
      </c>
      <c r="Z2326" t="s">
        <v>185</v>
      </c>
      <c r="AA2326" t="s">
        <v>144</v>
      </c>
      <c r="AB2326" t="s">
        <v>164</v>
      </c>
      <c r="AC2326" t="s">
        <v>21</v>
      </c>
      <c r="AD2326" t="s">
        <v>21</v>
      </c>
      <c r="AE2326" t="s">
        <v>21</v>
      </c>
      <c r="AF2326" t="s">
        <v>21</v>
      </c>
    </row>
    <row r="2327" spans="1:32">
      <c r="A2327" t="s">
        <v>3347</v>
      </c>
      <c r="B2327" s="37">
        <v>40085</v>
      </c>
      <c r="C2327" s="38">
        <v>40085</v>
      </c>
      <c r="D2327" s="38">
        <v>40084</v>
      </c>
      <c r="E2327" s="38">
        <v>40057</v>
      </c>
      <c r="F2327" s="39">
        <v>180</v>
      </c>
      <c r="G2327" t="s">
        <v>21</v>
      </c>
      <c r="H2327" t="s">
        <v>21</v>
      </c>
      <c r="I2327">
        <v>0</v>
      </c>
      <c r="J2327">
        <v>0</v>
      </c>
      <c r="K2327">
        <v>0</v>
      </c>
      <c r="L2327">
        <v>1</v>
      </c>
      <c r="M2327">
        <v>0</v>
      </c>
      <c r="N2327" t="s">
        <v>194</v>
      </c>
      <c r="O2327" t="s">
        <v>213</v>
      </c>
      <c r="P2327" t="s">
        <v>205</v>
      </c>
      <c r="Q2327" t="s">
        <v>171</v>
      </c>
      <c r="R2327" t="s">
        <v>168</v>
      </c>
      <c r="S2327">
        <v>5</v>
      </c>
      <c r="T2327" t="s">
        <v>135</v>
      </c>
      <c r="U2327">
        <v>0</v>
      </c>
      <c r="V2327">
        <v>5</v>
      </c>
      <c r="W2327" t="s">
        <v>135</v>
      </c>
      <c r="X2327">
        <v>0</v>
      </c>
      <c r="Y2327" t="s">
        <v>139</v>
      </c>
      <c r="Z2327" t="s">
        <v>178</v>
      </c>
      <c r="AA2327" t="s">
        <v>150</v>
      </c>
      <c r="AB2327" t="s">
        <v>164</v>
      </c>
      <c r="AC2327" t="s">
        <v>21</v>
      </c>
      <c r="AD2327" t="s">
        <v>21</v>
      </c>
      <c r="AE2327" t="s">
        <v>21</v>
      </c>
      <c r="AF2327" t="s">
        <v>21</v>
      </c>
    </row>
    <row r="2328" spans="1:32">
      <c r="A2328" t="s">
        <v>3348</v>
      </c>
      <c r="B2328" s="37">
        <v>40086</v>
      </c>
      <c r="C2328" s="38">
        <v>40086</v>
      </c>
      <c r="D2328" s="38">
        <v>40084</v>
      </c>
      <c r="E2328" s="38">
        <v>40057</v>
      </c>
      <c r="F2328" s="39">
        <v>181</v>
      </c>
      <c r="G2328" t="s">
        <v>383</v>
      </c>
      <c r="H2328" t="s">
        <v>17</v>
      </c>
      <c r="I2328">
        <v>0</v>
      </c>
      <c r="J2328">
        <v>0</v>
      </c>
      <c r="K2328">
        <v>1</v>
      </c>
      <c r="L2328">
        <v>0</v>
      </c>
      <c r="M2328">
        <v>0</v>
      </c>
      <c r="N2328" t="s">
        <v>194</v>
      </c>
      <c r="O2328" t="s">
        <v>213</v>
      </c>
      <c r="P2328" t="s">
        <v>205</v>
      </c>
      <c r="Q2328" t="s">
        <v>171</v>
      </c>
      <c r="R2328" t="s">
        <v>168</v>
      </c>
      <c r="S2328">
        <v>5</v>
      </c>
      <c r="T2328" t="s">
        <v>135</v>
      </c>
      <c r="U2328">
        <v>0</v>
      </c>
      <c r="V2328">
        <v>2</v>
      </c>
      <c r="W2328" t="s">
        <v>136</v>
      </c>
      <c r="X2328">
        <v>0</v>
      </c>
      <c r="Y2328" t="s">
        <v>139</v>
      </c>
      <c r="Z2328" t="s">
        <v>528</v>
      </c>
      <c r="AA2328" t="s">
        <v>149</v>
      </c>
      <c r="AB2328" t="s">
        <v>164</v>
      </c>
      <c r="AC2328" t="s">
        <v>21</v>
      </c>
      <c r="AD2328" t="s">
        <v>21</v>
      </c>
      <c r="AE2328" t="s">
        <v>21</v>
      </c>
      <c r="AF2328" t="s">
        <v>21</v>
      </c>
    </row>
    <row r="2329" spans="1:32">
      <c r="A2329" t="s">
        <v>3349</v>
      </c>
      <c r="B2329" s="37">
        <v>40086</v>
      </c>
      <c r="C2329" s="38">
        <v>40086</v>
      </c>
      <c r="D2329" s="38">
        <v>40084</v>
      </c>
      <c r="E2329" s="38">
        <v>40057</v>
      </c>
      <c r="F2329" s="39">
        <v>181</v>
      </c>
      <c r="G2329" t="s">
        <v>21</v>
      </c>
      <c r="H2329" t="s">
        <v>21</v>
      </c>
      <c r="I2329">
        <v>0</v>
      </c>
      <c r="J2329">
        <v>0</v>
      </c>
      <c r="K2329">
        <v>0</v>
      </c>
      <c r="L2329">
        <v>1</v>
      </c>
      <c r="M2329">
        <v>0</v>
      </c>
      <c r="N2329" t="s">
        <v>194</v>
      </c>
      <c r="O2329" t="s">
        <v>213</v>
      </c>
      <c r="P2329" t="s">
        <v>205</v>
      </c>
      <c r="Q2329" t="s">
        <v>171</v>
      </c>
      <c r="R2329" t="s">
        <v>168</v>
      </c>
      <c r="S2329">
        <v>5</v>
      </c>
      <c r="T2329" t="s">
        <v>135</v>
      </c>
      <c r="U2329">
        <v>0</v>
      </c>
      <c r="V2329">
        <v>3</v>
      </c>
      <c r="W2329" t="s">
        <v>137</v>
      </c>
      <c r="X2329">
        <v>0</v>
      </c>
      <c r="Y2329" t="s">
        <v>139</v>
      </c>
      <c r="Z2329" t="s">
        <v>183</v>
      </c>
      <c r="AA2329" t="s">
        <v>142</v>
      </c>
      <c r="AB2329" t="s">
        <v>164</v>
      </c>
      <c r="AC2329" t="s">
        <v>21</v>
      </c>
      <c r="AD2329" t="s">
        <v>21</v>
      </c>
      <c r="AE2329" t="s">
        <v>21</v>
      </c>
      <c r="AF2329" t="s">
        <v>21</v>
      </c>
    </row>
    <row r="2330" spans="1:32">
      <c r="A2330" t="s">
        <v>3350</v>
      </c>
      <c r="B2330" s="37">
        <v>40086</v>
      </c>
      <c r="C2330" s="38">
        <v>40086</v>
      </c>
      <c r="D2330" s="38">
        <v>40084</v>
      </c>
      <c r="E2330" s="38">
        <v>40057</v>
      </c>
      <c r="F2330" s="39">
        <v>181</v>
      </c>
      <c r="G2330" t="s">
        <v>21</v>
      </c>
      <c r="H2330" t="s">
        <v>21</v>
      </c>
      <c r="I2330">
        <v>0</v>
      </c>
      <c r="J2330">
        <v>0</v>
      </c>
      <c r="K2330">
        <v>0</v>
      </c>
      <c r="L2330">
        <v>1</v>
      </c>
      <c r="M2330">
        <v>0</v>
      </c>
      <c r="N2330" t="s">
        <v>194</v>
      </c>
      <c r="O2330" t="s">
        <v>213</v>
      </c>
      <c r="P2330" t="s">
        <v>205</v>
      </c>
      <c r="Q2330" t="s">
        <v>171</v>
      </c>
      <c r="R2330" t="s">
        <v>168</v>
      </c>
      <c r="S2330">
        <v>5</v>
      </c>
      <c r="T2330" t="s">
        <v>135</v>
      </c>
      <c r="U2330">
        <v>0</v>
      </c>
      <c r="V2330">
        <v>4</v>
      </c>
      <c r="W2330" t="s">
        <v>137</v>
      </c>
      <c r="X2330">
        <v>0</v>
      </c>
      <c r="Y2330" t="s">
        <v>139</v>
      </c>
      <c r="Z2330" t="s">
        <v>184</v>
      </c>
      <c r="AA2330" t="s">
        <v>145</v>
      </c>
      <c r="AB2330" t="s">
        <v>164</v>
      </c>
      <c r="AC2330" t="s">
        <v>21</v>
      </c>
      <c r="AD2330" t="s">
        <v>21</v>
      </c>
      <c r="AE2330" t="s">
        <v>21</v>
      </c>
      <c r="AF2330" t="s">
        <v>21</v>
      </c>
    </row>
    <row r="2331" spans="1:32">
      <c r="A2331" t="s">
        <v>3351</v>
      </c>
      <c r="B2331" s="37">
        <v>39929</v>
      </c>
      <c r="C2331" s="38">
        <v>39929</v>
      </c>
      <c r="D2331" s="38">
        <v>39923</v>
      </c>
      <c r="E2331" s="38">
        <v>39904</v>
      </c>
      <c r="F2331" s="39">
        <v>24</v>
      </c>
      <c r="G2331" t="s">
        <v>21</v>
      </c>
      <c r="H2331" t="s">
        <v>21</v>
      </c>
      <c r="I2331">
        <v>0</v>
      </c>
      <c r="J2331">
        <v>0</v>
      </c>
      <c r="K2331">
        <v>0</v>
      </c>
      <c r="L2331">
        <v>1</v>
      </c>
      <c r="M2331">
        <v>0</v>
      </c>
      <c r="N2331" t="s">
        <v>199</v>
      </c>
      <c r="O2331" t="s">
        <v>213</v>
      </c>
      <c r="P2331" t="s">
        <v>210</v>
      </c>
      <c r="Q2331" t="s">
        <v>170</v>
      </c>
      <c r="R2331" t="s">
        <v>155</v>
      </c>
      <c r="T2331" t="s">
        <v>134</v>
      </c>
      <c r="U2331">
        <v>1</v>
      </c>
      <c r="W2331" t="s">
        <v>134</v>
      </c>
      <c r="X2331">
        <v>1</v>
      </c>
      <c r="Y2331" t="s">
        <v>139</v>
      </c>
      <c r="Z2331" t="s">
        <v>178</v>
      </c>
      <c r="AA2331" t="s">
        <v>145</v>
      </c>
      <c r="AB2331" t="s">
        <v>162</v>
      </c>
      <c r="AC2331" t="s">
        <v>3352</v>
      </c>
      <c r="AD2331" t="s">
        <v>157</v>
      </c>
      <c r="AE2331" t="s">
        <v>127</v>
      </c>
      <c r="AF2331" t="s">
        <v>153</v>
      </c>
    </row>
    <row r="2332" spans="1:32">
      <c r="A2332" t="s">
        <v>3353</v>
      </c>
      <c r="B2332" s="37">
        <v>39975</v>
      </c>
      <c r="C2332" s="38">
        <v>39975</v>
      </c>
      <c r="D2332" s="38">
        <v>39972</v>
      </c>
      <c r="E2332" s="38">
        <v>39965</v>
      </c>
      <c r="F2332" s="39">
        <v>70</v>
      </c>
      <c r="G2332" t="s">
        <v>525</v>
      </c>
      <c r="H2332" t="s">
        <v>17</v>
      </c>
      <c r="I2332">
        <v>0</v>
      </c>
      <c r="J2332">
        <v>0</v>
      </c>
      <c r="K2332">
        <v>1</v>
      </c>
      <c r="L2332">
        <v>0</v>
      </c>
      <c r="M2332">
        <v>0</v>
      </c>
      <c r="N2332" t="s">
        <v>193</v>
      </c>
      <c r="O2332" t="s">
        <v>213</v>
      </c>
      <c r="P2332" t="s">
        <v>204</v>
      </c>
      <c r="Q2332" t="s">
        <v>170</v>
      </c>
      <c r="R2332" t="s">
        <v>155</v>
      </c>
      <c r="T2332" t="s">
        <v>134</v>
      </c>
      <c r="U2332">
        <v>1</v>
      </c>
      <c r="W2332" t="s">
        <v>134</v>
      </c>
      <c r="X2332">
        <v>1</v>
      </c>
      <c r="Y2332" t="s">
        <v>140</v>
      </c>
      <c r="Z2332" t="s">
        <v>179</v>
      </c>
      <c r="AA2332" t="s">
        <v>146</v>
      </c>
      <c r="AB2332" t="s">
        <v>163</v>
      </c>
      <c r="AC2332" t="s">
        <v>21</v>
      </c>
      <c r="AD2332" t="s">
        <v>155</v>
      </c>
      <c r="AE2332" t="s">
        <v>387</v>
      </c>
      <c r="AF2332" t="s">
        <v>21</v>
      </c>
    </row>
    <row r="2333" spans="1:32">
      <c r="A2333" t="s">
        <v>3354</v>
      </c>
      <c r="B2333" s="37">
        <v>39926</v>
      </c>
      <c r="C2333" s="38">
        <v>39926</v>
      </c>
      <c r="D2333" s="38">
        <v>39923</v>
      </c>
      <c r="E2333" s="38">
        <v>39904</v>
      </c>
      <c r="F2333" s="39">
        <v>21</v>
      </c>
      <c r="G2333" t="s">
        <v>21</v>
      </c>
      <c r="H2333" t="s">
        <v>21</v>
      </c>
      <c r="I2333">
        <v>0</v>
      </c>
      <c r="J2333">
        <v>0</v>
      </c>
      <c r="K2333">
        <v>0</v>
      </c>
      <c r="L2333">
        <v>1</v>
      </c>
      <c r="M2333">
        <v>0</v>
      </c>
      <c r="N2333" t="s">
        <v>198</v>
      </c>
      <c r="O2333" t="s">
        <v>213</v>
      </c>
      <c r="P2333" t="s">
        <v>208</v>
      </c>
      <c r="Q2333" t="s">
        <v>170</v>
      </c>
      <c r="R2333" t="s">
        <v>155</v>
      </c>
      <c r="T2333" t="s">
        <v>134</v>
      </c>
      <c r="U2333">
        <v>1</v>
      </c>
      <c r="W2333" t="s">
        <v>134</v>
      </c>
      <c r="X2333">
        <v>1</v>
      </c>
      <c r="Y2333" t="s">
        <v>139</v>
      </c>
      <c r="Z2333" t="s">
        <v>603</v>
      </c>
      <c r="AA2333" t="s">
        <v>147</v>
      </c>
      <c r="AB2333" t="s">
        <v>163</v>
      </c>
      <c r="AC2333" t="s">
        <v>21</v>
      </c>
      <c r="AD2333" t="s">
        <v>155</v>
      </c>
      <c r="AE2333" t="s">
        <v>1262</v>
      </c>
      <c r="AF2333" t="s">
        <v>21</v>
      </c>
    </row>
    <row r="2334" spans="1:32">
      <c r="A2334" t="s">
        <v>3355</v>
      </c>
      <c r="B2334" s="37">
        <v>39909</v>
      </c>
      <c r="C2334" s="38">
        <v>39909</v>
      </c>
      <c r="D2334" s="38">
        <v>39909</v>
      </c>
      <c r="E2334" s="38">
        <v>39904</v>
      </c>
      <c r="F2334" s="39">
        <v>4</v>
      </c>
      <c r="G2334" t="s">
        <v>9</v>
      </c>
      <c r="H2334" t="s">
        <v>9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194</v>
      </c>
      <c r="O2334" t="s">
        <v>213</v>
      </c>
      <c r="P2334" t="s">
        <v>205</v>
      </c>
      <c r="Q2334" t="s">
        <v>170</v>
      </c>
      <c r="R2334" t="s">
        <v>155</v>
      </c>
      <c r="T2334" t="s">
        <v>134</v>
      </c>
      <c r="U2334">
        <v>1</v>
      </c>
      <c r="W2334" t="s">
        <v>134</v>
      </c>
      <c r="X2334">
        <v>1</v>
      </c>
      <c r="Y2334" t="s">
        <v>139</v>
      </c>
      <c r="Z2334" t="s">
        <v>185</v>
      </c>
      <c r="AA2334" t="s">
        <v>148</v>
      </c>
      <c r="AB2334" t="s">
        <v>163</v>
      </c>
      <c r="AC2334" t="s">
        <v>173</v>
      </c>
      <c r="AD2334" t="s">
        <v>161</v>
      </c>
      <c r="AE2334" t="s">
        <v>638</v>
      </c>
      <c r="AF2334" t="s">
        <v>21</v>
      </c>
    </row>
    <row r="2335" spans="1:32">
      <c r="A2335" t="s">
        <v>3356</v>
      </c>
      <c r="B2335" s="37">
        <v>40030</v>
      </c>
      <c r="C2335" s="38">
        <v>40030</v>
      </c>
      <c r="D2335" s="38">
        <v>40028</v>
      </c>
      <c r="E2335" s="38">
        <v>40026</v>
      </c>
      <c r="F2335" s="39">
        <v>125</v>
      </c>
      <c r="G2335" t="s">
        <v>21</v>
      </c>
      <c r="H2335" t="s">
        <v>21</v>
      </c>
      <c r="I2335">
        <v>0</v>
      </c>
      <c r="J2335">
        <v>0</v>
      </c>
      <c r="K2335">
        <v>0</v>
      </c>
      <c r="L2335">
        <v>1</v>
      </c>
      <c r="M2335">
        <v>0</v>
      </c>
      <c r="N2335" t="s">
        <v>195</v>
      </c>
      <c r="O2335" t="s">
        <v>213</v>
      </c>
      <c r="P2335" t="s">
        <v>206</v>
      </c>
      <c r="Q2335" t="s">
        <v>170</v>
      </c>
      <c r="R2335" t="s">
        <v>155</v>
      </c>
      <c r="S2335">
        <v>5</v>
      </c>
      <c r="T2335" t="s">
        <v>135</v>
      </c>
      <c r="U2335">
        <v>0</v>
      </c>
      <c r="V2335">
        <v>4</v>
      </c>
      <c r="W2335" t="s">
        <v>137</v>
      </c>
      <c r="X2335">
        <v>0</v>
      </c>
      <c r="Y2335" t="s">
        <v>139</v>
      </c>
      <c r="Z2335" t="s">
        <v>185</v>
      </c>
      <c r="AA2335" t="s">
        <v>145</v>
      </c>
      <c r="AB2335" t="s">
        <v>162</v>
      </c>
      <c r="AC2335" t="s">
        <v>550</v>
      </c>
      <c r="AD2335" t="s">
        <v>157</v>
      </c>
      <c r="AE2335" t="s">
        <v>439</v>
      </c>
      <c r="AF2335" t="s">
        <v>3357</v>
      </c>
    </row>
    <row r="2336" spans="1:32">
      <c r="A2336" t="s">
        <v>3358</v>
      </c>
      <c r="B2336" s="37">
        <v>40033</v>
      </c>
      <c r="C2336" s="38">
        <v>40033</v>
      </c>
      <c r="D2336" s="38">
        <v>40028</v>
      </c>
      <c r="E2336" s="38">
        <v>40026</v>
      </c>
      <c r="F2336" s="39">
        <v>128</v>
      </c>
      <c r="G2336" t="s">
        <v>21</v>
      </c>
      <c r="H2336" t="s">
        <v>21</v>
      </c>
      <c r="I2336">
        <v>0</v>
      </c>
      <c r="J2336">
        <v>0</v>
      </c>
      <c r="K2336">
        <v>0</v>
      </c>
      <c r="L2336">
        <v>1</v>
      </c>
      <c r="M2336">
        <v>0</v>
      </c>
      <c r="N2336" t="s">
        <v>193</v>
      </c>
      <c r="O2336" t="s">
        <v>213</v>
      </c>
      <c r="P2336" t="s">
        <v>204</v>
      </c>
      <c r="Q2336" t="s">
        <v>170</v>
      </c>
      <c r="R2336" t="s">
        <v>155</v>
      </c>
      <c r="S2336">
        <v>5</v>
      </c>
      <c r="T2336" t="s">
        <v>135</v>
      </c>
      <c r="U2336">
        <v>0</v>
      </c>
      <c r="V2336">
        <v>5</v>
      </c>
      <c r="W2336" t="s">
        <v>135</v>
      </c>
      <c r="X2336">
        <v>0</v>
      </c>
      <c r="Y2336" t="s">
        <v>140</v>
      </c>
      <c r="Z2336" t="s">
        <v>185</v>
      </c>
      <c r="AA2336" t="s">
        <v>143</v>
      </c>
      <c r="AB2336" t="s">
        <v>162</v>
      </c>
      <c r="AC2336" t="s">
        <v>597</v>
      </c>
      <c r="AD2336" t="s">
        <v>160</v>
      </c>
      <c r="AE2336" t="s">
        <v>1441</v>
      </c>
      <c r="AF2336" t="s">
        <v>3359</v>
      </c>
    </row>
    <row r="2337" spans="1:32">
      <c r="A2337" t="s">
        <v>3360</v>
      </c>
      <c r="B2337" s="37">
        <v>39923</v>
      </c>
      <c r="C2337" s="38">
        <v>39923</v>
      </c>
      <c r="D2337" s="38">
        <v>39923</v>
      </c>
      <c r="E2337" s="38">
        <v>39904</v>
      </c>
      <c r="F2337" s="39">
        <v>18</v>
      </c>
      <c r="G2337" t="s">
        <v>21</v>
      </c>
      <c r="H2337" t="s">
        <v>21</v>
      </c>
      <c r="I2337">
        <v>0</v>
      </c>
      <c r="J2337">
        <v>0</v>
      </c>
      <c r="K2337">
        <v>0</v>
      </c>
      <c r="L2337">
        <v>1</v>
      </c>
      <c r="M2337">
        <v>0</v>
      </c>
      <c r="N2337" t="s">
        <v>194</v>
      </c>
      <c r="O2337" t="s">
        <v>213</v>
      </c>
      <c r="P2337" t="s">
        <v>205</v>
      </c>
      <c r="Q2337" t="s">
        <v>170</v>
      </c>
      <c r="R2337" t="s">
        <v>155</v>
      </c>
      <c r="T2337" t="s">
        <v>134</v>
      </c>
      <c r="U2337">
        <v>1</v>
      </c>
      <c r="W2337" t="s">
        <v>134</v>
      </c>
      <c r="X2337">
        <v>1</v>
      </c>
      <c r="Y2337" t="s">
        <v>139</v>
      </c>
      <c r="Z2337" t="s">
        <v>185</v>
      </c>
      <c r="AA2337" t="s">
        <v>149</v>
      </c>
      <c r="AB2337" t="s">
        <v>163</v>
      </c>
      <c r="AC2337" t="s">
        <v>173</v>
      </c>
      <c r="AD2337" t="s">
        <v>161</v>
      </c>
      <c r="AE2337" t="s">
        <v>586</v>
      </c>
      <c r="AF2337" t="s">
        <v>21</v>
      </c>
    </row>
    <row r="2338" spans="1:32">
      <c r="A2338" t="s">
        <v>3361</v>
      </c>
      <c r="B2338" s="37">
        <v>40082</v>
      </c>
      <c r="C2338" s="38">
        <v>40082</v>
      </c>
      <c r="D2338" s="38">
        <v>40077</v>
      </c>
      <c r="E2338" s="38">
        <v>40057</v>
      </c>
      <c r="F2338" s="39">
        <v>177</v>
      </c>
      <c r="G2338" t="s">
        <v>21</v>
      </c>
      <c r="H2338" t="s">
        <v>21</v>
      </c>
      <c r="I2338">
        <v>0</v>
      </c>
      <c r="J2338">
        <v>0</v>
      </c>
      <c r="K2338">
        <v>0</v>
      </c>
      <c r="L2338">
        <v>1</v>
      </c>
      <c r="M2338">
        <v>0</v>
      </c>
      <c r="N2338" t="s">
        <v>544</v>
      </c>
      <c r="O2338" t="s">
        <v>213</v>
      </c>
      <c r="P2338" t="s">
        <v>545</v>
      </c>
      <c r="Q2338" t="s">
        <v>170</v>
      </c>
      <c r="R2338" t="s">
        <v>155</v>
      </c>
      <c r="S2338">
        <v>5</v>
      </c>
      <c r="T2338" t="s">
        <v>135</v>
      </c>
      <c r="U2338">
        <v>0</v>
      </c>
      <c r="V2338">
        <v>5</v>
      </c>
      <c r="W2338" t="s">
        <v>135</v>
      </c>
      <c r="X2338">
        <v>0</v>
      </c>
      <c r="Y2338" t="s">
        <v>139</v>
      </c>
      <c r="Z2338" t="s">
        <v>185</v>
      </c>
      <c r="AA2338" t="s">
        <v>148</v>
      </c>
      <c r="AB2338" t="s">
        <v>163</v>
      </c>
      <c r="AC2338" t="s">
        <v>173</v>
      </c>
      <c r="AD2338" t="s">
        <v>155</v>
      </c>
      <c r="AE2338" t="s">
        <v>128</v>
      </c>
      <c r="AF2338" t="s">
        <v>21</v>
      </c>
    </row>
    <row r="2339" spans="1:32">
      <c r="A2339" t="s">
        <v>3362</v>
      </c>
      <c r="B2339" s="37">
        <v>39947</v>
      </c>
      <c r="C2339" s="38">
        <v>39947</v>
      </c>
      <c r="D2339" s="38">
        <v>39944</v>
      </c>
      <c r="E2339" s="38">
        <v>39934</v>
      </c>
      <c r="F2339" s="39">
        <v>42</v>
      </c>
      <c r="G2339" t="s">
        <v>21</v>
      </c>
      <c r="H2339" t="s">
        <v>21</v>
      </c>
      <c r="I2339">
        <v>0</v>
      </c>
      <c r="J2339">
        <v>0</v>
      </c>
      <c r="K2339">
        <v>0</v>
      </c>
      <c r="L2339">
        <v>1</v>
      </c>
      <c r="M2339">
        <v>0</v>
      </c>
      <c r="N2339" t="s">
        <v>194</v>
      </c>
      <c r="O2339" t="s">
        <v>213</v>
      </c>
      <c r="P2339" t="s">
        <v>205</v>
      </c>
      <c r="Q2339" t="s">
        <v>170</v>
      </c>
      <c r="R2339" t="s">
        <v>155</v>
      </c>
      <c r="T2339" t="s">
        <v>134</v>
      </c>
      <c r="U2339">
        <v>1</v>
      </c>
      <c r="W2339" t="s">
        <v>134</v>
      </c>
      <c r="X2339">
        <v>1</v>
      </c>
      <c r="Y2339" t="s">
        <v>139</v>
      </c>
      <c r="Z2339" t="s">
        <v>391</v>
      </c>
      <c r="AA2339" t="s">
        <v>147</v>
      </c>
      <c r="AB2339" t="s">
        <v>165</v>
      </c>
      <c r="AC2339" t="s">
        <v>21</v>
      </c>
      <c r="AD2339" t="s">
        <v>158</v>
      </c>
      <c r="AE2339" t="s">
        <v>122</v>
      </c>
      <c r="AF2339" t="s">
        <v>21</v>
      </c>
    </row>
    <row r="2340" spans="1:32">
      <c r="A2340" t="s">
        <v>3363</v>
      </c>
      <c r="B2340" s="37">
        <v>39933</v>
      </c>
      <c r="C2340" s="38">
        <v>39933</v>
      </c>
      <c r="D2340" s="38">
        <v>39930</v>
      </c>
      <c r="E2340" s="38">
        <v>39904</v>
      </c>
      <c r="F2340" s="39">
        <v>28</v>
      </c>
      <c r="G2340" t="s">
        <v>21</v>
      </c>
      <c r="H2340" t="s">
        <v>21</v>
      </c>
      <c r="I2340">
        <v>0</v>
      </c>
      <c r="J2340">
        <v>0</v>
      </c>
      <c r="K2340">
        <v>0</v>
      </c>
      <c r="L2340">
        <v>1</v>
      </c>
      <c r="M2340">
        <v>0</v>
      </c>
      <c r="N2340" t="s">
        <v>199</v>
      </c>
      <c r="O2340" t="s">
        <v>213</v>
      </c>
      <c r="P2340" t="s">
        <v>210</v>
      </c>
      <c r="Q2340" t="s">
        <v>170</v>
      </c>
      <c r="R2340" t="s">
        <v>155</v>
      </c>
      <c r="T2340" t="s">
        <v>134</v>
      </c>
      <c r="U2340">
        <v>1</v>
      </c>
      <c r="W2340" t="s">
        <v>134</v>
      </c>
      <c r="X2340">
        <v>1</v>
      </c>
      <c r="Y2340" t="s">
        <v>139</v>
      </c>
      <c r="Z2340" t="s">
        <v>528</v>
      </c>
      <c r="AA2340" t="s">
        <v>145</v>
      </c>
      <c r="AB2340" t="s">
        <v>163</v>
      </c>
      <c r="AC2340" t="s">
        <v>797</v>
      </c>
      <c r="AD2340" t="s">
        <v>155</v>
      </c>
      <c r="AE2340" t="s">
        <v>124</v>
      </c>
      <c r="AF2340" t="s">
        <v>21</v>
      </c>
    </row>
    <row r="2341" spans="1:32">
      <c r="A2341" t="s">
        <v>3364</v>
      </c>
      <c r="B2341" s="37">
        <v>40080</v>
      </c>
      <c r="C2341" s="38">
        <v>40080</v>
      </c>
      <c r="D2341" s="38">
        <v>40077</v>
      </c>
      <c r="E2341" s="38">
        <v>40057</v>
      </c>
      <c r="F2341" s="39">
        <v>175</v>
      </c>
      <c r="G2341" t="s">
        <v>525</v>
      </c>
      <c r="H2341" t="s">
        <v>17</v>
      </c>
      <c r="I2341">
        <v>0</v>
      </c>
      <c r="J2341">
        <v>0</v>
      </c>
      <c r="K2341">
        <v>1</v>
      </c>
      <c r="L2341">
        <v>0</v>
      </c>
      <c r="M2341">
        <v>0</v>
      </c>
      <c r="N2341" t="s">
        <v>193</v>
      </c>
      <c r="O2341" t="s">
        <v>213</v>
      </c>
      <c r="P2341" t="s">
        <v>204</v>
      </c>
      <c r="Q2341" t="s">
        <v>170</v>
      </c>
      <c r="R2341" t="s">
        <v>155</v>
      </c>
      <c r="S2341">
        <v>1</v>
      </c>
      <c r="T2341" t="s">
        <v>136</v>
      </c>
      <c r="U2341">
        <v>0</v>
      </c>
      <c r="V2341">
        <v>3</v>
      </c>
      <c r="W2341" t="s">
        <v>137</v>
      </c>
      <c r="X2341">
        <v>0</v>
      </c>
      <c r="Y2341" t="s">
        <v>140</v>
      </c>
      <c r="Z2341" t="s">
        <v>528</v>
      </c>
      <c r="AA2341" t="s">
        <v>142</v>
      </c>
      <c r="AB2341" t="s">
        <v>162</v>
      </c>
      <c r="AC2341" t="s">
        <v>176</v>
      </c>
      <c r="AD2341" t="s">
        <v>155</v>
      </c>
      <c r="AE2341" t="s">
        <v>129</v>
      </c>
      <c r="AF2341" t="s">
        <v>21</v>
      </c>
    </row>
    <row r="2342" spans="1:32">
      <c r="A2342" t="s">
        <v>3365</v>
      </c>
      <c r="B2342" s="37">
        <v>40021</v>
      </c>
      <c r="C2342" s="38">
        <v>40021</v>
      </c>
      <c r="D2342" s="38">
        <v>40021</v>
      </c>
      <c r="E2342" s="38">
        <v>39995</v>
      </c>
      <c r="F2342" s="39">
        <v>116</v>
      </c>
      <c r="G2342" t="s">
        <v>383</v>
      </c>
      <c r="H2342" t="s">
        <v>17</v>
      </c>
      <c r="I2342">
        <v>0</v>
      </c>
      <c r="J2342">
        <v>0</v>
      </c>
      <c r="K2342">
        <v>1</v>
      </c>
      <c r="L2342">
        <v>0</v>
      </c>
      <c r="M2342">
        <v>0</v>
      </c>
      <c r="N2342" t="s">
        <v>193</v>
      </c>
      <c r="O2342" t="s">
        <v>213</v>
      </c>
      <c r="P2342" t="s">
        <v>204</v>
      </c>
      <c r="Q2342" t="s">
        <v>170</v>
      </c>
      <c r="R2342" t="s">
        <v>155</v>
      </c>
      <c r="S2342">
        <v>5</v>
      </c>
      <c r="T2342" t="s">
        <v>135</v>
      </c>
      <c r="U2342">
        <v>0</v>
      </c>
      <c r="V2342">
        <v>3</v>
      </c>
      <c r="W2342" t="s">
        <v>137</v>
      </c>
      <c r="X2342">
        <v>0</v>
      </c>
      <c r="Y2342" t="s">
        <v>140</v>
      </c>
      <c r="Z2342" t="s">
        <v>188</v>
      </c>
      <c r="AA2342" t="s">
        <v>142</v>
      </c>
      <c r="AB2342" t="s">
        <v>162</v>
      </c>
      <c r="AC2342" t="s">
        <v>21</v>
      </c>
      <c r="AD2342" t="s">
        <v>155</v>
      </c>
      <c r="AE2342" t="s">
        <v>130</v>
      </c>
      <c r="AF2342" t="s">
        <v>21</v>
      </c>
    </row>
    <row r="2343" spans="1:32">
      <c r="A2343" t="s">
        <v>3366</v>
      </c>
      <c r="B2343" s="37">
        <v>40040</v>
      </c>
      <c r="C2343" s="38">
        <v>40040</v>
      </c>
      <c r="D2343" s="38">
        <v>40035</v>
      </c>
      <c r="E2343" s="38">
        <v>40026</v>
      </c>
      <c r="F2343" s="39">
        <v>135</v>
      </c>
      <c r="G2343" t="s">
        <v>525</v>
      </c>
      <c r="H2343" t="s">
        <v>17</v>
      </c>
      <c r="I2343">
        <v>0</v>
      </c>
      <c r="J2343">
        <v>0</v>
      </c>
      <c r="K2343">
        <v>1</v>
      </c>
      <c r="L2343">
        <v>0</v>
      </c>
      <c r="M2343">
        <v>0</v>
      </c>
      <c r="N2343" t="s">
        <v>195</v>
      </c>
      <c r="O2343" t="s">
        <v>213</v>
      </c>
      <c r="P2343" t="s">
        <v>206</v>
      </c>
      <c r="Q2343" t="s">
        <v>170</v>
      </c>
      <c r="R2343" t="s">
        <v>155</v>
      </c>
      <c r="S2343">
        <v>5</v>
      </c>
      <c r="T2343" t="s">
        <v>135</v>
      </c>
      <c r="U2343">
        <v>0</v>
      </c>
      <c r="V2343">
        <v>4</v>
      </c>
      <c r="W2343" t="s">
        <v>137</v>
      </c>
      <c r="X2343">
        <v>0</v>
      </c>
      <c r="Y2343" t="s">
        <v>139</v>
      </c>
      <c r="Z2343" t="s">
        <v>185</v>
      </c>
      <c r="AA2343" t="s">
        <v>143</v>
      </c>
      <c r="AB2343" t="s">
        <v>165</v>
      </c>
      <c r="AC2343" t="s">
        <v>1130</v>
      </c>
      <c r="AD2343" t="s">
        <v>158</v>
      </c>
      <c r="AE2343" t="s">
        <v>122</v>
      </c>
      <c r="AF2343" t="s">
        <v>21</v>
      </c>
    </row>
    <row r="2344" spans="1:32">
      <c r="A2344" t="s">
        <v>3367</v>
      </c>
      <c r="B2344" s="37">
        <v>39977</v>
      </c>
      <c r="C2344" s="38">
        <v>39977</v>
      </c>
      <c r="D2344" s="38">
        <v>39972</v>
      </c>
      <c r="E2344" s="38">
        <v>39965</v>
      </c>
      <c r="F2344" s="39">
        <v>72</v>
      </c>
      <c r="G2344" t="s">
        <v>21</v>
      </c>
      <c r="H2344" t="s">
        <v>21</v>
      </c>
      <c r="I2344">
        <v>0</v>
      </c>
      <c r="J2344">
        <v>0</v>
      </c>
      <c r="K2344">
        <v>0</v>
      </c>
      <c r="L2344">
        <v>1</v>
      </c>
      <c r="M2344">
        <v>0</v>
      </c>
      <c r="N2344" t="s">
        <v>195</v>
      </c>
      <c r="O2344" t="s">
        <v>213</v>
      </c>
      <c r="P2344" t="s">
        <v>206</v>
      </c>
      <c r="Q2344" t="s">
        <v>170</v>
      </c>
      <c r="R2344" t="s">
        <v>155</v>
      </c>
      <c r="T2344" t="s">
        <v>134</v>
      </c>
      <c r="U2344">
        <v>1</v>
      </c>
      <c r="W2344" t="s">
        <v>134</v>
      </c>
      <c r="X2344">
        <v>1</v>
      </c>
      <c r="Y2344" t="s">
        <v>139</v>
      </c>
      <c r="Z2344" t="s">
        <v>185</v>
      </c>
      <c r="AA2344" t="s">
        <v>142</v>
      </c>
      <c r="AB2344" t="s">
        <v>165</v>
      </c>
      <c r="AC2344" t="s">
        <v>589</v>
      </c>
      <c r="AD2344" t="s">
        <v>158</v>
      </c>
      <c r="AE2344" t="s">
        <v>122</v>
      </c>
      <c r="AF2344" t="s">
        <v>21</v>
      </c>
    </row>
    <row r="2345" spans="1:32">
      <c r="A2345" t="s">
        <v>3368</v>
      </c>
      <c r="B2345" s="37">
        <v>39919</v>
      </c>
      <c r="C2345" s="38">
        <v>39919</v>
      </c>
      <c r="D2345" s="38">
        <v>39916</v>
      </c>
      <c r="E2345" s="38">
        <v>39904</v>
      </c>
      <c r="F2345" s="39">
        <v>14</v>
      </c>
      <c r="G2345" t="s">
        <v>525</v>
      </c>
      <c r="H2345" t="s">
        <v>17</v>
      </c>
      <c r="I2345">
        <v>0</v>
      </c>
      <c r="J2345">
        <v>0</v>
      </c>
      <c r="K2345">
        <v>1</v>
      </c>
      <c r="L2345">
        <v>0</v>
      </c>
      <c r="M2345">
        <v>0</v>
      </c>
      <c r="N2345" t="s">
        <v>199</v>
      </c>
      <c r="O2345" t="s">
        <v>213</v>
      </c>
      <c r="P2345" t="s">
        <v>210</v>
      </c>
      <c r="Q2345" t="s">
        <v>170</v>
      </c>
      <c r="R2345" t="s">
        <v>155</v>
      </c>
      <c r="T2345" t="s">
        <v>134</v>
      </c>
      <c r="U2345">
        <v>1</v>
      </c>
      <c r="W2345" t="s">
        <v>134</v>
      </c>
      <c r="X2345">
        <v>1</v>
      </c>
      <c r="Y2345" t="s">
        <v>139</v>
      </c>
      <c r="Z2345" t="s">
        <v>188</v>
      </c>
      <c r="AA2345" t="s">
        <v>143</v>
      </c>
      <c r="AB2345" t="s">
        <v>163</v>
      </c>
      <c r="AC2345" t="s">
        <v>797</v>
      </c>
      <c r="AD2345" t="s">
        <v>155</v>
      </c>
      <c r="AE2345" t="s">
        <v>127</v>
      </c>
      <c r="AF2345" t="s">
        <v>21</v>
      </c>
    </row>
    <row r="2346" spans="1:32">
      <c r="A2346" t="s">
        <v>3369</v>
      </c>
      <c r="B2346" s="37">
        <v>40014</v>
      </c>
      <c r="C2346" s="38">
        <v>40014</v>
      </c>
      <c r="D2346" s="38">
        <v>40014</v>
      </c>
      <c r="E2346" s="38">
        <v>39995</v>
      </c>
      <c r="F2346" s="39">
        <v>109</v>
      </c>
      <c r="G2346" t="s">
        <v>21</v>
      </c>
      <c r="H2346" t="s">
        <v>21</v>
      </c>
      <c r="I2346">
        <v>0</v>
      </c>
      <c r="J2346">
        <v>0</v>
      </c>
      <c r="K2346">
        <v>0</v>
      </c>
      <c r="L2346">
        <v>1</v>
      </c>
      <c r="M2346">
        <v>0</v>
      </c>
      <c r="N2346" t="s">
        <v>193</v>
      </c>
      <c r="O2346" t="s">
        <v>213</v>
      </c>
      <c r="P2346" t="s">
        <v>204</v>
      </c>
      <c r="Q2346" t="s">
        <v>170</v>
      </c>
      <c r="R2346" t="s">
        <v>155</v>
      </c>
      <c r="S2346">
        <v>5</v>
      </c>
      <c r="T2346" t="s">
        <v>135</v>
      </c>
      <c r="U2346">
        <v>0</v>
      </c>
      <c r="V2346">
        <v>3</v>
      </c>
      <c r="W2346" t="s">
        <v>137</v>
      </c>
      <c r="X2346">
        <v>0</v>
      </c>
      <c r="Y2346" t="s">
        <v>140</v>
      </c>
      <c r="Z2346" t="s">
        <v>188</v>
      </c>
      <c r="AA2346" t="s">
        <v>144</v>
      </c>
      <c r="AB2346" t="s">
        <v>162</v>
      </c>
      <c r="AC2346" t="s">
        <v>498</v>
      </c>
      <c r="AD2346" t="s">
        <v>157</v>
      </c>
      <c r="AE2346" t="s">
        <v>127</v>
      </c>
      <c r="AF2346" t="s">
        <v>1798</v>
      </c>
    </row>
    <row r="2347" spans="1:32">
      <c r="A2347" t="s">
        <v>3370</v>
      </c>
      <c r="B2347" s="37">
        <v>40078</v>
      </c>
      <c r="C2347" s="38">
        <v>40078</v>
      </c>
      <c r="D2347" s="38">
        <v>40077</v>
      </c>
      <c r="E2347" s="38">
        <v>40057</v>
      </c>
      <c r="F2347" s="39">
        <v>173</v>
      </c>
      <c r="G2347" t="s">
        <v>383</v>
      </c>
      <c r="H2347" t="s">
        <v>17</v>
      </c>
      <c r="I2347">
        <v>0</v>
      </c>
      <c r="J2347">
        <v>0</v>
      </c>
      <c r="K2347">
        <v>1</v>
      </c>
      <c r="L2347">
        <v>0</v>
      </c>
      <c r="M2347">
        <v>0</v>
      </c>
      <c r="N2347" t="s">
        <v>544</v>
      </c>
      <c r="O2347" t="s">
        <v>213</v>
      </c>
      <c r="P2347" t="s">
        <v>545</v>
      </c>
      <c r="Q2347" t="s">
        <v>170</v>
      </c>
      <c r="R2347" t="s">
        <v>155</v>
      </c>
      <c r="S2347">
        <v>3</v>
      </c>
      <c r="T2347" t="s">
        <v>137</v>
      </c>
      <c r="U2347">
        <v>0</v>
      </c>
      <c r="V2347">
        <v>3</v>
      </c>
      <c r="W2347" t="s">
        <v>137</v>
      </c>
      <c r="X2347">
        <v>0</v>
      </c>
      <c r="Y2347" t="s">
        <v>139</v>
      </c>
      <c r="Z2347" t="s">
        <v>188</v>
      </c>
      <c r="AA2347" t="s">
        <v>149</v>
      </c>
      <c r="AB2347" t="s">
        <v>162</v>
      </c>
      <c r="AC2347" t="s">
        <v>174</v>
      </c>
      <c r="AD2347" t="s">
        <v>157</v>
      </c>
      <c r="AE2347" t="s">
        <v>434</v>
      </c>
      <c r="AF2347" t="s">
        <v>986</v>
      </c>
    </row>
    <row r="2348" spans="1:32">
      <c r="A2348" t="s">
        <v>3371</v>
      </c>
      <c r="B2348" s="37">
        <v>39969</v>
      </c>
      <c r="C2348" s="38">
        <v>39969</v>
      </c>
      <c r="D2348" s="38">
        <v>39965</v>
      </c>
      <c r="E2348" s="38">
        <v>39965</v>
      </c>
      <c r="F2348" s="39">
        <v>64</v>
      </c>
      <c r="G2348" t="s">
        <v>21</v>
      </c>
      <c r="H2348" t="s">
        <v>21</v>
      </c>
      <c r="I2348">
        <v>0</v>
      </c>
      <c r="J2348">
        <v>0</v>
      </c>
      <c r="K2348">
        <v>0</v>
      </c>
      <c r="L2348">
        <v>1</v>
      </c>
      <c r="M2348">
        <v>0</v>
      </c>
      <c r="N2348" t="s">
        <v>195</v>
      </c>
      <c r="O2348" t="s">
        <v>213</v>
      </c>
      <c r="P2348" t="s">
        <v>206</v>
      </c>
      <c r="Q2348" t="s">
        <v>170</v>
      </c>
      <c r="R2348" t="s">
        <v>155</v>
      </c>
      <c r="T2348" t="s">
        <v>134</v>
      </c>
      <c r="U2348">
        <v>1</v>
      </c>
      <c r="W2348" t="s">
        <v>134</v>
      </c>
      <c r="X2348">
        <v>1</v>
      </c>
      <c r="Y2348" t="s">
        <v>139</v>
      </c>
      <c r="Z2348" t="s">
        <v>479</v>
      </c>
      <c r="AA2348" t="s">
        <v>146</v>
      </c>
      <c r="AB2348" t="s">
        <v>162</v>
      </c>
      <c r="AC2348" t="s">
        <v>3372</v>
      </c>
      <c r="AD2348" t="s">
        <v>159</v>
      </c>
      <c r="AE2348" t="s">
        <v>123</v>
      </c>
      <c r="AF2348" t="s">
        <v>123</v>
      </c>
    </row>
    <row r="2349" spans="1:32">
      <c r="A2349" t="s">
        <v>3373</v>
      </c>
      <c r="B2349" s="37">
        <v>39916</v>
      </c>
      <c r="C2349" s="38">
        <v>39916</v>
      </c>
      <c r="D2349" s="38">
        <v>39916</v>
      </c>
      <c r="E2349" s="38">
        <v>39904</v>
      </c>
      <c r="F2349" s="39">
        <v>11</v>
      </c>
      <c r="G2349" t="s">
        <v>21</v>
      </c>
      <c r="H2349" t="s">
        <v>21</v>
      </c>
      <c r="I2349">
        <v>0</v>
      </c>
      <c r="J2349">
        <v>0</v>
      </c>
      <c r="K2349">
        <v>0</v>
      </c>
      <c r="L2349">
        <v>1</v>
      </c>
      <c r="M2349">
        <v>0</v>
      </c>
      <c r="N2349" t="s">
        <v>199</v>
      </c>
      <c r="O2349" t="s">
        <v>213</v>
      </c>
      <c r="P2349" t="s">
        <v>210</v>
      </c>
      <c r="Q2349" t="s">
        <v>170</v>
      </c>
      <c r="R2349" t="s">
        <v>155</v>
      </c>
      <c r="T2349" t="s">
        <v>134</v>
      </c>
      <c r="U2349">
        <v>1</v>
      </c>
      <c r="W2349" t="s">
        <v>134</v>
      </c>
      <c r="X2349">
        <v>1</v>
      </c>
      <c r="Y2349" t="s">
        <v>139</v>
      </c>
      <c r="Z2349" t="s">
        <v>185</v>
      </c>
      <c r="AA2349" t="s">
        <v>148</v>
      </c>
      <c r="AB2349" t="s">
        <v>162</v>
      </c>
      <c r="AC2349" t="s">
        <v>2194</v>
      </c>
      <c r="AD2349" t="s">
        <v>160</v>
      </c>
      <c r="AE2349" t="s">
        <v>454</v>
      </c>
      <c r="AF2349" t="s">
        <v>3374</v>
      </c>
    </row>
    <row r="2350" spans="1:32">
      <c r="A2350" t="s">
        <v>3375</v>
      </c>
      <c r="B2350" s="37">
        <v>40017</v>
      </c>
      <c r="C2350" s="38">
        <v>40017</v>
      </c>
      <c r="D2350" s="38">
        <v>40014</v>
      </c>
      <c r="E2350" s="38">
        <v>39995</v>
      </c>
      <c r="F2350" s="39">
        <v>112</v>
      </c>
      <c r="G2350" t="s">
        <v>21</v>
      </c>
      <c r="H2350" t="s">
        <v>21</v>
      </c>
      <c r="I2350">
        <v>0</v>
      </c>
      <c r="J2350">
        <v>0</v>
      </c>
      <c r="K2350">
        <v>0</v>
      </c>
      <c r="L2350">
        <v>1</v>
      </c>
      <c r="M2350">
        <v>0</v>
      </c>
      <c r="N2350" t="s">
        <v>196</v>
      </c>
      <c r="O2350" t="s">
        <v>213</v>
      </c>
      <c r="P2350" t="s">
        <v>207</v>
      </c>
      <c r="Q2350" t="s">
        <v>170</v>
      </c>
      <c r="R2350" t="s">
        <v>155</v>
      </c>
      <c r="S2350">
        <v>5</v>
      </c>
      <c r="T2350" t="s">
        <v>135</v>
      </c>
      <c r="U2350">
        <v>0</v>
      </c>
      <c r="V2350">
        <v>3</v>
      </c>
      <c r="W2350" t="s">
        <v>137</v>
      </c>
      <c r="X2350">
        <v>0</v>
      </c>
      <c r="Y2350" t="s">
        <v>139</v>
      </c>
      <c r="Z2350" t="s">
        <v>188</v>
      </c>
      <c r="AA2350" t="s">
        <v>142</v>
      </c>
      <c r="AB2350" t="s">
        <v>162</v>
      </c>
      <c r="AC2350" t="s">
        <v>1728</v>
      </c>
      <c r="AD2350" t="s">
        <v>157</v>
      </c>
      <c r="AE2350" t="s">
        <v>127</v>
      </c>
      <c r="AF2350" t="s">
        <v>153</v>
      </c>
    </row>
    <row r="2351" spans="1:32">
      <c r="A2351" t="s">
        <v>3376</v>
      </c>
      <c r="B2351" s="37">
        <v>39982</v>
      </c>
      <c r="C2351" s="38">
        <v>39982</v>
      </c>
      <c r="D2351" s="38">
        <v>39979</v>
      </c>
      <c r="E2351" s="38">
        <v>39965</v>
      </c>
      <c r="F2351" s="39">
        <v>77</v>
      </c>
      <c r="G2351" t="s">
        <v>383</v>
      </c>
      <c r="H2351" t="s">
        <v>17</v>
      </c>
      <c r="I2351">
        <v>0</v>
      </c>
      <c r="J2351">
        <v>0</v>
      </c>
      <c r="K2351">
        <v>1</v>
      </c>
      <c r="L2351">
        <v>0</v>
      </c>
      <c r="M2351">
        <v>0</v>
      </c>
      <c r="N2351" t="s">
        <v>194</v>
      </c>
      <c r="O2351" t="s">
        <v>213</v>
      </c>
      <c r="P2351" t="s">
        <v>205</v>
      </c>
      <c r="Q2351" t="s">
        <v>170</v>
      </c>
      <c r="R2351" t="s">
        <v>155</v>
      </c>
      <c r="T2351" t="s">
        <v>134</v>
      </c>
      <c r="U2351">
        <v>1</v>
      </c>
      <c r="W2351" t="s">
        <v>134</v>
      </c>
      <c r="X2351">
        <v>1</v>
      </c>
      <c r="Y2351" t="s">
        <v>139</v>
      </c>
      <c r="Z2351" t="s">
        <v>413</v>
      </c>
      <c r="AA2351" t="s">
        <v>144</v>
      </c>
      <c r="AB2351" t="s">
        <v>163</v>
      </c>
      <c r="AC2351" t="s">
        <v>1042</v>
      </c>
      <c r="AD2351" t="s">
        <v>155</v>
      </c>
      <c r="AE2351" t="s">
        <v>501</v>
      </c>
      <c r="AF2351" t="s">
        <v>21</v>
      </c>
    </row>
    <row r="2352" spans="1:32">
      <c r="A2352" t="s">
        <v>3377</v>
      </c>
      <c r="B2352" s="37">
        <v>40049</v>
      </c>
      <c r="C2352" s="38">
        <v>40049</v>
      </c>
      <c r="D2352" s="38">
        <v>40049</v>
      </c>
      <c r="E2352" s="38">
        <v>40026</v>
      </c>
      <c r="F2352" s="39">
        <v>144</v>
      </c>
      <c r="G2352" t="s">
        <v>21</v>
      </c>
      <c r="H2352" t="s">
        <v>21</v>
      </c>
      <c r="I2352">
        <v>0</v>
      </c>
      <c r="J2352">
        <v>0</v>
      </c>
      <c r="K2352">
        <v>0</v>
      </c>
      <c r="L2352">
        <v>1</v>
      </c>
      <c r="M2352">
        <v>0</v>
      </c>
      <c r="N2352" t="s">
        <v>195</v>
      </c>
      <c r="O2352" t="s">
        <v>213</v>
      </c>
      <c r="P2352" t="s">
        <v>206</v>
      </c>
      <c r="Q2352" t="s">
        <v>170</v>
      </c>
      <c r="R2352" t="s">
        <v>155</v>
      </c>
      <c r="S2352">
        <v>5</v>
      </c>
      <c r="T2352" t="s">
        <v>135</v>
      </c>
      <c r="U2352">
        <v>0</v>
      </c>
      <c r="V2352">
        <v>5</v>
      </c>
      <c r="W2352" t="s">
        <v>135</v>
      </c>
      <c r="X2352">
        <v>0</v>
      </c>
      <c r="Y2352" t="s">
        <v>139</v>
      </c>
      <c r="Z2352" t="s">
        <v>413</v>
      </c>
      <c r="AA2352" t="s">
        <v>144</v>
      </c>
      <c r="AB2352" t="s">
        <v>162</v>
      </c>
      <c r="AC2352" t="s">
        <v>21</v>
      </c>
      <c r="AD2352" t="s">
        <v>160</v>
      </c>
      <c r="AE2352" t="s">
        <v>126</v>
      </c>
      <c r="AF2352" t="s">
        <v>665</v>
      </c>
    </row>
    <row r="2353" spans="1:32">
      <c r="A2353" t="s">
        <v>3378</v>
      </c>
      <c r="B2353" s="37">
        <v>40007</v>
      </c>
      <c r="C2353" s="38">
        <v>40007</v>
      </c>
      <c r="D2353" s="38">
        <v>40007</v>
      </c>
      <c r="E2353" s="38">
        <v>39995</v>
      </c>
      <c r="F2353" s="39">
        <v>102</v>
      </c>
      <c r="G2353" t="s">
        <v>21</v>
      </c>
      <c r="H2353" t="s">
        <v>21</v>
      </c>
      <c r="I2353">
        <v>0</v>
      </c>
      <c r="J2353">
        <v>0</v>
      </c>
      <c r="K2353">
        <v>0</v>
      </c>
      <c r="L2353">
        <v>1</v>
      </c>
      <c r="M2353">
        <v>0</v>
      </c>
      <c r="N2353" t="s">
        <v>196</v>
      </c>
      <c r="O2353" t="s">
        <v>213</v>
      </c>
      <c r="P2353" t="s">
        <v>207</v>
      </c>
      <c r="Q2353" t="s">
        <v>170</v>
      </c>
      <c r="R2353" t="s">
        <v>155</v>
      </c>
      <c r="S2353">
        <v>5</v>
      </c>
      <c r="T2353" t="s">
        <v>135</v>
      </c>
      <c r="U2353">
        <v>0</v>
      </c>
      <c r="V2353">
        <v>5</v>
      </c>
      <c r="W2353" t="s">
        <v>135</v>
      </c>
      <c r="X2353">
        <v>0</v>
      </c>
      <c r="Y2353" t="s">
        <v>139</v>
      </c>
      <c r="Z2353" t="s">
        <v>178</v>
      </c>
      <c r="AA2353" t="s">
        <v>144</v>
      </c>
      <c r="AB2353" t="s">
        <v>162</v>
      </c>
      <c r="AC2353" t="s">
        <v>578</v>
      </c>
      <c r="AD2353" t="s">
        <v>157</v>
      </c>
      <c r="AE2353" t="s">
        <v>127</v>
      </c>
      <c r="AF2353" t="s">
        <v>153</v>
      </c>
    </row>
    <row r="2354" spans="1:32">
      <c r="A2354" t="s">
        <v>3379</v>
      </c>
      <c r="B2354" s="37">
        <v>40060</v>
      </c>
      <c r="C2354" s="38">
        <v>40060</v>
      </c>
      <c r="D2354" s="38">
        <v>40056</v>
      </c>
      <c r="E2354" s="38">
        <v>40057</v>
      </c>
      <c r="F2354" s="39">
        <v>155</v>
      </c>
      <c r="G2354" t="s">
        <v>21</v>
      </c>
      <c r="H2354" t="s">
        <v>21</v>
      </c>
      <c r="I2354">
        <v>0</v>
      </c>
      <c r="J2354">
        <v>0</v>
      </c>
      <c r="K2354">
        <v>0</v>
      </c>
      <c r="L2354">
        <v>1</v>
      </c>
      <c r="M2354">
        <v>0</v>
      </c>
      <c r="N2354" t="s">
        <v>193</v>
      </c>
      <c r="O2354" t="s">
        <v>213</v>
      </c>
      <c r="P2354" t="s">
        <v>204</v>
      </c>
      <c r="Q2354" t="s">
        <v>170</v>
      </c>
      <c r="R2354" t="s">
        <v>155</v>
      </c>
      <c r="S2354">
        <v>5</v>
      </c>
      <c r="T2354" t="s">
        <v>135</v>
      </c>
      <c r="U2354">
        <v>0</v>
      </c>
      <c r="V2354">
        <v>5</v>
      </c>
      <c r="W2354" t="s">
        <v>135</v>
      </c>
      <c r="X2354">
        <v>0</v>
      </c>
      <c r="Y2354" t="s">
        <v>140</v>
      </c>
      <c r="Z2354" t="s">
        <v>178</v>
      </c>
      <c r="AA2354" t="s">
        <v>142</v>
      </c>
      <c r="AB2354" t="s">
        <v>163</v>
      </c>
      <c r="AC2354" t="s">
        <v>173</v>
      </c>
      <c r="AD2354" t="s">
        <v>155</v>
      </c>
      <c r="AE2354" t="s">
        <v>454</v>
      </c>
      <c r="AF2354" t="s">
        <v>21</v>
      </c>
    </row>
    <row r="2355" spans="1:32">
      <c r="A2355" t="s">
        <v>3380</v>
      </c>
      <c r="B2355" s="37">
        <v>39914</v>
      </c>
      <c r="C2355" s="38">
        <v>39914</v>
      </c>
      <c r="D2355" s="38">
        <v>39909</v>
      </c>
      <c r="E2355" s="38">
        <v>39904</v>
      </c>
      <c r="F2355" s="39">
        <v>9</v>
      </c>
      <c r="G2355" t="s">
        <v>21</v>
      </c>
      <c r="H2355" t="s">
        <v>21</v>
      </c>
      <c r="I2355">
        <v>0</v>
      </c>
      <c r="J2355">
        <v>0</v>
      </c>
      <c r="K2355">
        <v>0</v>
      </c>
      <c r="L2355">
        <v>1</v>
      </c>
      <c r="M2355">
        <v>0</v>
      </c>
      <c r="N2355" t="s">
        <v>198</v>
      </c>
      <c r="O2355" t="s">
        <v>213</v>
      </c>
      <c r="P2355" t="s">
        <v>208</v>
      </c>
      <c r="Q2355" t="s">
        <v>170</v>
      </c>
      <c r="R2355" t="s">
        <v>155</v>
      </c>
      <c r="T2355" t="s">
        <v>134</v>
      </c>
      <c r="U2355">
        <v>1</v>
      </c>
      <c r="W2355" t="s">
        <v>134</v>
      </c>
      <c r="X2355">
        <v>1</v>
      </c>
      <c r="Y2355" t="s">
        <v>139</v>
      </c>
      <c r="Z2355" t="s">
        <v>178</v>
      </c>
      <c r="AA2355" t="s">
        <v>149</v>
      </c>
      <c r="AB2355" t="s">
        <v>162</v>
      </c>
      <c r="AC2355" t="s">
        <v>175</v>
      </c>
      <c r="AD2355" t="s">
        <v>155</v>
      </c>
      <c r="AE2355" t="s">
        <v>387</v>
      </c>
      <c r="AF2355" t="s">
        <v>21</v>
      </c>
    </row>
    <row r="2356" spans="1:32">
      <c r="A2356" t="s">
        <v>3381</v>
      </c>
      <c r="B2356" s="37">
        <v>40058</v>
      </c>
      <c r="C2356" s="38">
        <v>40058</v>
      </c>
      <c r="D2356" s="38">
        <v>40056</v>
      </c>
      <c r="E2356" s="38">
        <v>40057</v>
      </c>
      <c r="F2356" s="39">
        <v>153</v>
      </c>
      <c r="G2356" t="s">
        <v>21</v>
      </c>
      <c r="H2356" t="s">
        <v>21</v>
      </c>
      <c r="I2356">
        <v>0</v>
      </c>
      <c r="J2356">
        <v>0</v>
      </c>
      <c r="K2356">
        <v>0</v>
      </c>
      <c r="L2356">
        <v>1</v>
      </c>
      <c r="M2356">
        <v>0</v>
      </c>
      <c r="N2356" t="s">
        <v>193</v>
      </c>
      <c r="O2356" t="s">
        <v>213</v>
      </c>
      <c r="P2356" t="s">
        <v>204</v>
      </c>
      <c r="Q2356" t="s">
        <v>170</v>
      </c>
      <c r="R2356" t="s">
        <v>155</v>
      </c>
      <c r="S2356">
        <v>5</v>
      </c>
      <c r="T2356" t="s">
        <v>135</v>
      </c>
      <c r="U2356">
        <v>0</v>
      </c>
      <c r="V2356">
        <v>2</v>
      </c>
      <c r="W2356" t="s">
        <v>136</v>
      </c>
      <c r="X2356">
        <v>0</v>
      </c>
      <c r="Y2356" t="s">
        <v>140</v>
      </c>
      <c r="Z2356" t="s">
        <v>178</v>
      </c>
      <c r="AA2356" t="s">
        <v>143</v>
      </c>
      <c r="AB2356" t="s">
        <v>162</v>
      </c>
      <c r="AC2356" t="s">
        <v>863</v>
      </c>
      <c r="AD2356" t="s">
        <v>155</v>
      </c>
      <c r="AE2356" t="s">
        <v>129</v>
      </c>
      <c r="AF2356" t="s">
        <v>21</v>
      </c>
    </row>
    <row r="2357" spans="1:32">
      <c r="A2357" t="s">
        <v>3382</v>
      </c>
      <c r="B2357" s="37">
        <v>40067</v>
      </c>
      <c r="C2357" s="38">
        <v>40067</v>
      </c>
      <c r="D2357" s="38">
        <v>40063</v>
      </c>
      <c r="E2357" s="38">
        <v>40057</v>
      </c>
      <c r="F2357" s="39">
        <v>162</v>
      </c>
      <c r="G2357" t="s">
        <v>21</v>
      </c>
      <c r="H2357" t="s">
        <v>21</v>
      </c>
      <c r="I2357">
        <v>0</v>
      </c>
      <c r="J2357">
        <v>0</v>
      </c>
      <c r="K2357">
        <v>0</v>
      </c>
      <c r="L2357">
        <v>1</v>
      </c>
      <c r="M2357">
        <v>0</v>
      </c>
      <c r="N2357" t="s">
        <v>195</v>
      </c>
      <c r="O2357" t="s">
        <v>213</v>
      </c>
      <c r="P2357" t="s">
        <v>206</v>
      </c>
      <c r="Q2357" t="s">
        <v>170</v>
      </c>
      <c r="R2357" t="s">
        <v>155</v>
      </c>
      <c r="S2357">
        <v>5</v>
      </c>
      <c r="T2357" t="s">
        <v>135</v>
      </c>
      <c r="U2357">
        <v>0</v>
      </c>
      <c r="V2357">
        <v>5</v>
      </c>
      <c r="W2357" t="s">
        <v>135</v>
      </c>
      <c r="X2357">
        <v>0</v>
      </c>
      <c r="Y2357" t="s">
        <v>139</v>
      </c>
      <c r="Z2357" t="s">
        <v>180</v>
      </c>
      <c r="AA2357" t="s">
        <v>148</v>
      </c>
      <c r="AB2357" t="s">
        <v>162</v>
      </c>
      <c r="AC2357" t="s">
        <v>2900</v>
      </c>
      <c r="AD2357" t="s">
        <v>157</v>
      </c>
      <c r="AE2357" t="s">
        <v>127</v>
      </c>
      <c r="AF2357" t="s">
        <v>153</v>
      </c>
    </row>
    <row r="2358" spans="1:32">
      <c r="A2358" t="s">
        <v>3383</v>
      </c>
      <c r="B2358" s="37">
        <v>39930</v>
      </c>
      <c r="C2358" s="38">
        <v>39930</v>
      </c>
      <c r="D2358" s="38">
        <v>39930</v>
      </c>
      <c r="E2358" s="38">
        <v>39904</v>
      </c>
      <c r="F2358" s="39">
        <v>25</v>
      </c>
      <c r="G2358" t="s">
        <v>525</v>
      </c>
      <c r="H2358" t="s">
        <v>17</v>
      </c>
      <c r="I2358">
        <v>0</v>
      </c>
      <c r="J2358">
        <v>0</v>
      </c>
      <c r="K2358">
        <v>1</v>
      </c>
      <c r="L2358">
        <v>0</v>
      </c>
      <c r="M2358">
        <v>0</v>
      </c>
      <c r="N2358" t="s">
        <v>193</v>
      </c>
      <c r="O2358" t="s">
        <v>213</v>
      </c>
      <c r="P2358" t="s">
        <v>204</v>
      </c>
      <c r="Q2358" t="s">
        <v>170</v>
      </c>
      <c r="R2358" t="s">
        <v>155</v>
      </c>
      <c r="T2358" t="s">
        <v>134</v>
      </c>
      <c r="U2358">
        <v>1</v>
      </c>
      <c r="W2358" t="s">
        <v>134</v>
      </c>
      <c r="X2358">
        <v>1</v>
      </c>
      <c r="Y2358" t="s">
        <v>140</v>
      </c>
      <c r="Z2358" t="s">
        <v>183</v>
      </c>
      <c r="AA2358" t="s">
        <v>149</v>
      </c>
      <c r="AB2358" t="s">
        <v>162</v>
      </c>
      <c r="AC2358" t="s">
        <v>175</v>
      </c>
      <c r="AD2358" t="s">
        <v>125</v>
      </c>
      <c r="AE2358" t="s">
        <v>751</v>
      </c>
      <c r="AF2358" t="s">
        <v>3384</v>
      </c>
    </row>
    <row r="2359" spans="1:32">
      <c r="A2359" t="s">
        <v>3385</v>
      </c>
      <c r="B2359" s="37">
        <v>40079</v>
      </c>
      <c r="C2359" s="38">
        <v>40079</v>
      </c>
      <c r="D2359" s="38">
        <v>40077</v>
      </c>
      <c r="E2359" s="38">
        <v>40057</v>
      </c>
      <c r="F2359" s="39">
        <v>174</v>
      </c>
      <c r="G2359" t="s">
        <v>21</v>
      </c>
      <c r="H2359" t="s">
        <v>21</v>
      </c>
      <c r="I2359">
        <v>0</v>
      </c>
      <c r="J2359">
        <v>0</v>
      </c>
      <c r="K2359">
        <v>0</v>
      </c>
      <c r="L2359">
        <v>1</v>
      </c>
      <c r="M2359">
        <v>0</v>
      </c>
      <c r="N2359" t="s">
        <v>193</v>
      </c>
      <c r="O2359" t="s">
        <v>213</v>
      </c>
      <c r="P2359" t="s">
        <v>204</v>
      </c>
      <c r="Q2359" t="s">
        <v>170</v>
      </c>
      <c r="R2359" t="s">
        <v>155</v>
      </c>
      <c r="S2359">
        <v>5</v>
      </c>
      <c r="T2359" t="s">
        <v>135</v>
      </c>
      <c r="U2359">
        <v>0</v>
      </c>
      <c r="V2359">
        <v>5</v>
      </c>
      <c r="W2359" t="s">
        <v>135</v>
      </c>
      <c r="X2359">
        <v>0</v>
      </c>
      <c r="Y2359" t="s">
        <v>140</v>
      </c>
      <c r="Z2359" t="s">
        <v>191</v>
      </c>
      <c r="AA2359" t="s">
        <v>142</v>
      </c>
      <c r="AB2359" t="s">
        <v>162</v>
      </c>
      <c r="AC2359" t="s">
        <v>459</v>
      </c>
      <c r="AD2359" t="s">
        <v>155</v>
      </c>
      <c r="AE2359" t="s">
        <v>129</v>
      </c>
      <c r="AF2359" t="s">
        <v>21</v>
      </c>
    </row>
    <row r="2360" spans="1:32">
      <c r="A2360" t="s">
        <v>3386</v>
      </c>
      <c r="B2360" s="37">
        <v>40043</v>
      </c>
      <c r="C2360" s="38">
        <v>40043</v>
      </c>
      <c r="D2360" s="38">
        <v>40042</v>
      </c>
      <c r="E2360" s="38">
        <v>40026</v>
      </c>
      <c r="F2360" s="39">
        <v>138</v>
      </c>
      <c r="G2360" t="s">
        <v>21</v>
      </c>
      <c r="H2360" t="s">
        <v>21</v>
      </c>
      <c r="I2360">
        <v>0</v>
      </c>
      <c r="J2360">
        <v>0</v>
      </c>
      <c r="K2360">
        <v>0</v>
      </c>
      <c r="L2360">
        <v>1</v>
      </c>
      <c r="M2360">
        <v>0</v>
      </c>
      <c r="N2360" t="s">
        <v>193</v>
      </c>
      <c r="O2360" t="s">
        <v>213</v>
      </c>
      <c r="P2360" t="s">
        <v>204</v>
      </c>
      <c r="Q2360" t="s">
        <v>170</v>
      </c>
      <c r="R2360" t="s">
        <v>155</v>
      </c>
      <c r="S2360">
        <v>5</v>
      </c>
      <c r="T2360" t="s">
        <v>135</v>
      </c>
      <c r="U2360">
        <v>0</v>
      </c>
      <c r="V2360">
        <v>3</v>
      </c>
      <c r="W2360" t="s">
        <v>137</v>
      </c>
      <c r="X2360">
        <v>0</v>
      </c>
      <c r="Y2360" t="s">
        <v>140</v>
      </c>
      <c r="Z2360" t="s">
        <v>183</v>
      </c>
      <c r="AA2360" t="s">
        <v>143</v>
      </c>
      <c r="AB2360" t="s">
        <v>163</v>
      </c>
      <c r="AC2360" t="s">
        <v>173</v>
      </c>
      <c r="AD2360" t="s">
        <v>155</v>
      </c>
      <c r="AE2360" t="s">
        <v>125</v>
      </c>
      <c r="AF2360" t="s">
        <v>21</v>
      </c>
    </row>
    <row r="2361" spans="1:32">
      <c r="A2361" t="s">
        <v>3387</v>
      </c>
      <c r="B2361" s="37">
        <v>39955</v>
      </c>
      <c r="C2361" s="38">
        <v>39955</v>
      </c>
      <c r="D2361" s="38">
        <v>39951</v>
      </c>
      <c r="E2361" s="38">
        <v>39934</v>
      </c>
      <c r="F2361" s="39">
        <v>50</v>
      </c>
      <c r="G2361" t="s">
        <v>21</v>
      </c>
      <c r="H2361" t="s">
        <v>21</v>
      </c>
      <c r="I2361">
        <v>0</v>
      </c>
      <c r="J2361">
        <v>0</v>
      </c>
      <c r="K2361">
        <v>0</v>
      </c>
      <c r="L2361">
        <v>1</v>
      </c>
      <c r="M2361">
        <v>0</v>
      </c>
      <c r="N2361" t="s">
        <v>193</v>
      </c>
      <c r="O2361" t="s">
        <v>213</v>
      </c>
      <c r="P2361" t="s">
        <v>204</v>
      </c>
      <c r="Q2361" t="s">
        <v>170</v>
      </c>
      <c r="R2361" t="s">
        <v>155</v>
      </c>
      <c r="T2361" t="s">
        <v>134</v>
      </c>
      <c r="U2361">
        <v>1</v>
      </c>
      <c r="W2361" t="s">
        <v>134</v>
      </c>
      <c r="X2361">
        <v>1</v>
      </c>
      <c r="Y2361" t="s">
        <v>140</v>
      </c>
      <c r="Z2361" t="s">
        <v>191</v>
      </c>
      <c r="AA2361" t="s">
        <v>144</v>
      </c>
      <c r="AB2361" t="s">
        <v>162</v>
      </c>
      <c r="AC2361" t="s">
        <v>174</v>
      </c>
      <c r="AD2361" t="s">
        <v>157</v>
      </c>
      <c r="AE2361" t="s">
        <v>646</v>
      </c>
      <c r="AF2361" t="s">
        <v>3388</v>
      </c>
    </row>
    <row r="2362" spans="1:32">
      <c r="A2362" t="s">
        <v>3389</v>
      </c>
      <c r="B2362" s="37">
        <v>39937</v>
      </c>
      <c r="C2362" s="38">
        <v>39937</v>
      </c>
      <c r="D2362" s="38">
        <v>39937</v>
      </c>
      <c r="E2362" s="38">
        <v>39934</v>
      </c>
      <c r="F2362" s="39">
        <v>32</v>
      </c>
      <c r="G2362" t="s">
        <v>380</v>
      </c>
      <c r="H2362" t="s">
        <v>17</v>
      </c>
      <c r="I2362">
        <v>0</v>
      </c>
      <c r="J2362">
        <v>0</v>
      </c>
      <c r="K2362">
        <v>1</v>
      </c>
      <c r="L2362">
        <v>0</v>
      </c>
      <c r="M2362">
        <v>0</v>
      </c>
      <c r="N2362" t="s">
        <v>193</v>
      </c>
      <c r="O2362" t="s">
        <v>213</v>
      </c>
      <c r="P2362" t="s">
        <v>204</v>
      </c>
      <c r="Q2362" t="s">
        <v>170</v>
      </c>
      <c r="R2362" t="s">
        <v>155</v>
      </c>
      <c r="T2362" t="s">
        <v>134</v>
      </c>
      <c r="U2362">
        <v>1</v>
      </c>
      <c r="W2362" t="s">
        <v>134</v>
      </c>
      <c r="X2362">
        <v>1</v>
      </c>
      <c r="Y2362" t="s">
        <v>140</v>
      </c>
      <c r="Z2362" t="s">
        <v>182</v>
      </c>
      <c r="AA2362" t="s">
        <v>147</v>
      </c>
      <c r="AB2362" t="s">
        <v>163</v>
      </c>
      <c r="AC2362" t="s">
        <v>173</v>
      </c>
      <c r="AD2362" t="s">
        <v>155</v>
      </c>
      <c r="AE2362" t="s">
        <v>830</v>
      </c>
      <c r="AF2362" t="s">
        <v>21</v>
      </c>
    </row>
    <row r="2363" spans="1:32">
      <c r="A2363" t="s">
        <v>3390</v>
      </c>
      <c r="B2363" s="37">
        <v>40006</v>
      </c>
      <c r="C2363" s="38">
        <v>40006</v>
      </c>
      <c r="D2363" s="38">
        <v>40000</v>
      </c>
      <c r="E2363" s="38">
        <v>39995</v>
      </c>
      <c r="F2363" s="39">
        <v>101</v>
      </c>
      <c r="G2363" t="s">
        <v>21</v>
      </c>
      <c r="H2363" t="s">
        <v>21</v>
      </c>
      <c r="I2363">
        <v>0</v>
      </c>
      <c r="J2363">
        <v>0</v>
      </c>
      <c r="K2363">
        <v>0</v>
      </c>
      <c r="L2363">
        <v>1</v>
      </c>
      <c r="M2363">
        <v>0</v>
      </c>
      <c r="N2363" t="s">
        <v>194</v>
      </c>
      <c r="O2363" t="s">
        <v>213</v>
      </c>
      <c r="P2363" t="s">
        <v>205</v>
      </c>
      <c r="Q2363" t="s">
        <v>170</v>
      </c>
      <c r="R2363" t="s">
        <v>155</v>
      </c>
      <c r="S2363">
        <v>5</v>
      </c>
      <c r="T2363" t="s">
        <v>135</v>
      </c>
      <c r="U2363">
        <v>0</v>
      </c>
      <c r="V2363">
        <v>5</v>
      </c>
      <c r="W2363" t="s">
        <v>135</v>
      </c>
      <c r="X2363">
        <v>0</v>
      </c>
      <c r="Y2363" t="s">
        <v>139</v>
      </c>
      <c r="Z2363" t="s">
        <v>182</v>
      </c>
      <c r="AA2363" t="s">
        <v>142</v>
      </c>
      <c r="AB2363" t="s">
        <v>162</v>
      </c>
      <c r="AC2363" t="s">
        <v>174</v>
      </c>
      <c r="AD2363" t="s">
        <v>156</v>
      </c>
      <c r="AE2363" t="s">
        <v>120</v>
      </c>
      <c r="AF2363" t="s">
        <v>995</v>
      </c>
    </row>
    <row r="2364" spans="1:32">
      <c r="A2364" t="s">
        <v>3391</v>
      </c>
      <c r="B2364" s="37">
        <v>39928</v>
      </c>
      <c r="C2364" s="38">
        <v>39928</v>
      </c>
      <c r="D2364" s="38">
        <v>39923</v>
      </c>
      <c r="E2364" s="38">
        <v>39904</v>
      </c>
      <c r="F2364" s="39">
        <v>23</v>
      </c>
      <c r="G2364" t="s">
        <v>380</v>
      </c>
      <c r="H2364" t="s">
        <v>17</v>
      </c>
      <c r="I2364">
        <v>0</v>
      </c>
      <c r="J2364">
        <v>0</v>
      </c>
      <c r="K2364">
        <v>1</v>
      </c>
      <c r="L2364">
        <v>0</v>
      </c>
      <c r="M2364">
        <v>0</v>
      </c>
      <c r="N2364" t="s">
        <v>200</v>
      </c>
      <c r="O2364" t="s">
        <v>214</v>
      </c>
      <c r="P2364" t="s">
        <v>208</v>
      </c>
      <c r="Q2364" t="s">
        <v>170</v>
      </c>
      <c r="R2364" t="s">
        <v>155</v>
      </c>
      <c r="T2364" t="s">
        <v>134</v>
      </c>
      <c r="U2364">
        <v>1</v>
      </c>
      <c r="W2364" t="s">
        <v>134</v>
      </c>
      <c r="X2364">
        <v>1</v>
      </c>
      <c r="Y2364" t="s">
        <v>139</v>
      </c>
      <c r="Z2364" t="s">
        <v>179</v>
      </c>
      <c r="AA2364" t="s">
        <v>145</v>
      </c>
      <c r="AB2364" t="s">
        <v>162</v>
      </c>
      <c r="AC2364" t="s">
        <v>174</v>
      </c>
      <c r="AD2364" t="s">
        <v>156</v>
      </c>
      <c r="AE2364" t="s">
        <v>120</v>
      </c>
      <c r="AF2364" t="s">
        <v>832</v>
      </c>
    </row>
    <row r="2365" spans="1:32">
      <c r="A2365" t="s">
        <v>3392</v>
      </c>
      <c r="B2365" s="37">
        <v>40041</v>
      </c>
      <c r="C2365" s="38">
        <v>40041</v>
      </c>
      <c r="D2365" s="38">
        <v>40035</v>
      </c>
      <c r="E2365" s="38">
        <v>40026</v>
      </c>
      <c r="F2365" s="39">
        <v>136</v>
      </c>
      <c r="G2365" t="s">
        <v>383</v>
      </c>
      <c r="H2365" t="s">
        <v>17</v>
      </c>
      <c r="I2365">
        <v>0</v>
      </c>
      <c r="J2365">
        <v>0</v>
      </c>
      <c r="K2365">
        <v>1</v>
      </c>
      <c r="L2365">
        <v>0</v>
      </c>
      <c r="M2365">
        <v>0</v>
      </c>
      <c r="N2365" t="s">
        <v>193</v>
      </c>
      <c r="O2365" t="s">
        <v>213</v>
      </c>
      <c r="P2365" t="s">
        <v>204</v>
      </c>
      <c r="Q2365" t="s">
        <v>170</v>
      </c>
      <c r="R2365" t="s">
        <v>155</v>
      </c>
      <c r="S2365">
        <v>1</v>
      </c>
      <c r="T2365" t="s">
        <v>136</v>
      </c>
      <c r="U2365">
        <v>0</v>
      </c>
      <c r="V2365">
        <v>3</v>
      </c>
      <c r="W2365" t="s">
        <v>137</v>
      </c>
      <c r="X2365">
        <v>0</v>
      </c>
      <c r="Y2365" t="s">
        <v>140</v>
      </c>
      <c r="Z2365" t="s">
        <v>179</v>
      </c>
      <c r="AA2365" t="s">
        <v>148</v>
      </c>
      <c r="AB2365" t="s">
        <v>162</v>
      </c>
      <c r="AC2365" t="s">
        <v>174</v>
      </c>
      <c r="AD2365" t="s">
        <v>157</v>
      </c>
      <c r="AE2365" t="s">
        <v>434</v>
      </c>
      <c r="AF2365" t="s">
        <v>435</v>
      </c>
    </row>
    <row r="2366" spans="1:32">
      <c r="A2366" t="s">
        <v>3393</v>
      </c>
      <c r="B2366" s="37">
        <v>39964</v>
      </c>
      <c r="C2366" s="38">
        <v>39964</v>
      </c>
      <c r="D2366" s="38">
        <v>39958</v>
      </c>
      <c r="E2366" s="38">
        <v>39934</v>
      </c>
      <c r="F2366" s="39">
        <v>59</v>
      </c>
      <c r="G2366" t="s">
        <v>21</v>
      </c>
      <c r="H2366" t="s">
        <v>21</v>
      </c>
      <c r="I2366">
        <v>0</v>
      </c>
      <c r="J2366">
        <v>0</v>
      </c>
      <c r="K2366">
        <v>0</v>
      </c>
      <c r="L2366">
        <v>1</v>
      </c>
      <c r="M2366">
        <v>0</v>
      </c>
      <c r="N2366" t="s">
        <v>193</v>
      </c>
      <c r="O2366" t="s">
        <v>213</v>
      </c>
      <c r="P2366" t="s">
        <v>204</v>
      </c>
      <c r="Q2366" t="s">
        <v>170</v>
      </c>
      <c r="R2366" t="s">
        <v>155</v>
      </c>
      <c r="T2366" t="s">
        <v>134</v>
      </c>
      <c r="U2366">
        <v>1</v>
      </c>
      <c r="W2366" t="s">
        <v>134</v>
      </c>
      <c r="X2366">
        <v>1</v>
      </c>
      <c r="Y2366" t="s">
        <v>140</v>
      </c>
      <c r="Z2366" t="s">
        <v>182</v>
      </c>
      <c r="AA2366" t="s">
        <v>144</v>
      </c>
      <c r="AB2366" t="s">
        <v>162</v>
      </c>
      <c r="AC2366" t="s">
        <v>175</v>
      </c>
      <c r="AD2366" t="s">
        <v>155</v>
      </c>
      <c r="AE2366" t="s">
        <v>129</v>
      </c>
      <c r="AF2366" t="s">
        <v>21</v>
      </c>
    </row>
    <row r="2367" spans="1:32">
      <c r="A2367" t="s">
        <v>3394</v>
      </c>
      <c r="B2367" s="37">
        <v>40026</v>
      </c>
      <c r="C2367" s="38">
        <v>40026</v>
      </c>
      <c r="D2367" s="38">
        <v>40021</v>
      </c>
      <c r="E2367" s="38">
        <v>40026</v>
      </c>
      <c r="F2367" s="39">
        <v>121</v>
      </c>
      <c r="G2367" t="s">
        <v>21</v>
      </c>
      <c r="H2367" t="s">
        <v>21</v>
      </c>
      <c r="I2367">
        <v>0</v>
      </c>
      <c r="J2367">
        <v>0</v>
      </c>
      <c r="K2367">
        <v>0</v>
      </c>
      <c r="L2367">
        <v>1</v>
      </c>
      <c r="M2367">
        <v>0</v>
      </c>
      <c r="N2367" t="s">
        <v>197</v>
      </c>
      <c r="O2367" t="s">
        <v>213</v>
      </c>
      <c r="P2367" t="s">
        <v>209</v>
      </c>
      <c r="Q2367" t="s">
        <v>170</v>
      </c>
      <c r="R2367" t="s">
        <v>155</v>
      </c>
      <c r="S2367">
        <v>5</v>
      </c>
      <c r="T2367" t="s">
        <v>135</v>
      </c>
      <c r="U2367">
        <v>0</v>
      </c>
      <c r="V2367">
        <v>5</v>
      </c>
      <c r="W2367" t="s">
        <v>135</v>
      </c>
      <c r="X2367">
        <v>0</v>
      </c>
      <c r="Y2367" t="s">
        <v>139</v>
      </c>
      <c r="Z2367" t="s">
        <v>180</v>
      </c>
      <c r="AA2367" t="s">
        <v>142</v>
      </c>
      <c r="AB2367" t="s">
        <v>162</v>
      </c>
      <c r="AC2367" t="s">
        <v>175</v>
      </c>
      <c r="AD2367" t="s">
        <v>155</v>
      </c>
      <c r="AE2367" t="s">
        <v>454</v>
      </c>
      <c r="AF2367" t="s">
        <v>21</v>
      </c>
    </row>
    <row r="2368" spans="1:32">
      <c r="A2368" t="s">
        <v>3395</v>
      </c>
      <c r="B2368" s="37">
        <v>40076</v>
      </c>
      <c r="C2368" s="38">
        <v>40076</v>
      </c>
      <c r="D2368" s="38">
        <v>40070</v>
      </c>
      <c r="E2368" s="38">
        <v>40057</v>
      </c>
      <c r="F2368" s="39">
        <v>171</v>
      </c>
      <c r="G2368" t="s">
        <v>21</v>
      </c>
      <c r="H2368" t="s">
        <v>21</v>
      </c>
      <c r="I2368">
        <v>0</v>
      </c>
      <c r="J2368">
        <v>0</v>
      </c>
      <c r="K2368">
        <v>0</v>
      </c>
      <c r="L2368">
        <v>1</v>
      </c>
      <c r="M2368">
        <v>0</v>
      </c>
      <c r="N2368" t="s">
        <v>196</v>
      </c>
      <c r="O2368" t="s">
        <v>213</v>
      </c>
      <c r="P2368" t="s">
        <v>207</v>
      </c>
      <c r="Q2368" t="s">
        <v>170</v>
      </c>
      <c r="R2368" t="s">
        <v>155</v>
      </c>
      <c r="S2368">
        <v>1</v>
      </c>
      <c r="T2368" t="s">
        <v>136</v>
      </c>
      <c r="U2368">
        <v>0</v>
      </c>
      <c r="V2368">
        <v>3</v>
      </c>
      <c r="W2368" t="s">
        <v>137</v>
      </c>
      <c r="X2368">
        <v>0</v>
      </c>
      <c r="Y2368" t="s">
        <v>139</v>
      </c>
      <c r="Z2368" t="s">
        <v>178</v>
      </c>
      <c r="AA2368" t="s">
        <v>150</v>
      </c>
      <c r="AB2368" t="s">
        <v>162</v>
      </c>
      <c r="AC2368" t="s">
        <v>175</v>
      </c>
      <c r="AD2368" t="s">
        <v>125</v>
      </c>
      <c r="AE2368" t="s">
        <v>628</v>
      </c>
      <c r="AF2368" t="s">
        <v>3396</v>
      </c>
    </row>
    <row r="2369" spans="1:32">
      <c r="A2369" t="s">
        <v>3397</v>
      </c>
      <c r="B2369" s="37">
        <v>40007</v>
      </c>
      <c r="C2369" s="38">
        <v>40007</v>
      </c>
      <c r="D2369" s="38">
        <v>40007</v>
      </c>
      <c r="E2369" s="38">
        <v>39995</v>
      </c>
      <c r="F2369" s="39">
        <v>102</v>
      </c>
      <c r="G2369" t="s">
        <v>21</v>
      </c>
      <c r="H2369" t="s">
        <v>21</v>
      </c>
      <c r="I2369">
        <v>0</v>
      </c>
      <c r="J2369">
        <v>0</v>
      </c>
      <c r="K2369">
        <v>0</v>
      </c>
      <c r="L2369">
        <v>1</v>
      </c>
      <c r="M2369">
        <v>0</v>
      </c>
      <c r="N2369" t="s">
        <v>193</v>
      </c>
      <c r="O2369" t="s">
        <v>213</v>
      </c>
      <c r="P2369" t="s">
        <v>204</v>
      </c>
      <c r="Q2369" t="s">
        <v>170</v>
      </c>
      <c r="R2369" t="s">
        <v>155</v>
      </c>
      <c r="S2369">
        <v>1</v>
      </c>
      <c r="T2369" t="s">
        <v>136</v>
      </c>
      <c r="U2369">
        <v>0</v>
      </c>
      <c r="V2369">
        <v>5</v>
      </c>
      <c r="W2369" t="s">
        <v>135</v>
      </c>
      <c r="X2369">
        <v>0</v>
      </c>
      <c r="Y2369" t="s">
        <v>140</v>
      </c>
      <c r="Z2369" t="s">
        <v>188</v>
      </c>
      <c r="AA2369" t="s">
        <v>151</v>
      </c>
      <c r="AB2369" t="s">
        <v>162</v>
      </c>
      <c r="AC2369" t="s">
        <v>174</v>
      </c>
      <c r="AD2369" t="s">
        <v>156</v>
      </c>
      <c r="AE2369" t="s">
        <v>120</v>
      </c>
      <c r="AF2369" t="s">
        <v>3398</v>
      </c>
    </row>
    <row r="2370" spans="1:32">
      <c r="A2370" t="s">
        <v>3399</v>
      </c>
      <c r="B2370" s="37">
        <v>39923</v>
      </c>
      <c r="C2370" s="38">
        <v>39923</v>
      </c>
      <c r="D2370" s="38">
        <v>39923</v>
      </c>
      <c r="E2370" s="38">
        <v>39904</v>
      </c>
      <c r="F2370" s="39">
        <v>18</v>
      </c>
      <c r="G2370" t="s">
        <v>21</v>
      </c>
      <c r="H2370" t="s">
        <v>21</v>
      </c>
      <c r="I2370">
        <v>0</v>
      </c>
      <c r="J2370">
        <v>0</v>
      </c>
      <c r="K2370">
        <v>0</v>
      </c>
      <c r="L2370">
        <v>1</v>
      </c>
      <c r="M2370">
        <v>0</v>
      </c>
      <c r="N2370" t="s">
        <v>199</v>
      </c>
      <c r="O2370" t="s">
        <v>213</v>
      </c>
      <c r="P2370" t="s">
        <v>210</v>
      </c>
      <c r="Q2370" t="s">
        <v>170</v>
      </c>
      <c r="R2370" t="s">
        <v>155</v>
      </c>
      <c r="T2370" t="s">
        <v>134</v>
      </c>
      <c r="U2370">
        <v>1</v>
      </c>
      <c r="W2370" t="s">
        <v>134</v>
      </c>
      <c r="X2370">
        <v>1</v>
      </c>
      <c r="Y2370" t="s">
        <v>139</v>
      </c>
      <c r="Z2370" t="s">
        <v>182</v>
      </c>
      <c r="AA2370" t="s">
        <v>145</v>
      </c>
      <c r="AB2370" t="s">
        <v>162</v>
      </c>
      <c r="AC2370" t="s">
        <v>550</v>
      </c>
      <c r="AD2370" t="s">
        <v>156</v>
      </c>
      <c r="AE2370" t="s">
        <v>120</v>
      </c>
      <c r="AF2370" t="s">
        <v>3400</v>
      </c>
    </row>
    <row r="2371" spans="1:32">
      <c r="A2371" t="s">
        <v>3401</v>
      </c>
      <c r="B2371" s="37">
        <v>40017</v>
      </c>
      <c r="C2371" s="38">
        <v>40017</v>
      </c>
      <c r="D2371" s="38">
        <v>40014</v>
      </c>
      <c r="E2371" s="38">
        <v>39995</v>
      </c>
      <c r="F2371" s="39">
        <v>112</v>
      </c>
      <c r="G2371" t="s">
        <v>21</v>
      </c>
      <c r="H2371" t="s">
        <v>21</v>
      </c>
      <c r="I2371">
        <v>0</v>
      </c>
      <c r="J2371">
        <v>0</v>
      </c>
      <c r="K2371">
        <v>0</v>
      </c>
      <c r="L2371">
        <v>1</v>
      </c>
      <c r="M2371">
        <v>0</v>
      </c>
      <c r="N2371" t="s">
        <v>195</v>
      </c>
      <c r="O2371" t="s">
        <v>213</v>
      </c>
      <c r="P2371" t="s">
        <v>206</v>
      </c>
      <c r="Q2371" t="s">
        <v>170</v>
      </c>
      <c r="R2371" t="s">
        <v>155</v>
      </c>
      <c r="S2371">
        <v>5</v>
      </c>
      <c r="T2371" t="s">
        <v>135</v>
      </c>
      <c r="U2371">
        <v>0</v>
      </c>
      <c r="V2371">
        <v>2</v>
      </c>
      <c r="W2371" t="s">
        <v>136</v>
      </c>
      <c r="X2371">
        <v>0</v>
      </c>
      <c r="Y2371" t="s">
        <v>139</v>
      </c>
      <c r="Z2371" t="s">
        <v>178</v>
      </c>
      <c r="AA2371" t="s">
        <v>149</v>
      </c>
      <c r="AB2371" t="s">
        <v>162</v>
      </c>
      <c r="AC2371" t="s">
        <v>174</v>
      </c>
      <c r="AD2371" t="s">
        <v>157</v>
      </c>
      <c r="AE2371" t="s">
        <v>1075</v>
      </c>
      <c r="AF2371" t="s">
        <v>3402</v>
      </c>
    </row>
    <row r="2372" spans="1:32">
      <c r="A2372" t="s">
        <v>3403</v>
      </c>
      <c r="B2372" s="37">
        <v>39929</v>
      </c>
      <c r="C2372" s="38">
        <v>39929</v>
      </c>
      <c r="D2372" s="38">
        <v>39923</v>
      </c>
      <c r="E2372" s="38">
        <v>39904</v>
      </c>
      <c r="F2372" s="39">
        <v>24</v>
      </c>
      <c r="G2372" t="s">
        <v>380</v>
      </c>
      <c r="H2372" t="s">
        <v>17</v>
      </c>
      <c r="I2372">
        <v>0</v>
      </c>
      <c r="J2372">
        <v>0</v>
      </c>
      <c r="K2372">
        <v>1</v>
      </c>
      <c r="L2372">
        <v>0</v>
      </c>
      <c r="M2372">
        <v>0</v>
      </c>
      <c r="N2372" t="s">
        <v>194</v>
      </c>
      <c r="O2372" t="s">
        <v>213</v>
      </c>
      <c r="P2372" t="s">
        <v>205</v>
      </c>
      <c r="Q2372" t="s">
        <v>170</v>
      </c>
      <c r="R2372" t="s">
        <v>155</v>
      </c>
      <c r="T2372" t="s">
        <v>134</v>
      </c>
      <c r="U2372">
        <v>1</v>
      </c>
      <c r="W2372" t="s">
        <v>134</v>
      </c>
      <c r="X2372">
        <v>1</v>
      </c>
      <c r="Y2372" t="s">
        <v>139</v>
      </c>
      <c r="Z2372" t="s">
        <v>188</v>
      </c>
      <c r="AA2372" t="s">
        <v>145</v>
      </c>
      <c r="AB2372" t="s">
        <v>162</v>
      </c>
      <c r="AC2372" t="s">
        <v>933</v>
      </c>
      <c r="AD2372" t="s">
        <v>159</v>
      </c>
      <c r="AE2372" t="s">
        <v>126</v>
      </c>
      <c r="AF2372" t="s">
        <v>601</v>
      </c>
    </row>
    <row r="2373" spans="1:32">
      <c r="A2373" t="s">
        <v>3404</v>
      </c>
      <c r="B2373" s="37">
        <v>40084</v>
      </c>
      <c r="C2373" s="38">
        <v>40084</v>
      </c>
      <c r="D2373" s="38">
        <v>40084</v>
      </c>
      <c r="E2373" s="38">
        <v>40057</v>
      </c>
      <c r="F2373" s="39">
        <v>179</v>
      </c>
      <c r="G2373" t="s">
        <v>21</v>
      </c>
      <c r="H2373" t="s">
        <v>21</v>
      </c>
      <c r="I2373">
        <v>0</v>
      </c>
      <c r="J2373">
        <v>0</v>
      </c>
      <c r="K2373">
        <v>0</v>
      </c>
      <c r="L2373">
        <v>1</v>
      </c>
      <c r="M2373">
        <v>0</v>
      </c>
      <c r="N2373" t="s">
        <v>193</v>
      </c>
      <c r="O2373" t="s">
        <v>213</v>
      </c>
      <c r="P2373" t="s">
        <v>204</v>
      </c>
      <c r="Q2373" t="s">
        <v>170</v>
      </c>
      <c r="R2373" t="s">
        <v>155</v>
      </c>
      <c r="S2373">
        <v>5</v>
      </c>
      <c r="T2373" t="s">
        <v>135</v>
      </c>
      <c r="U2373">
        <v>0</v>
      </c>
      <c r="V2373">
        <v>5</v>
      </c>
      <c r="W2373" t="s">
        <v>135</v>
      </c>
      <c r="X2373">
        <v>0</v>
      </c>
      <c r="Y2373" t="s">
        <v>140</v>
      </c>
      <c r="Z2373" t="s">
        <v>178</v>
      </c>
      <c r="AA2373" t="s">
        <v>148</v>
      </c>
      <c r="AB2373" t="s">
        <v>162</v>
      </c>
      <c r="AC2373" t="s">
        <v>21</v>
      </c>
      <c r="AD2373" t="s">
        <v>160</v>
      </c>
      <c r="AE2373" t="s">
        <v>484</v>
      </c>
      <c r="AF2373" t="s">
        <v>924</v>
      </c>
    </row>
    <row r="2374" spans="1:32">
      <c r="A2374" t="s">
        <v>3405</v>
      </c>
      <c r="B2374" s="37">
        <v>40041</v>
      </c>
      <c r="C2374" s="38">
        <v>40041</v>
      </c>
      <c r="D2374" s="38">
        <v>40035</v>
      </c>
      <c r="E2374" s="38">
        <v>40026</v>
      </c>
      <c r="F2374" s="39">
        <v>136</v>
      </c>
      <c r="G2374" t="s">
        <v>383</v>
      </c>
      <c r="H2374" t="s">
        <v>17</v>
      </c>
      <c r="I2374">
        <v>0</v>
      </c>
      <c r="J2374">
        <v>0</v>
      </c>
      <c r="K2374">
        <v>1</v>
      </c>
      <c r="L2374">
        <v>0</v>
      </c>
      <c r="M2374">
        <v>0</v>
      </c>
      <c r="N2374" t="s">
        <v>193</v>
      </c>
      <c r="O2374" t="s">
        <v>213</v>
      </c>
      <c r="P2374" t="s">
        <v>204</v>
      </c>
      <c r="Q2374" t="s">
        <v>170</v>
      </c>
      <c r="R2374" t="s">
        <v>155</v>
      </c>
      <c r="S2374">
        <v>5</v>
      </c>
      <c r="T2374" t="s">
        <v>135</v>
      </c>
      <c r="U2374">
        <v>0</v>
      </c>
      <c r="V2374">
        <v>2</v>
      </c>
      <c r="W2374" t="s">
        <v>136</v>
      </c>
      <c r="X2374">
        <v>0</v>
      </c>
      <c r="Y2374" t="s">
        <v>140</v>
      </c>
      <c r="Z2374" t="s">
        <v>184</v>
      </c>
      <c r="AA2374" t="s">
        <v>144</v>
      </c>
      <c r="AB2374" t="s">
        <v>165</v>
      </c>
      <c r="AC2374" t="s">
        <v>2169</v>
      </c>
      <c r="AD2374" t="s">
        <v>158</v>
      </c>
      <c r="AE2374" t="s">
        <v>122</v>
      </c>
      <c r="AF2374" t="s">
        <v>21</v>
      </c>
    </row>
    <row r="2375" spans="1:32">
      <c r="A2375" t="s">
        <v>3406</v>
      </c>
      <c r="B2375" s="37">
        <v>40073</v>
      </c>
      <c r="C2375" s="38">
        <v>40073</v>
      </c>
      <c r="D2375" s="38">
        <v>40070</v>
      </c>
      <c r="E2375" s="38">
        <v>40057</v>
      </c>
      <c r="F2375" s="39">
        <v>168</v>
      </c>
      <c r="G2375" t="s">
        <v>21</v>
      </c>
      <c r="H2375" t="s">
        <v>21</v>
      </c>
      <c r="I2375">
        <v>0</v>
      </c>
      <c r="J2375">
        <v>0</v>
      </c>
      <c r="K2375">
        <v>0</v>
      </c>
      <c r="L2375">
        <v>1</v>
      </c>
      <c r="M2375">
        <v>0</v>
      </c>
      <c r="N2375" t="s">
        <v>196</v>
      </c>
      <c r="O2375" t="s">
        <v>213</v>
      </c>
      <c r="P2375" t="s">
        <v>207</v>
      </c>
      <c r="Q2375" t="s">
        <v>170</v>
      </c>
      <c r="R2375" t="s">
        <v>155</v>
      </c>
      <c r="S2375">
        <v>5</v>
      </c>
      <c r="T2375" t="s">
        <v>135</v>
      </c>
      <c r="U2375">
        <v>0</v>
      </c>
      <c r="V2375">
        <v>5</v>
      </c>
      <c r="W2375" t="s">
        <v>135</v>
      </c>
      <c r="X2375">
        <v>0</v>
      </c>
      <c r="Y2375" t="s">
        <v>139</v>
      </c>
      <c r="Z2375" t="s">
        <v>182</v>
      </c>
      <c r="AA2375" t="s">
        <v>149</v>
      </c>
      <c r="AB2375" t="s">
        <v>163</v>
      </c>
      <c r="AC2375" t="s">
        <v>3407</v>
      </c>
      <c r="AD2375" t="s">
        <v>155</v>
      </c>
      <c r="AE2375" t="s">
        <v>128</v>
      </c>
      <c r="AF2375" t="s">
        <v>21</v>
      </c>
    </row>
    <row r="2376" spans="1:32">
      <c r="A2376" t="s">
        <v>3408</v>
      </c>
      <c r="B2376" s="37">
        <v>40013</v>
      </c>
      <c r="C2376" s="38">
        <v>40013</v>
      </c>
      <c r="D2376" s="38">
        <v>40007</v>
      </c>
      <c r="E2376" s="38">
        <v>39995</v>
      </c>
      <c r="F2376" s="39">
        <v>108</v>
      </c>
      <c r="G2376" t="s">
        <v>21</v>
      </c>
      <c r="H2376" t="s">
        <v>21</v>
      </c>
      <c r="I2376">
        <v>0</v>
      </c>
      <c r="J2376">
        <v>0</v>
      </c>
      <c r="K2376">
        <v>0</v>
      </c>
      <c r="L2376">
        <v>1</v>
      </c>
      <c r="M2376">
        <v>0</v>
      </c>
      <c r="N2376" t="s">
        <v>193</v>
      </c>
      <c r="O2376" t="s">
        <v>213</v>
      </c>
      <c r="P2376" t="s">
        <v>204</v>
      </c>
      <c r="Q2376" t="s">
        <v>170</v>
      </c>
      <c r="R2376" t="s">
        <v>155</v>
      </c>
      <c r="S2376">
        <v>5</v>
      </c>
      <c r="T2376" t="s">
        <v>135</v>
      </c>
      <c r="U2376">
        <v>0</v>
      </c>
      <c r="V2376">
        <v>3</v>
      </c>
      <c r="W2376" t="s">
        <v>137</v>
      </c>
      <c r="X2376">
        <v>0</v>
      </c>
      <c r="Y2376" t="s">
        <v>140</v>
      </c>
      <c r="Z2376" t="s">
        <v>178</v>
      </c>
      <c r="AA2376" t="s">
        <v>142</v>
      </c>
      <c r="AB2376" t="s">
        <v>162</v>
      </c>
      <c r="AC2376" t="s">
        <v>3409</v>
      </c>
      <c r="AD2376" t="s">
        <v>155</v>
      </c>
      <c r="AE2376" t="s">
        <v>130</v>
      </c>
      <c r="AF2376" t="s">
        <v>21</v>
      </c>
    </row>
    <row r="2377" spans="1:32">
      <c r="A2377" t="s">
        <v>3410</v>
      </c>
      <c r="B2377" s="37">
        <v>40026</v>
      </c>
      <c r="C2377" s="38">
        <v>40026</v>
      </c>
      <c r="D2377" s="38">
        <v>40021</v>
      </c>
      <c r="E2377" s="38">
        <v>40026</v>
      </c>
      <c r="F2377" s="39">
        <v>121</v>
      </c>
      <c r="G2377" t="s">
        <v>21</v>
      </c>
      <c r="H2377" t="s">
        <v>21</v>
      </c>
      <c r="I2377">
        <v>0</v>
      </c>
      <c r="J2377">
        <v>0</v>
      </c>
      <c r="K2377">
        <v>0</v>
      </c>
      <c r="L2377">
        <v>1</v>
      </c>
      <c r="M2377">
        <v>0</v>
      </c>
      <c r="N2377" t="s">
        <v>193</v>
      </c>
      <c r="O2377" t="s">
        <v>213</v>
      </c>
      <c r="P2377" t="s">
        <v>204</v>
      </c>
      <c r="Q2377" t="s">
        <v>170</v>
      </c>
      <c r="R2377" t="s">
        <v>155</v>
      </c>
      <c r="S2377">
        <v>5</v>
      </c>
      <c r="T2377" t="s">
        <v>135</v>
      </c>
      <c r="U2377">
        <v>0</v>
      </c>
      <c r="V2377">
        <v>3</v>
      </c>
      <c r="W2377" t="s">
        <v>137</v>
      </c>
      <c r="X2377">
        <v>0</v>
      </c>
      <c r="Y2377" t="s">
        <v>140</v>
      </c>
      <c r="Z2377" t="s">
        <v>180</v>
      </c>
      <c r="AA2377" t="s">
        <v>143</v>
      </c>
      <c r="AB2377" t="s">
        <v>162</v>
      </c>
      <c r="AC2377" t="s">
        <v>176</v>
      </c>
      <c r="AD2377" t="s">
        <v>155</v>
      </c>
      <c r="AE2377" t="s">
        <v>129</v>
      </c>
      <c r="AF2377" t="s">
        <v>21</v>
      </c>
    </row>
    <row r="2378" spans="1:32">
      <c r="A2378" t="s">
        <v>3411</v>
      </c>
      <c r="B2378" s="37">
        <v>39914</v>
      </c>
      <c r="C2378" s="38">
        <v>39914</v>
      </c>
      <c r="D2378" s="38">
        <v>39909</v>
      </c>
      <c r="E2378" s="38">
        <v>39904</v>
      </c>
      <c r="F2378" s="39">
        <v>9</v>
      </c>
      <c r="G2378" t="s">
        <v>21</v>
      </c>
      <c r="H2378" t="s">
        <v>21</v>
      </c>
      <c r="I2378">
        <v>0</v>
      </c>
      <c r="J2378">
        <v>0</v>
      </c>
      <c r="K2378">
        <v>0</v>
      </c>
      <c r="L2378">
        <v>1</v>
      </c>
      <c r="M2378">
        <v>0</v>
      </c>
      <c r="N2378" t="s">
        <v>199</v>
      </c>
      <c r="O2378" t="s">
        <v>213</v>
      </c>
      <c r="P2378" t="s">
        <v>210</v>
      </c>
      <c r="Q2378" t="s">
        <v>170</v>
      </c>
      <c r="R2378" t="s">
        <v>155</v>
      </c>
      <c r="T2378" t="s">
        <v>134</v>
      </c>
      <c r="U2378">
        <v>1</v>
      </c>
      <c r="W2378" t="s">
        <v>134</v>
      </c>
      <c r="X2378">
        <v>1</v>
      </c>
      <c r="Y2378" t="s">
        <v>139</v>
      </c>
      <c r="Z2378" t="s">
        <v>182</v>
      </c>
      <c r="AA2378" t="s">
        <v>142</v>
      </c>
      <c r="AB2378" t="s">
        <v>163</v>
      </c>
      <c r="AC2378" t="s">
        <v>173</v>
      </c>
      <c r="AD2378" t="s">
        <v>161</v>
      </c>
      <c r="AE2378" t="s">
        <v>420</v>
      </c>
      <c r="AF2378" t="s">
        <v>21</v>
      </c>
    </row>
    <row r="2379" spans="1:32">
      <c r="A2379" t="s">
        <v>3412</v>
      </c>
      <c r="B2379" s="37">
        <v>39973</v>
      </c>
      <c r="C2379" s="38">
        <v>39973</v>
      </c>
      <c r="D2379" s="38">
        <v>39972</v>
      </c>
      <c r="E2379" s="38">
        <v>39965</v>
      </c>
      <c r="F2379" s="39">
        <v>68</v>
      </c>
      <c r="G2379" t="s">
        <v>380</v>
      </c>
      <c r="H2379" t="s">
        <v>17</v>
      </c>
      <c r="I2379">
        <v>0</v>
      </c>
      <c r="J2379">
        <v>0</v>
      </c>
      <c r="K2379">
        <v>1</v>
      </c>
      <c r="L2379">
        <v>0</v>
      </c>
      <c r="M2379">
        <v>0</v>
      </c>
      <c r="N2379" t="s">
        <v>195</v>
      </c>
      <c r="O2379" t="s">
        <v>213</v>
      </c>
      <c r="P2379" t="s">
        <v>206</v>
      </c>
      <c r="Q2379" t="s">
        <v>170</v>
      </c>
      <c r="R2379" t="s">
        <v>155</v>
      </c>
      <c r="T2379" t="s">
        <v>134</v>
      </c>
      <c r="U2379">
        <v>1</v>
      </c>
      <c r="W2379" t="s">
        <v>134</v>
      </c>
      <c r="X2379">
        <v>1</v>
      </c>
      <c r="Y2379" t="s">
        <v>139</v>
      </c>
      <c r="Z2379" t="s">
        <v>182</v>
      </c>
      <c r="AA2379" t="s">
        <v>142</v>
      </c>
      <c r="AB2379" t="s">
        <v>162</v>
      </c>
      <c r="AC2379" t="s">
        <v>174</v>
      </c>
      <c r="AD2379" t="s">
        <v>156</v>
      </c>
      <c r="AE2379" t="s">
        <v>120</v>
      </c>
      <c r="AF2379" t="s">
        <v>741</v>
      </c>
    </row>
    <row r="2380" spans="1:32">
      <c r="A2380" t="s">
        <v>3413</v>
      </c>
      <c r="B2380" s="37">
        <v>40034</v>
      </c>
      <c r="C2380" s="38">
        <v>40034</v>
      </c>
      <c r="D2380" s="38">
        <v>40028</v>
      </c>
      <c r="E2380" s="38">
        <v>40026</v>
      </c>
      <c r="F2380" s="39">
        <v>129</v>
      </c>
      <c r="G2380" t="s">
        <v>21</v>
      </c>
      <c r="H2380" t="s">
        <v>21</v>
      </c>
      <c r="I2380">
        <v>0</v>
      </c>
      <c r="J2380">
        <v>0</v>
      </c>
      <c r="K2380">
        <v>0</v>
      </c>
      <c r="L2380">
        <v>1</v>
      </c>
      <c r="M2380">
        <v>0</v>
      </c>
      <c r="N2380" t="s">
        <v>195</v>
      </c>
      <c r="O2380" t="s">
        <v>213</v>
      </c>
      <c r="P2380" t="s">
        <v>206</v>
      </c>
      <c r="Q2380" t="s">
        <v>170</v>
      </c>
      <c r="R2380" t="s">
        <v>155</v>
      </c>
      <c r="S2380">
        <v>5</v>
      </c>
      <c r="T2380" t="s">
        <v>135</v>
      </c>
      <c r="U2380">
        <v>0</v>
      </c>
      <c r="V2380">
        <v>5</v>
      </c>
      <c r="W2380" t="s">
        <v>135</v>
      </c>
      <c r="X2380">
        <v>0</v>
      </c>
      <c r="Y2380" t="s">
        <v>139</v>
      </c>
      <c r="Z2380" t="s">
        <v>576</v>
      </c>
      <c r="AA2380" t="s">
        <v>146</v>
      </c>
      <c r="AB2380" t="s">
        <v>162</v>
      </c>
      <c r="AC2380" t="s">
        <v>550</v>
      </c>
      <c r="AD2380" t="s">
        <v>160</v>
      </c>
      <c r="AE2380" t="s">
        <v>956</v>
      </c>
      <c r="AF2380" t="s">
        <v>3414</v>
      </c>
    </row>
    <row r="2381" spans="1:32">
      <c r="A2381" t="s">
        <v>3415</v>
      </c>
      <c r="B2381" s="37">
        <v>39997</v>
      </c>
      <c r="C2381" s="38">
        <v>39997</v>
      </c>
      <c r="D2381" s="38">
        <v>39993</v>
      </c>
      <c r="E2381" s="38">
        <v>39995</v>
      </c>
      <c r="F2381" s="39">
        <v>92</v>
      </c>
      <c r="G2381" t="s">
        <v>21</v>
      </c>
      <c r="H2381" t="s">
        <v>21</v>
      </c>
      <c r="I2381">
        <v>0</v>
      </c>
      <c r="J2381">
        <v>0</v>
      </c>
      <c r="K2381">
        <v>0</v>
      </c>
      <c r="L2381">
        <v>1</v>
      </c>
      <c r="M2381">
        <v>0</v>
      </c>
      <c r="N2381" t="s">
        <v>193</v>
      </c>
      <c r="O2381" t="s">
        <v>213</v>
      </c>
      <c r="P2381" t="s">
        <v>204</v>
      </c>
      <c r="Q2381" t="s">
        <v>170</v>
      </c>
      <c r="R2381" t="s">
        <v>155</v>
      </c>
      <c r="T2381" t="s">
        <v>134</v>
      </c>
      <c r="U2381">
        <v>1</v>
      </c>
      <c r="V2381">
        <v>3</v>
      </c>
      <c r="W2381" t="s">
        <v>137</v>
      </c>
      <c r="X2381">
        <v>0</v>
      </c>
      <c r="Y2381" t="s">
        <v>140</v>
      </c>
      <c r="Z2381" t="s">
        <v>181</v>
      </c>
      <c r="AA2381" t="s">
        <v>145</v>
      </c>
      <c r="AB2381" t="s">
        <v>162</v>
      </c>
      <c r="AC2381" t="s">
        <v>21</v>
      </c>
      <c r="AD2381" t="s">
        <v>160</v>
      </c>
      <c r="AE2381" t="s">
        <v>126</v>
      </c>
      <c r="AF2381" t="s">
        <v>3416</v>
      </c>
    </row>
    <row r="2382" spans="1:32">
      <c r="A2382" t="s">
        <v>3417</v>
      </c>
      <c r="B2382" s="37">
        <v>39973</v>
      </c>
      <c r="C2382" s="38">
        <v>39973</v>
      </c>
      <c r="D2382" s="38">
        <v>39972</v>
      </c>
      <c r="E2382" s="38">
        <v>39965</v>
      </c>
      <c r="F2382" s="39">
        <v>68</v>
      </c>
      <c r="G2382" t="s">
        <v>496</v>
      </c>
      <c r="H2382" t="s">
        <v>13</v>
      </c>
      <c r="I2382">
        <v>0</v>
      </c>
      <c r="J2382">
        <v>1</v>
      </c>
      <c r="K2382">
        <v>0</v>
      </c>
      <c r="L2382">
        <v>0</v>
      </c>
      <c r="M2382">
        <v>1</v>
      </c>
      <c r="N2382" t="s">
        <v>194</v>
      </c>
      <c r="O2382" t="s">
        <v>213</v>
      </c>
      <c r="P2382" t="s">
        <v>205</v>
      </c>
      <c r="Q2382" t="s">
        <v>170</v>
      </c>
      <c r="R2382" t="s">
        <v>155</v>
      </c>
      <c r="T2382" t="s">
        <v>134</v>
      </c>
      <c r="U2382">
        <v>1</v>
      </c>
      <c r="W2382" t="s">
        <v>134</v>
      </c>
      <c r="X2382">
        <v>1</v>
      </c>
      <c r="Y2382" t="s">
        <v>139</v>
      </c>
      <c r="Z2382" t="s">
        <v>603</v>
      </c>
      <c r="AA2382" t="s">
        <v>146</v>
      </c>
      <c r="AB2382" t="s">
        <v>162</v>
      </c>
      <c r="AC2382" t="s">
        <v>3418</v>
      </c>
      <c r="AD2382" t="s">
        <v>155</v>
      </c>
      <c r="AE2382" t="s">
        <v>130</v>
      </c>
      <c r="AF2382" t="s">
        <v>21</v>
      </c>
    </row>
    <row r="2383" spans="1:32">
      <c r="A2383" t="s">
        <v>3419</v>
      </c>
      <c r="B2383" s="37">
        <v>40056</v>
      </c>
      <c r="C2383" s="38">
        <v>40056</v>
      </c>
      <c r="D2383" s="38">
        <v>40056</v>
      </c>
      <c r="E2383" s="38">
        <v>40026</v>
      </c>
      <c r="F2383" s="39">
        <v>151</v>
      </c>
      <c r="G2383" t="s">
        <v>21</v>
      </c>
      <c r="H2383" t="s">
        <v>21</v>
      </c>
      <c r="I2383">
        <v>0</v>
      </c>
      <c r="J2383">
        <v>0</v>
      </c>
      <c r="K2383">
        <v>0</v>
      </c>
      <c r="L2383">
        <v>1</v>
      </c>
      <c r="M2383">
        <v>0</v>
      </c>
      <c r="N2383" t="s">
        <v>193</v>
      </c>
      <c r="O2383" t="s">
        <v>213</v>
      </c>
      <c r="P2383" t="s">
        <v>204</v>
      </c>
      <c r="Q2383" t="s">
        <v>170</v>
      </c>
      <c r="R2383" t="s">
        <v>155</v>
      </c>
      <c r="S2383">
        <v>5</v>
      </c>
      <c r="T2383" t="s">
        <v>135</v>
      </c>
      <c r="U2383">
        <v>0</v>
      </c>
      <c r="V2383">
        <v>4</v>
      </c>
      <c r="W2383" t="s">
        <v>137</v>
      </c>
      <c r="X2383">
        <v>0</v>
      </c>
      <c r="Y2383" t="s">
        <v>140</v>
      </c>
      <c r="Z2383" t="s">
        <v>591</v>
      </c>
      <c r="AA2383" t="s">
        <v>146</v>
      </c>
      <c r="AB2383" t="s">
        <v>162</v>
      </c>
      <c r="AC2383" t="s">
        <v>21</v>
      </c>
      <c r="AD2383" t="s">
        <v>160</v>
      </c>
      <c r="AE2383" t="s">
        <v>454</v>
      </c>
      <c r="AF2383" t="s">
        <v>3420</v>
      </c>
    </row>
    <row r="2384" spans="1:32">
      <c r="A2384" t="s">
        <v>3421</v>
      </c>
      <c r="B2384" s="37">
        <v>39980</v>
      </c>
      <c r="C2384" s="38">
        <v>39980</v>
      </c>
      <c r="D2384" s="38">
        <v>39979</v>
      </c>
      <c r="E2384" s="38">
        <v>39965</v>
      </c>
      <c r="F2384" s="39">
        <v>75</v>
      </c>
      <c r="G2384" t="s">
        <v>21</v>
      </c>
      <c r="H2384" t="s">
        <v>21</v>
      </c>
      <c r="I2384">
        <v>0</v>
      </c>
      <c r="J2384">
        <v>0</v>
      </c>
      <c r="K2384">
        <v>0</v>
      </c>
      <c r="L2384">
        <v>1</v>
      </c>
      <c r="M2384">
        <v>0</v>
      </c>
      <c r="N2384" t="s">
        <v>195</v>
      </c>
      <c r="O2384" t="s">
        <v>213</v>
      </c>
      <c r="P2384" t="s">
        <v>206</v>
      </c>
      <c r="Q2384" t="s">
        <v>170</v>
      </c>
      <c r="R2384" t="s">
        <v>155</v>
      </c>
      <c r="T2384" t="s">
        <v>134</v>
      </c>
      <c r="U2384">
        <v>1</v>
      </c>
      <c r="W2384" t="s">
        <v>134</v>
      </c>
      <c r="X2384">
        <v>1</v>
      </c>
      <c r="Y2384" t="s">
        <v>139</v>
      </c>
      <c r="Z2384" t="s">
        <v>179</v>
      </c>
      <c r="AA2384" t="s">
        <v>144</v>
      </c>
      <c r="AB2384" t="s">
        <v>162</v>
      </c>
      <c r="AC2384" t="s">
        <v>174</v>
      </c>
      <c r="AD2384" t="s">
        <v>157</v>
      </c>
      <c r="AE2384" t="s">
        <v>387</v>
      </c>
      <c r="AF2384" t="s">
        <v>3422</v>
      </c>
    </row>
    <row r="2385" spans="1:32">
      <c r="A2385" t="s">
        <v>3423</v>
      </c>
      <c r="B2385" s="37">
        <v>39946</v>
      </c>
      <c r="C2385" s="38">
        <v>39946</v>
      </c>
      <c r="D2385" s="38">
        <v>39944</v>
      </c>
      <c r="E2385" s="38">
        <v>39934</v>
      </c>
      <c r="F2385" s="39">
        <v>41</v>
      </c>
      <c r="G2385" t="s">
        <v>21</v>
      </c>
      <c r="H2385" t="s">
        <v>21</v>
      </c>
      <c r="I2385">
        <v>0</v>
      </c>
      <c r="J2385">
        <v>0</v>
      </c>
      <c r="K2385">
        <v>0</v>
      </c>
      <c r="L2385">
        <v>1</v>
      </c>
      <c r="M2385">
        <v>0</v>
      </c>
      <c r="N2385" t="s">
        <v>195</v>
      </c>
      <c r="O2385" t="s">
        <v>213</v>
      </c>
      <c r="P2385" t="s">
        <v>206</v>
      </c>
      <c r="Q2385" t="s">
        <v>170</v>
      </c>
      <c r="R2385" t="s">
        <v>155</v>
      </c>
      <c r="T2385" t="s">
        <v>134</v>
      </c>
      <c r="U2385">
        <v>1</v>
      </c>
      <c r="W2385" t="s">
        <v>134</v>
      </c>
      <c r="X2385">
        <v>1</v>
      </c>
      <c r="Y2385" t="s">
        <v>139</v>
      </c>
      <c r="Z2385" t="s">
        <v>182</v>
      </c>
      <c r="AA2385" t="s">
        <v>143</v>
      </c>
      <c r="AB2385" t="s">
        <v>163</v>
      </c>
      <c r="AC2385" t="s">
        <v>173</v>
      </c>
      <c r="AD2385" t="s">
        <v>161</v>
      </c>
      <c r="AE2385" t="s">
        <v>3424</v>
      </c>
      <c r="AF2385" t="s">
        <v>21</v>
      </c>
    </row>
    <row r="2386" spans="1:32">
      <c r="A2386" t="s">
        <v>3425</v>
      </c>
      <c r="B2386" s="37">
        <v>40062</v>
      </c>
      <c r="C2386" s="38">
        <v>40062</v>
      </c>
      <c r="D2386" s="38">
        <v>40056</v>
      </c>
      <c r="E2386" s="38">
        <v>40057</v>
      </c>
      <c r="F2386" s="39">
        <v>157</v>
      </c>
      <c r="G2386" t="s">
        <v>383</v>
      </c>
      <c r="H2386" t="s">
        <v>17</v>
      </c>
      <c r="I2386">
        <v>0</v>
      </c>
      <c r="J2386">
        <v>0</v>
      </c>
      <c r="K2386">
        <v>1</v>
      </c>
      <c r="L2386">
        <v>0</v>
      </c>
      <c r="M2386">
        <v>0</v>
      </c>
      <c r="N2386" t="s">
        <v>193</v>
      </c>
      <c r="O2386" t="s">
        <v>213</v>
      </c>
      <c r="P2386" t="s">
        <v>204</v>
      </c>
      <c r="Q2386" t="s">
        <v>170</v>
      </c>
      <c r="R2386" t="s">
        <v>155</v>
      </c>
      <c r="S2386">
        <v>5</v>
      </c>
      <c r="T2386" t="s">
        <v>135</v>
      </c>
      <c r="U2386">
        <v>0</v>
      </c>
      <c r="V2386">
        <v>5</v>
      </c>
      <c r="W2386" t="s">
        <v>135</v>
      </c>
      <c r="X2386">
        <v>0</v>
      </c>
      <c r="Y2386" t="s">
        <v>140</v>
      </c>
      <c r="Z2386" t="s">
        <v>178</v>
      </c>
      <c r="AA2386" t="s">
        <v>149</v>
      </c>
      <c r="AB2386" t="s">
        <v>162</v>
      </c>
      <c r="AC2386" t="s">
        <v>3426</v>
      </c>
      <c r="AD2386" t="s">
        <v>160</v>
      </c>
      <c r="AE2386" t="s">
        <v>484</v>
      </c>
      <c r="AF2386" t="s">
        <v>667</v>
      </c>
    </row>
    <row r="2387" spans="1:32">
      <c r="A2387" t="s">
        <v>3427</v>
      </c>
      <c r="B2387" s="37">
        <v>39941</v>
      </c>
      <c r="C2387" s="38">
        <v>39941</v>
      </c>
      <c r="D2387" s="38">
        <v>39937</v>
      </c>
      <c r="E2387" s="38">
        <v>39934</v>
      </c>
      <c r="F2387" s="39">
        <v>36</v>
      </c>
      <c r="G2387" t="s">
        <v>21</v>
      </c>
      <c r="H2387" t="s">
        <v>21</v>
      </c>
      <c r="I2387">
        <v>0</v>
      </c>
      <c r="J2387">
        <v>0</v>
      </c>
      <c r="K2387">
        <v>0</v>
      </c>
      <c r="L2387">
        <v>1</v>
      </c>
      <c r="M2387">
        <v>0</v>
      </c>
      <c r="N2387" t="s">
        <v>195</v>
      </c>
      <c r="O2387" t="s">
        <v>213</v>
      </c>
      <c r="P2387" t="s">
        <v>206</v>
      </c>
      <c r="Q2387" t="s">
        <v>170</v>
      </c>
      <c r="R2387" t="s">
        <v>155</v>
      </c>
      <c r="T2387" t="s">
        <v>134</v>
      </c>
      <c r="U2387">
        <v>1</v>
      </c>
      <c r="W2387" t="s">
        <v>134</v>
      </c>
      <c r="X2387">
        <v>1</v>
      </c>
      <c r="Y2387" t="s">
        <v>139</v>
      </c>
      <c r="Z2387" t="s">
        <v>189</v>
      </c>
      <c r="AA2387" t="s">
        <v>149</v>
      </c>
      <c r="AB2387" t="s">
        <v>162</v>
      </c>
      <c r="AC2387" t="s">
        <v>550</v>
      </c>
      <c r="AD2387" t="s">
        <v>160</v>
      </c>
      <c r="AE2387" t="s">
        <v>484</v>
      </c>
      <c r="AF2387" t="s">
        <v>667</v>
      </c>
    </row>
    <row r="2388" spans="1:32">
      <c r="A2388" t="s">
        <v>3428</v>
      </c>
      <c r="B2388" s="37">
        <v>40045</v>
      </c>
      <c r="C2388" s="38">
        <v>40045</v>
      </c>
      <c r="D2388" s="38">
        <v>40042</v>
      </c>
      <c r="E2388" s="38">
        <v>40026</v>
      </c>
      <c r="F2388" s="39">
        <v>140</v>
      </c>
      <c r="G2388" t="s">
        <v>380</v>
      </c>
      <c r="H2388" t="s">
        <v>17</v>
      </c>
      <c r="I2388">
        <v>0</v>
      </c>
      <c r="J2388">
        <v>0</v>
      </c>
      <c r="K2388">
        <v>1</v>
      </c>
      <c r="L2388">
        <v>0</v>
      </c>
      <c r="M2388">
        <v>0</v>
      </c>
      <c r="N2388" t="s">
        <v>197</v>
      </c>
      <c r="O2388" t="s">
        <v>213</v>
      </c>
      <c r="P2388" t="s">
        <v>209</v>
      </c>
      <c r="Q2388" t="s">
        <v>170</v>
      </c>
      <c r="R2388" t="s">
        <v>155</v>
      </c>
      <c r="S2388">
        <v>5</v>
      </c>
      <c r="T2388" t="s">
        <v>135</v>
      </c>
      <c r="U2388">
        <v>0</v>
      </c>
      <c r="V2388">
        <v>5</v>
      </c>
      <c r="W2388" t="s">
        <v>135</v>
      </c>
      <c r="X2388">
        <v>0</v>
      </c>
      <c r="Y2388" t="s">
        <v>139</v>
      </c>
      <c r="Z2388" t="s">
        <v>179</v>
      </c>
      <c r="AA2388" t="s">
        <v>145</v>
      </c>
      <c r="AB2388" t="s">
        <v>162</v>
      </c>
      <c r="AC2388" t="s">
        <v>174</v>
      </c>
      <c r="AD2388" t="s">
        <v>156</v>
      </c>
      <c r="AE2388" t="s">
        <v>120</v>
      </c>
      <c r="AF2388" t="s">
        <v>649</v>
      </c>
    </row>
    <row r="2389" spans="1:32">
      <c r="A2389" t="s">
        <v>3429</v>
      </c>
      <c r="B2389" s="37">
        <v>39916</v>
      </c>
      <c r="C2389" s="38">
        <v>39916</v>
      </c>
      <c r="D2389" s="38">
        <v>39916</v>
      </c>
      <c r="E2389" s="38">
        <v>39904</v>
      </c>
      <c r="F2389" s="39">
        <v>11</v>
      </c>
      <c r="G2389" t="s">
        <v>21</v>
      </c>
      <c r="H2389" t="s">
        <v>21</v>
      </c>
      <c r="I2389">
        <v>0</v>
      </c>
      <c r="J2389">
        <v>0</v>
      </c>
      <c r="K2389">
        <v>0</v>
      </c>
      <c r="L2389">
        <v>1</v>
      </c>
      <c r="M2389">
        <v>0</v>
      </c>
      <c r="N2389" t="s">
        <v>202</v>
      </c>
      <c r="O2389" t="s">
        <v>213</v>
      </c>
      <c r="P2389" t="s">
        <v>211</v>
      </c>
      <c r="Q2389" t="s">
        <v>170</v>
      </c>
      <c r="R2389" t="s">
        <v>155</v>
      </c>
      <c r="T2389" t="s">
        <v>134</v>
      </c>
      <c r="U2389">
        <v>1</v>
      </c>
      <c r="W2389" t="s">
        <v>134</v>
      </c>
      <c r="X2389">
        <v>1</v>
      </c>
      <c r="Y2389" t="s">
        <v>139</v>
      </c>
      <c r="Z2389" t="s">
        <v>179</v>
      </c>
      <c r="AA2389" t="s">
        <v>143</v>
      </c>
      <c r="AB2389" t="s">
        <v>162</v>
      </c>
      <c r="AC2389" t="s">
        <v>3430</v>
      </c>
      <c r="AD2389" t="s">
        <v>157</v>
      </c>
      <c r="AE2389" t="s">
        <v>571</v>
      </c>
      <c r="AF2389" t="s">
        <v>3431</v>
      </c>
    </row>
    <row r="2390" spans="1:32">
      <c r="A2390" t="s">
        <v>3432</v>
      </c>
      <c r="B2390" s="37">
        <v>40040</v>
      </c>
      <c r="C2390" s="38">
        <v>40040</v>
      </c>
      <c r="D2390" s="38">
        <v>40035</v>
      </c>
      <c r="E2390" s="38">
        <v>40026</v>
      </c>
      <c r="F2390" s="39">
        <v>135</v>
      </c>
      <c r="G2390" t="s">
        <v>21</v>
      </c>
      <c r="H2390" t="s">
        <v>21</v>
      </c>
      <c r="I2390">
        <v>0</v>
      </c>
      <c r="J2390">
        <v>0</v>
      </c>
      <c r="K2390">
        <v>0</v>
      </c>
      <c r="L2390">
        <v>1</v>
      </c>
      <c r="M2390">
        <v>0</v>
      </c>
      <c r="N2390" t="s">
        <v>193</v>
      </c>
      <c r="O2390" t="s">
        <v>213</v>
      </c>
      <c r="P2390" t="s">
        <v>204</v>
      </c>
      <c r="Q2390" t="s">
        <v>170</v>
      </c>
      <c r="R2390" t="s">
        <v>155</v>
      </c>
      <c r="S2390">
        <v>5</v>
      </c>
      <c r="T2390" t="s">
        <v>135</v>
      </c>
      <c r="U2390">
        <v>0</v>
      </c>
      <c r="V2390">
        <v>5</v>
      </c>
      <c r="W2390" t="s">
        <v>135</v>
      </c>
      <c r="X2390">
        <v>0</v>
      </c>
      <c r="Y2390" t="s">
        <v>140</v>
      </c>
      <c r="Z2390" t="s">
        <v>409</v>
      </c>
      <c r="AA2390" t="s">
        <v>148</v>
      </c>
      <c r="AB2390" t="s">
        <v>162</v>
      </c>
      <c r="AC2390" t="s">
        <v>176</v>
      </c>
      <c r="AD2390" t="s">
        <v>155</v>
      </c>
      <c r="AE2390" t="s">
        <v>129</v>
      </c>
      <c r="AF2390" t="s">
        <v>21</v>
      </c>
    </row>
    <row r="2391" spans="1:32">
      <c r="A2391" t="s">
        <v>3433</v>
      </c>
      <c r="B2391" s="37">
        <v>39974</v>
      </c>
      <c r="C2391" s="38">
        <v>39974</v>
      </c>
      <c r="D2391" s="38">
        <v>39972</v>
      </c>
      <c r="E2391" s="38">
        <v>39965</v>
      </c>
      <c r="F2391" s="39">
        <v>69</v>
      </c>
      <c r="G2391" t="s">
        <v>21</v>
      </c>
      <c r="H2391" t="s">
        <v>21</v>
      </c>
      <c r="I2391">
        <v>0</v>
      </c>
      <c r="J2391">
        <v>0</v>
      </c>
      <c r="K2391">
        <v>0</v>
      </c>
      <c r="L2391">
        <v>1</v>
      </c>
      <c r="M2391">
        <v>0</v>
      </c>
      <c r="N2391" t="s">
        <v>194</v>
      </c>
      <c r="O2391" t="s">
        <v>213</v>
      </c>
      <c r="P2391" t="s">
        <v>205</v>
      </c>
      <c r="Q2391" t="s">
        <v>170</v>
      </c>
      <c r="R2391" t="s">
        <v>155</v>
      </c>
      <c r="T2391" t="s">
        <v>134</v>
      </c>
      <c r="U2391">
        <v>1</v>
      </c>
      <c r="W2391" t="s">
        <v>134</v>
      </c>
      <c r="X2391">
        <v>1</v>
      </c>
      <c r="Y2391" t="s">
        <v>139</v>
      </c>
      <c r="Z2391" t="s">
        <v>179</v>
      </c>
      <c r="AA2391" t="s">
        <v>146</v>
      </c>
      <c r="AB2391" t="s">
        <v>163</v>
      </c>
      <c r="AC2391" t="s">
        <v>173</v>
      </c>
      <c r="AD2391" t="s">
        <v>155</v>
      </c>
      <c r="AE2391" t="s">
        <v>124</v>
      </c>
      <c r="AF2391" t="s">
        <v>21</v>
      </c>
    </row>
    <row r="2392" spans="1:32">
      <c r="A2392" t="s">
        <v>3434</v>
      </c>
      <c r="B2392" s="37">
        <v>40045</v>
      </c>
      <c r="C2392" s="38">
        <v>40045</v>
      </c>
      <c r="D2392" s="38">
        <v>40042</v>
      </c>
      <c r="E2392" s="38">
        <v>40026</v>
      </c>
      <c r="F2392" s="39">
        <v>140</v>
      </c>
      <c r="G2392" t="s">
        <v>21</v>
      </c>
      <c r="H2392" t="s">
        <v>21</v>
      </c>
      <c r="I2392">
        <v>0</v>
      </c>
      <c r="J2392">
        <v>0</v>
      </c>
      <c r="K2392">
        <v>0</v>
      </c>
      <c r="L2392">
        <v>1</v>
      </c>
      <c r="M2392">
        <v>0</v>
      </c>
      <c r="N2392" t="s">
        <v>193</v>
      </c>
      <c r="O2392" t="s">
        <v>213</v>
      </c>
      <c r="P2392" t="s">
        <v>204</v>
      </c>
      <c r="Q2392" t="s">
        <v>170</v>
      </c>
      <c r="R2392" t="s">
        <v>155</v>
      </c>
      <c r="S2392">
        <v>5</v>
      </c>
      <c r="T2392" t="s">
        <v>135</v>
      </c>
      <c r="U2392">
        <v>0</v>
      </c>
      <c r="V2392">
        <v>3</v>
      </c>
      <c r="W2392" t="s">
        <v>137</v>
      </c>
      <c r="X2392">
        <v>0</v>
      </c>
      <c r="Y2392" t="s">
        <v>140</v>
      </c>
      <c r="Z2392" t="s">
        <v>179</v>
      </c>
      <c r="AA2392" t="s">
        <v>143</v>
      </c>
      <c r="AB2392" t="s">
        <v>163</v>
      </c>
      <c r="AC2392" t="s">
        <v>173</v>
      </c>
      <c r="AD2392" t="s">
        <v>155</v>
      </c>
      <c r="AE2392" t="s">
        <v>125</v>
      </c>
      <c r="AF2392" t="s">
        <v>21</v>
      </c>
    </row>
    <row r="2393" spans="1:32">
      <c r="A2393" t="s">
        <v>3435</v>
      </c>
      <c r="B2393" s="37">
        <v>39934</v>
      </c>
      <c r="C2393" s="38">
        <v>39934</v>
      </c>
      <c r="D2393" s="38">
        <v>39930</v>
      </c>
      <c r="E2393" s="38">
        <v>39934</v>
      </c>
      <c r="F2393" s="39">
        <v>29</v>
      </c>
      <c r="G2393" t="s">
        <v>21</v>
      </c>
      <c r="H2393" t="s">
        <v>21</v>
      </c>
      <c r="I2393">
        <v>0</v>
      </c>
      <c r="J2393">
        <v>0</v>
      </c>
      <c r="K2393">
        <v>0</v>
      </c>
      <c r="L2393">
        <v>1</v>
      </c>
      <c r="M2393">
        <v>0</v>
      </c>
      <c r="N2393" t="s">
        <v>194</v>
      </c>
      <c r="O2393" t="s">
        <v>213</v>
      </c>
      <c r="P2393" t="s">
        <v>205</v>
      </c>
      <c r="Q2393" t="s">
        <v>170</v>
      </c>
      <c r="R2393" t="s">
        <v>155</v>
      </c>
      <c r="T2393" t="s">
        <v>134</v>
      </c>
      <c r="U2393">
        <v>1</v>
      </c>
      <c r="W2393" t="s">
        <v>134</v>
      </c>
      <c r="X2393">
        <v>1</v>
      </c>
      <c r="Y2393" t="s">
        <v>139</v>
      </c>
      <c r="Z2393" t="s">
        <v>447</v>
      </c>
      <c r="AA2393" t="s">
        <v>147</v>
      </c>
      <c r="AB2393" t="s">
        <v>162</v>
      </c>
      <c r="AC2393" t="s">
        <v>174</v>
      </c>
      <c r="AD2393" t="s">
        <v>157</v>
      </c>
      <c r="AE2393" t="s">
        <v>130</v>
      </c>
      <c r="AF2393" t="s">
        <v>437</v>
      </c>
    </row>
    <row r="2394" spans="1:32">
      <c r="A2394" t="s">
        <v>3436</v>
      </c>
      <c r="B2394" s="37">
        <v>39989</v>
      </c>
      <c r="C2394" s="38">
        <v>39989</v>
      </c>
      <c r="D2394" s="38">
        <v>39986</v>
      </c>
      <c r="E2394" s="38">
        <v>39965</v>
      </c>
      <c r="F2394" s="39">
        <v>84</v>
      </c>
      <c r="G2394" t="s">
        <v>383</v>
      </c>
      <c r="H2394" t="s">
        <v>17</v>
      </c>
      <c r="I2394">
        <v>0</v>
      </c>
      <c r="J2394">
        <v>0</v>
      </c>
      <c r="K2394">
        <v>1</v>
      </c>
      <c r="L2394">
        <v>0</v>
      </c>
      <c r="M2394">
        <v>0</v>
      </c>
      <c r="N2394" t="s">
        <v>196</v>
      </c>
      <c r="O2394" t="s">
        <v>213</v>
      </c>
      <c r="P2394" t="s">
        <v>207</v>
      </c>
      <c r="Q2394" t="s">
        <v>170</v>
      </c>
      <c r="R2394" t="s">
        <v>155</v>
      </c>
      <c r="T2394" t="s">
        <v>134</v>
      </c>
      <c r="U2394">
        <v>1</v>
      </c>
      <c r="W2394" t="s">
        <v>134</v>
      </c>
      <c r="X2394">
        <v>1</v>
      </c>
      <c r="Y2394" t="s">
        <v>139</v>
      </c>
      <c r="Z2394" t="s">
        <v>182</v>
      </c>
      <c r="AA2394" t="s">
        <v>146</v>
      </c>
      <c r="AB2394" t="s">
        <v>162</v>
      </c>
      <c r="AC2394" t="s">
        <v>3418</v>
      </c>
      <c r="AD2394" t="s">
        <v>155</v>
      </c>
      <c r="AE2394" t="s">
        <v>130</v>
      </c>
      <c r="AF2394" t="s">
        <v>21</v>
      </c>
    </row>
    <row r="2395" spans="1:32">
      <c r="A2395" t="s">
        <v>3437</v>
      </c>
      <c r="B2395" s="37">
        <v>40037</v>
      </c>
      <c r="C2395" s="38">
        <v>40037</v>
      </c>
      <c r="D2395" s="38">
        <v>40035</v>
      </c>
      <c r="E2395" s="38">
        <v>40026</v>
      </c>
      <c r="F2395" s="39">
        <v>132</v>
      </c>
      <c r="G2395" t="s">
        <v>21</v>
      </c>
      <c r="H2395" t="s">
        <v>21</v>
      </c>
      <c r="I2395">
        <v>0</v>
      </c>
      <c r="J2395">
        <v>0</v>
      </c>
      <c r="K2395">
        <v>0</v>
      </c>
      <c r="L2395">
        <v>1</v>
      </c>
      <c r="M2395">
        <v>0</v>
      </c>
      <c r="N2395" t="s">
        <v>195</v>
      </c>
      <c r="O2395" t="s">
        <v>213</v>
      </c>
      <c r="P2395" t="s">
        <v>206</v>
      </c>
      <c r="Q2395" t="s">
        <v>170</v>
      </c>
      <c r="R2395" t="s">
        <v>155</v>
      </c>
      <c r="S2395">
        <v>5</v>
      </c>
      <c r="T2395" t="s">
        <v>135</v>
      </c>
      <c r="U2395">
        <v>0</v>
      </c>
      <c r="V2395">
        <v>5</v>
      </c>
      <c r="W2395" t="s">
        <v>135</v>
      </c>
      <c r="X2395">
        <v>0</v>
      </c>
      <c r="Y2395" t="s">
        <v>139</v>
      </c>
      <c r="Z2395" t="s">
        <v>182</v>
      </c>
      <c r="AA2395" t="s">
        <v>142</v>
      </c>
      <c r="AB2395" t="s">
        <v>163</v>
      </c>
      <c r="AC2395" t="s">
        <v>173</v>
      </c>
      <c r="AD2395" t="s">
        <v>155</v>
      </c>
      <c r="AE2395" t="s">
        <v>125</v>
      </c>
      <c r="AF2395" t="s">
        <v>21</v>
      </c>
    </row>
    <row r="2396" spans="1:32">
      <c r="A2396" t="s">
        <v>3438</v>
      </c>
      <c r="B2396" s="37">
        <v>39965</v>
      </c>
      <c r="C2396" s="38">
        <v>39965</v>
      </c>
      <c r="D2396" s="38">
        <v>39965</v>
      </c>
      <c r="E2396" s="38">
        <v>39965</v>
      </c>
      <c r="F2396" s="39">
        <v>60</v>
      </c>
      <c r="G2396" t="s">
        <v>21</v>
      </c>
      <c r="H2396" t="s">
        <v>21</v>
      </c>
      <c r="I2396">
        <v>0</v>
      </c>
      <c r="J2396">
        <v>0</v>
      </c>
      <c r="K2396">
        <v>0</v>
      </c>
      <c r="L2396">
        <v>1</v>
      </c>
      <c r="M2396">
        <v>0</v>
      </c>
      <c r="N2396" t="s">
        <v>193</v>
      </c>
      <c r="O2396" t="s">
        <v>213</v>
      </c>
      <c r="P2396" t="s">
        <v>204</v>
      </c>
      <c r="Q2396" t="s">
        <v>170</v>
      </c>
      <c r="R2396" t="s">
        <v>155</v>
      </c>
      <c r="T2396" t="s">
        <v>134</v>
      </c>
      <c r="U2396">
        <v>1</v>
      </c>
      <c r="W2396" t="s">
        <v>134</v>
      </c>
      <c r="X2396">
        <v>1</v>
      </c>
      <c r="Y2396" t="s">
        <v>140</v>
      </c>
      <c r="Z2396" t="s">
        <v>178</v>
      </c>
      <c r="AA2396" t="s">
        <v>143</v>
      </c>
      <c r="AB2396" t="s">
        <v>163</v>
      </c>
      <c r="AC2396" t="s">
        <v>415</v>
      </c>
      <c r="AD2396" t="s">
        <v>155</v>
      </c>
      <c r="AE2396" t="s">
        <v>125</v>
      </c>
      <c r="AF2396" t="s">
        <v>21</v>
      </c>
    </row>
    <row r="2397" spans="1:32">
      <c r="A2397" t="s">
        <v>3439</v>
      </c>
      <c r="B2397" s="37">
        <v>39931</v>
      </c>
      <c r="C2397" s="38">
        <v>39931</v>
      </c>
      <c r="D2397" s="38">
        <v>39930</v>
      </c>
      <c r="E2397" s="38">
        <v>39904</v>
      </c>
      <c r="F2397" s="39">
        <v>26</v>
      </c>
      <c r="G2397" t="s">
        <v>9</v>
      </c>
      <c r="H2397" t="s">
        <v>9</v>
      </c>
      <c r="I2397">
        <v>1</v>
      </c>
      <c r="J2397">
        <v>0</v>
      </c>
      <c r="K2397">
        <v>0</v>
      </c>
      <c r="L2397">
        <v>0</v>
      </c>
      <c r="M2397">
        <v>1</v>
      </c>
      <c r="N2397" t="s">
        <v>198</v>
      </c>
      <c r="O2397" t="s">
        <v>213</v>
      </c>
      <c r="P2397" t="s">
        <v>208</v>
      </c>
      <c r="Q2397" t="s">
        <v>170</v>
      </c>
      <c r="R2397" t="s">
        <v>155</v>
      </c>
      <c r="T2397" t="s">
        <v>134</v>
      </c>
      <c r="U2397">
        <v>1</v>
      </c>
      <c r="W2397" t="s">
        <v>134</v>
      </c>
      <c r="X2397">
        <v>1</v>
      </c>
      <c r="Y2397" t="s">
        <v>139</v>
      </c>
      <c r="Z2397" t="s">
        <v>179</v>
      </c>
      <c r="AA2397" t="s">
        <v>147</v>
      </c>
      <c r="AB2397" t="s">
        <v>162</v>
      </c>
      <c r="AC2397" t="s">
        <v>21</v>
      </c>
      <c r="AD2397" t="s">
        <v>156</v>
      </c>
      <c r="AE2397" t="s">
        <v>120</v>
      </c>
      <c r="AF2397" t="s">
        <v>715</v>
      </c>
    </row>
    <row r="2398" spans="1:32">
      <c r="A2398" t="s">
        <v>3440</v>
      </c>
      <c r="B2398" s="37">
        <v>40025</v>
      </c>
      <c r="C2398" s="38">
        <v>40025</v>
      </c>
      <c r="D2398" s="38">
        <v>40021</v>
      </c>
      <c r="E2398" s="38">
        <v>39995</v>
      </c>
      <c r="F2398" s="39">
        <v>120</v>
      </c>
      <c r="G2398" t="s">
        <v>21</v>
      </c>
      <c r="H2398" t="s">
        <v>21</v>
      </c>
      <c r="I2398">
        <v>0</v>
      </c>
      <c r="J2398">
        <v>0</v>
      </c>
      <c r="K2398">
        <v>0</v>
      </c>
      <c r="L2398">
        <v>1</v>
      </c>
      <c r="M2398">
        <v>0</v>
      </c>
      <c r="N2398" t="s">
        <v>193</v>
      </c>
      <c r="O2398" t="s">
        <v>213</v>
      </c>
      <c r="P2398" t="s">
        <v>204</v>
      </c>
      <c r="Q2398" t="s">
        <v>170</v>
      </c>
      <c r="R2398" t="s">
        <v>155</v>
      </c>
      <c r="S2398">
        <v>5</v>
      </c>
      <c r="T2398" t="s">
        <v>135</v>
      </c>
      <c r="U2398">
        <v>0</v>
      </c>
      <c r="V2398">
        <v>3</v>
      </c>
      <c r="W2398" t="s">
        <v>137</v>
      </c>
      <c r="X2398">
        <v>0</v>
      </c>
      <c r="Y2398" t="s">
        <v>140</v>
      </c>
      <c r="Z2398" t="s">
        <v>178</v>
      </c>
      <c r="AA2398" t="s">
        <v>146</v>
      </c>
      <c r="AB2398" t="s">
        <v>162</v>
      </c>
      <c r="AC2398" t="s">
        <v>779</v>
      </c>
      <c r="AD2398" t="s">
        <v>155</v>
      </c>
      <c r="AE2398" t="s">
        <v>129</v>
      </c>
      <c r="AF2398" t="s">
        <v>21</v>
      </c>
    </row>
    <row r="2399" spans="1:32">
      <c r="A2399" t="s">
        <v>3441</v>
      </c>
      <c r="B2399" s="37">
        <v>39932</v>
      </c>
      <c r="C2399" s="38">
        <v>39932</v>
      </c>
      <c r="D2399" s="38">
        <v>39930</v>
      </c>
      <c r="E2399" s="38">
        <v>39904</v>
      </c>
      <c r="F2399" s="39">
        <v>27</v>
      </c>
      <c r="G2399" t="s">
        <v>21</v>
      </c>
      <c r="H2399" t="s">
        <v>21</v>
      </c>
      <c r="I2399">
        <v>0</v>
      </c>
      <c r="J2399">
        <v>0</v>
      </c>
      <c r="K2399">
        <v>0</v>
      </c>
      <c r="L2399">
        <v>1</v>
      </c>
      <c r="M2399">
        <v>0</v>
      </c>
      <c r="N2399" t="s">
        <v>194</v>
      </c>
      <c r="O2399" t="s">
        <v>213</v>
      </c>
      <c r="P2399" t="s">
        <v>205</v>
      </c>
      <c r="Q2399" t="s">
        <v>170</v>
      </c>
      <c r="R2399" t="s">
        <v>155</v>
      </c>
      <c r="T2399" t="s">
        <v>134</v>
      </c>
      <c r="U2399">
        <v>1</v>
      </c>
      <c r="W2399" t="s">
        <v>134</v>
      </c>
      <c r="X2399">
        <v>1</v>
      </c>
      <c r="Y2399" t="s">
        <v>139</v>
      </c>
      <c r="Z2399" t="s">
        <v>178</v>
      </c>
      <c r="AA2399" t="s">
        <v>145</v>
      </c>
      <c r="AB2399" t="s">
        <v>163</v>
      </c>
      <c r="AC2399" t="s">
        <v>173</v>
      </c>
      <c r="AD2399" t="s">
        <v>155</v>
      </c>
      <c r="AE2399" t="s">
        <v>130</v>
      </c>
      <c r="AF2399" t="s">
        <v>21</v>
      </c>
    </row>
    <row r="2400" spans="1:32">
      <c r="A2400" t="s">
        <v>3442</v>
      </c>
      <c r="B2400" s="37">
        <v>40008</v>
      </c>
      <c r="C2400" s="38">
        <v>40008</v>
      </c>
      <c r="D2400" s="38">
        <v>40007</v>
      </c>
      <c r="E2400" s="38">
        <v>39995</v>
      </c>
      <c r="F2400" s="39">
        <v>103</v>
      </c>
      <c r="G2400" t="s">
        <v>9</v>
      </c>
      <c r="H2400" t="s">
        <v>9</v>
      </c>
      <c r="I2400">
        <v>1</v>
      </c>
      <c r="J2400">
        <v>0</v>
      </c>
      <c r="K2400">
        <v>0</v>
      </c>
      <c r="L2400">
        <v>0</v>
      </c>
      <c r="M2400">
        <v>1</v>
      </c>
      <c r="N2400" t="s">
        <v>196</v>
      </c>
      <c r="O2400" t="s">
        <v>213</v>
      </c>
      <c r="P2400" t="s">
        <v>207</v>
      </c>
      <c r="Q2400" t="s">
        <v>170</v>
      </c>
      <c r="R2400" t="s">
        <v>155</v>
      </c>
      <c r="S2400">
        <v>5</v>
      </c>
      <c r="T2400" t="s">
        <v>135</v>
      </c>
      <c r="U2400">
        <v>0</v>
      </c>
      <c r="V2400">
        <v>2</v>
      </c>
      <c r="W2400" t="s">
        <v>136</v>
      </c>
      <c r="X2400">
        <v>0</v>
      </c>
      <c r="Y2400" t="s">
        <v>139</v>
      </c>
      <c r="Z2400" t="s">
        <v>184</v>
      </c>
      <c r="AA2400" t="s">
        <v>143</v>
      </c>
      <c r="AB2400" t="s">
        <v>162</v>
      </c>
      <c r="AC2400" t="s">
        <v>498</v>
      </c>
      <c r="AD2400" t="s">
        <v>156</v>
      </c>
      <c r="AE2400" t="s">
        <v>120</v>
      </c>
      <c r="AF2400" t="s">
        <v>2965</v>
      </c>
    </row>
    <row r="2401" spans="1:32">
      <c r="A2401" t="s">
        <v>3443</v>
      </c>
      <c r="B2401" s="37">
        <v>40085</v>
      </c>
      <c r="C2401" s="38">
        <v>40085</v>
      </c>
      <c r="D2401" s="38">
        <v>40084</v>
      </c>
      <c r="E2401" s="38">
        <v>40057</v>
      </c>
      <c r="F2401" s="39">
        <v>180</v>
      </c>
      <c r="G2401" t="s">
        <v>21</v>
      </c>
      <c r="H2401" t="s">
        <v>21</v>
      </c>
      <c r="I2401">
        <v>0</v>
      </c>
      <c r="J2401">
        <v>0</v>
      </c>
      <c r="K2401">
        <v>0</v>
      </c>
      <c r="L2401">
        <v>1</v>
      </c>
      <c r="M2401">
        <v>0</v>
      </c>
      <c r="N2401" t="s">
        <v>197</v>
      </c>
      <c r="O2401" t="s">
        <v>213</v>
      </c>
      <c r="P2401" t="s">
        <v>209</v>
      </c>
      <c r="Q2401" t="s">
        <v>170</v>
      </c>
      <c r="R2401" t="s">
        <v>155</v>
      </c>
      <c r="S2401">
        <v>5</v>
      </c>
      <c r="T2401" t="s">
        <v>135</v>
      </c>
      <c r="U2401">
        <v>0</v>
      </c>
      <c r="V2401">
        <v>5</v>
      </c>
      <c r="W2401" t="s">
        <v>135</v>
      </c>
      <c r="X2401">
        <v>0</v>
      </c>
      <c r="Y2401" t="s">
        <v>139</v>
      </c>
      <c r="Z2401" t="s">
        <v>178</v>
      </c>
      <c r="AA2401" t="s">
        <v>144</v>
      </c>
      <c r="AB2401" t="s">
        <v>162</v>
      </c>
      <c r="AC2401" t="s">
        <v>174</v>
      </c>
      <c r="AD2401" t="s">
        <v>2264</v>
      </c>
      <c r="AE2401" t="s">
        <v>2265</v>
      </c>
      <c r="AF2401" t="s">
        <v>153</v>
      </c>
    </row>
    <row r="2402" spans="1:32">
      <c r="A2402" t="s">
        <v>3444</v>
      </c>
      <c r="B2402" s="37">
        <v>40045</v>
      </c>
      <c r="C2402" s="38">
        <v>40045</v>
      </c>
      <c r="D2402" s="38">
        <v>40042</v>
      </c>
      <c r="E2402" s="38">
        <v>40026</v>
      </c>
      <c r="F2402" s="39">
        <v>140</v>
      </c>
      <c r="G2402" t="s">
        <v>21</v>
      </c>
      <c r="H2402" t="s">
        <v>21</v>
      </c>
      <c r="I2402">
        <v>0</v>
      </c>
      <c r="J2402">
        <v>0</v>
      </c>
      <c r="K2402">
        <v>0</v>
      </c>
      <c r="L2402">
        <v>1</v>
      </c>
      <c r="M2402">
        <v>0</v>
      </c>
      <c r="N2402" t="s">
        <v>193</v>
      </c>
      <c r="O2402" t="s">
        <v>213</v>
      </c>
      <c r="P2402" t="s">
        <v>204</v>
      </c>
      <c r="Q2402" t="s">
        <v>170</v>
      </c>
      <c r="R2402" t="s">
        <v>155</v>
      </c>
      <c r="S2402">
        <v>5</v>
      </c>
      <c r="T2402" t="s">
        <v>135</v>
      </c>
      <c r="U2402">
        <v>0</v>
      </c>
      <c r="V2402">
        <v>3</v>
      </c>
      <c r="W2402" t="s">
        <v>137</v>
      </c>
      <c r="X2402">
        <v>0</v>
      </c>
      <c r="Y2402" t="s">
        <v>140</v>
      </c>
      <c r="Z2402" t="s">
        <v>184</v>
      </c>
      <c r="AA2402" t="s">
        <v>146</v>
      </c>
      <c r="AB2402" t="s">
        <v>162</v>
      </c>
      <c r="AC2402" t="s">
        <v>2041</v>
      </c>
      <c r="AD2402" t="s">
        <v>156</v>
      </c>
      <c r="AE2402" t="s">
        <v>120</v>
      </c>
      <c r="AF2402" t="s">
        <v>3445</v>
      </c>
    </row>
    <row r="2403" spans="1:32">
      <c r="A2403" t="s">
        <v>3446</v>
      </c>
      <c r="B2403" s="37">
        <v>39997</v>
      </c>
      <c r="C2403" s="38">
        <v>39997</v>
      </c>
      <c r="D2403" s="38">
        <v>39993</v>
      </c>
      <c r="E2403" s="38">
        <v>39995</v>
      </c>
      <c r="F2403" s="39">
        <v>92</v>
      </c>
      <c r="G2403" t="s">
        <v>21</v>
      </c>
      <c r="H2403" t="s">
        <v>21</v>
      </c>
      <c r="I2403">
        <v>0</v>
      </c>
      <c r="J2403">
        <v>0</v>
      </c>
      <c r="K2403">
        <v>0</v>
      </c>
      <c r="L2403">
        <v>1</v>
      </c>
      <c r="M2403">
        <v>0</v>
      </c>
      <c r="N2403" t="s">
        <v>196</v>
      </c>
      <c r="O2403" t="s">
        <v>213</v>
      </c>
      <c r="P2403" t="s">
        <v>207</v>
      </c>
      <c r="Q2403" t="s">
        <v>170</v>
      </c>
      <c r="R2403" t="s">
        <v>155</v>
      </c>
      <c r="T2403" t="s">
        <v>134</v>
      </c>
      <c r="U2403">
        <v>1</v>
      </c>
      <c r="V2403">
        <v>3</v>
      </c>
      <c r="W2403" t="s">
        <v>137</v>
      </c>
      <c r="X2403">
        <v>0</v>
      </c>
      <c r="Y2403" t="s">
        <v>139</v>
      </c>
      <c r="Z2403" t="s">
        <v>184</v>
      </c>
      <c r="AA2403" t="s">
        <v>142</v>
      </c>
      <c r="AB2403" t="s">
        <v>163</v>
      </c>
      <c r="AC2403" t="s">
        <v>173</v>
      </c>
      <c r="AD2403" t="s">
        <v>155</v>
      </c>
      <c r="AE2403" t="s">
        <v>454</v>
      </c>
      <c r="AF2403" t="s">
        <v>21</v>
      </c>
    </row>
    <row r="2404" spans="1:32">
      <c r="A2404" t="s">
        <v>3447</v>
      </c>
      <c r="B2404" s="37">
        <v>40031</v>
      </c>
      <c r="C2404" s="38">
        <v>40031</v>
      </c>
      <c r="D2404" s="38">
        <v>40028</v>
      </c>
      <c r="E2404" s="38">
        <v>40026</v>
      </c>
      <c r="F2404" s="39">
        <v>126</v>
      </c>
      <c r="G2404" t="s">
        <v>21</v>
      </c>
      <c r="H2404" t="s">
        <v>21</v>
      </c>
      <c r="I2404">
        <v>0</v>
      </c>
      <c r="J2404">
        <v>0</v>
      </c>
      <c r="K2404">
        <v>0</v>
      </c>
      <c r="L2404">
        <v>1</v>
      </c>
      <c r="M2404">
        <v>0</v>
      </c>
      <c r="N2404" t="s">
        <v>196</v>
      </c>
      <c r="O2404" t="s">
        <v>213</v>
      </c>
      <c r="P2404" t="s">
        <v>207</v>
      </c>
      <c r="Q2404" t="s">
        <v>170</v>
      </c>
      <c r="R2404" t="s">
        <v>155</v>
      </c>
      <c r="S2404">
        <v>5</v>
      </c>
      <c r="T2404" t="s">
        <v>135</v>
      </c>
      <c r="U2404">
        <v>0</v>
      </c>
      <c r="V2404">
        <v>5</v>
      </c>
      <c r="W2404" t="s">
        <v>135</v>
      </c>
      <c r="X2404">
        <v>0</v>
      </c>
      <c r="Y2404" t="s">
        <v>139</v>
      </c>
      <c r="Z2404" t="s">
        <v>184</v>
      </c>
      <c r="AA2404" t="s">
        <v>146</v>
      </c>
      <c r="AB2404" t="s">
        <v>162</v>
      </c>
      <c r="AC2404" t="s">
        <v>659</v>
      </c>
      <c r="AD2404" t="s">
        <v>160</v>
      </c>
      <c r="AE2404" t="s">
        <v>126</v>
      </c>
      <c r="AF2404" t="s">
        <v>3448</v>
      </c>
    </row>
    <row r="2405" spans="1:32">
      <c r="A2405" t="s">
        <v>3449</v>
      </c>
      <c r="B2405" s="37">
        <v>39966</v>
      </c>
      <c r="C2405" s="38">
        <v>39966</v>
      </c>
      <c r="D2405" s="38">
        <v>39965</v>
      </c>
      <c r="E2405" s="38">
        <v>39965</v>
      </c>
      <c r="F2405" s="39">
        <v>61</v>
      </c>
      <c r="G2405" t="s">
        <v>21</v>
      </c>
      <c r="H2405" t="s">
        <v>21</v>
      </c>
      <c r="I2405">
        <v>0</v>
      </c>
      <c r="J2405">
        <v>0</v>
      </c>
      <c r="K2405">
        <v>0</v>
      </c>
      <c r="L2405">
        <v>1</v>
      </c>
      <c r="M2405">
        <v>0</v>
      </c>
      <c r="N2405" t="s">
        <v>195</v>
      </c>
      <c r="O2405" t="s">
        <v>213</v>
      </c>
      <c r="P2405" t="s">
        <v>206</v>
      </c>
      <c r="Q2405" t="s">
        <v>170</v>
      </c>
      <c r="R2405" t="s">
        <v>155</v>
      </c>
      <c r="T2405" t="s">
        <v>134</v>
      </c>
      <c r="U2405">
        <v>1</v>
      </c>
      <c r="W2405" t="s">
        <v>134</v>
      </c>
      <c r="X2405">
        <v>1</v>
      </c>
      <c r="Y2405" t="s">
        <v>139</v>
      </c>
      <c r="Z2405" t="s">
        <v>178</v>
      </c>
      <c r="AA2405" t="s">
        <v>144</v>
      </c>
      <c r="AB2405" t="s">
        <v>162</v>
      </c>
      <c r="AC2405" t="s">
        <v>867</v>
      </c>
      <c r="AD2405" t="s">
        <v>157</v>
      </c>
      <c r="AE2405" t="s">
        <v>127</v>
      </c>
      <c r="AF2405" t="s">
        <v>153</v>
      </c>
    </row>
    <row r="2406" spans="1:32">
      <c r="A2406" t="s">
        <v>3450</v>
      </c>
      <c r="B2406" s="37">
        <v>40084</v>
      </c>
      <c r="C2406" s="38">
        <v>40084</v>
      </c>
      <c r="D2406" s="38">
        <v>40084</v>
      </c>
      <c r="E2406" s="38">
        <v>40057</v>
      </c>
      <c r="F2406" s="39">
        <v>179</v>
      </c>
      <c r="G2406" t="s">
        <v>496</v>
      </c>
      <c r="H2406" t="s">
        <v>13</v>
      </c>
      <c r="I2406">
        <v>0</v>
      </c>
      <c r="J2406">
        <v>1</v>
      </c>
      <c r="K2406">
        <v>0</v>
      </c>
      <c r="L2406">
        <v>0</v>
      </c>
      <c r="M2406">
        <v>1</v>
      </c>
      <c r="N2406" t="s">
        <v>193</v>
      </c>
      <c r="O2406" t="s">
        <v>213</v>
      </c>
      <c r="P2406" t="s">
        <v>204</v>
      </c>
      <c r="Q2406" t="s">
        <v>170</v>
      </c>
      <c r="R2406" t="s">
        <v>155</v>
      </c>
      <c r="S2406">
        <v>2</v>
      </c>
      <c r="T2406" t="s">
        <v>136</v>
      </c>
      <c r="U2406">
        <v>0</v>
      </c>
      <c r="V2406">
        <v>5</v>
      </c>
      <c r="W2406" t="s">
        <v>135</v>
      </c>
      <c r="X2406">
        <v>0</v>
      </c>
      <c r="Y2406" t="s">
        <v>140</v>
      </c>
      <c r="Z2406" t="s">
        <v>178</v>
      </c>
      <c r="AA2406" t="s">
        <v>144</v>
      </c>
      <c r="AB2406" t="s">
        <v>163</v>
      </c>
      <c r="AC2406" t="s">
        <v>173</v>
      </c>
      <c r="AD2406" t="s">
        <v>155</v>
      </c>
      <c r="AE2406" t="s">
        <v>128</v>
      </c>
      <c r="AF2406" t="s">
        <v>21</v>
      </c>
    </row>
    <row r="2407" spans="1:32">
      <c r="A2407" t="s">
        <v>3451</v>
      </c>
      <c r="B2407" s="37">
        <v>39964</v>
      </c>
      <c r="C2407" s="38">
        <v>39964</v>
      </c>
      <c r="D2407" s="38">
        <v>39958</v>
      </c>
      <c r="E2407" s="38">
        <v>39934</v>
      </c>
      <c r="F2407" s="39">
        <v>59</v>
      </c>
      <c r="G2407" t="s">
        <v>21</v>
      </c>
      <c r="H2407" t="s">
        <v>21</v>
      </c>
      <c r="I2407">
        <v>0</v>
      </c>
      <c r="J2407">
        <v>0</v>
      </c>
      <c r="K2407">
        <v>0</v>
      </c>
      <c r="L2407">
        <v>1</v>
      </c>
      <c r="M2407">
        <v>0</v>
      </c>
      <c r="N2407" t="s">
        <v>195</v>
      </c>
      <c r="O2407" t="s">
        <v>213</v>
      </c>
      <c r="P2407" t="s">
        <v>206</v>
      </c>
      <c r="Q2407" t="s">
        <v>170</v>
      </c>
      <c r="R2407" t="s">
        <v>155</v>
      </c>
      <c r="T2407" t="s">
        <v>134</v>
      </c>
      <c r="U2407">
        <v>1</v>
      </c>
      <c r="W2407" t="s">
        <v>134</v>
      </c>
      <c r="X2407">
        <v>1</v>
      </c>
      <c r="Y2407" t="s">
        <v>139</v>
      </c>
      <c r="Z2407" t="s">
        <v>178</v>
      </c>
      <c r="AA2407" t="s">
        <v>148</v>
      </c>
      <c r="AB2407" t="s">
        <v>163</v>
      </c>
      <c r="AC2407" t="s">
        <v>3452</v>
      </c>
      <c r="AD2407" t="s">
        <v>155</v>
      </c>
      <c r="AE2407" t="s">
        <v>124</v>
      </c>
      <c r="AF2407" t="s">
        <v>21</v>
      </c>
    </row>
    <row r="2408" spans="1:32">
      <c r="A2408" t="s">
        <v>3453</v>
      </c>
      <c r="B2408" s="37">
        <v>39937</v>
      </c>
      <c r="C2408" s="38">
        <v>39937</v>
      </c>
      <c r="D2408" s="38">
        <v>39937</v>
      </c>
      <c r="E2408" s="38">
        <v>39934</v>
      </c>
      <c r="F2408" s="39">
        <v>32</v>
      </c>
      <c r="G2408" t="s">
        <v>21</v>
      </c>
      <c r="H2408" t="s">
        <v>21</v>
      </c>
      <c r="I2408">
        <v>0</v>
      </c>
      <c r="J2408">
        <v>0</v>
      </c>
      <c r="K2408">
        <v>0</v>
      </c>
      <c r="L2408">
        <v>1</v>
      </c>
      <c r="M2408">
        <v>0</v>
      </c>
      <c r="N2408" t="s">
        <v>194</v>
      </c>
      <c r="O2408" t="s">
        <v>213</v>
      </c>
      <c r="P2408" t="s">
        <v>205</v>
      </c>
      <c r="Q2408" t="s">
        <v>170</v>
      </c>
      <c r="R2408" t="s">
        <v>155</v>
      </c>
      <c r="T2408" t="s">
        <v>134</v>
      </c>
      <c r="U2408">
        <v>1</v>
      </c>
      <c r="W2408" t="s">
        <v>134</v>
      </c>
      <c r="X2408">
        <v>1</v>
      </c>
      <c r="Y2408" t="s">
        <v>139</v>
      </c>
      <c r="Z2408" t="s">
        <v>182</v>
      </c>
      <c r="AA2408" t="s">
        <v>148</v>
      </c>
      <c r="AB2408" t="s">
        <v>163</v>
      </c>
      <c r="AC2408" t="s">
        <v>415</v>
      </c>
      <c r="AD2408" t="s">
        <v>155</v>
      </c>
      <c r="AE2408" t="s">
        <v>125</v>
      </c>
      <c r="AF2408" t="s">
        <v>21</v>
      </c>
    </row>
    <row r="2409" spans="1:32">
      <c r="A2409" t="s">
        <v>3454</v>
      </c>
      <c r="B2409" s="37">
        <v>39994</v>
      </c>
      <c r="C2409" s="38">
        <v>39994</v>
      </c>
      <c r="D2409" s="38">
        <v>39993</v>
      </c>
      <c r="E2409" s="38">
        <v>39965</v>
      </c>
      <c r="F2409" s="39">
        <v>89</v>
      </c>
      <c r="G2409" t="s">
        <v>9</v>
      </c>
      <c r="H2409" t="s">
        <v>9</v>
      </c>
      <c r="I2409">
        <v>1</v>
      </c>
      <c r="J2409">
        <v>0</v>
      </c>
      <c r="K2409">
        <v>0</v>
      </c>
      <c r="L2409">
        <v>0</v>
      </c>
      <c r="M2409">
        <v>1</v>
      </c>
      <c r="N2409" t="s">
        <v>193</v>
      </c>
      <c r="O2409" t="s">
        <v>213</v>
      </c>
      <c r="P2409" t="s">
        <v>204</v>
      </c>
      <c r="Q2409" t="s">
        <v>170</v>
      </c>
      <c r="R2409" t="s">
        <v>155</v>
      </c>
      <c r="T2409" t="s">
        <v>134</v>
      </c>
      <c r="U2409">
        <v>1</v>
      </c>
      <c r="V2409">
        <v>5</v>
      </c>
      <c r="W2409" t="s">
        <v>135</v>
      </c>
      <c r="X2409">
        <v>0</v>
      </c>
      <c r="Y2409" t="s">
        <v>140</v>
      </c>
      <c r="Z2409" t="s">
        <v>178</v>
      </c>
      <c r="AA2409" t="s">
        <v>144</v>
      </c>
      <c r="AB2409" t="s">
        <v>163</v>
      </c>
      <c r="AC2409" t="s">
        <v>21</v>
      </c>
      <c r="AD2409" t="s">
        <v>155</v>
      </c>
      <c r="AE2409" t="s">
        <v>125</v>
      </c>
      <c r="AF2409" t="s">
        <v>21</v>
      </c>
    </row>
    <row r="2410" spans="1:32">
      <c r="A2410" t="s">
        <v>3455</v>
      </c>
      <c r="B2410" s="37">
        <v>40053</v>
      </c>
      <c r="C2410" s="38">
        <v>40053</v>
      </c>
      <c r="D2410" s="38">
        <v>40049</v>
      </c>
      <c r="E2410" s="38">
        <v>40026</v>
      </c>
      <c r="F2410" s="39">
        <v>148</v>
      </c>
      <c r="G2410" t="s">
        <v>496</v>
      </c>
      <c r="H2410" t="s">
        <v>13</v>
      </c>
      <c r="I2410">
        <v>0</v>
      </c>
      <c r="J2410">
        <v>1</v>
      </c>
      <c r="K2410">
        <v>0</v>
      </c>
      <c r="L2410">
        <v>0</v>
      </c>
      <c r="M2410">
        <v>1</v>
      </c>
      <c r="N2410" t="s">
        <v>196</v>
      </c>
      <c r="O2410" t="s">
        <v>213</v>
      </c>
      <c r="P2410" t="s">
        <v>207</v>
      </c>
      <c r="Q2410" t="s">
        <v>170</v>
      </c>
      <c r="R2410" t="s">
        <v>155</v>
      </c>
      <c r="S2410">
        <v>5</v>
      </c>
      <c r="T2410" t="s">
        <v>135</v>
      </c>
      <c r="U2410">
        <v>0</v>
      </c>
      <c r="V2410">
        <v>2</v>
      </c>
      <c r="W2410" t="s">
        <v>136</v>
      </c>
      <c r="X2410">
        <v>0</v>
      </c>
      <c r="Y2410" t="s">
        <v>139</v>
      </c>
      <c r="Z2410" t="s">
        <v>179</v>
      </c>
      <c r="AA2410" t="s">
        <v>148</v>
      </c>
      <c r="AB2410" t="s">
        <v>165</v>
      </c>
      <c r="AC2410" t="s">
        <v>3456</v>
      </c>
      <c r="AD2410" t="s">
        <v>158</v>
      </c>
      <c r="AE2410" t="s">
        <v>122</v>
      </c>
      <c r="AF2410" t="s">
        <v>21</v>
      </c>
    </row>
    <row r="2411" spans="1:32">
      <c r="A2411" t="s">
        <v>3457</v>
      </c>
      <c r="B2411" s="37">
        <v>39932</v>
      </c>
      <c r="C2411" s="38">
        <v>39932</v>
      </c>
      <c r="D2411" s="38">
        <v>39930</v>
      </c>
      <c r="E2411" s="38">
        <v>39904</v>
      </c>
      <c r="F2411" s="39">
        <v>27</v>
      </c>
      <c r="G2411" t="s">
        <v>21</v>
      </c>
      <c r="H2411" t="s">
        <v>21</v>
      </c>
      <c r="I2411">
        <v>0</v>
      </c>
      <c r="J2411">
        <v>0</v>
      </c>
      <c r="K2411">
        <v>0</v>
      </c>
      <c r="L2411">
        <v>1</v>
      </c>
      <c r="M2411">
        <v>0</v>
      </c>
      <c r="N2411" t="s">
        <v>199</v>
      </c>
      <c r="O2411" t="s">
        <v>213</v>
      </c>
      <c r="P2411" t="s">
        <v>210</v>
      </c>
      <c r="Q2411" t="s">
        <v>170</v>
      </c>
      <c r="R2411" t="s">
        <v>155</v>
      </c>
      <c r="T2411" t="s">
        <v>134</v>
      </c>
      <c r="U2411">
        <v>1</v>
      </c>
      <c r="W2411" t="s">
        <v>134</v>
      </c>
      <c r="X2411">
        <v>1</v>
      </c>
      <c r="Y2411" t="s">
        <v>139</v>
      </c>
      <c r="Z2411" t="s">
        <v>178</v>
      </c>
      <c r="AA2411" t="s">
        <v>143</v>
      </c>
      <c r="AB2411" t="s">
        <v>163</v>
      </c>
      <c r="AC2411" t="s">
        <v>173</v>
      </c>
      <c r="AD2411" t="s">
        <v>155</v>
      </c>
      <c r="AE2411" t="s">
        <v>124</v>
      </c>
      <c r="AF2411" t="s">
        <v>21</v>
      </c>
    </row>
    <row r="2412" spans="1:32">
      <c r="A2412" t="s">
        <v>3458</v>
      </c>
      <c r="B2412" s="37">
        <v>39910</v>
      </c>
      <c r="C2412" s="38">
        <v>39910</v>
      </c>
      <c r="D2412" s="38">
        <v>39909</v>
      </c>
      <c r="E2412" s="38">
        <v>39904</v>
      </c>
      <c r="F2412" s="39">
        <v>5</v>
      </c>
      <c r="G2412" t="s">
        <v>496</v>
      </c>
      <c r="H2412" t="s">
        <v>13</v>
      </c>
      <c r="I2412">
        <v>0</v>
      </c>
      <c r="J2412">
        <v>1</v>
      </c>
      <c r="K2412">
        <v>0</v>
      </c>
      <c r="L2412">
        <v>0</v>
      </c>
      <c r="M2412">
        <v>1</v>
      </c>
      <c r="N2412" t="s">
        <v>200</v>
      </c>
      <c r="O2412" t="s">
        <v>214</v>
      </c>
      <c r="P2412" t="s">
        <v>208</v>
      </c>
      <c r="Q2412" t="s">
        <v>170</v>
      </c>
      <c r="R2412" t="s">
        <v>155</v>
      </c>
      <c r="T2412" t="s">
        <v>134</v>
      </c>
      <c r="U2412">
        <v>1</v>
      </c>
      <c r="W2412" t="s">
        <v>134</v>
      </c>
      <c r="X2412">
        <v>1</v>
      </c>
      <c r="Y2412" t="s">
        <v>139</v>
      </c>
      <c r="Z2412" t="s">
        <v>184</v>
      </c>
      <c r="AA2412" t="s">
        <v>147</v>
      </c>
      <c r="AB2412" t="s">
        <v>165</v>
      </c>
      <c r="AC2412" t="s">
        <v>3459</v>
      </c>
      <c r="AD2412" t="s">
        <v>158</v>
      </c>
      <c r="AE2412" t="s">
        <v>122</v>
      </c>
      <c r="AF2412" t="s">
        <v>21</v>
      </c>
    </row>
    <row r="2413" spans="1:32">
      <c r="A2413" t="s">
        <v>3460</v>
      </c>
      <c r="B2413" s="37">
        <v>39909</v>
      </c>
      <c r="C2413" s="38">
        <v>39909</v>
      </c>
      <c r="D2413" s="38">
        <v>39909</v>
      </c>
      <c r="E2413" s="38">
        <v>39904</v>
      </c>
      <c r="F2413" s="39">
        <v>4</v>
      </c>
      <c r="G2413" t="s">
        <v>21</v>
      </c>
      <c r="H2413" t="s">
        <v>21</v>
      </c>
      <c r="I2413">
        <v>0</v>
      </c>
      <c r="J2413">
        <v>0</v>
      </c>
      <c r="K2413">
        <v>0</v>
      </c>
      <c r="L2413">
        <v>1</v>
      </c>
      <c r="M2413">
        <v>0</v>
      </c>
      <c r="N2413" t="s">
        <v>202</v>
      </c>
      <c r="O2413" t="s">
        <v>213</v>
      </c>
      <c r="P2413" t="s">
        <v>211</v>
      </c>
      <c r="Q2413" t="s">
        <v>170</v>
      </c>
      <c r="R2413" t="s">
        <v>155</v>
      </c>
      <c r="T2413" t="s">
        <v>134</v>
      </c>
      <c r="U2413">
        <v>1</v>
      </c>
      <c r="W2413" t="s">
        <v>134</v>
      </c>
      <c r="X2413">
        <v>1</v>
      </c>
      <c r="Y2413" t="s">
        <v>139</v>
      </c>
      <c r="Z2413" t="s">
        <v>178</v>
      </c>
      <c r="AA2413" t="s">
        <v>147</v>
      </c>
      <c r="AB2413" t="s">
        <v>163</v>
      </c>
      <c r="AC2413" t="s">
        <v>1373</v>
      </c>
      <c r="AD2413" t="s">
        <v>155</v>
      </c>
      <c r="AE2413" t="s">
        <v>454</v>
      </c>
      <c r="AF2413" t="s">
        <v>21</v>
      </c>
    </row>
    <row r="2414" spans="1:32">
      <c r="A2414" t="s">
        <v>3461</v>
      </c>
      <c r="B2414" s="37">
        <v>39924</v>
      </c>
      <c r="C2414" s="38">
        <v>39924</v>
      </c>
      <c r="D2414" s="38">
        <v>39923</v>
      </c>
      <c r="E2414" s="38">
        <v>39904</v>
      </c>
      <c r="F2414" s="39">
        <v>19</v>
      </c>
      <c r="G2414" t="s">
        <v>21</v>
      </c>
      <c r="H2414" t="s">
        <v>21</v>
      </c>
      <c r="I2414">
        <v>0</v>
      </c>
      <c r="J2414">
        <v>0</v>
      </c>
      <c r="K2414">
        <v>0</v>
      </c>
      <c r="L2414">
        <v>1</v>
      </c>
      <c r="M2414">
        <v>0</v>
      </c>
      <c r="N2414" t="s">
        <v>202</v>
      </c>
      <c r="O2414" t="s">
        <v>213</v>
      </c>
      <c r="P2414" t="s">
        <v>211</v>
      </c>
      <c r="Q2414" t="s">
        <v>170</v>
      </c>
      <c r="R2414" t="s">
        <v>155</v>
      </c>
      <c r="T2414" t="s">
        <v>134</v>
      </c>
      <c r="U2414">
        <v>1</v>
      </c>
      <c r="W2414" t="s">
        <v>134</v>
      </c>
      <c r="X2414">
        <v>1</v>
      </c>
      <c r="Y2414" t="s">
        <v>139</v>
      </c>
      <c r="Z2414" t="s">
        <v>178</v>
      </c>
      <c r="AA2414" t="s">
        <v>142</v>
      </c>
      <c r="AB2414" t="s">
        <v>163</v>
      </c>
      <c r="AC2414" t="s">
        <v>173</v>
      </c>
      <c r="AD2414" t="s">
        <v>155</v>
      </c>
      <c r="AE2414" t="s">
        <v>124</v>
      </c>
      <c r="AF2414" t="s">
        <v>21</v>
      </c>
    </row>
    <row r="2415" spans="1:32">
      <c r="A2415" t="s">
        <v>3462</v>
      </c>
      <c r="B2415" s="37">
        <v>40042</v>
      </c>
      <c r="C2415" s="38">
        <v>40042</v>
      </c>
      <c r="D2415" s="38">
        <v>40042</v>
      </c>
      <c r="E2415" s="38">
        <v>40026</v>
      </c>
      <c r="F2415" s="39">
        <v>137</v>
      </c>
      <c r="G2415" t="s">
        <v>21</v>
      </c>
      <c r="H2415" t="s">
        <v>21</v>
      </c>
      <c r="I2415">
        <v>0</v>
      </c>
      <c r="J2415">
        <v>0</v>
      </c>
      <c r="K2415">
        <v>0</v>
      </c>
      <c r="L2415">
        <v>1</v>
      </c>
      <c r="M2415">
        <v>0</v>
      </c>
      <c r="N2415" t="s">
        <v>193</v>
      </c>
      <c r="O2415" t="s">
        <v>213</v>
      </c>
      <c r="P2415" t="s">
        <v>204</v>
      </c>
      <c r="Q2415" t="s">
        <v>170</v>
      </c>
      <c r="R2415" t="s">
        <v>155</v>
      </c>
      <c r="S2415">
        <v>5</v>
      </c>
      <c r="T2415" t="s">
        <v>135</v>
      </c>
      <c r="U2415">
        <v>0</v>
      </c>
      <c r="V2415">
        <v>4</v>
      </c>
      <c r="W2415" t="s">
        <v>137</v>
      </c>
      <c r="X2415">
        <v>0</v>
      </c>
      <c r="Y2415" t="s">
        <v>140</v>
      </c>
      <c r="Z2415" t="s">
        <v>178</v>
      </c>
      <c r="AA2415" t="s">
        <v>145</v>
      </c>
      <c r="AB2415" t="s">
        <v>162</v>
      </c>
      <c r="AC2415" t="s">
        <v>174</v>
      </c>
      <c r="AD2415" t="s">
        <v>159</v>
      </c>
      <c r="AE2415" t="s">
        <v>123</v>
      </c>
      <c r="AF2415" t="s">
        <v>123</v>
      </c>
    </row>
    <row r="2416" spans="1:32">
      <c r="A2416" t="s">
        <v>3463</v>
      </c>
      <c r="B2416" s="37">
        <v>40008</v>
      </c>
      <c r="C2416" s="38">
        <v>40008</v>
      </c>
      <c r="D2416" s="38">
        <v>40007</v>
      </c>
      <c r="E2416" s="38">
        <v>39995</v>
      </c>
      <c r="F2416" s="39">
        <v>103</v>
      </c>
      <c r="G2416" t="s">
        <v>21</v>
      </c>
      <c r="H2416" t="s">
        <v>21</v>
      </c>
      <c r="I2416">
        <v>0</v>
      </c>
      <c r="J2416">
        <v>0</v>
      </c>
      <c r="K2416">
        <v>0</v>
      </c>
      <c r="L2416">
        <v>1</v>
      </c>
      <c r="M2416">
        <v>0</v>
      </c>
      <c r="N2416" t="s">
        <v>196</v>
      </c>
      <c r="O2416" t="s">
        <v>213</v>
      </c>
      <c r="P2416" t="s">
        <v>207</v>
      </c>
      <c r="Q2416" t="s">
        <v>170</v>
      </c>
      <c r="R2416" t="s">
        <v>155</v>
      </c>
      <c r="S2416">
        <v>1</v>
      </c>
      <c r="T2416" t="s">
        <v>136</v>
      </c>
      <c r="U2416">
        <v>0</v>
      </c>
      <c r="V2416">
        <v>5</v>
      </c>
      <c r="W2416" t="s">
        <v>135</v>
      </c>
      <c r="X2416">
        <v>0</v>
      </c>
      <c r="Y2416" t="s">
        <v>139</v>
      </c>
      <c r="Z2416" t="s">
        <v>178</v>
      </c>
      <c r="AA2416" t="s">
        <v>142</v>
      </c>
      <c r="AB2416" t="s">
        <v>163</v>
      </c>
      <c r="AC2416" t="s">
        <v>173</v>
      </c>
      <c r="AD2416" t="s">
        <v>155</v>
      </c>
      <c r="AE2416" t="s">
        <v>792</v>
      </c>
      <c r="AF2416" t="s">
        <v>21</v>
      </c>
    </row>
    <row r="2417" spans="1:32">
      <c r="A2417" t="s">
        <v>3464</v>
      </c>
      <c r="B2417" s="37">
        <v>39918</v>
      </c>
      <c r="C2417" s="38">
        <v>39918</v>
      </c>
      <c r="D2417" s="38">
        <v>39916</v>
      </c>
      <c r="E2417" s="38">
        <v>39904</v>
      </c>
      <c r="F2417" s="39">
        <v>13</v>
      </c>
      <c r="G2417" t="s">
        <v>9</v>
      </c>
      <c r="H2417" t="s">
        <v>9</v>
      </c>
      <c r="I2417">
        <v>1</v>
      </c>
      <c r="J2417">
        <v>0</v>
      </c>
      <c r="K2417">
        <v>0</v>
      </c>
      <c r="L2417">
        <v>0</v>
      </c>
      <c r="M2417">
        <v>1</v>
      </c>
      <c r="N2417" t="s">
        <v>194</v>
      </c>
      <c r="O2417" t="s">
        <v>213</v>
      </c>
      <c r="P2417" t="s">
        <v>205</v>
      </c>
      <c r="Q2417" t="s">
        <v>170</v>
      </c>
      <c r="R2417" t="s">
        <v>155</v>
      </c>
      <c r="T2417" t="s">
        <v>134</v>
      </c>
      <c r="U2417">
        <v>1</v>
      </c>
      <c r="W2417" t="s">
        <v>134</v>
      </c>
      <c r="X2417">
        <v>1</v>
      </c>
      <c r="Y2417" t="s">
        <v>139</v>
      </c>
      <c r="Z2417" t="s">
        <v>178</v>
      </c>
      <c r="AA2417" t="s">
        <v>148</v>
      </c>
      <c r="AB2417" t="s">
        <v>162</v>
      </c>
      <c r="AC2417" t="s">
        <v>21</v>
      </c>
      <c r="AD2417" t="s">
        <v>159</v>
      </c>
      <c r="AE2417" t="s">
        <v>126</v>
      </c>
      <c r="AF2417" t="s">
        <v>601</v>
      </c>
    </row>
    <row r="2418" spans="1:32">
      <c r="A2418" t="s">
        <v>3465</v>
      </c>
      <c r="B2418" s="37">
        <v>39924</v>
      </c>
      <c r="C2418" s="38">
        <v>39924</v>
      </c>
      <c r="D2418" s="38">
        <v>39923</v>
      </c>
      <c r="E2418" s="38">
        <v>39904</v>
      </c>
      <c r="F2418" s="39">
        <v>19</v>
      </c>
      <c r="G2418" t="s">
        <v>380</v>
      </c>
      <c r="H2418" t="s">
        <v>17</v>
      </c>
      <c r="I2418">
        <v>0</v>
      </c>
      <c r="J2418">
        <v>0</v>
      </c>
      <c r="K2418">
        <v>1</v>
      </c>
      <c r="L2418">
        <v>0</v>
      </c>
      <c r="M2418">
        <v>0</v>
      </c>
      <c r="N2418" t="s">
        <v>193</v>
      </c>
      <c r="O2418" t="s">
        <v>213</v>
      </c>
      <c r="P2418" t="s">
        <v>204</v>
      </c>
      <c r="Q2418" t="s">
        <v>170</v>
      </c>
      <c r="R2418" t="s">
        <v>155</v>
      </c>
      <c r="T2418" t="s">
        <v>134</v>
      </c>
      <c r="U2418">
        <v>1</v>
      </c>
      <c r="W2418" t="s">
        <v>134</v>
      </c>
      <c r="X2418">
        <v>1</v>
      </c>
      <c r="Y2418" t="s">
        <v>140</v>
      </c>
      <c r="Z2418" t="s">
        <v>179</v>
      </c>
      <c r="AA2418" t="s">
        <v>143</v>
      </c>
      <c r="AB2418" t="s">
        <v>162</v>
      </c>
      <c r="AC2418" t="s">
        <v>176</v>
      </c>
      <c r="AD2418" t="s">
        <v>155</v>
      </c>
      <c r="AE2418" t="s">
        <v>130</v>
      </c>
      <c r="AF2418" t="s">
        <v>21</v>
      </c>
    </row>
    <row r="2419" spans="1:32">
      <c r="A2419" t="s">
        <v>3466</v>
      </c>
      <c r="B2419" s="37">
        <v>39966</v>
      </c>
      <c r="C2419" s="38">
        <v>39966</v>
      </c>
      <c r="D2419" s="38">
        <v>39965</v>
      </c>
      <c r="E2419" s="38">
        <v>39965</v>
      </c>
      <c r="F2419" s="39">
        <v>61</v>
      </c>
      <c r="G2419" t="s">
        <v>21</v>
      </c>
      <c r="H2419" t="s">
        <v>21</v>
      </c>
      <c r="I2419">
        <v>0</v>
      </c>
      <c r="J2419">
        <v>0</v>
      </c>
      <c r="K2419">
        <v>0</v>
      </c>
      <c r="L2419">
        <v>1</v>
      </c>
      <c r="M2419">
        <v>0</v>
      </c>
      <c r="N2419" t="s">
        <v>193</v>
      </c>
      <c r="O2419" t="s">
        <v>213</v>
      </c>
      <c r="P2419" t="s">
        <v>204</v>
      </c>
      <c r="Q2419" t="s">
        <v>170</v>
      </c>
      <c r="R2419" t="s">
        <v>155</v>
      </c>
      <c r="T2419" t="s">
        <v>134</v>
      </c>
      <c r="U2419">
        <v>1</v>
      </c>
      <c r="W2419" t="s">
        <v>134</v>
      </c>
      <c r="X2419">
        <v>1</v>
      </c>
      <c r="Y2419" t="s">
        <v>140</v>
      </c>
      <c r="Z2419" t="s">
        <v>179</v>
      </c>
      <c r="AA2419" t="s">
        <v>144</v>
      </c>
      <c r="AB2419" t="s">
        <v>163</v>
      </c>
      <c r="AC2419" t="s">
        <v>173</v>
      </c>
      <c r="AD2419" t="s">
        <v>155</v>
      </c>
      <c r="AE2419" t="s">
        <v>962</v>
      </c>
      <c r="AF2419" t="s">
        <v>21</v>
      </c>
    </row>
    <row r="2420" spans="1:32">
      <c r="A2420" t="s">
        <v>3467</v>
      </c>
      <c r="B2420" s="37">
        <v>40004</v>
      </c>
      <c r="C2420" s="38">
        <v>40004</v>
      </c>
      <c r="D2420" s="38">
        <v>40000</v>
      </c>
      <c r="E2420" s="38">
        <v>39995</v>
      </c>
      <c r="F2420" s="39">
        <v>99</v>
      </c>
      <c r="G2420" t="s">
        <v>383</v>
      </c>
      <c r="H2420" t="s">
        <v>17</v>
      </c>
      <c r="I2420">
        <v>0</v>
      </c>
      <c r="J2420">
        <v>0</v>
      </c>
      <c r="K2420">
        <v>1</v>
      </c>
      <c r="L2420">
        <v>0</v>
      </c>
      <c r="M2420">
        <v>0</v>
      </c>
      <c r="N2420" t="s">
        <v>194</v>
      </c>
      <c r="O2420" t="s">
        <v>213</v>
      </c>
      <c r="P2420" t="s">
        <v>205</v>
      </c>
      <c r="Q2420" t="s">
        <v>170</v>
      </c>
      <c r="R2420" t="s">
        <v>155</v>
      </c>
      <c r="T2420" t="s">
        <v>134</v>
      </c>
      <c r="U2420">
        <v>1</v>
      </c>
      <c r="V2420">
        <v>5</v>
      </c>
      <c r="W2420" t="s">
        <v>135</v>
      </c>
      <c r="X2420">
        <v>0</v>
      </c>
      <c r="Y2420" t="s">
        <v>139</v>
      </c>
      <c r="Z2420" t="s">
        <v>179</v>
      </c>
      <c r="AA2420" t="s">
        <v>144</v>
      </c>
      <c r="AB2420" t="s">
        <v>162</v>
      </c>
      <c r="AC2420" t="s">
        <v>21</v>
      </c>
      <c r="AD2420" t="s">
        <v>160</v>
      </c>
      <c r="AE2420" t="s">
        <v>126</v>
      </c>
      <c r="AF2420" t="s">
        <v>3468</v>
      </c>
    </row>
    <row r="2421" spans="1:32">
      <c r="A2421" t="s">
        <v>3469</v>
      </c>
      <c r="B2421" s="37">
        <v>39950</v>
      </c>
      <c r="C2421" s="38">
        <v>39950</v>
      </c>
      <c r="D2421" s="38">
        <v>39944</v>
      </c>
      <c r="E2421" s="38">
        <v>39934</v>
      </c>
      <c r="F2421" s="39">
        <v>45</v>
      </c>
      <c r="G2421" t="s">
        <v>21</v>
      </c>
      <c r="H2421" t="s">
        <v>21</v>
      </c>
      <c r="I2421">
        <v>0</v>
      </c>
      <c r="J2421">
        <v>0</v>
      </c>
      <c r="K2421">
        <v>0</v>
      </c>
      <c r="L2421">
        <v>1</v>
      </c>
      <c r="M2421">
        <v>0</v>
      </c>
      <c r="N2421" t="s">
        <v>193</v>
      </c>
      <c r="O2421" t="s">
        <v>213</v>
      </c>
      <c r="P2421" t="s">
        <v>204</v>
      </c>
      <c r="Q2421" t="s">
        <v>170</v>
      </c>
      <c r="R2421" t="s">
        <v>155</v>
      </c>
      <c r="T2421" t="s">
        <v>134</v>
      </c>
      <c r="U2421">
        <v>1</v>
      </c>
      <c r="W2421" t="s">
        <v>134</v>
      </c>
      <c r="X2421">
        <v>1</v>
      </c>
      <c r="Y2421" t="s">
        <v>140</v>
      </c>
      <c r="Z2421" t="s">
        <v>179</v>
      </c>
      <c r="AA2421" t="s">
        <v>143</v>
      </c>
      <c r="AB2421" t="s">
        <v>163</v>
      </c>
      <c r="AC2421" t="s">
        <v>3006</v>
      </c>
      <c r="AD2421" t="s">
        <v>155</v>
      </c>
      <c r="AE2421" t="s">
        <v>127</v>
      </c>
      <c r="AF2421" t="s">
        <v>21</v>
      </c>
    </row>
    <row r="2422" spans="1:32">
      <c r="A2422" t="s">
        <v>3470</v>
      </c>
      <c r="B2422" s="37">
        <v>39950</v>
      </c>
      <c r="C2422" s="38">
        <v>39950</v>
      </c>
      <c r="D2422" s="38">
        <v>39944</v>
      </c>
      <c r="E2422" s="38">
        <v>39934</v>
      </c>
      <c r="F2422" s="39">
        <v>45</v>
      </c>
      <c r="G2422" t="s">
        <v>496</v>
      </c>
      <c r="H2422" t="s">
        <v>13</v>
      </c>
      <c r="I2422">
        <v>0</v>
      </c>
      <c r="J2422">
        <v>1</v>
      </c>
      <c r="K2422">
        <v>0</v>
      </c>
      <c r="L2422">
        <v>0</v>
      </c>
      <c r="M2422">
        <v>1</v>
      </c>
      <c r="N2422" t="s">
        <v>193</v>
      </c>
      <c r="O2422" t="s">
        <v>213</v>
      </c>
      <c r="P2422" t="s">
        <v>204</v>
      </c>
      <c r="Q2422" t="s">
        <v>170</v>
      </c>
      <c r="R2422" t="s">
        <v>155</v>
      </c>
      <c r="T2422" t="s">
        <v>134</v>
      </c>
      <c r="U2422">
        <v>1</v>
      </c>
      <c r="W2422" t="s">
        <v>134</v>
      </c>
      <c r="X2422">
        <v>1</v>
      </c>
      <c r="Y2422" t="s">
        <v>140</v>
      </c>
      <c r="Z2422" t="s">
        <v>178</v>
      </c>
      <c r="AA2422" t="s">
        <v>148</v>
      </c>
      <c r="AB2422" t="s">
        <v>163</v>
      </c>
      <c r="AC2422" t="s">
        <v>173</v>
      </c>
      <c r="AD2422" t="s">
        <v>155</v>
      </c>
      <c r="AE2422" t="s">
        <v>124</v>
      </c>
      <c r="AF2422" t="s">
        <v>21</v>
      </c>
    </row>
    <row r="2423" spans="1:32">
      <c r="A2423" t="s">
        <v>3471</v>
      </c>
      <c r="B2423" s="37">
        <v>40037</v>
      </c>
      <c r="C2423" s="38">
        <v>40037</v>
      </c>
      <c r="D2423" s="38">
        <v>40035</v>
      </c>
      <c r="E2423" s="38">
        <v>40026</v>
      </c>
      <c r="F2423" s="39">
        <v>132</v>
      </c>
      <c r="G2423" t="s">
        <v>380</v>
      </c>
      <c r="H2423" t="s">
        <v>17</v>
      </c>
      <c r="I2423">
        <v>0</v>
      </c>
      <c r="J2423">
        <v>0</v>
      </c>
      <c r="K2423">
        <v>1</v>
      </c>
      <c r="L2423">
        <v>0</v>
      </c>
      <c r="M2423">
        <v>0</v>
      </c>
      <c r="N2423" t="s">
        <v>195</v>
      </c>
      <c r="O2423" t="s">
        <v>213</v>
      </c>
      <c r="P2423" t="s">
        <v>206</v>
      </c>
      <c r="Q2423" t="s">
        <v>170</v>
      </c>
      <c r="R2423" t="s">
        <v>155</v>
      </c>
      <c r="S2423">
        <v>5</v>
      </c>
      <c r="T2423" t="s">
        <v>135</v>
      </c>
      <c r="U2423">
        <v>0</v>
      </c>
      <c r="V2423">
        <v>2</v>
      </c>
      <c r="W2423" t="s">
        <v>136</v>
      </c>
      <c r="X2423">
        <v>0</v>
      </c>
      <c r="Y2423" t="s">
        <v>139</v>
      </c>
      <c r="Z2423" t="s">
        <v>182</v>
      </c>
      <c r="AA2423" t="s">
        <v>151</v>
      </c>
      <c r="AB2423" t="s">
        <v>163</v>
      </c>
      <c r="AC2423" t="s">
        <v>173</v>
      </c>
      <c r="AD2423" t="s">
        <v>161</v>
      </c>
      <c r="AE2423" t="s">
        <v>1364</v>
      </c>
      <c r="AF2423" t="s">
        <v>21</v>
      </c>
    </row>
    <row r="2424" spans="1:32">
      <c r="A2424" t="s">
        <v>3472</v>
      </c>
      <c r="B2424" s="37">
        <v>40029</v>
      </c>
      <c r="C2424" s="38">
        <v>40029</v>
      </c>
      <c r="D2424" s="38">
        <v>40028</v>
      </c>
      <c r="E2424" s="38">
        <v>40026</v>
      </c>
      <c r="F2424" s="39">
        <v>124</v>
      </c>
      <c r="G2424" t="s">
        <v>21</v>
      </c>
      <c r="H2424" t="s">
        <v>21</v>
      </c>
      <c r="I2424">
        <v>0</v>
      </c>
      <c r="J2424">
        <v>0</v>
      </c>
      <c r="K2424">
        <v>0</v>
      </c>
      <c r="L2424">
        <v>1</v>
      </c>
      <c r="M2424">
        <v>0</v>
      </c>
      <c r="N2424" t="s">
        <v>197</v>
      </c>
      <c r="O2424" t="s">
        <v>213</v>
      </c>
      <c r="P2424" t="s">
        <v>209</v>
      </c>
      <c r="Q2424" t="s">
        <v>170</v>
      </c>
      <c r="R2424" t="s">
        <v>155</v>
      </c>
      <c r="S2424">
        <v>5</v>
      </c>
      <c r="T2424" t="s">
        <v>135</v>
      </c>
      <c r="U2424">
        <v>0</v>
      </c>
      <c r="V2424">
        <v>5</v>
      </c>
      <c r="W2424" t="s">
        <v>135</v>
      </c>
      <c r="X2424">
        <v>0</v>
      </c>
      <c r="Y2424" t="s">
        <v>139</v>
      </c>
      <c r="Z2424" t="s">
        <v>182</v>
      </c>
      <c r="AA2424" t="s">
        <v>144</v>
      </c>
      <c r="AB2424" t="s">
        <v>162</v>
      </c>
      <c r="AC2424" t="s">
        <v>175</v>
      </c>
      <c r="AD2424" t="s">
        <v>155</v>
      </c>
      <c r="AE2424" t="s">
        <v>129</v>
      </c>
      <c r="AF2424" t="s">
        <v>21</v>
      </c>
    </row>
    <row r="2425" spans="1:32">
      <c r="A2425" t="s">
        <v>3473</v>
      </c>
      <c r="B2425" s="37">
        <v>40000</v>
      </c>
      <c r="C2425" s="38">
        <v>40000</v>
      </c>
      <c r="D2425" s="38">
        <v>40000</v>
      </c>
      <c r="E2425" s="38">
        <v>39995</v>
      </c>
      <c r="F2425" s="39">
        <v>95</v>
      </c>
      <c r="G2425" t="s">
        <v>21</v>
      </c>
      <c r="H2425" t="s">
        <v>21</v>
      </c>
      <c r="I2425">
        <v>0</v>
      </c>
      <c r="J2425">
        <v>0</v>
      </c>
      <c r="K2425">
        <v>0</v>
      </c>
      <c r="L2425">
        <v>1</v>
      </c>
      <c r="M2425">
        <v>0</v>
      </c>
      <c r="N2425" t="s">
        <v>195</v>
      </c>
      <c r="O2425" t="s">
        <v>213</v>
      </c>
      <c r="P2425" t="s">
        <v>206</v>
      </c>
      <c r="Q2425" t="s">
        <v>170</v>
      </c>
      <c r="R2425" t="s">
        <v>155</v>
      </c>
      <c r="T2425" t="s">
        <v>134</v>
      </c>
      <c r="U2425">
        <v>1</v>
      </c>
      <c r="V2425">
        <v>3</v>
      </c>
      <c r="W2425" t="s">
        <v>137</v>
      </c>
      <c r="X2425">
        <v>0</v>
      </c>
      <c r="Y2425" t="s">
        <v>139</v>
      </c>
      <c r="Z2425" t="s">
        <v>182</v>
      </c>
      <c r="AA2425" t="s">
        <v>142</v>
      </c>
      <c r="AB2425" t="s">
        <v>162</v>
      </c>
      <c r="AC2425" t="s">
        <v>175</v>
      </c>
      <c r="AD2425" t="s">
        <v>155</v>
      </c>
      <c r="AE2425" t="s">
        <v>130</v>
      </c>
      <c r="AF2425" t="s">
        <v>21</v>
      </c>
    </row>
    <row r="2426" spans="1:32">
      <c r="A2426" t="s">
        <v>3474</v>
      </c>
      <c r="B2426" s="37">
        <v>39969</v>
      </c>
      <c r="C2426" s="38">
        <v>39969</v>
      </c>
      <c r="D2426" s="38">
        <v>39965</v>
      </c>
      <c r="E2426" s="38">
        <v>39965</v>
      </c>
      <c r="F2426" s="39">
        <v>64</v>
      </c>
      <c r="G2426" t="s">
        <v>380</v>
      </c>
      <c r="H2426" t="s">
        <v>17</v>
      </c>
      <c r="I2426">
        <v>0</v>
      </c>
      <c r="J2426">
        <v>0</v>
      </c>
      <c r="K2426">
        <v>1</v>
      </c>
      <c r="L2426">
        <v>0</v>
      </c>
      <c r="M2426">
        <v>0</v>
      </c>
      <c r="N2426" t="s">
        <v>195</v>
      </c>
      <c r="O2426" t="s">
        <v>213</v>
      </c>
      <c r="P2426" t="s">
        <v>206</v>
      </c>
      <c r="Q2426" t="s">
        <v>170</v>
      </c>
      <c r="R2426" t="s">
        <v>155</v>
      </c>
      <c r="T2426" t="s">
        <v>134</v>
      </c>
      <c r="U2426">
        <v>1</v>
      </c>
      <c r="W2426" t="s">
        <v>134</v>
      </c>
      <c r="X2426">
        <v>1</v>
      </c>
      <c r="Y2426" t="s">
        <v>139</v>
      </c>
      <c r="Z2426" t="s">
        <v>179</v>
      </c>
      <c r="AA2426" t="s">
        <v>144</v>
      </c>
      <c r="AB2426" t="s">
        <v>163</v>
      </c>
      <c r="AC2426" t="s">
        <v>173</v>
      </c>
      <c r="AD2426" t="s">
        <v>155</v>
      </c>
      <c r="AE2426" t="s">
        <v>454</v>
      </c>
      <c r="AF2426" t="s">
        <v>21</v>
      </c>
    </row>
    <row r="2427" spans="1:32">
      <c r="A2427" t="s">
        <v>3475</v>
      </c>
      <c r="B2427" s="37">
        <v>39925</v>
      </c>
      <c r="C2427" s="38">
        <v>39925</v>
      </c>
      <c r="D2427" s="38">
        <v>39923</v>
      </c>
      <c r="E2427" s="38">
        <v>39904</v>
      </c>
      <c r="F2427" s="39">
        <v>20</v>
      </c>
      <c r="G2427" t="s">
        <v>380</v>
      </c>
      <c r="H2427" t="s">
        <v>17</v>
      </c>
      <c r="I2427">
        <v>0</v>
      </c>
      <c r="J2427">
        <v>0</v>
      </c>
      <c r="K2427">
        <v>1</v>
      </c>
      <c r="L2427">
        <v>0</v>
      </c>
      <c r="M2427">
        <v>0</v>
      </c>
      <c r="N2427" t="s">
        <v>201</v>
      </c>
      <c r="O2427" t="s">
        <v>214</v>
      </c>
      <c r="P2427" t="s">
        <v>204</v>
      </c>
      <c r="Q2427" t="s">
        <v>170</v>
      </c>
      <c r="R2427" t="s">
        <v>155</v>
      </c>
      <c r="T2427" t="s">
        <v>134</v>
      </c>
      <c r="U2427">
        <v>1</v>
      </c>
      <c r="W2427" t="s">
        <v>134</v>
      </c>
      <c r="X2427">
        <v>1</v>
      </c>
      <c r="Y2427" t="s">
        <v>140</v>
      </c>
      <c r="Z2427" t="s">
        <v>178</v>
      </c>
      <c r="AA2427" t="s">
        <v>143</v>
      </c>
      <c r="AB2427" t="s">
        <v>163</v>
      </c>
      <c r="AC2427" t="s">
        <v>21</v>
      </c>
      <c r="AD2427" t="s">
        <v>155</v>
      </c>
      <c r="AE2427" t="s">
        <v>124</v>
      </c>
      <c r="AF2427" t="s">
        <v>21</v>
      </c>
    </row>
    <row r="2428" spans="1:32">
      <c r="A2428" t="s">
        <v>3476</v>
      </c>
      <c r="B2428" s="37">
        <v>39982</v>
      </c>
      <c r="C2428" s="38">
        <v>39982</v>
      </c>
      <c r="D2428" s="38">
        <v>39979</v>
      </c>
      <c r="E2428" s="38">
        <v>39965</v>
      </c>
      <c r="F2428" s="39">
        <v>77</v>
      </c>
      <c r="G2428" t="s">
        <v>21</v>
      </c>
      <c r="H2428" t="s">
        <v>21</v>
      </c>
      <c r="I2428">
        <v>0</v>
      </c>
      <c r="J2428">
        <v>0</v>
      </c>
      <c r="K2428">
        <v>0</v>
      </c>
      <c r="L2428">
        <v>1</v>
      </c>
      <c r="M2428">
        <v>0</v>
      </c>
      <c r="N2428" t="s">
        <v>196</v>
      </c>
      <c r="O2428" t="s">
        <v>213</v>
      </c>
      <c r="P2428" t="s">
        <v>207</v>
      </c>
      <c r="Q2428" t="s">
        <v>170</v>
      </c>
      <c r="R2428" t="s">
        <v>155</v>
      </c>
      <c r="T2428" t="s">
        <v>134</v>
      </c>
      <c r="U2428">
        <v>1</v>
      </c>
      <c r="W2428" t="s">
        <v>134</v>
      </c>
      <c r="X2428">
        <v>1</v>
      </c>
      <c r="Y2428" t="s">
        <v>139</v>
      </c>
      <c r="Z2428" t="s">
        <v>178</v>
      </c>
      <c r="AA2428" t="s">
        <v>143</v>
      </c>
      <c r="AB2428" t="s">
        <v>163</v>
      </c>
      <c r="AC2428" t="s">
        <v>173</v>
      </c>
      <c r="AD2428" t="s">
        <v>155</v>
      </c>
      <c r="AE2428" t="s">
        <v>454</v>
      </c>
      <c r="AF2428" t="s">
        <v>21</v>
      </c>
    </row>
    <row r="2429" spans="1:32">
      <c r="A2429" t="s">
        <v>3477</v>
      </c>
      <c r="B2429" s="37">
        <v>40014</v>
      </c>
      <c r="C2429" s="38">
        <v>40014</v>
      </c>
      <c r="D2429" s="38">
        <v>40014</v>
      </c>
      <c r="E2429" s="38">
        <v>39995</v>
      </c>
      <c r="F2429" s="39">
        <v>109</v>
      </c>
      <c r="G2429" t="s">
        <v>21</v>
      </c>
      <c r="H2429" t="s">
        <v>21</v>
      </c>
      <c r="I2429">
        <v>0</v>
      </c>
      <c r="J2429">
        <v>0</v>
      </c>
      <c r="K2429">
        <v>0</v>
      </c>
      <c r="L2429">
        <v>1</v>
      </c>
      <c r="M2429">
        <v>0</v>
      </c>
      <c r="N2429" t="s">
        <v>194</v>
      </c>
      <c r="O2429" t="s">
        <v>213</v>
      </c>
      <c r="P2429" t="s">
        <v>205</v>
      </c>
      <c r="Q2429" t="s">
        <v>170</v>
      </c>
      <c r="R2429" t="s">
        <v>155</v>
      </c>
      <c r="S2429">
        <v>5</v>
      </c>
      <c r="T2429" t="s">
        <v>135</v>
      </c>
      <c r="U2429">
        <v>0</v>
      </c>
      <c r="V2429">
        <v>5</v>
      </c>
      <c r="W2429" t="s">
        <v>135</v>
      </c>
      <c r="X2429">
        <v>0</v>
      </c>
      <c r="Y2429" t="s">
        <v>139</v>
      </c>
      <c r="Z2429" t="s">
        <v>178</v>
      </c>
      <c r="AA2429" t="s">
        <v>146</v>
      </c>
      <c r="AB2429" t="s">
        <v>163</v>
      </c>
      <c r="AC2429" t="s">
        <v>2123</v>
      </c>
      <c r="AD2429" t="s">
        <v>155</v>
      </c>
      <c r="AE2429" t="s">
        <v>387</v>
      </c>
      <c r="AF2429" t="s">
        <v>21</v>
      </c>
    </row>
    <row r="2430" spans="1:32">
      <c r="A2430" t="s">
        <v>3478</v>
      </c>
      <c r="B2430" s="37">
        <v>39954</v>
      </c>
      <c r="C2430" s="38">
        <v>39954</v>
      </c>
      <c r="D2430" s="38">
        <v>39951</v>
      </c>
      <c r="E2430" s="38">
        <v>39934</v>
      </c>
      <c r="F2430" s="39">
        <v>49</v>
      </c>
      <c r="G2430" t="s">
        <v>21</v>
      </c>
      <c r="H2430" t="s">
        <v>21</v>
      </c>
      <c r="I2430">
        <v>0</v>
      </c>
      <c r="J2430">
        <v>0</v>
      </c>
      <c r="K2430">
        <v>0</v>
      </c>
      <c r="L2430">
        <v>1</v>
      </c>
      <c r="M2430">
        <v>0</v>
      </c>
      <c r="N2430" t="s">
        <v>195</v>
      </c>
      <c r="O2430" t="s">
        <v>213</v>
      </c>
      <c r="P2430" t="s">
        <v>206</v>
      </c>
      <c r="Q2430" t="s">
        <v>170</v>
      </c>
      <c r="R2430" t="s">
        <v>155</v>
      </c>
      <c r="T2430" t="s">
        <v>134</v>
      </c>
      <c r="U2430">
        <v>1</v>
      </c>
      <c r="W2430" t="s">
        <v>134</v>
      </c>
      <c r="X2430">
        <v>1</v>
      </c>
      <c r="Y2430" t="s">
        <v>139</v>
      </c>
      <c r="Z2430" t="s">
        <v>178</v>
      </c>
      <c r="AA2430" t="s">
        <v>146</v>
      </c>
      <c r="AB2430" t="s">
        <v>163</v>
      </c>
      <c r="AC2430" t="s">
        <v>173</v>
      </c>
      <c r="AD2430" t="s">
        <v>155</v>
      </c>
      <c r="AE2430" t="s">
        <v>439</v>
      </c>
      <c r="AF2430" t="s">
        <v>21</v>
      </c>
    </row>
    <row r="2431" spans="1:32">
      <c r="A2431" t="s">
        <v>3479</v>
      </c>
      <c r="B2431" s="37">
        <v>40060</v>
      </c>
      <c r="C2431" s="38">
        <v>40060</v>
      </c>
      <c r="D2431" s="38">
        <v>40056</v>
      </c>
      <c r="E2431" s="38">
        <v>40057</v>
      </c>
      <c r="F2431" s="39">
        <v>155</v>
      </c>
      <c r="G2431" t="s">
        <v>21</v>
      </c>
      <c r="H2431" t="s">
        <v>21</v>
      </c>
      <c r="I2431">
        <v>0</v>
      </c>
      <c r="J2431">
        <v>0</v>
      </c>
      <c r="K2431">
        <v>0</v>
      </c>
      <c r="L2431">
        <v>1</v>
      </c>
      <c r="M2431">
        <v>0</v>
      </c>
      <c r="N2431" t="s">
        <v>193</v>
      </c>
      <c r="O2431" t="s">
        <v>213</v>
      </c>
      <c r="P2431" t="s">
        <v>204</v>
      </c>
      <c r="Q2431" t="s">
        <v>170</v>
      </c>
      <c r="R2431" t="s">
        <v>155</v>
      </c>
      <c r="S2431">
        <v>1</v>
      </c>
      <c r="T2431" t="s">
        <v>136</v>
      </c>
      <c r="U2431">
        <v>0</v>
      </c>
      <c r="V2431">
        <v>5</v>
      </c>
      <c r="W2431" t="s">
        <v>135</v>
      </c>
      <c r="X2431">
        <v>0</v>
      </c>
      <c r="Y2431" t="s">
        <v>140</v>
      </c>
      <c r="Z2431" t="s">
        <v>178</v>
      </c>
      <c r="AA2431" t="s">
        <v>145</v>
      </c>
      <c r="AB2431" t="s">
        <v>163</v>
      </c>
      <c r="AC2431" t="s">
        <v>3480</v>
      </c>
      <c r="AD2431" t="s">
        <v>155</v>
      </c>
      <c r="AE2431" t="s">
        <v>128</v>
      </c>
      <c r="AF2431" t="s">
        <v>21</v>
      </c>
    </row>
    <row r="2432" spans="1:32">
      <c r="A2432" t="s">
        <v>3481</v>
      </c>
      <c r="B2432" s="37">
        <v>40068</v>
      </c>
      <c r="C2432" s="38">
        <v>40068</v>
      </c>
      <c r="D2432" s="38">
        <v>40063</v>
      </c>
      <c r="E2432" s="38">
        <v>40057</v>
      </c>
      <c r="F2432" s="39">
        <v>163</v>
      </c>
      <c r="G2432" t="s">
        <v>496</v>
      </c>
      <c r="H2432" t="s">
        <v>13</v>
      </c>
      <c r="I2432">
        <v>0</v>
      </c>
      <c r="J2432">
        <v>1</v>
      </c>
      <c r="K2432">
        <v>0</v>
      </c>
      <c r="L2432">
        <v>0</v>
      </c>
      <c r="M2432">
        <v>1</v>
      </c>
      <c r="N2432" t="s">
        <v>193</v>
      </c>
      <c r="O2432" t="s">
        <v>213</v>
      </c>
      <c r="P2432" t="s">
        <v>204</v>
      </c>
      <c r="Q2432" t="s">
        <v>170</v>
      </c>
      <c r="R2432" t="s">
        <v>155</v>
      </c>
      <c r="S2432">
        <v>3</v>
      </c>
      <c r="T2432" t="s">
        <v>137</v>
      </c>
      <c r="U2432">
        <v>0</v>
      </c>
      <c r="V2432">
        <v>3</v>
      </c>
      <c r="W2432" t="s">
        <v>137</v>
      </c>
      <c r="X2432">
        <v>0</v>
      </c>
      <c r="Y2432" t="s">
        <v>140</v>
      </c>
      <c r="Z2432" t="s">
        <v>190</v>
      </c>
      <c r="AA2432" t="s">
        <v>145</v>
      </c>
      <c r="AB2432" t="s">
        <v>163</v>
      </c>
      <c r="AC2432" t="s">
        <v>415</v>
      </c>
      <c r="AD2432" t="s">
        <v>155</v>
      </c>
      <c r="AE2432" t="s">
        <v>125</v>
      </c>
      <c r="AF2432" t="s">
        <v>21</v>
      </c>
    </row>
    <row r="2433" spans="1:32">
      <c r="A2433" t="s">
        <v>3482</v>
      </c>
      <c r="B2433" s="37">
        <v>39993</v>
      </c>
      <c r="C2433" s="38">
        <v>39993</v>
      </c>
      <c r="D2433" s="38">
        <v>39993</v>
      </c>
      <c r="E2433" s="38">
        <v>39965</v>
      </c>
      <c r="F2433" s="39">
        <v>88</v>
      </c>
      <c r="G2433" t="s">
        <v>380</v>
      </c>
      <c r="H2433" t="s">
        <v>17</v>
      </c>
      <c r="I2433">
        <v>0</v>
      </c>
      <c r="J2433">
        <v>0</v>
      </c>
      <c r="K2433">
        <v>1</v>
      </c>
      <c r="L2433">
        <v>0</v>
      </c>
      <c r="M2433">
        <v>0</v>
      </c>
      <c r="N2433" t="s">
        <v>193</v>
      </c>
      <c r="O2433" t="s">
        <v>213</v>
      </c>
      <c r="P2433" t="s">
        <v>204</v>
      </c>
      <c r="Q2433" t="s">
        <v>170</v>
      </c>
      <c r="R2433" t="s">
        <v>155</v>
      </c>
      <c r="T2433" t="s">
        <v>134</v>
      </c>
      <c r="U2433">
        <v>1</v>
      </c>
      <c r="V2433">
        <v>2</v>
      </c>
      <c r="W2433" t="s">
        <v>136</v>
      </c>
      <c r="X2433">
        <v>0</v>
      </c>
      <c r="Y2433" t="s">
        <v>140</v>
      </c>
      <c r="Z2433" t="s">
        <v>190</v>
      </c>
      <c r="AA2433" t="s">
        <v>144</v>
      </c>
      <c r="AB2433" t="s">
        <v>163</v>
      </c>
      <c r="AC2433" t="s">
        <v>21</v>
      </c>
      <c r="AD2433" t="s">
        <v>155</v>
      </c>
      <c r="AE2433" t="s">
        <v>124</v>
      </c>
      <c r="AF2433" t="s">
        <v>21</v>
      </c>
    </row>
    <row r="2434" spans="1:32">
      <c r="A2434" t="s">
        <v>3483</v>
      </c>
      <c r="B2434" s="37">
        <v>39979</v>
      </c>
      <c r="C2434" s="38">
        <v>39979</v>
      </c>
      <c r="D2434" s="38">
        <v>39979</v>
      </c>
      <c r="E2434" s="38">
        <v>39965</v>
      </c>
      <c r="F2434" s="39">
        <v>74</v>
      </c>
      <c r="G2434" t="s">
        <v>383</v>
      </c>
      <c r="H2434" t="s">
        <v>17</v>
      </c>
      <c r="I2434">
        <v>0</v>
      </c>
      <c r="J2434">
        <v>0</v>
      </c>
      <c r="K2434">
        <v>1</v>
      </c>
      <c r="L2434">
        <v>0</v>
      </c>
      <c r="M2434">
        <v>0</v>
      </c>
      <c r="N2434" t="s">
        <v>193</v>
      </c>
      <c r="O2434" t="s">
        <v>213</v>
      </c>
      <c r="P2434" t="s">
        <v>204</v>
      </c>
      <c r="Q2434" t="s">
        <v>170</v>
      </c>
      <c r="R2434" t="s">
        <v>155</v>
      </c>
      <c r="T2434" t="s">
        <v>134</v>
      </c>
      <c r="U2434">
        <v>1</v>
      </c>
      <c r="W2434" t="s">
        <v>134</v>
      </c>
      <c r="X2434">
        <v>1</v>
      </c>
      <c r="Y2434" t="s">
        <v>140</v>
      </c>
      <c r="Z2434" t="s">
        <v>433</v>
      </c>
      <c r="AA2434" t="s">
        <v>142</v>
      </c>
      <c r="AB2434" t="s">
        <v>163</v>
      </c>
      <c r="AC2434" t="s">
        <v>3484</v>
      </c>
      <c r="AD2434" t="s">
        <v>155</v>
      </c>
      <c r="AE2434" t="s">
        <v>467</v>
      </c>
      <c r="AF2434" t="s">
        <v>21</v>
      </c>
    </row>
    <row r="2435" spans="1:32">
      <c r="A2435" t="s">
        <v>3485</v>
      </c>
      <c r="B2435" s="37">
        <v>39933</v>
      </c>
      <c r="C2435" s="38">
        <v>39933</v>
      </c>
      <c r="D2435" s="38">
        <v>39930</v>
      </c>
      <c r="E2435" s="38">
        <v>39904</v>
      </c>
      <c r="F2435" s="39">
        <v>28</v>
      </c>
      <c r="G2435" t="s">
        <v>21</v>
      </c>
      <c r="H2435" t="s">
        <v>21</v>
      </c>
      <c r="I2435">
        <v>0</v>
      </c>
      <c r="J2435">
        <v>0</v>
      </c>
      <c r="K2435">
        <v>0</v>
      </c>
      <c r="L2435">
        <v>1</v>
      </c>
      <c r="M2435">
        <v>0</v>
      </c>
      <c r="N2435" t="s">
        <v>201</v>
      </c>
      <c r="O2435" t="s">
        <v>214</v>
      </c>
      <c r="P2435" t="s">
        <v>204</v>
      </c>
      <c r="Q2435" t="s">
        <v>170</v>
      </c>
      <c r="R2435" t="s">
        <v>155</v>
      </c>
      <c r="T2435" t="s">
        <v>134</v>
      </c>
      <c r="U2435">
        <v>1</v>
      </c>
      <c r="W2435" t="s">
        <v>134</v>
      </c>
      <c r="X2435">
        <v>1</v>
      </c>
      <c r="Y2435" t="s">
        <v>140</v>
      </c>
      <c r="Z2435" t="s">
        <v>433</v>
      </c>
      <c r="AA2435" t="s">
        <v>142</v>
      </c>
      <c r="AB2435" t="s">
        <v>162</v>
      </c>
      <c r="AC2435" t="s">
        <v>619</v>
      </c>
      <c r="AD2435" t="s">
        <v>156</v>
      </c>
      <c r="AE2435" t="s">
        <v>120</v>
      </c>
      <c r="AF2435" t="s">
        <v>1449</v>
      </c>
    </row>
    <row r="2436" spans="1:32">
      <c r="A2436" t="s">
        <v>3486</v>
      </c>
      <c r="B2436" s="37">
        <v>39945</v>
      </c>
      <c r="C2436" s="38">
        <v>39945</v>
      </c>
      <c r="D2436" s="38">
        <v>39944</v>
      </c>
      <c r="E2436" s="38">
        <v>39934</v>
      </c>
      <c r="F2436" s="39">
        <v>40</v>
      </c>
      <c r="G2436" t="s">
        <v>21</v>
      </c>
      <c r="H2436" t="s">
        <v>21</v>
      </c>
      <c r="I2436">
        <v>0</v>
      </c>
      <c r="J2436">
        <v>0</v>
      </c>
      <c r="K2436">
        <v>0</v>
      </c>
      <c r="L2436">
        <v>1</v>
      </c>
      <c r="M2436">
        <v>0</v>
      </c>
      <c r="N2436" t="s">
        <v>194</v>
      </c>
      <c r="O2436" t="s">
        <v>213</v>
      </c>
      <c r="P2436" t="s">
        <v>205</v>
      </c>
      <c r="Q2436" t="s">
        <v>170</v>
      </c>
      <c r="R2436" t="s">
        <v>155</v>
      </c>
      <c r="T2436" t="s">
        <v>134</v>
      </c>
      <c r="U2436">
        <v>1</v>
      </c>
      <c r="W2436" t="s">
        <v>134</v>
      </c>
      <c r="X2436">
        <v>1</v>
      </c>
      <c r="Y2436" t="s">
        <v>139</v>
      </c>
      <c r="Z2436" t="s">
        <v>433</v>
      </c>
      <c r="AA2436" t="s">
        <v>142</v>
      </c>
      <c r="AB2436" t="s">
        <v>162</v>
      </c>
      <c r="AC2436" t="s">
        <v>174</v>
      </c>
      <c r="AD2436" t="s">
        <v>160</v>
      </c>
      <c r="AE2436" t="s">
        <v>126</v>
      </c>
      <c r="AF2436" t="s">
        <v>3448</v>
      </c>
    </row>
    <row r="2437" spans="1:32">
      <c r="A2437" t="s">
        <v>3487</v>
      </c>
      <c r="B2437" s="37">
        <v>39948</v>
      </c>
      <c r="C2437" s="38">
        <v>39948</v>
      </c>
      <c r="D2437" s="38">
        <v>39944</v>
      </c>
      <c r="E2437" s="38">
        <v>39934</v>
      </c>
      <c r="F2437" s="39">
        <v>43</v>
      </c>
      <c r="G2437" t="s">
        <v>21</v>
      </c>
      <c r="H2437" t="s">
        <v>21</v>
      </c>
      <c r="I2437">
        <v>0</v>
      </c>
      <c r="J2437">
        <v>0</v>
      </c>
      <c r="K2437">
        <v>0</v>
      </c>
      <c r="L2437">
        <v>1</v>
      </c>
      <c r="M2437">
        <v>0</v>
      </c>
      <c r="N2437" t="s">
        <v>193</v>
      </c>
      <c r="O2437" t="s">
        <v>213</v>
      </c>
      <c r="P2437" t="s">
        <v>204</v>
      </c>
      <c r="Q2437" t="s">
        <v>170</v>
      </c>
      <c r="R2437" t="s">
        <v>155</v>
      </c>
      <c r="T2437" t="s">
        <v>134</v>
      </c>
      <c r="U2437">
        <v>1</v>
      </c>
      <c r="W2437" t="s">
        <v>134</v>
      </c>
      <c r="X2437">
        <v>1</v>
      </c>
      <c r="Y2437" t="s">
        <v>140</v>
      </c>
      <c r="Z2437" t="s">
        <v>185</v>
      </c>
      <c r="AA2437" t="s">
        <v>142</v>
      </c>
      <c r="AB2437" t="s">
        <v>162</v>
      </c>
      <c r="AC2437" t="s">
        <v>174</v>
      </c>
      <c r="AD2437" t="s">
        <v>157</v>
      </c>
      <c r="AE2437" t="s">
        <v>434</v>
      </c>
      <c r="AF2437" t="s">
        <v>435</v>
      </c>
    </row>
    <row r="2438" spans="1:32">
      <c r="A2438" t="s">
        <v>3488</v>
      </c>
      <c r="B2438" s="37">
        <v>39972</v>
      </c>
      <c r="C2438" s="38">
        <v>39972</v>
      </c>
      <c r="D2438" s="38">
        <v>39972</v>
      </c>
      <c r="E2438" s="38">
        <v>39965</v>
      </c>
      <c r="F2438" s="39">
        <v>67</v>
      </c>
      <c r="G2438" t="s">
        <v>21</v>
      </c>
      <c r="H2438" t="s">
        <v>21</v>
      </c>
      <c r="I2438">
        <v>0</v>
      </c>
      <c r="J2438">
        <v>0</v>
      </c>
      <c r="K2438">
        <v>0</v>
      </c>
      <c r="L2438">
        <v>1</v>
      </c>
      <c r="M2438">
        <v>0</v>
      </c>
      <c r="N2438" t="s">
        <v>193</v>
      </c>
      <c r="O2438" t="s">
        <v>213</v>
      </c>
      <c r="P2438" t="s">
        <v>204</v>
      </c>
      <c r="Q2438" t="s">
        <v>170</v>
      </c>
      <c r="R2438" t="s">
        <v>155</v>
      </c>
      <c r="T2438" t="s">
        <v>134</v>
      </c>
      <c r="U2438">
        <v>1</v>
      </c>
      <c r="W2438" t="s">
        <v>134</v>
      </c>
      <c r="X2438">
        <v>1</v>
      </c>
      <c r="Y2438" t="s">
        <v>140</v>
      </c>
      <c r="Z2438" t="s">
        <v>185</v>
      </c>
      <c r="AA2438" t="s">
        <v>144</v>
      </c>
      <c r="AB2438" t="s">
        <v>162</v>
      </c>
      <c r="AC2438" t="s">
        <v>174</v>
      </c>
      <c r="AD2438" t="s">
        <v>156</v>
      </c>
      <c r="AE2438" t="s">
        <v>120</v>
      </c>
      <c r="AF2438" t="s">
        <v>827</v>
      </c>
    </row>
    <row r="2439" spans="1:32">
      <c r="A2439" t="s">
        <v>3489</v>
      </c>
      <c r="B2439" s="37">
        <v>39936</v>
      </c>
      <c r="C2439" s="38">
        <v>39936</v>
      </c>
      <c r="D2439" s="38">
        <v>39930</v>
      </c>
      <c r="E2439" s="38">
        <v>39934</v>
      </c>
      <c r="F2439" s="39">
        <v>31</v>
      </c>
      <c r="G2439" t="s">
        <v>496</v>
      </c>
      <c r="H2439" t="s">
        <v>13</v>
      </c>
      <c r="I2439">
        <v>0</v>
      </c>
      <c r="J2439">
        <v>1</v>
      </c>
      <c r="K2439">
        <v>0</v>
      </c>
      <c r="L2439">
        <v>0</v>
      </c>
      <c r="M2439">
        <v>1</v>
      </c>
      <c r="N2439" t="s">
        <v>201</v>
      </c>
      <c r="O2439" t="s">
        <v>214</v>
      </c>
      <c r="P2439" t="s">
        <v>204</v>
      </c>
      <c r="Q2439" t="s">
        <v>170</v>
      </c>
      <c r="R2439" t="s">
        <v>155</v>
      </c>
      <c r="T2439" t="s">
        <v>134</v>
      </c>
      <c r="U2439">
        <v>1</v>
      </c>
      <c r="W2439" t="s">
        <v>134</v>
      </c>
      <c r="X2439">
        <v>1</v>
      </c>
      <c r="Y2439" t="s">
        <v>140</v>
      </c>
      <c r="Z2439" t="s">
        <v>185</v>
      </c>
      <c r="AA2439" t="s">
        <v>148</v>
      </c>
      <c r="AB2439" t="s">
        <v>162</v>
      </c>
      <c r="AC2439" t="s">
        <v>1797</v>
      </c>
      <c r="AD2439" t="s">
        <v>156</v>
      </c>
      <c r="AE2439" t="s">
        <v>120</v>
      </c>
      <c r="AF2439" t="s">
        <v>620</v>
      </c>
    </row>
    <row r="2440" spans="1:32">
      <c r="A2440" t="s">
        <v>3490</v>
      </c>
      <c r="B2440" s="37">
        <v>39929</v>
      </c>
      <c r="C2440" s="38">
        <v>39929</v>
      </c>
      <c r="D2440" s="38">
        <v>39923</v>
      </c>
      <c r="E2440" s="38">
        <v>39904</v>
      </c>
      <c r="F2440" s="39">
        <v>24</v>
      </c>
      <c r="G2440" t="s">
        <v>21</v>
      </c>
      <c r="H2440" t="s">
        <v>21</v>
      </c>
      <c r="I2440">
        <v>0</v>
      </c>
      <c r="J2440">
        <v>0</v>
      </c>
      <c r="K2440">
        <v>0</v>
      </c>
      <c r="L2440">
        <v>1</v>
      </c>
      <c r="M2440">
        <v>0</v>
      </c>
      <c r="N2440" t="s">
        <v>201</v>
      </c>
      <c r="O2440" t="s">
        <v>214</v>
      </c>
      <c r="P2440" t="s">
        <v>204</v>
      </c>
      <c r="Q2440" t="s">
        <v>170</v>
      </c>
      <c r="R2440" t="s">
        <v>155</v>
      </c>
      <c r="T2440" t="s">
        <v>134</v>
      </c>
      <c r="U2440">
        <v>1</v>
      </c>
      <c r="W2440" t="s">
        <v>134</v>
      </c>
      <c r="X2440">
        <v>1</v>
      </c>
      <c r="Y2440" t="s">
        <v>140</v>
      </c>
      <c r="Z2440" t="s">
        <v>185</v>
      </c>
      <c r="AA2440" t="s">
        <v>148</v>
      </c>
      <c r="AB2440" t="s">
        <v>163</v>
      </c>
      <c r="AC2440" t="s">
        <v>21</v>
      </c>
      <c r="AD2440" t="s">
        <v>161</v>
      </c>
      <c r="AE2440" t="s">
        <v>1253</v>
      </c>
      <c r="AF2440" t="s">
        <v>21</v>
      </c>
    </row>
    <row r="2441" spans="1:32">
      <c r="A2441" t="s">
        <v>3491</v>
      </c>
      <c r="B2441" s="37">
        <v>39953</v>
      </c>
      <c r="C2441" s="38">
        <v>39953</v>
      </c>
      <c r="D2441" s="38">
        <v>39951</v>
      </c>
      <c r="E2441" s="38">
        <v>39934</v>
      </c>
      <c r="F2441" s="39">
        <v>48</v>
      </c>
      <c r="G2441" t="s">
        <v>380</v>
      </c>
      <c r="H2441" t="s">
        <v>17</v>
      </c>
      <c r="I2441">
        <v>0</v>
      </c>
      <c r="J2441">
        <v>0</v>
      </c>
      <c r="K2441">
        <v>1</v>
      </c>
      <c r="L2441">
        <v>0</v>
      </c>
      <c r="M2441">
        <v>0</v>
      </c>
      <c r="N2441" t="s">
        <v>195</v>
      </c>
      <c r="O2441" t="s">
        <v>213</v>
      </c>
      <c r="P2441" t="s">
        <v>206</v>
      </c>
      <c r="Q2441" t="s">
        <v>170</v>
      </c>
      <c r="R2441" t="s">
        <v>155</v>
      </c>
      <c r="T2441" t="s">
        <v>134</v>
      </c>
      <c r="U2441">
        <v>1</v>
      </c>
      <c r="W2441" t="s">
        <v>134</v>
      </c>
      <c r="X2441">
        <v>1</v>
      </c>
      <c r="Y2441" t="s">
        <v>139</v>
      </c>
      <c r="Z2441" t="s">
        <v>185</v>
      </c>
      <c r="AA2441" t="s">
        <v>148</v>
      </c>
      <c r="AB2441" t="s">
        <v>162</v>
      </c>
      <c r="AC2441" t="s">
        <v>174</v>
      </c>
      <c r="AD2441" t="s">
        <v>156</v>
      </c>
      <c r="AE2441" t="s">
        <v>120</v>
      </c>
      <c r="AF2441" t="s">
        <v>1449</v>
      </c>
    </row>
    <row r="2442" spans="1:32">
      <c r="A2442" t="s">
        <v>3492</v>
      </c>
      <c r="B2442" s="37">
        <v>39993</v>
      </c>
      <c r="C2442" s="38">
        <v>39993</v>
      </c>
      <c r="D2442" s="38">
        <v>39993</v>
      </c>
      <c r="E2442" s="38">
        <v>39965</v>
      </c>
      <c r="F2442" s="39">
        <v>88</v>
      </c>
      <c r="G2442" t="s">
        <v>380</v>
      </c>
      <c r="H2442" t="s">
        <v>17</v>
      </c>
      <c r="I2442">
        <v>0</v>
      </c>
      <c r="J2442">
        <v>0</v>
      </c>
      <c r="K2442">
        <v>1</v>
      </c>
      <c r="L2442">
        <v>0</v>
      </c>
      <c r="M2442">
        <v>0</v>
      </c>
      <c r="N2442" t="s">
        <v>194</v>
      </c>
      <c r="O2442" t="s">
        <v>213</v>
      </c>
      <c r="P2442" t="s">
        <v>205</v>
      </c>
      <c r="Q2442" t="s">
        <v>170</v>
      </c>
      <c r="R2442" t="s">
        <v>155</v>
      </c>
      <c r="T2442" t="s">
        <v>134</v>
      </c>
      <c r="U2442">
        <v>1</v>
      </c>
      <c r="V2442">
        <v>5</v>
      </c>
      <c r="W2442" t="s">
        <v>135</v>
      </c>
      <c r="X2442">
        <v>0</v>
      </c>
      <c r="Y2442" t="s">
        <v>139</v>
      </c>
      <c r="Z2442" t="s">
        <v>185</v>
      </c>
      <c r="AA2442" t="s">
        <v>144</v>
      </c>
      <c r="AB2442" t="s">
        <v>162</v>
      </c>
      <c r="AC2442" t="s">
        <v>175</v>
      </c>
      <c r="AD2442" t="s">
        <v>155</v>
      </c>
      <c r="AE2442" t="s">
        <v>129</v>
      </c>
      <c r="AF2442" t="s">
        <v>21</v>
      </c>
    </row>
    <row r="2443" spans="1:32">
      <c r="A2443" t="s">
        <v>3493</v>
      </c>
      <c r="B2443" s="37">
        <v>40062</v>
      </c>
      <c r="C2443" s="38">
        <v>40062</v>
      </c>
      <c r="D2443" s="38">
        <v>40056</v>
      </c>
      <c r="E2443" s="38">
        <v>40057</v>
      </c>
      <c r="F2443" s="39">
        <v>157</v>
      </c>
      <c r="G2443" t="s">
        <v>383</v>
      </c>
      <c r="H2443" t="s">
        <v>17</v>
      </c>
      <c r="I2443">
        <v>0</v>
      </c>
      <c r="J2443">
        <v>0</v>
      </c>
      <c r="K2443">
        <v>1</v>
      </c>
      <c r="L2443">
        <v>0</v>
      </c>
      <c r="M2443">
        <v>0</v>
      </c>
      <c r="N2443" t="s">
        <v>196</v>
      </c>
      <c r="O2443" t="s">
        <v>213</v>
      </c>
      <c r="P2443" t="s">
        <v>207</v>
      </c>
      <c r="Q2443" t="s">
        <v>170</v>
      </c>
      <c r="R2443" t="s">
        <v>155</v>
      </c>
      <c r="S2443">
        <v>5</v>
      </c>
      <c r="T2443" t="s">
        <v>135</v>
      </c>
      <c r="U2443">
        <v>0</v>
      </c>
      <c r="V2443">
        <v>5</v>
      </c>
      <c r="W2443" t="s">
        <v>135</v>
      </c>
      <c r="X2443">
        <v>0</v>
      </c>
      <c r="Y2443" t="s">
        <v>139</v>
      </c>
      <c r="Z2443" t="s">
        <v>185</v>
      </c>
      <c r="AA2443" t="s">
        <v>144</v>
      </c>
      <c r="AB2443" t="s">
        <v>162</v>
      </c>
      <c r="AC2443" t="s">
        <v>174</v>
      </c>
      <c r="AD2443" t="s">
        <v>156</v>
      </c>
      <c r="AE2443" t="s">
        <v>120</v>
      </c>
      <c r="AF2443" t="s">
        <v>1829</v>
      </c>
    </row>
    <row r="2444" spans="1:32">
      <c r="A2444" t="s">
        <v>3494</v>
      </c>
      <c r="B2444" s="37">
        <v>39941</v>
      </c>
      <c r="C2444" s="38">
        <v>39941</v>
      </c>
      <c r="D2444" s="38">
        <v>39937</v>
      </c>
      <c r="E2444" s="38">
        <v>39934</v>
      </c>
      <c r="F2444" s="39">
        <v>36</v>
      </c>
      <c r="G2444" t="s">
        <v>21</v>
      </c>
      <c r="H2444" t="s">
        <v>21</v>
      </c>
      <c r="I2444">
        <v>0</v>
      </c>
      <c r="J2444">
        <v>0</v>
      </c>
      <c r="K2444">
        <v>0</v>
      </c>
      <c r="L2444">
        <v>1</v>
      </c>
      <c r="M2444">
        <v>0</v>
      </c>
      <c r="N2444" t="s">
        <v>193</v>
      </c>
      <c r="O2444" t="s">
        <v>213</v>
      </c>
      <c r="P2444" t="s">
        <v>204</v>
      </c>
      <c r="Q2444" t="s">
        <v>170</v>
      </c>
      <c r="R2444" t="s">
        <v>155</v>
      </c>
      <c r="T2444" t="s">
        <v>134</v>
      </c>
      <c r="U2444">
        <v>1</v>
      </c>
      <c r="W2444" t="s">
        <v>134</v>
      </c>
      <c r="X2444">
        <v>1</v>
      </c>
      <c r="Y2444" t="s">
        <v>140</v>
      </c>
      <c r="Z2444" t="s">
        <v>185</v>
      </c>
      <c r="AA2444" t="s">
        <v>147</v>
      </c>
      <c r="AB2444" t="s">
        <v>163</v>
      </c>
      <c r="AC2444" t="s">
        <v>173</v>
      </c>
      <c r="AD2444" t="s">
        <v>155</v>
      </c>
      <c r="AE2444" t="s">
        <v>484</v>
      </c>
      <c r="AF2444" t="s">
        <v>21</v>
      </c>
    </row>
    <row r="2445" spans="1:32">
      <c r="A2445" t="s">
        <v>3495</v>
      </c>
      <c r="B2445" s="37">
        <v>40015</v>
      </c>
      <c r="C2445" s="38">
        <v>40015</v>
      </c>
      <c r="D2445" s="38">
        <v>40014</v>
      </c>
      <c r="E2445" s="38">
        <v>39995</v>
      </c>
      <c r="F2445" s="39">
        <v>110</v>
      </c>
      <c r="G2445" t="s">
        <v>21</v>
      </c>
      <c r="H2445" t="s">
        <v>21</v>
      </c>
      <c r="I2445">
        <v>0</v>
      </c>
      <c r="J2445">
        <v>0</v>
      </c>
      <c r="K2445">
        <v>0</v>
      </c>
      <c r="L2445">
        <v>1</v>
      </c>
      <c r="M2445">
        <v>0</v>
      </c>
      <c r="N2445" t="s">
        <v>193</v>
      </c>
      <c r="O2445" t="s">
        <v>213</v>
      </c>
      <c r="P2445" t="s">
        <v>204</v>
      </c>
      <c r="Q2445" t="s">
        <v>170</v>
      </c>
      <c r="R2445" t="s">
        <v>155</v>
      </c>
      <c r="S2445">
        <v>5</v>
      </c>
      <c r="T2445" t="s">
        <v>135</v>
      </c>
      <c r="U2445">
        <v>0</v>
      </c>
      <c r="V2445">
        <v>5</v>
      </c>
      <c r="W2445" t="s">
        <v>135</v>
      </c>
      <c r="X2445">
        <v>0</v>
      </c>
      <c r="Y2445" t="s">
        <v>140</v>
      </c>
      <c r="Z2445" t="s">
        <v>185</v>
      </c>
      <c r="AA2445" t="s">
        <v>146</v>
      </c>
      <c r="AB2445" t="s">
        <v>162</v>
      </c>
      <c r="AC2445" t="s">
        <v>174</v>
      </c>
      <c r="AD2445" t="s">
        <v>157</v>
      </c>
      <c r="AE2445" t="s">
        <v>130</v>
      </c>
      <c r="AF2445" t="s">
        <v>423</v>
      </c>
    </row>
    <row r="2446" spans="1:32">
      <c r="A2446" t="s">
        <v>3496</v>
      </c>
      <c r="B2446" s="37">
        <v>39958</v>
      </c>
      <c r="C2446" s="38">
        <v>39958</v>
      </c>
      <c r="D2446" s="38">
        <v>39958</v>
      </c>
      <c r="E2446" s="38">
        <v>39934</v>
      </c>
      <c r="F2446" s="39">
        <v>53</v>
      </c>
      <c r="G2446" t="s">
        <v>21</v>
      </c>
      <c r="H2446" t="s">
        <v>21</v>
      </c>
      <c r="I2446">
        <v>0</v>
      </c>
      <c r="J2446">
        <v>0</v>
      </c>
      <c r="K2446">
        <v>0</v>
      </c>
      <c r="L2446">
        <v>1</v>
      </c>
      <c r="M2446">
        <v>0</v>
      </c>
      <c r="N2446" t="s">
        <v>193</v>
      </c>
      <c r="O2446" t="s">
        <v>213</v>
      </c>
      <c r="P2446" t="s">
        <v>204</v>
      </c>
      <c r="Q2446" t="s">
        <v>170</v>
      </c>
      <c r="R2446" t="s">
        <v>155</v>
      </c>
      <c r="T2446" t="s">
        <v>134</v>
      </c>
      <c r="U2446">
        <v>1</v>
      </c>
      <c r="W2446" t="s">
        <v>134</v>
      </c>
      <c r="X2446">
        <v>1</v>
      </c>
      <c r="Y2446" t="s">
        <v>140</v>
      </c>
      <c r="Z2446" t="s">
        <v>181</v>
      </c>
      <c r="AA2446" t="s">
        <v>149</v>
      </c>
      <c r="AB2446" t="s">
        <v>162</v>
      </c>
      <c r="AC2446" t="s">
        <v>21</v>
      </c>
      <c r="AD2446" t="s">
        <v>155</v>
      </c>
      <c r="AE2446" t="s">
        <v>130</v>
      </c>
      <c r="AF2446" t="s">
        <v>21</v>
      </c>
    </row>
    <row r="2447" spans="1:32">
      <c r="A2447" t="s">
        <v>3497</v>
      </c>
      <c r="B2447" s="37">
        <v>39939</v>
      </c>
      <c r="C2447" s="38">
        <v>39939</v>
      </c>
      <c r="D2447" s="38">
        <v>39937</v>
      </c>
      <c r="E2447" s="38">
        <v>39934</v>
      </c>
      <c r="F2447" s="39">
        <v>34</v>
      </c>
      <c r="G2447" t="s">
        <v>21</v>
      </c>
      <c r="H2447" t="s">
        <v>21</v>
      </c>
      <c r="I2447">
        <v>0</v>
      </c>
      <c r="J2447">
        <v>0</v>
      </c>
      <c r="K2447">
        <v>0</v>
      </c>
      <c r="L2447">
        <v>1</v>
      </c>
      <c r="M2447">
        <v>0</v>
      </c>
      <c r="N2447" t="s">
        <v>201</v>
      </c>
      <c r="O2447" t="s">
        <v>214</v>
      </c>
      <c r="P2447" t="s">
        <v>204</v>
      </c>
      <c r="Q2447" t="s">
        <v>170</v>
      </c>
      <c r="R2447" t="s">
        <v>155</v>
      </c>
      <c r="T2447" t="s">
        <v>134</v>
      </c>
      <c r="U2447">
        <v>1</v>
      </c>
      <c r="W2447" t="s">
        <v>134</v>
      </c>
      <c r="X2447">
        <v>1</v>
      </c>
      <c r="Y2447" t="s">
        <v>140</v>
      </c>
      <c r="Z2447" t="s">
        <v>181</v>
      </c>
      <c r="AA2447" t="s">
        <v>142</v>
      </c>
      <c r="AB2447" t="s">
        <v>162</v>
      </c>
      <c r="AC2447" t="s">
        <v>21</v>
      </c>
      <c r="AD2447" t="s">
        <v>387</v>
      </c>
      <c r="AE2447" t="s">
        <v>126</v>
      </c>
      <c r="AF2447" t="s">
        <v>3498</v>
      </c>
    </row>
    <row r="2448" spans="1:32">
      <c r="A2448" t="s">
        <v>3499</v>
      </c>
      <c r="B2448" s="37">
        <v>40054</v>
      </c>
      <c r="C2448" s="38">
        <v>40054</v>
      </c>
      <c r="D2448" s="38">
        <v>40049</v>
      </c>
      <c r="E2448" s="38">
        <v>40026</v>
      </c>
      <c r="F2448" s="39">
        <v>149</v>
      </c>
      <c r="G2448" t="s">
        <v>21</v>
      </c>
      <c r="H2448" t="s">
        <v>21</v>
      </c>
      <c r="I2448">
        <v>0</v>
      </c>
      <c r="J2448">
        <v>0</v>
      </c>
      <c r="K2448">
        <v>0</v>
      </c>
      <c r="L2448">
        <v>1</v>
      </c>
      <c r="M2448">
        <v>0</v>
      </c>
      <c r="N2448" t="s">
        <v>197</v>
      </c>
      <c r="O2448" t="s">
        <v>213</v>
      </c>
      <c r="P2448" t="s">
        <v>209</v>
      </c>
      <c r="Q2448" t="s">
        <v>170</v>
      </c>
      <c r="R2448" t="s">
        <v>155</v>
      </c>
      <c r="S2448">
        <v>5</v>
      </c>
      <c r="T2448" t="s">
        <v>135</v>
      </c>
      <c r="U2448">
        <v>0</v>
      </c>
      <c r="V2448">
        <v>4</v>
      </c>
      <c r="W2448" t="s">
        <v>137</v>
      </c>
      <c r="X2448">
        <v>0</v>
      </c>
      <c r="Y2448" t="s">
        <v>139</v>
      </c>
      <c r="Z2448" t="s">
        <v>179</v>
      </c>
      <c r="AA2448" t="s">
        <v>144</v>
      </c>
      <c r="AB2448" t="s">
        <v>163</v>
      </c>
      <c r="AC2448" t="s">
        <v>173</v>
      </c>
      <c r="AD2448" t="s">
        <v>155</v>
      </c>
      <c r="AE2448" t="s">
        <v>128</v>
      </c>
      <c r="AF2448" t="s">
        <v>21</v>
      </c>
    </row>
    <row r="2449" spans="1:32">
      <c r="A2449" t="s">
        <v>3500</v>
      </c>
      <c r="B2449" s="37">
        <v>39926</v>
      </c>
      <c r="C2449" s="38">
        <v>39926</v>
      </c>
      <c r="D2449" s="38">
        <v>39923</v>
      </c>
      <c r="E2449" s="38">
        <v>39904</v>
      </c>
      <c r="F2449" s="39">
        <v>21</v>
      </c>
      <c r="G2449" t="s">
        <v>496</v>
      </c>
      <c r="H2449" t="s">
        <v>13</v>
      </c>
      <c r="I2449">
        <v>0</v>
      </c>
      <c r="J2449">
        <v>1</v>
      </c>
      <c r="K2449">
        <v>0</v>
      </c>
      <c r="L2449">
        <v>0</v>
      </c>
      <c r="M2449">
        <v>1</v>
      </c>
      <c r="N2449" t="s">
        <v>201</v>
      </c>
      <c r="O2449" t="s">
        <v>214</v>
      </c>
      <c r="P2449" t="s">
        <v>204</v>
      </c>
      <c r="Q2449" t="s">
        <v>170</v>
      </c>
      <c r="R2449" t="s">
        <v>155</v>
      </c>
      <c r="T2449" t="s">
        <v>134</v>
      </c>
      <c r="U2449">
        <v>1</v>
      </c>
      <c r="W2449" t="s">
        <v>134</v>
      </c>
      <c r="X2449">
        <v>1</v>
      </c>
      <c r="Y2449" t="s">
        <v>140</v>
      </c>
      <c r="Z2449" t="s">
        <v>178</v>
      </c>
      <c r="AA2449" t="s">
        <v>143</v>
      </c>
      <c r="AB2449" t="s">
        <v>162</v>
      </c>
      <c r="AC2449" t="s">
        <v>498</v>
      </c>
      <c r="AD2449" t="s">
        <v>157</v>
      </c>
      <c r="AE2449" t="s">
        <v>124</v>
      </c>
      <c r="AF2449" t="s">
        <v>1483</v>
      </c>
    </row>
    <row r="2450" spans="1:32">
      <c r="A2450" t="s">
        <v>3501</v>
      </c>
      <c r="B2450" s="37">
        <v>39945</v>
      </c>
      <c r="C2450" s="38">
        <v>39945</v>
      </c>
      <c r="D2450" s="38">
        <v>39944</v>
      </c>
      <c r="E2450" s="38">
        <v>39934</v>
      </c>
      <c r="F2450" s="39">
        <v>40</v>
      </c>
      <c r="G2450" t="s">
        <v>21</v>
      </c>
      <c r="H2450" t="s">
        <v>21</v>
      </c>
      <c r="I2450">
        <v>0</v>
      </c>
      <c r="J2450">
        <v>0</v>
      </c>
      <c r="K2450">
        <v>0</v>
      </c>
      <c r="L2450">
        <v>1</v>
      </c>
      <c r="M2450">
        <v>0</v>
      </c>
      <c r="N2450" t="s">
        <v>195</v>
      </c>
      <c r="O2450" t="s">
        <v>213</v>
      </c>
      <c r="P2450" t="s">
        <v>206</v>
      </c>
      <c r="Q2450" t="s">
        <v>170</v>
      </c>
      <c r="R2450" t="s">
        <v>155</v>
      </c>
      <c r="T2450" t="s">
        <v>134</v>
      </c>
      <c r="U2450">
        <v>1</v>
      </c>
      <c r="W2450" t="s">
        <v>134</v>
      </c>
      <c r="X2450">
        <v>1</v>
      </c>
      <c r="Y2450" t="s">
        <v>139</v>
      </c>
      <c r="Z2450" t="s">
        <v>178</v>
      </c>
      <c r="AA2450" t="s">
        <v>147</v>
      </c>
      <c r="AB2450" t="s">
        <v>162</v>
      </c>
      <c r="AC2450" t="s">
        <v>578</v>
      </c>
      <c r="AD2450" t="s">
        <v>157</v>
      </c>
      <c r="AE2450" t="s">
        <v>130</v>
      </c>
      <c r="AF2450" t="s">
        <v>437</v>
      </c>
    </row>
    <row r="2451" spans="1:32">
      <c r="A2451" t="s">
        <v>3502</v>
      </c>
      <c r="B2451" s="37">
        <v>39971</v>
      </c>
      <c r="C2451" s="38">
        <v>39971</v>
      </c>
      <c r="D2451" s="38">
        <v>39965</v>
      </c>
      <c r="E2451" s="38">
        <v>39965</v>
      </c>
      <c r="F2451" s="39">
        <v>66</v>
      </c>
      <c r="G2451" t="s">
        <v>21</v>
      </c>
      <c r="H2451" t="s">
        <v>21</v>
      </c>
      <c r="I2451">
        <v>0</v>
      </c>
      <c r="J2451">
        <v>0</v>
      </c>
      <c r="K2451">
        <v>0</v>
      </c>
      <c r="L2451">
        <v>1</v>
      </c>
      <c r="M2451">
        <v>0</v>
      </c>
      <c r="N2451" t="s">
        <v>193</v>
      </c>
      <c r="O2451" t="s">
        <v>213</v>
      </c>
      <c r="P2451" t="s">
        <v>204</v>
      </c>
      <c r="Q2451" t="s">
        <v>170</v>
      </c>
      <c r="R2451" t="s">
        <v>155</v>
      </c>
      <c r="T2451" t="s">
        <v>134</v>
      </c>
      <c r="U2451">
        <v>1</v>
      </c>
      <c r="W2451" t="s">
        <v>134</v>
      </c>
      <c r="X2451">
        <v>1</v>
      </c>
      <c r="Y2451" t="s">
        <v>140</v>
      </c>
      <c r="Z2451" t="s">
        <v>178</v>
      </c>
      <c r="AA2451" t="s">
        <v>143</v>
      </c>
      <c r="AB2451" t="s">
        <v>162</v>
      </c>
      <c r="AC2451" t="s">
        <v>174</v>
      </c>
      <c r="AD2451" t="s">
        <v>157</v>
      </c>
      <c r="AE2451" t="s">
        <v>127</v>
      </c>
      <c r="AF2451" t="s">
        <v>153</v>
      </c>
    </row>
    <row r="2452" spans="1:32">
      <c r="A2452" t="s">
        <v>3503</v>
      </c>
      <c r="B2452" s="37">
        <v>40004</v>
      </c>
      <c r="C2452" s="38">
        <v>40004</v>
      </c>
      <c r="D2452" s="38">
        <v>40000</v>
      </c>
      <c r="E2452" s="38">
        <v>39995</v>
      </c>
      <c r="F2452" s="39">
        <v>99</v>
      </c>
      <c r="G2452" t="s">
        <v>21</v>
      </c>
      <c r="H2452" t="s">
        <v>21</v>
      </c>
      <c r="I2452">
        <v>0</v>
      </c>
      <c r="J2452">
        <v>0</v>
      </c>
      <c r="K2452">
        <v>0</v>
      </c>
      <c r="L2452">
        <v>1</v>
      </c>
      <c r="M2452">
        <v>0</v>
      </c>
      <c r="N2452" t="s">
        <v>193</v>
      </c>
      <c r="O2452" t="s">
        <v>213</v>
      </c>
      <c r="P2452" t="s">
        <v>204</v>
      </c>
      <c r="Q2452" t="s">
        <v>170</v>
      </c>
      <c r="R2452" t="s">
        <v>155</v>
      </c>
      <c r="T2452" t="s">
        <v>134</v>
      </c>
      <c r="U2452">
        <v>1</v>
      </c>
      <c r="V2452">
        <v>5</v>
      </c>
      <c r="W2452" t="s">
        <v>135</v>
      </c>
      <c r="X2452">
        <v>0</v>
      </c>
      <c r="Y2452" t="s">
        <v>140</v>
      </c>
      <c r="Z2452" t="s">
        <v>178</v>
      </c>
      <c r="AA2452" t="s">
        <v>149</v>
      </c>
      <c r="AB2452" t="s">
        <v>162</v>
      </c>
      <c r="AC2452" t="s">
        <v>175</v>
      </c>
      <c r="AD2452" t="s">
        <v>155</v>
      </c>
      <c r="AE2452" t="s">
        <v>130</v>
      </c>
      <c r="AF2452" t="s">
        <v>21</v>
      </c>
    </row>
    <row r="2453" spans="1:32">
      <c r="A2453" t="s">
        <v>3504</v>
      </c>
      <c r="B2453" s="37">
        <v>40038</v>
      </c>
      <c r="C2453" s="38">
        <v>40038</v>
      </c>
      <c r="D2453" s="38">
        <v>40035</v>
      </c>
      <c r="E2453" s="38">
        <v>40026</v>
      </c>
      <c r="F2453" s="39">
        <v>133</v>
      </c>
      <c r="G2453" t="s">
        <v>21</v>
      </c>
      <c r="H2453" t="s">
        <v>21</v>
      </c>
      <c r="I2453">
        <v>0</v>
      </c>
      <c r="J2453">
        <v>0</v>
      </c>
      <c r="K2453">
        <v>0</v>
      </c>
      <c r="L2453">
        <v>1</v>
      </c>
      <c r="M2453">
        <v>0</v>
      </c>
      <c r="N2453" t="s">
        <v>196</v>
      </c>
      <c r="O2453" t="s">
        <v>213</v>
      </c>
      <c r="P2453" t="s">
        <v>207</v>
      </c>
      <c r="Q2453" t="s">
        <v>170</v>
      </c>
      <c r="R2453" t="s">
        <v>155</v>
      </c>
      <c r="S2453">
        <v>4</v>
      </c>
      <c r="T2453" t="s">
        <v>137</v>
      </c>
      <c r="U2453">
        <v>0</v>
      </c>
      <c r="V2453">
        <v>4</v>
      </c>
      <c r="W2453" t="s">
        <v>137</v>
      </c>
      <c r="X2453">
        <v>0</v>
      </c>
      <c r="Y2453" t="s">
        <v>139</v>
      </c>
      <c r="Z2453" t="s">
        <v>178</v>
      </c>
      <c r="AA2453" t="s">
        <v>144</v>
      </c>
      <c r="AB2453" t="s">
        <v>162</v>
      </c>
      <c r="AC2453" t="s">
        <v>21</v>
      </c>
      <c r="AD2453" t="s">
        <v>155</v>
      </c>
      <c r="AE2453" t="s">
        <v>127</v>
      </c>
      <c r="AF2453" t="s">
        <v>21</v>
      </c>
    </row>
    <row r="2454" spans="1:32">
      <c r="A2454" t="s">
        <v>3505</v>
      </c>
      <c r="B2454" s="37">
        <v>40040</v>
      </c>
      <c r="C2454" s="38">
        <v>40040</v>
      </c>
      <c r="D2454" s="38">
        <v>40035</v>
      </c>
      <c r="E2454" s="38">
        <v>40026</v>
      </c>
      <c r="F2454" s="39">
        <v>135</v>
      </c>
      <c r="G2454" t="s">
        <v>21</v>
      </c>
      <c r="H2454" t="s">
        <v>21</v>
      </c>
      <c r="I2454">
        <v>0</v>
      </c>
      <c r="J2454">
        <v>0</v>
      </c>
      <c r="K2454">
        <v>0</v>
      </c>
      <c r="L2454">
        <v>1</v>
      </c>
      <c r="M2454">
        <v>0</v>
      </c>
      <c r="N2454" t="s">
        <v>193</v>
      </c>
      <c r="O2454" t="s">
        <v>213</v>
      </c>
      <c r="P2454" t="s">
        <v>204</v>
      </c>
      <c r="Q2454" t="s">
        <v>170</v>
      </c>
      <c r="R2454" t="s">
        <v>155</v>
      </c>
      <c r="S2454">
        <v>1</v>
      </c>
      <c r="T2454" t="s">
        <v>136</v>
      </c>
      <c r="U2454">
        <v>0</v>
      </c>
      <c r="V2454">
        <v>5</v>
      </c>
      <c r="W2454" t="s">
        <v>135</v>
      </c>
      <c r="X2454">
        <v>0</v>
      </c>
      <c r="Y2454" t="s">
        <v>140</v>
      </c>
      <c r="Z2454" t="s">
        <v>178</v>
      </c>
      <c r="AA2454" t="s">
        <v>144</v>
      </c>
      <c r="AB2454" t="s">
        <v>165</v>
      </c>
      <c r="AC2454" t="s">
        <v>2169</v>
      </c>
      <c r="AD2454" t="s">
        <v>158</v>
      </c>
      <c r="AE2454" t="s">
        <v>122</v>
      </c>
      <c r="AF2454" t="s">
        <v>21</v>
      </c>
    </row>
    <row r="2455" spans="1:32">
      <c r="A2455" t="s">
        <v>3506</v>
      </c>
      <c r="B2455" s="37">
        <v>39928</v>
      </c>
      <c r="C2455" s="38">
        <v>39928</v>
      </c>
      <c r="D2455" s="38">
        <v>39923</v>
      </c>
      <c r="E2455" s="38">
        <v>39904</v>
      </c>
      <c r="F2455" s="39">
        <v>23</v>
      </c>
      <c r="G2455" t="s">
        <v>21</v>
      </c>
      <c r="H2455" t="s">
        <v>21</v>
      </c>
      <c r="I2455">
        <v>0</v>
      </c>
      <c r="J2455">
        <v>0</v>
      </c>
      <c r="K2455">
        <v>0</v>
      </c>
      <c r="L2455">
        <v>1</v>
      </c>
      <c r="M2455">
        <v>0</v>
      </c>
      <c r="N2455" t="s">
        <v>202</v>
      </c>
      <c r="O2455" t="s">
        <v>213</v>
      </c>
      <c r="P2455" t="s">
        <v>211</v>
      </c>
      <c r="Q2455" t="s">
        <v>170</v>
      </c>
      <c r="R2455" t="s">
        <v>155</v>
      </c>
      <c r="T2455" t="s">
        <v>134</v>
      </c>
      <c r="U2455">
        <v>1</v>
      </c>
      <c r="W2455" t="s">
        <v>134</v>
      </c>
      <c r="X2455">
        <v>1</v>
      </c>
      <c r="Y2455" t="s">
        <v>139</v>
      </c>
      <c r="Z2455" t="s">
        <v>178</v>
      </c>
      <c r="AA2455" t="s">
        <v>145</v>
      </c>
      <c r="AB2455" t="s">
        <v>163</v>
      </c>
      <c r="AC2455" t="s">
        <v>1206</v>
      </c>
      <c r="AD2455" t="s">
        <v>155</v>
      </c>
      <c r="AE2455" t="s">
        <v>454</v>
      </c>
      <c r="AF2455" t="s">
        <v>21</v>
      </c>
    </row>
    <row r="2456" spans="1:32">
      <c r="A2456" t="s">
        <v>3507</v>
      </c>
      <c r="B2456" s="37">
        <v>39949</v>
      </c>
      <c r="C2456" s="38">
        <v>39949</v>
      </c>
      <c r="D2456" s="38">
        <v>39944</v>
      </c>
      <c r="E2456" s="38">
        <v>39934</v>
      </c>
      <c r="F2456" s="39">
        <v>44</v>
      </c>
      <c r="G2456" t="s">
        <v>21</v>
      </c>
      <c r="H2456" t="s">
        <v>21</v>
      </c>
      <c r="I2456">
        <v>0</v>
      </c>
      <c r="J2456">
        <v>0</v>
      </c>
      <c r="K2456">
        <v>0</v>
      </c>
      <c r="L2456">
        <v>1</v>
      </c>
      <c r="M2456">
        <v>0</v>
      </c>
      <c r="N2456" t="s">
        <v>193</v>
      </c>
      <c r="O2456" t="s">
        <v>213</v>
      </c>
      <c r="P2456" t="s">
        <v>204</v>
      </c>
      <c r="Q2456" t="s">
        <v>170</v>
      </c>
      <c r="R2456" t="s">
        <v>155</v>
      </c>
      <c r="T2456" t="s">
        <v>134</v>
      </c>
      <c r="U2456">
        <v>1</v>
      </c>
      <c r="W2456" t="s">
        <v>134</v>
      </c>
      <c r="X2456">
        <v>1</v>
      </c>
      <c r="Y2456" t="s">
        <v>140</v>
      </c>
      <c r="Z2456" t="s">
        <v>178</v>
      </c>
      <c r="AA2456" t="s">
        <v>147</v>
      </c>
      <c r="AB2456" t="s">
        <v>163</v>
      </c>
      <c r="AC2456" t="s">
        <v>415</v>
      </c>
      <c r="AD2456" t="s">
        <v>155</v>
      </c>
      <c r="AE2456" t="s">
        <v>125</v>
      </c>
      <c r="AF2456" t="s">
        <v>21</v>
      </c>
    </row>
    <row r="2457" spans="1:32">
      <c r="A2457" t="s">
        <v>3508</v>
      </c>
      <c r="B2457" s="37">
        <v>39963</v>
      </c>
      <c r="C2457" s="38">
        <v>39963</v>
      </c>
      <c r="D2457" s="38">
        <v>39958</v>
      </c>
      <c r="E2457" s="38">
        <v>39934</v>
      </c>
      <c r="F2457" s="39">
        <v>58</v>
      </c>
      <c r="G2457" t="s">
        <v>21</v>
      </c>
      <c r="H2457" t="s">
        <v>21</v>
      </c>
      <c r="I2457">
        <v>0</v>
      </c>
      <c r="J2457">
        <v>0</v>
      </c>
      <c r="K2457">
        <v>0</v>
      </c>
      <c r="L2457">
        <v>1</v>
      </c>
      <c r="M2457">
        <v>0</v>
      </c>
      <c r="N2457" t="s">
        <v>193</v>
      </c>
      <c r="O2457" t="s">
        <v>213</v>
      </c>
      <c r="P2457" t="s">
        <v>204</v>
      </c>
      <c r="Q2457" t="s">
        <v>170</v>
      </c>
      <c r="R2457" t="s">
        <v>155</v>
      </c>
      <c r="T2457" t="s">
        <v>134</v>
      </c>
      <c r="U2457">
        <v>1</v>
      </c>
      <c r="W2457" t="s">
        <v>134</v>
      </c>
      <c r="X2457">
        <v>1</v>
      </c>
      <c r="Y2457" t="s">
        <v>140</v>
      </c>
      <c r="Z2457" t="s">
        <v>178</v>
      </c>
      <c r="AA2457" t="s">
        <v>142</v>
      </c>
      <c r="AB2457" t="s">
        <v>162</v>
      </c>
      <c r="AC2457" t="s">
        <v>21</v>
      </c>
      <c r="AD2457" t="s">
        <v>155</v>
      </c>
      <c r="AE2457" t="s">
        <v>129</v>
      </c>
      <c r="AF2457" t="s">
        <v>21</v>
      </c>
    </row>
    <row r="2458" spans="1:32">
      <c r="A2458" t="s">
        <v>3509</v>
      </c>
      <c r="B2458" s="37">
        <v>39943</v>
      </c>
      <c r="C2458" s="38">
        <v>39943</v>
      </c>
      <c r="D2458" s="38">
        <v>39937</v>
      </c>
      <c r="E2458" s="38">
        <v>39934</v>
      </c>
      <c r="F2458" s="39">
        <v>38</v>
      </c>
      <c r="G2458" t="s">
        <v>496</v>
      </c>
      <c r="H2458" t="s">
        <v>13</v>
      </c>
      <c r="I2458">
        <v>0</v>
      </c>
      <c r="J2458">
        <v>1</v>
      </c>
      <c r="K2458">
        <v>0</v>
      </c>
      <c r="L2458">
        <v>0</v>
      </c>
      <c r="M2458">
        <v>1</v>
      </c>
      <c r="N2458" t="s">
        <v>193</v>
      </c>
      <c r="O2458" t="s">
        <v>213</v>
      </c>
      <c r="P2458" t="s">
        <v>204</v>
      </c>
      <c r="Q2458" t="s">
        <v>170</v>
      </c>
      <c r="R2458" t="s">
        <v>155</v>
      </c>
      <c r="T2458" t="s">
        <v>134</v>
      </c>
      <c r="U2458">
        <v>1</v>
      </c>
      <c r="W2458" t="s">
        <v>134</v>
      </c>
      <c r="X2458">
        <v>1</v>
      </c>
      <c r="Y2458" t="s">
        <v>140</v>
      </c>
      <c r="Z2458" t="s">
        <v>178</v>
      </c>
      <c r="AA2458" t="s">
        <v>147</v>
      </c>
      <c r="AB2458" t="s">
        <v>163</v>
      </c>
      <c r="AC2458" t="s">
        <v>1228</v>
      </c>
      <c r="AD2458" t="s">
        <v>155</v>
      </c>
      <c r="AE2458" t="s">
        <v>125</v>
      </c>
      <c r="AF2458" t="s">
        <v>21</v>
      </c>
    </row>
    <row r="2459" spans="1:32">
      <c r="A2459" t="s">
        <v>3510</v>
      </c>
      <c r="B2459" s="37">
        <v>39991</v>
      </c>
      <c r="C2459" s="38">
        <v>39991</v>
      </c>
      <c r="D2459" s="38">
        <v>39986</v>
      </c>
      <c r="E2459" s="38">
        <v>39965</v>
      </c>
      <c r="F2459" s="39">
        <v>86</v>
      </c>
      <c r="G2459" t="s">
        <v>21</v>
      </c>
      <c r="H2459" t="s">
        <v>21</v>
      </c>
      <c r="I2459">
        <v>0</v>
      </c>
      <c r="J2459">
        <v>0</v>
      </c>
      <c r="K2459">
        <v>0</v>
      </c>
      <c r="L2459">
        <v>1</v>
      </c>
      <c r="M2459">
        <v>0</v>
      </c>
      <c r="N2459" t="s">
        <v>196</v>
      </c>
      <c r="O2459" t="s">
        <v>213</v>
      </c>
      <c r="P2459" t="s">
        <v>207</v>
      </c>
      <c r="Q2459" t="s">
        <v>170</v>
      </c>
      <c r="R2459" t="s">
        <v>155</v>
      </c>
      <c r="T2459" t="s">
        <v>134</v>
      </c>
      <c r="U2459">
        <v>1</v>
      </c>
      <c r="V2459">
        <v>2</v>
      </c>
      <c r="W2459" t="s">
        <v>136</v>
      </c>
      <c r="X2459">
        <v>0</v>
      </c>
      <c r="Y2459" t="s">
        <v>139</v>
      </c>
      <c r="Z2459" t="s">
        <v>178</v>
      </c>
      <c r="AA2459" t="s">
        <v>143</v>
      </c>
      <c r="AB2459" t="s">
        <v>163</v>
      </c>
      <c r="AC2459" t="s">
        <v>3511</v>
      </c>
      <c r="AD2459" t="s">
        <v>155</v>
      </c>
      <c r="AE2459" t="s">
        <v>124</v>
      </c>
      <c r="AF2459" t="s">
        <v>21</v>
      </c>
    </row>
    <row r="2460" spans="1:32">
      <c r="A2460" t="s">
        <v>3512</v>
      </c>
      <c r="B2460" s="37">
        <v>40022</v>
      </c>
      <c r="C2460" s="38">
        <v>40022</v>
      </c>
      <c r="D2460" s="38">
        <v>40021</v>
      </c>
      <c r="E2460" s="38">
        <v>39995</v>
      </c>
      <c r="F2460" s="39">
        <v>117</v>
      </c>
      <c r="G2460" t="s">
        <v>383</v>
      </c>
      <c r="H2460" t="s">
        <v>17</v>
      </c>
      <c r="I2460">
        <v>0</v>
      </c>
      <c r="J2460">
        <v>0</v>
      </c>
      <c r="K2460">
        <v>1</v>
      </c>
      <c r="L2460">
        <v>0</v>
      </c>
      <c r="M2460">
        <v>0</v>
      </c>
      <c r="N2460" t="s">
        <v>196</v>
      </c>
      <c r="O2460" t="s">
        <v>213</v>
      </c>
      <c r="P2460" t="s">
        <v>207</v>
      </c>
      <c r="Q2460" t="s">
        <v>170</v>
      </c>
      <c r="R2460" t="s">
        <v>155</v>
      </c>
      <c r="S2460">
        <v>5</v>
      </c>
      <c r="T2460" t="s">
        <v>135</v>
      </c>
      <c r="U2460">
        <v>0</v>
      </c>
      <c r="V2460">
        <v>2</v>
      </c>
      <c r="W2460" t="s">
        <v>136</v>
      </c>
      <c r="X2460">
        <v>0</v>
      </c>
      <c r="Y2460" t="s">
        <v>139</v>
      </c>
      <c r="Z2460" t="s">
        <v>189</v>
      </c>
      <c r="AA2460" t="s">
        <v>142</v>
      </c>
      <c r="AB2460" t="s">
        <v>162</v>
      </c>
      <c r="AC2460" t="s">
        <v>21</v>
      </c>
      <c r="AD2460" t="s">
        <v>157</v>
      </c>
      <c r="AE2460" t="s">
        <v>434</v>
      </c>
      <c r="AF2460" t="s">
        <v>435</v>
      </c>
    </row>
    <row r="2461" spans="1:32">
      <c r="A2461" t="s">
        <v>3513</v>
      </c>
      <c r="B2461" s="37">
        <v>40066</v>
      </c>
      <c r="C2461" s="38">
        <v>40066</v>
      </c>
      <c r="D2461" s="38">
        <v>40063</v>
      </c>
      <c r="E2461" s="38">
        <v>40057</v>
      </c>
      <c r="F2461" s="39">
        <v>161</v>
      </c>
      <c r="G2461" t="s">
        <v>383</v>
      </c>
      <c r="H2461" t="s">
        <v>17</v>
      </c>
      <c r="I2461">
        <v>0</v>
      </c>
      <c r="J2461">
        <v>0</v>
      </c>
      <c r="K2461">
        <v>1</v>
      </c>
      <c r="L2461">
        <v>0</v>
      </c>
      <c r="M2461">
        <v>0</v>
      </c>
      <c r="N2461" t="s">
        <v>193</v>
      </c>
      <c r="O2461" t="s">
        <v>213</v>
      </c>
      <c r="P2461" t="s">
        <v>204</v>
      </c>
      <c r="Q2461" t="s">
        <v>170</v>
      </c>
      <c r="R2461" t="s">
        <v>155</v>
      </c>
      <c r="S2461">
        <v>5</v>
      </c>
      <c r="T2461" t="s">
        <v>135</v>
      </c>
      <c r="U2461">
        <v>0</v>
      </c>
      <c r="V2461">
        <v>5</v>
      </c>
      <c r="W2461" t="s">
        <v>135</v>
      </c>
      <c r="X2461">
        <v>0</v>
      </c>
      <c r="Y2461" t="s">
        <v>140</v>
      </c>
      <c r="Z2461" t="s">
        <v>189</v>
      </c>
      <c r="AA2461" t="s">
        <v>145</v>
      </c>
      <c r="AB2461" t="s">
        <v>165</v>
      </c>
      <c r="AC2461" t="s">
        <v>2169</v>
      </c>
      <c r="AD2461" t="s">
        <v>158</v>
      </c>
      <c r="AE2461" t="s">
        <v>122</v>
      </c>
      <c r="AF2461" t="s">
        <v>21</v>
      </c>
    </row>
    <row r="2462" spans="1:32">
      <c r="A2462" t="s">
        <v>3514</v>
      </c>
      <c r="B2462" s="37">
        <v>39910</v>
      </c>
      <c r="C2462" s="38">
        <v>39910</v>
      </c>
      <c r="D2462" s="38">
        <v>39909</v>
      </c>
      <c r="E2462" s="38">
        <v>39904</v>
      </c>
      <c r="F2462" s="39">
        <v>5</v>
      </c>
      <c r="G2462" t="s">
        <v>9</v>
      </c>
      <c r="H2462" t="s">
        <v>9</v>
      </c>
      <c r="I2462">
        <v>1</v>
      </c>
      <c r="J2462">
        <v>0</v>
      </c>
      <c r="K2462">
        <v>0</v>
      </c>
      <c r="L2462">
        <v>0</v>
      </c>
      <c r="M2462">
        <v>1</v>
      </c>
      <c r="N2462" t="s">
        <v>194</v>
      </c>
      <c r="O2462" t="s">
        <v>213</v>
      </c>
      <c r="P2462" t="s">
        <v>205</v>
      </c>
      <c r="Q2462" t="s">
        <v>170</v>
      </c>
      <c r="R2462" t="s">
        <v>155</v>
      </c>
      <c r="T2462" t="s">
        <v>134</v>
      </c>
      <c r="U2462">
        <v>1</v>
      </c>
      <c r="W2462" t="s">
        <v>134</v>
      </c>
      <c r="X2462">
        <v>1</v>
      </c>
      <c r="Y2462" t="s">
        <v>139</v>
      </c>
      <c r="Z2462" t="s">
        <v>181</v>
      </c>
      <c r="AA2462" t="s">
        <v>150</v>
      </c>
      <c r="AB2462" t="s">
        <v>162</v>
      </c>
      <c r="AC2462" t="s">
        <v>176</v>
      </c>
      <c r="AD2462" t="s">
        <v>155</v>
      </c>
      <c r="AE2462" t="s">
        <v>129</v>
      </c>
      <c r="AF2462" t="s">
        <v>21</v>
      </c>
    </row>
    <row r="2463" spans="1:32">
      <c r="A2463" t="s">
        <v>3515</v>
      </c>
      <c r="B2463" s="37">
        <v>40073</v>
      </c>
      <c r="C2463" s="38">
        <v>40073</v>
      </c>
      <c r="D2463" s="38">
        <v>40070</v>
      </c>
      <c r="E2463" s="38">
        <v>40057</v>
      </c>
      <c r="F2463" s="39">
        <v>168</v>
      </c>
      <c r="G2463" t="s">
        <v>21</v>
      </c>
      <c r="H2463" t="s">
        <v>21</v>
      </c>
      <c r="I2463">
        <v>0</v>
      </c>
      <c r="J2463">
        <v>0</v>
      </c>
      <c r="K2463">
        <v>0</v>
      </c>
      <c r="L2463">
        <v>1</v>
      </c>
      <c r="M2463">
        <v>0</v>
      </c>
      <c r="N2463" t="s">
        <v>197</v>
      </c>
      <c r="O2463" t="s">
        <v>213</v>
      </c>
      <c r="P2463" t="s">
        <v>209</v>
      </c>
      <c r="Q2463" t="s">
        <v>170</v>
      </c>
      <c r="R2463" t="s">
        <v>155</v>
      </c>
      <c r="S2463">
        <v>5</v>
      </c>
      <c r="T2463" t="s">
        <v>135</v>
      </c>
      <c r="U2463">
        <v>0</v>
      </c>
      <c r="V2463">
        <v>5</v>
      </c>
      <c r="W2463" t="s">
        <v>135</v>
      </c>
      <c r="X2463">
        <v>0</v>
      </c>
      <c r="Y2463" t="s">
        <v>139</v>
      </c>
      <c r="Z2463" t="s">
        <v>384</v>
      </c>
      <c r="AA2463" t="s">
        <v>142</v>
      </c>
      <c r="AB2463" t="s">
        <v>163</v>
      </c>
      <c r="AC2463" t="s">
        <v>173</v>
      </c>
      <c r="AD2463" t="s">
        <v>155</v>
      </c>
      <c r="AE2463" t="s">
        <v>830</v>
      </c>
      <c r="AF2463" t="s">
        <v>21</v>
      </c>
    </row>
    <row r="2464" spans="1:32">
      <c r="A2464" t="s">
        <v>3516</v>
      </c>
      <c r="B2464" s="37">
        <v>40024</v>
      </c>
      <c r="C2464" s="38">
        <v>40024</v>
      </c>
      <c r="D2464" s="38">
        <v>40021</v>
      </c>
      <c r="E2464" s="38">
        <v>39995</v>
      </c>
      <c r="F2464" s="39">
        <v>119</v>
      </c>
      <c r="G2464" t="s">
        <v>21</v>
      </c>
      <c r="H2464" t="s">
        <v>21</v>
      </c>
      <c r="I2464">
        <v>0</v>
      </c>
      <c r="J2464">
        <v>0</v>
      </c>
      <c r="K2464">
        <v>0</v>
      </c>
      <c r="L2464">
        <v>1</v>
      </c>
      <c r="M2464">
        <v>0</v>
      </c>
      <c r="N2464" t="s">
        <v>195</v>
      </c>
      <c r="O2464" t="s">
        <v>213</v>
      </c>
      <c r="P2464" t="s">
        <v>206</v>
      </c>
      <c r="Q2464" t="s">
        <v>170</v>
      </c>
      <c r="R2464" t="s">
        <v>155</v>
      </c>
      <c r="S2464">
        <v>2</v>
      </c>
      <c r="T2464" t="s">
        <v>136</v>
      </c>
      <c r="U2464">
        <v>0</v>
      </c>
      <c r="V2464">
        <v>5</v>
      </c>
      <c r="W2464" t="s">
        <v>135</v>
      </c>
      <c r="X2464">
        <v>0</v>
      </c>
      <c r="Y2464" t="s">
        <v>139</v>
      </c>
      <c r="Z2464" t="s">
        <v>528</v>
      </c>
      <c r="AA2464" t="s">
        <v>150</v>
      </c>
      <c r="AB2464" t="s">
        <v>163</v>
      </c>
      <c r="AC2464" t="s">
        <v>173</v>
      </c>
      <c r="AD2464" t="s">
        <v>155</v>
      </c>
      <c r="AE2464" t="s">
        <v>387</v>
      </c>
      <c r="AF2464" t="s">
        <v>21</v>
      </c>
    </row>
    <row r="2465" spans="1:32">
      <c r="A2465" t="s">
        <v>3517</v>
      </c>
      <c r="B2465" s="37">
        <v>40015</v>
      </c>
      <c r="C2465" s="38">
        <v>40015</v>
      </c>
      <c r="D2465" s="38">
        <v>40014</v>
      </c>
      <c r="E2465" s="38">
        <v>39995</v>
      </c>
      <c r="F2465" s="39">
        <v>110</v>
      </c>
      <c r="G2465" t="s">
        <v>21</v>
      </c>
      <c r="H2465" t="s">
        <v>21</v>
      </c>
      <c r="I2465">
        <v>0</v>
      </c>
      <c r="J2465">
        <v>0</v>
      </c>
      <c r="K2465">
        <v>0</v>
      </c>
      <c r="L2465">
        <v>1</v>
      </c>
      <c r="M2465">
        <v>0</v>
      </c>
      <c r="N2465" t="s">
        <v>194</v>
      </c>
      <c r="O2465" t="s">
        <v>213</v>
      </c>
      <c r="P2465" t="s">
        <v>205</v>
      </c>
      <c r="Q2465" t="s">
        <v>170</v>
      </c>
      <c r="R2465" t="s">
        <v>155</v>
      </c>
      <c r="S2465">
        <v>5</v>
      </c>
      <c r="T2465" t="s">
        <v>135</v>
      </c>
      <c r="U2465">
        <v>0</v>
      </c>
      <c r="V2465">
        <v>5</v>
      </c>
      <c r="W2465" t="s">
        <v>135</v>
      </c>
      <c r="X2465">
        <v>0</v>
      </c>
      <c r="Y2465" t="s">
        <v>139</v>
      </c>
      <c r="Z2465" t="s">
        <v>178</v>
      </c>
      <c r="AA2465" t="s">
        <v>148</v>
      </c>
      <c r="AB2465" t="s">
        <v>162</v>
      </c>
      <c r="AC2465" t="s">
        <v>174</v>
      </c>
      <c r="AD2465" t="s">
        <v>156</v>
      </c>
      <c r="AE2465" t="s">
        <v>120</v>
      </c>
      <c r="AF2465" t="s">
        <v>3518</v>
      </c>
    </row>
    <row r="2466" spans="1:32">
      <c r="A2466" t="s">
        <v>3519</v>
      </c>
      <c r="B2466" s="37">
        <v>40074</v>
      </c>
      <c r="C2466" s="38">
        <v>40074</v>
      </c>
      <c r="D2466" s="38">
        <v>40070</v>
      </c>
      <c r="E2466" s="38">
        <v>40057</v>
      </c>
      <c r="F2466" s="39">
        <v>169</v>
      </c>
      <c r="G2466" t="s">
        <v>383</v>
      </c>
      <c r="H2466" t="s">
        <v>17</v>
      </c>
      <c r="I2466">
        <v>0</v>
      </c>
      <c r="J2466">
        <v>0</v>
      </c>
      <c r="K2466">
        <v>1</v>
      </c>
      <c r="L2466">
        <v>0</v>
      </c>
      <c r="M2466">
        <v>0</v>
      </c>
      <c r="N2466" t="s">
        <v>197</v>
      </c>
      <c r="O2466" t="s">
        <v>213</v>
      </c>
      <c r="P2466" t="s">
        <v>209</v>
      </c>
      <c r="Q2466" t="s">
        <v>170</v>
      </c>
      <c r="R2466" t="s">
        <v>155</v>
      </c>
      <c r="S2466">
        <v>3</v>
      </c>
      <c r="T2466" t="s">
        <v>137</v>
      </c>
      <c r="U2466">
        <v>0</v>
      </c>
      <c r="V2466">
        <v>4</v>
      </c>
      <c r="W2466" t="s">
        <v>137</v>
      </c>
      <c r="X2466">
        <v>0</v>
      </c>
      <c r="Y2466" t="s">
        <v>139</v>
      </c>
      <c r="Z2466" t="s">
        <v>528</v>
      </c>
      <c r="AA2466" t="s">
        <v>143</v>
      </c>
      <c r="AB2466" t="s">
        <v>163</v>
      </c>
      <c r="AC2466" t="s">
        <v>3520</v>
      </c>
      <c r="AD2466" t="s">
        <v>155</v>
      </c>
      <c r="AE2466" t="s">
        <v>510</v>
      </c>
      <c r="AF2466" t="s">
        <v>21</v>
      </c>
    </row>
    <row r="2467" spans="1:32">
      <c r="A2467" t="s">
        <v>3521</v>
      </c>
      <c r="B2467" s="37">
        <v>40066</v>
      </c>
      <c r="C2467" s="38">
        <v>40066</v>
      </c>
      <c r="D2467" s="38">
        <v>40063</v>
      </c>
      <c r="E2467" s="38">
        <v>40057</v>
      </c>
      <c r="F2467" s="39">
        <v>161</v>
      </c>
      <c r="G2467" t="s">
        <v>21</v>
      </c>
      <c r="H2467" t="s">
        <v>21</v>
      </c>
      <c r="I2467">
        <v>0</v>
      </c>
      <c r="J2467">
        <v>0</v>
      </c>
      <c r="K2467">
        <v>0</v>
      </c>
      <c r="L2467">
        <v>1</v>
      </c>
      <c r="M2467">
        <v>0</v>
      </c>
      <c r="N2467" t="s">
        <v>195</v>
      </c>
      <c r="O2467" t="s">
        <v>213</v>
      </c>
      <c r="P2467" t="s">
        <v>206</v>
      </c>
      <c r="Q2467" t="s">
        <v>170</v>
      </c>
      <c r="R2467" t="s">
        <v>155</v>
      </c>
      <c r="S2467">
        <v>4</v>
      </c>
      <c r="T2467" t="s">
        <v>137</v>
      </c>
      <c r="U2467">
        <v>0</v>
      </c>
      <c r="V2467">
        <v>3</v>
      </c>
      <c r="W2467" t="s">
        <v>137</v>
      </c>
      <c r="X2467">
        <v>0</v>
      </c>
      <c r="Y2467" t="s">
        <v>139</v>
      </c>
      <c r="Z2467" t="s">
        <v>376</v>
      </c>
      <c r="AA2467" t="s">
        <v>144</v>
      </c>
      <c r="AB2467" t="s">
        <v>162</v>
      </c>
      <c r="AC2467" t="s">
        <v>21</v>
      </c>
      <c r="AD2467" t="s">
        <v>160</v>
      </c>
      <c r="AE2467" t="s">
        <v>392</v>
      </c>
      <c r="AF2467" t="s">
        <v>393</v>
      </c>
    </row>
    <row r="2468" spans="1:32">
      <c r="A2468" t="s">
        <v>3522</v>
      </c>
      <c r="B2468" s="37">
        <v>39928</v>
      </c>
      <c r="C2468" s="38">
        <v>39928</v>
      </c>
      <c r="D2468" s="38">
        <v>39923</v>
      </c>
      <c r="E2468" s="38">
        <v>39904</v>
      </c>
      <c r="F2468" s="39">
        <v>23</v>
      </c>
      <c r="G2468" t="s">
        <v>21</v>
      </c>
      <c r="H2468" t="s">
        <v>21</v>
      </c>
      <c r="I2468">
        <v>0</v>
      </c>
      <c r="J2468">
        <v>0</v>
      </c>
      <c r="K2468">
        <v>0</v>
      </c>
      <c r="L2468">
        <v>1</v>
      </c>
      <c r="M2468">
        <v>0</v>
      </c>
      <c r="N2468" t="s">
        <v>198</v>
      </c>
      <c r="O2468" t="s">
        <v>213</v>
      </c>
      <c r="P2468" t="s">
        <v>208</v>
      </c>
      <c r="Q2468" t="s">
        <v>170</v>
      </c>
      <c r="R2468" t="s">
        <v>155</v>
      </c>
      <c r="T2468" t="s">
        <v>134</v>
      </c>
      <c r="U2468">
        <v>1</v>
      </c>
      <c r="W2468" t="s">
        <v>134</v>
      </c>
      <c r="X2468">
        <v>1</v>
      </c>
      <c r="Y2468" t="s">
        <v>139</v>
      </c>
      <c r="Z2468" t="s">
        <v>183</v>
      </c>
      <c r="AA2468" t="s">
        <v>148</v>
      </c>
      <c r="AB2468" t="s">
        <v>163</v>
      </c>
      <c r="AC2468" t="s">
        <v>173</v>
      </c>
      <c r="AD2468" t="s">
        <v>155</v>
      </c>
      <c r="AE2468" t="s">
        <v>692</v>
      </c>
      <c r="AF2468" t="s">
        <v>21</v>
      </c>
    </row>
    <row r="2469" spans="1:32">
      <c r="A2469" t="s">
        <v>3523</v>
      </c>
      <c r="B2469" s="37">
        <v>40083</v>
      </c>
      <c r="C2469" s="38">
        <v>40083</v>
      </c>
      <c r="D2469" s="38">
        <v>40077</v>
      </c>
      <c r="E2469" s="38">
        <v>40057</v>
      </c>
      <c r="F2469" s="39">
        <v>178</v>
      </c>
      <c r="G2469" t="s">
        <v>21</v>
      </c>
      <c r="H2469" t="s">
        <v>21</v>
      </c>
      <c r="I2469">
        <v>0</v>
      </c>
      <c r="J2469">
        <v>0</v>
      </c>
      <c r="K2469">
        <v>0</v>
      </c>
      <c r="L2469">
        <v>1</v>
      </c>
      <c r="M2469">
        <v>0</v>
      </c>
      <c r="N2469" t="s">
        <v>196</v>
      </c>
      <c r="O2469" t="s">
        <v>213</v>
      </c>
      <c r="P2469" t="s">
        <v>207</v>
      </c>
      <c r="Q2469" t="s">
        <v>170</v>
      </c>
      <c r="R2469" t="s">
        <v>155</v>
      </c>
      <c r="S2469">
        <v>5</v>
      </c>
      <c r="T2469" t="s">
        <v>135</v>
      </c>
      <c r="U2469">
        <v>0</v>
      </c>
      <c r="V2469">
        <v>5</v>
      </c>
      <c r="W2469" t="s">
        <v>135</v>
      </c>
      <c r="X2469">
        <v>0</v>
      </c>
      <c r="Y2469" t="s">
        <v>139</v>
      </c>
      <c r="Z2469" t="s">
        <v>191</v>
      </c>
      <c r="AA2469" t="s">
        <v>145</v>
      </c>
      <c r="AB2469" t="s">
        <v>163</v>
      </c>
      <c r="AC2469" t="s">
        <v>173</v>
      </c>
      <c r="AD2469" t="s">
        <v>155</v>
      </c>
      <c r="AE2469" t="s">
        <v>128</v>
      </c>
      <c r="AF2469" t="s">
        <v>21</v>
      </c>
    </row>
    <row r="2470" spans="1:32">
      <c r="A2470" t="s">
        <v>3524</v>
      </c>
      <c r="B2470" s="37">
        <v>39906</v>
      </c>
      <c r="C2470" s="38">
        <v>39906</v>
      </c>
      <c r="D2470" s="38">
        <v>39902</v>
      </c>
      <c r="E2470" s="38">
        <v>39904</v>
      </c>
      <c r="F2470" s="39">
        <v>1</v>
      </c>
      <c r="G2470" t="s">
        <v>21</v>
      </c>
      <c r="H2470" t="s">
        <v>21</v>
      </c>
      <c r="I2470">
        <v>0</v>
      </c>
      <c r="J2470">
        <v>0</v>
      </c>
      <c r="K2470">
        <v>0</v>
      </c>
      <c r="L2470">
        <v>1</v>
      </c>
      <c r="M2470">
        <v>0</v>
      </c>
      <c r="N2470" t="s">
        <v>200</v>
      </c>
      <c r="O2470" t="s">
        <v>214</v>
      </c>
      <c r="P2470" t="s">
        <v>208</v>
      </c>
      <c r="Q2470" t="s">
        <v>170</v>
      </c>
      <c r="R2470" t="s">
        <v>155</v>
      </c>
      <c r="T2470" t="s">
        <v>134</v>
      </c>
      <c r="U2470">
        <v>1</v>
      </c>
      <c r="W2470" t="s">
        <v>134</v>
      </c>
      <c r="X2470">
        <v>1</v>
      </c>
      <c r="Y2470" t="s">
        <v>139</v>
      </c>
      <c r="Z2470" t="s">
        <v>409</v>
      </c>
      <c r="AA2470" t="s">
        <v>148</v>
      </c>
      <c r="AB2470" t="s">
        <v>165</v>
      </c>
      <c r="AC2470" t="s">
        <v>2169</v>
      </c>
      <c r="AD2470" t="s">
        <v>158</v>
      </c>
      <c r="AE2470" t="s">
        <v>122</v>
      </c>
      <c r="AF2470" t="s">
        <v>21</v>
      </c>
    </row>
    <row r="2471" spans="1:32">
      <c r="A2471" t="s">
        <v>3525</v>
      </c>
      <c r="B2471" s="37">
        <v>39930</v>
      </c>
      <c r="C2471" s="38">
        <v>39930</v>
      </c>
      <c r="D2471" s="38">
        <v>39930</v>
      </c>
      <c r="E2471" s="38">
        <v>39904</v>
      </c>
      <c r="F2471" s="39">
        <v>25</v>
      </c>
      <c r="G2471" t="s">
        <v>21</v>
      </c>
      <c r="H2471" t="s">
        <v>21</v>
      </c>
      <c r="I2471">
        <v>0</v>
      </c>
      <c r="J2471">
        <v>0</v>
      </c>
      <c r="K2471">
        <v>0</v>
      </c>
      <c r="L2471">
        <v>1</v>
      </c>
      <c r="M2471">
        <v>0</v>
      </c>
      <c r="N2471" t="s">
        <v>193</v>
      </c>
      <c r="O2471" t="s">
        <v>213</v>
      </c>
      <c r="P2471" t="s">
        <v>204</v>
      </c>
      <c r="Q2471" t="s">
        <v>170</v>
      </c>
      <c r="R2471" t="s">
        <v>155</v>
      </c>
      <c r="T2471" t="s">
        <v>134</v>
      </c>
      <c r="U2471">
        <v>1</v>
      </c>
      <c r="W2471" t="s">
        <v>134</v>
      </c>
      <c r="X2471">
        <v>1</v>
      </c>
      <c r="Y2471" t="s">
        <v>140</v>
      </c>
      <c r="Z2471" t="s">
        <v>183</v>
      </c>
      <c r="AA2471" t="s">
        <v>145</v>
      </c>
      <c r="AB2471" t="s">
        <v>163</v>
      </c>
      <c r="AC2471" t="s">
        <v>173</v>
      </c>
      <c r="AD2471" t="s">
        <v>155</v>
      </c>
      <c r="AE2471" t="s">
        <v>692</v>
      </c>
      <c r="AF2471" t="s">
        <v>21</v>
      </c>
    </row>
    <row r="2472" spans="1:32">
      <c r="A2472" t="s">
        <v>3526</v>
      </c>
      <c r="B2472" s="37">
        <v>39933</v>
      </c>
      <c r="C2472" s="38">
        <v>39933</v>
      </c>
      <c r="D2472" s="38">
        <v>39930</v>
      </c>
      <c r="E2472" s="38">
        <v>39904</v>
      </c>
      <c r="F2472" s="39">
        <v>28</v>
      </c>
      <c r="G2472" t="s">
        <v>21</v>
      </c>
      <c r="H2472" t="s">
        <v>21</v>
      </c>
      <c r="I2472">
        <v>0</v>
      </c>
      <c r="J2472">
        <v>0</v>
      </c>
      <c r="K2472">
        <v>0</v>
      </c>
      <c r="L2472">
        <v>1</v>
      </c>
      <c r="M2472">
        <v>0</v>
      </c>
      <c r="N2472" t="s">
        <v>198</v>
      </c>
      <c r="O2472" t="s">
        <v>213</v>
      </c>
      <c r="P2472" t="s">
        <v>208</v>
      </c>
      <c r="Q2472" t="s">
        <v>170</v>
      </c>
      <c r="R2472" t="s">
        <v>155</v>
      </c>
      <c r="T2472" t="s">
        <v>134</v>
      </c>
      <c r="U2472">
        <v>1</v>
      </c>
      <c r="W2472" t="s">
        <v>134</v>
      </c>
      <c r="X2472">
        <v>1</v>
      </c>
      <c r="Y2472" t="s">
        <v>139</v>
      </c>
      <c r="Z2472" t="s">
        <v>179</v>
      </c>
      <c r="AA2472" t="s">
        <v>148</v>
      </c>
      <c r="AB2472" t="s">
        <v>163</v>
      </c>
      <c r="AC2472" t="s">
        <v>173</v>
      </c>
      <c r="AD2472" t="s">
        <v>161</v>
      </c>
      <c r="AE2472" t="s">
        <v>2772</v>
      </c>
      <c r="AF2472" t="s">
        <v>21</v>
      </c>
    </row>
    <row r="2473" spans="1:32">
      <c r="A2473" t="s">
        <v>3527</v>
      </c>
      <c r="B2473" s="37">
        <v>39946</v>
      </c>
      <c r="C2473" s="38">
        <v>39946</v>
      </c>
      <c r="D2473" s="38">
        <v>39944</v>
      </c>
      <c r="E2473" s="38">
        <v>39934</v>
      </c>
      <c r="F2473" s="39">
        <v>41</v>
      </c>
      <c r="G2473" t="s">
        <v>21</v>
      </c>
      <c r="H2473" t="s">
        <v>21</v>
      </c>
      <c r="I2473">
        <v>0</v>
      </c>
      <c r="J2473">
        <v>0</v>
      </c>
      <c r="K2473">
        <v>0</v>
      </c>
      <c r="L2473">
        <v>1</v>
      </c>
      <c r="M2473">
        <v>0</v>
      </c>
      <c r="N2473" t="s">
        <v>194</v>
      </c>
      <c r="O2473" t="s">
        <v>213</v>
      </c>
      <c r="P2473" t="s">
        <v>205</v>
      </c>
      <c r="Q2473" t="s">
        <v>170</v>
      </c>
      <c r="R2473" t="s">
        <v>155</v>
      </c>
      <c r="T2473" t="s">
        <v>134</v>
      </c>
      <c r="U2473">
        <v>1</v>
      </c>
      <c r="W2473" t="s">
        <v>134</v>
      </c>
      <c r="X2473">
        <v>1</v>
      </c>
      <c r="Y2473" t="s">
        <v>139</v>
      </c>
      <c r="Z2473" t="s">
        <v>186</v>
      </c>
      <c r="AA2473" t="s">
        <v>147</v>
      </c>
      <c r="AB2473" t="s">
        <v>163</v>
      </c>
      <c r="AC2473" t="s">
        <v>415</v>
      </c>
      <c r="AD2473" t="s">
        <v>155</v>
      </c>
      <c r="AE2473" t="s">
        <v>125</v>
      </c>
      <c r="AF2473" t="s">
        <v>21</v>
      </c>
    </row>
    <row r="2474" spans="1:32">
      <c r="A2474" t="s">
        <v>3528</v>
      </c>
      <c r="B2474" s="37">
        <v>39981</v>
      </c>
      <c r="C2474" s="38">
        <v>39981</v>
      </c>
      <c r="D2474" s="38">
        <v>39979</v>
      </c>
      <c r="E2474" s="38">
        <v>39965</v>
      </c>
      <c r="F2474" s="39">
        <v>76</v>
      </c>
      <c r="G2474" t="s">
        <v>21</v>
      </c>
      <c r="H2474" t="s">
        <v>21</v>
      </c>
      <c r="I2474">
        <v>0</v>
      </c>
      <c r="J2474">
        <v>0</v>
      </c>
      <c r="K2474">
        <v>0</v>
      </c>
      <c r="L2474">
        <v>1</v>
      </c>
      <c r="M2474">
        <v>0</v>
      </c>
      <c r="N2474" t="s">
        <v>193</v>
      </c>
      <c r="O2474" t="s">
        <v>213</v>
      </c>
      <c r="P2474" t="s">
        <v>204</v>
      </c>
      <c r="Q2474" t="s">
        <v>170</v>
      </c>
      <c r="R2474" t="s">
        <v>155</v>
      </c>
      <c r="T2474" t="s">
        <v>134</v>
      </c>
      <c r="U2474">
        <v>1</v>
      </c>
      <c r="W2474" t="s">
        <v>134</v>
      </c>
      <c r="X2474">
        <v>1</v>
      </c>
      <c r="Y2474" t="s">
        <v>140</v>
      </c>
      <c r="Z2474" t="s">
        <v>186</v>
      </c>
      <c r="AA2474" t="s">
        <v>148</v>
      </c>
      <c r="AB2474" t="s">
        <v>163</v>
      </c>
      <c r="AC2474" t="s">
        <v>3529</v>
      </c>
      <c r="AD2474" t="s">
        <v>155</v>
      </c>
      <c r="AE2474" t="s">
        <v>130</v>
      </c>
      <c r="AF2474" t="s">
        <v>21</v>
      </c>
    </row>
    <row r="2475" spans="1:32">
      <c r="A2475" t="s">
        <v>3530</v>
      </c>
      <c r="B2475" s="37">
        <v>39944</v>
      </c>
      <c r="C2475" s="38">
        <v>39944</v>
      </c>
      <c r="D2475" s="38">
        <v>39944</v>
      </c>
      <c r="E2475" s="38">
        <v>39934</v>
      </c>
      <c r="F2475" s="39">
        <v>39</v>
      </c>
      <c r="G2475" t="s">
        <v>496</v>
      </c>
      <c r="H2475" t="s">
        <v>13</v>
      </c>
      <c r="I2475">
        <v>0</v>
      </c>
      <c r="J2475">
        <v>1</v>
      </c>
      <c r="K2475">
        <v>0</v>
      </c>
      <c r="L2475">
        <v>0</v>
      </c>
      <c r="M2475">
        <v>1</v>
      </c>
      <c r="N2475" t="s">
        <v>193</v>
      </c>
      <c r="O2475" t="s">
        <v>213</v>
      </c>
      <c r="P2475" t="s">
        <v>204</v>
      </c>
      <c r="Q2475" t="s">
        <v>170</v>
      </c>
      <c r="R2475" t="s">
        <v>155</v>
      </c>
      <c r="T2475" t="s">
        <v>134</v>
      </c>
      <c r="U2475">
        <v>1</v>
      </c>
      <c r="W2475" t="s">
        <v>134</v>
      </c>
      <c r="X2475">
        <v>1</v>
      </c>
      <c r="Y2475" t="s">
        <v>140</v>
      </c>
      <c r="Z2475" t="s">
        <v>181</v>
      </c>
      <c r="AA2475" t="s">
        <v>148</v>
      </c>
      <c r="AB2475" t="s">
        <v>163</v>
      </c>
      <c r="AC2475" t="s">
        <v>173</v>
      </c>
      <c r="AD2475" t="s">
        <v>155</v>
      </c>
      <c r="AE2475" t="s">
        <v>125</v>
      </c>
      <c r="AF2475" t="s">
        <v>21</v>
      </c>
    </row>
    <row r="2476" spans="1:32">
      <c r="A2476" t="s">
        <v>3531</v>
      </c>
      <c r="B2476" s="37">
        <v>39992</v>
      </c>
      <c r="C2476" s="38">
        <v>39992</v>
      </c>
      <c r="D2476" s="38">
        <v>39986</v>
      </c>
      <c r="E2476" s="38">
        <v>39965</v>
      </c>
      <c r="F2476" s="39">
        <v>87</v>
      </c>
      <c r="G2476" t="s">
        <v>21</v>
      </c>
      <c r="H2476" t="s">
        <v>21</v>
      </c>
      <c r="I2476">
        <v>0</v>
      </c>
      <c r="J2476">
        <v>0</v>
      </c>
      <c r="K2476">
        <v>0</v>
      </c>
      <c r="L2476">
        <v>1</v>
      </c>
      <c r="M2476">
        <v>0</v>
      </c>
      <c r="N2476" t="s">
        <v>194</v>
      </c>
      <c r="O2476" t="s">
        <v>213</v>
      </c>
      <c r="P2476" t="s">
        <v>205</v>
      </c>
      <c r="Q2476" t="s">
        <v>170</v>
      </c>
      <c r="R2476" t="s">
        <v>155</v>
      </c>
      <c r="T2476" t="s">
        <v>134</v>
      </c>
      <c r="U2476">
        <v>1</v>
      </c>
      <c r="V2476">
        <v>3</v>
      </c>
      <c r="W2476" t="s">
        <v>137</v>
      </c>
      <c r="X2476">
        <v>0</v>
      </c>
      <c r="Y2476" t="s">
        <v>139</v>
      </c>
      <c r="Z2476" t="s">
        <v>181</v>
      </c>
      <c r="AA2476" t="s">
        <v>146</v>
      </c>
      <c r="AB2476" t="s">
        <v>162</v>
      </c>
      <c r="AC2476" t="s">
        <v>174</v>
      </c>
      <c r="AD2476" t="s">
        <v>156</v>
      </c>
      <c r="AE2476" t="s">
        <v>120</v>
      </c>
      <c r="AF2476" t="s">
        <v>991</v>
      </c>
    </row>
    <row r="2477" spans="1:32">
      <c r="A2477" t="s">
        <v>3532</v>
      </c>
      <c r="B2477" s="37">
        <v>40021</v>
      </c>
      <c r="C2477" s="38">
        <v>40021</v>
      </c>
      <c r="D2477" s="38">
        <v>40021</v>
      </c>
      <c r="E2477" s="38">
        <v>39995</v>
      </c>
      <c r="F2477" s="39">
        <v>116</v>
      </c>
      <c r="G2477" t="s">
        <v>21</v>
      </c>
      <c r="H2477" t="s">
        <v>21</v>
      </c>
      <c r="I2477">
        <v>0</v>
      </c>
      <c r="J2477">
        <v>0</v>
      </c>
      <c r="K2477">
        <v>0</v>
      </c>
      <c r="L2477">
        <v>1</v>
      </c>
      <c r="M2477">
        <v>0</v>
      </c>
      <c r="N2477" t="s">
        <v>196</v>
      </c>
      <c r="O2477" t="s">
        <v>213</v>
      </c>
      <c r="P2477" t="s">
        <v>207</v>
      </c>
      <c r="Q2477" t="s">
        <v>170</v>
      </c>
      <c r="R2477" t="s">
        <v>155</v>
      </c>
      <c r="S2477">
        <v>5</v>
      </c>
      <c r="T2477" t="s">
        <v>135</v>
      </c>
      <c r="U2477">
        <v>0</v>
      </c>
      <c r="V2477">
        <v>5</v>
      </c>
      <c r="W2477" t="s">
        <v>135</v>
      </c>
      <c r="X2477">
        <v>0</v>
      </c>
      <c r="Y2477" t="s">
        <v>139</v>
      </c>
      <c r="Z2477" t="s">
        <v>178</v>
      </c>
      <c r="AA2477" t="s">
        <v>148</v>
      </c>
      <c r="AB2477" t="s">
        <v>163</v>
      </c>
      <c r="AC2477" t="s">
        <v>2900</v>
      </c>
      <c r="AD2477" t="s">
        <v>155</v>
      </c>
      <c r="AE2477" t="s">
        <v>124</v>
      </c>
      <c r="AF2477" t="s">
        <v>21</v>
      </c>
    </row>
    <row r="2478" spans="1:32">
      <c r="A2478" t="s">
        <v>3533</v>
      </c>
      <c r="B2478" s="37">
        <v>40054</v>
      </c>
      <c r="C2478" s="38">
        <v>40054</v>
      </c>
      <c r="D2478" s="38">
        <v>40049</v>
      </c>
      <c r="E2478" s="38">
        <v>40026</v>
      </c>
      <c r="F2478" s="39">
        <v>149</v>
      </c>
      <c r="G2478" t="s">
        <v>21</v>
      </c>
      <c r="H2478" t="s">
        <v>21</v>
      </c>
      <c r="I2478">
        <v>0</v>
      </c>
      <c r="J2478">
        <v>0</v>
      </c>
      <c r="K2478">
        <v>0</v>
      </c>
      <c r="L2478">
        <v>1</v>
      </c>
      <c r="M2478">
        <v>0</v>
      </c>
      <c r="N2478" t="s">
        <v>195</v>
      </c>
      <c r="O2478" t="s">
        <v>213</v>
      </c>
      <c r="P2478" t="s">
        <v>206</v>
      </c>
      <c r="Q2478" t="s">
        <v>170</v>
      </c>
      <c r="R2478" t="s">
        <v>155</v>
      </c>
      <c r="S2478">
        <v>5</v>
      </c>
      <c r="T2478" t="s">
        <v>135</v>
      </c>
      <c r="U2478">
        <v>0</v>
      </c>
      <c r="V2478">
        <v>5</v>
      </c>
      <c r="W2478" t="s">
        <v>135</v>
      </c>
      <c r="X2478">
        <v>0</v>
      </c>
      <c r="Y2478" t="s">
        <v>139</v>
      </c>
      <c r="Z2478" t="s">
        <v>178</v>
      </c>
      <c r="AA2478" t="s">
        <v>144</v>
      </c>
      <c r="AB2478" t="s">
        <v>162</v>
      </c>
      <c r="AC2478" t="s">
        <v>21</v>
      </c>
      <c r="AD2478" t="s">
        <v>155</v>
      </c>
      <c r="AE2478" t="s">
        <v>127</v>
      </c>
      <c r="AF2478" t="s">
        <v>21</v>
      </c>
    </row>
    <row r="2479" spans="1:32">
      <c r="A2479" t="s">
        <v>3534</v>
      </c>
      <c r="B2479" s="37">
        <v>40034</v>
      </c>
      <c r="C2479" s="38">
        <v>40034</v>
      </c>
      <c r="D2479" s="38">
        <v>40028</v>
      </c>
      <c r="E2479" s="38">
        <v>40026</v>
      </c>
      <c r="F2479" s="39">
        <v>129</v>
      </c>
      <c r="G2479" t="s">
        <v>21</v>
      </c>
      <c r="H2479" t="s">
        <v>21</v>
      </c>
      <c r="I2479">
        <v>0</v>
      </c>
      <c r="J2479">
        <v>0</v>
      </c>
      <c r="K2479">
        <v>0</v>
      </c>
      <c r="L2479">
        <v>1</v>
      </c>
      <c r="M2479">
        <v>0</v>
      </c>
      <c r="N2479" t="s">
        <v>195</v>
      </c>
      <c r="O2479" t="s">
        <v>213</v>
      </c>
      <c r="P2479" t="s">
        <v>206</v>
      </c>
      <c r="Q2479" t="s">
        <v>170</v>
      </c>
      <c r="R2479" t="s">
        <v>155</v>
      </c>
      <c r="S2479">
        <v>5</v>
      </c>
      <c r="T2479" t="s">
        <v>135</v>
      </c>
      <c r="U2479">
        <v>0</v>
      </c>
      <c r="V2479">
        <v>3</v>
      </c>
      <c r="W2479" t="s">
        <v>137</v>
      </c>
      <c r="X2479">
        <v>0</v>
      </c>
      <c r="Y2479" t="s">
        <v>139</v>
      </c>
      <c r="Z2479" t="s">
        <v>178</v>
      </c>
      <c r="AA2479" t="s">
        <v>144</v>
      </c>
      <c r="AB2479" t="s">
        <v>162</v>
      </c>
      <c r="AC2479" t="s">
        <v>174</v>
      </c>
      <c r="AD2479" t="s">
        <v>160</v>
      </c>
      <c r="AE2479" t="s">
        <v>126</v>
      </c>
      <c r="AF2479" t="s">
        <v>551</v>
      </c>
    </row>
    <row r="2480" spans="1:32">
      <c r="A2480" t="s">
        <v>3535</v>
      </c>
      <c r="B2480" s="37">
        <v>40034</v>
      </c>
      <c r="C2480" s="38">
        <v>40034</v>
      </c>
      <c r="D2480" s="38">
        <v>40028</v>
      </c>
      <c r="E2480" s="38">
        <v>40026</v>
      </c>
      <c r="F2480" s="39">
        <v>129</v>
      </c>
      <c r="G2480" t="s">
        <v>21</v>
      </c>
      <c r="H2480" t="s">
        <v>21</v>
      </c>
      <c r="I2480">
        <v>0</v>
      </c>
      <c r="J2480">
        <v>0</v>
      </c>
      <c r="K2480">
        <v>0</v>
      </c>
      <c r="L2480">
        <v>1</v>
      </c>
      <c r="M2480">
        <v>0</v>
      </c>
      <c r="N2480" t="s">
        <v>193</v>
      </c>
      <c r="O2480" t="s">
        <v>213</v>
      </c>
      <c r="P2480" t="s">
        <v>204</v>
      </c>
      <c r="Q2480" t="s">
        <v>170</v>
      </c>
      <c r="R2480" t="s">
        <v>155</v>
      </c>
      <c r="S2480">
        <v>5</v>
      </c>
      <c r="T2480" t="s">
        <v>135</v>
      </c>
      <c r="U2480">
        <v>0</v>
      </c>
      <c r="V2480">
        <v>5</v>
      </c>
      <c r="W2480" t="s">
        <v>135</v>
      </c>
      <c r="X2480">
        <v>0</v>
      </c>
      <c r="Y2480" t="s">
        <v>140</v>
      </c>
      <c r="Z2480" t="s">
        <v>384</v>
      </c>
      <c r="AA2480" t="s">
        <v>148</v>
      </c>
      <c r="AB2480" t="s">
        <v>162</v>
      </c>
      <c r="AC2480" t="s">
        <v>176</v>
      </c>
      <c r="AD2480" t="s">
        <v>125</v>
      </c>
      <c r="AE2480" t="s">
        <v>125</v>
      </c>
      <c r="AF2480" t="s">
        <v>1497</v>
      </c>
    </row>
    <row r="2481" spans="1:32">
      <c r="A2481" t="s">
        <v>3536</v>
      </c>
      <c r="B2481" s="37">
        <v>39910</v>
      </c>
      <c r="C2481" s="38">
        <v>39910</v>
      </c>
      <c r="D2481" s="38">
        <v>39909</v>
      </c>
      <c r="E2481" s="38">
        <v>39904</v>
      </c>
      <c r="F2481" s="39">
        <v>5</v>
      </c>
      <c r="G2481" t="s">
        <v>380</v>
      </c>
      <c r="H2481" t="s">
        <v>17</v>
      </c>
      <c r="I2481">
        <v>0</v>
      </c>
      <c r="J2481">
        <v>0</v>
      </c>
      <c r="K2481">
        <v>1</v>
      </c>
      <c r="L2481">
        <v>0</v>
      </c>
      <c r="M2481">
        <v>0</v>
      </c>
      <c r="N2481" t="s">
        <v>202</v>
      </c>
      <c r="O2481" t="s">
        <v>213</v>
      </c>
      <c r="P2481" t="s">
        <v>211</v>
      </c>
      <c r="Q2481" t="s">
        <v>170</v>
      </c>
      <c r="R2481" t="s">
        <v>155</v>
      </c>
      <c r="T2481" t="s">
        <v>134</v>
      </c>
      <c r="U2481">
        <v>1</v>
      </c>
      <c r="W2481" t="s">
        <v>134</v>
      </c>
      <c r="X2481">
        <v>1</v>
      </c>
      <c r="Y2481" t="s">
        <v>139</v>
      </c>
      <c r="Z2481" t="s">
        <v>528</v>
      </c>
      <c r="AA2481" t="s">
        <v>150</v>
      </c>
      <c r="AB2481" t="s">
        <v>162</v>
      </c>
      <c r="AC2481" t="s">
        <v>933</v>
      </c>
      <c r="AD2481" t="s">
        <v>159</v>
      </c>
      <c r="AE2481" t="s">
        <v>126</v>
      </c>
      <c r="AF2481" t="s">
        <v>601</v>
      </c>
    </row>
    <row r="2482" spans="1:32">
      <c r="A2482" t="s">
        <v>3537</v>
      </c>
      <c r="B2482" s="37">
        <v>39969</v>
      </c>
      <c r="C2482" s="38">
        <v>39969</v>
      </c>
      <c r="D2482" s="38">
        <v>39965</v>
      </c>
      <c r="E2482" s="38">
        <v>39965</v>
      </c>
      <c r="F2482" s="39">
        <v>64</v>
      </c>
      <c r="G2482" t="s">
        <v>380</v>
      </c>
      <c r="H2482" t="s">
        <v>17</v>
      </c>
      <c r="I2482">
        <v>0</v>
      </c>
      <c r="J2482">
        <v>0</v>
      </c>
      <c r="K2482">
        <v>1</v>
      </c>
      <c r="L2482">
        <v>0</v>
      </c>
      <c r="M2482">
        <v>0</v>
      </c>
      <c r="N2482" t="s">
        <v>193</v>
      </c>
      <c r="O2482" t="s">
        <v>213</v>
      </c>
      <c r="P2482" t="s">
        <v>204</v>
      </c>
      <c r="Q2482" t="s">
        <v>170</v>
      </c>
      <c r="R2482" t="s">
        <v>155</v>
      </c>
      <c r="T2482" t="s">
        <v>134</v>
      </c>
      <c r="U2482">
        <v>1</v>
      </c>
      <c r="W2482" t="s">
        <v>134</v>
      </c>
      <c r="X2482">
        <v>1</v>
      </c>
      <c r="Y2482" t="s">
        <v>140</v>
      </c>
      <c r="Z2482" t="s">
        <v>178</v>
      </c>
      <c r="AA2482" t="s">
        <v>142</v>
      </c>
      <c r="AB2482" t="s">
        <v>163</v>
      </c>
      <c r="AC2482" t="s">
        <v>173</v>
      </c>
      <c r="AD2482" t="s">
        <v>155</v>
      </c>
      <c r="AE2482" t="s">
        <v>125</v>
      </c>
      <c r="AF2482" t="s">
        <v>21</v>
      </c>
    </row>
    <row r="2483" spans="1:32">
      <c r="A2483" t="s">
        <v>3538</v>
      </c>
      <c r="B2483" s="37">
        <v>39949</v>
      </c>
      <c r="C2483" s="38">
        <v>39949</v>
      </c>
      <c r="D2483" s="38">
        <v>39944</v>
      </c>
      <c r="E2483" s="38">
        <v>39934</v>
      </c>
      <c r="F2483" s="39">
        <v>44</v>
      </c>
      <c r="G2483" t="s">
        <v>21</v>
      </c>
      <c r="H2483" t="s">
        <v>21</v>
      </c>
      <c r="I2483">
        <v>0</v>
      </c>
      <c r="J2483">
        <v>0</v>
      </c>
      <c r="K2483">
        <v>0</v>
      </c>
      <c r="L2483">
        <v>1</v>
      </c>
      <c r="M2483">
        <v>0</v>
      </c>
      <c r="N2483" t="s">
        <v>194</v>
      </c>
      <c r="O2483" t="s">
        <v>213</v>
      </c>
      <c r="P2483" t="s">
        <v>205</v>
      </c>
      <c r="Q2483" t="s">
        <v>170</v>
      </c>
      <c r="R2483" t="s">
        <v>155</v>
      </c>
      <c r="T2483" t="s">
        <v>134</v>
      </c>
      <c r="U2483">
        <v>1</v>
      </c>
      <c r="W2483" t="s">
        <v>134</v>
      </c>
      <c r="X2483">
        <v>1</v>
      </c>
      <c r="Y2483" t="s">
        <v>139</v>
      </c>
      <c r="Z2483" t="s">
        <v>181</v>
      </c>
      <c r="AA2483" t="s">
        <v>145</v>
      </c>
      <c r="AB2483" t="s">
        <v>162</v>
      </c>
      <c r="AC2483" t="s">
        <v>174</v>
      </c>
      <c r="AD2483" t="s">
        <v>157</v>
      </c>
      <c r="AE2483" t="s">
        <v>406</v>
      </c>
      <c r="AF2483" t="s">
        <v>922</v>
      </c>
    </row>
    <row r="2484" spans="1:32">
      <c r="A2484" t="s">
        <v>3539</v>
      </c>
      <c r="B2484" s="37">
        <v>39959</v>
      </c>
      <c r="C2484" s="38">
        <v>39959</v>
      </c>
      <c r="D2484" s="38">
        <v>39958</v>
      </c>
      <c r="E2484" s="38">
        <v>39934</v>
      </c>
      <c r="F2484" s="39">
        <v>54</v>
      </c>
      <c r="G2484" t="s">
        <v>21</v>
      </c>
      <c r="H2484" t="s">
        <v>21</v>
      </c>
      <c r="I2484">
        <v>0</v>
      </c>
      <c r="J2484">
        <v>0</v>
      </c>
      <c r="K2484">
        <v>0</v>
      </c>
      <c r="L2484">
        <v>1</v>
      </c>
      <c r="M2484">
        <v>0</v>
      </c>
      <c r="N2484" t="s">
        <v>194</v>
      </c>
      <c r="O2484" t="s">
        <v>213</v>
      </c>
      <c r="P2484" t="s">
        <v>205</v>
      </c>
      <c r="Q2484" t="s">
        <v>170</v>
      </c>
      <c r="R2484" t="s">
        <v>155</v>
      </c>
      <c r="T2484" t="s">
        <v>134</v>
      </c>
      <c r="U2484">
        <v>1</v>
      </c>
      <c r="W2484" t="s">
        <v>134</v>
      </c>
      <c r="X2484">
        <v>1</v>
      </c>
      <c r="Y2484" t="s">
        <v>139</v>
      </c>
      <c r="Z2484" t="s">
        <v>183</v>
      </c>
      <c r="AA2484" t="s">
        <v>143</v>
      </c>
      <c r="AB2484" t="s">
        <v>163</v>
      </c>
      <c r="AC2484" t="s">
        <v>173</v>
      </c>
      <c r="AD2484" t="s">
        <v>155</v>
      </c>
      <c r="AE2484" t="s">
        <v>125</v>
      </c>
      <c r="AF2484" t="s">
        <v>21</v>
      </c>
    </row>
    <row r="2485" spans="1:32">
      <c r="A2485" t="s">
        <v>3540</v>
      </c>
      <c r="B2485" s="37">
        <v>39932</v>
      </c>
      <c r="C2485" s="38">
        <v>39932</v>
      </c>
      <c r="D2485" s="38">
        <v>39930</v>
      </c>
      <c r="E2485" s="38">
        <v>39904</v>
      </c>
      <c r="F2485" s="39">
        <v>27</v>
      </c>
      <c r="G2485" t="s">
        <v>21</v>
      </c>
      <c r="H2485" t="s">
        <v>21</v>
      </c>
      <c r="I2485">
        <v>0</v>
      </c>
      <c r="J2485">
        <v>0</v>
      </c>
      <c r="K2485">
        <v>0</v>
      </c>
      <c r="L2485">
        <v>1</v>
      </c>
      <c r="M2485">
        <v>0</v>
      </c>
      <c r="N2485" t="s">
        <v>202</v>
      </c>
      <c r="O2485" t="s">
        <v>213</v>
      </c>
      <c r="P2485" t="s">
        <v>211</v>
      </c>
      <c r="Q2485" t="s">
        <v>170</v>
      </c>
      <c r="R2485" t="s">
        <v>155</v>
      </c>
      <c r="T2485" t="s">
        <v>134</v>
      </c>
      <c r="U2485">
        <v>1</v>
      </c>
      <c r="W2485" t="s">
        <v>134</v>
      </c>
      <c r="X2485">
        <v>1</v>
      </c>
      <c r="Y2485" t="s">
        <v>139</v>
      </c>
      <c r="Z2485" t="s">
        <v>190</v>
      </c>
      <c r="AA2485" t="s">
        <v>149</v>
      </c>
      <c r="AB2485" t="s">
        <v>162</v>
      </c>
      <c r="AC2485" t="s">
        <v>176</v>
      </c>
      <c r="AD2485" t="s">
        <v>155</v>
      </c>
      <c r="AE2485" t="s">
        <v>130</v>
      </c>
      <c r="AF2485" t="s">
        <v>21</v>
      </c>
    </row>
    <row r="2486" spans="1:32">
      <c r="A2486" t="s">
        <v>3541</v>
      </c>
      <c r="B2486" s="37">
        <v>39912</v>
      </c>
      <c r="C2486" s="38">
        <v>39912</v>
      </c>
      <c r="D2486" s="38">
        <v>39909</v>
      </c>
      <c r="E2486" s="38">
        <v>39904</v>
      </c>
      <c r="F2486" s="39">
        <v>7</v>
      </c>
      <c r="G2486" t="s">
        <v>21</v>
      </c>
      <c r="H2486" t="s">
        <v>21</v>
      </c>
      <c r="I2486">
        <v>0</v>
      </c>
      <c r="J2486">
        <v>0</v>
      </c>
      <c r="K2486">
        <v>0</v>
      </c>
      <c r="L2486">
        <v>1</v>
      </c>
      <c r="M2486">
        <v>0</v>
      </c>
      <c r="N2486" t="s">
        <v>198</v>
      </c>
      <c r="O2486" t="s">
        <v>213</v>
      </c>
      <c r="P2486" t="s">
        <v>208</v>
      </c>
      <c r="Q2486" t="s">
        <v>170</v>
      </c>
      <c r="R2486" t="s">
        <v>155</v>
      </c>
      <c r="T2486" t="s">
        <v>134</v>
      </c>
      <c r="U2486">
        <v>1</v>
      </c>
      <c r="W2486" t="s">
        <v>134</v>
      </c>
      <c r="X2486">
        <v>1</v>
      </c>
      <c r="Y2486" t="s">
        <v>139</v>
      </c>
      <c r="Z2486" t="s">
        <v>190</v>
      </c>
      <c r="AA2486" t="s">
        <v>145</v>
      </c>
      <c r="AB2486" t="s">
        <v>163</v>
      </c>
      <c r="AC2486" t="s">
        <v>1574</v>
      </c>
      <c r="AD2486" t="s">
        <v>155</v>
      </c>
      <c r="AE2486" t="s">
        <v>129</v>
      </c>
      <c r="AF2486" t="s">
        <v>21</v>
      </c>
    </row>
    <row r="2487" spans="1:32">
      <c r="A2487" t="s">
        <v>3542</v>
      </c>
      <c r="B2487" s="37">
        <v>39940</v>
      </c>
      <c r="C2487" s="38">
        <v>39940</v>
      </c>
      <c r="D2487" s="38">
        <v>39937</v>
      </c>
      <c r="E2487" s="38">
        <v>39934</v>
      </c>
      <c r="F2487" s="39">
        <v>35</v>
      </c>
      <c r="G2487" t="s">
        <v>21</v>
      </c>
      <c r="H2487" t="s">
        <v>21</v>
      </c>
      <c r="I2487">
        <v>0</v>
      </c>
      <c r="J2487">
        <v>0</v>
      </c>
      <c r="K2487">
        <v>0</v>
      </c>
      <c r="L2487">
        <v>1</v>
      </c>
      <c r="M2487">
        <v>0</v>
      </c>
      <c r="N2487" t="s">
        <v>195</v>
      </c>
      <c r="O2487" t="s">
        <v>213</v>
      </c>
      <c r="P2487" t="s">
        <v>206</v>
      </c>
      <c r="Q2487" t="s">
        <v>170</v>
      </c>
      <c r="R2487" t="s">
        <v>155</v>
      </c>
      <c r="T2487" t="s">
        <v>134</v>
      </c>
      <c r="U2487">
        <v>1</v>
      </c>
      <c r="W2487" t="s">
        <v>134</v>
      </c>
      <c r="X2487">
        <v>1</v>
      </c>
      <c r="Y2487" t="s">
        <v>139</v>
      </c>
      <c r="Z2487" t="s">
        <v>509</v>
      </c>
      <c r="AA2487" t="s">
        <v>142</v>
      </c>
      <c r="AB2487" t="s">
        <v>162</v>
      </c>
      <c r="AC2487" t="s">
        <v>175</v>
      </c>
      <c r="AD2487" t="s">
        <v>155</v>
      </c>
      <c r="AE2487" t="s">
        <v>129</v>
      </c>
      <c r="AF2487" t="s">
        <v>21</v>
      </c>
    </row>
    <row r="2488" spans="1:32">
      <c r="A2488" t="s">
        <v>3543</v>
      </c>
      <c r="B2488" s="37">
        <v>39920</v>
      </c>
      <c r="C2488" s="38">
        <v>39920</v>
      </c>
      <c r="D2488" s="38">
        <v>39916</v>
      </c>
      <c r="E2488" s="38">
        <v>39904</v>
      </c>
      <c r="F2488" s="39">
        <v>15</v>
      </c>
      <c r="G2488" t="s">
        <v>21</v>
      </c>
      <c r="H2488" t="s">
        <v>21</v>
      </c>
      <c r="I2488">
        <v>0</v>
      </c>
      <c r="J2488">
        <v>0</v>
      </c>
      <c r="K2488">
        <v>0</v>
      </c>
      <c r="L2488">
        <v>1</v>
      </c>
      <c r="M2488">
        <v>0</v>
      </c>
      <c r="N2488" t="s">
        <v>202</v>
      </c>
      <c r="O2488" t="s">
        <v>213</v>
      </c>
      <c r="P2488" t="s">
        <v>211</v>
      </c>
      <c r="Q2488" t="s">
        <v>170</v>
      </c>
      <c r="R2488" t="s">
        <v>155</v>
      </c>
      <c r="T2488" t="s">
        <v>134</v>
      </c>
      <c r="U2488">
        <v>1</v>
      </c>
      <c r="W2488" t="s">
        <v>134</v>
      </c>
      <c r="X2488">
        <v>1</v>
      </c>
      <c r="Y2488" t="s">
        <v>139</v>
      </c>
      <c r="Z2488" t="s">
        <v>181</v>
      </c>
      <c r="AA2488" t="s">
        <v>147</v>
      </c>
      <c r="AB2488" t="s">
        <v>163</v>
      </c>
      <c r="AC2488" t="s">
        <v>1191</v>
      </c>
      <c r="AD2488" t="s">
        <v>155</v>
      </c>
      <c r="AE2488" t="s">
        <v>392</v>
      </c>
      <c r="AF2488" t="s">
        <v>21</v>
      </c>
    </row>
    <row r="2489" spans="1:32">
      <c r="A2489" t="s">
        <v>3544</v>
      </c>
      <c r="B2489" s="37">
        <v>39912</v>
      </c>
      <c r="C2489" s="38">
        <v>39912</v>
      </c>
      <c r="D2489" s="38">
        <v>39909</v>
      </c>
      <c r="E2489" s="38">
        <v>39904</v>
      </c>
      <c r="F2489" s="39">
        <v>7</v>
      </c>
      <c r="G2489" t="s">
        <v>380</v>
      </c>
      <c r="H2489" t="s">
        <v>17</v>
      </c>
      <c r="I2489">
        <v>0</v>
      </c>
      <c r="J2489">
        <v>0</v>
      </c>
      <c r="K2489">
        <v>1</v>
      </c>
      <c r="L2489">
        <v>0</v>
      </c>
      <c r="M2489">
        <v>0</v>
      </c>
      <c r="N2489" t="s">
        <v>198</v>
      </c>
      <c r="O2489" t="s">
        <v>213</v>
      </c>
      <c r="P2489" t="s">
        <v>208</v>
      </c>
      <c r="Q2489" t="s">
        <v>170</v>
      </c>
      <c r="R2489" t="s">
        <v>155</v>
      </c>
      <c r="T2489" t="s">
        <v>134</v>
      </c>
      <c r="U2489">
        <v>1</v>
      </c>
      <c r="W2489" t="s">
        <v>134</v>
      </c>
      <c r="X2489">
        <v>1</v>
      </c>
      <c r="Y2489" t="s">
        <v>139</v>
      </c>
      <c r="Z2489" t="s">
        <v>181</v>
      </c>
      <c r="AA2489" t="s">
        <v>142</v>
      </c>
      <c r="AB2489" t="s">
        <v>162</v>
      </c>
      <c r="AC2489" t="s">
        <v>176</v>
      </c>
      <c r="AD2489" t="s">
        <v>155</v>
      </c>
      <c r="AE2489" t="s">
        <v>130</v>
      </c>
      <c r="AF2489" t="s">
        <v>21</v>
      </c>
    </row>
    <row r="2490" spans="1:32">
      <c r="A2490" t="s">
        <v>3545</v>
      </c>
      <c r="B2490" s="37">
        <v>39965</v>
      </c>
      <c r="C2490" s="38">
        <v>39965</v>
      </c>
      <c r="D2490" s="38">
        <v>39965</v>
      </c>
      <c r="E2490" s="38">
        <v>39965</v>
      </c>
      <c r="F2490" s="39">
        <v>60</v>
      </c>
      <c r="G2490" t="s">
        <v>21</v>
      </c>
      <c r="H2490" t="s">
        <v>21</v>
      </c>
      <c r="I2490">
        <v>0</v>
      </c>
      <c r="J2490">
        <v>0</v>
      </c>
      <c r="K2490">
        <v>0</v>
      </c>
      <c r="L2490">
        <v>1</v>
      </c>
      <c r="M2490">
        <v>0</v>
      </c>
      <c r="N2490" t="s">
        <v>193</v>
      </c>
      <c r="O2490" t="s">
        <v>213</v>
      </c>
      <c r="P2490" t="s">
        <v>204</v>
      </c>
      <c r="Q2490" t="s">
        <v>170</v>
      </c>
      <c r="R2490" t="s">
        <v>155</v>
      </c>
      <c r="T2490" t="s">
        <v>134</v>
      </c>
      <c r="U2490">
        <v>1</v>
      </c>
      <c r="W2490" t="s">
        <v>134</v>
      </c>
      <c r="X2490">
        <v>1</v>
      </c>
      <c r="Y2490" t="s">
        <v>140</v>
      </c>
      <c r="Z2490" t="s">
        <v>181</v>
      </c>
      <c r="AA2490" t="s">
        <v>142</v>
      </c>
      <c r="AB2490" t="s">
        <v>163</v>
      </c>
      <c r="AC2490" t="s">
        <v>2234</v>
      </c>
      <c r="AD2490" t="s">
        <v>155</v>
      </c>
      <c r="AE2490" t="s">
        <v>125</v>
      </c>
      <c r="AF2490" t="s">
        <v>21</v>
      </c>
    </row>
    <row r="2491" spans="1:32">
      <c r="A2491" t="s">
        <v>3546</v>
      </c>
      <c r="B2491" s="37">
        <v>39999</v>
      </c>
      <c r="C2491" s="38">
        <v>39999</v>
      </c>
      <c r="D2491" s="38">
        <v>39993</v>
      </c>
      <c r="E2491" s="38">
        <v>39995</v>
      </c>
      <c r="F2491" s="39">
        <v>94</v>
      </c>
      <c r="G2491" t="s">
        <v>21</v>
      </c>
      <c r="H2491" t="s">
        <v>21</v>
      </c>
      <c r="I2491">
        <v>0</v>
      </c>
      <c r="J2491">
        <v>0</v>
      </c>
      <c r="K2491">
        <v>0</v>
      </c>
      <c r="L2491">
        <v>1</v>
      </c>
      <c r="M2491">
        <v>0</v>
      </c>
      <c r="N2491" t="s">
        <v>196</v>
      </c>
      <c r="O2491" t="s">
        <v>213</v>
      </c>
      <c r="P2491" t="s">
        <v>207</v>
      </c>
      <c r="Q2491" t="s">
        <v>170</v>
      </c>
      <c r="R2491" t="s">
        <v>155</v>
      </c>
      <c r="T2491" t="s">
        <v>134</v>
      </c>
      <c r="U2491">
        <v>1</v>
      </c>
      <c r="V2491">
        <v>4</v>
      </c>
      <c r="W2491" t="s">
        <v>137</v>
      </c>
      <c r="X2491">
        <v>0</v>
      </c>
      <c r="Y2491" t="s">
        <v>139</v>
      </c>
      <c r="Z2491" t="s">
        <v>181</v>
      </c>
      <c r="AA2491" t="s">
        <v>151</v>
      </c>
      <c r="AB2491" t="s">
        <v>163</v>
      </c>
      <c r="AC2491" t="s">
        <v>21</v>
      </c>
      <c r="AD2491" t="s">
        <v>155</v>
      </c>
      <c r="AE2491" t="s">
        <v>124</v>
      </c>
      <c r="AF2491" t="s">
        <v>21</v>
      </c>
    </row>
    <row r="2492" spans="1:32">
      <c r="A2492" t="s">
        <v>3547</v>
      </c>
      <c r="B2492" s="37">
        <v>40024</v>
      </c>
      <c r="C2492" s="38">
        <v>40024</v>
      </c>
      <c r="D2492" s="38">
        <v>40021</v>
      </c>
      <c r="E2492" s="38">
        <v>39995</v>
      </c>
      <c r="F2492" s="39">
        <v>119</v>
      </c>
      <c r="G2492" t="s">
        <v>21</v>
      </c>
      <c r="H2492" t="s">
        <v>21</v>
      </c>
      <c r="I2492">
        <v>0</v>
      </c>
      <c r="J2492">
        <v>0</v>
      </c>
      <c r="K2492">
        <v>0</v>
      </c>
      <c r="L2492">
        <v>1</v>
      </c>
      <c r="M2492">
        <v>0</v>
      </c>
      <c r="N2492" t="s">
        <v>197</v>
      </c>
      <c r="O2492" t="s">
        <v>213</v>
      </c>
      <c r="P2492" t="s">
        <v>209</v>
      </c>
      <c r="Q2492" t="s">
        <v>170</v>
      </c>
      <c r="R2492" t="s">
        <v>155</v>
      </c>
      <c r="S2492">
        <v>1</v>
      </c>
      <c r="T2492" t="s">
        <v>136</v>
      </c>
      <c r="U2492">
        <v>0</v>
      </c>
      <c r="V2492">
        <v>3</v>
      </c>
      <c r="W2492" t="s">
        <v>137</v>
      </c>
      <c r="X2492">
        <v>0</v>
      </c>
      <c r="Y2492" t="s">
        <v>139</v>
      </c>
      <c r="Z2492" t="s">
        <v>181</v>
      </c>
      <c r="AA2492" t="s">
        <v>144</v>
      </c>
      <c r="AB2492" t="s">
        <v>162</v>
      </c>
      <c r="AC2492" t="s">
        <v>3548</v>
      </c>
      <c r="AD2492" t="s">
        <v>157</v>
      </c>
      <c r="AE2492" t="s">
        <v>127</v>
      </c>
      <c r="AF2492" t="s">
        <v>153</v>
      </c>
    </row>
    <row r="2493" spans="1:32">
      <c r="A2493" t="s">
        <v>3549</v>
      </c>
      <c r="B2493" s="37">
        <v>39988</v>
      </c>
      <c r="C2493" s="38">
        <v>39988</v>
      </c>
      <c r="D2493" s="38">
        <v>39986</v>
      </c>
      <c r="E2493" s="38">
        <v>39965</v>
      </c>
      <c r="F2493" s="39">
        <v>83</v>
      </c>
      <c r="G2493" t="s">
        <v>21</v>
      </c>
      <c r="H2493" t="s">
        <v>21</v>
      </c>
      <c r="I2493">
        <v>0</v>
      </c>
      <c r="J2493">
        <v>0</v>
      </c>
      <c r="K2493">
        <v>0</v>
      </c>
      <c r="L2493">
        <v>1</v>
      </c>
      <c r="M2493">
        <v>0</v>
      </c>
      <c r="N2493" t="s">
        <v>196</v>
      </c>
      <c r="O2493" t="s">
        <v>213</v>
      </c>
      <c r="P2493" t="s">
        <v>207</v>
      </c>
      <c r="Q2493" t="s">
        <v>170</v>
      </c>
      <c r="R2493" t="s">
        <v>155</v>
      </c>
      <c r="T2493" t="s">
        <v>134</v>
      </c>
      <c r="U2493">
        <v>1</v>
      </c>
      <c r="W2493" t="s">
        <v>134</v>
      </c>
      <c r="X2493">
        <v>1</v>
      </c>
      <c r="Y2493" t="s">
        <v>139</v>
      </c>
      <c r="Z2493" t="s">
        <v>181</v>
      </c>
      <c r="AA2493" t="s">
        <v>145</v>
      </c>
      <c r="AB2493" t="s">
        <v>162</v>
      </c>
      <c r="AC2493" t="s">
        <v>174</v>
      </c>
      <c r="AD2493" t="s">
        <v>157</v>
      </c>
      <c r="AE2493" t="s">
        <v>130</v>
      </c>
      <c r="AF2493" t="s">
        <v>437</v>
      </c>
    </row>
    <row r="2494" spans="1:32">
      <c r="A2494" t="s">
        <v>3550</v>
      </c>
      <c r="B2494" s="37">
        <v>39976</v>
      </c>
      <c r="C2494" s="38">
        <v>39976</v>
      </c>
      <c r="D2494" s="38">
        <v>39972</v>
      </c>
      <c r="E2494" s="38">
        <v>39965</v>
      </c>
      <c r="F2494" s="39">
        <v>71</v>
      </c>
      <c r="G2494" t="s">
        <v>525</v>
      </c>
      <c r="H2494" t="s">
        <v>17</v>
      </c>
      <c r="I2494">
        <v>0</v>
      </c>
      <c r="J2494">
        <v>0</v>
      </c>
      <c r="K2494">
        <v>1</v>
      </c>
      <c r="L2494">
        <v>0</v>
      </c>
      <c r="M2494">
        <v>0</v>
      </c>
      <c r="N2494" t="s">
        <v>195</v>
      </c>
      <c r="O2494" t="s">
        <v>213</v>
      </c>
      <c r="P2494" t="s">
        <v>206</v>
      </c>
      <c r="Q2494" t="s">
        <v>170</v>
      </c>
      <c r="R2494" t="s">
        <v>155</v>
      </c>
      <c r="T2494" t="s">
        <v>134</v>
      </c>
      <c r="U2494">
        <v>1</v>
      </c>
      <c r="W2494" t="s">
        <v>134</v>
      </c>
      <c r="X2494">
        <v>1</v>
      </c>
      <c r="Y2494" t="s">
        <v>139</v>
      </c>
      <c r="Z2494" t="s">
        <v>181</v>
      </c>
      <c r="AA2494" t="s">
        <v>144</v>
      </c>
      <c r="AB2494" t="s">
        <v>162</v>
      </c>
      <c r="AC2494" t="s">
        <v>3551</v>
      </c>
      <c r="AD2494" t="s">
        <v>157</v>
      </c>
      <c r="AE2494" t="s">
        <v>127</v>
      </c>
      <c r="AF2494" t="s">
        <v>153</v>
      </c>
    </row>
    <row r="2495" spans="1:32">
      <c r="A2495" t="s">
        <v>3552</v>
      </c>
      <c r="B2495" s="37">
        <v>39914</v>
      </c>
      <c r="C2495" s="38">
        <v>39914</v>
      </c>
      <c r="D2495" s="38">
        <v>39909</v>
      </c>
      <c r="E2495" s="38">
        <v>39904</v>
      </c>
      <c r="F2495" s="39">
        <v>9</v>
      </c>
      <c r="G2495" t="s">
        <v>21</v>
      </c>
      <c r="H2495" t="s">
        <v>21</v>
      </c>
      <c r="I2495">
        <v>0</v>
      </c>
      <c r="J2495">
        <v>0</v>
      </c>
      <c r="K2495">
        <v>0</v>
      </c>
      <c r="L2495">
        <v>1</v>
      </c>
      <c r="M2495">
        <v>0</v>
      </c>
      <c r="N2495" t="s">
        <v>201</v>
      </c>
      <c r="O2495" t="s">
        <v>214</v>
      </c>
      <c r="P2495" t="s">
        <v>204</v>
      </c>
      <c r="Q2495" t="s">
        <v>170</v>
      </c>
      <c r="R2495" t="s">
        <v>155</v>
      </c>
      <c r="T2495" t="s">
        <v>134</v>
      </c>
      <c r="U2495">
        <v>1</v>
      </c>
      <c r="W2495" t="s">
        <v>134</v>
      </c>
      <c r="X2495">
        <v>1</v>
      </c>
      <c r="Y2495" t="s">
        <v>140</v>
      </c>
      <c r="Z2495" t="s">
        <v>184</v>
      </c>
      <c r="AA2495" t="s">
        <v>147</v>
      </c>
      <c r="AB2495" t="s">
        <v>163</v>
      </c>
      <c r="AC2495" t="s">
        <v>173</v>
      </c>
      <c r="AD2495" t="s">
        <v>155</v>
      </c>
      <c r="AE2495" t="s">
        <v>124</v>
      </c>
      <c r="AF2495" t="s">
        <v>21</v>
      </c>
    </row>
    <row r="2496" spans="1:32">
      <c r="A2496" t="s">
        <v>3553</v>
      </c>
      <c r="B2496" s="37">
        <v>39974</v>
      </c>
      <c r="C2496" s="38">
        <v>39974</v>
      </c>
      <c r="D2496" s="38">
        <v>39972</v>
      </c>
      <c r="E2496" s="38">
        <v>39965</v>
      </c>
      <c r="F2496" s="39">
        <v>69</v>
      </c>
      <c r="G2496" t="s">
        <v>525</v>
      </c>
      <c r="H2496" t="s">
        <v>17</v>
      </c>
      <c r="I2496">
        <v>0</v>
      </c>
      <c r="J2496">
        <v>0</v>
      </c>
      <c r="K2496">
        <v>1</v>
      </c>
      <c r="L2496">
        <v>0</v>
      </c>
      <c r="M2496">
        <v>0</v>
      </c>
      <c r="N2496" t="s">
        <v>195</v>
      </c>
      <c r="O2496" t="s">
        <v>213</v>
      </c>
      <c r="P2496" t="s">
        <v>206</v>
      </c>
      <c r="Q2496" t="s">
        <v>170</v>
      </c>
      <c r="R2496" t="s">
        <v>155</v>
      </c>
      <c r="T2496" t="s">
        <v>134</v>
      </c>
      <c r="U2496">
        <v>1</v>
      </c>
      <c r="W2496" t="s">
        <v>134</v>
      </c>
      <c r="X2496">
        <v>1</v>
      </c>
      <c r="Y2496" t="s">
        <v>139</v>
      </c>
      <c r="Z2496" t="s">
        <v>184</v>
      </c>
      <c r="AA2496" t="s">
        <v>146</v>
      </c>
      <c r="AB2496" t="s">
        <v>162</v>
      </c>
      <c r="AC2496" t="s">
        <v>174</v>
      </c>
      <c r="AD2496" t="s">
        <v>157</v>
      </c>
      <c r="AE2496" t="s">
        <v>434</v>
      </c>
      <c r="AF2496" t="s">
        <v>435</v>
      </c>
    </row>
    <row r="2497" spans="1:32">
      <c r="A2497" t="s">
        <v>3554</v>
      </c>
      <c r="B2497" s="37">
        <v>40027</v>
      </c>
      <c r="C2497" s="38">
        <v>40027</v>
      </c>
      <c r="D2497" s="38">
        <v>40021</v>
      </c>
      <c r="E2497" s="38">
        <v>40026</v>
      </c>
      <c r="F2497" s="39">
        <v>122</v>
      </c>
      <c r="G2497" t="s">
        <v>21</v>
      </c>
      <c r="H2497" t="s">
        <v>21</v>
      </c>
      <c r="I2497">
        <v>0</v>
      </c>
      <c r="J2497">
        <v>0</v>
      </c>
      <c r="K2497">
        <v>0</v>
      </c>
      <c r="L2497">
        <v>1</v>
      </c>
      <c r="M2497">
        <v>0</v>
      </c>
      <c r="N2497" t="s">
        <v>193</v>
      </c>
      <c r="O2497" t="s">
        <v>213</v>
      </c>
      <c r="P2497" t="s">
        <v>204</v>
      </c>
      <c r="Q2497" t="s">
        <v>170</v>
      </c>
      <c r="R2497" t="s">
        <v>155</v>
      </c>
      <c r="S2497">
        <v>5</v>
      </c>
      <c r="T2497" t="s">
        <v>135</v>
      </c>
      <c r="U2497">
        <v>0</v>
      </c>
      <c r="V2497">
        <v>3</v>
      </c>
      <c r="W2497" t="s">
        <v>137</v>
      </c>
      <c r="X2497">
        <v>0</v>
      </c>
      <c r="Y2497" t="s">
        <v>140</v>
      </c>
      <c r="Z2497" t="s">
        <v>184</v>
      </c>
      <c r="AA2497" t="s">
        <v>143</v>
      </c>
      <c r="AB2497" t="s">
        <v>162</v>
      </c>
      <c r="AC2497" t="s">
        <v>2081</v>
      </c>
      <c r="AD2497" t="s">
        <v>155</v>
      </c>
      <c r="AE2497" t="s">
        <v>129</v>
      </c>
      <c r="AF2497" t="s">
        <v>21</v>
      </c>
    </row>
    <row r="2498" spans="1:32">
      <c r="A2498" t="s">
        <v>3555</v>
      </c>
      <c r="B2498" s="37">
        <v>39965</v>
      </c>
      <c r="C2498" s="38">
        <v>39965</v>
      </c>
      <c r="D2498" s="38">
        <v>39965</v>
      </c>
      <c r="E2498" s="38">
        <v>39965</v>
      </c>
      <c r="F2498" s="39">
        <v>60</v>
      </c>
      <c r="G2498" t="s">
        <v>21</v>
      </c>
      <c r="H2498" t="s">
        <v>21</v>
      </c>
      <c r="I2498">
        <v>0</v>
      </c>
      <c r="J2498">
        <v>0</v>
      </c>
      <c r="K2498">
        <v>0</v>
      </c>
      <c r="L2498">
        <v>1</v>
      </c>
      <c r="M2498">
        <v>0</v>
      </c>
      <c r="N2498" t="s">
        <v>195</v>
      </c>
      <c r="O2498" t="s">
        <v>213</v>
      </c>
      <c r="P2498" t="s">
        <v>206</v>
      </c>
      <c r="Q2498" t="s">
        <v>170</v>
      </c>
      <c r="R2498" t="s">
        <v>155</v>
      </c>
      <c r="T2498" t="s">
        <v>134</v>
      </c>
      <c r="U2498">
        <v>1</v>
      </c>
      <c r="W2498" t="s">
        <v>134</v>
      </c>
      <c r="X2498">
        <v>1</v>
      </c>
      <c r="Y2498" t="s">
        <v>139</v>
      </c>
      <c r="Z2498" t="s">
        <v>184</v>
      </c>
      <c r="AA2498" t="s">
        <v>146</v>
      </c>
      <c r="AB2498" t="s">
        <v>163</v>
      </c>
      <c r="AC2498" t="s">
        <v>3556</v>
      </c>
      <c r="AD2498" t="s">
        <v>155</v>
      </c>
      <c r="AE2498" t="s">
        <v>704</v>
      </c>
      <c r="AF2498" t="s">
        <v>21</v>
      </c>
    </row>
    <row r="2499" spans="1:32">
      <c r="A2499" t="s">
        <v>3557</v>
      </c>
      <c r="B2499" s="37">
        <v>39983</v>
      </c>
      <c r="C2499" s="38">
        <v>39983</v>
      </c>
      <c r="D2499" s="38">
        <v>39979</v>
      </c>
      <c r="E2499" s="38">
        <v>39965</v>
      </c>
      <c r="F2499" s="39">
        <v>78</v>
      </c>
      <c r="G2499" t="s">
        <v>21</v>
      </c>
      <c r="H2499" t="s">
        <v>21</v>
      </c>
      <c r="I2499">
        <v>0</v>
      </c>
      <c r="J2499">
        <v>0</v>
      </c>
      <c r="K2499">
        <v>0</v>
      </c>
      <c r="L2499">
        <v>1</v>
      </c>
      <c r="M2499">
        <v>0</v>
      </c>
      <c r="N2499" t="s">
        <v>193</v>
      </c>
      <c r="O2499" t="s">
        <v>213</v>
      </c>
      <c r="P2499" t="s">
        <v>204</v>
      </c>
      <c r="Q2499" t="s">
        <v>170</v>
      </c>
      <c r="R2499" t="s">
        <v>155</v>
      </c>
      <c r="T2499" t="s">
        <v>134</v>
      </c>
      <c r="U2499">
        <v>1</v>
      </c>
      <c r="W2499" t="s">
        <v>134</v>
      </c>
      <c r="X2499">
        <v>1</v>
      </c>
      <c r="Y2499" t="s">
        <v>140</v>
      </c>
      <c r="Z2499" t="s">
        <v>184</v>
      </c>
      <c r="AA2499" t="s">
        <v>145</v>
      </c>
      <c r="AB2499" t="s">
        <v>163</v>
      </c>
      <c r="AC2499" t="s">
        <v>21</v>
      </c>
      <c r="AD2499" t="s">
        <v>788</v>
      </c>
      <c r="AE2499" t="s">
        <v>3558</v>
      </c>
      <c r="AF2499" t="s">
        <v>21</v>
      </c>
    </row>
    <row r="2500" spans="1:32">
      <c r="A2500" t="s">
        <v>3559</v>
      </c>
      <c r="B2500" s="37">
        <v>40018</v>
      </c>
      <c r="C2500" s="38">
        <v>40018</v>
      </c>
      <c r="D2500" s="38">
        <v>40014</v>
      </c>
      <c r="E2500" s="38">
        <v>39995</v>
      </c>
      <c r="F2500" s="39">
        <v>113</v>
      </c>
      <c r="G2500" t="s">
        <v>383</v>
      </c>
      <c r="H2500" t="s">
        <v>17</v>
      </c>
      <c r="I2500">
        <v>0</v>
      </c>
      <c r="J2500">
        <v>0</v>
      </c>
      <c r="K2500">
        <v>1</v>
      </c>
      <c r="L2500">
        <v>0</v>
      </c>
      <c r="M2500">
        <v>0</v>
      </c>
      <c r="N2500" t="s">
        <v>193</v>
      </c>
      <c r="O2500" t="s">
        <v>213</v>
      </c>
      <c r="P2500" t="s">
        <v>204</v>
      </c>
      <c r="Q2500" t="s">
        <v>170</v>
      </c>
      <c r="R2500" t="s">
        <v>155</v>
      </c>
      <c r="S2500">
        <v>5</v>
      </c>
      <c r="T2500" t="s">
        <v>135</v>
      </c>
      <c r="U2500">
        <v>0</v>
      </c>
      <c r="V2500">
        <v>5</v>
      </c>
      <c r="W2500" t="s">
        <v>135</v>
      </c>
      <c r="X2500">
        <v>0</v>
      </c>
      <c r="Y2500" t="s">
        <v>140</v>
      </c>
      <c r="Z2500" t="s">
        <v>479</v>
      </c>
      <c r="AA2500" t="s">
        <v>149</v>
      </c>
      <c r="AB2500" t="s">
        <v>162</v>
      </c>
      <c r="AC2500" t="s">
        <v>175</v>
      </c>
      <c r="AD2500" t="s">
        <v>155</v>
      </c>
      <c r="AE2500" t="s">
        <v>130</v>
      </c>
      <c r="AF2500" t="s">
        <v>21</v>
      </c>
    </row>
    <row r="2501" spans="1:32">
      <c r="A2501" t="s">
        <v>3560</v>
      </c>
      <c r="B2501" s="37">
        <v>40043</v>
      </c>
      <c r="C2501" s="38">
        <v>40043</v>
      </c>
      <c r="D2501" s="38">
        <v>40042</v>
      </c>
      <c r="E2501" s="38">
        <v>40026</v>
      </c>
      <c r="F2501" s="39">
        <v>138</v>
      </c>
      <c r="G2501" t="s">
        <v>21</v>
      </c>
      <c r="H2501" t="s">
        <v>21</v>
      </c>
      <c r="I2501">
        <v>0</v>
      </c>
      <c r="J2501">
        <v>0</v>
      </c>
      <c r="K2501">
        <v>0</v>
      </c>
      <c r="L2501">
        <v>1</v>
      </c>
      <c r="M2501">
        <v>0</v>
      </c>
      <c r="N2501" t="s">
        <v>195</v>
      </c>
      <c r="O2501" t="s">
        <v>213</v>
      </c>
      <c r="P2501" t="s">
        <v>206</v>
      </c>
      <c r="Q2501" t="s">
        <v>170</v>
      </c>
      <c r="R2501" t="s">
        <v>155</v>
      </c>
      <c r="S2501">
        <v>5</v>
      </c>
      <c r="T2501" t="s">
        <v>135</v>
      </c>
      <c r="U2501">
        <v>0</v>
      </c>
      <c r="V2501">
        <v>3</v>
      </c>
      <c r="W2501" t="s">
        <v>137</v>
      </c>
      <c r="X2501">
        <v>0</v>
      </c>
      <c r="Y2501" t="s">
        <v>139</v>
      </c>
      <c r="Z2501" t="s">
        <v>528</v>
      </c>
      <c r="AA2501" t="s">
        <v>145</v>
      </c>
      <c r="AB2501" t="s">
        <v>163</v>
      </c>
      <c r="AC2501" t="s">
        <v>173</v>
      </c>
      <c r="AD2501" t="s">
        <v>161</v>
      </c>
      <c r="AE2501" t="s">
        <v>1364</v>
      </c>
      <c r="AF2501" t="s">
        <v>21</v>
      </c>
    </row>
    <row r="2502" spans="1:32">
      <c r="A2502" t="s">
        <v>3561</v>
      </c>
      <c r="B2502" s="37">
        <v>40064</v>
      </c>
      <c r="C2502" s="38">
        <v>40064</v>
      </c>
      <c r="D2502" s="38">
        <v>40063</v>
      </c>
      <c r="E2502" s="38">
        <v>40057</v>
      </c>
      <c r="F2502" s="39">
        <v>159</v>
      </c>
      <c r="G2502" t="s">
        <v>21</v>
      </c>
      <c r="H2502" t="s">
        <v>21</v>
      </c>
      <c r="I2502">
        <v>0</v>
      </c>
      <c r="J2502">
        <v>0</v>
      </c>
      <c r="K2502">
        <v>0</v>
      </c>
      <c r="L2502">
        <v>1</v>
      </c>
      <c r="M2502">
        <v>0</v>
      </c>
      <c r="N2502" t="s">
        <v>193</v>
      </c>
      <c r="O2502" t="s">
        <v>213</v>
      </c>
      <c r="P2502" t="s">
        <v>204</v>
      </c>
      <c r="Q2502" t="s">
        <v>170</v>
      </c>
      <c r="R2502" t="s">
        <v>155</v>
      </c>
      <c r="S2502">
        <v>5</v>
      </c>
      <c r="T2502" t="s">
        <v>135</v>
      </c>
      <c r="U2502">
        <v>0</v>
      </c>
      <c r="V2502">
        <v>5</v>
      </c>
      <c r="W2502" t="s">
        <v>135</v>
      </c>
      <c r="X2502">
        <v>0</v>
      </c>
      <c r="Y2502" t="s">
        <v>140</v>
      </c>
      <c r="Z2502" t="s">
        <v>528</v>
      </c>
      <c r="AA2502" t="s">
        <v>151</v>
      </c>
      <c r="AB2502" t="s">
        <v>162</v>
      </c>
      <c r="AC2502" t="s">
        <v>174</v>
      </c>
      <c r="AD2502" t="s">
        <v>156</v>
      </c>
      <c r="AE2502" t="s">
        <v>120</v>
      </c>
      <c r="AF2502" t="s">
        <v>3562</v>
      </c>
    </row>
    <row r="2503" spans="1:32">
      <c r="A2503" t="s">
        <v>3563</v>
      </c>
      <c r="B2503" s="37">
        <v>39906</v>
      </c>
      <c r="C2503" s="38">
        <v>39906</v>
      </c>
      <c r="D2503" s="38">
        <v>39902</v>
      </c>
      <c r="E2503" s="38">
        <v>39904</v>
      </c>
      <c r="F2503" s="39">
        <v>1</v>
      </c>
      <c r="G2503" t="s">
        <v>21</v>
      </c>
      <c r="H2503" t="s">
        <v>21</v>
      </c>
      <c r="I2503">
        <v>0</v>
      </c>
      <c r="J2503">
        <v>0</v>
      </c>
      <c r="K2503">
        <v>0</v>
      </c>
      <c r="L2503">
        <v>1</v>
      </c>
      <c r="M2503">
        <v>0</v>
      </c>
      <c r="N2503" t="s">
        <v>198</v>
      </c>
      <c r="O2503" t="s">
        <v>213</v>
      </c>
      <c r="P2503" t="s">
        <v>208</v>
      </c>
      <c r="Q2503" t="s">
        <v>170</v>
      </c>
      <c r="R2503" t="s">
        <v>155</v>
      </c>
      <c r="T2503" t="s">
        <v>134</v>
      </c>
      <c r="U2503">
        <v>1</v>
      </c>
      <c r="W2503" t="s">
        <v>134</v>
      </c>
      <c r="X2503">
        <v>1</v>
      </c>
      <c r="Y2503" t="s">
        <v>139</v>
      </c>
      <c r="Z2503" t="s">
        <v>191</v>
      </c>
      <c r="AA2503" t="s">
        <v>147</v>
      </c>
      <c r="AB2503" t="s">
        <v>165</v>
      </c>
      <c r="AC2503" t="s">
        <v>3564</v>
      </c>
      <c r="AD2503" t="s">
        <v>158</v>
      </c>
      <c r="AE2503" t="s">
        <v>122</v>
      </c>
      <c r="AF2503" t="s">
        <v>21</v>
      </c>
    </row>
    <row r="2504" spans="1:32">
      <c r="A2504" t="s">
        <v>3565</v>
      </c>
      <c r="B2504" s="37">
        <v>40070</v>
      </c>
      <c r="C2504" s="38">
        <v>40070</v>
      </c>
      <c r="D2504" s="38">
        <v>40070</v>
      </c>
      <c r="E2504" s="38">
        <v>40057</v>
      </c>
      <c r="F2504" s="39">
        <v>165</v>
      </c>
      <c r="G2504" t="s">
        <v>383</v>
      </c>
      <c r="H2504" t="s">
        <v>17</v>
      </c>
      <c r="I2504">
        <v>0</v>
      </c>
      <c r="J2504">
        <v>0</v>
      </c>
      <c r="K2504">
        <v>1</v>
      </c>
      <c r="L2504">
        <v>0</v>
      </c>
      <c r="M2504">
        <v>0</v>
      </c>
      <c r="N2504" t="s">
        <v>195</v>
      </c>
      <c r="O2504" t="s">
        <v>213</v>
      </c>
      <c r="P2504" t="s">
        <v>206</v>
      </c>
      <c r="Q2504" t="s">
        <v>170</v>
      </c>
      <c r="R2504" t="s">
        <v>155</v>
      </c>
      <c r="S2504">
        <v>1</v>
      </c>
      <c r="T2504" t="s">
        <v>136</v>
      </c>
      <c r="U2504">
        <v>0</v>
      </c>
      <c r="V2504">
        <v>5</v>
      </c>
      <c r="W2504" t="s">
        <v>135</v>
      </c>
      <c r="X2504">
        <v>0</v>
      </c>
      <c r="Y2504" t="s">
        <v>139</v>
      </c>
      <c r="Z2504" t="s">
        <v>191</v>
      </c>
      <c r="AA2504" t="s">
        <v>144</v>
      </c>
      <c r="AB2504" t="s">
        <v>162</v>
      </c>
      <c r="AC2504" t="s">
        <v>1607</v>
      </c>
      <c r="AD2504" t="s">
        <v>157</v>
      </c>
      <c r="AE2504" t="s">
        <v>127</v>
      </c>
      <c r="AF2504" t="s">
        <v>153</v>
      </c>
    </row>
    <row r="2505" spans="1:32">
      <c r="A2505" t="s">
        <v>3566</v>
      </c>
      <c r="B2505" s="37">
        <v>40058</v>
      </c>
      <c r="C2505" s="38">
        <v>40058</v>
      </c>
      <c r="D2505" s="38">
        <v>40056</v>
      </c>
      <c r="E2505" s="38">
        <v>40057</v>
      </c>
      <c r="F2505" s="39">
        <v>153</v>
      </c>
      <c r="G2505" t="s">
        <v>496</v>
      </c>
      <c r="H2505" t="s">
        <v>13</v>
      </c>
      <c r="I2505">
        <v>0</v>
      </c>
      <c r="J2505">
        <v>1</v>
      </c>
      <c r="K2505">
        <v>0</v>
      </c>
      <c r="L2505">
        <v>0</v>
      </c>
      <c r="M2505">
        <v>1</v>
      </c>
      <c r="N2505" t="s">
        <v>193</v>
      </c>
      <c r="O2505" t="s">
        <v>213</v>
      </c>
      <c r="P2505" t="s">
        <v>204</v>
      </c>
      <c r="Q2505" t="s">
        <v>170</v>
      </c>
      <c r="R2505" t="s">
        <v>155</v>
      </c>
      <c r="S2505">
        <v>5</v>
      </c>
      <c r="T2505" t="s">
        <v>135</v>
      </c>
      <c r="U2505">
        <v>0</v>
      </c>
      <c r="V2505">
        <v>5</v>
      </c>
      <c r="W2505" t="s">
        <v>135</v>
      </c>
      <c r="X2505">
        <v>0</v>
      </c>
      <c r="Y2505" t="s">
        <v>140</v>
      </c>
      <c r="Z2505" t="s">
        <v>191</v>
      </c>
      <c r="AA2505" t="s">
        <v>148</v>
      </c>
      <c r="AB2505" t="s">
        <v>165</v>
      </c>
      <c r="AC2505" t="s">
        <v>3567</v>
      </c>
      <c r="AD2505" t="s">
        <v>158</v>
      </c>
      <c r="AE2505" t="s">
        <v>122</v>
      </c>
      <c r="AF2505" t="s">
        <v>21</v>
      </c>
    </row>
    <row r="2506" spans="1:32">
      <c r="A2506" t="s">
        <v>3568</v>
      </c>
      <c r="B2506" s="37">
        <v>39979</v>
      </c>
      <c r="C2506" s="38">
        <v>39979</v>
      </c>
      <c r="D2506" s="38">
        <v>39979</v>
      </c>
      <c r="E2506" s="38">
        <v>39965</v>
      </c>
      <c r="F2506" s="39">
        <v>74</v>
      </c>
      <c r="G2506" t="s">
        <v>383</v>
      </c>
      <c r="H2506" t="s">
        <v>17</v>
      </c>
      <c r="I2506">
        <v>0</v>
      </c>
      <c r="J2506">
        <v>0</v>
      </c>
      <c r="K2506">
        <v>1</v>
      </c>
      <c r="L2506">
        <v>0</v>
      </c>
      <c r="M2506">
        <v>0</v>
      </c>
      <c r="N2506" t="s">
        <v>195</v>
      </c>
      <c r="O2506" t="s">
        <v>213</v>
      </c>
      <c r="P2506" t="s">
        <v>206</v>
      </c>
      <c r="Q2506" t="s">
        <v>170</v>
      </c>
      <c r="R2506" t="s">
        <v>155</v>
      </c>
      <c r="T2506" t="s">
        <v>134</v>
      </c>
      <c r="U2506">
        <v>1</v>
      </c>
      <c r="W2506" t="s">
        <v>134</v>
      </c>
      <c r="X2506">
        <v>1</v>
      </c>
      <c r="Y2506" t="s">
        <v>139</v>
      </c>
      <c r="Z2506" t="s">
        <v>433</v>
      </c>
      <c r="AA2506" t="s">
        <v>142</v>
      </c>
      <c r="AB2506" t="s">
        <v>162</v>
      </c>
      <c r="AC2506" t="s">
        <v>174</v>
      </c>
      <c r="AD2506" t="s">
        <v>157</v>
      </c>
      <c r="AE2506" t="s">
        <v>434</v>
      </c>
      <c r="AF2506" t="s">
        <v>435</v>
      </c>
    </row>
    <row r="2507" spans="1:32">
      <c r="A2507" t="s">
        <v>3569</v>
      </c>
      <c r="B2507" s="37">
        <v>40046</v>
      </c>
      <c r="C2507" s="38">
        <v>40046</v>
      </c>
      <c r="D2507" s="38">
        <v>40042</v>
      </c>
      <c r="E2507" s="38">
        <v>40026</v>
      </c>
      <c r="F2507" s="39">
        <v>141</v>
      </c>
      <c r="G2507" t="s">
        <v>21</v>
      </c>
      <c r="H2507" t="s">
        <v>21</v>
      </c>
      <c r="I2507">
        <v>0</v>
      </c>
      <c r="J2507">
        <v>0</v>
      </c>
      <c r="K2507">
        <v>0</v>
      </c>
      <c r="L2507">
        <v>1</v>
      </c>
      <c r="M2507">
        <v>0</v>
      </c>
      <c r="N2507" t="s">
        <v>193</v>
      </c>
      <c r="O2507" t="s">
        <v>213</v>
      </c>
      <c r="P2507" t="s">
        <v>204</v>
      </c>
      <c r="Q2507" t="s">
        <v>170</v>
      </c>
      <c r="R2507" t="s">
        <v>155</v>
      </c>
      <c r="S2507">
        <v>5</v>
      </c>
      <c r="T2507" t="s">
        <v>135</v>
      </c>
      <c r="U2507">
        <v>0</v>
      </c>
      <c r="V2507">
        <v>3</v>
      </c>
      <c r="W2507" t="s">
        <v>137</v>
      </c>
      <c r="X2507">
        <v>0</v>
      </c>
      <c r="Y2507" t="s">
        <v>140</v>
      </c>
      <c r="Z2507" t="s">
        <v>534</v>
      </c>
      <c r="AA2507" t="s">
        <v>144</v>
      </c>
      <c r="AB2507" t="s">
        <v>162</v>
      </c>
      <c r="AC2507" t="s">
        <v>175</v>
      </c>
      <c r="AD2507" t="s">
        <v>155</v>
      </c>
      <c r="AE2507" t="s">
        <v>129</v>
      </c>
      <c r="AF2507" t="s">
        <v>21</v>
      </c>
    </row>
    <row r="2508" spans="1:32">
      <c r="A2508" t="s">
        <v>3570</v>
      </c>
      <c r="B2508" s="37">
        <v>40037</v>
      </c>
      <c r="C2508" s="38">
        <v>40037</v>
      </c>
      <c r="D2508" s="38">
        <v>40035</v>
      </c>
      <c r="E2508" s="38">
        <v>40026</v>
      </c>
      <c r="F2508" s="39">
        <v>132</v>
      </c>
      <c r="G2508" t="s">
        <v>21</v>
      </c>
      <c r="H2508" t="s">
        <v>21</v>
      </c>
      <c r="I2508">
        <v>0</v>
      </c>
      <c r="J2508">
        <v>0</v>
      </c>
      <c r="K2508">
        <v>0</v>
      </c>
      <c r="L2508">
        <v>1</v>
      </c>
      <c r="M2508">
        <v>0</v>
      </c>
      <c r="N2508" t="s">
        <v>193</v>
      </c>
      <c r="O2508" t="s">
        <v>213</v>
      </c>
      <c r="P2508" t="s">
        <v>204</v>
      </c>
      <c r="Q2508" t="s">
        <v>170</v>
      </c>
      <c r="R2508" t="s">
        <v>155</v>
      </c>
      <c r="S2508">
        <v>5</v>
      </c>
      <c r="T2508" t="s">
        <v>135</v>
      </c>
      <c r="U2508">
        <v>0</v>
      </c>
      <c r="V2508">
        <v>2</v>
      </c>
      <c r="W2508" t="s">
        <v>136</v>
      </c>
      <c r="X2508">
        <v>0</v>
      </c>
      <c r="Y2508" t="s">
        <v>140</v>
      </c>
      <c r="Z2508" t="s">
        <v>191</v>
      </c>
      <c r="AA2508" t="s">
        <v>142</v>
      </c>
      <c r="AB2508" t="s">
        <v>162</v>
      </c>
      <c r="AC2508" t="s">
        <v>2438</v>
      </c>
      <c r="AD2508" t="s">
        <v>159</v>
      </c>
      <c r="AE2508" t="s">
        <v>123</v>
      </c>
      <c r="AF2508" t="s">
        <v>123</v>
      </c>
    </row>
    <row r="2509" spans="1:32">
      <c r="A2509" t="s">
        <v>3571</v>
      </c>
      <c r="B2509" s="37">
        <v>39944</v>
      </c>
      <c r="C2509" s="38">
        <v>39944</v>
      </c>
      <c r="D2509" s="38">
        <v>39944</v>
      </c>
      <c r="E2509" s="38">
        <v>39934</v>
      </c>
      <c r="F2509" s="39">
        <v>39</v>
      </c>
      <c r="G2509" t="s">
        <v>21</v>
      </c>
      <c r="H2509" t="s">
        <v>21</v>
      </c>
      <c r="I2509">
        <v>0</v>
      </c>
      <c r="J2509">
        <v>0</v>
      </c>
      <c r="K2509">
        <v>0</v>
      </c>
      <c r="L2509">
        <v>1</v>
      </c>
      <c r="M2509">
        <v>0</v>
      </c>
      <c r="N2509" t="s">
        <v>193</v>
      </c>
      <c r="O2509" t="s">
        <v>213</v>
      </c>
      <c r="P2509" t="s">
        <v>204</v>
      </c>
      <c r="Q2509" t="s">
        <v>170</v>
      </c>
      <c r="R2509" t="s">
        <v>155</v>
      </c>
      <c r="T2509" t="s">
        <v>134</v>
      </c>
      <c r="U2509">
        <v>1</v>
      </c>
      <c r="W2509" t="s">
        <v>134</v>
      </c>
      <c r="X2509">
        <v>1</v>
      </c>
      <c r="Y2509" t="s">
        <v>140</v>
      </c>
      <c r="Z2509" t="s">
        <v>183</v>
      </c>
      <c r="AA2509" t="s">
        <v>147</v>
      </c>
      <c r="AB2509" t="s">
        <v>162</v>
      </c>
      <c r="AC2509" t="s">
        <v>174</v>
      </c>
      <c r="AD2509" t="s">
        <v>157</v>
      </c>
      <c r="AE2509" t="s">
        <v>571</v>
      </c>
      <c r="AF2509" t="s">
        <v>636</v>
      </c>
    </row>
    <row r="2510" spans="1:32">
      <c r="A2510" t="s">
        <v>3572</v>
      </c>
      <c r="B2510" s="37">
        <v>40037</v>
      </c>
      <c r="C2510" s="38">
        <v>40037</v>
      </c>
      <c r="D2510" s="38">
        <v>40035</v>
      </c>
      <c r="E2510" s="38">
        <v>40026</v>
      </c>
      <c r="F2510" s="39">
        <v>132</v>
      </c>
      <c r="G2510" t="s">
        <v>21</v>
      </c>
      <c r="H2510" t="s">
        <v>21</v>
      </c>
      <c r="I2510">
        <v>0</v>
      </c>
      <c r="J2510">
        <v>0</v>
      </c>
      <c r="K2510">
        <v>0</v>
      </c>
      <c r="L2510">
        <v>1</v>
      </c>
      <c r="M2510">
        <v>0</v>
      </c>
      <c r="N2510" t="s">
        <v>193</v>
      </c>
      <c r="O2510" t="s">
        <v>213</v>
      </c>
      <c r="P2510" t="s">
        <v>204</v>
      </c>
      <c r="Q2510" t="s">
        <v>170</v>
      </c>
      <c r="R2510" t="s">
        <v>155</v>
      </c>
      <c r="S2510">
        <v>5</v>
      </c>
      <c r="T2510" t="s">
        <v>135</v>
      </c>
      <c r="U2510">
        <v>0</v>
      </c>
      <c r="V2510">
        <v>3</v>
      </c>
      <c r="W2510" t="s">
        <v>137</v>
      </c>
      <c r="X2510">
        <v>0</v>
      </c>
      <c r="Y2510" t="s">
        <v>140</v>
      </c>
      <c r="Z2510" t="s">
        <v>184</v>
      </c>
      <c r="AA2510" t="s">
        <v>149</v>
      </c>
      <c r="AB2510" t="s">
        <v>163</v>
      </c>
      <c r="AC2510" t="s">
        <v>21</v>
      </c>
      <c r="AD2510" t="s">
        <v>155</v>
      </c>
      <c r="AE2510" t="s">
        <v>127</v>
      </c>
      <c r="AF2510" t="s">
        <v>21</v>
      </c>
    </row>
    <row r="2511" spans="1:32">
      <c r="A2511" t="s">
        <v>3573</v>
      </c>
      <c r="B2511" s="37">
        <v>39970</v>
      </c>
      <c r="C2511" s="38">
        <v>39970</v>
      </c>
      <c r="D2511" s="38">
        <v>39965</v>
      </c>
      <c r="E2511" s="38">
        <v>39965</v>
      </c>
      <c r="F2511" s="39">
        <v>65</v>
      </c>
      <c r="G2511" t="s">
        <v>21</v>
      </c>
      <c r="H2511" t="s">
        <v>21</v>
      </c>
      <c r="I2511">
        <v>0</v>
      </c>
      <c r="J2511">
        <v>0</v>
      </c>
      <c r="K2511">
        <v>0</v>
      </c>
      <c r="L2511">
        <v>1</v>
      </c>
      <c r="M2511">
        <v>0</v>
      </c>
      <c r="N2511" t="s">
        <v>193</v>
      </c>
      <c r="O2511" t="s">
        <v>213</v>
      </c>
      <c r="P2511" t="s">
        <v>204</v>
      </c>
      <c r="Q2511" t="s">
        <v>170</v>
      </c>
      <c r="R2511" t="s">
        <v>155</v>
      </c>
      <c r="T2511" t="s">
        <v>134</v>
      </c>
      <c r="U2511">
        <v>1</v>
      </c>
      <c r="W2511" t="s">
        <v>134</v>
      </c>
      <c r="X2511">
        <v>1</v>
      </c>
      <c r="Y2511" t="s">
        <v>140</v>
      </c>
      <c r="Z2511" t="s">
        <v>181</v>
      </c>
      <c r="AA2511" t="s">
        <v>144</v>
      </c>
      <c r="AB2511" t="s">
        <v>162</v>
      </c>
      <c r="AC2511" t="s">
        <v>174</v>
      </c>
      <c r="AD2511" t="s">
        <v>156</v>
      </c>
      <c r="AE2511" t="s">
        <v>120</v>
      </c>
      <c r="AF2511" t="s">
        <v>3574</v>
      </c>
    </row>
    <row r="2512" spans="1:32">
      <c r="A2512" t="s">
        <v>3575</v>
      </c>
      <c r="B2512" s="37">
        <v>40009</v>
      </c>
      <c r="C2512" s="38">
        <v>40009</v>
      </c>
      <c r="D2512" s="38">
        <v>40007</v>
      </c>
      <c r="E2512" s="38">
        <v>39995</v>
      </c>
      <c r="F2512" s="39">
        <v>104</v>
      </c>
      <c r="G2512" t="s">
        <v>21</v>
      </c>
      <c r="H2512" t="s">
        <v>21</v>
      </c>
      <c r="I2512">
        <v>0</v>
      </c>
      <c r="J2512">
        <v>0</v>
      </c>
      <c r="K2512">
        <v>0</v>
      </c>
      <c r="L2512">
        <v>1</v>
      </c>
      <c r="M2512">
        <v>0</v>
      </c>
      <c r="N2512" t="s">
        <v>193</v>
      </c>
      <c r="O2512" t="s">
        <v>213</v>
      </c>
      <c r="P2512" t="s">
        <v>204</v>
      </c>
      <c r="Q2512" t="s">
        <v>170</v>
      </c>
      <c r="R2512" t="s">
        <v>155</v>
      </c>
      <c r="S2512">
        <v>1</v>
      </c>
      <c r="T2512" t="s">
        <v>136</v>
      </c>
      <c r="U2512">
        <v>0</v>
      </c>
      <c r="V2512">
        <v>3</v>
      </c>
      <c r="W2512" t="s">
        <v>137</v>
      </c>
      <c r="X2512">
        <v>0</v>
      </c>
      <c r="Y2512" t="s">
        <v>140</v>
      </c>
      <c r="Z2512" t="s">
        <v>178</v>
      </c>
      <c r="AA2512" t="s">
        <v>145</v>
      </c>
      <c r="AB2512" t="s">
        <v>162</v>
      </c>
      <c r="AC2512" t="s">
        <v>1797</v>
      </c>
      <c r="AD2512" t="s">
        <v>156</v>
      </c>
      <c r="AE2512" t="s">
        <v>120</v>
      </c>
      <c r="AF2512" t="s">
        <v>1481</v>
      </c>
    </row>
    <row r="2513" spans="1:32">
      <c r="A2513" t="s">
        <v>3576</v>
      </c>
      <c r="B2513" s="37">
        <v>39980</v>
      </c>
      <c r="C2513" s="38">
        <v>39980</v>
      </c>
      <c r="D2513" s="38">
        <v>39979</v>
      </c>
      <c r="E2513" s="38">
        <v>39965</v>
      </c>
      <c r="F2513" s="39">
        <v>75</v>
      </c>
      <c r="G2513" t="s">
        <v>380</v>
      </c>
      <c r="H2513" t="s">
        <v>17</v>
      </c>
      <c r="I2513">
        <v>0</v>
      </c>
      <c r="J2513">
        <v>0</v>
      </c>
      <c r="K2513">
        <v>1</v>
      </c>
      <c r="L2513">
        <v>0</v>
      </c>
      <c r="M2513">
        <v>0</v>
      </c>
      <c r="N2513" t="s">
        <v>194</v>
      </c>
      <c r="O2513" t="s">
        <v>213</v>
      </c>
      <c r="P2513" t="s">
        <v>205</v>
      </c>
      <c r="Q2513" t="s">
        <v>170</v>
      </c>
      <c r="R2513" t="s">
        <v>155</v>
      </c>
      <c r="T2513" t="s">
        <v>134</v>
      </c>
      <c r="U2513">
        <v>1</v>
      </c>
      <c r="W2513" t="s">
        <v>134</v>
      </c>
      <c r="X2513">
        <v>1</v>
      </c>
      <c r="Y2513" t="s">
        <v>139</v>
      </c>
      <c r="Z2513" t="s">
        <v>178</v>
      </c>
      <c r="AA2513" t="s">
        <v>144</v>
      </c>
      <c r="AB2513" t="s">
        <v>163</v>
      </c>
      <c r="AC2513" t="s">
        <v>21</v>
      </c>
      <c r="AD2513" t="s">
        <v>155</v>
      </c>
      <c r="AE2513" t="s">
        <v>124</v>
      </c>
      <c r="AF2513" t="s">
        <v>21</v>
      </c>
    </row>
    <row r="2514" spans="1:32">
      <c r="A2514" t="s">
        <v>3577</v>
      </c>
      <c r="B2514" s="37">
        <v>39912</v>
      </c>
      <c r="C2514" s="38">
        <v>39912</v>
      </c>
      <c r="D2514" s="38">
        <v>39909</v>
      </c>
      <c r="E2514" s="38">
        <v>39904</v>
      </c>
      <c r="F2514" s="39">
        <v>7</v>
      </c>
      <c r="G2514" t="s">
        <v>21</v>
      </c>
      <c r="H2514" t="s">
        <v>21</v>
      </c>
      <c r="I2514">
        <v>0</v>
      </c>
      <c r="J2514">
        <v>0</v>
      </c>
      <c r="K2514">
        <v>0</v>
      </c>
      <c r="L2514">
        <v>1</v>
      </c>
      <c r="M2514">
        <v>0</v>
      </c>
      <c r="N2514" t="s">
        <v>202</v>
      </c>
      <c r="O2514" t="s">
        <v>213</v>
      </c>
      <c r="P2514" t="s">
        <v>211</v>
      </c>
      <c r="Q2514" t="s">
        <v>170</v>
      </c>
      <c r="R2514" t="s">
        <v>155</v>
      </c>
      <c r="T2514" t="s">
        <v>134</v>
      </c>
      <c r="U2514">
        <v>1</v>
      </c>
      <c r="W2514" t="s">
        <v>134</v>
      </c>
      <c r="X2514">
        <v>1</v>
      </c>
      <c r="Y2514" t="s">
        <v>139</v>
      </c>
      <c r="Z2514" t="s">
        <v>178</v>
      </c>
      <c r="AA2514" t="s">
        <v>142</v>
      </c>
      <c r="AB2514" t="s">
        <v>162</v>
      </c>
      <c r="AC2514" t="s">
        <v>174</v>
      </c>
      <c r="AD2514" t="s">
        <v>156</v>
      </c>
      <c r="AE2514" t="s">
        <v>120</v>
      </c>
      <c r="AF2514" t="s">
        <v>715</v>
      </c>
    </row>
    <row r="2515" spans="1:32">
      <c r="A2515" t="s">
        <v>3578</v>
      </c>
      <c r="B2515" s="37">
        <v>39951</v>
      </c>
      <c r="C2515" s="38">
        <v>39951</v>
      </c>
      <c r="D2515" s="38">
        <v>39951</v>
      </c>
      <c r="E2515" s="38">
        <v>39934</v>
      </c>
      <c r="F2515" s="39">
        <v>46</v>
      </c>
      <c r="G2515" t="s">
        <v>21</v>
      </c>
      <c r="H2515" t="s">
        <v>21</v>
      </c>
      <c r="I2515">
        <v>0</v>
      </c>
      <c r="J2515">
        <v>0</v>
      </c>
      <c r="K2515">
        <v>0</v>
      </c>
      <c r="L2515">
        <v>1</v>
      </c>
      <c r="M2515">
        <v>0</v>
      </c>
      <c r="N2515" t="s">
        <v>195</v>
      </c>
      <c r="O2515" t="s">
        <v>213</v>
      </c>
      <c r="P2515" t="s">
        <v>206</v>
      </c>
      <c r="Q2515" t="s">
        <v>170</v>
      </c>
      <c r="R2515" t="s">
        <v>155</v>
      </c>
      <c r="T2515" t="s">
        <v>134</v>
      </c>
      <c r="U2515">
        <v>1</v>
      </c>
      <c r="W2515" t="s">
        <v>134</v>
      </c>
      <c r="X2515">
        <v>1</v>
      </c>
      <c r="Y2515" t="s">
        <v>139</v>
      </c>
      <c r="Z2515" t="s">
        <v>178</v>
      </c>
      <c r="AA2515" t="s">
        <v>147</v>
      </c>
      <c r="AB2515" t="s">
        <v>162</v>
      </c>
      <c r="AC2515" t="s">
        <v>578</v>
      </c>
      <c r="AD2515" t="s">
        <v>157</v>
      </c>
      <c r="AE2515" t="s">
        <v>127</v>
      </c>
      <c r="AF2515" t="s">
        <v>153</v>
      </c>
    </row>
    <row r="2516" spans="1:32">
      <c r="A2516" t="s">
        <v>3579</v>
      </c>
      <c r="B2516" s="37">
        <v>39954</v>
      </c>
      <c r="C2516" s="38">
        <v>39954</v>
      </c>
      <c r="D2516" s="38">
        <v>39951</v>
      </c>
      <c r="E2516" s="38">
        <v>39934</v>
      </c>
      <c r="F2516" s="39">
        <v>49</v>
      </c>
      <c r="G2516" t="s">
        <v>380</v>
      </c>
      <c r="H2516" t="s">
        <v>17</v>
      </c>
      <c r="I2516">
        <v>0</v>
      </c>
      <c r="J2516">
        <v>0</v>
      </c>
      <c r="K2516">
        <v>1</v>
      </c>
      <c r="L2516">
        <v>0</v>
      </c>
      <c r="M2516">
        <v>0</v>
      </c>
      <c r="N2516" t="s">
        <v>193</v>
      </c>
      <c r="O2516" t="s">
        <v>213</v>
      </c>
      <c r="P2516" t="s">
        <v>204</v>
      </c>
      <c r="Q2516" t="s">
        <v>170</v>
      </c>
      <c r="R2516" t="s">
        <v>155</v>
      </c>
      <c r="T2516" t="s">
        <v>134</v>
      </c>
      <c r="U2516">
        <v>1</v>
      </c>
      <c r="W2516" t="s">
        <v>134</v>
      </c>
      <c r="X2516">
        <v>1</v>
      </c>
      <c r="Y2516" t="s">
        <v>140</v>
      </c>
      <c r="Z2516" t="s">
        <v>178</v>
      </c>
      <c r="AA2516" t="s">
        <v>142</v>
      </c>
      <c r="AB2516" t="s">
        <v>163</v>
      </c>
      <c r="AC2516" t="s">
        <v>415</v>
      </c>
      <c r="AD2516" t="s">
        <v>155</v>
      </c>
      <c r="AE2516" t="s">
        <v>125</v>
      </c>
      <c r="AF2516" t="s">
        <v>21</v>
      </c>
    </row>
    <row r="2517" spans="1:32">
      <c r="A2517" t="s">
        <v>3580</v>
      </c>
      <c r="B2517" s="37">
        <v>39972</v>
      </c>
      <c r="C2517" s="38">
        <v>39972</v>
      </c>
      <c r="D2517" s="38">
        <v>39972</v>
      </c>
      <c r="E2517" s="38">
        <v>39965</v>
      </c>
      <c r="F2517" s="39">
        <v>67</v>
      </c>
      <c r="G2517" t="s">
        <v>21</v>
      </c>
      <c r="H2517" t="s">
        <v>21</v>
      </c>
      <c r="I2517">
        <v>0</v>
      </c>
      <c r="J2517">
        <v>0</v>
      </c>
      <c r="K2517">
        <v>0</v>
      </c>
      <c r="L2517">
        <v>1</v>
      </c>
      <c r="M2517">
        <v>0</v>
      </c>
      <c r="N2517" t="s">
        <v>193</v>
      </c>
      <c r="O2517" t="s">
        <v>213</v>
      </c>
      <c r="P2517" t="s">
        <v>204</v>
      </c>
      <c r="Q2517" t="s">
        <v>170</v>
      </c>
      <c r="R2517" t="s">
        <v>155</v>
      </c>
      <c r="T2517" t="s">
        <v>134</v>
      </c>
      <c r="U2517">
        <v>1</v>
      </c>
      <c r="W2517" t="s">
        <v>134</v>
      </c>
      <c r="X2517">
        <v>1</v>
      </c>
      <c r="Y2517" t="s">
        <v>140</v>
      </c>
      <c r="Z2517" t="s">
        <v>178</v>
      </c>
      <c r="AA2517" t="s">
        <v>143</v>
      </c>
      <c r="AB2517" t="s">
        <v>163</v>
      </c>
      <c r="AC2517" t="s">
        <v>173</v>
      </c>
      <c r="AD2517" t="s">
        <v>155</v>
      </c>
      <c r="AE2517" t="s">
        <v>962</v>
      </c>
      <c r="AF2517" t="s">
        <v>21</v>
      </c>
    </row>
    <row r="2518" spans="1:32">
      <c r="A2518" t="s">
        <v>3581</v>
      </c>
      <c r="B2518" s="37">
        <v>40021</v>
      </c>
      <c r="C2518" s="38">
        <v>40021</v>
      </c>
      <c r="D2518" s="38">
        <v>40021</v>
      </c>
      <c r="E2518" s="38">
        <v>39995</v>
      </c>
      <c r="F2518" s="39">
        <v>116</v>
      </c>
      <c r="G2518" t="s">
        <v>21</v>
      </c>
      <c r="H2518" t="s">
        <v>21</v>
      </c>
      <c r="I2518">
        <v>0</v>
      </c>
      <c r="J2518">
        <v>0</v>
      </c>
      <c r="K2518">
        <v>0</v>
      </c>
      <c r="L2518">
        <v>1</v>
      </c>
      <c r="M2518">
        <v>0</v>
      </c>
      <c r="N2518" t="s">
        <v>193</v>
      </c>
      <c r="O2518" t="s">
        <v>213</v>
      </c>
      <c r="P2518" t="s">
        <v>204</v>
      </c>
      <c r="Q2518" t="s">
        <v>170</v>
      </c>
      <c r="R2518" t="s">
        <v>155</v>
      </c>
      <c r="S2518">
        <v>3</v>
      </c>
      <c r="T2518" t="s">
        <v>137</v>
      </c>
      <c r="U2518">
        <v>0</v>
      </c>
      <c r="V2518">
        <v>3</v>
      </c>
      <c r="W2518" t="s">
        <v>137</v>
      </c>
      <c r="X2518">
        <v>0</v>
      </c>
      <c r="Y2518" t="s">
        <v>140</v>
      </c>
      <c r="Z2518" t="s">
        <v>178</v>
      </c>
      <c r="AA2518" t="s">
        <v>143</v>
      </c>
      <c r="AB2518" t="s">
        <v>163</v>
      </c>
      <c r="AC2518" t="s">
        <v>173</v>
      </c>
      <c r="AD2518" t="s">
        <v>155</v>
      </c>
      <c r="AE2518" t="s">
        <v>751</v>
      </c>
      <c r="AF2518" t="s">
        <v>21</v>
      </c>
    </row>
    <row r="2519" spans="1:32">
      <c r="A2519" t="s">
        <v>3582</v>
      </c>
      <c r="B2519" s="37">
        <v>39909</v>
      </c>
      <c r="C2519" s="38">
        <v>39909</v>
      </c>
      <c r="D2519" s="38">
        <v>39909</v>
      </c>
      <c r="E2519" s="38">
        <v>39904</v>
      </c>
      <c r="F2519" s="39">
        <v>4</v>
      </c>
      <c r="G2519" t="s">
        <v>21</v>
      </c>
      <c r="H2519" t="s">
        <v>21</v>
      </c>
      <c r="I2519">
        <v>0</v>
      </c>
      <c r="J2519">
        <v>0</v>
      </c>
      <c r="K2519">
        <v>0</v>
      </c>
      <c r="L2519">
        <v>1</v>
      </c>
      <c r="M2519">
        <v>0</v>
      </c>
      <c r="N2519" t="s">
        <v>194</v>
      </c>
      <c r="O2519" t="s">
        <v>213</v>
      </c>
      <c r="P2519" t="s">
        <v>205</v>
      </c>
      <c r="Q2519" t="s">
        <v>170</v>
      </c>
      <c r="R2519" t="s">
        <v>155</v>
      </c>
      <c r="T2519" t="s">
        <v>134</v>
      </c>
      <c r="U2519">
        <v>1</v>
      </c>
      <c r="W2519" t="s">
        <v>134</v>
      </c>
      <c r="X2519">
        <v>1</v>
      </c>
      <c r="Y2519" t="s">
        <v>139</v>
      </c>
      <c r="Z2519" t="s">
        <v>178</v>
      </c>
      <c r="AA2519" t="s">
        <v>148</v>
      </c>
      <c r="AB2519" t="s">
        <v>162</v>
      </c>
      <c r="AC2519" t="s">
        <v>619</v>
      </c>
      <c r="AD2519" t="s">
        <v>156</v>
      </c>
      <c r="AE2519" t="s">
        <v>120</v>
      </c>
      <c r="AF2519" t="s">
        <v>741</v>
      </c>
    </row>
    <row r="2520" spans="1:32">
      <c r="A2520" t="s">
        <v>3583</v>
      </c>
      <c r="B2520" s="37">
        <v>39945</v>
      </c>
      <c r="C2520" s="38">
        <v>39945</v>
      </c>
      <c r="D2520" s="38">
        <v>39944</v>
      </c>
      <c r="E2520" s="38">
        <v>39934</v>
      </c>
      <c r="F2520" s="39">
        <v>40</v>
      </c>
      <c r="G2520" t="s">
        <v>380</v>
      </c>
      <c r="H2520" t="s">
        <v>17</v>
      </c>
      <c r="I2520">
        <v>0</v>
      </c>
      <c r="J2520">
        <v>0</v>
      </c>
      <c r="K2520">
        <v>1</v>
      </c>
      <c r="L2520">
        <v>0</v>
      </c>
      <c r="M2520">
        <v>0</v>
      </c>
      <c r="N2520" t="s">
        <v>194</v>
      </c>
      <c r="O2520" t="s">
        <v>213</v>
      </c>
      <c r="P2520" t="s">
        <v>205</v>
      </c>
      <c r="Q2520" t="s">
        <v>170</v>
      </c>
      <c r="R2520" t="s">
        <v>155</v>
      </c>
      <c r="T2520" t="s">
        <v>134</v>
      </c>
      <c r="U2520">
        <v>1</v>
      </c>
      <c r="W2520" t="s">
        <v>134</v>
      </c>
      <c r="X2520">
        <v>1</v>
      </c>
      <c r="Y2520" t="s">
        <v>139</v>
      </c>
      <c r="Z2520" t="s">
        <v>180</v>
      </c>
      <c r="AA2520" t="s">
        <v>142</v>
      </c>
      <c r="AB2520" t="s">
        <v>163</v>
      </c>
      <c r="AC2520" t="s">
        <v>21</v>
      </c>
      <c r="AD2520" t="s">
        <v>155</v>
      </c>
      <c r="AE2520" t="s">
        <v>646</v>
      </c>
      <c r="AF2520" t="s">
        <v>21</v>
      </c>
    </row>
    <row r="2521" spans="1:32">
      <c r="A2521" t="s">
        <v>3584</v>
      </c>
      <c r="B2521" s="37">
        <v>39934</v>
      </c>
      <c r="C2521" s="38">
        <v>39934</v>
      </c>
      <c r="D2521" s="38">
        <v>39930</v>
      </c>
      <c r="E2521" s="38">
        <v>39934</v>
      </c>
      <c r="F2521" s="39">
        <v>29</v>
      </c>
      <c r="G2521" t="s">
        <v>9</v>
      </c>
      <c r="H2521" t="s">
        <v>9</v>
      </c>
      <c r="I2521">
        <v>1</v>
      </c>
      <c r="J2521">
        <v>0</v>
      </c>
      <c r="K2521">
        <v>0</v>
      </c>
      <c r="L2521">
        <v>0</v>
      </c>
      <c r="M2521">
        <v>1</v>
      </c>
      <c r="N2521" t="s">
        <v>199</v>
      </c>
      <c r="O2521" t="s">
        <v>213</v>
      </c>
      <c r="P2521" t="s">
        <v>210</v>
      </c>
      <c r="Q2521" t="s">
        <v>170</v>
      </c>
      <c r="R2521" t="s">
        <v>155</v>
      </c>
      <c r="T2521" t="s">
        <v>134</v>
      </c>
      <c r="U2521">
        <v>1</v>
      </c>
      <c r="W2521" t="s">
        <v>134</v>
      </c>
      <c r="X2521">
        <v>1</v>
      </c>
      <c r="Y2521" t="s">
        <v>139</v>
      </c>
      <c r="Z2521" t="s">
        <v>180</v>
      </c>
      <c r="AA2521" t="s">
        <v>143</v>
      </c>
      <c r="AB2521" t="s">
        <v>163</v>
      </c>
      <c r="AC2521" t="s">
        <v>173</v>
      </c>
      <c r="AD2521" t="s">
        <v>161</v>
      </c>
      <c r="AE2521" t="s">
        <v>2027</v>
      </c>
      <c r="AF2521" t="s">
        <v>21</v>
      </c>
    </row>
    <row r="2522" spans="1:32">
      <c r="A2522" t="s">
        <v>3585</v>
      </c>
      <c r="B2522" s="37">
        <v>39918</v>
      </c>
      <c r="C2522" s="38">
        <v>39918</v>
      </c>
      <c r="D2522" s="38">
        <v>39916</v>
      </c>
      <c r="E2522" s="38">
        <v>39904</v>
      </c>
      <c r="F2522" s="39">
        <v>13</v>
      </c>
      <c r="G2522" t="s">
        <v>21</v>
      </c>
      <c r="H2522" t="s">
        <v>21</v>
      </c>
      <c r="I2522">
        <v>0</v>
      </c>
      <c r="J2522">
        <v>0</v>
      </c>
      <c r="K2522">
        <v>0</v>
      </c>
      <c r="L2522">
        <v>1</v>
      </c>
      <c r="M2522">
        <v>0</v>
      </c>
      <c r="N2522" t="s">
        <v>200</v>
      </c>
      <c r="O2522" t="s">
        <v>214</v>
      </c>
      <c r="P2522" t="s">
        <v>208</v>
      </c>
      <c r="Q2522" t="s">
        <v>170</v>
      </c>
      <c r="R2522" t="s">
        <v>155</v>
      </c>
      <c r="T2522" t="s">
        <v>134</v>
      </c>
      <c r="U2522">
        <v>1</v>
      </c>
      <c r="W2522" t="s">
        <v>134</v>
      </c>
      <c r="X2522">
        <v>1</v>
      </c>
      <c r="Y2522" t="s">
        <v>139</v>
      </c>
      <c r="Z2522" t="s">
        <v>180</v>
      </c>
      <c r="AA2522" t="s">
        <v>149</v>
      </c>
      <c r="AB2522" t="s">
        <v>162</v>
      </c>
      <c r="AC2522" t="s">
        <v>174</v>
      </c>
      <c r="AD2522" t="s">
        <v>157</v>
      </c>
      <c r="AE2522" t="s">
        <v>130</v>
      </c>
      <c r="AF2522" t="s">
        <v>437</v>
      </c>
    </row>
    <row r="2523" spans="1:32">
      <c r="A2523" t="s">
        <v>3586</v>
      </c>
      <c r="B2523" s="37">
        <v>39927</v>
      </c>
      <c r="C2523" s="38">
        <v>39927</v>
      </c>
      <c r="D2523" s="38">
        <v>39923</v>
      </c>
      <c r="E2523" s="38">
        <v>39904</v>
      </c>
      <c r="F2523" s="39">
        <v>22</v>
      </c>
      <c r="G2523" t="s">
        <v>21</v>
      </c>
      <c r="H2523" t="s">
        <v>21</v>
      </c>
      <c r="I2523">
        <v>0</v>
      </c>
      <c r="J2523">
        <v>0</v>
      </c>
      <c r="K2523">
        <v>0</v>
      </c>
      <c r="L2523">
        <v>1</v>
      </c>
      <c r="M2523">
        <v>0</v>
      </c>
      <c r="N2523" t="s">
        <v>200</v>
      </c>
      <c r="O2523" t="s">
        <v>214</v>
      </c>
      <c r="P2523" t="s">
        <v>208</v>
      </c>
      <c r="Q2523" t="s">
        <v>170</v>
      </c>
      <c r="R2523" t="s">
        <v>155</v>
      </c>
      <c r="T2523" t="s">
        <v>134</v>
      </c>
      <c r="U2523">
        <v>1</v>
      </c>
      <c r="W2523" t="s">
        <v>134</v>
      </c>
      <c r="X2523">
        <v>1</v>
      </c>
      <c r="Y2523" t="s">
        <v>139</v>
      </c>
      <c r="Z2523" t="s">
        <v>178</v>
      </c>
      <c r="AA2523" t="s">
        <v>145</v>
      </c>
      <c r="AB2523" t="s">
        <v>163</v>
      </c>
      <c r="AC2523" t="s">
        <v>173</v>
      </c>
      <c r="AD2523" t="s">
        <v>155</v>
      </c>
      <c r="AE2523" t="s">
        <v>125</v>
      </c>
      <c r="AF2523" t="s">
        <v>21</v>
      </c>
    </row>
    <row r="2524" spans="1:32">
      <c r="A2524" t="s">
        <v>3587</v>
      </c>
      <c r="B2524" s="37">
        <v>40072</v>
      </c>
      <c r="C2524" s="38">
        <v>40072</v>
      </c>
      <c r="D2524" s="38">
        <v>40070</v>
      </c>
      <c r="E2524" s="38">
        <v>40057</v>
      </c>
      <c r="F2524" s="39">
        <v>167</v>
      </c>
      <c r="G2524" t="s">
        <v>21</v>
      </c>
      <c r="H2524" t="s">
        <v>21</v>
      </c>
      <c r="I2524">
        <v>0</v>
      </c>
      <c r="J2524">
        <v>0</v>
      </c>
      <c r="K2524">
        <v>0</v>
      </c>
      <c r="L2524">
        <v>1</v>
      </c>
      <c r="M2524">
        <v>0</v>
      </c>
      <c r="N2524" t="s">
        <v>193</v>
      </c>
      <c r="O2524" t="s">
        <v>213</v>
      </c>
      <c r="P2524" t="s">
        <v>204</v>
      </c>
      <c r="Q2524" t="s">
        <v>170</v>
      </c>
      <c r="R2524" t="s">
        <v>155</v>
      </c>
      <c r="S2524">
        <v>5</v>
      </c>
      <c r="T2524" t="s">
        <v>135</v>
      </c>
      <c r="U2524">
        <v>0</v>
      </c>
      <c r="V2524">
        <v>5</v>
      </c>
      <c r="W2524" t="s">
        <v>135</v>
      </c>
      <c r="X2524">
        <v>0</v>
      </c>
      <c r="Y2524" t="s">
        <v>140</v>
      </c>
      <c r="Z2524" t="s">
        <v>178</v>
      </c>
      <c r="AA2524" t="s">
        <v>148</v>
      </c>
      <c r="AB2524" t="s">
        <v>162</v>
      </c>
      <c r="AC2524" t="s">
        <v>176</v>
      </c>
      <c r="AD2524" t="s">
        <v>540</v>
      </c>
      <c r="AE2524" t="s">
        <v>518</v>
      </c>
      <c r="AF2524" t="s">
        <v>3588</v>
      </c>
    </row>
    <row r="2525" spans="1:32">
      <c r="A2525" t="s">
        <v>3589</v>
      </c>
      <c r="B2525" s="37">
        <v>39953</v>
      </c>
      <c r="C2525" s="38">
        <v>39953</v>
      </c>
      <c r="D2525" s="38">
        <v>39951</v>
      </c>
      <c r="E2525" s="38">
        <v>39934</v>
      </c>
      <c r="F2525" s="39">
        <v>48</v>
      </c>
      <c r="G2525" t="s">
        <v>21</v>
      </c>
      <c r="H2525" t="s">
        <v>21</v>
      </c>
      <c r="I2525">
        <v>0</v>
      </c>
      <c r="J2525">
        <v>0</v>
      </c>
      <c r="K2525">
        <v>0</v>
      </c>
      <c r="L2525">
        <v>1</v>
      </c>
      <c r="M2525">
        <v>0</v>
      </c>
      <c r="N2525" t="s">
        <v>195</v>
      </c>
      <c r="O2525" t="s">
        <v>213</v>
      </c>
      <c r="P2525" t="s">
        <v>206</v>
      </c>
      <c r="Q2525" t="s">
        <v>170</v>
      </c>
      <c r="R2525" t="s">
        <v>155</v>
      </c>
      <c r="T2525" t="s">
        <v>134</v>
      </c>
      <c r="U2525">
        <v>1</v>
      </c>
      <c r="W2525" t="s">
        <v>134</v>
      </c>
      <c r="X2525">
        <v>1</v>
      </c>
      <c r="Y2525" t="s">
        <v>139</v>
      </c>
      <c r="Z2525" t="s">
        <v>178</v>
      </c>
      <c r="AA2525" t="s">
        <v>148</v>
      </c>
      <c r="AB2525" t="s">
        <v>162</v>
      </c>
      <c r="AC2525" t="s">
        <v>3409</v>
      </c>
      <c r="AD2525" t="s">
        <v>155</v>
      </c>
      <c r="AE2525" t="s">
        <v>130</v>
      </c>
      <c r="AF2525" t="s">
        <v>21</v>
      </c>
    </row>
    <row r="2526" spans="1:32">
      <c r="A2526" t="s">
        <v>3590</v>
      </c>
      <c r="B2526" s="37">
        <v>40017</v>
      </c>
      <c r="C2526" s="38">
        <v>40017</v>
      </c>
      <c r="D2526" s="38">
        <v>40014</v>
      </c>
      <c r="E2526" s="38">
        <v>39995</v>
      </c>
      <c r="F2526" s="39">
        <v>112</v>
      </c>
      <c r="G2526" t="s">
        <v>21</v>
      </c>
      <c r="H2526" t="s">
        <v>21</v>
      </c>
      <c r="I2526">
        <v>0</v>
      </c>
      <c r="J2526">
        <v>0</v>
      </c>
      <c r="K2526">
        <v>0</v>
      </c>
      <c r="L2526">
        <v>1</v>
      </c>
      <c r="M2526">
        <v>0</v>
      </c>
      <c r="N2526" t="s">
        <v>193</v>
      </c>
      <c r="O2526" t="s">
        <v>213</v>
      </c>
      <c r="P2526" t="s">
        <v>204</v>
      </c>
      <c r="Q2526" t="s">
        <v>170</v>
      </c>
      <c r="R2526" t="s">
        <v>155</v>
      </c>
      <c r="S2526">
        <v>5</v>
      </c>
      <c r="T2526" t="s">
        <v>135</v>
      </c>
      <c r="U2526">
        <v>0</v>
      </c>
      <c r="V2526">
        <v>4</v>
      </c>
      <c r="W2526" t="s">
        <v>137</v>
      </c>
      <c r="X2526">
        <v>0</v>
      </c>
      <c r="Y2526" t="s">
        <v>140</v>
      </c>
      <c r="Z2526" t="s">
        <v>178</v>
      </c>
      <c r="AA2526" t="s">
        <v>148</v>
      </c>
      <c r="AB2526" t="s">
        <v>163</v>
      </c>
      <c r="AC2526" t="s">
        <v>1159</v>
      </c>
      <c r="AD2526" t="s">
        <v>155</v>
      </c>
      <c r="AE2526" t="s">
        <v>454</v>
      </c>
      <c r="AF2526" t="s">
        <v>21</v>
      </c>
    </row>
    <row r="2527" spans="1:32">
      <c r="A2527" t="s">
        <v>3591</v>
      </c>
      <c r="B2527" s="37">
        <v>40005</v>
      </c>
      <c r="C2527" s="38">
        <v>40005</v>
      </c>
      <c r="D2527" s="38">
        <v>40000</v>
      </c>
      <c r="E2527" s="38">
        <v>39995</v>
      </c>
      <c r="F2527" s="39">
        <v>100</v>
      </c>
      <c r="G2527" t="s">
        <v>21</v>
      </c>
      <c r="H2527" t="s">
        <v>21</v>
      </c>
      <c r="I2527">
        <v>0</v>
      </c>
      <c r="J2527">
        <v>0</v>
      </c>
      <c r="K2527">
        <v>0</v>
      </c>
      <c r="L2527">
        <v>1</v>
      </c>
      <c r="M2527">
        <v>0</v>
      </c>
      <c r="N2527" t="s">
        <v>196</v>
      </c>
      <c r="O2527" t="s">
        <v>213</v>
      </c>
      <c r="P2527" t="s">
        <v>207</v>
      </c>
      <c r="Q2527" t="s">
        <v>170</v>
      </c>
      <c r="R2527" t="s">
        <v>155</v>
      </c>
      <c r="S2527">
        <v>1</v>
      </c>
      <c r="T2527" t="s">
        <v>136</v>
      </c>
      <c r="U2527">
        <v>0</v>
      </c>
      <c r="V2527">
        <v>3</v>
      </c>
      <c r="W2527" t="s">
        <v>137</v>
      </c>
      <c r="X2527">
        <v>0</v>
      </c>
      <c r="Y2527" t="s">
        <v>139</v>
      </c>
      <c r="Z2527" t="s">
        <v>178</v>
      </c>
      <c r="AA2527" t="s">
        <v>145</v>
      </c>
      <c r="AB2527" t="s">
        <v>162</v>
      </c>
      <c r="AC2527" t="s">
        <v>175</v>
      </c>
      <c r="AD2527" t="s">
        <v>540</v>
      </c>
      <c r="AE2527" t="s">
        <v>123</v>
      </c>
      <c r="AF2527" t="s">
        <v>123</v>
      </c>
    </row>
    <row r="2528" spans="1:32">
      <c r="A2528" t="s">
        <v>3592</v>
      </c>
      <c r="B2528" s="37">
        <v>40085</v>
      </c>
      <c r="C2528" s="38">
        <v>40085</v>
      </c>
      <c r="D2528" s="38">
        <v>40084</v>
      </c>
      <c r="E2528" s="38">
        <v>40057</v>
      </c>
      <c r="F2528" s="39">
        <v>180</v>
      </c>
      <c r="G2528" t="s">
        <v>21</v>
      </c>
      <c r="H2528" t="s">
        <v>21</v>
      </c>
      <c r="I2528">
        <v>0</v>
      </c>
      <c r="J2528">
        <v>0</v>
      </c>
      <c r="K2528">
        <v>0</v>
      </c>
      <c r="L2528">
        <v>1</v>
      </c>
      <c r="M2528">
        <v>0</v>
      </c>
      <c r="N2528" t="s">
        <v>193</v>
      </c>
      <c r="O2528" t="s">
        <v>213</v>
      </c>
      <c r="P2528" t="s">
        <v>204</v>
      </c>
      <c r="Q2528" t="s">
        <v>170</v>
      </c>
      <c r="R2528" t="s">
        <v>155</v>
      </c>
      <c r="S2528">
        <v>5</v>
      </c>
      <c r="T2528" t="s">
        <v>135</v>
      </c>
      <c r="U2528">
        <v>0</v>
      </c>
      <c r="V2528">
        <v>3</v>
      </c>
      <c r="W2528" t="s">
        <v>137</v>
      </c>
      <c r="X2528">
        <v>0</v>
      </c>
      <c r="Y2528" t="s">
        <v>140</v>
      </c>
      <c r="Z2528" t="s">
        <v>180</v>
      </c>
      <c r="AA2528" t="s">
        <v>150</v>
      </c>
      <c r="AB2528" t="s">
        <v>162</v>
      </c>
      <c r="AC2528" t="s">
        <v>174</v>
      </c>
      <c r="AD2528" t="s">
        <v>157</v>
      </c>
      <c r="AE2528" t="s">
        <v>434</v>
      </c>
      <c r="AF2528" t="s">
        <v>435</v>
      </c>
    </row>
    <row r="2529" spans="1:32">
      <c r="A2529" t="s">
        <v>3593</v>
      </c>
      <c r="B2529" s="37">
        <v>39975</v>
      </c>
      <c r="C2529" s="38">
        <v>39975</v>
      </c>
      <c r="D2529" s="38">
        <v>39972</v>
      </c>
      <c r="E2529" s="38">
        <v>39965</v>
      </c>
      <c r="F2529" s="39">
        <v>70</v>
      </c>
      <c r="G2529" t="s">
        <v>383</v>
      </c>
      <c r="H2529" t="s">
        <v>17</v>
      </c>
      <c r="I2529">
        <v>0</v>
      </c>
      <c r="J2529">
        <v>0</v>
      </c>
      <c r="K2529">
        <v>1</v>
      </c>
      <c r="L2529">
        <v>0</v>
      </c>
      <c r="M2529">
        <v>0</v>
      </c>
      <c r="N2529" t="s">
        <v>194</v>
      </c>
      <c r="O2529" t="s">
        <v>213</v>
      </c>
      <c r="P2529" t="s">
        <v>205</v>
      </c>
      <c r="Q2529" t="s">
        <v>170</v>
      </c>
      <c r="R2529" t="s">
        <v>155</v>
      </c>
      <c r="T2529" t="s">
        <v>134</v>
      </c>
      <c r="U2529">
        <v>1</v>
      </c>
      <c r="W2529" t="s">
        <v>134</v>
      </c>
      <c r="X2529">
        <v>1</v>
      </c>
      <c r="Y2529" t="s">
        <v>139</v>
      </c>
      <c r="Z2529" t="s">
        <v>178</v>
      </c>
      <c r="AA2529" t="s">
        <v>144</v>
      </c>
      <c r="AB2529" t="s">
        <v>162</v>
      </c>
      <c r="AC2529" t="s">
        <v>867</v>
      </c>
      <c r="AD2529" t="s">
        <v>157</v>
      </c>
      <c r="AE2529" t="s">
        <v>127</v>
      </c>
      <c r="AF2529" t="s">
        <v>153</v>
      </c>
    </row>
    <row r="2530" spans="1:32">
      <c r="A2530" t="s">
        <v>3594</v>
      </c>
      <c r="B2530" s="37">
        <v>39963</v>
      </c>
      <c r="C2530" s="38">
        <v>39963</v>
      </c>
      <c r="D2530" s="38">
        <v>39958</v>
      </c>
      <c r="E2530" s="38">
        <v>39934</v>
      </c>
      <c r="F2530" s="39">
        <v>58</v>
      </c>
      <c r="G2530" t="s">
        <v>21</v>
      </c>
      <c r="H2530" t="s">
        <v>21</v>
      </c>
      <c r="I2530">
        <v>0</v>
      </c>
      <c r="J2530">
        <v>0</v>
      </c>
      <c r="K2530">
        <v>0</v>
      </c>
      <c r="L2530">
        <v>1</v>
      </c>
      <c r="M2530">
        <v>0</v>
      </c>
      <c r="N2530" t="s">
        <v>193</v>
      </c>
      <c r="O2530" t="s">
        <v>213</v>
      </c>
      <c r="P2530" t="s">
        <v>204</v>
      </c>
      <c r="Q2530" t="s">
        <v>170</v>
      </c>
      <c r="R2530" t="s">
        <v>155</v>
      </c>
      <c r="T2530" t="s">
        <v>134</v>
      </c>
      <c r="U2530">
        <v>1</v>
      </c>
      <c r="W2530" t="s">
        <v>134</v>
      </c>
      <c r="X2530">
        <v>1</v>
      </c>
      <c r="Y2530" t="s">
        <v>140</v>
      </c>
      <c r="Z2530" t="s">
        <v>178</v>
      </c>
      <c r="AA2530" t="s">
        <v>144</v>
      </c>
      <c r="AB2530" t="s">
        <v>163</v>
      </c>
      <c r="AC2530" t="s">
        <v>173</v>
      </c>
      <c r="AD2530" t="s">
        <v>155</v>
      </c>
      <c r="AE2530" t="s">
        <v>1441</v>
      </c>
      <c r="AF2530" t="s">
        <v>21</v>
      </c>
    </row>
    <row r="2531" spans="1:32">
      <c r="A2531" t="s">
        <v>3595</v>
      </c>
      <c r="B2531" s="37">
        <v>40085</v>
      </c>
      <c r="C2531" s="38">
        <v>40085</v>
      </c>
      <c r="D2531" s="38">
        <v>40084</v>
      </c>
      <c r="E2531" s="38">
        <v>40057</v>
      </c>
      <c r="F2531" s="39">
        <v>180</v>
      </c>
      <c r="G2531" t="s">
        <v>21</v>
      </c>
      <c r="H2531" t="s">
        <v>21</v>
      </c>
      <c r="I2531">
        <v>0</v>
      </c>
      <c r="J2531">
        <v>0</v>
      </c>
      <c r="K2531">
        <v>0</v>
      </c>
      <c r="L2531">
        <v>1</v>
      </c>
      <c r="M2531">
        <v>0</v>
      </c>
      <c r="N2531" t="s">
        <v>197</v>
      </c>
      <c r="O2531" t="s">
        <v>213</v>
      </c>
      <c r="P2531" t="s">
        <v>209</v>
      </c>
      <c r="Q2531" t="s">
        <v>170</v>
      </c>
      <c r="R2531" t="s">
        <v>155</v>
      </c>
      <c r="S2531">
        <v>5</v>
      </c>
      <c r="T2531" t="s">
        <v>135</v>
      </c>
      <c r="U2531">
        <v>0</v>
      </c>
      <c r="V2531">
        <v>2</v>
      </c>
      <c r="W2531" t="s">
        <v>136</v>
      </c>
      <c r="X2531">
        <v>0</v>
      </c>
      <c r="Y2531" t="s">
        <v>139</v>
      </c>
      <c r="Z2531" t="s">
        <v>178</v>
      </c>
      <c r="AA2531" t="s">
        <v>144</v>
      </c>
      <c r="AB2531" t="s">
        <v>162</v>
      </c>
      <c r="AC2531" t="s">
        <v>578</v>
      </c>
      <c r="AD2531" t="s">
        <v>2264</v>
      </c>
      <c r="AE2531" t="s">
        <v>2265</v>
      </c>
      <c r="AF2531" t="s">
        <v>153</v>
      </c>
    </row>
    <row r="2532" spans="1:32">
      <c r="A2532" t="s">
        <v>3596</v>
      </c>
      <c r="B2532" s="37">
        <v>39994</v>
      </c>
      <c r="C2532" s="38">
        <v>39994</v>
      </c>
      <c r="D2532" s="38">
        <v>39993</v>
      </c>
      <c r="E2532" s="38">
        <v>39965</v>
      </c>
      <c r="F2532" s="39">
        <v>89</v>
      </c>
      <c r="G2532" t="s">
        <v>21</v>
      </c>
      <c r="H2532" t="s">
        <v>21</v>
      </c>
      <c r="I2532">
        <v>0</v>
      </c>
      <c r="J2532">
        <v>0</v>
      </c>
      <c r="K2532">
        <v>0</v>
      </c>
      <c r="L2532">
        <v>1</v>
      </c>
      <c r="M2532">
        <v>0</v>
      </c>
      <c r="N2532" t="s">
        <v>193</v>
      </c>
      <c r="O2532" t="s">
        <v>213</v>
      </c>
      <c r="P2532" t="s">
        <v>204</v>
      </c>
      <c r="Q2532" t="s">
        <v>170</v>
      </c>
      <c r="R2532" t="s">
        <v>155</v>
      </c>
      <c r="T2532" t="s">
        <v>134</v>
      </c>
      <c r="U2532">
        <v>1</v>
      </c>
      <c r="V2532">
        <v>5</v>
      </c>
      <c r="W2532" t="s">
        <v>135</v>
      </c>
      <c r="X2532">
        <v>0</v>
      </c>
      <c r="Y2532" t="s">
        <v>140</v>
      </c>
      <c r="Z2532" t="s">
        <v>178</v>
      </c>
      <c r="AA2532" t="s">
        <v>149</v>
      </c>
      <c r="AB2532" t="s">
        <v>163</v>
      </c>
      <c r="AC2532" t="s">
        <v>1042</v>
      </c>
      <c r="AD2532" t="s">
        <v>155</v>
      </c>
      <c r="AE2532" t="s">
        <v>734</v>
      </c>
      <c r="AF2532" t="s">
        <v>21</v>
      </c>
    </row>
    <row r="2533" spans="1:32">
      <c r="A2533" t="s">
        <v>3597</v>
      </c>
      <c r="B2533" s="37">
        <v>39965</v>
      </c>
      <c r="C2533" s="38">
        <v>39965</v>
      </c>
      <c r="D2533" s="38">
        <v>39965</v>
      </c>
      <c r="E2533" s="38">
        <v>39965</v>
      </c>
      <c r="F2533" s="39">
        <v>60</v>
      </c>
      <c r="G2533" t="s">
        <v>21</v>
      </c>
      <c r="H2533" t="s">
        <v>21</v>
      </c>
      <c r="I2533">
        <v>0</v>
      </c>
      <c r="J2533">
        <v>0</v>
      </c>
      <c r="K2533">
        <v>0</v>
      </c>
      <c r="L2533">
        <v>1</v>
      </c>
      <c r="M2533">
        <v>0</v>
      </c>
      <c r="N2533" t="s">
        <v>195</v>
      </c>
      <c r="O2533" t="s">
        <v>213</v>
      </c>
      <c r="P2533" t="s">
        <v>206</v>
      </c>
      <c r="Q2533" t="s">
        <v>170</v>
      </c>
      <c r="R2533" t="s">
        <v>155</v>
      </c>
      <c r="T2533" t="s">
        <v>134</v>
      </c>
      <c r="U2533">
        <v>1</v>
      </c>
      <c r="W2533" t="s">
        <v>134</v>
      </c>
      <c r="X2533">
        <v>1</v>
      </c>
      <c r="Y2533" t="s">
        <v>139</v>
      </c>
      <c r="Z2533" t="s">
        <v>178</v>
      </c>
      <c r="AA2533" t="s">
        <v>149</v>
      </c>
      <c r="AB2533" t="s">
        <v>163</v>
      </c>
      <c r="AC2533" t="s">
        <v>173</v>
      </c>
      <c r="AD2533" t="s">
        <v>161</v>
      </c>
      <c r="AE2533" t="s">
        <v>465</v>
      </c>
      <c r="AF2533" t="s">
        <v>21</v>
      </c>
    </row>
    <row r="2534" spans="1:32">
      <c r="A2534" t="s">
        <v>3598</v>
      </c>
      <c r="B2534" s="37">
        <v>40049</v>
      </c>
      <c r="C2534" s="38">
        <v>40049</v>
      </c>
      <c r="D2534" s="38">
        <v>40049</v>
      </c>
      <c r="E2534" s="38">
        <v>40026</v>
      </c>
      <c r="F2534" s="39">
        <v>144</v>
      </c>
      <c r="G2534" t="s">
        <v>21</v>
      </c>
      <c r="H2534" t="s">
        <v>21</v>
      </c>
      <c r="I2534">
        <v>0</v>
      </c>
      <c r="J2534">
        <v>0</v>
      </c>
      <c r="K2534">
        <v>0</v>
      </c>
      <c r="L2534">
        <v>1</v>
      </c>
      <c r="M2534">
        <v>0</v>
      </c>
      <c r="N2534" t="s">
        <v>195</v>
      </c>
      <c r="O2534" t="s">
        <v>213</v>
      </c>
      <c r="P2534" t="s">
        <v>206</v>
      </c>
      <c r="Q2534" t="s">
        <v>170</v>
      </c>
      <c r="R2534" t="s">
        <v>155</v>
      </c>
      <c r="S2534">
        <v>4</v>
      </c>
      <c r="T2534" t="s">
        <v>137</v>
      </c>
      <c r="U2534">
        <v>0</v>
      </c>
      <c r="V2534">
        <v>5</v>
      </c>
      <c r="W2534" t="s">
        <v>135</v>
      </c>
      <c r="X2534">
        <v>0</v>
      </c>
      <c r="Y2534" t="s">
        <v>139</v>
      </c>
      <c r="Z2534" t="s">
        <v>178</v>
      </c>
      <c r="AA2534" t="s">
        <v>143</v>
      </c>
      <c r="AB2534" t="s">
        <v>165</v>
      </c>
      <c r="AC2534" t="s">
        <v>3599</v>
      </c>
      <c r="AD2534" t="s">
        <v>158</v>
      </c>
      <c r="AE2534" t="s">
        <v>122</v>
      </c>
      <c r="AF2534" t="s">
        <v>21</v>
      </c>
    </row>
    <row r="2535" spans="1:32">
      <c r="A2535" t="s">
        <v>3600</v>
      </c>
      <c r="B2535" s="37">
        <v>40038</v>
      </c>
      <c r="C2535" s="38">
        <v>40038</v>
      </c>
      <c r="D2535" s="38">
        <v>40035</v>
      </c>
      <c r="E2535" s="38">
        <v>40026</v>
      </c>
      <c r="F2535" s="39">
        <v>133</v>
      </c>
      <c r="G2535" t="s">
        <v>21</v>
      </c>
      <c r="H2535" t="s">
        <v>21</v>
      </c>
      <c r="I2535">
        <v>0</v>
      </c>
      <c r="J2535">
        <v>0</v>
      </c>
      <c r="K2535">
        <v>0</v>
      </c>
      <c r="L2535">
        <v>1</v>
      </c>
      <c r="M2535">
        <v>0</v>
      </c>
      <c r="N2535" t="s">
        <v>193</v>
      </c>
      <c r="O2535" t="s">
        <v>213</v>
      </c>
      <c r="P2535" t="s">
        <v>204</v>
      </c>
      <c r="Q2535" t="s">
        <v>170</v>
      </c>
      <c r="R2535" t="s">
        <v>155</v>
      </c>
      <c r="S2535">
        <v>5</v>
      </c>
      <c r="T2535" t="s">
        <v>135</v>
      </c>
      <c r="U2535">
        <v>0</v>
      </c>
      <c r="V2535">
        <v>5</v>
      </c>
      <c r="W2535" t="s">
        <v>135</v>
      </c>
      <c r="X2535">
        <v>0</v>
      </c>
      <c r="Y2535" t="s">
        <v>140</v>
      </c>
      <c r="Z2535" t="s">
        <v>178</v>
      </c>
      <c r="AA2535" t="s">
        <v>149</v>
      </c>
      <c r="AB2535" t="s">
        <v>162</v>
      </c>
      <c r="AC2535" t="s">
        <v>459</v>
      </c>
      <c r="AD2535" t="s">
        <v>125</v>
      </c>
      <c r="AE2535" t="s">
        <v>628</v>
      </c>
      <c r="AF2535" t="s">
        <v>2481</v>
      </c>
    </row>
    <row r="2536" spans="1:32">
      <c r="A2536" t="s">
        <v>3601</v>
      </c>
      <c r="B2536" s="37">
        <v>39922</v>
      </c>
      <c r="C2536" s="38">
        <v>39922</v>
      </c>
      <c r="D2536" s="38">
        <v>39916</v>
      </c>
      <c r="E2536" s="38">
        <v>39904</v>
      </c>
      <c r="F2536" s="39">
        <v>17</v>
      </c>
      <c r="G2536" t="s">
        <v>380</v>
      </c>
      <c r="H2536" t="s">
        <v>17</v>
      </c>
      <c r="I2536">
        <v>0</v>
      </c>
      <c r="J2536">
        <v>0</v>
      </c>
      <c r="K2536">
        <v>1</v>
      </c>
      <c r="L2536">
        <v>0</v>
      </c>
      <c r="M2536">
        <v>0</v>
      </c>
      <c r="N2536" t="s">
        <v>202</v>
      </c>
      <c r="O2536" t="s">
        <v>213</v>
      </c>
      <c r="P2536" t="s">
        <v>211</v>
      </c>
      <c r="Q2536" t="s">
        <v>170</v>
      </c>
      <c r="R2536" t="s">
        <v>155</v>
      </c>
      <c r="T2536" t="s">
        <v>134</v>
      </c>
      <c r="U2536">
        <v>1</v>
      </c>
      <c r="W2536" t="s">
        <v>134</v>
      </c>
      <c r="X2536">
        <v>1</v>
      </c>
      <c r="Y2536" t="s">
        <v>139</v>
      </c>
      <c r="Z2536" t="s">
        <v>178</v>
      </c>
      <c r="AA2536" t="s">
        <v>145</v>
      </c>
      <c r="AB2536" t="s">
        <v>163</v>
      </c>
      <c r="AC2536" t="s">
        <v>173</v>
      </c>
      <c r="AD2536" t="s">
        <v>155</v>
      </c>
      <c r="AE2536" t="s">
        <v>454</v>
      </c>
      <c r="AF2536" t="s">
        <v>21</v>
      </c>
    </row>
    <row r="2537" spans="1:32">
      <c r="A2537" t="s">
        <v>3602</v>
      </c>
      <c r="B2537" s="37">
        <v>39994</v>
      </c>
      <c r="C2537" s="38">
        <v>39994</v>
      </c>
      <c r="D2537" s="38">
        <v>39993</v>
      </c>
      <c r="E2537" s="38">
        <v>39965</v>
      </c>
      <c r="F2537" s="39">
        <v>89</v>
      </c>
      <c r="G2537" t="s">
        <v>21</v>
      </c>
      <c r="H2537" t="s">
        <v>21</v>
      </c>
      <c r="I2537">
        <v>0</v>
      </c>
      <c r="J2537">
        <v>0</v>
      </c>
      <c r="K2537">
        <v>0</v>
      </c>
      <c r="L2537">
        <v>1</v>
      </c>
      <c r="M2537">
        <v>0</v>
      </c>
      <c r="N2537" t="s">
        <v>195</v>
      </c>
      <c r="O2537" t="s">
        <v>213</v>
      </c>
      <c r="P2537" t="s">
        <v>206</v>
      </c>
      <c r="Q2537" t="s">
        <v>170</v>
      </c>
      <c r="R2537" t="s">
        <v>155</v>
      </c>
      <c r="T2537" t="s">
        <v>134</v>
      </c>
      <c r="U2537">
        <v>1</v>
      </c>
      <c r="V2537">
        <v>2</v>
      </c>
      <c r="W2537" t="s">
        <v>136</v>
      </c>
      <c r="X2537">
        <v>0</v>
      </c>
      <c r="Y2537" t="s">
        <v>139</v>
      </c>
      <c r="Z2537" t="s">
        <v>178</v>
      </c>
      <c r="AA2537" t="s">
        <v>148</v>
      </c>
      <c r="AB2537" t="s">
        <v>162</v>
      </c>
      <c r="AC2537" t="s">
        <v>1624</v>
      </c>
      <c r="AD2537" t="s">
        <v>155</v>
      </c>
      <c r="AE2537" t="s">
        <v>130</v>
      </c>
      <c r="AF2537" t="s">
        <v>21</v>
      </c>
    </row>
    <row r="2538" spans="1:32">
      <c r="A2538" t="s">
        <v>3603</v>
      </c>
      <c r="B2538" s="37">
        <v>39978</v>
      </c>
      <c r="C2538" s="38">
        <v>39978</v>
      </c>
      <c r="D2538" s="38">
        <v>39972</v>
      </c>
      <c r="E2538" s="38">
        <v>39965</v>
      </c>
      <c r="F2538" s="39">
        <v>73</v>
      </c>
      <c r="G2538" t="s">
        <v>380</v>
      </c>
      <c r="H2538" t="s">
        <v>17</v>
      </c>
      <c r="I2538">
        <v>0</v>
      </c>
      <c r="J2538">
        <v>0</v>
      </c>
      <c r="K2538">
        <v>1</v>
      </c>
      <c r="L2538">
        <v>0</v>
      </c>
      <c r="M2538">
        <v>0</v>
      </c>
      <c r="N2538" t="s">
        <v>194</v>
      </c>
      <c r="O2538" t="s">
        <v>213</v>
      </c>
      <c r="P2538" t="s">
        <v>205</v>
      </c>
      <c r="Q2538" t="s">
        <v>170</v>
      </c>
      <c r="R2538" t="s">
        <v>155</v>
      </c>
      <c r="T2538" t="s">
        <v>134</v>
      </c>
      <c r="U2538">
        <v>1</v>
      </c>
      <c r="W2538" t="s">
        <v>134</v>
      </c>
      <c r="X2538">
        <v>1</v>
      </c>
      <c r="Y2538" t="s">
        <v>139</v>
      </c>
      <c r="Z2538" t="s">
        <v>178</v>
      </c>
      <c r="AA2538" t="s">
        <v>143</v>
      </c>
      <c r="AB2538" t="s">
        <v>163</v>
      </c>
      <c r="AC2538" t="s">
        <v>1768</v>
      </c>
      <c r="AD2538" t="s">
        <v>155</v>
      </c>
      <c r="AE2538" t="s">
        <v>124</v>
      </c>
      <c r="AF2538" t="s">
        <v>21</v>
      </c>
    </row>
    <row r="2539" spans="1:32">
      <c r="A2539" t="s">
        <v>3604</v>
      </c>
      <c r="B2539" s="37">
        <v>40038</v>
      </c>
      <c r="C2539" s="38">
        <v>40038</v>
      </c>
      <c r="D2539" s="38">
        <v>40035</v>
      </c>
      <c r="E2539" s="38">
        <v>40026</v>
      </c>
      <c r="F2539" s="39">
        <v>133</v>
      </c>
      <c r="G2539" t="s">
        <v>21</v>
      </c>
      <c r="H2539" t="s">
        <v>21</v>
      </c>
      <c r="I2539">
        <v>0</v>
      </c>
      <c r="J2539">
        <v>0</v>
      </c>
      <c r="K2539">
        <v>0</v>
      </c>
      <c r="L2539">
        <v>1</v>
      </c>
      <c r="M2539">
        <v>0</v>
      </c>
      <c r="N2539" t="s">
        <v>193</v>
      </c>
      <c r="O2539" t="s">
        <v>213</v>
      </c>
      <c r="P2539" t="s">
        <v>204</v>
      </c>
      <c r="Q2539" t="s">
        <v>170</v>
      </c>
      <c r="R2539" t="s">
        <v>155</v>
      </c>
      <c r="S2539">
        <v>1</v>
      </c>
      <c r="T2539" t="s">
        <v>136</v>
      </c>
      <c r="U2539">
        <v>0</v>
      </c>
      <c r="V2539">
        <v>4</v>
      </c>
      <c r="W2539" t="s">
        <v>137</v>
      </c>
      <c r="X2539">
        <v>0</v>
      </c>
      <c r="Y2539" t="s">
        <v>140</v>
      </c>
      <c r="Z2539" t="s">
        <v>178</v>
      </c>
      <c r="AA2539" t="s">
        <v>144</v>
      </c>
      <c r="AB2539" t="s">
        <v>162</v>
      </c>
      <c r="AC2539" t="s">
        <v>174</v>
      </c>
      <c r="AD2539" t="s">
        <v>540</v>
      </c>
      <c r="AE2539" t="s">
        <v>399</v>
      </c>
      <c r="AF2539" t="s">
        <v>3605</v>
      </c>
    </row>
    <row r="2540" spans="1:32">
      <c r="A2540" t="s">
        <v>3606</v>
      </c>
      <c r="B2540" s="37">
        <v>39918</v>
      </c>
      <c r="C2540" s="38">
        <v>39918</v>
      </c>
      <c r="D2540" s="38">
        <v>39916</v>
      </c>
      <c r="E2540" s="38">
        <v>39904</v>
      </c>
      <c r="F2540" s="39">
        <v>13</v>
      </c>
      <c r="G2540" t="s">
        <v>9</v>
      </c>
      <c r="H2540" t="s">
        <v>9</v>
      </c>
      <c r="I2540">
        <v>1</v>
      </c>
      <c r="J2540">
        <v>0</v>
      </c>
      <c r="K2540">
        <v>0</v>
      </c>
      <c r="L2540">
        <v>0</v>
      </c>
      <c r="M2540">
        <v>1</v>
      </c>
      <c r="N2540" t="s">
        <v>200</v>
      </c>
      <c r="O2540" t="s">
        <v>214</v>
      </c>
      <c r="P2540" t="s">
        <v>208</v>
      </c>
      <c r="Q2540" t="s">
        <v>170</v>
      </c>
      <c r="R2540" t="s">
        <v>155</v>
      </c>
      <c r="T2540" t="s">
        <v>134</v>
      </c>
      <c r="U2540">
        <v>1</v>
      </c>
      <c r="W2540" t="s">
        <v>134</v>
      </c>
      <c r="X2540">
        <v>1</v>
      </c>
      <c r="Y2540" t="s">
        <v>139</v>
      </c>
      <c r="Z2540" t="s">
        <v>178</v>
      </c>
      <c r="AA2540" t="s">
        <v>150</v>
      </c>
      <c r="AB2540" t="s">
        <v>163</v>
      </c>
      <c r="AC2540" t="s">
        <v>173</v>
      </c>
      <c r="AD2540" t="s">
        <v>155</v>
      </c>
      <c r="AE2540" t="s">
        <v>692</v>
      </c>
      <c r="AF2540" t="s">
        <v>21</v>
      </c>
    </row>
    <row r="2541" spans="1:32">
      <c r="A2541" t="s">
        <v>3607</v>
      </c>
      <c r="B2541" s="37">
        <v>39961</v>
      </c>
      <c r="C2541" s="38">
        <v>39961</v>
      </c>
      <c r="D2541" s="38">
        <v>39958</v>
      </c>
      <c r="E2541" s="38">
        <v>39934</v>
      </c>
      <c r="F2541" s="39">
        <v>56</v>
      </c>
      <c r="G2541" t="s">
        <v>21</v>
      </c>
      <c r="H2541" t="s">
        <v>21</v>
      </c>
      <c r="I2541">
        <v>0</v>
      </c>
      <c r="J2541">
        <v>0</v>
      </c>
      <c r="K2541">
        <v>0</v>
      </c>
      <c r="L2541">
        <v>1</v>
      </c>
      <c r="M2541">
        <v>0</v>
      </c>
      <c r="N2541" t="s">
        <v>193</v>
      </c>
      <c r="O2541" t="s">
        <v>213</v>
      </c>
      <c r="P2541" t="s">
        <v>204</v>
      </c>
      <c r="Q2541" t="s">
        <v>170</v>
      </c>
      <c r="R2541" t="s">
        <v>155</v>
      </c>
      <c r="T2541" t="s">
        <v>134</v>
      </c>
      <c r="U2541">
        <v>1</v>
      </c>
      <c r="W2541" t="s">
        <v>134</v>
      </c>
      <c r="X2541">
        <v>1</v>
      </c>
      <c r="Y2541" t="s">
        <v>140</v>
      </c>
      <c r="Z2541" t="s">
        <v>178</v>
      </c>
      <c r="AA2541" t="s">
        <v>149</v>
      </c>
      <c r="AB2541" t="s">
        <v>162</v>
      </c>
      <c r="AC2541" t="s">
        <v>21</v>
      </c>
      <c r="AD2541" t="s">
        <v>157</v>
      </c>
      <c r="AE2541" t="s">
        <v>1075</v>
      </c>
      <c r="AF2541" t="s">
        <v>3608</v>
      </c>
    </row>
    <row r="2542" spans="1:32">
      <c r="A2542" t="s">
        <v>3609</v>
      </c>
      <c r="B2542" s="37">
        <v>39992</v>
      </c>
      <c r="C2542" s="38">
        <v>39992</v>
      </c>
      <c r="D2542" s="38">
        <v>39986</v>
      </c>
      <c r="E2542" s="38">
        <v>39965</v>
      </c>
      <c r="F2542" s="39">
        <v>87</v>
      </c>
      <c r="G2542" t="s">
        <v>21</v>
      </c>
      <c r="H2542" t="s">
        <v>21</v>
      </c>
      <c r="I2542">
        <v>0</v>
      </c>
      <c r="J2542">
        <v>0</v>
      </c>
      <c r="K2542">
        <v>0</v>
      </c>
      <c r="L2542">
        <v>1</v>
      </c>
      <c r="M2542">
        <v>0</v>
      </c>
      <c r="N2542" t="s">
        <v>193</v>
      </c>
      <c r="O2542" t="s">
        <v>213</v>
      </c>
      <c r="P2542" t="s">
        <v>204</v>
      </c>
      <c r="Q2542" t="s">
        <v>170</v>
      </c>
      <c r="R2542" t="s">
        <v>155</v>
      </c>
      <c r="T2542" t="s">
        <v>134</v>
      </c>
      <c r="U2542">
        <v>1</v>
      </c>
      <c r="V2542">
        <v>3</v>
      </c>
      <c r="W2542" t="s">
        <v>137</v>
      </c>
      <c r="X2542">
        <v>0</v>
      </c>
      <c r="Y2542" t="s">
        <v>140</v>
      </c>
      <c r="Z2542" t="s">
        <v>178</v>
      </c>
      <c r="AA2542" t="s">
        <v>142</v>
      </c>
      <c r="AB2542" t="s">
        <v>162</v>
      </c>
      <c r="AC2542" t="s">
        <v>174</v>
      </c>
      <c r="AD2542" t="s">
        <v>157</v>
      </c>
      <c r="AE2542" t="s">
        <v>434</v>
      </c>
      <c r="AF2542" t="s">
        <v>435</v>
      </c>
    </row>
    <row r="2543" spans="1:32">
      <c r="A2543" t="s">
        <v>3610</v>
      </c>
      <c r="B2543" s="37">
        <v>40056</v>
      </c>
      <c r="C2543" s="38">
        <v>40056</v>
      </c>
      <c r="D2543" s="38">
        <v>40056</v>
      </c>
      <c r="E2543" s="38">
        <v>40026</v>
      </c>
      <c r="F2543" s="39">
        <v>151</v>
      </c>
      <c r="G2543" t="s">
        <v>21</v>
      </c>
      <c r="H2543" t="s">
        <v>21</v>
      </c>
      <c r="I2543">
        <v>0</v>
      </c>
      <c r="J2543">
        <v>0</v>
      </c>
      <c r="K2543">
        <v>0</v>
      </c>
      <c r="L2543">
        <v>1</v>
      </c>
      <c r="M2543">
        <v>0</v>
      </c>
      <c r="N2543" t="s">
        <v>193</v>
      </c>
      <c r="O2543" t="s">
        <v>213</v>
      </c>
      <c r="P2543" t="s">
        <v>204</v>
      </c>
      <c r="Q2543" t="s">
        <v>170</v>
      </c>
      <c r="R2543" t="s">
        <v>155</v>
      </c>
      <c r="S2543">
        <v>5</v>
      </c>
      <c r="T2543" t="s">
        <v>135</v>
      </c>
      <c r="U2543">
        <v>0</v>
      </c>
      <c r="V2543">
        <v>5</v>
      </c>
      <c r="W2543" t="s">
        <v>135</v>
      </c>
      <c r="X2543">
        <v>0</v>
      </c>
      <c r="Y2543" t="s">
        <v>140</v>
      </c>
      <c r="Z2543" t="s">
        <v>178</v>
      </c>
      <c r="AA2543" t="s">
        <v>143</v>
      </c>
      <c r="AB2543" t="s">
        <v>162</v>
      </c>
      <c r="AC2543" t="s">
        <v>550</v>
      </c>
      <c r="AD2543" t="s">
        <v>159</v>
      </c>
      <c r="AE2543" t="s">
        <v>123</v>
      </c>
      <c r="AF2543" t="s">
        <v>123</v>
      </c>
    </row>
    <row r="2544" spans="1:32">
      <c r="A2544" t="s">
        <v>3611</v>
      </c>
      <c r="B2544" s="37">
        <v>39932</v>
      </c>
      <c r="C2544" s="38">
        <v>39932</v>
      </c>
      <c r="D2544" s="38">
        <v>39930</v>
      </c>
      <c r="E2544" s="38">
        <v>39904</v>
      </c>
      <c r="F2544" s="39">
        <v>27</v>
      </c>
      <c r="G2544" t="s">
        <v>21</v>
      </c>
      <c r="H2544" t="s">
        <v>21</v>
      </c>
      <c r="I2544">
        <v>0</v>
      </c>
      <c r="J2544">
        <v>0</v>
      </c>
      <c r="K2544">
        <v>0</v>
      </c>
      <c r="L2544">
        <v>1</v>
      </c>
      <c r="M2544">
        <v>0</v>
      </c>
      <c r="N2544" t="s">
        <v>193</v>
      </c>
      <c r="O2544" t="s">
        <v>213</v>
      </c>
      <c r="P2544" t="s">
        <v>204</v>
      </c>
      <c r="Q2544" t="s">
        <v>170</v>
      </c>
      <c r="R2544" t="s">
        <v>155</v>
      </c>
      <c r="T2544" t="s">
        <v>134</v>
      </c>
      <c r="U2544">
        <v>1</v>
      </c>
      <c r="W2544" t="s">
        <v>134</v>
      </c>
      <c r="X2544">
        <v>1</v>
      </c>
      <c r="Y2544" t="s">
        <v>140</v>
      </c>
      <c r="Z2544" t="s">
        <v>188</v>
      </c>
      <c r="AA2544" t="s">
        <v>145</v>
      </c>
      <c r="AB2544" t="s">
        <v>163</v>
      </c>
      <c r="AC2544" t="s">
        <v>3612</v>
      </c>
      <c r="AD2544" t="s">
        <v>155</v>
      </c>
      <c r="AE2544" t="s">
        <v>124</v>
      </c>
      <c r="AF2544" t="s">
        <v>21</v>
      </c>
    </row>
    <row r="2545" spans="1:32">
      <c r="A2545" t="s">
        <v>3613</v>
      </c>
      <c r="B2545" s="37">
        <v>40000</v>
      </c>
      <c r="C2545" s="38">
        <v>40000</v>
      </c>
      <c r="D2545" s="38">
        <v>40000</v>
      </c>
      <c r="E2545" s="38">
        <v>39995</v>
      </c>
      <c r="F2545" s="39">
        <v>95</v>
      </c>
      <c r="G2545" t="s">
        <v>383</v>
      </c>
      <c r="H2545" t="s">
        <v>17</v>
      </c>
      <c r="I2545">
        <v>0</v>
      </c>
      <c r="J2545">
        <v>0</v>
      </c>
      <c r="K2545">
        <v>1</v>
      </c>
      <c r="L2545">
        <v>0</v>
      </c>
      <c r="M2545">
        <v>0</v>
      </c>
      <c r="N2545" t="s">
        <v>193</v>
      </c>
      <c r="O2545" t="s">
        <v>213</v>
      </c>
      <c r="P2545" t="s">
        <v>204</v>
      </c>
      <c r="Q2545" t="s">
        <v>170</v>
      </c>
      <c r="R2545" t="s">
        <v>155</v>
      </c>
      <c r="T2545" t="s">
        <v>134</v>
      </c>
      <c r="U2545">
        <v>1</v>
      </c>
      <c r="V2545">
        <v>5</v>
      </c>
      <c r="W2545" t="s">
        <v>135</v>
      </c>
      <c r="X2545">
        <v>0</v>
      </c>
      <c r="Y2545" t="s">
        <v>140</v>
      </c>
      <c r="Z2545" t="s">
        <v>188</v>
      </c>
      <c r="AA2545" t="s">
        <v>145</v>
      </c>
      <c r="AB2545" t="s">
        <v>162</v>
      </c>
      <c r="AC2545" t="s">
        <v>175</v>
      </c>
      <c r="AD2545" t="s">
        <v>155</v>
      </c>
      <c r="AE2545" t="s">
        <v>130</v>
      </c>
      <c r="AF2545" t="s">
        <v>21</v>
      </c>
    </row>
    <row r="2546" spans="1:32">
      <c r="A2546" t="s">
        <v>3614</v>
      </c>
      <c r="B2546" s="37">
        <v>40050</v>
      </c>
      <c r="C2546" s="38">
        <v>40050</v>
      </c>
      <c r="D2546" s="38">
        <v>40049</v>
      </c>
      <c r="E2546" s="38">
        <v>40026</v>
      </c>
      <c r="F2546" s="39">
        <v>145</v>
      </c>
      <c r="G2546" t="s">
        <v>21</v>
      </c>
      <c r="H2546" t="s">
        <v>21</v>
      </c>
      <c r="I2546">
        <v>0</v>
      </c>
      <c r="J2546">
        <v>0</v>
      </c>
      <c r="K2546">
        <v>0</v>
      </c>
      <c r="L2546">
        <v>1</v>
      </c>
      <c r="M2546">
        <v>0</v>
      </c>
      <c r="N2546" t="s">
        <v>195</v>
      </c>
      <c r="O2546" t="s">
        <v>213</v>
      </c>
      <c r="P2546" t="s">
        <v>206</v>
      </c>
      <c r="Q2546" t="s">
        <v>170</v>
      </c>
      <c r="R2546" t="s">
        <v>155</v>
      </c>
      <c r="S2546">
        <v>5</v>
      </c>
      <c r="T2546" t="s">
        <v>135</v>
      </c>
      <c r="U2546">
        <v>0</v>
      </c>
      <c r="V2546">
        <v>5</v>
      </c>
      <c r="W2546" t="s">
        <v>135</v>
      </c>
      <c r="X2546">
        <v>0</v>
      </c>
      <c r="Y2546" t="s">
        <v>139</v>
      </c>
      <c r="Z2546" t="s">
        <v>181</v>
      </c>
      <c r="AA2546" t="s">
        <v>146</v>
      </c>
      <c r="AB2546" t="s">
        <v>165</v>
      </c>
      <c r="AC2546" t="s">
        <v>1618</v>
      </c>
      <c r="AD2546" t="s">
        <v>158</v>
      </c>
      <c r="AE2546" t="s">
        <v>122</v>
      </c>
      <c r="AF2546" t="s">
        <v>21</v>
      </c>
    </row>
    <row r="2547" spans="1:32">
      <c r="A2547" t="s">
        <v>3615</v>
      </c>
      <c r="B2547" s="37">
        <v>39931</v>
      </c>
      <c r="C2547" s="38">
        <v>39931</v>
      </c>
      <c r="D2547" s="38">
        <v>39930</v>
      </c>
      <c r="E2547" s="38">
        <v>39904</v>
      </c>
      <c r="F2547" s="39">
        <v>26</v>
      </c>
      <c r="G2547" t="s">
        <v>525</v>
      </c>
      <c r="H2547" t="s">
        <v>17</v>
      </c>
      <c r="I2547">
        <v>0</v>
      </c>
      <c r="J2547">
        <v>0</v>
      </c>
      <c r="K2547">
        <v>1</v>
      </c>
      <c r="L2547">
        <v>0</v>
      </c>
      <c r="M2547">
        <v>0</v>
      </c>
      <c r="N2547" t="s">
        <v>193</v>
      </c>
      <c r="O2547" t="s">
        <v>213</v>
      </c>
      <c r="P2547" t="s">
        <v>204</v>
      </c>
      <c r="Q2547" t="s">
        <v>170</v>
      </c>
      <c r="R2547" t="s">
        <v>155</v>
      </c>
      <c r="T2547" t="s">
        <v>134</v>
      </c>
      <c r="U2547">
        <v>1</v>
      </c>
      <c r="W2547" t="s">
        <v>134</v>
      </c>
      <c r="X2547">
        <v>1</v>
      </c>
      <c r="Y2547" t="s">
        <v>140</v>
      </c>
      <c r="Z2547" t="s">
        <v>180</v>
      </c>
      <c r="AA2547" t="s">
        <v>147</v>
      </c>
      <c r="AB2547" t="s">
        <v>162</v>
      </c>
      <c r="AC2547" t="s">
        <v>1624</v>
      </c>
      <c r="AD2547" t="s">
        <v>155</v>
      </c>
      <c r="AE2547" t="s">
        <v>129</v>
      </c>
      <c r="AF2547" t="s">
        <v>21</v>
      </c>
    </row>
    <row r="2548" spans="1:32">
      <c r="A2548" t="s">
        <v>3616</v>
      </c>
      <c r="B2548" s="37">
        <v>40027</v>
      </c>
      <c r="C2548" s="38">
        <v>40027</v>
      </c>
      <c r="D2548" s="38">
        <v>40021</v>
      </c>
      <c r="E2548" s="38">
        <v>40026</v>
      </c>
      <c r="F2548" s="39">
        <v>122</v>
      </c>
      <c r="G2548" t="s">
        <v>21</v>
      </c>
      <c r="H2548" t="s">
        <v>21</v>
      </c>
      <c r="I2548">
        <v>0</v>
      </c>
      <c r="J2548">
        <v>0</v>
      </c>
      <c r="K2548">
        <v>0</v>
      </c>
      <c r="L2548">
        <v>1</v>
      </c>
      <c r="M2548">
        <v>0</v>
      </c>
      <c r="N2548" t="s">
        <v>195</v>
      </c>
      <c r="O2548" t="s">
        <v>213</v>
      </c>
      <c r="P2548" t="s">
        <v>206</v>
      </c>
      <c r="Q2548" t="s">
        <v>170</v>
      </c>
      <c r="R2548" t="s">
        <v>155</v>
      </c>
      <c r="S2548">
        <v>5</v>
      </c>
      <c r="T2548" t="s">
        <v>135</v>
      </c>
      <c r="U2548">
        <v>0</v>
      </c>
      <c r="V2548">
        <v>3</v>
      </c>
      <c r="W2548" t="s">
        <v>137</v>
      </c>
      <c r="X2548">
        <v>0</v>
      </c>
      <c r="Y2548" t="s">
        <v>139</v>
      </c>
      <c r="Z2548" t="s">
        <v>179</v>
      </c>
      <c r="AA2548" t="s">
        <v>145</v>
      </c>
      <c r="AB2548" t="s">
        <v>162</v>
      </c>
      <c r="AC2548" t="s">
        <v>175</v>
      </c>
      <c r="AD2548" t="s">
        <v>155</v>
      </c>
      <c r="AE2548" t="s">
        <v>129</v>
      </c>
      <c r="AF2548" t="s">
        <v>21</v>
      </c>
    </row>
    <row r="2549" spans="1:32">
      <c r="A2549" t="s">
        <v>3617</v>
      </c>
      <c r="B2549" s="37">
        <v>39957</v>
      </c>
      <c r="C2549" s="38">
        <v>39957</v>
      </c>
      <c r="D2549" s="38">
        <v>39951</v>
      </c>
      <c r="E2549" s="38">
        <v>39934</v>
      </c>
      <c r="F2549" s="39">
        <v>52</v>
      </c>
      <c r="G2549" t="s">
        <v>21</v>
      </c>
      <c r="H2549" t="s">
        <v>21</v>
      </c>
      <c r="I2549">
        <v>0</v>
      </c>
      <c r="J2549">
        <v>0</v>
      </c>
      <c r="K2549">
        <v>0</v>
      </c>
      <c r="L2549">
        <v>1</v>
      </c>
      <c r="M2549">
        <v>0</v>
      </c>
      <c r="N2549" t="s">
        <v>194</v>
      </c>
      <c r="O2549" t="s">
        <v>213</v>
      </c>
      <c r="P2549" t="s">
        <v>205</v>
      </c>
      <c r="Q2549" t="s">
        <v>170</v>
      </c>
      <c r="R2549" t="s">
        <v>155</v>
      </c>
      <c r="T2549" t="s">
        <v>134</v>
      </c>
      <c r="U2549">
        <v>1</v>
      </c>
      <c r="W2549" t="s">
        <v>134</v>
      </c>
      <c r="X2549">
        <v>1</v>
      </c>
      <c r="Y2549" t="s">
        <v>139</v>
      </c>
      <c r="Z2549" t="s">
        <v>179</v>
      </c>
      <c r="AA2549" t="s">
        <v>145</v>
      </c>
      <c r="AB2549" t="s">
        <v>162</v>
      </c>
      <c r="AC2549" t="s">
        <v>175</v>
      </c>
      <c r="AD2549" t="s">
        <v>155</v>
      </c>
      <c r="AE2549" t="s">
        <v>129</v>
      </c>
      <c r="AF2549" t="s">
        <v>21</v>
      </c>
    </row>
    <row r="2550" spans="1:32">
      <c r="A2550" t="s">
        <v>3618</v>
      </c>
      <c r="B2550" s="37">
        <v>39925</v>
      </c>
      <c r="C2550" s="38">
        <v>39925</v>
      </c>
      <c r="D2550" s="38">
        <v>39923</v>
      </c>
      <c r="E2550" s="38">
        <v>39904</v>
      </c>
      <c r="F2550" s="39">
        <v>20</v>
      </c>
      <c r="G2550" t="s">
        <v>21</v>
      </c>
      <c r="H2550" t="s">
        <v>21</v>
      </c>
      <c r="I2550">
        <v>0</v>
      </c>
      <c r="J2550">
        <v>0</v>
      </c>
      <c r="K2550">
        <v>0</v>
      </c>
      <c r="L2550">
        <v>1</v>
      </c>
      <c r="M2550">
        <v>0</v>
      </c>
      <c r="N2550" t="s">
        <v>194</v>
      </c>
      <c r="O2550" t="s">
        <v>213</v>
      </c>
      <c r="P2550" t="s">
        <v>205</v>
      </c>
      <c r="Q2550" t="s">
        <v>170</v>
      </c>
      <c r="R2550" t="s">
        <v>155</v>
      </c>
      <c r="T2550" t="s">
        <v>134</v>
      </c>
      <c r="U2550">
        <v>1</v>
      </c>
      <c r="W2550" t="s">
        <v>134</v>
      </c>
      <c r="X2550">
        <v>1</v>
      </c>
      <c r="Y2550" t="s">
        <v>139</v>
      </c>
      <c r="Z2550" t="s">
        <v>179</v>
      </c>
      <c r="AA2550" t="s">
        <v>148</v>
      </c>
      <c r="AB2550" t="s">
        <v>163</v>
      </c>
      <c r="AC2550" t="s">
        <v>173</v>
      </c>
      <c r="AD2550" t="s">
        <v>155</v>
      </c>
      <c r="AE2550" t="s">
        <v>454</v>
      </c>
      <c r="AF2550" t="s">
        <v>21</v>
      </c>
    </row>
    <row r="2551" spans="1:32">
      <c r="A2551" t="s">
        <v>3619</v>
      </c>
      <c r="B2551" s="37">
        <v>39946</v>
      </c>
      <c r="C2551" s="38">
        <v>39946</v>
      </c>
      <c r="D2551" s="38">
        <v>39944</v>
      </c>
      <c r="E2551" s="38">
        <v>39934</v>
      </c>
      <c r="F2551" s="39">
        <v>41</v>
      </c>
      <c r="G2551" t="s">
        <v>525</v>
      </c>
      <c r="H2551" t="s">
        <v>17</v>
      </c>
      <c r="I2551">
        <v>0</v>
      </c>
      <c r="J2551">
        <v>0</v>
      </c>
      <c r="K2551">
        <v>1</v>
      </c>
      <c r="L2551">
        <v>0</v>
      </c>
      <c r="M2551">
        <v>0</v>
      </c>
      <c r="N2551" t="s">
        <v>194</v>
      </c>
      <c r="O2551" t="s">
        <v>213</v>
      </c>
      <c r="P2551" t="s">
        <v>205</v>
      </c>
      <c r="Q2551" t="s">
        <v>170</v>
      </c>
      <c r="R2551" t="s">
        <v>155</v>
      </c>
      <c r="T2551" t="s">
        <v>134</v>
      </c>
      <c r="U2551">
        <v>1</v>
      </c>
      <c r="W2551" t="s">
        <v>134</v>
      </c>
      <c r="X2551">
        <v>1</v>
      </c>
      <c r="Y2551" t="s">
        <v>139</v>
      </c>
      <c r="Z2551" t="s">
        <v>179</v>
      </c>
      <c r="AA2551" t="s">
        <v>147</v>
      </c>
      <c r="AB2551" t="s">
        <v>163</v>
      </c>
      <c r="AC2551" t="s">
        <v>1228</v>
      </c>
      <c r="AD2551" t="s">
        <v>155</v>
      </c>
      <c r="AE2551" t="s">
        <v>734</v>
      </c>
      <c r="AF2551" t="s">
        <v>21</v>
      </c>
    </row>
    <row r="2552" spans="1:32">
      <c r="A2552" t="s">
        <v>3620</v>
      </c>
      <c r="B2552" s="37">
        <v>39928</v>
      </c>
      <c r="C2552" s="38">
        <v>39928</v>
      </c>
      <c r="D2552" s="38">
        <v>39923</v>
      </c>
      <c r="E2552" s="38">
        <v>39904</v>
      </c>
      <c r="F2552" s="39">
        <v>23</v>
      </c>
      <c r="G2552" t="s">
        <v>21</v>
      </c>
      <c r="H2552" t="s">
        <v>21</v>
      </c>
      <c r="I2552">
        <v>0</v>
      </c>
      <c r="J2552">
        <v>0</v>
      </c>
      <c r="K2552">
        <v>0</v>
      </c>
      <c r="L2552">
        <v>1</v>
      </c>
      <c r="M2552">
        <v>0</v>
      </c>
      <c r="N2552" t="s">
        <v>193</v>
      </c>
      <c r="O2552" t="s">
        <v>213</v>
      </c>
      <c r="P2552" t="s">
        <v>204</v>
      </c>
      <c r="Q2552" t="s">
        <v>170</v>
      </c>
      <c r="R2552" t="s">
        <v>155</v>
      </c>
      <c r="T2552" t="s">
        <v>134</v>
      </c>
      <c r="U2552">
        <v>1</v>
      </c>
      <c r="W2552" t="s">
        <v>134</v>
      </c>
      <c r="X2552">
        <v>1</v>
      </c>
      <c r="Y2552" t="s">
        <v>140</v>
      </c>
      <c r="Z2552" t="s">
        <v>179</v>
      </c>
      <c r="AA2552" t="s">
        <v>147</v>
      </c>
      <c r="AB2552" t="s">
        <v>163</v>
      </c>
      <c r="AC2552" t="s">
        <v>21</v>
      </c>
      <c r="AD2552" t="s">
        <v>155</v>
      </c>
      <c r="AE2552" t="s">
        <v>1186</v>
      </c>
      <c r="AF2552" t="s">
        <v>21</v>
      </c>
    </row>
    <row r="2553" spans="1:32">
      <c r="A2553" t="s">
        <v>3621</v>
      </c>
      <c r="B2553" s="37">
        <v>40017</v>
      </c>
      <c r="C2553" s="38">
        <v>40017</v>
      </c>
      <c r="D2553" s="38">
        <v>40014</v>
      </c>
      <c r="E2553" s="38">
        <v>39995</v>
      </c>
      <c r="F2553" s="39">
        <v>112</v>
      </c>
      <c r="G2553" t="s">
        <v>380</v>
      </c>
      <c r="H2553" t="s">
        <v>17</v>
      </c>
      <c r="I2553">
        <v>0</v>
      </c>
      <c r="J2553">
        <v>0</v>
      </c>
      <c r="K2553">
        <v>1</v>
      </c>
      <c r="L2553">
        <v>0</v>
      </c>
      <c r="M2553">
        <v>0</v>
      </c>
      <c r="N2553" t="s">
        <v>193</v>
      </c>
      <c r="O2553" t="s">
        <v>213</v>
      </c>
      <c r="P2553" t="s">
        <v>204</v>
      </c>
      <c r="Q2553" t="s">
        <v>170</v>
      </c>
      <c r="R2553" t="s">
        <v>155</v>
      </c>
      <c r="S2553">
        <v>4</v>
      </c>
      <c r="T2553" t="s">
        <v>137</v>
      </c>
      <c r="U2553">
        <v>0</v>
      </c>
      <c r="V2553">
        <v>4</v>
      </c>
      <c r="W2553" t="s">
        <v>137</v>
      </c>
      <c r="X2553">
        <v>0</v>
      </c>
      <c r="Y2553" t="s">
        <v>140</v>
      </c>
      <c r="Z2553" t="s">
        <v>178</v>
      </c>
      <c r="AA2553" t="s">
        <v>146</v>
      </c>
      <c r="AB2553" t="s">
        <v>162</v>
      </c>
      <c r="AC2553" t="s">
        <v>175</v>
      </c>
      <c r="AD2553" t="s">
        <v>155</v>
      </c>
      <c r="AE2553" t="s">
        <v>130</v>
      </c>
      <c r="AF2553" t="s">
        <v>21</v>
      </c>
    </row>
    <row r="2554" spans="1:32">
      <c r="A2554" t="s">
        <v>3622</v>
      </c>
      <c r="B2554" s="37">
        <v>39997</v>
      </c>
      <c r="C2554" s="38">
        <v>39997</v>
      </c>
      <c r="D2554" s="38">
        <v>39993</v>
      </c>
      <c r="E2554" s="38">
        <v>39995</v>
      </c>
      <c r="F2554" s="39">
        <v>92</v>
      </c>
      <c r="G2554" t="s">
        <v>21</v>
      </c>
      <c r="H2554" t="s">
        <v>21</v>
      </c>
      <c r="I2554">
        <v>0</v>
      </c>
      <c r="J2554">
        <v>0</v>
      </c>
      <c r="K2554">
        <v>0</v>
      </c>
      <c r="L2554">
        <v>1</v>
      </c>
      <c r="M2554">
        <v>0</v>
      </c>
      <c r="N2554" t="s">
        <v>195</v>
      </c>
      <c r="O2554" t="s">
        <v>213</v>
      </c>
      <c r="P2554" t="s">
        <v>206</v>
      </c>
      <c r="Q2554" t="s">
        <v>170</v>
      </c>
      <c r="R2554" t="s">
        <v>155</v>
      </c>
      <c r="T2554" t="s">
        <v>134</v>
      </c>
      <c r="U2554">
        <v>1</v>
      </c>
      <c r="V2554">
        <v>5</v>
      </c>
      <c r="W2554" t="s">
        <v>135</v>
      </c>
      <c r="X2554">
        <v>0</v>
      </c>
      <c r="Y2554" t="s">
        <v>139</v>
      </c>
      <c r="Z2554" t="s">
        <v>178</v>
      </c>
      <c r="AA2554" t="s">
        <v>150</v>
      </c>
      <c r="AB2554" t="s">
        <v>165</v>
      </c>
      <c r="AC2554" t="s">
        <v>589</v>
      </c>
      <c r="AD2554" t="s">
        <v>158</v>
      </c>
      <c r="AE2554" t="s">
        <v>122</v>
      </c>
      <c r="AF2554" t="s">
        <v>21</v>
      </c>
    </row>
    <row r="2555" spans="1:32">
      <c r="A2555" t="s">
        <v>3623</v>
      </c>
      <c r="B2555" s="37">
        <v>39936</v>
      </c>
      <c r="C2555" s="38">
        <v>39936</v>
      </c>
      <c r="D2555" s="38">
        <v>39930</v>
      </c>
      <c r="E2555" s="38">
        <v>39934</v>
      </c>
      <c r="F2555" s="39">
        <v>31</v>
      </c>
      <c r="G2555" t="s">
        <v>21</v>
      </c>
      <c r="H2555" t="s">
        <v>21</v>
      </c>
      <c r="I2555">
        <v>0</v>
      </c>
      <c r="J2555">
        <v>0</v>
      </c>
      <c r="K2555">
        <v>0</v>
      </c>
      <c r="L2555">
        <v>1</v>
      </c>
      <c r="M2555">
        <v>0</v>
      </c>
      <c r="N2555" t="s">
        <v>200</v>
      </c>
      <c r="O2555" t="s">
        <v>214</v>
      </c>
      <c r="P2555" t="s">
        <v>208</v>
      </c>
      <c r="Q2555" t="s">
        <v>170</v>
      </c>
      <c r="R2555" t="s">
        <v>155</v>
      </c>
      <c r="T2555" t="s">
        <v>134</v>
      </c>
      <c r="U2555">
        <v>1</v>
      </c>
      <c r="W2555" t="s">
        <v>134</v>
      </c>
      <c r="X2555">
        <v>1</v>
      </c>
      <c r="Y2555" t="s">
        <v>139</v>
      </c>
      <c r="Z2555" t="s">
        <v>179</v>
      </c>
      <c r="AA2555" t="s">
        <v>149</v>
      </c>
      <c r="AB2555" t="s">
        <v>162</v>
      </c>
      <c r="AC2555" t="s">
        <v>174</v>
      </c>
      <c r="AD2555" t="s">
        <v>156</v>
      </c>
      <c r="AE2555" t="s">
        <v>120</v>
      </c>
      <c r="AF2555" t="s">
        <v>3624</v>
      </c>
    </row>
    <row r="2556" spans="1:32">
      <c r="A2556" t="s">
        <v>3625</v>
      </c>
      <c r="B2556" s="37">
        <v>39939</v>
      </c>
      <c r="C2556" s="38">
        <v>39939</v>
      </c>
      <c r="D2556" s="38">
        <v>39937</v>
      </c>
      <c r="E2556" s="38">
        <v>39934</v>
      </c>
      <c r="F2556" s="39">
        <v>34</v>
      </c>
      <c r="G2556" t="s">
        <v>21</v>
      </c>
      <c r="H2556" t="s">
        <v>21</v>
      </c>
      <c r="I2556">
        <v>0</v>
      </c>
      <c r="J2556">
        <v>0</v>
      </c>
      <c r="K2556">
        <v>0</v>
      </c>
      <c r="L2556">
        <v>1</v>
      </c>
      <c r="M2556">
        <v>0</v>
      </c>
      <c r="N2556" t="s">
        <v>194</v>
      </c>
      <c r="O2556" t="s">
        <v>213</v>
      </c>
      <c r="P2556" t="s">
        <v>205</v>
      </c>
      <c r="Q2556" t="s">
        <v>170</v>
      </c>
      <c r="R2556" t="s">
        <v>155</v>
      </c>
      <c r="T2556" t="s">
        <v>134</v>
      </c>
      <c r="U2556">
        <v>1</v>
      </c>
      <c r="W2556" t="s">
        <v>134</v>
      </c>
      <c r="X2556">
        <v>1</v>
      </c>
      <c r="Y2556" t="s">
        <v>139</v>
      </c>
      <c r="Z2556" t="s">
        <v>447</v>
      </c>
      <c r="AA2556" t="s">
        <v>142</v>
      </c>
      <c r="AB2556" t="s">
        <v>163</v>
      </c>
      <c r="AC2556" t="s">
        <v>415</v>
      </c>
      <c r="AD2556" t="s">
        <v>155</v>
      </c>
      <c r="AE2556" t="s">
        <v>125</v>
      </c>
      <c r="AF2556" t="s">
        <v>21</v>
      </c>
    </row>
    <row r="2557" spans="1:32">
      <c r="A2557" t="s">
        <v>3626</v>
      </c>
      <c r="B2557" s="37">
        <v>39966</v>
      </c>
      <c r="C2557" s="38">
        <v>39966</v>
      </c>
      <c r="D2557" s="38">
        <v>39965</v>
      </c>
      <c r="E2557" s="38">
        <v>39965</v>
      </c>
      <c r="F2557" s="39">
        <v>61</v>
      </c>
      <c r="G2557" t="s">
        <v>21</v>
      </c>
      <c r="H2557" t="s">
        <v>21</v>
      </c>
      <c r="I2557">
        <v>0</v>
      </c>
      <c r="J2557">
        <v>0</v>
      </c>
      <c r="K2557">
        <v>0</v>
      </c>
      <c r="L2557">
        <v>1</v>
      </c>
      <c r="M2557">
        <v>0</v>
      </c>
      <c r="N2557" t="s">
        <v>194</v>
      </c>
      <c r="O2557" t="s">
        <v>213</v>
      </c>
      <c r="P2557" t="s">
        <v>205</v>
      </c>
      <c r="Q2557" t="s">
        <v>170</v>
      </c>
      <c r="R2557" t="s">
        <v>155</v>
      </c>
      <c r="T2557" t="s">
        <v>134</v>
      </c>
      <c r="U2557">
        <v>1</v>
      </c>
      <c r="W2557" t="s">
        <v>134</v>
      </c>
      <c r="X2557">
        <v>1</v>
      </c>
      <c r="Y2557" t="s">
        <v>139</v>
      </c>
      <c r="Z2557" t="s">
        <v>182</v>
      </c>
      <c r="AA2557" t="s">
        <v>143</v>
      </c>
      <c r="AB2557" t="s">
        <v>163</v>
      </c>
      <c r="AC2557" t="s">
        <v>21</v>
      </c>
      <c r="AD2557" t="s">
        <v>155</v>
      </c>
      <c r="AE2557" t="s">
        <v>124</v>
      </c>
      <c r="AF2557" t="s">
        <v>21</v>
      </c>
    </row>
    <row r="2558" spans="1:32">
      <c r="A2558" t="s">
        <v>3627</v>
      </c>
      <c r="B2558" s="37">
        <v>39910</v>
      </c>
      <c r="C2558" s="38">
        <v>39910</v>
      </c>
      <c r="D2558" s="38">
        <v>39909</v>
      </c>
      <c r="E2558" s="38">
        <v>39904</v>
      </c>
      <c r="F2558" s="39">
        <v>5</v>
      </c>
      <c r="G2558" t="s">
        <v>9</v>
      </c>
      <c r="H2558" t="s">
        <v>9</v>
      </c>
      <c r="I2558">
        <v>1</v>
      </c>
      <c r="J2558">
        <v>0</v>
      </c>
      <c r="K2558">
        <v>0</v>
      </c>
      <c r="L2558">
        <v>0</v>
      </c>
      <c r="M2558">
        <v>1</v>
      </c>
      <c r="N2558" t="s">
        <v>199</v>
      </c>
      <c r="O2558" t="s">
        <v>213</v>
      </c>
      <c r="P2558" t="s">
        <v>210</v>
      </c>
      <c r="Q2558" t="s">
        <v>170</v>
      </c>
      <c r="R2558" t="s">
        <v>155</v>
      </c>
      <c r="T2558" t="s">
        <v>134</v>
      </c>
      <c r="U2558">
        <v>1</v>
      </c>
      <c r="W2558" t="s">
        <v>134</v>
      </c>
      <c r="X2558">
        <v>1</v>
      </c>
      <c r="Y2558" t="s">
        <v>139</v>
      </c>
      <c r="Z2558" t="s">
        <v>182</v>
      </c>
      <c r="AA2558" t="s">
        <v>148</v>
      </c>
      <c r="AB2558" t="s">
        <v>162</v>
      </c>
      <c r="AC2558" t="s">
        <v>174</v>
      </c>
      <c r="AD2558" t="s">
        <v>156</v>
      </c>
      <c r="AE2558" t="s">
        <v>120</v>
      </c>
      <c r="AF2558" t="s">
        <v>3628</v>
      </c>
    </row>
    <row r="2559" spans="1:32">
      <c r="A2559" t="s">
        <v>3629</v>
      </c>
      <c r="B2559" s="37">
        <v>39983</v>
      </c>
      <c r="C2559" s="38">
        <v>39983</v>
      </c>
      <c r="D2559" s="38">
        <v>39979</v>
      </c>
      <c r="E2559" s="38">
        <v>39965</v>
      </c>
      <c r="F2559" s="39">
        <v>78</v>
      </c>
      <c r="G2559" t="s">
        <v>21</v>
      </c>
      <c r="H2559" t="s">
        <v>21</v>
      </c>
      <c r="I2559">
        <v>0</v>
      </c>
      <c r="J2559">
        <v>0</v>
      </c>
      <c r="K2559">
        <v>0</v>
      </c>
      <c r="L2559">
        <v>1</v>
      </c>
      <c r="M2559">
        <v>0</v>
      </c>
      <c r="N2559" t="s">
        <v>195</v>
      </c>
      <c r="O2559" t="s">
        <v>213</v>
      </c>
      <c r="P2559" t="s">
        <v>206</v>
      </c>
      <c r="Q2559" t="s">
        <v>170</v>
      </c>
      <c r="R2559" t="s">
        <v>155</v>
      </c>
      <c r="T2559" t="s">
        <v>134</v>
      </c>
      <c r="U2559">
        <v>1</v>
      </c>
      <c r="W2559" t="s">
        <v>134</v>
      </c>
      <c r="X2559">
        <v>1</v>
      </c>
      <c r="Y2559" t="s">
        <v>139</v>
      </c>
      <c r="Z2559" t="s">
        <v>179</v>
      </c>
      <c r="AA2559" t="s">
        <v>142</v>
      </c>
      <c r="AB2559" t="s">
        <v>163</v>
      </c>
      <c r="AC2559" t="s">
        <v>173</v>
      </c>
      <c r="AD2559" t="s">
        <v>155</v>
      </c>
      <c r="AE2559" t="s">
        <v>130</v>
      </c>
      <c r="AF2559" t="s">
        <v>21</v>
      </c>
    </row>
    <row r="2560" spans="1:32">
      <c r="A2560" t="s">
        <v>3630</v>
      </c>
      <c r="B2560" s="37">
        <v>40030</v>
      </c>
      <c r="C2560" s="38">
        <v>40030</v>
      </c>
      <c r="D2560" s="38">
        <v>40028</v>
      </c>
      <c r="E2560" s="38">
        <v>40026</v>
      </c>
      <c r="F2560" s="39">
        <v>125</v>
      </c>
      <c r="G2560" t="s">
        <v>9</v>
      </c>
      <c r="H2560" t="s">
        <v>9</v>
      </c>
      <c r="I2560">
        <v>1</v>
      </c>
      <c r="J2560">
        <v>0</v>
      </c>
      <c r="K2560">
        <v>0</v>
      </c>
      <c r="L2560">
        <v>0</v>
      </c>
      <c r="M2560">
        <v>1</v>
      </c>
      <c r="N2560" t="s">
        <v>193</v>
      </c>
      <c r="O2560" t="s">
        <v>213</v>
      </c>
      <c r="P2560" t="s">
        <v>204</v>
      </c>
      <c r="Q2560" t="s">
        <v>170</v>
      </c>
      <c r="R2560" t="s">
        <v>155</v>
      </c>
      <c r="S2560">
        <v>5</v>
      </c>
      <c r="T2560" t="s">
        <v>135</v>
      </c>
      <c r="U2560">
        <v>0</v>
      </c>
      <c r="V2560">
        <v>5</v>
      </c>
      <c r="W2560" t="s">
        <v>135</v>
      </c>
      <c r="X2560">
        <v>0</v>
      </c>
      <c r="Y2560" t="s">
        <v>140</v>
      </c>
      <c r="Z2560" t="s">
        <v>184</v>
      </c>
      <c r="AA2560" t="s">
        <v>142</v>
      </c>
      <c r="AB2560" t="s">
        <v>162</v>
      </c>
      <c r="AC2560" t="s">
        <v>176</v>
      </c>
      <c r="AD2560" t="s">
        <v>398</v>
      </c>
      <c r="AE2560" t="s">
        <v>399</v>
      </c>
      <c r="AF2560" t="s">
        <v>400</v>
      </c>
    </row>
    <row r="2561" spans="1:32">
      <c r="A2561" t="s">
        <v>3631</v>
      </c>
      <c r="B2561" s="37">
        <v>39988</v>
      </c>
      <c r="C2561" s="38">
        <v>39988</v>
      </c>
      <c r="D2561" s="38">
        <v>39986</v>
      </c>
      <c r="E2561" s="38">
        <v>39965</v>
      </c>
      <c r="F2561" s="39">
        <v>83</v>
      </c>
      <c r="G2561" t="s">
        <v>21</v>
      </c>
      <c r="H2561" t="s">
        <v>21</v>
      </c>
      <c r="I2561">
        <v>0</v>
      </c>
      <c r="J2561">
        <v>0</v>
      </c>
      <c r="K2561">
        <v>0</v>
      </c>
      <c r="L2561">
        <v>1</v>
      </c>
      <c r="M2561">
        <v>0</v>
      </c>
      <c r="N2561" t="s">
        <v>193</v>
      </c>
      <c r="O2561" t="s">
        <v>213</v>
      </c>
      <c r="P2561" t="s">
        <v>204</v>
      </c>
      <c r="Q2561" t="s">
        <v>170</v>
      </c>
      <c r="R2561" t="s">
        <v>155</v>
      </c>
      <c r="T2561" t="s">
        <v>134</v>
      </c>
      <c r="U2561">
        <v>1</v>
      </c>
      <c r="W2561" t="s">
        <v>134</v>
      </c>
      <c r="X2561">
        <v>1</v>
      </c>
      <c r="Y2561" t="s">
        <v>140</v>
      </c>
      <c r="Z2561" t="s">
        <v>178</v>
      </c>
      <c r="AA2561" t="s">
        <v>143</v>
      </c>
      <c r="AB2561" t="s">
        <v>163</v>
      </c>
      <c r="AC2561" t="s">
        <v>173</v>
      </c>
      <c r="AD2561" t="s">
        <v>1590</v>
      </c>
      <c r="AE2561" t="s">
        <v>3632</v>
      </c>
      <c r="AF2561" t="s">
        <v>21</v>
      </c>
    </row>
    <row r="2562" spans="1:32">
      <c r="A2562" t="s">
        <v>3633</v>
      </c>
      <c r="B2562" s="37">
        <v>39944</v>
      </c>
      <c r="C2562" s="38">
        <v>39944</v>
      </c>
      <c r="D2562" s="38">
        <v>39944</v>
      </c>
      <c r="E2562" s="38">
        <v>39934</v>
      </c>
      <c r="F2562" s="39">
        <v>39</v>
      </c>
      <c r="G2562" t="s">
        <v>21</v>
      </c>
      <c r="H2562" t="s">
        <v>21</v>
      </c>
      <c r="I2562">
        <v>0</v>
      </c>
      <c r="J2562">
        <v>0</v>
      </c>
      <c r="K2562">
        <v>0</v>
      </c>
      <c r="L2562">
        <v>1</v>
      </c>
      <c r="M2562">
        <v>0</v>
      </c>
      <c r="N2562" t="s">
        <v>194</v>
      </c>
      <c r="O2562" t="s">
        <v>213</v>
      </c>
      <c r="P2562" t="s">
        <v>205</v>
      </c>
      <c r="Q2562" t="s">
        <v>170</v>
      </c>
      <c r="R2562" t="s">
        <v>155</v>
      </c>
      <c r="T2562" t="s">
        <v>134</v>
      </c>
      <c r="U2562">
        <v>1</v>
      </c>
      <c r="W2562" t="s">
        <v>134</v>
      </c>
      <c r="X2562">
        <v>1</v>
      </c>
      <c r="Y2562" t="s">
        <v>139</v>
      </c>
      <c r="Z2562" t="s">
        <v>178</v>
      </c>
      <c r="AA2562" t="s">
        <v>147</v>
      </c>
      <c r="AB2562" t="s">
        <v>162</v>
      </c>
      <c r="AC2562" t="s">
        <v>175</v>
      </c>
      <c r="AD2562" t="s">
        <v>155</v>
      </c>
      <c r="AE2562" t="s">
        <v>127</v>
      </c>
      <c r="AF2562" t="s">
        <v>21</v>
      </c>
    </row>
    <row r="2563" spans="1:32">
      <c r="A2563" t="s">
        <v>3634</v>
      </c>
      <c r="B2563" s="37">
        <v>40034</v>
      </c>
      <c r="C2563" s="38">
        <v>40034</v>
      </c>
      <c r="D2563" s="38">
        <v>40028</v>
      </c>
      <c r="E2563" s="38">
        <v>40026</v>
      </c>
      <c r="F2563" s="39">
        <v>129</v>
      </c>
      <c r="G2563" t="s">
        <v>383</v>
      </c>
      <c r="H2563" t="s">
        <v>17</v>
      </c>
      <c r="I2563">
        <v>0</v>
      </c>
      <c r="J2563">
        <v>0</v>
      </c>
      <c r="K2563">
        <v>1</v>
      </c>
      <c r="L2563">
        <v>0</v>
      </c>
      <c r="M2563">
        <v>0</v>
      </c>
      <c r="N2563" t="s">
        <v>193</v>
      </c>
      <c r="O2563" t="s">
        <v>213</v>
      </c>
      <c r="P2563" t="s">
        <v>204</v>
      </c>
      <c r="Q2563" t="s">
        <v>170</v>
      </c>
      <c r="R2563" t="s">
        <v>155</v>
      </c>
      <c r="S2563">
        <v>5</v>
      </c>
      <c r="T2563" t="s">
        <v>135</v>
      </c>
      <c r="U2563">
        <v>0</v>
      </c>
      <c r="V2563">
        <v>5</v>
      </c>
      <c r="W2563" t="s">
        <v>135</v>
      </c>
      <c r="X2563">
        <v>0</v>
      </c>
      <c r="Y2563" t="s">
        <v>140</v>
      </c>
      <c r="Z2563" t="s">
        <v>178</v>
      </c>
      <c r="AA2563" t="s">
        <v>142</v>
      </c>
      <c r="AB2563" t="s">
        <v>163</v>
      </c>
      <c r="AC2563" t="s">
        <v>173</v>
      </c>
      <c r="AD2563" t="s">
        <v>155</v>
      </c>
      <c r="AE2563" t="s">
        <v>439</v>
      </c>
      <c r="AF2563" t="s">
        <v>21</v>
      </c>
    </row>
    <row r="2564" spans="1:32">
      <c r="A2564" t="s">
        <v>3635</v>
      </c>
      <c r="B2564" s="37">
        <v>40064</v>
      </c>
      <c r="C2564" s="38">
        <v>40064</v>
      </c>
      <c r="D2564" s="38">
        <v>40063</v>
      </c>
      <c r="E2564" s="38">
        <v>40057</v>
      </c>
      <c r="F2564" s="39">
        <v>159</v>
      </c>
      <c r="G2564" t="s">
        <v>21</v>
      </c>
      <c r="H2564" t="s">
        <v>21</v>
      </c>
      <c r="I2564">
        <v>0</v>
      </c>
      <c r="J2564">
        <v>0</v>
      </c>
      <c r="K2564">
        <v>0</v>
      </c>
      <c r="L2564">
        <v>1</v>
      </c>
      <c r="M2564">
        <v>0</v>
      </c>
      <c r="N2564" t="s">
        <v>193</v>
      </c>
      <c r="O2564" t="s">
        <v>213</v>
      </c>
      <c r="P2564" t="s">
        <v>204</v>
      </c>
      <c r="Q2564" t="s">
        <v>170</v>
      </c>
      <c r="R2564" t="s">
        <v>155</v>
      </c>
      <c r="S2564">
        <v>3</v>
      </c>
      <c r="T2564" t="s">
        <v>137</v>
      </c>
      <c r="U2564">
        <v>0</v>
      </c>
      <c r="V2564">
        <v>2</v>
      </c>
      <c r="W2564" t="s">
        <v>136</v>
      </c>
      <c r="X2564">
        <v>0</v>
      </c>
      <c r="Y2564" t="s">
        <v>140</v>
      </c>
      <c r="Z2564" t="s">
        <v>179</v>
      </c>
      <c r="AA2564" t="s">
        <v>148</v>
      </c>
      <c r="AB2564" t="s">
        <v>162</v>
      </c>
      <c r="AC2564" t="s">
        <v>175</v>
      </c>
      <c r="AD2564" t="s">
        <v>155</v>
      </c>
      <c r="AE2564" t="s">
        <v>129</v>
      </c>
      <c r="AF2564" t="s">
        <v>21</v>
      </c>
    </row>
    <row r="2565" spans="1:32">
      <c r="A2565" t="s">
        <v>3636</v>
      </c>
      <c r="B2565" s="37">
        <v>39942</v>
      </c>
      <c r="C2565" s="38">
        <v>39942</v>
      </c>
      <c r="D2565" s="38">
        <v>39937</v>
      </c>
      <c r="E2565" s="38">
        <v>39934</v>
      </c>
      <c r="F2565" s="39">
        <v>37</v>
      </c>
      <c r="G2565" t="s">
        <v>21</v>
      </c>
      <c r="H2565" t="s">
        <v>21</v>
      </c>
      <c r="I2565">
        <v>0</v>
      </c>
      <c r="J2565">
        <v>0</v>
      </c>
      <c r="K2565">
        <v>0</v>
      </c>
      <c r="L2565">
        <v>1</v>
      </c>
      <c r="M2565">
        <v>0</v>
      </c>
      <c r="N2565" t="s">
        <v>193</v>
      </c>
      <c r="O2565" t="s">
        <v>213</v>
      </c>
      <c r="P2565" t="s">
        <v>204</v>
      </c>
      <c r="Q2565" t="s">
        <v>170</v>
      </c>
      <c r="R2565" t="s">
        <v>155</v>
      </c>
      <c r="T2565" t="s">
        <v>134</v>
      </c>
      <c r="U2565">
        <v>1</v>
      </c>
      <c r="W2565" t="s">
        <v>134</v>
      </c>
      <c r="X2565">
        <v>1</v>
      </c>
      <c r="Y2565" t="s">
        <v>140</v>
      </c>
      <c r="Z2565" t="s">
        <v>178</v>
      </c>
      <c r="AA2565" t="s">
        <v>142</v>
      </c>
      <c r="AB2565" t="s">
        <v>165</v>
      </c>
      <c r="AC2565" t="s">
        <v>1023</v>
      </c>
      <c r="AD2565" t="s">
        <v>158</v>
      </c>
      <c r="AE2565" t="s">
        <v>122</v>
      </c>
      <c r="AF2565" t="s">
        <v>21</v>
      </c>
    </row>
    <row r="2566" spans="1:32">
      <c r="A2566" t="s">
        <v>3637</v>
      </c>
      <c r="B2566" s="37">
        <v>40042</v>
      </c>
      <c r="C2566" s="38">
        <v>40042</v>
      </c>
      <c r="D2566" s="38">
        <v>40042</v>
      </c>
      <c r="E2566" s="38">
        <v>40026</v>
      </c>
      <c r="F2566" s="39">
        <v>137</v>
      </c>
      <c r="G2566" t="s">
        <v>21</v>
      </c>
      <c r="H2566" t="s">
        <v>21</v>
      </c>
      <c r="I2566">
        <v>0</v>
      </c>
      <c r="J2566">
        <v>0</v>
      </c>
      <c r="K2566">
        <v>0</v>
      </c>
      <c r="L2566">
        <v>1</v>
      </c>
      <c r="M2566">
        <v>0</v>
      </c>
      <c r="N2566" t="s">
        <v>193</v>
      </c>
      <c r="O2566" t="s">
        <v>213</v>
      </c>
      <c r="P2566" t="s">
        <v>204</v>
      </c>
      <c r="Q2566" t="s">
        <v>170</v>
      </c>
      <c r="R2566" t="s">
        <v>155</v>
      </c>
      <c r="S2566">
        <v>5</v>
      </c>
      <c r="T2566" t="s">
        <v>135</v>
      </c>
      <c r="U2566">
        <v>0</v>
      </c>
      <c r="V2566">
        <v>5</v>
      </c>
      <c r="W2566" t="s">
        <v>135</v>
      </c>
      <c r="X2566">
        <v>0</v>
      </c>
      <c r="Y2566" t="s">
        <v>140</v>
      </c>
      <c r="Z2566" t="s">
        <v>179</v>
      </c>
      <c r="AA2566" t="s">
        <v>143</v>
      </c>
      <c r="AB2566" t="s">
        <v>163</v>
      </c>
      <c r="AC2566" t="s">
        <v>173</v>
      </c>
      <c r="AD2566" t="s">
        <v>155</v>
      </c>
      <c r="AE2566" t="s">
        <v>125</v>
      </c>
      <c r="AF2566" t="s">
        <v>21</v>
      </c>
    </row>
    <row r="2567" spans="1:32">
      <c r="A2567" t="s">
        <v>3638</v>
      </c>
      <c r="B2567" s="37">
        <v>39979</v>
      </c>
      <c r="C2567" s="38">
        <v>39979</v>
      </c>
      <c r="D2567" s="38">
        <v>39979</v>
      </c>
      <c r="E2567" s="38">
        <v>39965</v>
      </c>
      <c r="F2567" s="39">
        <v>74</v>
      </c>
      <c r="G2567" t="s">
        <v>21</v>
      </c>
      <c r="H2567" t="s">
        <v>21</v>
      </c>
      <c r="I2567">
        <v>0</v>
      </c>
      <c r="J2567">
        <v>0</v>
      </c>
      <c r="K2567">
        <v>0</v>
      </c>
      <c r="L2567">
        <v>1</v>
      </c>
      <c r="M2567">
        <v>0</v>
      </c>
      <c r="N2567" t="s">
        <v>193</v>
      </c>
      <c r="O2567" t="s">
        <v>213</v>
      </c>
      <c r="P2567" t="s">
        <v>204</v>
      </c>
      <c r="Q2567" t="s">
        <v>170</v>
      </c>
      <c r="R2567" t="s">
        <v>155</v>
      </c>
      <c r="T2567" t="s">
        <v>134</v>
      </c>
      <c r="U2567">
        <v>1</v>
      </c>
      <c r="W2567" t="s">
        <v>134</v>
      </c>
      <c r="X2567">
        <v>1</v>
      </c>
      <c r="Y2567" t="s">
        <v>140</v>
      </c>
      <c r="Z2567" t="s">
        <v>179</v>
      </c>
      <c r="AA2567" t="s">
        <v>145</v>
      </c>
      <c r="AB2567" t="s">
        <v>162</v>
      </c>
      <c r="AC2567" t="s">
        <v>174</v>
      </c>
      <c r="AD2567" t="s">
        <v>156</v>
      </c>
      <c r="AE2567" t="s">
        <v>120</v>
      </c>
      <c r="AF2567" t="s">
        <v>827</v>
      </c>
    </row>
    <row r="2568" spans="1:32">
      <c r="A2568" t="s">
        <v>3639</v>
      </c>
      <c r="B2568" s="37">
        <v>39972</v>
      </c>
      <c r="C2568" s="38">
        <v>39972</v>
      </c>
      <c r="D2568" s="38">
        <v>39972</v>
      </c>
      <c r="E2568" s="38">
        <v>39965</v>
      </c>
      <c r="F2568" s="39">
        <v>67</v>
      </c>
      <c r="G2568" t="s">
        <v>21</v>
      </c>
      <c r="H2568" t="s">
        <v>21</v>
      </c>
      <c r="I2568">
        <v>0</v>
      </c>
      <c r="J2568">
        <v>0</v>
      </c>
      <c r="K2568">
        <v>0</v>
      </c>
      <c r="L2568">
        <v>1</v>
      </c>
      <c r="M2568">
        <v>0</v>
      </c>
      <c r="N2568" t="s">
        <v>194</v>
      </c>
      <c r="O2568" t="s">
        <v>213</v>
      </c>
      <c r="P2568" t="s">
        <v>205</v>
      </c>
      <c r="Q2568" t="s">
        <v>170</v>
      </c>
      <c r="R2568" t="s">
        <v>155</v>
      </c>
      <c r="T2568" t="s">
        <v>134</v>
      </c>
      <c r="U2568">
        <v>1</v>
      </c>
      <c r="W2568" t="s">
        <v>134</v>
      </c>
      <c r="X2568">
        <v>1</v>
      </c>
      <c r="Y2568" t="s">
        <v>139</v>
      </c>
      <c r="Z2568" t="s">
        <v>447</v>
      </c>
      <c r="AA2568" t="s">
        <v>149</v>
      </c>
      <c r="AB2568" t="s">
        <v>165</v>
      </c>
      <c r="AC2568" t="s">
        <v>589</v>
      </c>
      <c r="AD2568" t="s">
        <v>158</v>
      </c>
      <c r="AE2568" t="s">
        <v>122</v>
      </c>
      <c r="AF2568" t="s">
        <v>21</v>
      </c>
    </row>
    <row r="2569" spans="1:32">
      <c r="A2569" t="s">
        <v>3640</v>
      </c>
      <c r="B2569" s="37">
        <v>40020</v>
      </c>
      <c r="C2569" s="38">
        <v>40020</v>
      </c>
      <c r="D2569" s="38">
        <v>40014</v>
      </c>
      <c r="E2569" s="38">
        <v>39995</v>
      </c>
      <c r="F2569" s="39">
        <v>115</v>
      </c>
      <c r="G2569" t="s">
        <v>21</v>
      </c>
      <c r="H2569" t="s">
        <v>21</v>
      </c>
      <c r="I2569">
        <v>0</v>
      </c>
      <c r="J2569">
        <v>0</v>
      </c>
      <c r="K2569">
        <v>0</v>
      </c>
      <c r="L2569">
        <v>1</v>
      </c>
      <c r="M2569">
        <v>0</v>
      </c>
      <c r="N2569" t="s">
        <v>195</v>
      </c>
      <c r="O2569" t="s">
        <v>213</v>
      </c>
      <c r="P2569" t="s">
        <v>206</v>
      </c>
      <c r="Q2569" t="s">
        <v>170</v>
      </c>
      <c r="R2569" t="s">
        <v>155</v>
      </c>
      <c r="S2569">
        <v>5</v>
      </c>
      <c r="T2569" t="s">
        <v>135</v>
      </c>
      <c r="U2569">
        <v>0</v>
      </c>
      <c r="V2569">
        <v>3</v>
      </c>
      <c r="W2569" t="s">
        <v>137</v>
      </c>
      <c r="X2569">
        <v>0</v>
      </c>
      <c r="Y2569" t="s">
        <v>139</v>
      </c>
      <c r="Z2569" t="s">
        <v>182</v>
      </c>
      <c r="AA2569" t="s">
        <v>146</v>
      </c>
      <c r="AB2569" t="s">
        <v>162</v>
      </c>
      <c r="AC2569" t="s">
        <v>175</v>
      </c>
      <c r="AD2569" t="s">
        <v>155</v>
      </c>
      <c r="AE2569" t="s">
        <v>129</v>
      </c>
      <c r="AF2569" t="s">
        <v>21</v>
      </c>
    </row>
    <row r="2570" spans="1:32">
      <c r="A2570" t="s">
        <v>3641</v>
      </c>
      <c r="B2570" s="37">
        <v>40083</v>
      </c>
      <c r="C2570" s="38">
        <v>40083</v>
      </c>
      <c r="D2570" s="38">
        <v>40077</v>
      </c>
      <c r="E2570" s="38">
        <v>40057</v>
      </c>
      <c r="F2570" s="39">
        <v>178</v>
      </c>
      <c r="G2570" t="s">
        <v>21</v>
      </c>
      <c r="H2570" t="s">
        <v>21</v>
      </c>
      <c r="I2570">
        <v>0</v>
      </c>
      <c r="J2570">
        <v>0</v>
      </c>
      <c r="K2570">
        <v>0</v>
      </c>
      <c r="L2570">
        <v>1</v>
      </c>
      <c r="M2570">
        <v>0</v>
      </c>
      <c r="N2570" t="s">
        <v>196</v>
      </c>
      <c r="O2570" t="s">
        <v>213</v>
      </c>
      <c r="P2570" t="s">
        <v>207</v>
      </c>
      <c r="Q2570" t="s">
        <v>170</v>
      </c>
      <c r="R2570" t="s">
        <v>155</v>
      </c>
      <c r="S2570">
        <v>3</v>
      </c>
      <c r="T2570" t="s">
        <v>137</v>
      </c>
      <c r="U2570">
        <v>0</v>
      </c>
      <c r="V2570">
        <v>3</v>
      </c>
      <c r="W2570" t="s">
        <v>137</v>
      </c>
      <c r="X2570">
        <v>0</v>
      </c>
      <c r="Y2570" t="s">
        <v>139</v>
      </c>
      <c r="Z2570" t="s">
        <v>178</v>
      </c>
      <c r="AA2570" t="s">
        <v>142</v>
      </c>
      <c r="AB2570" t="s">
        <v>163</v>
      </c>
      <c r="AC2570" t="s">
        <v>173</v>
      </c>
      <c r="AD2570" t="s">
        <v>155</v>
      </c>
      <c r="AE2570" t="s">
        <v>128</v>
      </c>
      <c r="AF2570" t="s">
        <v>21</v>
      </c>
    </row>
    <row r="2571" spans="1:32">
      <c r="A2571" t="s">
        <v>3642</v>
      </c>
      <c r="B2571" s="37">
        <v>40055</v>
      </c>
      <c r="C2571" s="38">
        <v>40055</v>
      </c>
      <c r="D2571" s="38">
        <v>40049</v>
      </c>
      <c r="E2571" s="38">
        <v>40026</v>
      </c>
      <c r="F2571" s="39">
        <v>150</v>
      </c>
      <c r="G2571" t="s">
        <v>21</v>
      </c>
      <c r="H2571" t="s">
        <v>21</v>
      </c>
      <c r="I2571">
        <v>0</v>
      </c>
      <c r="J2571">
        <v>0</v>
      </c>
      <c r="K2571">
        <v>0</v>
      </c>
      <c r="L2571">
        <v>1</v>
      </c>
      <c r="M2571">
        <v>0</v>
      </c>
      <c r="N2571" t="s">
        <v>193</v>
      </c>
      <c r="O2571" t="s">
        <v>213</v>
      </c>
      <c r="P2571" t="s">
        <v>204</v>
      </c>
      <c r="Q2571" t="s">
        <v>170</v>
      </c>
      <c r="R2571" t="s">
        <v>155</v>
      </c>
      <c r="S2571">
        <v>1</v>
      </c>
      <c r="T2571" t="s">
        <v>136</v>
      </c>
      <c r="U2571">
        <v>0</v>
      </c>
      <c r="V2571">
        <v>4</v>
      </c>
      <c r="W2571" t="s">
        <v>137</v>
      </c>
      <c r="X2571">
        <v>0</v>
      </c>
      <c r="Y2571" t="s">
        <v>140</v>
      </c>
      <c r="Z2571" t="s">
        <v>183</v>
      </c>
      <c r="AA2571" t="s">
        <v>144</v>
      </c>
      <c r="AB2571" t="s">
        <v>163</v>
      </c>
      <c r="AC2571" t="s">
        <v>173</v>
      </c>
      <c r="AD2571" t="s">
        <v>155</v>
      </c>
      <c r="AE2571" t="s">
        <v>956</v>
      </c>
      <c r="AF2571" t="s">
        <v>21</v>
      </c>
    </row>
    <row r="2572" spans="1:32">
      <c r="A2572" t="s">
        <v>3643</v>
      </c>
      <c r="B2572" s="37">
        <v>40036</v>
      </c>
      <c r="C2572" s="38">
        <v>40036</v>
      </c>
      <c r="D2572" s="38">
        <v>40035</v>
      </c>
      <c r="E2572" s="38">
        <v>40026</v>
      </c>
      <c r="F2572" s="39">
        <v>131</v>
      </c>
      <c r="G2572" t="s">
        <v>21</v>
      </c>
      <c r="H2572" t="s">
        <v>21</v>
      </c>
      <c r="I2572">
        <v>0</v>
      </c>
      <c r="J2572">
        <v>0</v>
      </c>
      <c r="K2572">
        <v>0</v>
      </c>
      <c r="L2572">
        <v>1</v>
      </c>
      <c r="M2572">
        <v>0</v>
      </c>
      <c r="N2572" t="s">
        <v>197</v>
      </c>
      <c r="O2572" t="s">
        <v>213</v>
      </c>
      <c r="P2572" t="s">
        <v>209</v>
      </c>
      <c r="Q2572" t="s">
        <v>170</v>
      </c>
      <c r="R2572" t="s">
        <v>155</v>
      </c>
      <c r="S2572">
        <v>5</v>
      </c>
      <c r="T2572" t="s">
        <v>135</v>
      </c>
      <c r="U2572">
        <v>0</v>
      </c>
      <c r="V2572">
        <v>5</v>
      </c>
      <c r="W2572" t="s">
        <v>135</v>
      </c>
      <c r="X2572">
        <v>0</v>
      </c>
      <c r="Y2572" t="s">
        <v>139</v>
      </c>
      <c r="Z2572" t="s">
        <v>186</v>
      </c>
      <c r="AA2572" t="s">
        <v>144</v>
      </c>
      <c r="AB2572" t="s">
        <v>162</v>
      </c>
      <c r="AC2572" t="s">
        <v>176</v>
      </c>
      <c r="AD2572" t="s">
        <v>155</v>
      </c>
      <c r="AE2572" t="s">
        <v>129</v>
      </c>
      <c r="AF2572" t="s">
        <v>21</v>
      </c>
    </row>
    <row r="2573" spans="1:32">
      <c r="A2573" t="s">
        <v>3644</v>
      </c>
      <c r="B2573" s="37">
        <v>40023</v>
      </c>
      <c r="C2573" s="38">
        <v>40023</v>
      </c>
      <c r="D2573" s="38">
        <v>40021</v>
      </c>
      <c r="E2573" s="38">
        <v>39995</v>
      </c>
      <c r="F2573" s="39">
        <v>118</v>
      </c>
      <c r="G2573" t="s">
        <v>383</v>
      </c>
      <c r="H2573" t="s">
        <v>17</v>
      </c>
      <c r="I2573">
        <v>0</v>
      </c>
      <c r="J2573">
        <v>0</v>
      </c>
      <c r="K2573">
        <v>1</v>
      </c>
      <c r="L2573">
        <v>0</v>
      </c>
      <c r="M2573">
        <v>0</v>
      </c>
      <c r="N2573" t="s">
        <v>195</v>
      </c>
      <c r="O2573" t="s">
        <v>213</v>
      </c>
      <c r="P2573" t="s">
        <v>206</v>
      </c>
      <c r="Q2573" t="s">
        <v>170</v>
      </c>
      <c r="R2573" t="s">
        <v>155</v>
      </c>
      <c r="S2573">
        <v>5</v>
      </c>
      <c r="T2573" t="s">
        <v>135</v>
      </c>
      <c r="U2573">
        <v>0</v>
      </c>
      <c r="V2573">
        <v>3</v>
      </c>
      <c r="W2573" t="s">
        <v>137</v>
      </c>
      <c r="X2573">
        <v>0</v>
      </c>
      <c r="Y2573" t="s">
        <v>139</v>
      </c>
      <c r="Z2573" t="s">
        <v>178</v>
      </c>
      <c r="AA2573" t="s">
        <v>149</v>
      </c>
      <c r="AB2573" t="s">
        <v>162</v>
      </c>
      <c r="AC2573" t="s">
        <v>174</v>
      </c>
      <c r="AD2573" t="s">
        <v>157</v>
      </c>
      <c r="AE2573" t="s">
        <v>434</v>
      </c>
      <c r="AF2573" t="s">
        <v>449</v>
      </c>
    </row>
    <row r="2574" spans="1:32">
      <c r="A2574" t="s">
        <v>3645</v>
      </c>
      <c r="B2574" s="37">
        <v>39925</v>
      </c>
      <c r="C2574" s="38">
        <v>39925</v>
      </c>
      <c r="D2574" s="38">
        <v>39923</v>
      </c>
      <c r="E2574" s="38">
        <v>39904</v>
      </c>
      <c r="F2574" s="39">
        <v>20</v>
      </c>
      <c r="G2574" t="s">
        <v>21</v>
      </c>
      <c r="H2574" t="s">
        <v>21</v>
      </c>
      <c r="I2574">
        <v>0</v>
      </c>
      <c r="J2574">
        <v>0</v>
      </c>
      <c r="K2574">
        <v>0</v>
      </c>
      <c r="L2574">
        <v>1</v>
      </c>
      <c r="M2574">
        <v>0</v>
      </c>
      <c r="N2574" t="s">
        <v>198</v>
      </c>
      <c r="O2574" t="s">
        <v>213</v>
      </c>
      <c r="P2574" t="s">
        <v>208</v>
      </c>
      <c r="Q2574" t="s">
        <v>170</v>
      </c>
      <c r="R2574" t="s">
        <v>155</v>
      </c>
      <c r="T2574" t="s">
        <v>134</v>
      </c>
      <c r="U2574">
        <v>1</v>
      </c>
      <c r="W2574" t="s">
        <v>134</v>
      </c>
      <c r="X2574">
        <v>1</v>
      </c>
      <c r="Y2574" t="s">
        <v>139</v>
      </c>
      <c r="Z2574" t="s">
        <v>179</v>
      </c>
      <c r="AA2574" t="s">
        <v>147</v>
      </c>
      <c r="AB2574" t="s">
        <v>162</v>
      </c>
      <c r="AC2574" t="s">
        <v>174</v>
      </c>
      <c r="AD2574" t="s">
        <v>156</v>
      </c>
      <c r="AE2574" t="s">
        <v>120</v>
      </c>
      <c r="AF2574" t="s">
        <v>1868</v>
      </c>
    </row>
    <row r="2575" spans="1:32">
      <c r="A2575" t="s">
        <v>3646</v>
      </c>
      <c r="B2575" s="37">
        <v>40011</v>
      </c>
      <c r="C2575" s="38">
        <v>40011</v>
      </c>
      <c r="D2575" s="38">
        <v>40007</v>
      </c>
      <c r="E2575" s="38">
        <v>39995</v>
      </c>
      <c r="F2575" s="39">
        <v>106</v>
      </c>
      <c r="G2575" t="s">
        <v>21</v>
      </c>
      <c r="H2575" t="s">
        <v>21</v>
      </c>
      <c r="I2575">
        <v>0</v>
      </c>
      <c r="J2575">
        <v>0</v>
      </c>
      <c r="K2575">
        <v>0</v>
      </c>
      <c r="L2575">
        <v>1</v>
      </c>
      <c r="M2575">
        <v>0</v>
      </c>
      <c r="N2575" t="s">
        <v>193</v>
      </c>
      <c r="O2575" t="s">
        <v>213</v>
      </c>
      <c r="P2575" t="s">
        <v>204</v>
      </c>
      <c r="Q2575" t="s">
        <v>170</v>
      </c>
      <c r="R2575" t="s">
        <v>155</v>
      </c>
      <c r="S2575">
        <v>5</v>
      </c>
      <c r="T2575" t="s">
        <v>135</v>
      </c>
      <c r="U2575">
        <v>0</v>
      </c>
      <c r="V2575">
        <v>5</v>
      </c>
      <c r="W2575" t="s">
        <v>135</v>
      </c>
      <c r="X2575">
        <v>0</v>
      </c>
      <c r="Y2575" t="s">
        <v>140</v>
      </c>
      <c r="Z2575" t="s">
        <v>409</v>
      </c>
      <c r="AA2575" t="s">
        <v>142</v>
      </c>
      <c r="AB2575" t="s">
        <v>162</v>
      </c>
      <c r="AC2575" t="s">
        <v>3647</v>
      </c>
      <c r="AD2575" t="s">
        <v>159</v>
      </c>
      <c r="AE2575" t="s">
        <v>126</v>
      </c>
      <c r="AF2575" t="s">
        <v>601</v>
      </c>
    </row>
    <row r="2576" spans="1:32">
      <c r="A2576" t="s">
        <v>3648</v>
      </c>
      <c r="B2576" s="37">
        <v>39986</v>
      </c>
      <c r="C2576" s="38">
        <v>39986</v>
      </c>
      <c r="D2576" s="38">
        <v>39986</v>
      </c>
      <c r="E2576" s="38">
        <v>39965</v>
      </c>
      <c r="F2576" s="39">
        <v>81</v>
      </c>
      <c r="G2576" t="s">
        <v>9</v>
      </c>
      <c r="H2576" t="s">
        <v>9</v>
      </c>
      <c r="I2576">
        <v>1</v>
      </c>
      <c r="J2576">
        <v>0</v>
      </c>
      <c r="K2576">
        <v>0</v>
      </c>
      <c r="L2576">
        <v>0</v>
      </c>
      <c r="M2576">
        <v>1</v>
      </c>
      <c r="N2576" t="s">
        <v>196</v>
      </c>
      <c r="O2576" t="s">
        <v>213</v>
      </c>
      <c r="P2576" t="s">
        <v>207</v>
      </c>
      <c r="Q2576" t="s">
        <v>170</v>
      </c>
      <c r="R2576" t="s">
        <v>155</v>
      </c>
      <c r="T2576" t="s">
        <v>134</v>
      </c>
      <c r="U2576">
        <v>1</v>
      </c>
      <c r="W2576" t="s">
        <v>134</v>
      </c>
      <c r="X2576">
        <v>1</v>
      </c>
      <c r="Y2576" t="s">
        <v>139</v>
      </c>
      <c r="Z2576" t="s">
        <v>178</v>
      </c>
      <c r="AA2576" t="s">
        <v>150</v>
      </c>
      <c r="AB2576" t="s">
        <v>163</v>
      </c>
      <c r="AC2576" t="s">
        <v>21</v>
      </c>
      <c r="AD2576" t="s">
        <v>788</v>
      </c>
      <c r="AE2576" t="s">
        <v>3649</v>
      </c>
      <c r="AF2576" t="s">
        <v>21</v>
      </c>
    </row>
    <row r="2577" spans="1:32">
      <c r="A2577" t="s">
        <v>3650</v>
      </c>
      <c r="B2577" s="37">
        <v>40024</v>
      </c>
      <c r="C2577" s="38">
        <v>40024</v>
      </c>
      <c r="D2577" s="38">
        <v>40021</v>
      </c>
      <c r="E2577" s="38">
        <v>39995</v>
      </c>
      <c r="F2577" s="39">
        <v>119</v>
      </c>
      <c r="G2577" t="s">
        <v>21</v>
      </c>
      <c r="H2577" t="s">
        <v>21</v>
      </c>
      <c r="I2577">
        <v>0</v>
      </c>
      <c r="J2577">
        <v>0</v>
      </c>
      <c r="K2577">
        <v>0</v>
      </c>
      <c r="L2577">
        <v>1</v>
      </c>
      <c r="M2577">
        <v>0</v>
      </c>
      <c r="N2577" t="s">
        <v>193</v>
      </c>
      <c r="O2577" t="s">
        <v>213</v>
      </c>
      <c r="P2577" t="s">
        <v>204</v>
      </c>
      <c r="Q2577" t="s">
        <v>170</v>
      </c>
      <c r="R2577" t="s">
        <v>155</v>
      </c>
      <c r="S2577">
        <v>5</v>
      </c>
      <c r="T2577" t="s">
        <v>135</v>
      </c>
      <c r="U2577">
        <v>0</v>
      </c>
      <c r="V2577">
        <v>4</v>
      </c>
      <c r="W2577" t="s">
        <v>137</v>
      </c>
      <c r="X2577">
        <v>0</v>
      </c>
      <c r="Y2577" t="s">
        <v>140</v>
      </c>
      <c r="Z2577" t="s">
        <v>184</v>
      </c>
      <c r="AA2577" t="s">
        <v>143</v>
      </c>
      <c r="AB2577" t="s">
        <v>163</v>
      </c>
      <c r="AC2577" t="s">
        <v>173</v>
      </c>
      <c r="AD2577" t="s">
        <v>155</v>
      </c>
      <c r="AE2577" t="s">
        <v>406</v>
      </c>
      <c r="AF2577" t="s">
        <v>21</v>
      </c>
    </row>
    <row r="2578" spans="1:32">
      <c r="A2578" t="s">
        <v>3651</v>
      </c>
      <c r="B2578" s="37">
        <v>40002</v>
      </c>
      <c r="C2578" s="38">
        <v>40002</v>
      </c>
      <c r="D2578" s="38">
        <v>40000</v>
      </c>
      <c r="E2578" s="38">
        <v>39995</v>
      </c>
      <c r="F2578" s="39">
        <v>97</v>
      </c>
      <c r="G2578" t="s">
        <v>9</v>
      </c>
      <c r="H2578" t="s">
        <v>9</v>
      </c>
      <c r="I2578">
        <v>1</v>
      </c>
      <c r="J2578">
        <v>0</v>
      </c>
      <c r="K2578">
        <v>0</v>
      </c>
      <c r="L2578">
        <v>0</v>
      </c>
      <c r="M2578">
        <v>1</v>
      </c>
      <c r="N2578" t="s">
        <v>193</v>
      </c>
      <c r="O2578" t="s">
        <v>213</v>
      </c>
      <c r="P2578" t="s">
        <v>204</v>
      </c>
      <c r="Q2578" t="s">
        <v>170</v>
      </c>
      <c r="R2578" t="s">
        <v>155</v>
      </c>
      <c r="T2578" t="s">
        <v>134</v>
      </c>
      <c r="U2578">
        <v>1</v>
      </c>
      <c r="V2578">
        <v>3</v>
      </c>
      <c r="W2578" t="s">
        <v>137</v>
      </c>
      <c r="X2578">
        <v>0</v>
      </c>
      <c r="Y2578" t="s">
        <v>140</v>
      </c>
      <c r="Z2578" t="s">
        <v>178</v>
      </c>
      <c r="AA2578" t="s">
        <v>148</v>
      </c>
      <c r="AB2578" t="s">
        <v>162</v>
      </c>
      <c r="AC2578" t="s">
        <v>1123</v>
      </c>
      <c r="AD2578" t="s">
        <v>157</v>
      </c>
      <c r="AE2578" t="s">
        <v>127</v>
      </c>
      <c r="AF2578" t="s">
        <v>153</v>
      </c>
    </row>
    <row r="2579" spans="1:32">
      <c r="A2579" t="s">
        <v>3652</v>
      </c>
      <c r="B2579" s="37">
        <v>39983</v>
      </c>
      <c r="C2579" s="38">
        <v>39983</v>
      </c>
      <c r="D2579" s="38">
        <v>39979</v>
      </c>
      <c r="E2579" s="38">
        <v>39965</v>
      </c>
      <c r="F2579" s="39">
        <v>78</v>
      </c>
      <c r="G2579" t="s">
        <v>21</v>
      </c>
      <c r="H2579" t="s">
        <v>21</v>
      </c>
      <c r="I2579">
        <v>0</v>
      </c>
      <c r="J2579">
        <v>0</v>
      </c>
      <c r="K2579">
        <v>0</v>
      </c>
      <c r="L2579">
        <v>1</v>
      </c>
      <c r="M2579">
        <v>0</v>
      </c>
      <c r="N2579" t="s">
        <v>196</v>
      </c>
      <c r="O2579" t="s">
        <v>213</v>
      </c>
      <c r="P2579" t="s">
        <v>207</v>
      </c>
      <c r="Q2579" t="s">
        <v>170</v>
      </c>
      <c r="R2579" t="s">
        <v>155</v>
      </c>
      <c r="T2579" t="s">
        <v>134</v>
      </c>
      <c r="U2579">
        <v>1</v>
      </c>
      <c r="W2579" t="s">
        <v>134</v>
      </c>
      <c r="X2579">
        <v>1</v>
      </c>
      <c r="Y2579" t="s">
        <v>139</v>
      </c>
      <c r="Z2579" t="s">
        <v>447</v>
      </c>
      <c r="AA2579" t="s">
        <v>149</v>
      </c>
      <c r="AB2579" t="s">
        <v>163</v>
      </c>
      <c r="AC2579" t="s">
        <v>3653</v>
      </c>
      <c r="AD2579" t="s">
        <v>788</v>
      </c>
      <c r="AE2579" t="s">
        <v>2423</v>
      </c>
      <c r="AF2579" t="s">
        <v>21</v>
      </c>
    </row>
    <row r="2580" spans="1:32">
      <c r="A2580" t="s">
        <v>3654</v>
      </c>
      <c r="B2580" s="37">
        <v>39965</v>
      </c>
      <c r="C2580" s="38">
        <v>39965</v>
      </c>
      <c r="D2580" s="38">
        <v>39965</v>
      </c>
      <c r="E2580" s="38">
        <v>39965</v>
      </c>
      <c r="F2580" s="39">
        <v>60</v>
      </c>
      <c r="G2580" t="s">
        <v>21</v>
      </c>
      <c r="H2580" t="s">
        <v>21</v>
      </c>
      <c r="I2580">
        <v>0</v>
      </c>
      <c r="J2580">
        <v>0</v>
      </c>
      <c r="K2580">
        <v>0</v>
      </c>
      <c r="L2580">
        <v>1</v>
      </c>
      <c r="M2580">
        <v>0</v>
      </c>
      <c r="N2580" t="s">
        <v>193</v>
      </c>
      <c r="O2580" t="s">
        <v>213</v>
      </c>
      <c r="P2580" t="s">
        <v>204</v>
      </c>
      <c r="Q2580" t="s">
        <v>170</v>
      </c>
      <c r="R2580" t="s">
        <v>155</v>
      </c>
      <c r="T2580" t="s">
        <v>134</v>
      </c>
      <c r="U2580">
        <v>1</v>
      </c>
      <c r="W2580" t="s">
        <v>134</v>
      </c>
      <c r="X2580">
        <v>1</v>
      </c>
      <c r="Y2580" t="s">
        <v>140</v>
      </c>
      <c r="Z2580" t="s">
        <v>178</v>
      </c>
      <c r="AA2580" t="s">
        <v>144</v>
      </c>
      <c r="AB2580" t="s">
        <v>163</v>
      </c>
      <c r="AC2580" t="s">
        <v>3655</v>
      </c>
      <c r="AD2580" t="s">
        <v>155</v>
      </c>
      <c r="AE2580" t="s">
        <v>3656</v>
      </c>
      <c r="AF2580" t="s">
        <v>21</v>
      </c>
    </row>
    <row r="2581" spans="1:32">
      <c r="A2581" t="s">
        <v>3657</v>
      </c>
      <c r="B2581" s="37">
        <v>39974</v>
      </c>
      <c r="C2581" s="38">
        <v>39974</v>
      </c>
      <c r="D2581" s="38">
        <v>39972</v>
      </c>
      <c r="E2581" s="38">
        <v>39965</v>
      </c>
      <c r="F2581" s="39">
        <v>69</v>
      </c>
      <c r="G2581" t="s">
        <v>9</v>
      </c>
      <c r="H2581" t="s">
        <v>9</v>
      </c>
      <c r="I2581">
        <v>1</v>
      </c>
      <c r="J2581">
        <v>0</v>
      </c>
      <c r="K2581">
        <v>0</v>
      </c>
      <c r="L2581">
        <v>0</v>
      </c>
      <c r="M2581">
        <v>1</v>
      </c>
      <c r="N2581" t="s">
        <v>195</v>
      </c>
      <c r="O2581" t="s">
        <v>213</v>
      </c>
      <c r="P2581" t="s">
        <v>206</v>
      </c>
      <c r="Q2581" t="s">
        <v>170</v>
      </c>
      <c r="R2581" t="s">
        <v>155</v>
      </c>
      <c r="T2581" t="s">
        <v>134</v>
      </c>
      <c r="U2581">
        <v>1</v>
      </c>
      <c r="W2581" t="s">
        <v>134</v>
      </c>
      <c r="X2581">
        <v>1</v>
      </c>
      <c r="Y2581" t="s">
        <v>139</v>
      </c>
      <c r="Z2581" t="s">
        <v>179</v>
      </c>
      <c r="AA2581" t="s">
        <v>142</v>
      </c>
      <c r="AB2581" t="s">
        <v>162</v>
      </c>
      <c r="AC2581" t="s">
        <v>174</v>
      </c>
      <c r="AD2581" t="s">
        <v>160</v>
      </c>
      <c r="AE2581" t="s">
        <v>126</v>
      </c>
      <c r="AF2581" t="s">
        <v>900</v>
      </c>
    </row>
    <row r="2582" spans="1:32">
      <c r="A2582" t="s">
        <v>3658</v>
      </c>
      <c r="B2582" s="37">
        <v>39960</v>
      </c>
      <c r="C2582" s="38">
        <v>39960</v>
      </c>
      <c r="D2582" s="38">
        <v>39958</v>
      </c>
      <c r="E2582" s="38">
        <v>39934</v>
      </c>
      <c r="F2582" s="39">
        <v>55</v>
      </c>
      <c r="G2582" t="s">
        <v>21</v>
      </c>
      <c r="H2582" t="s">
        <v>21</v>
      </c>
      <c r="I2582">
        <v>0</v>
      </c>
      <c r="J2582">
        <v>0</v>
      </c>
      <c r="K2582">
        <v>0</v>
      </c>
      <c r="L2582">
        <v>1</v>
      </c>
      <c r="M2582">
        <v>0</v>
      </c>
      <c r="N2582" t="s">
        <v>195</v>
      </c>
      <c r="O2582" t="s">
        <v>213</v>
      </c>
      <c r="P2582" t="s">
        <v>206</v>
      </c>
      <c r="Q2582" t="s">
        <v>170</v>
      </c>
      <c r="R2582" t="s">
        <v>155</v>
      </c>
      <c r="T2582" t="s">
        <v>134</v>
      </c>
      <c r="U2582">
        <v>1</v>
      </c>
      <c r="W2582" t="s">
        <v>134</v>
      </c>
      <c r="X2582">
        <v>1</v>
      </c>
      <c r="Y2582" t="s">
        <v>139</v>
      </c>
      <c r="Z2582" t="s">
        <v>178</v>
      </c>
      <c r="AA2582" t="s">
        <v>143</v>
      </c>
      <c r="AB2582" t="s">
        <v>163</v>
      </c>
      <c r="AC2582" t="s">
        <v>173</v>
      </c>
      <c r="AD2582" t="s">
        <v>155</v>
      </c>
      <c r="AE2582" t="s">
        <v>125</v>
      </c>
      <c r="AF2582" t="s">
        <v>21</v>
      </c>
    </row>
    <row r="2583" spans="1:32">
      <c r="A2583" t="s">
        <v>3659</v>
      </c>
      <c r="B2583" s="37">
        <v>40005</v>
      </c>
      <c r="C2583" s="38">
        <v>40005</v>
      </c>
      <c r="D2583" s="38">
        <v>40000</v>
      </c>
      <c r="E2583" s="38">
        <v>39995</v>
      </c>
      <c r="F2583" s="39">
        <v>100</v>
      </c>
      <c r="G2583" t="s">
        <v>21</v>
      </c>
      <c r="H2583" t="s">
        <v>21</v>
      </c>
      <c r="I2583">
        <v>0</v>
      </c>
      <c r="J2583">
        <v>0</v>
      </c>
      <c r="K2583">
        <v>0</v>
      </c>
      <c r="L2583">
        <v>1</v>
      </c>
      <c r="M2583">
        <v>0</v>
      </c>
      <c r="N2583" t="s">
        <v>193</v>
      </c>
      <c r="O2583" t="s">
        <v>213</v>
      </c>
      <c r="P2583" t="s">
        <v>204</v>
      </c>
      <c r="Q2583" t="s">
        <v>170</v>
      </c>
      <c r="R2583" t="s">
        <v>155</v>
      </c>
      <c r="S2583">
        <v>3</v>
      </c>
      <c r="T2583" t="s">
        <v>137</v>
      </c>
      <c r="U2583">
        <v>0</v>
      </c>
      <c r="V2583">
        <v>3</v>
      </c>
      <c r="W2583" t="s">
        <v>137</v>
      </c>
      <c r="X2583">
        <v>0</v>
      </c>
      <c r="Y2583" t="s">
        <v>140</v>
      </c>
      <c r="Z2583" t="s">
        <v>182</v>
      </c>
      <c r="AA2583" t="s">
        <v>142</v>
      </c>
      <c r="AB2583" t="s">
        <v>162</v>
      </c>
      <c r="AC2583" t="s">
        <v>176</v>
      </c>
      <c r="AD2583" t="s">
        <v>155</v>
      </c>
      <c r="AE2583" t="s">
        <v>130</v>
      </c>
      <c r="AF2583" t="s">
        <v>21</v>
      </c>
    </row>
    <row r="2584" spans="1:32">
      <c r="A2584" t="s">
        <v>3660</v>
      </c>
      <c r="B2584" s="37">
        <v>39922</v>
      </c>
      <c r="C2584" s="38">
        <v>39922</v>
      </c>
      <c r="D2584" s="38">
        <v>39916</v>
      </c>
      <c r="E2584" s="38">
        <v>39904</v>
      </c>
      <c r="F2584" s="39">
        <v>17</v>
      </c>
      <c r="G2584" t="s">
        <v>21</v>
      </c>
      <c r="H2584" t="s">
        <v>21</v>
      </c>
      <c r="I2584">
        <v>0</v>
      </c>
      <c r="J2584">
        <v>0</v>
      </c>
      <c r="K2584">
        <v>0</v>
      </c>
      <c r="L2584">
        <v>1</v>
      </c>
      <c r="M2584">
        <v>0</v>
      </c>
      <c r="N2584" t="s">
        <v>200</v>
      </c>
      <c r="O2584" t="s">
        <v>214</v>
      </c>
      <c r="P2584" t="s">
        <v>208</v>
      </c>
      <c r="Q2584" t="s">
        <v>170</v>
      </c>
      <c r="R2584" t="s">
        <v>155</v>
      </c>
      <c r="T2584" t="s">
        <v>134</v>
      </c>
      <c r="U2584">
        <v>1</v>
      </c>
      <c r="W2584" t="s">
        <v>134</v>
      </c>
      <c r="X2584">
        <v>1</v>
      </c>
      <c r="Y2584" t="s">
        <v>139</v>
      </c>
      <c r="Z2584" t="s">
        <v>178</v>
      </c>
      <c r="AA2584" t="s">
        <v>145</v>
      </c>
      <c r="AB2584" t="s">
        <v>163</v>
      </c>
      <c r="AC2584" t="s">
        <v>173</v>
      </c>
      <c r="AD2584" t="s">
        <v>155</v>
      </c>
      <c r="AE2584" t="s">
        <v>484</v>
      </c>
      <c r="AF2584" t="s">
        <v>21</v>
      </c>
    </row>
    <row r="2585" spans="1:32">
      <c r="A2585" t="s">
        <v>3661</v>
      </c>
      <c r="B2585" s="37">
        <v>39927</v>
      </c>
      <c r="C2585" s="38">
        <v>39927</v>
      </c>
      <c r="D2585" s="38">
        <v>39923</v>
      </c>
      <c r="E2585" s="38">
        <v>39904</v>
      </c>
      <c r="F2585" s="39">
        <v>22</v>
      </c>
      <c r="G2585" t="s">
        <v>21</v>
      </c>
      <c r="H2585" t="s">
        <v>21</v>
      </c>
      <c r="I2585">
        <v>0</v>
      </c>
      <c r="J2585">
        <v>0</v>
      </c>
      <c r="K2585">
        <v>0</v>
      </c>
      <c r="L2585">
        <v>1</v>
      </c>
      <c r="M2585">
        <v>0</v>
      </c>
      <c r="N2585" t="s">
        <v>200</v>
      </c>
      <c r="O2585" t="s">
        <v>214</v>
      </c>
      <c r="P2585" t="s">
        <v>208</v>
      </c>
      <c r="Q2585" t="s">
        <v>170</v>
      </c>
      <c r="R2585" t="s">
        <v>155</v>
      </c>
      <c r="T2585" t="s">
        <v>134</v>
      </c>
      <c r="U2585">
        <v>1</v>
      </c>
      <c r="W2585" t="s">
        <v>134</v>
      </c>
      <c r="X2585">
        <v>1</v>
      </c>
      <c r="Y2585" t="s">
        <v>139</v>
      </c>
      <c r="Z2585" t="s">
        <v>184</v>
      </c>
      <c r="AA2585" t="s">
        <v>143</v>
      </c>
      <c r="AB2585" t="s">
        <v>162</v>
      </c>
      <c r="AC2585" t="s">
        <v>174</v>
      </c>
      <c r="AD2585" t="s">
        <v>157</v>
      </c>
      <c r="AE2585" t="s">
        <v>130</v>
      </c>
      <c r="AF2585" t="s">
        <v>437</v>
      </c>
    </row>
    <row r="2586" spans="1:32">
      <c r="A2586" t="s">
        <v>3662</v>
      </c>
      <c r="B2586" s="37">
        <v>39956</v>
      </c>
      <c r="C2586" s="38">
        <v>39956</v>
      </c>
      <c r="D2586" s="38">
        <v>39951</v>
      </c>
      <c r="E2586" s="38">
        <v>39934</v>
      </c>
      <c r="F2586" s="39">
        <v>51</v>
      </c>
      <c r="G2586" t="s">
        <v>21</v>
      </c>
      <c r="H2586" t="s">
        <v>21</v>
      </c>
      <c r="I2586">
        <v>0</v>
      </c>
      <c r="J2586">
        <v>0</v>
      </c>
      <c r="K2586">
        <v>0</v>
      </c>
      <c r="L2586">
        <v>1</v>
      </c>
      <c r="M2586">
        <v>0</v>
      </c>
      <c r="N2586" t="s">
        <v>194</v>
      </c>
      <c r="O2586" t="s">
        <v>213</v>
      </c>
      <c r="P2586" t="s">
        <v>205</v>
      </c>
      <c r="Q2586" t="s">
        <v>170</v>
      </c>
      <c r="R2586" t="s">
        <v>155</v>
      </c>
      <c r="T2586" t="s">
        <v>134</v>
      </c>
      <c r="U2586">
        <v>1</v>
      </c>
      <c r="W2586" t="s">
        <v>134</v>
      </c>
      <c r="X2586">
        <v>1</v>
      </c>
      <c r="Y2586" t="s">
        <v>139</v>
      </c>
      <c r="Z2586" t="s">
        <v>509</v>
      </c>
      <c r="AA2586" t="s">
        <v>148</v>
      </c>
      <c r="AB2586" t="s">
        <v>162</v>
      </c>
      <c r="AC2586" t="s">
        <v>459</v>
      </c>
      <c r="AD2586" t="s">
        <v>155</v>
      </c>
      <c r="AE2586" t="s">
        <v>130</v>
      </c>
      <c r="AF2586" t="s">
        <v>21</v>
      </c>
    </row>
    <row r="2587" spans="1:32">
      <c r="A2587" t="s">
        <v>3663</v>
      </c>
      <c r="B2587" s="37">
        <v>39924</v>
      </c>
      <c r="C2587" s="38">
        <v>39924</v>
      </c>
      <c r="D2587" s="38">
        <v>39923</v>
      </c>
      <c r="E2587" s="38">
        <v>39904</v>
      </c>
      <c r="F2587" s="39">
        <v>19</v>
      </c>
      <c r="G2587" t="s">
        <v>21</v>
      </c>
      <c r="H2587" t="s">
        <v>21</v>
      </c>
      <c r="I2587">
        <v>0</v>
      </c>
      <c r="J2587">
        <v>0</v>
      </c>
      <c r="K2587">
        <v>0</v>
      </c>
      <c r="L2587">
        <v>1</v>
      </c>
      <c r="M2587">
        <v>0</v>
      </c>
      <c r="N2587" t="s">
        <v>198</v>
      </c>
      <c r="O2587" t="s">
        <v>213</v>
      </c>
      <c r="P2587" t="s">
        <v>208</v>
      </c>
      <c r="Q2587" t="s">
        <v>170</v>
      </c>
      <c r="R2587" t="s">
        <v>155</v>
      </c>
      <c r="T2587" t="s">
        <v>134</v>
      </c>
      <c r="U2587">
        <v>1</v>
      </c>
      <c r="W2587" t="s">
        <v>134</v>
      </c>
      <c r="X2587">
        <v>1</v>
      </c>
      <c r="Y2587" t="s">
        <v>139</v>
      </c>
      <c r="Z2587" t="s">
        <v>184</v>
      </c>
      <c r="AA2587" t="s">
        <v>150</v>
      </c>
      <c r="AB2587" t="s">
        <v>162</v>
      </c>
      <c r="AC2587" t="s">
        <v>174</v>
      </c>
      <c r="AD2587" t="s">
        <v>156</v>
      </c>
      <c r="AE2587" t="s">
        <v>120</v>
      </c>
      <c r="AF2587" t="s">
        <v>1829</v>
      </c>
    </row>
    <row r="2588" spans="1:32">
      <c r="A2588" t="s">
        <v>3664</v>
      </c>
      <c r="B2588" s="37">
        <v>40039</v>
      </c>
      <c r="C2588" s="38">
        <v>40039</v>
      </c>
      <c r="D2588" s="38">
        <v>40035</v>
      </c>
      <c r="E2588" s="38">
        <v>40026</v>
      </c>
      <c r="F2588" s="39">
        <v>134</v>
      </c>
      <c r="G2588" t="s">
        <v>21</v>
      </c>
      <c r="H2588" t="s">
        <v>21</v>
      </c>
      <c r="I2588">
        <v>0</v>
      </c>
      <c r="J2588">
        <v>0</v>
      </c>
      <c r="K2588">
        <v>0</v>
      </c>
      <c r="L2588">
        <v>1</v>
      </c>
      <c r="M2588">
        <v>0</v>
      </c>
      <c r="N2588" t="s">
        <v>196</v>
      </c>
      <c r="O2588" t="s">
        <v>213</v>
      </c>
      <c r="P2588" t="s">
        <v>207</v>
      </c>
      <c r="Q2588" t="s">
        <v>170</v>
      </c>
      <c r="R2588" t="s">
        <v>155</v>
      </c>
      <c r="S2588">
        <v>2</v>
      </c>
      <c r="T2588" t="s">
        <v>136</v>
      </c>
      <c r="U2588">
        <v>0</v>
      </c>
      <c r="V2588">
        <v>5</v>
      </c>
      <c r="W2588" t="s">
        <v>135</v>
      </c>
      <c r="X2588">
        <v>0</v>
      </c>
      <c r="Y2588" t="s">
        <v>139</v>
      </c>
      <c r="Z2588" t="s">
        <v>182</v>
      </c>
      <c r="AA2588" t="s">
        <v>144</v>
      </c>
      <c r="AB2588" t="s">
        <v>162</v>
      </c>
      <c r="AC2588" t="s">
        <v>498</v>
      </c>
      <c r="AD2588" t="s">
        <v>157</v>
      </c>
      <c r="AE2588" t="s">
        <v>127</v>
      </c>
      <c r="AF2588" t="s">
        <v>153</v>
      </c>
    </row>
    <row r="2589" spans="1:32">
      <c r="A2589" t="s">
        <v>3665</v>
      </c>
      <c r="B2589" s="37">
        <v>40021</v>
      </c>
      <c r="C2589" s="38">
        <v>40021</v>
      </c>
      <c r="D2589" s="38">
        <v>40021</v>
      </c>
      <c r="E2589" s="38">
        <v>39995</v>
      </c>
      <c r="F2589" s="39">
        <v>116</v>
      </c>
      <c r="G2589" t="s">
        <v>21</v>
      </c>
      <c r="H2589" t="s">
        <v>21</v>
      </c>
      <c r="I2589">
        <v>0</v>
      </c>
      <c r="J2589">
        <v>0</v>
      </c>
      <c r="K2589">
        <v>0</v>
      </c>
      <c r="L2589">
        <v>1</v>
      </c>
      <c r="M2589">
        <v>0</v>
      </c>
      <c r="N2589" t="s">
        <v>193</v>
      </c>
      <c r="O2589" t="s">
        <v>213</v>
      </c>
      <c r="P2589" t="s">
        <v>204</v>
      </c>
      <c r="Q2589" t="s">
        <v>170</v>
      </c>
      <c r="R2589" t="s">
        <v>155</v>
      </c>
      <c r="S2589">
        <v>5</v>
      </c>
      <c r="T2589" t="s">
        <v>135</v>
      </c>
      <c r="U2589">
        <v>0</v>
      </c>
      <c r="V2589">
        <v>4</v>
      </c>
      <c r="W2589" t="s">
        <v>137</v>
      </c>
      <c r="X2589">
        <v>0</v>
      </c>
      <c r="Y2589" t="s">
        <v>140</v>
      </c>
      <c r="Z2589" t="s">
        <v>182</v>
      </c>
      <c r="AA2589" t="s">
        <v>151</v>
      </c>
      <c r="AB2589" t="s">
        <v>162</v>
      </c>
      <c r="AC2589" t="s">
        <v>175</v>
      </c>
      <c r="AD2589" t="s">
        <v>155</v>
      </c>
      <c r="AE2589" t="s">
        <v>130</v>
      </c>
      <c r="AF2589" t="s">
        <v>21</v>
      </c>
    </row>
    <row r="2590" spans="1:32">
      <c r="A2590" t="s">
        <v>3666</v>
      </c>
      <c r="B2590" s="37">
        <v>39964</v>
      </c>
      <c r="C2590" s="38">
        <v>39964</v>
      </c>
      <c r="D2590" s="38">
        <v>39958</v>
      </c>
      <c r="E2590" s="38">
        <v>39934</v>
      </c>
      <c r="F2590" s="39">
        <v>59</v>
      </c>
      <c r="G2590" t="s">
        <v>496</v>
      </c>
      <c r="H2590" t="s">
        <v>13</v>
      </c>
      <c r="I2590">
        <v>0</v>
      </c>
      <c r="J2590">
        <v>1</v>
      </c>
      <c r="K2590">
        <v>0</v>
      </c>
      <c r="L2590">
        <v>0</v>
      </c>
      <c r="M2590">
        <v>1</v>
      </c>
      <c r="N2590" t="s">
        <v>194</v>
      </c>
      <c r="O2590" t="s">
        <v>213</v>
      </c>
      <c r="P2590" t="s">
        <v>205</v>
      </c>
      <c r="Q2590" t="s">
        <v>170</v>
      </c>
      <c r="R2590" t="s">
        <v>155</v>
      </c>
      <c r="T2590" t="s">
        <v>134</v>
      </c>
      <c r="U2590">
        <v>1</v>
      </c>
      <c r="W2590" t="s">
        <v>134</v>
      </c>
      <c r="X2590">
        <v>1</v>
      </c>
      <c r="Y2590" t="s">
        <v>139</v>
      </c>
      <c r="Z2590" t="s">
        <v>178</v>
      </c>
      <c r="AA2590" t="s">
        <v>148</v>
      </c>
      <c r="AB2590" t="s">
        <v>163</v>
      </c>
      <c r="AC2590" t="s">
        <v>1574</v>
      </c>
      <c r="AD2590" t="s">
        <v>155</v>
      </c>
      <c r="AE2590" t="s">
        <v>125</v>
      </c>
      <c r="AF2590" t="s">
        <v>21</v>
      </c>
    </row>
    <row r="2591" spans="1:32">
      <c r="A2591" t="s">
        <v>3667</v>
      </c>
      <c r="B2591" s="37">
        <v>39909</v>
      </c>
      <c r="C2591" s="38">
        <v>39909</v>
      </c>
      <c r="D2591" s="38">
        <v>39909</v>
      </c>
      <c r="E2591" s="38">
        <v>39904</v>
      </c>
      <c r="F2591" s="39">
        <v>4</v>
      </c>
      <c r="G2591" t="s">
        <v>21</v>
      </c>
      <c r="H2591" t="s">
        <v>21</v>
      </c>
      <c r="I2591">
        <v>0</v>
      </c>
      <c r="J2591">
        <v>0</v>
      </c>
      <c r="K2591">
        <v>0</v>
      </c>
      <c r="L2591">
        <v>1</v>
      </c>
      <c r="M2591">
        <v>0</v>
      </c>
      <c r="N2591" t="s">
        <v>199</v>
      </c>
      <c r="O2591" t="s">
        <v>213</v>
      </c>
      <c r="P2591" t="s">
        <v>210</v>
      </c>
      <c r="Q2591" t="s">
        <v>170</v>
      </c>
      <c r="R2591" t="s">
        <v>155</v>
      </c>
      <c r="T2591" t="s">
        <v>134</v>
      </c>
      <c r="U2591">
        <v>1</v>
      </c>
      <c r="W2591" t="s">
        <v>134</v>
      </c>
      <c r="X2591">
        <v>1</v>
      </c>
      <c r="Y2591" t="s">
        <v>139</v>
      </c>
      <c r="Z2591" t="s">
        <v>184</v>
      </c>
      <c r="AA2591" t="s">
        <v>148</v>
      </c>
      <c r="AB2591" t="s">
        <v>162</v>
      </c>
      <c r="AC2591" t="s">
        <v>933</v>
      </c>
      <c r="AD2591" t="s">
        <v>159</v>
      </c>
      <c r="AE2591" t="s">
        <v>126</v>
      </c>
      <c r="AF2591" t="s">
        <v>601</v>
      </c>
    </row>
    <row r="2592" spans="1:32">
      <c r="A2592" t="s">
        <v>3668</v>
      </c>
      <c r="B2592" s="37">
        <v>40017</v>
      </c>
      <c r="C2592" s="38">
        <v>40017</v>
      </c>
      <c r="D2592" s="38">
        <v>40014</v>
      </c>
      <c r="E2592" s="38">
        <v>39995</v>
      </c>
      <c r="F2592" s="39">
        <v>112</v>
      </c>
      <c r="G2592" t="s">
        <v>21</v>
      </c>
      <c r="H2592" t="s">
        <v>21</v>
      </c>
      <c r="I2592">
        <v>0</v>
      </c>
      <c r="J2592">
        <v>0</v>
      </c>
      <c r="K2592">
        <v>0</v>
      </c>
      <c r="L2592">
        <v>1</v>
      </c>
      <c r="M2592">
        <v>0</v>
      </c>
      <c r="N2592" t="s">
        <v>193</v>
      </c>
      <c r="O2592" t="s">
        <v>213</v>
      </c>
      <c r="P2592" t="s">
        <v>204</v>
      </c>
      <c r="Q2592" t="s">
        <v>170</v>
      </c>
      <c r="R2592" t="s">
        <v>155</v>
      </c>
      <c r="S2592">
        <v>5</v>
      </c>
      <c r="T2592" t="s">
        <v>135</v>
      </c>
      <c r="U2592">
        <v>0</v>
      </c>
      <c r="V2592">
        <v>2</v>
      </c>
      <c r="W2592" t="s">
        <v>136</v>
      </c>
      <c r="X2592">
        <v>0</v>
      </c>
      <c r="Y2592" t="s">
        <v>140</v>
      </c>
      <c r="Z2592" t="s">
        <v>184</v>
      </c>
      <c r="AA2592" t="s">
        <v>151</v>
      </c>
      <c r="AB2592" t="s">
        <v>162</v>
      </c>
      <c r="AC2592" t="s">
        <v>622</v>
      </c>
      <c r="AD2592" t="s">
        <v>155</v>
      </c>
      <c r="AE2592" t="s">
        <v>130</v>
      </c>
      <c r="AF2592" t="s">
        <v>21</v>
      </c>
    </row>
    <row r="2593" spans="1:32">
      <c r="A2593" t="s">
        <v>3669</v>
      </c>
      <c r="B2593" s="37">
        <v>39973</v>
      </c>
      <c r="C2593" s="38">
        <v>39973</v>
      </c>
      <c r="D2593" s="38">
        <v>39972</v>
      </c>
      <c r="E2593" s="38">
        <v>39965</v>
      </c>
      <c r="F2593" s="39">
        <v>68</v>
      </c>
      <c r="G2593" t="s">
        <v>21</v>
      </c>
      <c r="H2593" t="s">
        <v>21</v>
      </c>
      <c r="I2593">
        <v>0</v>
      </c>
      <c r="J2593">
        <v>0</v>
      </c>
      <c r="K2593">
        <v>0</v>
      </c>
      <c r="L2593">
        <v>1</v>
      </c>
      <c r="M2593">
        <v>0</v>
      </c>
      <c r="N2593" t="s">
        <v>194</v>
      </c>
      <c r="O2593" t="s">
        <v>213</v>
      </c>
      <c r="P2593" t="s">
        <v>205</v>
      </c>
      <c r="Q2593" t="s">
        <v>170</v>
      </c>
      <c r="R2593" t="s">
        <v>155</v>
      </c>
      <c r="T2593" t="s">
        <v>134</v>
      </c>
      <c r="U2593">
        <v>1</v>
      </c>
      <c r="W2593" t="s">
        <v>134</v>
      </c>
      <c r="X2593">
        <v>1</v>
      </c>
      <c r="Y2593" t="s">
        <v>139</v>
      </c>
      <c r="Z2593" t="s">
        <v>178</v>
      </c>
      <c r="AA2593" t="s">
        <v>148</v>
      </c>
      <c r="AB2593" t="s">
        <v>162</v>
      </c>
      <c r="AC2593" t="s">
        <v>175</v>
      </c>
      <c r="AD2593" t="s">
        <v>155</v>
      </c>
      <c r="AE2593" t="s">
        <v>130</v>
      </c>
      <c r="AF2593" t="s">
        <v>21</v>
      </c>
    </row>
    <row r="2594" spans="1:32">
      <c r="A2594" t="s">
        <v>3670</v>
      </c>
      <c r="B2594" s="37">
        <v>39991</v>
      </c>
      <c r="C2594" s="38">
        <v>39991</v>
      </c>
      <c r="D2594" s="38">
        <v>39986</v>
      </c>
      <c r="E2594" s="38">
        <v>39965</v>
      </c>
      <c r="F2594" s="39">
        <v>86</v>
      </c>
      <c r="G2594" t="s">
        <v>21</v>
      </c>
      <c r="H2594" t="s">
        <v>21</v>
      </c>
      <c r="I2594">
        <v>0</v>
      </c>
      <c r="J2594">
        <v>0</v>
      </c>
      <c r="K2594">
        <v>0</v>
      </c>
      <c r="L2594">
        <v>1</v>
      </c>
      <c r="M2594">
        <v>0</v>
      </c>
      <c r="N2594" t="s">
        <v>193</v>
      </c>
      <c r="O2594" t="s">
        <v>213</v>
      </c>
      <c r="P2594" t="s">
        <v>204</v>
      </c>
      <c r="Q2594" t="s">
        <v>170</v>
      </c>
      <c r="R2594" t="s">
        <v>155</v>
      </c>
      <c r="T2594" t="s">
        <v>134</v>
      </c>
      <c r="U2594">
        <v>1</v>
      </c>
      <c r="V2594">
        <v>5</v>
      </c>
      <c r="W2594" t="s">
        <v>135</v>
      </c>
      <c r="X2594">
        <v>0</v>
      </c>
      <c r="Y2594" t="s">
        <v>140</v>
      </c>
      <c r="Z2594" t="s">
        <v>179</v>
      </c>
      <c r="AA2594" t="s">
        <v>151</v>
      </c>
      <c r="AB2594" t="s">
        <v>162</v>
      </c>
      <c r="AC2594" t="s">
        <v>174</v>
      </c>
      <c r="AD2594" t="s">
        <v>157</v>
      </c>
      <c r="AE2594" t="s">
        <v>124</v>
      </c>
      <c r="AF2594" t="s">
        <v>3671</v>
      </c>
    </row>
    <row r="2595" spans="1:32">
      <c r="A2595" t="s">
        <v>3672</v>
      </c>
      <c r="B2595" s="37">
        <v>39922</v>
      </c>
      <c r="C2595" s="38">
        <v>39922</v>
      </c>
      <c r="D2595" s="38">
        <v>39916</v>
      </c>
      <c r="E2595" s="38">
        <v>39904</v>
      </c>
      <c r="F2595" s="39">
        <v>17</v>
      </c>
      <c r="G2595" t="s">
        <v>9</v>
      </c>
      <c r="H2595" t="s">
        <v>9</v>
      </c>
      <c r="I2595">
        <v>1</v>
      </c>
      <c r="J2595">
        <v>0</v>
      </c>
      <c r="K2595">
        <v>0</v>
      </c>
      <c r="L2595">
        <v>0</v>
      </c>
      <c r="M2595">
        <v>1</v>
      </c>
      <c r="N2595" t="s">
        <v>200</v>
      </c>
      <c r="O2595" t="s">
        <v>214</v>
      </c>
      <c r="P2595" t="s">
        <v>208</v>
      </c>
      <c r="Q2595" t="s">
        <v>170</v>
      </c>
      <c r="R2595" t="s">
        <v>155</v>
      </c>
      <c r="T2595" t="s">
        <v>134</v>
      </c>
      <c r="U2595">
        <v>1</v>
      </c>
      <c r="W2595" t="s">
        <v>134</v>
      </c>
      <c r="X2595">
        <v>1</v>
      </c>
      <c r="Y2595" t="s">
        <v>139</v>
      </c>
      <c r="Z2595" t="s">
        <v>178</v>
      </c>
      <c r="AA2595" t="s">
        <v>143</v>
      </c>
      <c r="AB2595" t="s">
        <v>163</v>
      </c>
      <c r="AC2595" t="s">
        <v>173</v>
      </c>
      <c r="AD2595" t="s">
        <v>155</v>
      </c>
      <c r="AE2595" t="s">
        <v>454</v>
      </c>
      <c r="AF2595" t="s">
        <v>21</v>
      </c>
    </row>
    <row r="2596" spans="1:32">
      <c r="A2596" t="s">
        <v>3673</v>
      </c>
      <c r="B2596" s="37">
        <v>39962</v>
      </c>
      <c r="C2596" s="38">
        <v>39962</v>
      </c>
      <c r="D2596" s="38">
        <v>39958</v>
      </c>
      <c r="E2596" s="38">
        <v>39934</v>
      </c>
      <c r="F2596" s="39">
        <v>57</v>
      </c>
      <c r="G2596" t="s">
        <v>496</v>
      </c>
      <c r="H2596" t="s">
        <v>13</v>
      </c>
      <c r="I2596">
        <v>0</v>
      </c>
      <c r="J2596">
        <v>1</v>
      </c>
      <c r="K2596">
        <v>0</v>
      </c>
      <c r="L2596">
        <v>0</v>
      </c>
      <c r="M2596">
        <v>1</v>
      </c>
      <c r="N2596" t="s">
        <v>194</v>
      </c>
      <c r="O2596" t="s">
        <v>213</v>
      </c>
      <c r="P2596" t="s">
        <v>205</v>
      </c>
      <c r="Q2596" t="s">
        <v>170</v>
      </c>
      <c r="R2596" t="s">
        <v>155</v>
      </c>
      <c r="T2596" t="s">
        <v>134</v>
      </c>
      <c r="U2596">
        <v>1</v>
      </c>
      <c r="W2596" t="s">
        <v>134</v>
      </c>
      <c r="X2596">
        <v>1</v>
      </c>
      <c r="Y2596" t="s">
        <v>139</v>
      </c>
      <c r="Z2596" t="s">
        <v>576</v>
      </c>
      <c r="AA2596" t="s">
        <v>143</v>
      </c>
      <c r="AB2596" t="s">
        <v>165</v>
      </c>
      <c r="AC2596" t="s">
        <v>3674</v>
      </c>
      <c r="AD2596" t="s">
        <v>158</v>
      </c>
      <c r="AE2596" t="s">
        <v>122</v>
      </c>
      <c r="AF2596" t="s">
        <v>21</v>
      </c>
    </row>
    <row r="2597" spans="1:32">
      <c r="A2597" t="s">
        <v>3675</v>
      </c>
      <c r="B2597" s="37">
        <v>39984</v>
      </c>
      <c r="C2597" s="38">
        <v>39984</v>
      </c>
      <c r="D2597" s="38">
        <v>39979</v>
      </c>
      <c r="E2597" s="38">
        <v>39965</v>
      </c>
      <c r="F2597" s="39">
        <v>79</v>
      </c>
      <c r="G2597" t="s">
        <v>21</v>
      </c>
      <c r="H2597" t="s">
        <v>21</v>
      </c>
      <c r="I2597">
        <v>0</v>
      </c>
      <c r="J2597">
        <v>0</v>
      </c>
      <c r="K2597">
        <v>0</v>
      </c>
      <c r="L2597">
        <v>1</v>
      </c>
      <c r="M2597">
        <v>0</v>
      </c>
      <c r="N2597" t="s">
        <v>196</v>
      </c>
      <c r="O2597" t="s">
        <v>213</v>
      </c>
      <c r="P2597" t="s">
        <v>207</v>
      </c>
      <c r="Q2597" t="s">
        <v>170</v>
      </c>
      <c r="R2597" t="s">
        <v>155</v>
      </c>
      <c r="T2597" t="s">
        <v>134</v>
      </c>
      <c r="U2597">
        <v>1</v>
      </c>
      <c r="W2597" t="s">
        <v>134</v>
      </c>
      <c r="X2597">
        <v>1</v>
      </c>
      <c r="Y2597" t="s">
        <v>139</v>
      </c>
      <c r="Z2597" t="s">
        <v>178</v>
      </c>
      <c r="AA2597" t="s">
        <v>148</v>
      </c>
      <c r="AB2597" t="s">
        <v>163</v>
      </c>
      <c r="AC2597" t="s">
        <v>173</v>
      </c>
      <c r="AD2597" t="s">
        <v>1590</v>
      </c>
      <c r="AE2597" t="s">
        <v>3676</v>
      </c>
      <c r="AF2597" t="s">
        <v>21</v>
      </c>
    </row>
    <row r="2598" spans="1:32">
      <c r="A2598" t="s">
        <v>3677</v>
      </c>
      <c r="B2598" s="37">
        <v>40043</v>
      </c>
      <c r="C2598" s="38">
        <v>40043</v>
      </c>
      <c r="D2598" s="38">
        <v>40042</v>
      </c>
      <c r="E2598" s="38">
        <v>40026</v>
      </c>
      <c r="F2598" s="39">
        <v>138</v>
      </c>
      <c r="G2598" t="s">
        <v>496</v>
      </c>
      <c r="H2598" t="s">
        <v>13</v>
      </c>
      <c r="I2598">
        <v>0</v>
      </c>
      <c r="J2598">
        <v>1</v>
      </c>
      <c r="K2598">
        <v>0</v>
      </c>
      <c r="L2598">
        <v>0</v>
      </c>
      <c r="M2598">
        <v>1</v>
      </c>
      <c r="N2598" t="s">
        <v>196</v>
      </c>
      <c r="O2598" t="s">
        <v>213</v>
      </c>
      <c r="P2598" t="s">
        <v>207</v>
      </c>
      <c r="Q2598" t="s">
        <v>170</v>
      </c>
      <c r="R2598" t="s">
        <v>155</v>
      </c>
      <c r="S2598">
        <v>5</v>
      </c>
      <c r="T2598" t="s">
        <v>135</v>
      </c>
      <c r="U2598">
        <v>0</v>
      </c>
      <c r="V2598">
        <v>5</v>
      </c>
      <c r="W2598" t="s">
        <v>135</v>
      </c>
      <c r="X2598">
        <v>0</v>
      </c>
      <c r="Y2598" t="s">
        <v>139</v>
      </c>
      <c r="Z2598" t="s">
        <v>178</v>
      </c>
      <c r="AA2598" t="s">
        <v>143</v>
      </c>
      <c r="AB2598" t="s">
        <v>163</v>
      </c>
      <c r="AC2598" t="s">
        <v>173</v>
      </c>
      <c r="AD2598" t="s">
        <v>155</v>
      </c>
      <c r="AE2598" t="s">
        <v>125</v>
      </c>
      <c r="AF2598" t="s">
        <v>21</v>
      </c>
    </row>
    <row r="2599" spans="1:32">
      <c r="A2599" t="s">
        <v>3678</v>
      </c>
      <c r="B2599" s="37">
        <v>40018</v>
      </c>
      <c r="C2599" s="38">
        <v>40018</v>
      </c>
      <c r="D2599" s="38">
        <v>40014</v>
      </c>
      <c r="E2599" s="38">
        <v>39995</v>
      </c>
      <c r="F2599" s="39">
        <v>113</v>
      </c>
      <c r="G2599" t="s">
        <v>21</v>
      </c>
      <c r="H2599" t="s">
        <v>21</v>
      </c>
      <c r="I2599">
        <v>0</v>
      </c>
      <c r="J2599">
        <v>0</v>
      </c>
      <c r="K2599">
        <v>0</v>
      </c>
      <c r="L2599">
        <v>1</v>
      </c>
      <c r="M2599">
        <v>0</v>
      </c>
      <c r="N2599" t="s">
        <v>193</v>
      </c>
      <c r="O2599" t="s">
        <v>213</v>
      </c>
      <c r="P2599" t="s">
        <v>204</v>
      </c>
      <c r="Q2599" t="s">
        <v>170</v>
      </c>
      <c r="R2599" t="s">
        <v>155</v>
      </c>
      <c r="S2599">
        <v>5</v>
      </c>
      <c r="T2599" t="s">
        <v>135</v>
      </c>
      <c r="U2599">
        <v>0</v>
      </c>
      <c r="V2599">
        <v>5</v>
      </c>
      <c r="W2599" t="s">
        <v>135</v>
      </c>
      <c r="X2599">
        <v>0</v>
      </c>
      <c r="Y2599" t="s">
        <v>140</v>
      </c>
      <c r="Z2599" t="s">
        <v>179</v>
      </c>
      <c r="AA2599" t="s">
        <v>144</v>
      </c>
      <c r="AB2599" t="s">
        <v>162</v>
      </c>
      <c r="AC2599" t="s">
        <v>175</v>
      </c>
      <c r="AD2599" t="s">
        <v>155</v>
      </c>
      <c r="AE2599" t="s">
        <v>127</v>
      </c>
      <c r="AF2599" t="s">
        <v>21</v>
      </c>
    </row>
    <row r="2600" spans="1:32">
      <c r="A2600" t="s">
        <v>3679</v>
      </c>
      <c r="B2600" s="37">
        <v>40011</v>
      </c>
      <c r="C2600" s="38">
        <v>40011</v>
      </c>
      <c r="D2600" s="38">
        <v>40007</v>
      </c>
      <c r="E2600" s="38">
        <v>39995</v>
      </c>
      <c r="F2600" s="39">
        <v>106</v>
      </c>
      <c r="G2600" t="s">
        <v>21</v>
      </c>
      <c r="H2600" t="s">
        <v>21</v>
      </c>
      <c r="I2600">
        <v>0</v>
      </c>
      <c r="J2600">
        <v>0</v>
      </c>
      <c r="K2600">
        <v>0</v>
      </c>
      <c r="L2600">
        <v>1</v>
      </c>
      <c r="M2600">
        <v>0</v>
      </c>
      <c r="N2600" t="s">
        <v>195</v>
      </c>
      <c r="O2600" t="s">
        <v>213</v>
      </c>
      <c r="P2600" t="s">
        <v>206</v>
      </c>
      <c r="Q2600" t="s">
        <v>170</v>
      </c>
      <c r="R2600" t="s">
        <v>155</v>
      </c>
      <c r="S2600">
        <v>5</v>
      </c>
      <c r="T2600" t="s">
        <v>135</v>
      </c>
      <c r="U2600">
        <v>0</v>
      </c>
      <c r="V2600">
        <v>5</v>
      </c>
      <c r="W2600" t="s">
        <v>135</v>
      </c>
      <c r="X2600">
        <v>0</v>
      </c>
      <c r="Y2600" t="s">
        <v>139</v>
      </c>
      <c r="Z2600" t="s">
        <v>179</v>
      </c>
      <c r="AA2600" t="s">
        <v>148</v>
      </c>
      <c r="AB2600" t="s">
        <v>162</v>
      </c>
      <c r="AC2600" t="s">
        <v>597</v>
      </c>
      <c r="AD2600" t="s">
        <v>155</v>
      </c>
      <c r="AE2600" t="s">
        <v>130</v>
      </c>
      <c r="AF2600" t="s">
        <v>21</v>
      </c>
    </row>
    <row r="2601" spans="1:32">
      <c r="A2601" t="s">
        <v>3680</v>
      </c>
      <c r="B2601" s="37">
        <v>39920</v>
      </c>
      <c r="C2601" s="38">
        <v>39920</v>
      </c>
      <c r="D2601" s="38">
        <v>39916</v>
      </c>
      <c r="E2601" s="38">
        <v>39904</v>
      </c>
      <c r="F2601" s="39">
        <v>15</v>
      </c>
      <c r="G2601" t="s">
        <v>21</v>
      </c>
      <c r="H2601" t="s">
        <v>21</v>
      </c>
      <c r="I2601">
        <v>0</v>
      </c>
      <c r="J2601">
        <v>0</v>
      </c>
      <c r="K2601">
        <v>0</v>
      </c>
      <c r="L2601">
        <v>1</v>
      </c>
      <c r="M2601">
        <v>0</v>
      </c>
      <c r="N2601" t="s">
        <v>193</v>
      </c>
      <c r="O2601" t="s">
        <v>213</v>
      </c>
      <c r="P2601" t="s">
        <v>204</v>
      </c>
      <c r="Q2601" t="s">
        <v>170</v>
      </c>
      <c r="R2601" t="s">
        <v>155</v>
      </c>
      <c r="T2601" t="s">
        <v>134</v>
      </c>
      <c r="U2601">
        <v>1</v>
      </c>
      <c r="W2601" t="s">
        <v>134</v>
      </c>
      <c r="X2601">
        <v>1</v>
      </c>
      <c r="Y2601" t="s">
        <v>140</v>
      </c>
      <c r="Z2601" t="s">
        <v>179</v>
      </c>
      <c r="AA2601" t="s">
        <v>143</v>
      </c>
      <c r="AB2601" t="s">
        <v>165</v>
      </c>
      <c r="AC2601" t="s">
        <v>3681</v>
      </c>
      <c r="AD2601" t="s">
        <v>158</v>
      </c>
      <c r="AE2601" t="s">
        <v>122</v>
      </c>
      <c r="AF2601" t="s">
        <v>21</v>
      </c>
    </row>
    <row r="2602" spans="1:32">
      <c r="A2602" t="s">
        <v>3682</v>
      </c>
      <c r="B2602" s="37">
        <v>39945</v>
      </c>
      <c r="C2602" s="38">
        <v>39945</v>
      </c>
      <c r="D2602" s="38">
        <v>39944</v>
      </c>
      <c r="E2602" s="38">
        <v>39934</v>
      </c>
      <c r="F2602" s="39">
        <v>40</v>
      </c>
      <c r="G2602" t="s">
        <v>21</v>
      </c>
      <c r="H2602" t="s">
        <v>21</v>
      </c>
      <c r="I2602">
        <v>0</v>
      </c>
      <c r="J2602">
        <v>0</v>
      </c>
      <c r="K2602">
        <v>0</v>
      </c>
      <c r="L2602">
        <v>1</v>
      </c>
      <c r="M2602">
        <v>0</v>
      </c>
      <c r="N2602" t="s">
        <v>195</v>
      </c>
      <c r="O2602" t="s">
        <v>213</v>
      </c>
      <c r="P2602" t="s">
        <v>206</v>
      </c>
      <c r="Q2602" t="s">
        <v>170</v>
      </c>
      <c r="R2602" t="s">
        <v>155</v>
      </c>
      <c r="T2602" t="s">
        <v>134</v>
      </c>
      <c r="U2602">
        <v>1</v>
      </c>
      <c r="W2602" t="s">
        <v>134</v>
      </c>
      <c r="X2602">
        <v>1</v>
      </c>
      <c r="Y2602" t="s">
        <v>139</v>
      </c>
      <c r="Z2602" t="s">
        <v>184</v>
      </c>
      <c r="AA2602" t="s">
        <v>143</v>
      </c>
      <c r="AB2602" t="s">
        <v>163</v>
      </c>
      <c r="AC2602" t="s">
        <v>415</v>
      </c>
      <c r="AD2602" t="s">
        <v>155</v>
      </c>
      <c r="AE2602" t="s">
        <v>125</v>
      </c>
      <c r="AF2602" t="s">
        <v>21</v>
      </c>
    </row>
    <row r="2603" spans="1:32">
      <c r="A2603" t="s">
        <v>3683</v>
      </c>
      <c r="B2603" s="37">
        <v>39964</v>
      </c>
      <c r="C2603" s="38">
        <v>39964</v>
      </c>
      <c r="D2603" s="38">
        <v>39958</v>
      </c>
      <c r="E2603" s="38">
        <v>39934</v>
      </c>
      <c r="F2603" s="39">
        <v>59</v>
      </c>
      <c r="G2603" t="s">
        <v>21</v>
      </c>
      <c r="H2603" t="s">
        <v>21</v>
      </c>
      <c r="I2603">
        <v>0</v>
      </c>
      <c r="J2603">
        <v>0</v>
      </c>
      <c r="K2603">
        <v>0</v>
      </c>
      <c r="L2603">
        <v>1</v>
      </c>
      <c r="M2603">
        <v>0</v>
      </c>
      <c r="N2603" t="s">
        <v>194</v>
      </c>
      <c r="O2603" t="s">
        <v>213</v>
      </c>
      <c r="P2603" t="s">
        <v>205</v>
      </c>
      <c r="Q2603" t="s">
        <v>170</v>
      </c>
      <c r="R2603" t="s">
        <v>155</v>
      </c>
      <c r="T2603" t="s">
        <v>134</v>
      </c>
      <c r="U2603">
        <v>1</v>
      </c>
      <c r="W2603" t="s">
        <v>134</v>
      </c>
      <c r="X2603">
        <v>1</v>
      </c>
      <c r="Y2603" t="s">
        <v>139</v>
      </c>
      <c r="Z2603" t="s">
        <v>184</v>
      </c>
      <c r="AA2603" t="s">
        <v>151</v>
      </c>
      <c r="AB2603" t="s">
        <v>162</v>
      </c>
      <c r="AC2603" t="s">
        <v>175</v>
      </c>
      <c r="AD2603" t="s">
        <v>155</v>
      </c>
      <c r="AE2603" t="s">
        <v>454</v>
      </c>
      <c r="AF2603" t="s">
        <v>21</v>
      </c>
    </row>
    <row r="2604" spans="1:32">
      <c r="A2604" t="s">
        <v>3684</v>
      </c>
      <c r="B2604" s="37">
        <v>39923</v>
      </c>
      <c r="C2604" s="38">
        <v>39923</v>
      </c>
      <c r="D2604" s="38">
        <v>39923</v>
      </c>
      <c r="E2604" s="38">
        <v>39904</v>
      </c>
      <c r="F2604" s="39">
        <v>18</v>
      </c>
      <c r="G2604" t="s">
        <v>21</v>
      </c>
      <c r="H2604" t="s">
        <v>21</v>
      </c>
      <c r="I2604">
        <v>0</v>
      </c>
      <c r="J2604">
        <v>0</v>
      </c>
      <c r="K2604">
        <v>0</v>
      </c>
      <c r="L2604">
        <v>1</v>
      </c>
      <c r="M2604">
        <v>0</v>
      </c>
      <c r="N2604" t="s">
        <v>199</v>
      </c>
      <c r="O2604" t="s">
        <v>213</v>
      </c>
      <c r="P2604" t="s">
        <v>210</v>
      </c>
      <c r="Q2604" t="s">
        <v>170</v>
      </c>
      <c r="R2604" t="s">
        <v>155</v>
      </c>
      <c r="T2604" t="s">
        <v>134</v>
      </c>
      <c r="U2604">
        <v>1</v>
      </c>
      <c r="W2604" t="s">
        <v>134</v>
      </c>
      <c r="X2604">
        <v>1</v>
      </c>
      <c r="Y2604" t="s">
        <v>139</v>
      </c>
      <c r="Z2604" t="s">
        <v>184</v>
      </c>
      <c r="AA2604" t="s">
        <v>142</v>
      </c>
      <c r="AB2604" t="s">
        <v>162</v>
      </c>
      <c r="AC2604" t="s">
        <v>459</v>
      </c>
      <c r="AD2604" t="s">
        <v>155</v>
      </c>
      <c r="AE2604" t="s">
        <v>129</v>
      </c>
      <c r="AF2604" t="s">
        <v>21</v>
      </c>
    </row>
    <row r="2605" spans="1:32">
      <c r="A2605" t="s">
        <v>3685</v>
      </c>
      <c r="B2605" s="37">
        <v>40003</v>
      </c>
      <c r="C2605" s="38">
        <v>40003</v>
      </c>
      <c r="D2605" s="38">
        <v>40000</v>
      </c>
      <c r="E2605" s="38">
        <v>39995</v>
      </c>
      <c r="F2605" s="39">
        <v>98</v>
      </c>
      <c r="G2605" t="s">
        <v>21</v>
      </c>
      <c r="H2605" t="s">
        <v>21</v>
      </c>
      <c r="I2605">
        <v>0</v>
      </c>
      <c r="J2605">
        <v>0</v>
      </c>
      <c r="K2605">
        <v>0</v>
      </c>
      <c r="L2605">
        <v>1</v>
      </c>
      <c r="M2605">
        <v>0</v>
      </c>
      <c r="N2605" t="s">
        <v>195</v>
      </c>
      <c r="O2605" t="s">
        <v>213</v>
      </c>
      <c r="P2605" t="s">
        <v>206</v>
      </c>
      <c r="Q2605" t="s">
        <v>170</v>
      </c>
      <c r="R2605" t="s">
        <v>155</v>
      </c>
      <c r="T2605" t="s">
        <v>134</v>
      </c>
      <c r="U2605">
        <v>1</v>
      </c>
      <c r="V2605">
        <v>5</v>
      </c>
      <c r="W2605" t="s">
        <v>135</v>
      </c>
      <c r="X2605">
        <v>0</v>
      </c>
      <c r="Y2605" t="s">
        <v>139</v>
      </c>
      <c r="Z2605" t="s">
        <v>182</v>
      </c>
      <c r="AA2605" t="s">
        <v>145</v>
      </c>
      <c r="AB2605" t="s">
        <v>162</v>
      </c>
      <c r="AC2605" t="s">
        <v>1241</v>
      </c>
      <c r="AD2605" t="s">
        <v>157</v>
      </c>
      <c r="AE2605" t="s">
        <v>127</v>
      </c>
      <c r="AF2605" t="s">
        <v>1005</v>
      </c>
    </row>
    <row r="2606" spans="1:32">
      <c r="A2606" t="s">
        <v>3686</v>
      </c>
      <c r="B2606" s="37">
        <v>39926</v>
      </c>
      <c r="C2606" s="38">
        <v>39926</v>
      </c>
      <c r="D2606" s="38">
        <v>39923</v>
      </c>
      <c r="E2606" s="38">
        <v>39904</v>
      </c>
      <c r="F2606" s="39">
        <v>21</v>
      </c>
      <c r="G2606" t="s">
        <v>21</v>
      </c>
      <c r="H2606" t="s">
        <v>21</v>
      </c>
      <c r="I2606">
        <v>0</v>
      </c>
      <c r="J2606">
        <v>0</v>
      </c>
      <c r="K2606">
        <v>0</v>
      </c>
      <c r="L2606">
        <v>1</v>
      </c>
      <c r="M2606">
        <v>0</v>
      </c>
      <c r="N2606" t="s">
        <v>202</v>
      </c>
      <c r="O2606" t="s">
        <v>213</v>
      </c>
      <c r="P2606" t="s">
        <v>211</v>
      </c>
      <c r="Q2606" t="s">
        <v>170</v>
      </c>
      <c r="R2606" t="s">
        <v>155</v>
      </c>
      <c r="T2606" t="s">
        <v>134</v>
      </c>
      <c r="U2606">
        <v>1</v>
      </c>
      <c r="W2606" t="s">
        <v>134</v>
      </c>
      <c r="X2606">
        <v>1</v>
      </c>
      <c r="Y2606" t="s">
        <v>139</v>
      </c>
      <c r="Z2606" t="s">
        <v>189</v>
      </c>
      <c r="AA2606" t="s">
        <v>145</v>
      </c>
      <c r="AB2606" t="s">
        <v>163</v>
      </c>
      <c r="AC2606" t="s">
        <v>173</v>
      </c>
      <c r="AD2606" t="s">
        <v>155</v>
      </c>
      <c r="AE2606" t="s">
        <v>771</v>
      </c>
      <c r="AF2606" t="s">
        <v>21</v>
      </c>
    </row>
    <row r="2607" spans="1:32">
      <c r="A2607" t="s">
        <v>3687</v>
      </c>
      <c r="B2607" s="37">
        <v>39932</v>
      </c>
      <c r="C2607" s="38">
        <v>39932</v>
      </c>
      <c r="D2607" s="38">
        <v>39930</v>
      </c>
      <c r="E2607" s="38">
        <v>39904</v>
      </c>
      <c r="F2607" s="39">
        <v>27</v>
      </c>
      <c r="G2607" t="s">
        <v>21</v>
      </c>
      <c r="H2607" t="s">
        <v>21</v>
      </c>
      <c r="I2607">
        <v>0</v>
      </c>
      <c r="J2607">
        <v>0</v>
      </c>
      <c r="K2607">
        <v>0</v>
      </c>
      <c r="L2607">
        <v>1</v>
      </c>
      <c r="M2607">
        <v>0</v>
      </c>
      <c r="N2607" t="s">
        <v>202</v>
      </c>
      <c r="O2607" t="s">
        <v>213</v>
      </c>
      <c r="P2607" t="s">
        <v>211</v>
      </c>
      <c r="Q2607" t="s">
        <v>170</v>
      </c>
      <c r="R2607" t="s">
        <v>155</v>
      </c>
      <c r="T2607" t="s">
        <v>134</v>
      </c>
      <c r="U2607">
        <v>1</v>
      </c>
      <c r="W2607" t="s">
        <v>134</v>
      </c>
      <c r="X2607">
        <v>1</v>
      </c>
      <c r="Y2607" t="s">
        <v>139</v>
      </c>
      <c r="Z2607" t="s">
        <v>184</v>
      </c>
      <c r="AA2607" t="s">
        <v>145</v>
      </c>
      <c r="AB2607" t="s">
        <v>163</v>
      </c>
      <c r="AC2607" t="s">
        <v>173</v>
      </c>
      <c r="AD2607" t="s">
        <v>155</v>
      </c>
      <c r="AE2607" t="s">
        <v>704</v>
      </c>
      <c r="AF2607" t="s">
        <v>21</v>
      </c>
    </row>
    <row r="2608" spans="1:32">
      <c r="A2608" t="s">
        <v>3688</v>
      </c>
      <c r="B2608" s="37">
        <v>39962</v>
      </c>
      <c r="C2608" s="38">
        <v>39962</v>
      </c>
      <c r="D2608" s="38">
        <v>39958</v>
      </c>
      <c r="E2608" s="38">
        <v>39934</v>
      </c>
      <c r="F2608" s="39">
        <v>57</v>
      </c>
      <c r="G2608" t="s">
        <v>21</v>
      </c>
      <c r="H2608" t="s">
        <v>21</v>
      </c>
      <c r="I2608">
        <v>0</v>
      </c>
      <c r="J2608">
        <v>0</v>
      </c>
      <c r="K2608">
        <v>0</v>
      </c>
      <c r="L2608">
        <v>1</v>
      </c>
      <c r="M2608">
        <v>0</v>
      </c>
      <c r="N2608" t="s">
        <v>193</v>
      </c>
      <c r="O2608" t="s">
        <v>213</v>
      </c>
      <c r="P2608" t="s">
        <v>204</v>
      </c>
      <c r="Q2608" t="s">
        <v>170</v>
      </c>
      <c r="R2608" t="s">
        <v>155</v>
      </c>
      <c r="T2608" t="s">
        <v>134</v>
      </c>
      <c r="U2608">
        <v>1</v>
      </c>
      <c r="W2608" t="s">
        <v>134</v>
      </c>
      <c r="X2608">
        <v>1</v>
      </c>
      <c r="Y2608" t="s">
        <v>140</v>
      </c>
      <c r="Z2608" t="s">
        <v>178</v>
      </c>
      <c r="AA2608" t="s">
        <v>145</v>
      </c>
      <c r="AB2608" t="s">
        <v>163</v>
      </c>
      <c r="AC2608" t="s">
        <v>585</v>
      </c>
      <c r="AD2608" t="s">
        <v>155</v>
      </c>
      <c r="AE2608" t="s">
        <v>704</v>
      </c>
      <c r="AF2608" t="s">
        <v>21</v>
      </c>
    </row>
    <row r="2609" spans="1:32">
      <c r="A2609" t="s">
        <v>3689</v>
      </c>
      <c r="B2609" s="37">
        <v>39961</v>
      </c>
      <c r="C2609" s="38">
        <v>39961</v>
      </c>
      <c r="D2609" s="38">
        <v>39958</v>
      </c>
      <c r="E2609" s="38">
        <v>39934</v>
      </c>
      <c r="F2609" s="39">
        <v>56</v>
      </c>
      <c r="G2609" t="s">
        <v>21</v>
      </c>
      <c r="H2609" t="s">
        <v>21</v>
      </c>
      <c r="I2609">
        <v>0</v>
      </c>
      <c r="J2609">
        <v>0</v>
      </c>
      <c r="K2609">
        <v>0</v>
      </c>
      <c r="L2609">
        <v>1</v>
      </c>
      <c r="M2609">
        <v>0</v>
      </c>
      <c r="N2609" t="s">
        <v>193</v>
      </c>
      <c r="O2609" t="s">
        <v>213</v>
      </c>
      <c r="P2609" t="s">
        <v>204</v>
      </c>
      <c r="Q2609" t="s">
        <v>170</v>
      </c>
      <c r="R2609" t="s">
        <v>155</v>
      </c>
      <c r="T2609" t="s">
        <v>134</v>
      </c>
      <c r="U2609">
        <v>1</v>
      </c>
      <c r="W2609" t="s">
        <v>134</v>
      </c>
      <c r="X2609">
        <v>1</v>
      </c>
      <c r="Y2609" t="s">
        <v>140</v>
      </c>
      <c r="Z2609" t="s">
        <v>433</v>
      </c>
      <c r="AA2609" t="s">
        <v>148</v>
      </c>
      <c r="AB2609" t="s">
        <v>162</v>
      </c>
      <c r="AC2609" t="s">
        <v>175</v>
      </c>
      <c r="AD2609" t="s">
        <v>155</v>
      </c>
      <c r="AE2609" t="s">
        <v>129</v>
      </c>
      <c r="AF2609" t="s">
        <v>21</v>
      </c>
    </row>
    <row r="2610" spans="1:32">
      <c r="A2610" t="s">
        <v>3690</v>
      </c>
      <c r="B2610" s="37">
        <v>39936</v>
      </c>
      <c r="C2610" s="38">
        <v>39936</v>
      </c>
      <c r="D2610" s="38">
        <v>39930</v>
      </c>
      <c r="E2610" s="38">
        <v>39934</v>
      </c>
      <c r="F2610" s="39">
        <v>31</v>
      </c>
      <c r="G2610" t="s">
        <v>21</v>
      </c>
      <c r="H2610" t="s">
        <v>21</v>
      </c>
      <c r="I2610">
        <v>0</v>
      </c>
      <c r="J2610">
        <v>0</v>
      </c>
      <c r="K2610">
        <v>0</v>
      </c>
      <c r="L2610">
        <v>1</v>
      </c>
      <c r="M2610">
        <v>0</v>
      </c>
      <c r="N2610" t="s">
        <v>202</v>
      </c>
      <c r="O2610" t="s">
        <v>213</v>
      </c>
      <c r="P2610" t="s">
        <v>211</v>
      </c>
      <c r="Q2610" t="s">
        <v>170</v>
      </c>
      <c r="R2610" t="s">
        <v>155</v>
      </c>
      <c r="T2610" t="s">
        <v>134</v>
      </c>
      <c r="U2610">
        <v>1</v>
      </c>
      <c r="W2610" t="s">
        <v>134</v>
      </c>
      <c r="X2610">
        <v>1</v>
      </c>
      <c r="Y2610" t="s">
        <v>139</v>
      </c>
      <c r="Z2610" t="s">
        <v>433</v>
      </c>
      <c r="AA2610" t="s">
        <v>151</v>
      </c>
      <c r="AB2610" t="s">
        <v>162</v>
      </c>
      <c r="AC2610" t="s">
        <v>174</v>
      </c>
      <c r="AD2610" t="s">
        <v>156</v>
      </c>
      <c r="AE2610" t="s">
        <v>120</v>
      </c>
      <c r="AF2610" t="s">
        <v>3574</v>
      </c>
    </row>
    <row r="2611" spans="1:32">
      <c r="A2611" t="s">
        <v>3691</v>
      </c>
      <c r="B2611" s="37">
        <v>40042</v>
      </c>
      <c r="C2611" s="38">
        <v>40042</v>
      </c>
      <c r="D2611" s="38">
        <v>40042</v>
      </c>
      <c r="E2611" s="38">
        <v>40026</v>
      </c>
      <c r="F2611" s="39">
        <v>137</v>
      </c>
      <c r="G2611" t="s">
        <v>383</v>
      </c>
      <c r="H2611" t="s">
        <v>17</v>
      </c>
      <c r="I2611">
        <v>0</v>
      </c>
      <c r="J2611">
        <v>0</v>
      </c>
      <c r="K2611">
        <v>1</v>
      </c>
      <c r="L2611">
        <v>0</v>
      </c>
      <c r="M2611">
        <v>0</v>
      </c>
      <c r="N2611" t="s">
        <v>193</v>
      </c>
      <c r="O2611" t="s">
        <v>213</v>
      </c>
      <c r="P2611" t="s">
        <v>204</v>
      </c>
      <c r="Q2611" t="s">
        <v>170</v>
      </c>
      <c r="R2611" t="s">
        <v>155</v>
      </c>
      <c r="S2611">
        <v>5</v>
      </c>
      <c r="T2611" t="s">
        <v>135</v>
      </c>
      <c r="U2611">
        <v>0</v>
      </c>
      <c r="V2611">
        <v>3</v>
      </c>
      <c r="W2611" t="s">
        <v>137</v>
      </c>
      <c r="X2611">
        <v>0</v>
      </c>
      <c r="Y2611" t="s">
        <v>140</v>
      </c>
      <c r="Z2611" t="s">
        <v>178</v>
      </c>
      <c r="AA2611" t="s">
        <v>144</v>
      </c>
      <c r="AB2611" t="s">
        <v>162</v>
      </c>
      <c r="AC2611" t="s">
        <v>176</v>
      </c>
      <c r="AD2611" t="s">
        <v>540</v>
      </c>
      <c r="AE2611" t="s">
        <v>399</v>
      </c>
      <c r="AF2611" t="s">
        <v>400</v>
      </c>
    </row>
    <row r="2612" spans="1:32">
      <c r="A2612" t="s">
        <v>3692</v>
      </c>
      <c r="B2612" s="37">
        <v>40042</v>
      </c>
      <c r="C2612" s="38">
        <v>40042</v>
      </c>
      <c r="D2612" s="38">
        <v>40042</v>
      </c>
      <c r="E2612" s="38">
        <v>40026</v>
      </c>
      <c r="F2612" s="39">
        <v>137</v>
      </c>
      <c r="G2612" t="s">
        <v>570</v>
      </c>
      <c r="H2612" t="s">
        <v>13</v>
      </c>
      <c r="I2612">
        <v>0</v>
      </c>
      <c r="J2612">
        <v>1</v>
      </c>
      <c r="K2612">
        <v>0</v>
      </c>
      <c r="L2612">
        <v>0</v>
      </c>
      <c r="M2612">
        <v>1</v>
      </c>
      <c r="N2612" t="s">
        <v>197</v>
      </c>
      <c r="O2612" t="s">
        <v>213</v>
      </c>
      <c r="P2612" t="s">
        <v>209</v>
      </c>
      <c r="Q2612" t="s">
        <v>170</v>
      </c>
      <c r="R2612" t="s">
        <v>155</v>
      </c>
      <c r="S2612">
        <v>5</v>
      </c>
      <c r="T2612" t="s">
        <v>135</v>
      </c>
      <c r="U2612">
        <v>0</v>
      </c>
      <c r="V2612">
        <v>5</v>
      </c>
      <c r="W2612" t="s">
        <v>135</v>
      </c>
      <c r="X2612">
        <v>0</v>
      </c>
      <c r="Y2612" t="s">
        <v>139</v>
      </c>
      <c r="Z2612" t="s">
        <v>184</v>
      </c>
      <c r="AA2612" t="s">
        <v>145</v>
      </c>
      <c r="AB2612" t="s">
        <v>162</v>
      </c>
      <c r="AC2612" t="s">
        <v>1624</v>
      </c>
      <c r="AD2612" t="s">
        <v>155</v>
      </c>
      <c r="AE2612" t="s">
        <v>129</v>
      </c>
      <c r="AF2612" t="s">
        <v>21</v>
      </c>
    </row>
    <row r="2613" spans="1:32">
      <c r="A2613" t="s">
        <v>3693</v>
      </c>
      <c r="B2613" s="37">
        <v>40038</v>
      </c>
      <c r="C2613" s="38">
        <v>40038</v>
      </c>
      <c r="D2613" s="38">
        <v>40035</v>
      </c>
      <c r="E2613" s="38">
        <v>40026</v>
      </c>
      <c r="F2613" s="39">
        <v>133</v>
      </c>
      <c r="G2613" t="s">
        <v>9</v>
      </c>
      <c r="H2613" t="s">
        <v>9</v>
      </c>
      <c r="I2613">
        <v>1</v>
      </c>
      <c r="J2613">
        <v>0</v>
      </c>
      <c r="K2613">
        <v>0</v>
      </c>
      <c r="L2613">
        <v>0</v>
      </c>
      <c r="M2613">
        <v>1</v>
      </c>
      <c r="N2613" t="s">
        <v>197</v>
      </c>
      <c r="O2613" t="s">
        <v>213</v>
      </c>
      <c r="P2613" t="s">
        <v>209</v>
      </c>
      <c r="Q2613" t="s">
        <v>170</v>
      </c>
      <c r="R2613" t="s">
        <v>155</v>
      </c>
      <c r="S2613">
        <v>5</v>
      </c>
      <c r="T2613" t="s">
        <v>135</v>
      </c>
      <c r="U2613">
        <v>0</v>
      </c>
      <c r="V2613">
        <v>5</v>
      </c>
      <c r="W2613" t="s">
        <v>135</v>
      </c>
      <c r="X2613">
        <v>0</v>
      </c>
      <c r="Y2613" t="s">
        <v>139</v>
      </c>
      <c r="Z2613" t="s">
        <v>179</v>
      </c>
      <c r="AA2613" t="s">
        <v>143</v>
      </c>
      <c r="AB2613" t="s">
        <v>162</v>
      </c>
      <c r="AC2613" t="s">
        <v>174</v>
      </c>
      <c r="AD2613" t="s">
        <v>156</v>
      </c>
      <c r="AE2613" t="s">
        <v>120</v>
      </c>
      <c r="AF2613" t="s">
        <v>715</v>
      </c>
    </row>
    <row r="2614" spans="1:32">
      <c r="A2614" t="s">
        <v>3694</v>
      </c>
      <c r="B2614" s="37">
        <v>40014</v>
      </c>
      <c r="C2614" s="38">
        <v>40014</v>
      </c>
      <c r="D2614" s="38">
        <v>40014</v>
      </c>
      <c r="E2614" s="38">
        <v>39995</v>
      </c>
      <c r="F2614" s="39">
        <v>109</v>
      </c>
      <c r="G2614" t="s">
        <v>570</v>
      </c>
      <c r="H2614" t="s">
        <v>13</v>
      </c>
      <c r="I2614">
        <v>0</v>
      </c>
      <c r="J2614">
        <v>1</v>
      </c>
      <c r="K2614">
        <v>0</v>
      </c>
      <c r="L2614">
        <v>0</v>
      </c>
      <c r="M2614">
        <v>1</v>
      </c>
      <c r="N2614" t="s">
        <v>193</v>
      </c>
      <c r="O2614" t="s">
        <v>213</v>
      </c>
      <c r="P2614" t="s">
        <v>204</v>
      </c>
      <c r="Q2614" t="s">
        <v>170</v>
      </c>
      <c r="R2614" t="s">
        <v>155</v>
      </c>
      <c r="S2614">
        <v>5</v>
      </c>
      <c r="T2614" t="s">
        <v>135</v>
      </c>
      <c r="U2614">
        <v>0</v>
      </c>
      <c r="V2614">
        <v>3</v>
      </c>
      <c r="W2614" t="s">
        <v>137</v>
      </c>
      <c r="X2614">
        <v>0</v>
      </c>
      <c r="Y2614" t="s">
        <v>140</v>
      </c>
      <c r="Z2614" t="s">
        <v>185</v>
      </c>
      <c r="AA2614" t="s">
        <v>142</v>
      </c>
      <c r="AB2614" t="s">
        <v>163</v>
      </c>
      <c r="AC2614" t="s">
        <v>173</v>
      </c>
      <c r="AD2614" t="s">
        <v>155</v>
      </c>
      <c r="AE2614" t="s">
        <v>125</v>
      </c>
      <c r="AF2614" t="s">
        <v>21</v>
      </c>
    </row>
    <row r="2615" spans="1:32">
      <c r="A2615" t="s">
        <v>3695</v>
      </c>
      <c r="B2615" s="37">
        <v>39927</v>
      </c>
      <c r="C2615" s="38">
        <v>39927</v>
      </c>
      <c r="D2615" s="38">
        <v>39923</v>
      </c>
      <c r="E2615" s="38">
        <v>39904</v>
      </c>
      <c r="F2615" s="39">
        <v>22</v>
      </c>
      <c r="G2615" t="s">
        <v>380</v>
      </c>
      <c r="H2615" t="s">
        <v>17</v>
      </c>
      <c r="I2615">
        <v>0</v>
      </c>
      <c r="J2615">
        <v>0</v>
      </c>
      <c r="K2615">
        <v>1</v>
      </c>
      <c r="L2615">
        <v>0</v>
      </c>
      <c r="M2615">
        <v>0</v>
      </c>
      <c r="N2615" t="s">
        <v>194</v>
      </c>
      <c r="O2615" t="s">
        <v>213</v>
      </c>
      <c r="P2615" t="s">
        <v>205</v>
      </c>
      <c r="Q2615" t="s">
        <v>170</v>
      </c>
      <c r="R2615" t="s">
        <v>155</v>
      </c>
      <c r="T2615" t="s">
        <v>134</v>
      </c>
      <c r="U2615">
        <v>1</v>
      </c>
      <c r="W2615" t="s">
        <v>134</v>
      </c>
      <c r="X2615">
        <v>1</v>
      </c>
      <c r="Y2615" t="s">
        <v>139</v>
      </c>
      <c r="Z2615" t="s">
        <v>185</v>
      </c>
      <c r="AA2615" t="s">
        <v>147</v>
      </c>
      <c r="AB2615" t="s">
        <v>162</v>
      </c>
      <c r="AC2615" t="s">
        <v>498</v>
      </c>
      <c r="AD2615" t="s">
        <v>157</v>
      </c>
      <c r="AE2615" t="s">
        <v>130</v>
      </c>
      <c r="AF2615" t="s">
        <v>437</v>
      </c>
    </row>
    <row r="2616" spans="1:32">
      <c r="A2616" t="s">
        <v>3696</v>
      </c>
      <c r="B2616" s="37">
        <v>39914</v>
      </c>
      <c r="C2616" s="38">
        <v>39914</v>
      </c>
      <c r="D2616" s="38">
        <v>39909</v>
      </c>
      <c r="E2616" s="38">
        <v>39904</v>
      </c>
      <c r="F2616" s="39">
        <v>9</v>
      </c>
      <c r="G2616" t="s">
        <v>9</v>
      </c>
      <c r="H2616" t="s">
        <v>9</v>
      </c>
      <c r="I2616">
        <v>1</v>
      </c>
      <c r="J2616">
        <v>0</v>
      </c>
      <c r="K2616">
        <v>0</v>
      </c>
      <c r="L2616">
        <v>0</v>
      </c>
      <c r="M2616">
        <v>1</v>
      </c>
      <c r="N2616" t="s">
        <v>194</v>
      </c>
      <c r="O2616" t="s">
        <v>213</v>
      </c>
      <c r="P2616" t="s">
        <v>205</v>
      </c>
      <c r="Q2616" t="s">
        <v>170</v>
      </c>
      <c r="R2616" t="s">
        <v>155</v>
      </c>
      <c r="T2616" t="s">
        <v>134</v>
      </c>
      <c r="U2616">
        <v>1</v>
      </c>
      <c r="W2616" t="s">
        <v>134</v>
      </c>
      <c r="X2616">
        <v>1</v>
      </c>
      <c r="Y2616" t="s">
        <v>139</v>
      </c>
      <c r="Z2616" t="s">
        <v>178</v>
      </c>
      <c r="AA2616" t="s">
        <v>148</v>
      </c>
      <c r="AB2616" t="s">
        <v>162</v>
      </c>
      <c r="AC2616" t="s">
        <v>174</v>
      </c>
      <c r="AD2616" t="s">
        <v>156</v>
      </c>
      <c r="AE2616" t="s">
        <v>120</v>
      </c>
      <c r="AF2616" t="s">
        <v>715</v>
      </c>
    </row>
    <row r="2617" spans="1:32">
      <c r="A2617" t="s">
        <v>3697</v>
      </c>
      <c r="B2617" s="37">
        <v>39947</v>
      </c>
      <c r="C2617" s="38">
        <v>39947</v>
      </c>
      <c r="D2617" s="38">
        <v>39944</v>
      </c>
      <c r="E2617" s="38">
        <v>39934</v>
      </c>
      <c r="F2617" s="39">
        <v>42</v>
      </c>
      <c r="G2617" t="s">
        <v>21</v>
      </c>
      <c r="H2617" t="s">
        <v>21</v>
      </c>
      <c r="I2617">
        <v>0</v>
      </c>
      <c r="J2617">
        <v>0</v>
      </c>
      <c r="K2617">
        <v>0</v>
      </c>
      <c r="L2617">
        <v>1</v>
      </c>
      <c r="M2617">
        <v>0</v>
      </c>
      <c r="N2617" t="s">
        <v>194</v>
      </c>
      <c r="O2617" t="s">
        <v>213</v>
      </c>
      <c r="P2617" t="s">
        <v>205</v>
      </c>
      <c r="Q2617" t="s">
        <v>170</v>
      </c>
      <c r="R2617" t="s">
        <v>155</v>
      </c>
      <c r="T2617" t="s">
        <v>134</v>
      </c>
      <c r="U2617">
        <v>1</v>
      </c>
      <c r="W2617" t="s">
        <v>134</v>
      </c>
      <c r="X2617">
        <v>1</v>
      </c>
      <c r="Y2617" t="s">
        <v>139</v>
      </c>
      <c r="Z2617" t="s">
        <v>179</v>
      </c>
      <c r="AA2617" t="s">
        <v>142</v>
      </c>
      <c r="AB2617" t="s">
        <v>162</v>
      </c>
      <c r="AC2617" t="s">
        <v>1624</v>
      </c>
      <c r="AD2617" t="s">
        <v>155</v>
      </c>
      <c r="AE2617" t="s">
        <v>130</v>
      </c>
      <c r="AF2617" t="s">
        <v>21</v>
      </c>
    </row>
    <row r="2618" spans="1:32">
      <c r="A2618" t="s">
        <v>3698</v>
      </c>
      <c r="B2618" s="37">
        <v>39951</v>
      </c>
      <c r="C2618" s="38">
        <v>39951</v>
      </c>
      <c r="D2618" s="38">
        <v>39951</v>
      </c>
      <c r="E2618" s="38">
        <v>39934</v>
      </c>
      <c r="F2618" s="39">
        <v>46</v>
      </c>
      <c r="G2618" t="s">
        <v>21</v>
      </c>
      <c r="H2618" t="s">
        <v>21</v>
      </c>
      <c r="I2618">
        <v>0</v>
      </c>
      <c r="J2618">
        <v>0</v>
      </c>
      <c r="K2618">
        <v>0</v>
      </c>
      <c r="L2618">
        <v>1</v>
      </c>
      <c r="M2618">
        <v>0</v>
      </c>
      <c r="N2618" t="s">
        <v>193</v>
      </c>
      <c r="O2618" t="s">
        <v>213</v>
      </c>
      <c r="P2618" t="s">
        <v>204</v>
      </c>
      <c r="Q2618" t="s">
        <v>170</v>
      </c>
      <c r="R2618" t="s">
        <v>155</v>
      </c>
      <c r="T2618" t="s">
        <v>134</v>
      </c>
      <c r="U2618">
        <v>1</v>
      </c>
      <c r="W2618" t="s">
        <v>134</v>
      </c>
      <c r="X2618">
        <v>1</v>
      </c>
      <c r="Y2618" t="s">
        <v>140</v>
      </c>
      <c r="Z2618" t="s">
        <v>187</v>
      </c>
      <c r="AA2618" t="s">
        <v>147</v>
      </c>
      <c r="AB2618" t="s">
        <v>162</v>
      </c>
      <c r="AC2618" t="s">
        <v>3699</v>
      </c>
      <c r="AD2618" t="s">
        <v>155</v>
      </c>
      <c r="AE2618" t="s">
        <v>130</v>
      </c>
      <c r="AF2618" t="s">
        <v>21</v>
      </c>
    </row>
    <row r="2619" spans="1:32">
      <c r="A2619" t="s">
        <v>3700</v>
      </c>
      <c r="B2619" s="37">
        <v>40024</v>
      </c>
      <c r="C2619" s="38">
        <v>40024</v>
      </c>
      <c r="D2619" s="38">
        <v>40021</v>
      </c>
      <c r="E2619" s="38">
        <v>39995</v>
      </c>
      <c r="F2619" s="39">
        <v>119</v>
      </c>
      <c r="G2619" t="s">
        <v>21</v>
      </c>
      <c r="H2619" t="s">
        <v>21</v>
      </c>
      <c r="I2619">
        <v>0</v>
      </c>
      <c r="J2619">
        <v>0</v>
      </c>
      <c r="K2619">
        <v>0</v>
      </c>
      <c r="L2619">
        <v>1</v>
      </c>
      <c r="M2619">
        <v>0</v>
      </c>
      <c r="N2619" t="s">
        <v>195</v>
      </c>
      <c r="O2619" t="s">
        <v>213</v>
      </c>
      <c r="P2619" t="s">
        <v>206</v>
      </c>
      <c r="Q2619" t="s">
        <v>170</v>
      </c>
      <c r="R2619" t="s">
        <v>155</v>
      </c>
      <c r="S2619">
        <v>1</v>
      </c>
      <c r="T2619" t="s">
        <v>136</v>
      </c>
      <c r="U2619">
        <v>0</v>
      </c>
      <c r="V2619">
        <v>5</v>
      </c>
      <c r="W2619" t="s">
        <v>135</v>
      </c>
      <c r="X2619">
        <v>0</v>
      </c>
      <c r="Y2619" t="s">
        <v>139</v>
      </c>
      <c r="Z2619" t="s">
        <v>384</v>
      </c>
      <c r="AA2619" t="s">
        <v>145</v>
      </c>
      <c r="AB2619" t="s">
        <v>162</v>
      </c>
      <c r="AC2619" t="s">
        <v>174</v>
      </c>
      <c r="AD2619" t="s">
        <v>156</v>
      </c>
      <c r="AE2619" t="s">
        <v>120</v>
      </c>
      <c r="AF2619" t="s">
        <v>3701</v>
      </c>
    </row>
    <row r="2620" spans="1:32">
      <c r="A2620" t="s">
        <v>3702</v>
      </c>
      <c r="B2620" s="37">
        <v>40003</v>
      </c>
      <c r="C2620" s="38">
        <v>40003</v>
      </c>
      <c r="D2620" s="38">
        <v>40000</v>
      </c>
      <c r="E2620" s="38">
        <v>39995</v>
      </c>
      <c r="F2620" s="39">
        <v>98</v>
      </c>
      <c r="G2620" t="s">
        <v>21</v>
      </c>
      <c r="H2620" t="s">
        <v>21</v>
      </c>
      <c r="I2620">
        <v>0</v>
      </c>
      <c r="J2620">
        <v>0</v>
      </c>
      <c r="K2620">
        <v>0</v>
      </c>
      <c r="L2620">
        <v>1</v>
      </c>
      <c r="M2620">
        <v>0</v>
      </c>
      <c r="N2620" t="s">
        <v>194</v>
      </c>
      <c r="O2620" t="s">
        <v>213</v>
      </c>
      <c r="P2620" t="s">
        <v>205</v>
      </c>
      <c r="Q2620" t="s">
        <v>170</v>
      </c>
      <c r="R2620" t="s">
        <v>155</v>
      </c>
      <c r="T2620" t="s">
        <v>134</v>
      </c>
      <c r="U2620">
        <v>1</v>
      </c>
      <c r="V2620">
        <v>2</v>
      </c>
      <c r="W2620" t="s">
        <v>136</v>
      </c>
      <c r="X2620">
        <v>0</v>
      </c>
      <c r="Y2620" t="s">
        <v>139</v>
      </c>
      <c r="Z2620" t="s">
        <v>187</v>
      </c>
      <c r="AA2620" t="s">
        <v>148</v>
      </c>
      <c r="AB2620" t="s">
        <v>162</v>
      </c>
      <c r="AC2620" t="s">
        <v>176</v>
      </c>
      <c r="AD2620" t="s">
        <v>155</v>
      </c>
      <c r="AE2620" t="s">
        <v>129</v>
      </c>
      <c r="AF2620" t="s">
        <v>21</v>
      </c>
    </row>
    <row r="2621" spans="1:32">
      <c r="A2621" t="s">
        <v>3703</v>
      </c>
      <c r="B2621" s="37">
        <v>39994</v>
      </c>
      <c r="C2621" s="38">
        <v>39994</v>
      </c>
      <c r="D2621" s="38">
        <v>39993</v>
      </c>
      <c r="E2621" s="38">
        <v>39965</v>
      </c>
      <c r="F2621" s="39">
        <v>89</v>
      </c>
      <c r="G2621" t="s">
        <v>21</v>
      </c>
      <c r="H2621" t="s">
        <v>21</v>
      </c>
      <c r="I2621">
        <v>0</v>
      </c>
      <c r="J2621">
        <v>0</v>
      </c>
      <c r="K2621">
        <v>0</v>
      </c>
      <c r="L2621">
        <v>1</v>
      </c>
      <c r="M2621">
        <v>0</v>
      </c>
      <c r="N2621" t="s">
        <v>196</v>
      </c>
      <c r="O2621" t="s">
        <v>213</v>
      </c>
      <c r="P2621" t="s">
        <v>207</v>
      </c>
      <c r="Q2621" t="s">
        <v>170</v>
      </c>
      <c r="R2621" t="s">
        <v>155</v>
      </c>
      <c r="T2621" t="s">
        <v>134</v>
      </c>
      <c r="U2621">
        <v>1</v>
      </c>
      <c r="V2621">
        <v>5</v>
      </c>
      <c r="W2621" t="s">
        <v>135</v>
      </c>
      <c r="X2621">
        <v>0</v>
      </c>
      <c r="Y2621" t="s">
        <v>139</v>
      </c>
      <c r="Z2621" t="s">
        <v>179</v>
      </c>
      <c r="AA2621" t="s">
        <v>144</v>
      </c>
      <c r="AB2621" t="s">
        <v>165</v>
      </c>
      <c r="AC2621" t="s">
        <v>3704</v>
      </c>
      <c r="AD2621" t="s">
        <v>158</v>
      </c>
      <c r="AE2621" t="s">
        <v>122</v>
      </c>
      <c r="AF2621" t="s">
        <v>21</v>
      </c>
    </row>
    <row r="2622" spans="1:32">
      <c r="A2622" t="s">
        <v>3705</v>
      </c>
      <c r="B2622" s="37">
        <v>40021</v>
      </c>
      <c r="C2622" s="38">
        <v>40021</v>
      </c>
      <c r="D2622" s="38">
        <v>40021</v>
      </c>
      <c r="E2622" s="38">
        <v>39995</v>
      </c>
      <c r="F2622" s="39">
        <v>116</v>
      </c>
      <c r="G2622" t="s">
        <v>21</v>
      </c>
      <c r="H2622" t="s">
        <v>21</v>
      </c>
      <c r="I2622">
        <v>0</v>
      </c>
      <c r="J2622">
        <v>0</v>
      </c>
      <c r="K2622">
        <v>0</v>
      </c>
      <c r="L2622">
        <v>1</v>
      </c>
      <c r="M2622">
        <v>0</v>
      </c>
      <c r="N2622" t="s">
        <v>197</v>
      </c>
      <c r="O2622" t="s">
        <v>213</v>
      </c>
      <c r="P2622" t="s">
        <v>209</v>
      </c>
      <c r="Q2622" t="s">
        <v>170</v>
      </c>
      <c r="R2622" t="s">
        <v>155</v>
      </c>
      <c r="S2622">
        <v>3</v>
      </c>
      <c r="T2622" t="s">
        <v>137</v>
      </c>
      <c r="U2622">
        <v>0</v>
      </c>
      <c r="V2622">
        <v>3</v>
      </c>
      <c r="W2622" t="s">
        <v>137</v>
      </c>
      <c r="X2622">
        <v>0</v>
      </c>
      <c r="Y2622" t="s">
        <v>139</v>
      </c>
      <c r="Z2622" t="s">
        <v>179</v>
      </c>
      <c r="AA2622" t="s">
        <v>144</v>
      </c>
      <c r="AB2622" t="s">
        <v>162</v>
      </c>
      <c r="AC2622" t="s">
        <v>21</v>
      </c>
      <c r="AD2622" t="s">
        <v>155</v>
      </c>
      <c r="AE2622" t="s">
        <v>130</v>
      </c>
      <c r="AF2622" t="s">
        <v>21</v>
      </c>
    </row>
    <row r="2623" spans="1:32">
      <c r="A2623" t="s">
        <v>3706</v>
      </c>
      <c r="B2623" s="37">
        <v>40039</v>
      </c>
      <c r="C2623" s="38">
        <v>40039</v>
      </c>
      <c r="D2623" s="38">
        <v>40035</v>
      </c>
      <c r="E2623" s="38">
        <v>40026</v>
      </c>
      <c r="F2623" s="39">
        <v>134</v>
      </c>
      <c r="G2623" t="s">
        <v>21</v>
      </c>
      <c r="H2623" t="s">
        <v>21</v>
      </c>
      <c r="I2623">
        <v>0</v>
      </c>
      <c r="J2623">
        <v>0</v>
      </c>
      <c r="K2623">
        <v>0</v>
      </c>
      <c r="L2623">
        <v>1</v>
      </c>
      <c r="M2623">
        <v>0</v>
      </c>
      <c r="N2623" t="s">
        <v>193</v>
      </c>
      <c r="O2623" t="s">
        <v>213</v>
      </c>
      <c r="P2623" t="s">
        <v>204</v>
      </c>
      <c r="Q2623" t="s">
        <v>170</v>
      </c>
      <c r="R2623" t="s">
        <v>155</v>
      </c>
      <c r="S2623">
        <v>5</v>
      </c>
      <c r="T2623" t="s">
        <v>135</v>
      </c>
      <c r="U2623">
        <v>0</v>
      </c>
      <c r="V2623">
        <v>3</v>
      </c>
      <c r="W2623" t="s">
        <v>137</v>
      </c>
      <c r="X2623">
        <v>0</v>
      </c>
      <c r="Y2623" t="s">
        <v>140</v>
      </c>
      <c r="Z2623" t="s">
        <v>179</v>
      </c>
      <c r="AA2623" t="s">
        <v>146</v>
      </c>
      <c r="AB2623" t="s">
        <v>162</v>
      </c>
      <c r="AC2623" t="s">
        <v>1728</v>
      </c>
      <c r="AD2623" t="s">
        <v>157</v>
      </c>
      <c r="AE2623" t="s">
        <v>127</v>
      </c>
      <c r="AF2623" t="s">
        <v>153</v>
      </c>
    </row>
    <row r="2624" spans="1:32">
      <c r="A2624" t="s">
        <v>3707</v>
      </c>
      <c r="B2624" s="37">
        <v>40037</v>
      </c>
      <c r="C2624" s="38">
        <v>40037</v>
      </c>
      <c r="D2624" s="38">
        <v>40035</v>
      </c>
      <c r="E2624" s="38">
        <v>40026</v>
      </c>
      <c r="F2624" s="39">
        <v>132</v>
      </c>
      <c r="G2624" t="s">
        <v>9</v>
      </c>
      <c r="H2624" t="s">
        <v>9</v>
      </c>
      <c r="I2624">
        <v>1</v>
      </c>
      <c r="J2624">
        <v>0</v>
      </c>
      <c r="K2624">
        <v>0</v>
      </c>
      <c r="L2624">
        <v>0</v>
      </c>
      <c r="M2624">
        <v>1</v>
      </c>
      <c r="N2624" t="s">
        <v>193</v>
      </c>
      <c r="O2624" t="s">
        <v>213</v>
      </c>
      <c r="P2624" t="s">
        <v>204</v>
      </c>
      <c r="Q2624" t="s">
        <v>170</v>
      </c>
      <c r="R2624" t="s">
        <v>155</v>
      </c>
      <c r="S2624">
        <v>5</v>
      </c>
      <c r="T2624" t="s">
        <v>135</v>
      </c>
      <c r="U2624">
        <v>0</v>
      </c>
      <c r="V2624">
        <v>2</v>
      </c>
      <c r="W2624" t="s">
        <v>136</v>
      </c>
      <c r="X2624">
        <v>0</v>
      </c>
      <c r="Y2624" t="s">
        <v>140</v>
      </c>
      <c r="Z2624" t="s">
        <v>179</v>
      </c>
      <c r="AA2624" t="s">
        <v>151</v>
      </c>
      <c r="AB2624" t="s">
        <v>162</v>
      </c>
      <c r="AC2624" t="s">
        <v>174</v>
      </c>
      <c r="AD2624" t="s">
        <v>156</v>
      </c>
      <c r="AE2624" t="s">
        <v>120</v>
      </c>
      <c r="AF2624" t="s">
        <v>794</v>
      </c>
    </row>
    <row r="2625" spans="1:32">
      <c r="A2625" t="s">
        <v>3708</v>
      </c>
      <c r="B2625" s="37">
        <v>40037</v>
      </c>
      <c r="C2625" s="38">
        <v>40037</v>
      </c>
      <c r="D2625" s="38">
        <v>40035</v>
      </c>
      <c r="E2625" s="38">
        <v>40026</v>
      </c>
      <c r="F2625" s="39">
        <v>132</v>
      </c>
      <c r="G2625" t="s">
        <v>21</v>
      </c>
      <c r="H2625" t="s">
        <v>21</v>
      </c>
      <c r="I2625">
        <v>0</v>
      </c>
      <c r="J2625">
        <v>0</v>
      </c>
      <c r="K2625">
        <v>0</v>
      </c>
      <c r="L2625">
        <v>1</v>
      </c>
      <c r="M2625">
        <v>0</v>
      </c>
      <c r="N2625" t="s">
        <v>197</v>
      </c>
      <c r="O2625" t="s">
        <v>213</v>
      </c>
      <c r="P2625" t="s">
        <v>209</v>
      </c>
      <c r="Q2625" t="s">
        <v>170</v>
      </c>
      <c r="R2625" t="s">
        <v>155</v>
      </c>
      <c r="S2625">
        <v>5</v>
      </c>
      <c r="T2625" t="s">
        <v>135</v>
      </c>
      <c r="U2625">
        <v>0</v>
      </c>
      <c r="V2625">
        <v>5</v>
      </c>
      <c r="W2625" t="s">
        <v>135</v>
      </c>
      <c r="X2625">
        <v>0</v>
      </c>
      <c r="Y2625" t="s">
        <v>139</v>
      </c>
      <c r="Z2625" t="s">
        <v>179</v>
      </c>
      <c r="AA2625" t="s">
        <v>145</v>
      </c>
      <c r="AB2625" t="s">
        <v>162</v>
      </c>
      <c r="AC2625" t="s">
        <v>174</v>
      </c>
      <c r="AD2625" t="s">
        <v>156</v>
      </c>
      <c r="AE2625" t="s">
        <v>120</v>
      </c>
      <c r="AF2625" t="s">
        <v>609</v>
      </c>
    </row>
    <row r="2626" spans="1:32">
      <c r="A2626" t="s">
        <v>3709</v>
      </c>
      <c r="B2626" s="37">
        <v>40047</v>
      </c>
      <c r="C2626" s="38">
        <v>40047</v>
      </c>
      <c r="D2626" s="38">
        <v>40042</v>
      </c>
      <c r="E2626" s="38">
        <v>40026</v>
      </c>
      <c r="F2626" s="39">
        <v>142</v>
      </c>
      <c r="G2626" t="s">
        <v>21</v>
      </c>
      <c r="H2626" t="s">
        <v>21</v>
      </c>
      <c r="I2626">
        <v>0</v>
      </c>
      <c r="J2626">
        <v>0</v>
      </c>
      <c r="K2626">
        <v>0</v>
      </c>
      <c r="L2626">
        <v>1</v>
      </c>
      <c r="M2626">
        <v>0</v>
      </c>
      <c r="N2626" t="s">
        <v>193</v>
      </c>
      <c r="O2626" t="s">
        <v>213</v>
      </c>
      <c r="P2626" t="s">
        <v>204</v>
      </c>
      <c r="Q2626" t="s">
        <v>170</v>
      </c>
      <c r="R2626" t="s">
        <v>155</v>
      </c>
      <c r="S2626">
        <v>3</v>
      </c>
      <c r="T2626" t="s">
        <v>137</v>
      </c>
      <c r="U2626">
        <v>0</v>
      </c>
      <c r="V2626">
        <v>4</v>
      </c>
      <c r="W2626" t="s">
        <v>137</v>
      </c>
      <c r="X2626">
        <v>0</v>
      </c>
      <c r="Y2626" t="s">
        <v>140</v>
      </c>
      <c r="Z2626" t="s">
        <v>181</v>
      </c>
      <c r="AA2626" t="s">
        <v>142</v>
      </c>
      <c r="AB2626" t="s">
        <v>162</v>
      </c>
      <c r="AC2626" t="s">
        <v>175</v>
      </c>
      <c r="AD2626" t="s">
        <v>155</v>
      </c>
      <c r="AE2626" t="s">
        <v>129</v>
      </c>
      <c r="AF2626" t="s">
        <v>21</v>
      </c>
    </row>
    <row r="2627" spans="1:32">
      <c r="A2627" t="s">
        <v>3710</v>
      </c>
      <c r="B2627" s="37">
        <v>39953</v>
      </c>
      <c r="C2627" s="38">
        <v>39953</v>
      </c>
      <c r="D2627" s="38">
        <v>39951</v>
      </c>
      <c r="E2627" s="38">
        <v>39934</v>
      </c>
      <c r="F2627" s="39">
        <v>48</v>
      </c>
      <c r="G2627" t="s">
        <v>21</v>
      </c>
      <c r="H2627" t="s">
        <v>21</v>
      </c>
      <c r="I2627">
        <v>0</v>
      </c>
      <c r="J2627">
        <v>0</v>
      </c>
      <c r="K2627">
        <v>0</v>
      </c>
      <c r="L2627">
        <v>1</v>
      </c>
      <c r="M2627">
        <v>0</v>
      </c>
      <c r="N2627" t="s">
        <v>194</v>
      </c>
      <c r="O2627" t="s">
        <v>213</v>
      </c>
      <c r="P2627" t="s">
        <v>205</v>
      </c>
      <c r="Q2627" t="s">
        <v>170</v>
      </c>
      <c r="R2627" t="s">
        <v>155</v>
      </c>
      <c r="T2627" t="s">
        <v>134</v>
      </c>
      <c r="U2627">
        <v>1</v>
      </c>
      <c r="W2627" t="s">
        <v>134</v>
      </c>
      <c r="X2627">
        <v>1</v>
      </c>
      <c r="Y2627" t="s">
        <v>139</v>
      </c>
      <c r="Z2627" t="s">
        <v>181</v>
      </c>
      <c r="AA2627" t="s">
        <v>142</v>
      </c>
      <c r="AB2627" t="s">
        <v>162</v>
      </c>
      <c r="AC2627" t="s">
        <v>175</v>
      </c>
      <c r="AD2627" t="s">
        <v>155</v>
      </c>
      <c r="AE2627" t="s">
        <v>130</v>
      </c>
      <c r="AF2627" t="s">
        <v>21</v>
      </c>
    </row>
    <row r="2628" spans="1:32">
      <c r="A2628" t="s">
        <v>3711</v>
      </c>
      <c r="B2628" s="37">
        <v>40062</v>
      </c>
      <c r="C2628" s="38">
        <v>40062</v>
      </c>
      <c r="D2628" s="38">
        <v>40056</v>
      </c>
      <c r="E2628" s="38">
        <v>40057</v>
      </c>
      <c r="F2628" s="39">
        <v>157</v>
      </c>
      <c r="G2628" t="s">
        <v>21</v>
      </c>
      <c r="H2628" t="s">
        <v>21</v>
      </c>
      <c r="I2628">
        <v>0</v>
      </c>
      <c r="J2628">
        <v>0</v>
      </c>
      <c r="K2628">
        <v>0</v>
      </c>
      <c r="L2628">
        <v>1</v>
      </c>
      <c r="M2628">
        <v>0</v>
      </c>
      <c r="N2628" t="s">
        <v>193</v>
      </c>
      <c r="O2628" t="s">
        <v>213</v>
      </c>
      <c r="P2628" t="s">
        <v>204</v>
      </c>
      <c r="Q2628" t="s">
        <v>170</v>
      </c>
      <c r="R2628" t="s">
        <v>155</v>
      </c>
      <c r="S2628">
        <v>5</v>
      </c>
      <c r="T2628" t="s">
        <v>135</v>
      </c>
      <c r="U2628">
        <v>0</v>
      </c>
      <c r="V2628">
        <v>5</v>
      </c>
      <c r="W2628" t="s">
        <v>135</v>
      </c>
      <c r="X2628">
        <v>0</v>
      </c>
      <c r="Y2628" t="s">
        <v>140</v>
      </c>
      <c r="Z2628" t="s">
        <v>183</v>
      </c>
      <c r="AA2628" t="s">
        <v>144</v>
      </c>
      <c r="AB2628" t="s">
        <v>163</v>
      </c>
      <c r="AC2628" t="s">
        <v>21</v>
      </c>
      <c r="AD2628" t="s">
        <v>155</v>
      </c>
      <c r="AE2628" t="s">
        <v>746</v>
      </c>
      <c r="AF2628" t="s">
        <v>21</v>
      </c>
    </row>
    <row r="2629" spans="1:32">
      <c r="A2629" t="s">
        <v>3712</v>
      </c>
      <c r="B2629" s="37">
        <v>39940</v>
      </c>
      <c r="C2629" s="38">
        <v>39940</v>
      </c>
      <c r="D2629" s="38">
        <v>39937</v>
      </c>
      <c r="E2629" s="38">
        <v>39934</v>
      </c>
      <c r="F2629" s="39">
        <v>35</v>
      </c>
      <c r="G2629" t="s">
        <v>21</v>
      </c>
      <c r="H2629" t="s">
        <v>21</v>
      </c>
      <c r="I2629">
        <v>0</v>
      </c>
      <c r="J2629">
        <v>0</v>
      </c>
      <c r="K2629">
        <v>0</v>
      </c>
      <c r="L2629">
        <v>1</v>
      </c>
      <c r="M2629">
        <v>0</v>
      </c>
      <c r="N2629" t="s">
        <v>194</v>
      </c>
      <c r="O2629" t="s">
        <v>213</v>
      </c>
      <c r="P2629" t="s">
        <v>205</v>
      </c>
      <c r="Q2629" t="s">
        <v>170</v>
      </c>
      <c r="R2629" t="s">
        <v>155</v>
      </c>
      <c r="T2629" t="s">
        <v>134</v>
      </c>
      <c r="U2629">
        <v>1</v>
      </c>
      <c r="W2629" t="s">
        <v>134</v>
      </c>
      <c r="X2629">
        <v>1</v>
      </c>
      <c r="Y2629" t="s">
        <v>139</v>
      </c>
      <c r="Z2629" t="s">
        <v>183</v>
      </c>
      <c r="AA2629" t="s">
        <v>150</v>
      </c>
      <c r="AB2629" t="s">
        <v>162</v>
      </c>
      <c r="AC2629" t="s">
        <v>174</v>
      </c>
      <c r="AD2629" t="s">
        <v>157</v>
      </c>
      <c r="AE2629" t="s">
        <v>434</v>
      </c>
      <c r="AF2629" t="s">
        <v>435</v>
      </c>
    </row>
    <row r="2630" spans="1:32">
      <c r="A2630" t="s">
        <v>3713</v>
      </c>
      <c r="B2630" s="37">
        <v>39980</v>
      </c>
      <c r="C2630" s="38">
        <v>39980</v>
      </c>
      <c r="D2630" s="38">
        <v>39979</v>
      </c>
      <c r="E2630" s="38">
        <v>39965</v>
      </c>
      <c r="F2630" s="39">
        <v>75</v>
      </c>
      <c r="G2630" t="s">
        <v>21</v>
      </c>
      <c r="H2630" t="s">
        <v>21</v>
      </c>
      <c r="I2630">
        <v>0</v>
      </c>
      <c r="J2630">
        <v>0</v>
      </c>
      <c r="K2630">
        <v>0</v>
      </c>
      <c r="L2630">
        <v>1</v>
      </c>
      <c r="M2630">
        <v>0</v>
      </c>
      <c r="N2630" t="s">
        <v>193</v>
      </c>
      <c r="O2630" t="s">
        <v>213</v>
      </c>
      <c r="P2630" t="s">
        <v>204</v>
      </c>
      <c r="Q2630" t="s">
        <v>170</v>
      </c>
      <c r="R2630" t="s">
        <v>155</v>
      </c>
      <c r="T2630" t="s">
        <v>134</v>
      </c>
      <c r="U2630">
        <v>1</v>
      </c>
      <c r="W2630" t="s">
        <v>134</v>
      </c>
      <c r="X2630">
        <v>1</v>
      </c>
      <c r="Y2630" t="s">
        <v>140</v>
      </c>
      <c r="Z2630" t="s">
        <v>183</v>
      </c>
      <c r="AA2630" t="s">
        <v>144</v>
      </c>
      <c r="AB2630" t="s">
        <v>163</v>
      </c>
      <c r="AC2630" t="s">
        <v>173</v>
      </c>
      <c r="AD2630" t="s">
        <v>161</v>
      </c>
      <c r="AE2630" t="s">
        <v>416</v>
      </c>
      <c r="AF2630" t="s">
        <v>21</v>
      </c>
    </row>
    <row r="2631" spans="1:32">
      <c r="A2631" t="s">
        <v>3714</v>
      </c>
      <c r="B2631" s="37">
        <v>39981</v>
      </c>
      <c r="C2631" s="38">
        <v>39981</v>
      </c>
      <c r="D2631" s="38">
        <v>39979</v>
      </c>
      <c r="E2631" s="38">
        <v>39965</v>
      </c>
      <c r="F2631" s="39">
        <v>76</v>
      </c>
      <c r="G2631" t="s">
        <v>21</v>
      </c>
      <c r="H2631" t="s">
        <v>21</v>
      </c>
      <c r="I2631">
        <v>0</v>
      </c>
      <c r="J2631">
        <v>0</v>
      </c>
      <c r="K2631">
        <v>0</v>
      </c>
      <c r="L2631">
        <v>1</v>
      </c>
      <c r="M2631">
        <v>0</v>
      </c>
      <c r="N2631" t="s">
        <v>193</v>
      </c>
      <c r="O2631" t="s">
        <v>213</v>
      </c>
      <c r="P2631" t="s">
        <v>204</v>
      </c>
      <c r="Q2631" t="s">
        <v>170</v>
      </c>
      <c r="R2631" t="s">
        <v>155</v>
      </c>
      <c r="T2631" t="s">
        <v>134</v>
      </c>
      <c r="U2631">
        <v>1</v>
      </c>
      <c r="W2631" t="s">
        <v>134</v>
      </c>
      <c r="X2631">
        <v>1</v>
      </c>
      <c r="Y2631" t="s">
        <v>140</v>
      </c>
      <c r="Z2631" t="s">
        <v>182</v>
      </c>
      <c r="AA2631" t="s">
        <v>142</v>
      </c>
      <c r="AB2631" t="s">
        <v>162</v>
      </c>
      <c r="AC2631" t="s">
        <v>174</v>
      </c>
      <c r="AD2631" t="s">
        <v>156</v>
      </c>
      <c r="AE2631" t="s">
        <v>120</v>
      </c>
      <c r="AF2631" t="s">
        <v>427</v>
      </c>
    </row>
    <row r="2632" spans="1:32">
      <c r="A2632" t="s">
        <v>3715</v>
      </c>
      <c r="B2632" s="37">
        <v>39947</v>
      </c>
      <c r="C2632" s="38">
        <v>39947</v>
      </c>
      <c r="D2632" s="38">
        <v>39944</v>
      </c>
      <c r="E2632" s="38">
        <v>39934</v>
      </c>
      <c r="F2632" s="39">
        <v>42</v>
      </c>
      <c r="G2632" t="s">
        <v>21</v>
      </c>
      <c r="H2632" t="s">
        <v>21</v>
      </c>
      <c r="I2632">
        <v>0</v>
      </c>
      <c r="J2632">
        <v>0</v>
      </c>
      <c r="K2632">
        <v>0</v>
      </c>
      <c r="L2632">
        <v>1</v>
      </c>
      <c r="M2632">
        <v>0</v>
      </c>
      <c r="N2632" t="s">
        <v>195</v>
      </c>
      <c r="O2632" t="s">
        <v>213</v>
      </c>
      <c r="P2632" t="s">
        <v>206</v>
      </c>
      <c r="Q2632" t="s">
        <v>170</v>
      </c>
      <c r="R2632" t="s">
        <v>155</v>
      </c>
      <c r="T2632" t="s">
        <v>134</v>
      </c>
      <c r="U2632">
        <v>1</v>
      </c>
      <c r="W2632" t="s">
        <v>134</v>
      </c>
      <c r="X2632">
        <v>1</v>
      </c>
      <c r="Y2632" t="s">
        <v>139</v>
      </c>
      <c r="Z2632" t="s">
        <v>178</v>
      </c>
      <c r="AA2632" t="s">
        <v>147</v>
      </c>
      <c r="AB2632" t="s">
        <v>162</v>
      </c>
      <c r="AC2632" t="s">
        <v>933</v>
      </c>
      <c r="AD2632" t="s">
        <v>159</v>
      </c>
      <c r="AE2632" t="s">
        <v>126</v>
      </c>
      <c r="AF2632" t="s">
        <v>601</v>
      </c>
    </row>
    <row r="2633" spans="1:32">
      <c r="A2633" t="s">
        <v>3716</v>
      </c>
      <c r="B2633" s="37">
        <v>39932</v>
      </c>
      <c r="C2633" s="38">
        <v>39932</v>
      </c>
      <c r="D2633" s="38">
        <v>39930</v>
      </c>
      <c r="E2633" s="38">
        <v>39904</v>
      </c>
      <c r="F2633" s="39">
        <v>27</v>
      </c>
      <c r="G2633" t="s">
        <v>21</v>
      </c>
      <c r="H2633" t="s">
        <v>21</v>
      </c>
      <c r="I2633">
        <v>0</v>
      </c>
      <c r="J2633">
        <v>0</v>
      </c>
      <c r="K2633">
        <v>0</v>
      </c>
      <c r="L2633">
        <v>1</v>
      </c>
      <c r="M2633">
        <v>0</v>
      </c>
      <c r="N2633" t="s">
        <v>199</v>
      </c>
      <c r="O2633" t="s">
        <v>213</v>
      </c>
      <c r="P2633" t="s">
        <v>210</v>
      </c>
      <c r="Q2633" t="s">
        <v>170</v>
      </c>
      <c r="R2633" t="s">
        <v>155</v>
      </c>
      <c r="T2633" t="s">
        <v>134</v>
      </c>
      <c r="U2633">
        <v>1</v>
      </c>
      <c r="W2633" t="s">
        <v>134</v>
      </c>
      <c r="X2633">
        <v>1</v>
      </c>
      <c r="Y2633" t="s">
        <v>139</v>
      </c>
      <c r="Z2633" t="s">
        <v>810</v>
      </c>
      <c r="AA2633" t="s">
        <v>148</v>
      </c>
      <c r="AB2633" t="s">
        <v>163</v>
      </c>
      <c r="AC2633" t="s">
        <v>173</v>
      </c>
      <c r="AD2633" t="s">
        <v>155</v>
      </c>
      <c r="AE2633" t="s">
        <v>125</v>
      </c>
      <c r="AF2633" t="s">
        <v>21</v>
      </c>
    </row>
    <row r="2634" spans="1:32">
      <c r="A2634" t="s">
        <v>3717</v>
      </c>
      <c r="B2634" s="37">
        <v>40061</v>
      </c>
      <c r="C2634" s="38">
        <v>40061</v>
      </c>
      <c r="D2634" s="38">
        <v>40056</v>
      </c>
      <c r="E2634" s="38">
        <v>40057</v>
      </c>
      <c r="F2634" s="39">
        <v>156</v>
      </c>
      <c r="G2634" t="s">
        <v>21</v>
      </c>
      <c r="H2634" t="s">
        <v>21</v>
      </c>
      <c r="I2634">
        <v>0</v>
      </c>
      <c r="J2634">
        <v>0</v>
      </c>
      <c r="K2634">
        <v>0</v>
      </c>
      <c r="L2634">
        <v>1</v>
      </c>
      <c r="M2634">
        <v>0</v>
      </c>
      <c r="N2634" t="s">
        <v>195</v>
      </c>
      <c r="O2634" t="s">
        <v>213</v>
      </c>
      <c r="P2634" t="s">
        <v>206</v>
      </c>
      <c r="Q2634" t="s">
        <v>170</v>
      </c>
      <c r="R2634" t="s">
        <v>155</v>
      </c>
      <c r="S2634">
        <v>1</v>
      </c>
      <c r="T2634" t="s">
        <v>136</v>
      </c>
      <c r="U2634">
        <v>0</v>
      </c>
      <c r="V2634">
        <v>3</v>
      </c>
      <c r="W2634" t="s">
        <v>137</v>
      </c>
      <c r="X2634">
        <v>0</v>
      </c>
      <c r="Y2634" t="s">
        <v>139</v>
      </c>
      <c r="Z2634" t="s">
        <v>810</v>
      </c>
      <c r="AA2634" t="s">
        <v>145</v>
      </c>
      <c r="AB2634" t="s">
        <v>163</v>
      </c>
      <c r="AC2634" t="s">
        <v>173</v>
      </c>
      <c r="AD2634" t="s">
        <v>155</v>
      </c>
      <c r="AE2634" t="s">
        <v>125</v>
      </c>
      <c r="AF2634" t="s">
        <v>21</v>
      </c>
    </row>
    <row r="2635" spans="1:32">
      <c r="A2635" t="s">
        <v>3718</v>
      </c>
      <c r="B2635" s="37">
        <v>39947</v>
      </c>
      <c r="C2635" s="38">
        <v>39947</v>
      </c>
      <c r="D2635" s="38">
        <v>39944</v>
      </c>
      <c r="E2635" s="38">
        <v>39934</v>
      </c>
      <c r="F2635" s="39">
        <v>42</v>
      </c>
      <c r="G2635" t="s">
        <v>21</v>
      </c>
      <c r="H2635" t="s">
        <v>21</v>
      </c>
      <c r="I2635">
        <v>0</v>
      </c>
      <c r="J2635">
        <v>0</v>
      </c>
      <c r="K2635">
        <v>0</v>
      </c>
      <c r="L2635">
        <v>1</v>
      </c>
      <c r="M2635">
        <v>0</v>
      </c>
      <c r="N2635" t="s">
        <v>193</v>
      </c>
      <c r="O2635" t="s">
        <v>213</v>
      </c>
      <c r="P2635" t="s">
        <v>204</v>
      </c>
      <c r="Q2635" t="s">
        <v>170</v>
      </c>
      <c r="R2635" t="s">
        <v>155</v>
      </c>
      <c r="T2635" t="s">
        <v>134</v>
      </c>
      <c r="U2635">
        <v>1</v>
      </c>
      <c r="W2635" t="s">
        <v>134</v>
      </c>
      <c r="X2635">
        <v>1</v>
      </c>
      <c r="Y2635" t="s">
        <v>140</v>
      </c>
      <c r="Z2635" t="s">
        <v>178</v>
      </c>
      <c r="AA2635" t="s">
        <v>148</v>
      </c>
      <c r="AB2635" t="s">
        <v>162</v>
      </c>
      <c r="AC2635" t="s">
        <v>175</v>
      </c>
      <c r="AD2635" t="s">
        <v>155</v>
      </c>
      <c r="AE2635" t="s">
        <v>439</v>
      </c>
      <c r="AF2635" t="s">
        <v>21</v>
      </c>
    </row>
    <row r="2636" spans="1:32">
      <c r="A2636" t="s">
        <v>3719</v>
      </c>
      <c r="B2636" s="37">
        <v>40029</v>
      </c>
      <c r="C2636" s="38">
        <v>40029</v>
      </c>
      <c r="D2636" s="38">
        <v>40028</v>
      </c>
      <c r="E2636" s="38">
        <v>40026</v>
      </c>
      <c r="F2636" s="39">
        <v>124</v>
      </c>
      <c r="G2636" t="s">
        <v>525</v>
      </c>
      <c r="H2636" t="s">
        <v>17</v>
      </c>
      <c r="I2636">
        <v>0</v>
      </c>
      <c r="J2636">
        <v>0</v>
      </c>
      <c r="K2636">
        <v>1</v>
      </c>
      <c r="L2636">
        <v>0</v>
      </c>
      <c r="M2636">
        <v>0</v>
      </c>
      <c r="N2636" t="s">
        <v>193</v>
      </c>
      <c r="O2636" t="s">
        <v>213</v>
      </c>
      <c r="P2636" t="s">
        <v>204</v>
      </c>
      <c r="Q2636" t="s">
        <v>170</v>
      </c>
      <c r="R2636" t="s">
        <v>155</v>
      </c>
      <c r="S2636">
        <v>5</v>
      </c>
      <c r="T2636" t="s">
        <v>135</v>
      </c>
      <c r="U2636">
        <v>0</v>
      </c>
      <c r="V2636">
        <v>5</v>
      </c>
      <c r="W2636" t="s">
        <v>135</v>
      </c>
      <c r="X2636">
        <v>0</v>
      </c>
      <c r="Y2636" t="s">
        <v>140</v>
      </c>
      <c r="Z2636" t="s">
        <v>178</v>
      </c>
      <c r="AA2636" t="s">
        <v>143</v>
      </c>
      <c r="AB2636" t="s">
        <v>162</v>
      </c>
      <c r="AC2636" t="s">
        <v>175</v>
      </c>
      <c r="AD2636" t="s">
        <v>125</v>
      </c>
      <c r="AE2636" t="s">
        <v>628</v>
      </c>
      <c r="AF2636" t="s">
        <v>1209</v>
      </c>
    </row>
    <row r="2637" spans="1:32">
      <c r="A2637" t="s">
        <v>3720</v>
      </c>
      <c r="B2637" s="37">
        <v>40078</v>
      </c>
      <c r="C2637" s="38">
        <v>40078</v>
      </c>
      <c r="D2637" s="38">
        <v>40077</v>
      </c>
      <c r="E2637" s="38">
        <v>40057</v>
      </c>
      <c r="F2637" s="39">
        <v>173</v>
      </c>
      <c r="G2637" t="s">
        <v>496</v>
      </c>
      <c r="H2637" t="s">
        <v>13</v>
      </c>
      <c r="I2637">
        <v>0</v>
      </c>
      <c r="J2637">
        <v>1</v>
      </c>
      <c r="K2637">
        <v>0</v>
      </c>
      <c r="L2637">
        <v>0</v>
      </c>
      <c r="M2637">
        <v>1</v>
      </c>
      <c r="N2637" t="s">
        <v>544</v>
      </c>
      <c r="O2637" t="s">
        <v>213</v>
      </c>
      <c r="P2637" t="s">
        <v>545</v>
      </c>
      <c r="Q2637" t="s">
        <v>170</v>
      </c>
      <c r="R2637" t="s">
        <v>155</v>
      </c>
      <c r="S2637">
        <v>5</v>
      </c>
      <c r="T2637" t="s">
        <v>135</v>
      </c>
      <c r="U2637">
        <v>0</v>
      </c>
      <c r="V2637">
        <v>3</v>
      </c>
      <c r="W2637" t="s">
        <v>137</v>
      </c>
      <c r="X2637">
        <v>0</v>
      </c>
      <c r="Y2637" t="s">
        <v>139</v>
      </c>
      <c r="Z2637" t="s">
        <v>178</v>
      </c>
      <c r="AA2637" t="s">
        <v>145</v>
      </c>
      <c r="AB2637" t="s">
        <v>162</v>
      </c>
      <c r="AC2637" t="s">
        <v>21</v>
      </c>
      <c r="AD2637" t="s">
        <v>160</v>
      </c>
      <c r="AE2637" t="s">
        <v>126</v>
      </c>
      <c r="AF2637" t="s">
        <v>900</v>
      </c>
    </row>
    <row r="2638" spans="1:32">
      <c r="A2638" t="s">
        <v>3721</v>
      </c>
      <c r="B2638" s="37">
        <v>39977</v>
      </c>
      <c r="C2638" s="38">
        <v>39977</v>
      </c>
      <c r="D2638" s="38">
        <v>39972</v>
      </c>
      <c r="E2638" s="38">
        <v>39965</v>
      </c>
      <c r="F2638" s="39">
        <v>72</v>
      </c>
      <c r="G2638" t="s">
        <v>21</v>
      </c>
      <c r="H2638" t="s">
        <v>21</v>
      </c>
      <c r="I2638">
        <v>0</v>
      </c>
      <c r="J2638">
        <v>0</v>
      </c>
      <c r="K2638">
        <v>0</v>
      </c>
      <c r="L2638">
        <v>1</v>
      </c>
      <c r="M2638">
        <v>0</v>
      </c>
      <c r="N2638" t="s">
        <v>194</v>
      </c>
      <c r="O2638" t="s">
        <v>213</v>
      </c>
      <c r="P2638" t="s">
        <v>205</v>
      </c>
      <c r="Q2638" t="s">
        <v>170</v>
      </c>
      <c r="R2638" t="s">
        <v>155</v>
      </c>
      <c r="T2638" t="s">
        <v>134</v>
      </c>
      <c r="U2638">
        <v>1</v>
      </c>
      <c r="W2638" t="s">
        <v>134</v>
      </c>
      <c r="X2638">
        <v>1</v>
      </c>
      <c r="Y2638" t="s">
        <v>139</v>
      </c>
      <c r="Z2638" t="s">
        <v>178</v>
      </c>
      <c r="AA2638" t="s">
        <v>149</v>
      </c>
      <c r="AB2638" t="s">
        <v>165</v>
      </c>
      <c r="AC2638" t="s">
        <v>589</v>
      </c>
      <c r="AD2638" t="s">
        <v>158</v>
      </c>
      <c r="AE2638" t="s">
        <v>122</v>
      </c>
      <c r="AF2638" t="s">
        <v>21</v>
      </c>
    </row>
    <row r="2639" spans="1:32">
      <c r="A2639" t="s">
        <v>3722</v>
      </c>
      <c r="B2639" s="37">
        <v>40048</v>
      </c>
      <c r="C2639" s="38">
        <v>40048</v>
      </c>
      <c r="D2639" s="38">
        <v>40042</v>
      </c>
      <c r="E2639" s="38">
        <v>40026</v>
      </c>
      <c r="F2639" s="39">
        <v>143</v>
      </c>
      <c r="G2639" t="s">
        <v>21</v>
      </c>
      <c r="H2639" t="s">
        <v>21</v>
      </c>
      <c r="I2639">
        <v>0</v>
      </c>
      <c r="J2639">
        <v>0</v>
      </c>
      <c r="K2639">
        <v>0</v>
      </c>
      <c r="L2639">
        <v>1</v>
      </c>
      <c r="M2639">
        <v>0</v>
      </c>
      <c r="N2639" t="s">
        <v>195</v>
      </c>
      <c r="O2639" t="s">
        <v>213</v>
      </c>
      <c r="P2639" t="s">
        <v>206</v>
      </c>
      <c r="Q2639" t="s">
        <v>170</v>
      </c>
      <c r="R2639" t="s">
        <v>155</v>
      </c>
      <c r="S2639">
        <v>5</v>
      </c>
      <c r="T2639" t="s">
        <v>135</v>
      </c>
      <c r="U2639">
        <v>0</v>
      </c>
      <c r="V2639">
        <v>3</v>
      </c>
      <c r="W2639" t="s">
        <v>137</v>
      </c>
      <c r="X2639">
        <v>0</v>
      </c>
      <c r="Y2639" t="s">
        <v>139</v>
      </c>
      <c r="Z2639" t="s">
        <v>178</v>
      </c>
      <c r="AA2639" t="s">
        <v>144</v>
      </c>
      <c r="AB2639" t="s">
        <v>165</v>
      </c>
      <c r="AC2639" t="s">
        <v>3723</v>
      </c>
      <c r="AD2639" t="s">
        <v>158</v>
      </c>
      <c r="AE2639" t="s">
        <v>122</v>
      </c>
      <c r="AF2639" t="s">
        <v>21</v>
      </c>
    </row>
    <row r="2640" spans="1:32">
      <c r="A2640" t="s">
        <v>3724</v>
      </c>
      <c r="B2640" s="37">
        <v>39975</v>
      </c>
      <c r="C2640" s="38">
        <v>39975</v>
      </c>
      <c r="D2640" s="38">
        <v>39972</v>
      </c>
      <c r="E2640" s="38">
        <v>39965</v>
      </c>
      <c r="F2640" s="39">
        <v>70</v>
      </c>
      <c r="G2640" t="s">
        <v>21</v>
      </c>
      <c r="H2640" t="s">
        <v>21</v>
      </c>
      <c r="I2640">
        <v>0</v>
      </c>
      <c r="J2640">
        <v>0</v>
      </c>
      <c r="K2640">
        <v>0</v>
      </c>
      <c r="L2640">
        <v>1</v>
      </c>
      <c r="M2640">
        <v>0</v>
      </c>
      <c r="N2640" t="s">
        <v>193</v>
      </c>
      <c r="O2640" t="s">
        <v>213</v>
      </c>
      <c r="P2640" t="s">
        <v>204</v>
      </c>
      <c r="Q2640" t="s">
        <v>170</v>
      </c>
      <c r="R2640" t="s">
        <v>155</v>
      </c>
      <c r="T2640" t="s">
        <v>134</v>
      </c>
      <c r="U2640">
        <v>1</v>
      </c>
      <c r="W2640" t="s">
        <v>134</v>
      </c>
      <c r="X2640">
        <v>1</v>
      </c>
      <c r="Y2640" t="s">
        <v>140</v>
      </c>
      <c r="Z2640" t="s">
        <v>178</v>
      </c>
      <c r="AA2640" t="s">
        <v>149</v>
      </c>
      <c r="AB2640" t="s">
        <v>162</v>
      </c>
      <c r="AC2640" t="s">
        <v>175</v>
      </c>
      <c r="AD2640" t="s">
        <v>159</v>
      </c>
      <c r="AE2640" t="s">
        <v>126</v>
      </c>
      <c r="AF2640" t="s">
        <v>601</v>
      </c>
    </row>
    <row r="2641" spans="1:32">
      <c r="A2641" t="s">
        <v>3725</v>
      </c>
      <c r="B2641" s="37">
        <v>39927</v>
      </c>
      <c r="C2641" s="38">
        <v>39927</v>
      </c>
      <c r="D2641" s="38">
        <v>39923</v>
      </c>
      <c r="E2641" s="38">
        <v>39904</v>
      </c>
      <c r="F2641" s="39">
        <v>22</v>
      </c>
      <c r="G2641" t="s">
        <v>21</v>
      </c>
      <c r="H2641" t="s">
        <v>21</v>
      </c>
      <c r="I2641">
        <v>0</v>
      </c>
      <c r="J2641">
        <v>0</v>
      </c>
      <c r="K2641">
        <v>0</v>
      </c>
      <c r="L2641">
        <v>1</v>
      </c>
      <c r="M2641">
        <v>0</v>
      </c>
      <c r="N2641" t="s">
        <v>193</v>
      </c>
      <c r="O2641" t="s">
        <v>213</v>
      </c>
      <c r="P2641" t="s">
        <v>204</v>
      </c>
      <c r="Q2641" t="s">
        <v>170</v>
      </c>
      <c r="R2641" t="s">
        <v>155</v>
      </c>
      <c r="T2641" t="s">
        <v>134</v>
      </c>
      <c r="U2641">
        <v>1</v>
      </c>
      <c r="W2641" t="s">
        <v>134</v>
      </c>
      <c r="X2641">
        <v>1</v>
      </c>
      <c r="Y2641" t="s">
        <v>140</v>
      </c>
      <c r="Z2641" t="s">
        <v>178</v>
      </c>
      <c r="AA2641" t="s">
        <v>148</v>
      </c>
      <c r="AB2641" t="s">
        <v>163</v>
      </c>
      <c r="AC2641" t="s">
        <v>1834</v>
      </c>
      <c r="AD2641" t="s">
        <v>155</v>
      </c>
      <c r="AE2641" t="s">
        <v>124</v>
      </c>
      <c r="AF2641" t="s">
        <v>21</v>
      </c>
    </row>
    <row r="2642" spans="1:32">
      <c r="A2642" t="s">
        <v>3726</v>
      </c>
      <c r="B2642" s="37">
        <v>39969</v>
      </c>
      <c r="C2642" s="38">
        <v>39969</v>
      </c>
      <c r="D2642" s="38">
        <v>39965</v>
      </c>
      <c r="E2642" s="38">
        <v>39965</v>
      </c>
      <c r="F2642" s="39">
        <v>64</v>
      </c>
      <c r="G2642" t="s">
        <v>21</v>
      </c>
      <c r="H2642" t="s">
        <v>21</v>
      </c>
      <c r="I2642">
        <v>0</v>
      </c>
      <c r="J2642">
        <v>0</v>
      </c>
      <c r="K2642">
        <v>0</v>
      </c>
      <c r="L2642">
        <v>1</v>
      </c>
      <c r="M2642">
        <v>0</v>
      </c>
      <c r="N2642" t="s">
        <v>194</v>
      </c>
      <c r="O2642" t="s">
        <v>213</v>
      </c>
      <c r="P2642" t="s">
        <v>205</v>
      </c>
      <c r="Q2642" t="s">
        <v>170</v>
      </c>
      <c r="R2642" t="s">
        <v>155</v>
      </c>
      <c r="T2642" t="s">
        <v>134</v>
      </c>
      <c r="U2642">
        <v>1</v>
      </c>
      <c r="W2642" t="s">
        <v>134</v>
      </c>
      <c r="X2642">
        <v>1</v>
      </c>
      <c r="Y2642" t="s">
        <v>139</v>
      </c>
      <c r="Z2642" t="s">
        <v>178</v>
      </c>
      <c r="AA2642" t="s">
        <v>143</v>
      </c>
      <c r="AB2642" t="s">
        <v>162</v>
      </c>
      <c r="AC2642" t="s">
        <v>175</v>
      </c>
      <c r="AD2642" t="s">
        <v>155</v>
      </c>
      <c r="AE2642" t="s">
        <v>129</v>
      </c>
      <c r="AF2642" t="s">
        <v>21</v>
      </c>
    </row>
    <row r="2643" spans="1:32">
      <c r="A2643" t="s">
        <v>3727</v>
      </c>
      <c r="B2643" s="37">
        <v>40020</v>
      </c>
      <c r="C2643" s="38">
        <v>40020</v>
      </c>
      <c r="D2643" s="38">
        <v>40014</v>
      </c>
      <c r="E2643" s="38">
        <v>39995</v>
      </c>
      <c r="F2643" s="39">
        <v>115</v>
      </c>
      <c r="G2643" t="s">
        <v>380</v>
      </c>
      <c r="H2643" t="s">
        <v>17</v>
      </c>
      <c r="I2643">
        <v>0</v>
      </c>
      <c r="J2643">
        <v>0</v>
      </c>
      <c r="K2643">
        <v>1</v>
      </c>
      <c r="L2643">
        <v>0</v>
      </c>
      <c r="M2643">
        <v>0</v>
      </c>
      <c r="N2643" t="s">
        <v>196</v>
      </c>
      <c r="O2643" t="s">
        <v>213</v>
      </c>
      <c r="P2643" t="s">
        <v>207</v>
      </c>
      <c r="Q2643" t="s">
        <v>170</v>
      </c>
      <c r="R2643" t="s">
        <v>155</v>
      </c>
      <c r="S2643">
        <v>5</v>
      </c>
      <c r="T2643" t="s">
        <v>135</v>
      </c>
      <c r="U2643">
        <v>0</v>
      </c>
      <c r="V2643">
        <v>5</v>
      </c>
      <c r="W2643" t="s">
        <v>135</v>
      </c>
      <c r="X2643">
        <v>0</v>
      </c>
      <c r="Y2643" t="s">
        <v>139</v>
      </c>
      <c r="Z2643" t="s">
        <v>178</v>
      </c>
      <c r="AA2643" t="s">
        <v>146</v>
      </c>
      <c r="AB2643" t="s">
        <v>162</v>
      </c>
      <c r="AC2643" t="s">
        <v>867</v>
      </c>
      <c r="AD2643" t="s">
        <v>157</v>
      </c>
      <c r="AE2643" t="s">
        <v>127</v>
      </c>
      <c r="AF2643" t="s">
        <v>153</v>
      </c>
    </row>
    <row r="2644" spans="1:32">
      <c r="A2644" t="s">
        <v>3728</v>
      </c>
      <c r="B2644" s="37">
        <v>39972</v>
      </c>
      <c r="C2644" s="38">
        <v>39972</v>
      </c>
      <c r="D2644" s="38">
        <v>39972</v>
      </c>
      <c r="E2644" s="38">
        <v>39965</v>
      </c>
      <c r="F2644" s="39">
        <v>67</v>
      </c>
      <c r="G2644" t="s">
        <v>21</v>
      </c>
      <c r="H2644" t="s">
        <v>21</v>
      </c>
      <c r="I2644">
        <v>0</v>
      </c>
      <c r="J2644">
        <v>0</v>
      </c>
      <c r="K2644">
        <v>0</v>
      </c>
      <c r="L2644">
        <v>1</v>
      </c>
      <c r="M2644">
        <v>0</v>
      </c>
      <c r="N2644" t="s">
        <v>193</v>
      </c>
      <c r="O2644" t="s">
        <v>213</v>
      </c>
      <c r="P2644" t="s">
        <v>204</v>
      </c>
      <c r="Q2644" t="s">
        <v>170</v>
      </c>
      <c r="R2644" t="s">
        <v>155</v>
      </c>
      <c r="T2644" t="s">
        <v>134</v>
      </c>
      <c r="U2644">
        <v>1</v>
      </c>
      <c r="W2644" t="s">
        <v>134</v>
      </c>
      <c r="X2644">
        <v>1</v>
      </c>
      <c r="Y2644" t="s">
        <v>140</v>
      </c>
      <c r="Z2644" t="s">
        <v>178</v>
      </c>
      <c r="AA2644" t="s">
        <v>146</v>
      </c>
      <c r="AB2644" t="s">
        <v>162</v>
      </c>
      <c r="AC2644" t="s">
        <v>174</v>
      </c>
      <c r="AD2644" t="s">
        <v>156</v>
      </c>
      <c r="AE2644" t="s">
        <v>120</v>
      </c>
      <c r="AF2644" t="s">
        <v>3729</v>
      </c>
    </row>
    <row r="2645" spans="1:32">
      <c r="A2645" t="s">
        <v>3730</v>
      </c>
      <c r="B2645" s="37">
        <v>39919</v>
      </c>
      <c r="C2645" s="38">
        <v>39919</v>
      </c>
      <c r="D2645" s="38">
        <v>39916</v>
      </c>
      <c r="E2645" s="38">
        <v>39904</v>
      </c>
      <c r="F2645" s="39">
        <v>14</v>
      </c>
      <c r="G2645" t="s">
        <v>21</v>
      </c>
      <c r="H2645" t="s">
        <v>21</v>
      </c>
      <c r="I2645">
        <v>0</v>
      </c>
      <c r="J2645">
        <v>0</v>
      </c>
      <c r="K2645">
        <v>0</v>
      </c>
      <c r="L2645">
        <v>1</v>
      </c>
      <c r="M2645">
        <v>0</v>
      </c>
      <c r="N2645" t="s">
        <v>202</v>
      </c>
      <c r="O2645" t="s">
        <v>213</v>
      </c>
      <c r="P2645" t="s">
        <v>211</v>
      </c>
      <c r="Q2645" t="s">
        <v>170</v>
      </c>
      <c r="R2645" t="s">
        <v>155</v>
      </c>
      <c r="T2645" t="s">
        <v>134</v>
      </c>
      <c r="U2645">
        <v>1</v>
      </c>
      <c r="W2645" t="s">
        <v>134</v>
      </c>
      <c r="X2645">
        <v>1</v>
      </c>
      <c r="Y2645" t="s">
        <v>139</v>
      </c>
      <c r="Z2645" t="s">
        <v>178</v>
      </c>
      <c r="AA2645" t="s">
        <v>147</v>
      </c>
      <c r="AB2645" t="s">
        <v>162</v>
      </c>
      <c r="AC2645" t="s">
        <v>1218</v>
      </c>
      <c r="AD2645" t="s">
        <v>157</v>
      </c>
      <c r="AE2645" t="s">
        <v>439</v>
      </c>
      <c r="AF2645" t="s">
        <v>561</v>
      </c>
    </row>
    <row r="2646" spans="1:32">
      <c r="A2646" t="s">
        <v>3731</v>
      </c>
      <c r="B2646" s="37">
        <v>39991</v>
      </c>
      <c r="C2646" s="38">
        <v>39991</v>
      </c>
      <c r="D2646" s="38">
        <v>39986</v>
      </c>
      <c r="E2646" s="38">
        <v>39965</v>
      </c>
      <c r="F2646" s="39">
        <v>86</v>
      </c>
      <c r="G2646" t="s">
        <v>21</v>
      </c>
      <c r="H2646" t="s">
        <v>21</v>
      </c>
      <c r="I2646">
        <v>0</v>
      </c>
      <c r="J2646">
        <v>0</v>
      </c>
      <c r="K2646">
        <v>0</v>
      </c>
      <c r="L2646">
        <v>1</v>
      </c>
      <c r="M2646">
        <v>0</v>
      </c>
      <c r="N2646" t="s">
        <v>195</v>
      </c>
      <c r="O2646" t="s">
        <v>213</v>
      </c>
      <c r="P2646" t="s">
        <v>206</v>
      </c>
      <c r="Q2646" t="s">
        <v>170</v>
      </c>
      <c r="R2646" t="s">
        <v>155</v>
      </c>
      <c r="T2646" t="s">
        <v>134</v>
      </c>
      <c r="U2646">
        <v>1</v>
      </c>
      <c r="V2646">
        <v>5</v>
      </c>
      <c r="W2646" t="s">
        <v>135</v>
      </c>
      <c r="X2646">
        <v>0</v>
      </c>
      <c r="Y2646" t="s">
        <v>139</v>
      </c>
      <c r="Z2646" t="s">
        <v>178</v>
      </c>
      <c r="AA2646" t="s">
        <v>144</v>
      </c>
      <c r="AB2646" t="s">
        <v>162</v>
      </c>
      <c r="AC2646" t="s">
        <v>175</v>
      </c>
      <c r="AD2646" t="s">
        <v>155</v>
      </c>
      <c r="AE2646" t="s">
        <v>129</v>
      </c>
      <c r="AF2646" t="s">
        <v>21</v>
      </c>
    </row>
    <row r="2647" spans="1:32">
      <c r="A2647" t="s">
        <v>3732</v>
      </c>
      <c r="B2647" s="37">
        <v>39955</v>
      </c>
      <c r="C2647" s="38">
        <v>39955</v>
      </c>
      <c r="D2647" s="38">
        <v>39951</v>
      </c>
      <c r="E2647" s="38">
        <v>39934</v>
      </c>
      <c r="F2647" s="39">
        <v>50</v>
      </c>
      <c r="G2647" t="s">
        <v>21</v>
      </c>
      <c r="H2647" t="s">
        <v>21</v>
      </c>
      <c r="I2647">
        <v>0</v>
      </c>
      <c r="J2647">
        <v>0</v>
      </c>
      <c r="K2647">
        <v>0</v>
      </c>
      <c r="L2647">
        <v>1</v>
      </c>
      <c r="M2647">
        <v>0</v>
      </c>
      <c r="N2647" t="s">
        <v>193</v>
      </c>
      <c r="O2647" t="s">
        <v>213</v>
      </c>
      <c r="P2647" t="s">
        <v>204</v>
      </c>
      <c r="Q2647" t="s">
        <v>170</v>
      </c>
      <c r="R2647" t="s">
        <v>155</v>
      </c>
      <c r="T2647" t="s">
        <v>134</v>
      </c>
      <c r="U2647">
        <v>1</v>
      </c>
      <c r="W2647" t="s">
        <v>134</v>
      </c>
      <c r="X2647">
        <v>1</v>
      </c>
      <c r="Y2647" t="s">
        <v>140</v>
      </c>
      <c r="Z2647" t="s">
        <v>178</v>
      </c>
      <c r="AA2647" t="s">
        <v>144</v>
      </c>
      <c r="AB2647" t="s">
        <v>163</v>
      </c>
      <c r="AC2647" t="s">
        <v>173</v>
      </c>
      <c r="AD2647" t="s">
        <v>155</v>
      </c>
      <c r="AE2647" t="s">
        <v>127</v>
      </c>
      <c r="AF2647" t="s">
        <v>21</v>
      </c>
    </row>
    <row r="2648" spans="1:32">
      <c r="A2648" t="s">
        <v>3733</v>
      </c>
      <c r="B2648" s="37">
        <v>39935</v>
      </c>
      <c r="C2648" s="38">
        <v>39935</v>
      </c>
      <c r="D2648" s="38">
        <v>39930</v>
      </c>
      <c r="E2648" s="38">
        <v>39934</v>
      </c>
      <c r="F2648" s="39">
        <v>30</v>
      </c>
      <c r="G2648" t="s">
        <v>21</v>
      </c>
      <c r="H2648" t="s">
        <v>21</v>
      </c>
      <c r="I2648">
        <v>0</v>
      </c>
      <c r="J2648">
        <v>0</v>
      </c>
      <c r="K2648">
        <v>0</v>
      </c>
      <c r="L2648">
        <v>1</v>
      </c>
      <c r="M2648">
        <v>0</v>
      </c>
      <c r="N2648" t="s">
        <v>200</v>
      </c>
      <c r="O2648" t="s">
        <v>214</v>
      </c>
      <c r="P2648" t="s">
        <v>208</v>
      </c>
      <c r="Q2648" t="s">
        <v>170</v>
      </c>
      <c r="R2648" t="s">
        <v>155</v>
      </c>
      <c r="T2648" t="s">
        <v>134</v>
      </c>
      <c r="U2648">
        <v>1</v>
      </c>
      <c r="W2648" t="s">
        <v>134</v>
      </c>
      <c r="X2648">
        <v>1</v>
      </c>
      <c r="Y2648" t="s">
        <v>139</v>
      </c>
      <c r="Z2648" t="s">
        <v>376</v>
      </c>
      <c r="AA2648" t="s">
        <v>145</v>
      </c>
      <c r="AB2648" t="s">
        <v>162</v>
      </c>
      <c r="AC2648" t="s">
        <v>21</v>
      </c>
      <c r="AD2648" t="s">
        <v>159</v>
      </c>
      <c r="AE2648" t="s">
        <v>123</v>
      </c>
      <c r="AF2648" t="s">
        <v>123</v>
      </c>
    </row>
    <row r="2649" spans="1:32">
      <c r="A2649" t="s">
        <v>3734</v>
      </c>
      <c r="B2649" s="37">
        <v>40071</v>
      </c>
      <c r="C2649" s="38">
        <v>40071</v>
      </c>
      <c r="D2649" s="38">
        <v>40070</v>
      </c>
      <c r="E2649" s="38">
        <v>40057</v>
      </c>
      <c r="F2649" s="39">
        <v>166</v>
      </c>
      <c r="G2649" t="s">
        <v>21</v>
      </c>
      <c r="H2649" t="s">
        <v>21</v>
      </c>
      <c r="I2649">
        <v>0</v>
      </c>
      <c r="J2649">
        <v>0</v>
      </c>
      <c r="K2649">
        <v>0</v>
      </c>
      <c r="L2649">
        <v>1</v>
      </c>
      <c r="M2649">
        <v>0</v>
      </c>
      <c r="N2649" t="s">
        <v>197</v>
      </c>
      <c r="O2649" t="s">
        <v>213</v>
      </c>
      <c r="P2649" t="s">
        <v>209</v>
      </c>
      <c r="Q2649" t="s">
        <v>170</v>
      </c>
      <c r="R2649" t="s">
        <v>155</v>
      </c>
      <c r="T2649" t="s">
        <v>134</v>
      </c>
      <c r="U2649">
        <v>1</v>
      </c>
      <c r="W2649" t="s">
        <v>134</v>
      </c>
      <c r="X2649">
        <v>1</v>
      </c>
      <c r="Y2649" t="s">
        <v>139</v>
      </c>
      <c r="Z2649" t="s">
        <v>376</v>
      </c>
      <c r="AA2649" t="s">
        <v>151</v>
      </c>
      <c r="AB2649" t="s">
        <v>162</v>
      </c>
      <c r="AC2649" t="s">
        <v>3735</v>
      </c>
      <c r="AD2649" t="s">
        <v>157</v>
      </c>
      <c r="AE2649" t="s">
        <v>127</v>
      </c>
      <c r="AF2649" t="s">
        <v>153</v>
      </c>
    </row>
    <row r="2650" spans="1:32">
      <c r="A2650" t="s">
        <v>3736</v>
      </c>
      <c r="B2650" s="37">
        <v>39934</v>
      </c>
      <c r="C2650" s="38">
        <v>39934</v>
      </c>
      <c r="D2650" s="38">
        <v>39930</v>
      </c>
      <c r="E2650" s="38">
        <v>39934</v>
      </c>
      <c r="F2650" s="39">
        <v>29</v>
      </c>
      <c r="G2650" t="s">
        <v>21</v>
      </c>
      <c r="H2650" t="s">
        <v>21</v>
      </c>
      <c r="I2650">
        <v>0</v>
      </c>
      <c r="J2650">
        <v>0</v>
      </c>
      <c r="K2650">
        <v>0</v>
      </c>
      <c r="L2650">
        <v>1</v>
      </c>
      <c r="M2650">
        <v>0</v>
      </c>
      <c r="N2650" t="s">
        <v>193</v>
      </c>
      <c r="O2650" t="s">
        <v>213</v>
      </c>
      <c r="P2650" t="s">
        <v>204</v>
      </c>
      <c r="Q2650" t="s">
        <v>170</v>
      </c>
      <c r="R2650" t="s">
        <v>155</v>
      </c>
      <c r="T2650" t="s">
        <v>134</v>
      </c>
      <c r="U2650">
        <v>1</v>
      </c>
      <c r="W2650" t="s">
        <v>134</v>
      </c>
      <c r="X2650">
        <v>1</v>
      </c>
      <c r="Y2650" t="s">
        <v>140</v>
      </c>
      <c r="Z2650" t="s">
        <v>178</v>
      </c>
      <c r="AA2650" t="s">
        <v>147</v>
      </c>
      <c r="AB2650" t="s">
        <v>162</v>
      </c>
      <c r="AC2650" t="s">
        <v>174</v>
      </c>
      <c r="AD2650" t="s">
        <v>160</v>
      </c>
      <c r="AE2650" t="s">
        <v>392</v>
      </c>
      <c r="AF2650" t="s">
        <v>393</v>
      </c>
    </row>
    <row r="2651" spans="1:32">
      <c r="A2651" t="s">
        <v>3737</v>
      </c>
      <c r="B2651" s="37">
        <v>39912</v>
      </c>
      <c r="C2651" s="38">
        <v>39912</v>
      </c>
      <c r="D2651" s="38">
        <v>39909</v>
      </c>
      <c r="E2651" s="38">
        <v>39904</v>
      </c>
      <c r="F2651" s="39">
        <v>7</v>
      </c>
      <c r="G2651" t="s">
        <v>21</v>
      </c>
      <c r="H2651" t="s">
        <v>21</v>
      </c>
      <c r="I2651">
        <v>0</v>
      </c>
      <c r="J2651">
        <v>0</v>
      </c>
      <c r="K2651">
        <v>0</v>
      </c>
      <c r="L2651">
        <v>1</v>
      </c>
      <c r="M2651">
        <v>0</v>
      </c>
      <c r="N2651" t="s">
        <v>199</v>
      </c>
      <c r="O2651" t="s">
        <v>213</v>
      </c>
      <c r="P2651" t="s">
        <v>210</v>
      </c>
      <c r="Q2651" t="s">
        <v>170</v>
      </c>
      <c r="R2651" t="s">
        <v>155</v>
      </c>
      <c r="T2651" t="s">
        <v>134</v>
      </c>
      <c r="U2651">
        <v>1</v>
      </c>
      <c r="W2651" t="s">
        <v>134</v>
      </c>
      <c r="X2651">
        <v>1</v>
      </c>
      <c r="Y2651" t="s">
        <v>139</v>
      </c>
      <c r="Z2651" t="s">
        <v>178</v>
      </c>
      <c r="AA2651" t="s">
        <v>148</v>
      </c>
      <c r="AB2651" t="s">
        <v>163</v>
      </c>
      <c r="AC2651" t="s">
        <v>173</v>
      </c>
      <c r="AD2651" t="s">
        <v>155</v>
      </c>
      <c r="AE2651" t="s">
        <v>2027</v>
      </c>
      <c r="AF2651" t="s">
        <v>21</v>
      </c>
    </row>
    <row r="2652" spans="1:32">
      <c r="A2652" t="s">
        <v>3738</v>
      </c>
      <c r="B2652" s="37">
        <v>39953</v>
      </c>
      <c r="C2652" s="38">
        <v>39953</v>
      </c>
      <c r="D2652" s="38">
        <v>39951</v>
      </c>
      <c r="E2652" s="38">
        <v>39934</v>
      </c>
      <c r="F2652" s="39">
        <v>48</v>
      </c>
      <c r="G2652" t="s">
        <v>21</v>
      </c>
      <c r="H2652" t="s">
        <v>21</v>
      </c>
      <c r="I2652">
        <v>0</v>
      </c>
      <c r="J2652">
        <v>0</v>
      </c>
      <c r="K2652">
        <v>0</v>
      </c>
      <c r="L2652">
        <v>1</v>
      </c>
      <c r="M2652">
        <v>0</v>
      </c>
      <c r="N2652" t="s">
        <v>193</v>
      </c>
      <c r="O2652" t="s">
        <v>213</v>
      </c>
      <c r="P2652" t="s">
        <v>204</v>
      </c>
      <c r="Q2652" t="s">
        <v>170</v>
      </c>
      <c r="R2652" t="s">
        <v>155</v>
      </c>
      <c r="T2652" t="s">
        <v>134</v>
      </c>
      <c r="U2652">
        <v>1</v>
      </c>
      <c r="W2652" t="s">
        <v>134</v>
      </c>
      <c r="X2652">
        <v>1</v>
      </c>
      <c r="Y2652" t="s">
        <v>140</v>
      </c>
      <c r="Z2652" t="s">
        <v>178</v>
      </c>
      <c r="AA2652" t="s">
        <v>143</v>
      </c>
      <c r="AB2652" t="s">
        <v>162</v>
      </c>
      <c r="AC2652" t="s">
        <v>174</v>
      </c>
      <c r="AD2652" t="s">
        <v>156</v>
      </c>
      <c r="AE2652" t="s">
        <v>120</v>
      </c>
      <c r="AF2652" t="s">
        <v>1985</v>
      </c>
    </row>
    <row r="2653" spans="1:32">
      <c r="A2653" t="s">
        <v>3739</v>
      </c>
      <c r="B2653" s="37">
        <v>40073</v>
      </c>
      <c r="C2653" s="38">
        <v>40073</v>
      </c>
      <c r="D2653" s="38">
        <v>40070</v>
      </c>
      <c r="E2653" s="38">
        <v>40057</v>
      </c>
      <c r="F2653" s="39">
        <v>168</v>
      </c>
      <c r="G2653" t="s">
        <v>383</v>
      </c>
      <c r="H2653" t="s">
        <v>17</v>
      </c>
      <c r="I2653">
        <v>0</v>
      </c>
      <c r="J2653">
        <v>0</v>
      </c>
      <c r="K2653">
        <v>1</v>
      </c>
      <c r="L2653">
        <v>0</v>
      </c>
      <c r="M2653">
        <v>0</v>
      </c>
      <c r="N2653" t="s">
        <v>544</v>
      </c>
      <c r="O2653" t="s">
        <v>213</v>
      </c>
      <c r="P2653" t="s">
        <v>545</v>
      </c>
      <c r="Q2653" t="s">
        <v>170</v>
      </c>
      <c r="R2653" t="s">
        <v>155</v>
      </c>
      <c r="S2653">
        <v>5</v>
      </c>
      <c r="T2653" t="s">
        <v>135</v>
      </c>
      <c r="U2653">
        <v>0</v>
      </c>
      <c r="V2653">
        <v>2</v>
      </c>
      <c r="W2653" t="s">
        <v>136</v>
      </c>
      <c r="X2653">
        <v>0</v>
      </c>
      <c r="Y2653" t="s">
        <v>139</v>
      </c>
      <c r="Z2653" t="s">
        <v>178</v>
      </c>
      <c r="AA2653" t="s">
        <v>143</v>
      </c>
      <c r="AB2653" t="s">
        <v>162</v>
      </c>
      <c r="AC2653" t="s">
        <v>174</v>
      </c>
      <c r="AD2653" t="s">
        <v>157</v>
      </c>
      <c r="AE2653" t="s">
        <v>434</v>
      </c>
      <c r="AF2653" t="s">
        <v>435</v>
      </c>
    </row>
    <row r="2654" spans="1:32">
      <c r="A2654" t="s">
        <v>3740</v>
      </c>
      <c r="B2654" s="37">
        <v>39995</v>
      </c>
      <c r="C2654" s="38">
        <v>39995</v>
      </c>
      <c r="D2654" s="38">
        <v>39993</v>
      </c>
      <c r="E2654" s="38">
        <v>39995</v>
      </c>
      <c r="F2654" s="39">
        <v>90</v>
      </c>
      <c r="G2654" t="s">
        <v>21</v>
      </c>
      <c r="H2654" t="s">
        <v>21</v>
      </c>
      <c r="I2654">
        <v>0</v>
      </c>
      <c r="J2654">
        <v>0</v>
      </c>
      <c r="K2654">
        <v>0</v>
      </c>
      <c r="L2654">
        <v>1</v>
      </c>
      <c r="M2654">
        <v>0</v>
      </c>
      <c r="N2654" t="s">
        <v>194</v>
      </c>
      <c r="O2654" t="s">
        <v>213</v>
      </c>
      <c r="P2654" t="s">
        <v>205</v>
      </c>
      <c r="Q2654" t="s">
        <v>170</v>
      </c>
      <c r="R2654" t="s">
        <v>155</v>
      </c>
      <c r="T2654" t="s">
        <v>134</v>
      </c>
      <c r="U2654">
        <v>1</v>
      </c>
      <c r="V2654">
        <v>5</v>
      </c>
      <c r="W2654" t="s">
        <v>135</v>
      </c>
      <c r="X2654">
        <v>0</v>
      </c>
      <c r="Y2654" t="s">
        <v>139</v>
      </c>
      <c r="Z2654" t="s">
        <v>178</v>
      </c>
      <c r="AA2654" t="s">
        <v>142</v>
      </c>
      <c r="AB2654" t="s">
        <v>162</v>
      </c>
      <c r="AC2654" t="s">
        <v>174</v>
      </c>
      <c r="AD2654" t="s">
        <v>156</v>
      </c>
      <c r="AE2654" t="s">
        <v>120</v>
      </c>
      <c r="AF2654" t="s">
        <v>1001</v>
      </c>
    </row>
    <row r="2655" spans="1:32">
      <c r="A2655" t="s">
        <v>3741</v>
      </c>
      <c r="B2655" s="37">
        <v>39968</v>
      </c>
      <c r="C2655" s="38">
        <v>39968</v>
      </c>
      <c r="D2655" s="38">
        <v>39965</v>
      </c>
      <c r="E2655" s="38">
        <v>39965</v>
      </c>
      <c r="F2655" s="39">
        <v>63</v>
      </c>
      <c r="G2655" t="s">
        <v>21</v>
      </c>
      <c r="H2655" t="s">
        <v>21</v>
      </c>
      <c r="I2655">
        <v>0</v>
      </c>
      <c r="J2655">
        <v>0</v>
      </c>
      <c r="K2655">
        <v>0</v>
      </c>
      <c r="L2655">
        <v>1</v>
      </c>
      <c r="M2655">
        <v>0</v>
      </c>
      <c r="N2655" t="s">
        <v>193</v>
      </c>
      <c r="O2655" t="s">
        <v>213</v>
      </c>
      <c r="P2655" t="s">
        <v>204</v>
      </c>
      <c r="Q2655" t="s">
        <v>170</v>
      </c>
      <c r="R2655" t="s">
        <v>155</v>
      </c>
      <c r="T2655" t="s">
        <v>134</v>
      </c>
      <c r="U2655">
        <v>1</v>
      </c>
      <c r="W2655" t="s">
        <v>134</v>
      </c>
      <c r="X2655">
        <v>1</v>
      </c>
      <c r="Y2655" t="s">
        <v>140</v>
      </c>
      <c r="Z2655" t="s">
        <v>178</v>
      </c>
      <c r="AA2655" t="s">
        <v>146</v>
      </c>
      <c r="AB2655" t="s">
        <v>163</v>
      </c>
      <c r="AC2655" t="s">
        <v>1042</v>
      </c>
      <c r="AD2655" t="s">
        <v>155</v>
      </c>
      <c r="AE2655" t="s">
        <v>734</v>
      </c>
      <c r="AF2655" t="s">
        <v>21</v>
      </c>
    </row>
    <row r="2656" spans="1:32">
      <c r="A2656" t="s">
        <v>3742</v>
      </c>
      <c r="B2656" s="37">
        <v>40036</v>
      </c>
      <c r="C2656" s="38">
        <v>40036</v>
      </c>
      <c r="D2656" s="38">
        <v>40035</v>
      </c>
      <c r="E2656" s="38">
        <v>40026</v>
      </c>
      <c r="F2656" s="39">
        <v>131</v>
      </c>
      <c r="G2656" t="s">
        <v>21</v>
      </c>
      <c r="H2656" t="s">
        <v>21</v>
      </c>
      <c r="I2656">
        <v>0</v>
      </c>
      <c r="J2656">
        <v>0</v>
      </c>
      <c r="K2656">
        <v>0</v>
      </c>
      <c r="L2656">
        <v>1</v>
      </c>
      <c r="M2656">
        <v>0</v>
      </c>
      <c r="N2656" t="s">
        <v>193</v>
      </c>
      <c r="O2656" t="s">
        <v>213</v>
      </c>
      <c r="P2656" t="s">
        <v>204</v>
      </c>
      <c r="Q2656" t="s">
        <v>170</v>
      </c>
      <c r="R2656" t="s">
        <v>155</v>
      </c>
      <c r="S2656">
        <v>5</v>
      </c>
      <c r="T2656" t="s">
        <v>135</v>
      </c>
      <c r="U2656">
        <v>0</v>
      </c>
      <c r="V2656">
        <v>5</v>
      </c>
      <c r="W2656" t="s">
        <v>135</v>
      </c>
      <c r="X2656">
        <v>0</v>
      </c>
      <c r="Y2656" t="s">
        <v>140</v>
      </c>
      <c r="Z2656" t="s">
        <v>178</v>
      </c>
      <c r="AA2656" t="s">
        <v>145</v>
      </c>
      <c r="AB2656" t="s">
        <v>162</v>
      </c>
      <c r="AC2656" t="s">
        <v>1728</v>
      </c>
      <c r="AD2656" t="s">
        <v>157</v>
      </c>
      <c r="AE2656" t="s">
        <v>127</v>
      </c>
      <c r="AF2656" t="s">
        <v>153</v>
      </c>
    </row>
    <row r="2657" spans="1:32">
      <c r="A2657" t="s">
        <v>3743</v>
      </c>
      <c r="B2657" s="37">
        <v>39934</v>
      </c>
      <c r="C2657" s="38">
        <v>39934</v>
      </c>
      <c r="D2657" s="38">
        <v>39930</v>
      </c>
      <c r="E2657" s="38">
        <v>39934</v>
      </c>
      <c r="F2657" s="39">
        <v>29</v>
      </c>
      <c r="G2657" t="s">
        <v>21</v>
      </c>
      <c r="H2657" t="s">
        <v>21</v>
      </c>
      <c r="I2657">
        <v>0</v>
      </c>
      <c r="J2657">
        <v>0</v>
      </c>
      <c r="K2657">
        <v>0</v>
      </c>
      <c r="L2657">
        <v>1</v>
      </c>
      <c r="M2657">
        <v>0</v>
      </c>
      <c r="N2657" t="s">
        <v>194</v>
      </c>
      <c r="O2657" t="s">
        <v>213</v>
      </c>
      <c r="P2657" t="s">
        <v>205</v>
      </c>
      <c r="Q2657" t="s">
        <v>170</v>
      </c>
      <c r="R2657" t="s">
        <v>155</v>
      </c>
      <c r="T2657" t="s">
        <v>134</v>
      </c>
      <c r="U2657">
        <v>1</v>
      </c>
      <c r="W2657" t="s">
        <v>134</v>
      </c>
      <c r="X2657">
        <v>1</v>
      </c>
      <c r="Y2657" t="s">
        <v>139</v>
      </c>
      <c r="Z2657" t="s">
        <v>178</v>
      </c>
      <c r="AA2657" t="s">
        <v>142</v>
      </c>
      <c r="AB2657" t="s">
        <v>163</v>
      </c>
      <c r="AC2657" t="s">
        <v>173</v>
      </c>
      <c r="AD2657" t="s">
        <v>155</v>
      </c>
      <c r="AE2657" t="s">
        <v>692</v>
      </c>
      <c r="AF2657" t="s">
        <v>21</v>
      </c>
    </row>
    <row r="2658" spans="1:32">
      <c r="A2658" t="s">
        <v>3744</v>
      </c>
      <c r="B2658" s="37">
        <v>40067</v>
      </c>
      <c r="C2658" s="38">
        <v>40067</v>
      </c>
      <c r="D2658" s="38">
        <v>40063</v>
      </c>
      <c r="E2658" s="38">
        <v>40057</v>
      </c>
      <c r="F2658" s="39">
        <v>162</v>
      </c>
      <c r="G2658" t="s">
        <v>383</v>
      </c>
      <c r="H2658" t="s">
        <v>17</v>
      </c>
      <c r="I2658">
        <v>0</v>
      </c>
      <c r="J2658">
        <v>0</v>
      </c>
      <c r="K2658">
        <v>1</v>
      </c>
      <c r="L2658">
        <v>0</v>
      </c>
      <c r="M2658">
        <v>0</v>
      </c>
      <c r="N2658" t="s">
        <v>193</v>
      </c>
      <c r="O2658" t="s">
        <v>213</v>
      </c>
      <c r="P2658" t="s">
        <v>204</v>
      </c>
      <c r="Q2658" t="s">
        <v>170</v>
      </c>
      <c r="R2658" t="s">
        <v>155</v>
      </c>
      <c r="S2658">
        <v>4</v>
      </c>
      <c r="T2658" t="s">
        <v>137</v>
      </c>
      <c r="U2658">
        <v>0</v>
      </c>
      <c r="V2658">
        <v>3</v>
      </c>
      <c r="W2658" t="s">
        <v>137</v>
      </c>
      <c r="X2658">
        <v>0</v>
      </c>
      <c r="Y2658" t="s">
        <v>140</v>
      </c>
      <c r="Z2658" t="s">
        <v>178</v>
      </c>
      <c r="AA2658" t="s">
        <v>146</v>
      </c>
      <c r="AB2658" t="s">
        <v>165</v>
      </c>
      <c r="AC2658" t="s">
        <v>3745</v>
      </c>
      <c r="AD2658" t="s">
        <v>158</v>
      </c>
      <c r="AE2658" t="s">
        <v>122</v>
      </c>
      <c r="AF2658" t="s">
        <v>21</v>
      </c>
    </row>
    <row r="2659" spans="1:32">
      <c r="A2659" t="s">
        <v>3746</v>
      </c>
      <c r="B2659" s="37">
        <v>39970</v>
      </c>
      <c r="C2659" s="38">
        <v>39970</v>
      </c>
      <c r="D2659" s="38">
        <v>39965</v>
      </c>
      <c r="E2659" s="38">
        <v>39965</v>
      </c>
      <c r="F2659" s="39">
        <v>65</v>
      </c>
      <c r="G2659" t="s">
        <v>21</v>
      </c>
      <c r="H2659" t="s">
        <v>21</v>
      </c>
      <c r="I2659">
        <v>0</v>
      </c>
      <c r="J2659">
        <v>0</v>
      </c>
      <c r="K2659">
        <v>0</v>
      </c>
      <c r="L2659">
        <v>1</v>
      </c>
      <c r="M2659">
        <v>0</v>
      </c>
      <c r="N2659" t="s">
        <v>194</v>
      </c>
      <c r="O2659" t="s">
        <v>213</v>
      </c>
      <c r="P2659" t="s">
        <v>205</v>
      </c>
      <c r="Q2659" t="s">
        <v>170</v>
      </c>
      <c r="R2659" t="s">
        <v>155</v>
      </c>
      <c r="T2659" t="s">
        <v>134</v>
      </c>
      <c r="U2659">
        <v>1</v>
      </c>
      <c r="W2659" t="s">
        <v>134</v>
      </c>
      <c r="X2659">
        <v>1</v>
      </c>
      <c r="Y2659" t="s">
        <v>139</v>
      </c>
      <c r="Z2659" t="s">
        <v>178</v>
      </c>
      <c r="AA2659" t="s">
        <v>144</v>
      </c>
      <c r="AB2659" t="s">
        <v>162</v>
      </c>
      <c r="AC2659" t="s">
        <v>867</v>
      </c>
      <c r="AD2659" t="s">
        <v>157</v>
      </c>
      <c r="AE2659" t="s">
        <v>127</v>
      </c>
      <c r="AF2659" t="s">
        <v>153</v>
      </c>
    </row>
    <row r="2660" spans="1:32">
      <c r="A2660" t="s">
        <v>3747</v>
      </c>
      <c r="B2660" s="37">
        <v>40085</v>
      </c>
      <c r="C2660" s="38">
        <v>40085</v>
      </c>
      <c r="D2660" s="38">
        <v>40084</v>
      </c>
      <c r="E2660" s="38">
        <v>40057</v>
      </c>
      <c r="F2660" s="39">
        <v>180</v>
      </c>
      <c r="G2660" t="s">
        <v>383</v>
      </c>
      <c r="H2660" t="s">
        <v>17</v>
      </c>
      <c r="I2660">
        <v>0</v>
      </c>
      <c r="J2660">
        <v>0</v>
      </c>
      <c r="K2660">
        <v>1</v>
      </c>
      <c r="L2660">
        <v>0</v>
      </c>
      <c r="M2660">
        <v>0</v>
      </c>
      <c r="N2660" t="s">
        <v>197</v>
      </c>
      <c r="O2660" t="s">
        <v>213</v>
      </c>
      <c r="P2660" t="s">
        <v>209</v>
      </c>
      <c r="Q2660" t="s">
        <v>170</v>
      </c>
      <c r="R2660" t="s">
        <v>155</v>
      </c>
      <c r="S2660">
        <v>4</v>
      </c>
      <c r="T2660" t="s">
        <v>137</v>
      </c>
      <c r="U2660">
        <v>0</v>
      </c>
      <c r="V2660">
        <v>5</v>
      </c>
      <c r="W2660" t="s">
        <v>135</v>
      </c>
      <c r="X2660">
        <v>0</v>
      </c>
      <c r="Y2660" t="s">
        <v>139</v>
      </c>
      <c r="Z2660" t="s">
        <v>509</v>
      </c>
      <c r="AA2660" t="s">
        <v>146</v>
      </c>
      <c r="AB2660" t="s">
        <v>162</v>
      </c>
      <c r="AC2660" t="s">
        <v>174</v>
      </c>
      <c r="AD2660" t="s">
        <v>3748</v>
      </c>
      <c r="AE2660" t="s">
        <v>3749</v>
      </c>
      <c r="AF2660" t="s">
        <v>2158</v>
      </c>
    </row>
    <row r="2661" spans="1:32">
      <c r="A2661" t="s">
        <v>3750</v>
      </c>
      <c r="B2661" s="37">
        <v>39986</v>
      </c>
      <c r="C2661" s="38">
        <v>39986</v>
      </c>
      <c r="D2661" s="38">
        <v>39986</v>
      </c>
      <c r="E2661" s="38">
        <v>39965</v>
      </c>
      <c r="F2661" s="39">
        <v>81</v>
      </c>
      <c r="G2661" t="s">
        <v>383</v>
      </c>
      <c r="H2661" t="s">
        <v>17</v>
      </c>
      <c r="I2661">
        <v>0</v>
      </c>
      <c r="J2661">
        <v>0</v>
      </c>
      <c r="K2661">
        <v>1</v>
      </c>
      <c r="L2661">
        <v>0</v>
      </c>
      <c r="M2661">
        <v>0</v>
      </c>
      <c r="N2661" t="s">
        <v>194</v>
      </c>
      <c r="O2661" t="s">
        <v>213</v>
      </c>
      <c r="P2661" t="s">
        <v>205</v>
      </c>
      <c r="Q2661" t="s">
        <v>170</v>
      </c>
      <c r="R2661" t="s">
        <v>155</v>
      </c>
      <c r="T2661" t="s">
        <v>134</v>
      </c>
      <c r="U2661">
        <v>1</v>
      </c>
      <c r="W2661" t="s">
        <v>134</v>
      </c>
      <c r="X2661">
        <v>1</v>
      </c>
      <c r="Y2661" t="s">
        <v>139</v>
      </c>
      <c r="Z2661" t="s">
        <v>185</v>
      </c>
      <c r="AA2661" t="s">
        <v>142</v>
      </c>
      <c r="AB2661" t="s">
        <v>163</v>
      </c>
      <c r="AC2661" t="s">
        <v>689</v>
      </c>
      <c r="AD2661" t="s">
        <v>788</v>
      </c>
      <c r="AE2661" t="s">
        <v>903</v>
      </c>
      <c r="AF2661" t="s">
        <v>21</v>
      </c>
    </row>
    <row r="2662" spans="1:32">
      <c r="A2662" t="s">
        <v>3751</v>
      </c>
      <c r="B2662" s="37">
        <v>39980</v>
      </c>
      <c r="C2662" s="38">
        <v>39980</v>
      </c>
      <c r="D2662" s="38">
        <v>39979</v>
      </c>
      <c r="E2662" s="38">
        <v>39965</v>
      </c>
      <c r="F2662" s="39">
        <v>75</v>
      </c>
      <c r="G2662" t="s">
        <v>9</v>
      </c>
      <c r="H2662" t="s">
        <v>9</v>
      </c>
      <c r="I2662">
        <v>1</v>
      </c>
      <c r="J2662">
        <v>0</v>
      </c>
      <c r="K2662">
        <v>0</v>
      </c>
      <c r="L2662">
        <v>0</v>
      </c>
      <c r="M2662">
        <v>1</v>
      </c>
      <c r="N2662" t="s">
        <v>194</v>
      </c>
      <c r="O2662" t="s">
        <v>213</v>
      </c>
      <c r="P2662" t="s">
        <v>205</v>
      </c>
      <c r="Q2662" t="s">
        <v>170</v>
      </c>
      <c r="R2662" t="s">
        <v>155</v>
      </c>
      <c r="T2662" t="s">
        <v>134</v>
      </c>
      <c r="U2662">
        <v>1</v>
      </c>
      <c r="W2662" t="s">
        <v>134</v>
      </c>
      <c r="X2662">
        <v>1</v>
      </c>
      <c r="Y2662" t="s">
        <v>139</v>
      </c>
      <c r="Z2662" t="s">
        <v>409</v>
      </c>
      <c r="AA2662" t="s">
        <v>143</v>
      </c>
      <c r="AB2662" t="s">
        <v>163</v>
      </c>
      <c r="AC2662" t="s">
        <v>173</v>
      </c>
      <c r="AD2662" t="s">
        <v>155</v>
      </c>
      <c r="AE2662" t="s">
        <v>467</v>
      </c>
      <c r="AF2662" t="s">
        <v>21</v>
      </c>
    </row>
    <row r="2663" spans="1:32">
      <c r="A2663" t="s">
        <v>3752</v>
      </c>
      <c r="B2663" s="37">
        <v>40054</v>
      </c>
      <c r="C2663" s="38">
        <v>40054</v>
      </c>
      <c r="D2663" s="38">
        <v>40049</v>
      </c>
      <c r="E2663" s="38">
        <v>40026</v>
      </c>
      <c r="F2663" s="39">
        <v>149</v>
      </c>
      <c r="G2663" t="s">
        <v>9</v>
      </c>
      <c r="H2663" t="s">
        <v>9</v>
      </c>
      <c r="I2663">
        <v>1</v>
      </c>
      <c r="J2663">
        <v>0</v>
      </c>
      <c r="K2663">
        <v>0</v>
      </c>
      <c r="L2663">
        <v>0</v>
      </c>
      <c r="M2663">
        <v>1</v>
      </c>
      <c r="N2663" t="s">
        <v>193</v>
      </c>
      <c r="O2663" t="s">
        <v>213</v>
      </c>
      <c r="P2663" t="s">
        <v>204</v>
      </c>
      <c r="Q2663" t="s">
        <v>170</v>
      </c>
      <c r="R2663" t="s">
        <v>155</v>
      </c>
      <c r="S2663">
        <v>5</v>
      </c>
      <c r="T2663" t="s">
        <v>135</v>
      </c>
      <c r="U2663">
        <v>0</v>
      </c>
      <c r="V2663">
        <v>5</v>
      </c>
      <c r="W2663" t="s">
        <v>135</v>
      </c>
      <c r="X2663">
        <v>0</v>
      </c>
      <c r="Y2663" t="s">
        <v>140</v>
      </c>
      <c r="Z2663" t="s">
        <v>188</v>
      </c>
      <c r="AA2663" t="s">
        <v>142</v>
      </c>
      <c r="AB2663" t="s">
        <v>162</v>
      </c>
      <c r="AC2663" t="s">
        <v>498</v>
      </c>
      <c r="AD2663" t="s">
        <v>156</v>
      </c>
      <c r="AE2663" t="s">
        <v>120</v>
      </c>
      <c r="AF2663" t="s">
        <v>660</v>
      </c>
    </row>
    <row r="2664" spans="1:32">
      <c r="A2664" t="s">
        <v>3753</v>
      </c>
      <c r="B2664" s="37">
        <v>39958</v>
      </c>
      <c r="C2664" s="38">
        <v>39958</v>
      </c>
      <c r="D2664" s="38">
        <v>39958</v>
      </c>
      <c r="E2664" s="38">
        <v>39934</v>
      </c>
      <c r="F2664" s="39">
        <v>53</v>
      </c>
      <c r="G2664" t="s">
        <v>21</v>
      </c>
      <c r="H2664" t="s">
        <v>21</v>
      </c>
      <c r="I2664">
        <v>0</v>
      </c>
      <c r="J2664">
        <v>0</v>
      </c>
      <c r="K2664">
        <v>0</v>
      </c>
      <c r="L2664">
        <v>1</v>
      </c>
      <c r="M2664">
        <v>0</v>
      </c>
      <c r="N2664" t="s">
        <v>193</v>
      </c>
      <c r="O2664" t="s">
        <v>213</v>
      </c>
      <c r="P2664" t="s">
        <v>204</v>
      </c>
      <c r="Q2664" t="s">
        <v>170</v>
      </c>
      <c r="R2664" t="s">
        <v>155</v>
      </c>
      <c r="T2664" t="s">
        <v>134</v>
      </c>
      <c r="U2664">
        <v>1</v>
      </c>
      <c r="W2664" t="s">
        <v>134</v>
      </c>
      <c r="X2664">
        <v>1</v>
      </c>
      <c r="Y2664" t="s">
        <v>140</v>
      </c>
      <c r="Z2664" t="s">
        <v>179</v>
      </c>
      <c r="AA2664" t="s">
        <v>148</v>
      </c>
      <c r="AB2664" t="s">
        <v>162</v>
      </c>
      <c r="AC2664" t="s">
        <v>175</v>
      </c>
      <c r="AD2664" t="s">
        <v>155</v>
      </c>
      <c r="AE2664" t="s">
        <v>454</v>
      </c>
      <c r="AF2664" t="s">
        <v>21</v>
      </c>
    </row>
    <row r="2665" spans="1:32">
      <c r="A2665" t="s">
        <v>3754</v>
      </c>
      <c r="B2665" s="37">
        <v>39936</v>
      </c>
      <c r="C2665" s="38">
        <v>39936</v>
      </c>
      <c r="D2665" s="38">
        <v>39930</v>
      </c>
      <c r="E2665" s="38">
        <v>39934</v>
      </c>
      <c r="F2665" s="39">
        <v>31</v>
      </c>
      <c r="G2665" t="s">
        <v>21</v>
      </c>
      <c r="H2665" t="s">
        <v>21</v>
      </c>
      <c r="I2665">
        <v>0</v>
      </c>
      <c r="J2665">
        <v>0</v>
      </c>
      <c r="K2665">
        <v>0</v>
      </c>
      <c r="L2665">
        <v>1</v>
      </c>
      <c r="M2665">
        <v>0</v>
      </c>
      <c r="N2665" t="s">
        <v>199</v>
      </c>
      <c r="O2665" t="s">
        <v>213</v>
      </c>
      <c r="P2665" t="s">
        <v>210</v>
      </c>
      <c r="Q2665" t="s">
        <v>170</v>
      </c>
      <c r="R2665" t="s">
        <v>155</v>
      </c>
      <c r="T2665" t="s">
        <v>134</v>
      </c>
      <c r="U2665">
        <v>1</v>
      </c>
      <c r="W2665" t="s">
        <v>134</v>
      </c>
      <c r="X2665">
        <v>1</v>
      </c>
      <c r="Y2665" t="s">
        <v>139</v>
      </c>
      <c r="Z2665" t="s">
        <v>189</v>
      </c>
      <c r="AA2665" t="s">
        <v>142</v>
      </c>
      <c r="AB2665" t="s">
        <v>163</v>
      </c>
      <c r="AC2665" t="s">
        <v>173</v>
      </c>
      <c r="AD2665" t="s">
        <v>161</v>
      </c>
      <c r="AE2665" t="s">
        <v>2027</v>
      </c>
      <c r="AF2665" t="s">
        <v>21</v>
      </c>
    </row>
    <row r="2666" spans="1:32">
      <c r="A2666" t="s">
        <v>3755</v>
      </c>
      <c r="B2666" s="37">
        <v>40053</v>
      </c>
      <c r="C2666" s="38">
        <v>40053</v>
      </c>
      <c r="D2666" s="38">
        <v>40049</v>
      </c>
      <c r="E2666" s="38">
        <v>40026</v>
      </c>
      <c r="F2666" s="39">
        <v>148</v>
      </c>
      <c r="G2666" t="s">
        <v>21</v>
      </c>
      <c r="H2666" t="s">
        <v>21</v>
      </c>
      <c r="I2666">
        <v>0</v>
      </c>
      <c r="J2666">
        <v>0</v>
      </c>
      <c r="K2666">
        <v>0</v>
      </c>
      <c r="L2666">
        <v>1</v>
      </c>
      <c r="M2666">
        <v>0</v>
      </c>
      <c r="N2666" t="s">
        <v>193</v>
      </c>
      <c r="O2666" t="s">
        <v>213</v>
      </c>
      <c r="P2666" t="s">
        <v>204</v>
      </c>
      <c r="Q2666" t="s">
        <v>170</v>
      </c>
      <c r="R2666" t="s">
        <v>155</v>
      </c>
      <c r="S2666">
        <v>5</v>
      </c>
      <c r="T2666" t="s">
        <v>135</v>
      </c>
      <c r="U2666">
        <v>0</v>
      </c>
      <c r="V2666">
        <v>3</v>
      </c>
      <c r="W2666" t="s">
        <v>137</v>
      </c>
      <c r="X2666">
        <v>0</v>
      </c>
      <c r="Y2666" t="s">
        <v>140</v>
      </c>
      <c r="Z2666" t="s">
        <v>528</v>
      </c>
      <c r="AA2666" t="s">
        <v>143</v>
      </c>
      <c r="AB2666" t="s">
        <v>162</v>
      </c>
      <c r="AC2666" t="s">
        <v>174</v>
      </c>
      <c r="AD2666" t="s">
        <v>159</v>
      </c>
      <c r="AE2666" t="s">
        <v>123</v>
      </c>
      <c r="AF2666" t="s">
        <v>123</v>
      </c>
    </row>
    <row r="2667" spans="1:32">
      <c r="A2667" t="s">
        <v>3756</v>
      </c>
      <c r="B2667" s="37">
        <v>39930</v>
      </c>
      <c r="C2667" s="38">
        <v>39930</v>
      </c>
      <c r="D2667" s="38">
        <v>39930</v>
      </c>
      <c r="E2667" s="38">
        <v>39904</v>
      </c>
      <c r="F2667" s="39">
        <v>25</v>
      </c>
      <c r="G2667" t="s">
        <v>9</v>
      </c>
      <c r="H2667" t="s">
        <v>9</v>
      </c>
      <c r="I2667">
        <v>1</v>
      </c>
      <c r="J2667">
        <v>0</v>
      </c>
      <c r="K2667">
        <v>0</v>
      </c>
      <c r="L2667">
        <v>0</v>
      </c>
      <c r="M2667">
        <v>1</v>
      </c>
      <c r="N2667" t="s">
        <v>193</v>
      </c>
      <c r="O2667" t="s">
        <v>213</v>
      </c>
      <c r="P2667" t="s">
        <v>204</v>
      </c>
      <c r="Q2667" t="s">
        <v>170</v>
      </c>
      <c r="R2667" t="s">
        <v>155</v>
      </c>
      <c r="T2667" t="s">
        <v>134</v>
      </c>
      <c r="U2667">
        <v>1</v>
      </c>
      <c r="W2667" t="s">
        <v>134</v>
      </c>
      <c r="X2667">
        <v>1</v>
      </c>
      <c r="Y2667" t="s">
        <v>140</v>
      </c>
      <c r="Z2667" t="s">
        <v>180</v>
      </c>
      <c r="AA2667" t="s">
        <v>145</v>
      </c>
      <c r="AB2667" t="s">
        <v>162</v>
      </c>
      <c r="AC2667" t="s">
        <v>174</v>
      </c>
      <c r="AD2667" t="s">
        <v>157</v>
      </c>
      <c r="AE2667" t="s">
        <v>1113</v>
      </c>
      <c r="AF2667" t="s">
        <v>3757</v>
      </c>
    </row>
    <row r="2668" spans="1:32">
      <c r="A2668" t="s">
        <v>3758</v>
      </c>
      <c r="B2668" s="37">
        <v>39948</v>
      </c>
      <c r="C2668" s="38">
        <v>39948</v>
      </c>
      <c r="D2668" s="38">
        <v>39944</v>
      </c>
      <c r="E2668" s="38">
        <v>39934</v>
      </c>
      <c r="F2668" s="39">
        <v>43</v>
      </c>
      <c r="G2668" t="s">
        <v>21</v>
      </c>
      <c r="H2668" t="s">
        <v>21</v>
      </c>
      <c r="I2668">
        <v>0</v>
      </c>
      <c r="J2668">
        <v>0</v>
      </c>
      <c r="K2668">
        <v>0</v>
      </c>
      <c r="L2668">
        <v>1</v>
      </c>
      <c r="M2668">
        <v>0</v>
      </c>
      <c r="N2668" t="s">
        <v>195</v>
      </c>
      <c r="O2668" t="s">
        <v>213</v>
      </c>
      <c r="P2668" t="s">
        <v>206</v>
      </c>
      <c r="Q2668" t="s">
        <v>170</v>
      </c>
      <c r="R2668" t="s">
        <v>155</v>
      </c>
      <c r="T2668" t="s">
        <v>134</v>
      </c>
      <c r="U2668">
        <v>1</v>
      </c>
      <c r="W2668" t="s">
        <v>134</v>
      </c>
      <c r="X2668">
        <v>1</v>
      </c>
      <c r="Y2668" t="s">
        <v>139</v>
      </c>
      <c r="Z2668" t="s">
        <v>180</v>
      </c>
      <c r="AA2668" t="s">
        <v>142</v>
      </c>
      <c r="AB2668" t="s">
        <v>163</v>
      </c>
      <c r="AC2668" t="s">
        <v>173</v>
      </c>
      <c r="AD2668" t="s">
        <v>155</v>
      </c>
      <c r="AE2668" t="s">
        <v>124</v>
      </c>
      <c r="AF2668" t="s">
        <v>21</v>
      </c>
    </row>
    <row r="2669" spans="1:32">
      <c r="A2669" t="s">
        <v>3759</v>
      </c>
      <c r="B2669" s="37">
        <v>40076</v>
      </c>
      <c r="C2669" s="38">
        <v>40076</v>
      </c>
      <c r="D2669" s="38">
        <v>40070</v>
      </c>
      <c r="E2669" s="38">
        <v>40057</v>
      </c>
      <c r="F2669" s="39">
        <v>171</v>
      </c>
      <c r="G2669" t="s">
        <v>496</v>
      </c>
      <c r="H2669" t="s">
        <v>13</v>
      </c>
      <c r="I2669">
        <v>0</v>
      </c>
      <c r="J2669">
        <v>1</v>
      </c>
      <c r="K2669">
        <v>0</v>
      </c>
      <c r="L2669">
        <v>0</v>
      </c>
      <c r="M2669">
        <v>1</v>
      </c>
      <c r="N2669" t="s">
        <v>193</v>
      </c>
      <c r="O2669" t="s">
        <v>213</v>
      </c>
      <c r="P2669" t="s">
        <v>204</v>
      </c>
      <c r="Q2669" t="s">
        <v>170</v>
      </c>
      <c r="R2669" t="s">
        <v>155</v>
      </c>
      <c r="S2669">
        <v>5</v>
      </c>
      <c r="T2669" t="s">
        <v>135</v>
      </c>
      <c r="U2669">
        <v>0</v>
      </c>
      <c r="V2669">
        <v>5</v>
      </c>
      <c r="W2669" t="s">
        <v>135</v>
      </c>
      <c r="X2669">
        <v>0</v>
      </c>
      <c r="Y2669" t="s">
        <v>140</v>
      </c>
      <c r="Z2669" t="s">
        <v>183</v>
      </c>
      <c r="AA2669" t="s">
        <v>148</v>
      </c>
      <c r="AB2669" t="s">
        <v>162</v>
      </c>
      <c r="AC2669" t="s">
        <v>174</v>
      </c>
      <c r="AD2669" t="s">
        <v>157</v>
      </c>
      <c r="AE2669" t="s">
        <v>830</v>
      </c>
      <c r="AF2669" t="s">
        <v>3760</v>
      </c>
    </row>
    <row r="2670" spans="1:32">
      <c r="A2670" t="s">
        <v>3761</v>
      </c>
      <c r="B2670" s="37">
        <v>40062</v>
      </c>
      <c r="C2670" s="38">
        <v>40062</v>
      </c>
      <c r="D2670" s="38">
        <v>40056</v>
      </c>
      <c r="E2670" s="38">
        <v>40057</v>
      </c>
      <c r="F2670" s="39">
        <v>157</v>
      </c>
      <c r="G2670" t="s">
        <v>21</v>
      </c>
      <c r="H2670" t="s">
        <v>21</v>
      </c>
      <c r="I2670">
        <v>0</v>
      </c>
      <c r="J2670">
        <v>0</v>
      </c>
      <c r="K2670">
        <v>0</v>
      </c>
      <c r="L2670">
        <v>1</v>
      </c>
      <c r="M2670">
        <v>0</v>
      </c>
      <c r="N2670" t="s">
        <v>197</v>
      </c>
      <c r="O2670" t="s">
        <v>213</v>
      </c>
      <c r="P2670" t="s">
        <v>209</v>
      </c>
      <c r="Q2670" t="s">
        <v>170</v>
      </c>
      <c r="R2670" t="s">
        <v>155</v>
      </c>
      <c r="S2670">
        <v>5</v>
      </c>
      <c r="T2670" t="s">
        <v>135</v>
      </c>
      <c r="U2670">
        <v>0</v>
      </c>
      <c r="V2670">
        <v>2</v>
      </c>
      <c r="W2670" t="s">
        <v>136</v>
      </c>
      <c r="X2670">
        <v>0</v>
      </c>
      <c r="Y2670" t="s">
        <v>139</v>
      </c>
      <c r="Z2670" t="s">
        <v>178</v>
      </c>
      <c r="AA2670" t="s">
        <v>146</v>
      </c>
      <c r="AB2670" t="s">
        <v>163</v>
      </c>
      <c r="AC2670" t="s">
        <v>173</v>
      </c>
      <c r="AD2670" t="s">
        <v>155</v>
      </c>
      <c r="AE2670" t="s">
        <v>746</v>
      </c>
      <c r="AF2670" t="s">
        <v>21</v>
      </c>
    </row>
    <row r="2671" spans="1:32">
      <c r="A2671" t="s">
        <v>3762</v>
      </c>
      <c r="B2671" s="37">
        <v>39952</v>
      </c>
      <c r="C2671" s="38">
        <v>39952</v>
      </c>
      <c r="D2671" s="38">
        <v>39951</v>
      </c>
      <c r="E2671" s="38">
        <v>39934</v>
      </c>
      <c r="F2671" s="39">
        <v>47</v>
      </c>
      <c r="G2671" t="s">
        <v>21</v>
      </c>
      <c r="H2671" t="s">
        <v>21</v>
      </c>
      <c r="I2671">
        <v>0</v>
      </c>
      <c r="J2671">
        <v>0</v>
      </c>
      <c r="K2671">
        <v>0</v>
      </c>
      <c r="L2671">
        <v>1</v>
      </c>
      <c r="M2671">
        <v>0</v>
      </c>
      <c r="N2671" t="s">
        <v>195</v>
      </c>
      <c r="O2671" t="s">
        <v>213</v>
      </c>
      <c r="P2671" t="s">
        <v>206</v>
      </c>
      <c r="Q2671" t="s">
        <v>170</v>
      </c>
      <c r="R2671" t="s">
        <v>155</v>
      </c>
      <c r="T2671" t="s">
        <v>134</v>
      </c>
      <c r="U2671">
        <v>1</v>
      </c>
      <c r="W2671" t="s">
        <v>134</v>
      </c>
      <c r="X2671">
        <v>1</v>
      </c>
      <c r="Y2671" t="s">
        <v>139</v>
      </c>
      <c r="Z2671" t="s">
        <v>178</v>
      </c>
      <c r="AA2671" t="s">
        <v>149</v>
      </c>
      <c r="AB2671" t="s">
        <v>163</v>
      </c>
      <c r="AC2671" t="s">
        <v>2629</v>
      </c>
      <c r="AD2671" t="s">
        <v>155</v>
      </c>
      <c r="AE2671" t="s">
        <v>124</v>
      </c>
      <c r="AF2671" t="s">
        <v>21</v>
      </c>
    </row>
    <row r="2672" spans="1:32">
      <c r="A2672" t="s">
        <v>3763</v>
      </c>
      <c r="B2672" s="37">
        <v>39947</v>
      </c>
      <c r="C2672" s="38">
        <v>39947</v>
      </c>
      <c r="D2672" s="38">
        <v>39944</v>
      </c>
      <c r="E2672" s="38">
        <v>39934</v>
      </c>
      <c r="F2672" s="39">
        <v>42</v>
      </c>
      <c r="G2672" t="s">
        <v>21</v>
      </c>
      <c r="H2672" t="s">
        <v>21</v>
      </c>
      <c r="I2672">
        <v>0</v>
      </c>
      <c r="J2672">
        <v>0</v>
      </c>
      <c r="K2672">
        <v>0</v>
      </c>
      <c r="L2672">
        <v>1</v>
      </c>
      <c r="M2672">
        <v>0</v>
      </c>
      <c r="N2672" t="s">
        <v>194</v>
      </c>
      <c r="O2672" t="s">
        <v>213</v>
      </c>
      <c r="P2672" t="s">
        <v>205</v>
      </c>
      <c r="Q2672" t="s">
        <v>170</v>
      </c>
      <c r="R2672" t="s">
        <v>155</v>
      </c>
      <c r="T2672" t="s">
        <v>134</v>
      </c>
      <c r="U2672">
        <v>1</v>
      </c>
      <c r="W2672" t="s">
        <v>134</v>
      </c>
      <c r="X2672">
        <v>1</v>
      </c>
      <c r="Y2672" t="s">
        <v>139</v>
      </c>
      <c r="Z2672" t="s">
        <v>178</v>
      </c>
      <c r="AA2672" t="s">
        <v>142</v>
      </c>
      <c r="AB2672" t="s">
        <v>163</v>
      </c>
      <c r="AC2672" t="s">
        <v>173</v>
      </c>
      <c r="AD2672" t="s">
        <v>155</v>
      </c>
      <c r="AE2672" t="s">
        <v>128</v>
      </c>
      <c r="AF2672" t="s">
        <v>21</v>
      </c>
    </row>
    <row r="2673" spans="1:32">
      <c r="A2673" t="s">
        <v>3764</v>
      </c>
      <c r="B2673" s="37">
        <v>39947</v>
      </c>
      <c r="C2673" s="38">
        <v>39947</v>
      </c>
      <c r="D2673" s="38">
        <v>39944</v>
      </c>
      <c r="E2673" s="38">
        <v>39934</v>
      </c>
      <c r="F2673" s="39">
        <v>42</v>
      </c>
      <c r="G2673" t="s">
        <v>21</v>
      </c>
      <c r="H2673" t="s">
        <v>21</v>
      </c>
      <c r="I2673">
        <v>0</v>
      </c>
      <c r="J2673">
        <v>0</v>
      </c>
      <c r="K2673">
        <v>0</v>
      </c>
      <c r="L2673">
        <v>1</v>
      </c>
      <c r="M2673">
        <v>0</v>
      </c>
      <c r="N2673" t="s">
        <v>195</v>
      </c>
      <c r="O2673" t="s">
        <v>213</v>
      </c>
      <c r="P2673" t="s">
        <v>206</v>
      </c>
      <c r="Q2673" t="s">
        <v>170</v>
      </c>
      <c r="R2673" t="s">
        <v>155</v>
      </c>
      <c r="T2673" t="s">
        <v>134</v>
      </c>
      <c r="U2673">
        <v>1</v>
      </c>
      <c r="W2673" t="s">
        <v>134</v>
      </c>
      <c r="X2673">
        <v>1</v>
      </c>
      <c r="Y2673" t="s">
        <v>139</v>
      </c>
      <c r="Z2673" t="s">
        <v>182</v>
      </c>
      <c r="AA2673" t="s">
        <v>145</v>
      </c>
      <c r="AB2673" t="s">
        <v>163</v>
      </c>
      <c r="AC2673" t="s">
        <v>3765</v>
      </c>
      <c r="AD2673" t="s">
        <v>155</v>
      </c>
      <c r="AE2673" t="s">
        <v>124</v>
      </c>
      <c r="AF2673" t="s">
        <v>21</v>
      </c>
    </row>
    <row r="2674" spans="1:32">
      <c r="A2674" t="s">
        <v>3766</v>
      </c>
      <c r="B2674" s="37">
        <v>39911</v>
      </c>
      <c r="C2674" s="38">
        <v>39911</v>
      </c>
      <c r="D2674" s="38">
        <v>39909</v>
      </c>
      <c r="E2674" s="38">
        <v>39904</v>
      </c>
      <c r="F2674" s="39">
        <v>6</v>
      </c>
      <c r="G2674" t="s">
        <v>9</v>
      </c>
      <c r="H2674" t="s">
        <v>9</v>
      </c>
      <c r="I2674">
        <v>1</v>
      </c>
      <c r="J2674">
        <v>0</v>
      </c>
      <c r="K2674">
        <v>0</v>
      </c>
      <c r="L2674">
        <v>0</v>
      </c>
      <c r="M2674">
        <v>1</v>
      </c>
      <c r="N2674" t="s">
        <v>194</v>
      </c>
      <c r="O2674" t="s">
        <v>213</v>
      </c>
      <c r="P2674" t="s">
        <v>205</v>
      </c>
      <c r="Q2674" t="s">
        <v>170</v>
      </c>
      <c r="R2674" t="s">
        <v>155</v>
      </c>
      <c r="T2674" t="s">
        <v>134</v>
      </c>
      <c r="U2674">
        <v>1</v>
      </c>
      <c r="W2674" t="s">
        <v>134</v>
      </c>
      <c r="X2674">
        <v>1</v>
      </c>
      <c r="Y2674" t="s">
        <v>139</v>
      </c>
      <c r="Z2674" t="s">
        <v>186</v>
      </c>
      <c r="AA2674" t="s">
        <v>142</v>
      </c>
      <c r="AB2674" t="s">
        <v>162</v>
      </c>
      <c r="AC2674" t="s">
        <v>175</v>
      </c>
      <c r="AD2674" t="s">
        <v>155</v>
      </c>
      <c r="AE2674" t="s">
        <v>439</v>
      </c>
      <c r="AF2674" t="s">
        <v>21</v>
      </c>
    </row>
    <row r="2675" spans="1:32">
      <c r="A2675" t="s">
        <v>3767</v>
      </c>
      <c r="B2675" s="37">
        <v>40010</v>
      </c>
      <c r="C2675" s="38">
        <v>40010</v>
      </c>
      <c r="D2675" s="38">
        <v>40007</v>
      </c>
      <c r="E2675" s="38">
        <v>39995</v>
      </c>
      <c r="F2675" s="39">
        <v>105</v>
      </c>
      <c r="G2675" t="s">
        <v>21</v>
      </c>
      <c r="H2675" t="s">
        <v>21</v>
      </c>
      <c r="I2675">
        <v>0</v>
      </c>
      <c r="J2675">
        <v>0</v>
      </c>
      <c r="K2675">
        <v>0</v>
      </c>
      <c r="L2675">
        <v>1</v>
      </c>
      <c r="M2675">
        <v>0</v>
      </c>
      <c r="N2675" t="s">
        <v>193</v>
      </c>
      <c r="O2675" t="s">
        <v>213</v>
      </c>
      <c r="P2675" t="s">
        <v>204</v>
      </c>
      <c r="Q2675" t="s">
        <v>170</v>
      </c>
      <c r="R2675" t="s">
        <v>155</v>
      </c>
      <c r="S2675">
        <v>5</v>
      </c>
      <c r="T2675" t="s">
        <v>135</v>
      </c>
      <c r="U2675">
        <v>0</v>
      </c>
      <c r="V2675">
        <v>4</v>
      </c>
      <c r="W2675" t="s">
        <v>137</v>
      </c>
      <c r="X2675">
        <v>0</v>
      </c>
      <c r="Y2675" t="s">
        <v>140</v>
      </c>
      <c r="Z2675" t="s">
        <v>183</v>
      </c>
      <c r="AA2675" t="s">
        <v>142</v>
      </c>
      <c r="AB2675" t="s">
        <v>162</v>
      </c>
      <c r="AC2675" t="s">
        <v>21</v>
      </c>
      <c r="AD2675" t="s">
        <v>155</v>
      </c>
      <c r="AE2675" t="s">
        <v>130</v>
      </c>
      <c r="AF2675" t="s">
        <v>21</v>
      </c>
    </row>
    <row r="2676" spans="1:32">
      <c r="A2676" t="s">
        <v>3768</v>
      </c>
      <c r="B2676" s="37">
        <v>40081</v>
      </c>
      <c r="C2676" s="38">
        <v>40081</v>
      </c>
      <c r="D2676" s="38">
        <v>40077</v>
      </c>
      <c r="E2676" s="38">
        <v>40057</v>
      </c>
      <c r="F2676" s="39">
        <v>176</v>
      </c>
      <c r="G2676" t="s">
        <v>380</v>
      </c>
      <c r="H2676" t="s">
        <v>17</v>
      </c>
      <c r="I2676">
        <v>0</v>
      </c>
      <c r="J2676">
        <v>0</v>
      </c>
      <c r="K2676">
        <v>1</v>
      </c>
      <c r="L2676">
        <v>0</v>
      </c>
      <c r="M2676">
        <v>0</v>
      </c>
      <c r="N2676" t="s">
        <v>193</v>
      </c>
      <c r="O2676" t="s">
        <v>213</v>
      </c>
      <c r="P2676" t="s">
        <v>204</v>
      </c>
      <c r="Q2676" t="s">
        <v>170</v>
      </c>
      <c r="R2676" t="s">
        <v>155</v>
      </c>
      <c r="S2676">
        <v>3</v>
      </c>
      <c r="T2676" t="s">
        <v>137</v>
      </c>
      <c r="U2676">
        <v>0</v>
      </c>
      <c r="V2676">
        <v>3</v>
      </c>
      <c r="W2676" t="s">
        <v>137</v>
      </c>
      <c r="X2676">
        <v>0</v>
      </c>
      <c r="Y2676" t="s">
        <v>140</v>
      </c>
      <c r="Z2676" t="s">
        <v>183</v>
      </c>
      <c r="AA2676" t="s">
        <v>143</v>
      </c>
      <c r="AB2676" t="s">
        <v>162</v>
      </c>
      <c r="AC2676" t="s">
        <v>21</v>
      </c>
      <c r="AD2676" t="s">
        <v>3748</v>
      </c>
      <c r="AE2676" t="s">
        <v>3769</v>
      </c>
      <c r="AF2676" t="s">
        <v>3770</v>
      </c>
    </row>
    <row r="2677" spans="1:32">
      <c r="A2677" t="s">
        <v>3771</v>
      </c>
      <c r="B2677" s="37">
        <v>40009</v>
      </c>
      <c r="C2677" s="38">
        <v>40009</v>
      </c>
      <c r="D2677" s="38">
        <v>40007</v>
      </c>
      <c r="E2677" s="38">
        <v>39995</v>
      </c>
      <c r="F2677" s="39">
        <v>104</v>
      </c>
      <c r="G2677" t="s">
        <v>525</v>
      </c>
      <c r="H2677" t="s">
        <v>17</v>
      </c>
      <c r="I2677">
        <v>0</v>
      </c>
      <c r="J2677">
        <v>0</v>
      </c>
      <c r="K2677">
        <v>1</v>
      </c>
      <c r="L2677">
        <v>0</v>
      </c>
      <c r="M2677">
        <v>0</v>
      </c>
      <c r="N2677" t="s">
        <v>196</v>
      </c>
      <c r="O2677" t="s">
        <v>213</v>
      </c>
      <c r="P2677" t="s">
        <v>207</v>
      </c>
      <c r="Q2677" t="s">
        <v>170</v>
      </c>
      <c r="R2677" t="s">
        <v>155</v>
      </c>
      <c r="S2677">
        <v>1</v>
      </c>
      <c r="T2677" t="s">
        <v>136</v>
      </c>
      <c r="U2677">
        <v>0</v>
      </c>
      <c r="V2677">
        <v>5</v>
      </c>
      <c r="W2677" t="s">
        <v>135</v>
      </c>
      <c r="X2677">
        <v>0</v>
      </c>
      <c r="Y2677" t="s">
        <v>139</v>
      </c>
      <c r="Z2677" t="s">
        <v>180</v>
      </c>
      <c r="AA2677" t="s">
        <v>144</v>
      </c>
      <c r="AB2677" t="s">
        <v>162</v>
      </c>
      <c r="AC2677" t="s">
        <v>174</v>
      </c>
      <c r="AD2677" t="s">
        <v>160</v>
      </c>
      <c r="AE2677" t="s">
        <v>392</v>
      </c>
      <c r="AF2677" t="s">
        <v>393</v>
      </c>
    </row>
    <row r="2678" spans="1:32">
      <c r="A2678" t="s">
        <v>3772</v>
      </c>
      <c r="B2678" s="37">
        <v>39933</v>
      </c>
      <c r="C2678" s="38">
        <v>39933</v>
      </c>
      <c r="D2678" s="38">
        <v>39930</v>
      </c>
      <c r="E2678" s="38">
        <v>39904</v>
      </c>
      <c r="F2678" s="39">
        <v>28</v>
      </c>
      <c r="G2678" t="s">
        <v>21</v>
      </c>
      <c r="H2678" t="s">
        <v>21</v>
      </c>
      <c r="I2678">
        <v>0</v>
      </c>
      <c r="J2678">
        <v>0</v>
      </c>
      <c r="K2678">
        <v>0</v>
      </c>
      <c r="L2678">
        <v>1</v>
      </c>
      <c r="M2678">
        <v>0</v>
      </c>
      <c r="N2678" t="s">
        <v>201</v>
      </c>
      <c r="O2678" t="s">
        <v>214</v>
      </c>
      <c r="P2678" t="s">
        <v>204</v>
      </c>
      <c r="Q2678" t="s">
        <v>170</v>
      </c>
      <c r="R2678" t="s">
        <v>155</v>
      </c>
      <c r="T2678" t="s">
        <v>134</v>
      </c>
      <c r="U2678">
        <v>1</v>
      </c>
      <c r="W2678" t="s">
        <v>134</v>
      </c>
      <c r="X2678">
        <v>1</v>
      </c>
      <c r="Y2678" t="s">
        <v>140</v>
      </c>
      <c r="Z2678" t="s">
        <v>180</v>
      </c>
      <c r="AA2678" t="s">
        <v>142</v>
      </c>
      <c r="AB2678" t="s">
        <v>162</v>
      </c>
      <c r="AC2678" t="s">
        <v>175</v>
      </c>
      <c r="AD2678" t="s">
        <v>155</v>
      </c>
      <c r="AE2678" t="s">
        <v>129</v>
      </c>
      <c r="AF2678" t="s">
        <v>21</v>
      </c>
    </row>
    <row r="2679" spans="1:32">
      <c r="A2679" t="s">
        <v>3773</v>
      </c>
      <c r="B2679" s="37">
        <v>39993</v>
      </c>
      <c r="C2679" s="38">
        <v>39993</v>
      </c>
      <c r="D2679" s="38">
        <v>39993</v>
      </c>
      <c r="E2679" s="38">
        <v>39965</v>
      </c>
      <c r="F2679" s="39">
        <v>88</v>
      </c>
      <c r="G2679" t="s">
        <v>21</v>
      </c>
      <c r="H2679" t="s">
        <v>21</v>
      </c>
      <c r="I2679">
        <v>0</v>
      </c>
      <c r="J2679">
        <v>0</v>
      </c>
      <c r="K2679">
        <v>0</v>
      </c>
      <c r="L2679">
        <v>1</v>
      </c>
      <c r="M2679">
        <v>0</v>
      </c>
      <c r="N2679" t="s">
        <v>195</v>
      </c>
      <c r="O2679" t="s">
        <v>213</v>
      </c>
      <c r="P2679" t="s">
        <v>206</v>
      </c>
      <c r="Q2679" t="s">
        <v>170</v>
      </c>
      <c r="R2679" t="s">
        <v>155</v>
      </c>
      <c r="T2679" t="s">
        <v>134</v>
      </c>
      <c r="U2679">
        <v>1</v>
      </c>
      <c r="V2679">
        <v>5</v>
      </c>
      <c r="W2679" t="s">
        <v>135</v>
      </c>
      <c r="X2679">
        <v>0</v>
      </c>
      <c r="Y2679" t="s">
        <v>139</v>
      </c>
      <c r="Z2679" t="s">
        <v>191</v>
      </c>
      <c r="AA2679" t="s">
        <v>144</v>
      </c>
      <c r="AB2679" t="s">
        <v>163</v>
      </c>
      <c r="AC2679" t="s">
        <v>21</v>
      </c>
      <c r="AD2679" t="s">
        <v>155</v>
      </c>
      <c r="AE2679" t="s">
        <v>124</v>
      </c>
      <c r="AF2679" t="s">
        <v>21</v>
      </c>
    </row>
    <row r="2680" spans="1:32">
      <c r="A2680" t="s">
        <v>3774</v>
      </c>
      <c r="B2680" s="37">
        <v>39956</v>
      </c>
      <c r="C2680" s="38">
        <v>39956</v>
      </c>
      <c r="D2680" s="38">
        <v>39951</v>
      </c>
      <c r="E2680" s="38">
        <v>39934</v>
      </c>
      <c r="F2680" s="39">
        <v>51</v>
      </c>
      <c r="G2680" t="s">
        <v>380</v>
      </c>
      <c r="H2680" t="s">
        <v>17</v>
      </c>
      <c r="I2680">
        <v>0</v>
      </c>
      <c r="J2680">
        <v>0</v>
      </c>
      <c r="K2680">
        <v>1</v>
      </c>
      <c r="L2680">
        <v>0</v>
      </c>
      <c r="M2680">
        <v>0</v>
      </c>
      <c r="N2680" t="s">
        <v>195</v>
      </c>
      <c r="O2680" t="s">
        <v>213</v>
      </c>
      <c r="P2680" t="s">
        <v>206</v>
      </c>
      <c r="Q2680" t="s">
        <v>170</v>
      </c>
      <c r="R2680" t="s">
        <v>155</v>
      </c>
      <c r="T2680" t="s">
        <v>134</v>
      </c>
      <c r="U2680">
        <v>1</v>
      </c>
      <c r="W2680" t="s">
        <v>134</v>
      </c>
      <c r="X2680">
        <v>1</v>
      </c>
      <c r="Y2680" t="s">
        <v>139</v>
      </c>
      <c r="Z2680" t="s">
        <v>186</v>
      </c>
      <c r="AA2680" t="s">
        <v>143</v>
      </c>
      <c r="AB2680" t="s">
        <v>162</v>
      </c>
      <c r="AC2680" t="s">
        <v>2371</v>
      </c>
      <c r="AD2680" t="s">
        <v>159</v>
      </c>
      <c r="AE2680" t="s">
        <v>126</v>
      </c>
      <c r="AF2680" t="s">
        <v>601</v>
      </c>
    </row>
    <row r="2681" spans="1:32">
      <c r="A2681" t="s">
        <v>3775</v>
      </c>
      <c r="B2681" s="37">
        <v>39932</v>
      </c>
      <c r="C2681" s="38">
        <v>39932</v>
      </c>
      <c r="D2681" s="38">
        <v>39930</v>
      </c>
      <c r="E2681" s="38">
        <v>39904</v>
      </c>
      <c r="F2681" s="39">
        <v>27</v>
      </c>
      <c r="G2681" t="s">
        <v>525</v>
      </c>
      <c r="H2681" t="s">
        <v>17</v>
      </c>
      <c r="I2681">
        <v>0</v>
      </c>
      <c r="J2681">
        <v>0</v>
      </c>
      <c r="K2681">
        <v>1</v>
      </c>
      <c r="L2681">
        <v>0</v>
      </c>
      <c r="M2681">
        <v>0</v>
      </c>
      <c r="N2681" t="s">
        <v>199</v>
      </c>
      <c r="O2681" t="s">
        <v>213</v>
      </c>
      <c r="P2681" t="s">
        <v>210</v>
      </c>
      <c r="Q2681" t="s">
        <v>170</v>
      </c>
      <c r="R2681" t="s">
        <v>155</v>
      </c>
      <c r="T2681" t="s">
        <v>134</v>
      </c>
      <c r="U2681">
        <v>1</v>
      </c>
      <c r="W2681" t="s">
        <v>134</v>
      </c>
      <c r="X2681">
        <v>1</v>
      </c>
      <c r="Y2681" t="s">
        <v>139</v>
      </c>
      <c r="Z2681" t="s">
        <v>433</v>
      </c>
      <c r="AA2681" t="s">
        <v>147</v>
      </c>
      <c r="AB2681" t="s">
        <v>163</v>
      </c>
      <c r="AC2681" t="s">
        <v>21</v>
      </c>
      <c r="AD2681" t="s">
        <v>155</v>
      </c>
      <c r="AE2681" t="s">
        <v>125</v>
      </c>
      <c r="AF2681" t="s">
        <v>21</v>
      </c>
    </row>
    <row r="2682" spans="1:32">
      <c r="A2682" t="s">
        <v>3776</v>
      </c>
      <c r="B2682" s="37">
        <v>39911</v>
      </c>
      <c r="C2682" s="38">
        <v>39911</v>
      </c>
      <c r="D2682" s="38">
        <v>39909</v>
      </c>
      <c r="E2682" s="38">
        <v>39904</v>
      </c>
      <c r="F2682" s="39">
        <v>6</v>
      </c>
      <c r="G2682" t="s">
        <v>21</v>
      </c>
      <c r="H2682" t="s">
        <v>21</v>
      </c>
      <c r="I2682">
        <v>0</v>
      </c>
      <c r="J2682">
        <v>0</v>
      </c>
      <c r="K2682">
        <v>0</v>
      </c>
      <c r="L2682">
        <v>1</v>
      </c>
      <c r="M2682">
        <v>0</v>
      </c>
      <c r="N2682" t="s">
        <v>194</v>
      </c>
      <c r="O2682" t="s">
        <v>213</v>
      </c>
      <c r="P2682" t="s">
        <v>205</v>
      </c>
      <c r="Q2682" t="s">
        <v>170</v>
      </c>
      <c r="R2682" t="s">
        <v>155</v>
      </c>
      <c r="T2682" t="s">
        <v>134</v>
      </c>
      <c r="U2682">
        <v>1</v>
      </c>
      <c r="W2682" t="s">
        <v>134</v>
      </c>
      <c r="X2682">
        <v>1</v>
      </c>
      <c r="Y2682" t="s">
        <v>139</v>
      </c>
      <c r="Z2682" t="s">
        <v>534</v>
      </c>
      <c r="AA2682" t="s">
        <v>145</v>
      </c>
      <c r="AB2682" t="s">
        <v>163</v>
      </c>
      <c r="AC2682" t="s">
        <v>173</v>
      </c>
      <c r="AD2682" t="s">
        <v>155</v>
      </c>
      <c r="AE2682" t="s">
        <v>125</v>
      </c>
      <c r="AF2682" t="s">
        <v>21</v>
      </c>
    </row>
    <row r="2683" spans="1:32">
      <c r="A2683" t="s">
        <v>3777</v>
      </c>
      <c r="B2683" s="37">
        <v>40075</v>
      </c>
      <c r="C2683" s="38">
        <v>40075</v>
      </c>
      <c r="D2683" s="38">
        <v>40070</v>
      </c>
      <c r="E2683" s="38">
        <v>40057</v>
      </c>
      <c r="F2683" s="39">
        <v>170</v>
      </c>
      <c r="G2683" t="s">
        <v>496</v>
      </c>
      <c r="H2683" t="s">
        <v>13</v>
      </c>
      <c r="I2683">
        <v>0</v>
      </c>
      <c r="J2683">
        <v>1</v>
      </c>
      <c r="K2683">
        <v>0</v>
      </c>
      <c r="L2683">
        <v>0</v>
      </c>
      <c r="M2683">
        <v>1</v>
      </c>
      <c r="N2683" t="s">
        <v>195</v>
      </c>
      <c r="O2683" t="s">
        <v>213</v>
      </c>
      <c r="P2683" t="s">
        <v>206</v>
      </c>
      <c r="Q2683" t="s">
        <v>170</v>
      </c>
      <c r="R2683" t="s">
        <v>155</v>
      </c>
      <c r="S2683">
        <v>5</v>
      </c>
      <c r="T2683" t="s">
        <v>135</v>
      </c>
      <c r="U2683">
        <v>0</v>
      </c>
      <c r="V2683">
        <v>5</v>
      </c>
      <c r="W2683" t="s">
        <v>135</v>
      </c>
      <c r="X2683">
        <v>0</v>
      </c>
      <c r="Y2683" t="s">
        <v>139</v>
      </c>
      <c r="Z2683" t="s">
        <v>433</v>
      </c>
      <c r="AA2683" t="s">
        <v>146</v>
      </c>
      <c r="AB2683" t="s">
        <v>163</v>
      </c>
      <c r="AC2683" t="s">
        <v>173</v>
      </c>
      <c r="AD2683" t="s">
        <v>155</v>
      </c>
      <c r="AE2683" t="s">
        <v>128</v>
      </c>
      <c r="AF2683" t="s">
        <v>21</v>
      </c>
    </row>
    <row r="2684" spans="1:32">
      <c r="A2684" t="s">
        <v>3778</v>
      </c>
      <c r="B2684" s="37">
        <v>39965</v>
      </c>
      <c r="C2684" s="38">
        <v>39965</v>
      </c>
      <c r="D2684" s="38">
        <v>39965</v>
      </c>
      <c r="E2684" s="38">
        <v>39965</v>
      </c>
      <c r="F2684" s="39">
        <v>60</v>
      </c>
      <c r="G2684" t="s">
        <v>21</v>
      </c>
      <c r="H2684" t="s">
        <v>21</v>
      </c>
      <c r="I2684">
        <v>0</v>
      </c>
      <c r="J2684">
        <v>0</v>
      </c>
      <c r="K2684">
        <v>0</v>
      </c>
      <c r="L2684">
        <v>1</v>
      </c>
      <c r="M2684">
        <v>0</v>
      </c>
      <c r="N2684" t="s">
        <v>194</v>
      </c>
      <c r="O2684" t="s">
        <v>213</v>
      </c>
      <c r="P2684" t="s">
        <v>205</v>
      </c>
      <c r="Q2684" t="s">
        <v>170</v>
      </c>
      <c r="R2684" t="s">
        <v>155</v>
      </c>
      <c r="T2684" t="s">
        <v>134</v>
      </c>
      <c r="U2684">
        <v>1</v>
      </c>
      <c r="W2684" t="s">
        <v>134</v>
      </c>
      <c r="X2684">
        <v>1</v>
      </c>
      <c r="Y2684" t="s">
        <v>139</v>
      </c>
      <c r="Z2684" t="s">
        <v>433</v>
      </c>
      <c r="AA2684" t="s">
        <v>144</v>
      </c>
      <c r="AB2684" t="s">
        <v>163</v>
      </c>
      <c r="AC2684" t="s">
        <v>173</v>
      </c>
      <c r="AD2684" t="s">
        <v>155</v>
      </c>
      <c r="AE2684" t="s">
        <v>406</v>
      </c>
      <c r="AF2684" t="s">
        <v>21</v>
      </c>
    </row>
    <row r="2685" spans="1:32">
      <c r="A2685" t="s">
        <v>3779</v>
      </c>
      <c r="B2685" s="37">
        <v>40002</v>
      </c>
      <c r="C2685" s="38">
        <v>40002</v>
      </c>
      <c r="D2685" s="38">
        <v>40000</v>
      </c>
      <c r="E2685" s="38">
        <v>39995</v>
      </c>
      <c r="F2685" s="39">
        <v>97</v>
      </c>
      <c r="G2685" t="s">
        <v>21</v>
      </c>
      <c r="H2685" t="s">
        <v>21</v>
      </c>
      <c r="I2685">
        <v>0</v>
      </c>
      <c r="J2685">
        <v>0</v>
      </c>
      <c r="K2685">
        <v>0</v>
      </c>
      <c r="L2685">
        <v>1</v>
      </c>
      <c r="M2685">
        <v>0</v>
      </c>
      <c r="N2685" t="s">
        <v>193</v>
      </c>
      <c r="O2685" t="s">
        <v>213</v>
      </c>
      <c r="P2685" t="s">
        <v>204</v>
      </c>
      <c r="Q2685" t="s">
        <v>170</v>
      </c>
      <c r="R2685" t="s">
        <v>155</v>
      </c>
      <c r="T2685" t="s">
        <v>134</v>
      </c>
      <c r="U2685">
        <v>1</v>
      </c>
      <c r="V2685">
        <v>2</v>
      </c>
      <c r="W2685" t="s">
        <v>136</v>
      </c>
      <c r="X2685">
        <v>0</v>
      </c>
      <c r="Y2685" t="s">
        <v>140</v>
      </c>
      <c r="Z2685" t="s">
        <v>180</v>
      </c>
      <c r="AA2685" t="s">
        <v>148</v>
      </c>
      <c r="AB2685" t="s">
        <v>162</v>
      </c>
      <c r="AC2685" t="s">
        <v>176</v>
      </c>
      <c r="AD2685" t="s">
        <v>155</v>
      </c>
      <c r="AE2685" t="s">
        <v>130</v>
      </c>
      <c r="AF2685" t="s">
        <v>21</v>
      </c>
    </row>
    <row r="2686" spans="1:32">
      <c r="A2686" t="s">
        <v>3780</v>
      </c>
      <c r="B2686" s="37">
        <v>40023</v>
      </c>
      <c r="C2686" s="38">
        <v>40023</v>
      </c>
      <c r="D2686" s="38">
        <v>40021</v>
      </c>
      <c r="E2686" s="38">
        <v>39995</v>
      </c>
      <c r="F2686" s="39">
        <v>118</v>
      </c>
      <c r="G2686" t="s">
        <v>21</v>
      </c>
      <c r="H2686" t="s">
        <v>21</v>
      </c>
      <c r="I2686">
        <v>0</v>
      </c>
      <c r="J2686">
        <v>0</v>
      </c>
      <c r="K2686">
        <v>0</v>
      </c>
      <c r="L2686">
        <v>1</v>
      </c>
      <c r="M2686">
        <v>0</v>
      </c>
      <c r="N2686" t="s">
        <v>195</v>
      </c>
      <c r="O2686" t="s">
        <v>213</v>
      </c>
      <c r="P2686" t="s">
        <v>206</v>
      </c>
      <c r="Q2686" t="s">
        <v>170</v>
      </c>
      <c r="R2686" t="s">
        <v>155</v>
      </c>
      <c r="S2686">
        <v>5</v>
      </c>
      <c r="T2686" t="s">
        <v>135</v>
      </c>
      <c r="U2686">
        <v>0</v>
      </c>
      <c r="V2686">
        <v>2</v>
      </c>
      <c r="W2686" t="s">
        <v>136</v>
      </c>
      <c r="X2686">
        <v>0</v>
      </c>
      <c r="Y2686" t="s">
        <v>139</v>
      </c>
      <c r="Z2686" t="s">
        <v>180</v>
      </c>
      <c r="AA2686" t="s">
        <v>146</v>
      </c>
      <c r="AB2686" t="s">
        <v>162</v>
      </c>
      <c r="AC2686" t="s">
        <v>174</v>
      </c>
      <c r="AD2686" t="s">
        <v>156</v>
      </c>
      <c r="AE2686" t="s">
        <v>120</v>
      </c>
      <c r="AF2686" t="s">
        <v>3781</v>
      </c>
    </row>
    <row r="2687" spans="1:32">
      <c r="A2687" t="s">
        <v>3782</v>
      </c>
      <c r="B2687" s="37">
        <v>40012</v>
      </c>
      <c r="C2687" s="38">
        <v>40012</v>
      </c>
      <c r="D2687" s="38">
        <v>40007</v>
      </c>
      <c r="E2687" s="38">
        <v>39995</v>
      </c>
      <c r="F2687" s="39">
        <v>107</v>
      </c>
      <c r="G2687" t="s">
        <v>21</v>
      </c>
      <c r="H2687" t="s">
        <v>21</v>
      </c>
      <c r="I2687">
        <v>0</v>
      </c>
      <c r="J2687">
        <v>0</v>
      </c>
      <c r="K2687">
        <v>0</v>
      </c>
      <c r="L2687">
        <v>1</v>
      </c>
      <c r="M2687">
        <v>0</v>
      </c>
      <c r="N2687" t="s">
        <v>195</v>
      </c>
      <c r="O2687" t="s">
        <v>213</v>
      </c>
      <c r="P2687" t="s">
        <v>206</v>
      </c>
      <c r="Q2687" t="s">
        <v>170</v>
      </c>
      <c r="R2687" t="s">
        <v>155</v>
      </c>
      <c r="S2687">
        <v>5</v>
      </c>
      <c r="T2687" t="s">
        <v>135</v>
      </c>
      <c r="U2687">
        <v>0</v>
      </c>
      <c r="V2687">
        <v>5</v>
      </c>
      <c r="W2687" t="s">
        <v>135</v>
      </c>
      <c r="X2687">
        <v>0</v>
      </c>
      <c r="Y2687" t="s">
        <v>139</v>
      </c>
      <c r="Z2687" t="s">
        <v>180</v>
      </c>
      <c r="AA2687" t="s">
        <v>143</v>
      </c>
      <c r="AB2687" t="s">
        <v>163</v>
      </c>
      <c r="AC2687" t="s">
        <v>173</v>
      </c>
      <c r="AD2687" t="s">
        <v>155</v>
      </c>
      <c r="AE2687" t="s">
        <v>510</v>
      </c>
      <c r="AF2687" t="s">
        <v>21</v>
      </c>
    </row>
    <row r="2688" spans="1:32">
      <c r="A2688" t="s">
        <v>3783</v>
      </c>
      <c r="B2688" s="37">
        <v>40076</v>
      </c>
      <c r="C2688" s="38">
        <v>40076</v>
      </c>
      <c r="D2688" s="38">
        <v>40070</v>
      </c>
      <c r="E2688" s="38">
        <v>40057</v>
      </c>
      <c r="F2688" s="39">
        <v>171</v>
      </c>
      <c r="G2688" t="s">
        <v>21</v>
      </c>
      <c r="H2688" t="s">
        <v>21</v>
      </c>
      <c r="I2688">
        <v>0</v>
      </c>
      <c r="J2688">
        <v>0</v>
      </c>
      <c r="K2688">
        <v>0</v>
      </c>
      <c r="L2688">
        <v>1</v>
      </c>
      <c r="M2688">
        <v>0</v>
      </c>
      <c r="N2688" t="s">
        <v>544</v>
      </c>
      <c r="O2688" t="s">
        <v>213</v>
      </c>
      <c r="P2688" t="s">
        <v>545</v>
      </c>
      <c r="Q2688" t="s">
        <v>170</v>
      </c>
      <c r="R2688" t="s">
        <v>155</v>
      </c>
      <c r="S2688">
        <v>2</v>
      </c>
      <c r="T2688" t="s">
        <v>136</v>
      </c>
      <c r="U2688">
        <v>0</v>
      </c>
      <c r="V2688">
        <v>5</v>
      </c>
      <c r="W2688" t="s">
        <v>135</v>
      </c>
      <c r="X2688">
        <v>0</v>
      </c>
      <c r="Y2688" t="s">
        <v>139</v>
      </c>
      <c r="Z2688" t="s">
        <v>180</v>
      </c>
      <c r="AA2688" t="s">
        <v>144</v>
      </c>
      <c r="AB2688" t="s">
        <v>163</v>
      </c>
      <c r="AC2688" t="s">
        <v>21</v>
      </c>
      <c r="AD2688" t="s">
        <v>155</v>
      </c>
      <c r="AE2688" t="s">
        <v>128</v>
      </c>
      <c r="AF2688" t="s">
        <v>21</v>
      </c>
    </row>
    <row r="2689" spans="1:32">
      <c r="A2689" t="s">
        <v>3784</v>
      </c>
      <c r="B2689" s="37">
        <v>39996</v>
      </c>
      <c r="C2689" s="38">
        <v>39996</v>
      </c>
      <c r="D2689" s="38">
        <v>39993</v>
      </c>
      <c r="E2689" s="38">
        <v>39995</v>
      </c>
      <c r="F2689" s="39">
        <v>91</v>
      </c>
      <c r="G2689" t="s">
        <v>21</v>
      </c>
      <c r="H2689" t="s">
        <v>21</v>
      </c>
      <c r="I2689">
        <v>0</v>
      </c>
      <c r="J2689">
        <v>0</v>
      </c>
      <c r="K2689">
        <v>0</v>
      </c>
      <c r="L2689">
        <v>1</v>
      </c>
      <c r="M2689">
        <v>0</v>
      </c>
      <c r="N2689" t="s">
        <v>196</v>
      </c>
      <c r="O2689" t="s">
        <v>213</v>
      </c>
      <c r="P2689" t="s">
        <v>207</v>
      </c>
      <c r="Q2689" t="s">
        <v>170</v>
      </c>
      <c r="R2689" t="s">
        <v>155</v>
      </c>
      <c r="T2689" t="s">
        <v>134</v>
      </c>
      <c r="U2689">
        <v>1</v>
      </c>
      <c r="V2689">
        <v>5</v>
      </c>
      <c r="W2689" t="s">
        <v>135</v>
      </c>
      <c r="X2689">
        <v>0</v>
      </c>
      <c r="Y2689" t="s">
        <v>139</v>
      </c>
      <c r="Z2689" t="s">
        <v>433</v>
      </c>
      <c r="AA2689" t="s">
        <v>142</v>
      </c>
      <c r="AB2689" t="s">
        <v>162</v>
      </c>
      <c r="AC2689" t="s">
        <v>175</v>
      </c>
      <c r="AD2689" t="s">
        <v>125</v>
      </c>
      <c r="AE2689" t="s">
        <v>3785</v>
      </c>
      <c r="AF2689" t="s">
        <v>3786</v>
      </c>
    </row>
    <row r="2690" spans="1:32">
      <c r="A2690" t="s">
        <v>3787</v>
      </c>
      <c r="B2690" s="37">
        <v>40019</v>
      </c>
      <c r="C2690" s="38">
        <v>40019</v>
      </c>
      <c r="D2690" s="38">
        <v>40014</v>
      </c>
      <c r="E2690" s="38">
        <v>39995</v>
      </c>
      <c r="F2690" s="39">
        <v>114</v>
      </c>
      <c r="G2690" t="s">
        <v>21</v>
      </c>
      <c r="H2690" t="s">
        <v>21</v>
      </c>
      <c r="I2690">
        <v>0</v>
      </c>
      <c r="J2690">
        <v>0</v>
      </c>
      <c r="K2690">
        <v>0</v>
      </c>
      <c r="L2690">
        <v>1</v>
      </c>
      <c r="M2690">
        <v>0</v>
      </c>
      <c r="N2690" t="s">
        <v>197</v>
      </c>
      <c r="O2690" t="s">
        <v>213</v>
      </c>
      <c r="P2690" t="s">
        <v>209</v>
      </c>
      <c r="Q2690" t="s">
        <v>170</v>
      </c>
      <c r="R2690" t="s">
        <v>155</v>
      </c>
      <c r="S2690">
        <v>5</v>
      </c>
      <c r="T2690" t="s">
        <v>135</v>
      </c>
      <c r="U2690">
        <v>0</v>
      </c>
      <c r="V2690">
        <v>2</v>
      </c>
      <c r="W2690" t="s">
        <v>136</v>
      </c>
      <c r="X2690">
        <v>0</v>
      </c>
      <c r="Y2690" t="s">
        <v>139</v>
      </c>
      <c r="Z2690" t="s">
        <v>186</v>
      </c>
      <c r="AA2690" t="s">
        <v>151</v>
      </c>
      <c r="AB2690" t="s">
        <v>163</v>
      </c>
      <c r="AC2690" t="s">
        <v>173</v>
      </c>
      <c r="AD2690" t="s">
        <v>155</v>
      </c>
      <c r="AE2690" t="s">
        <v>1075</v>
      </c>
      <c r="AF2690" t="s">
        <v>21</v>
      </c>
    </row>
    <row r="2691" spans="1:32">
      <c r="A2691" t="s">
        <v>3788</v>
      </c>
      <c r="B2691" s="37">
        <v>39948</v>
      </c>
      <c r="C2691" s="38">
        <v>39948</v>
      </c>
      <c r="D2691" s="38">
        <v>39944</v>
      </c>
      <c r="E2691" s="38">
        <v>39934</v>
      </c>
      <c r="F2691" s="39">
        <v>43</v>
      </c>
      <c r="G2691" t="s">
        <v>380</v>
      </c>
      <c r="H2691" t="s">
        <v>17</v>
      </c>
      <c r="I2691">
        <v>0</v>
      </c>
      <c r="J2691">
        <v>0</v>
      </c>
      <c r="K2691">
        <v>1</v>
      </c>
      <c r="L2691">
        <v>0</v>
      </c>
      <c r="M2691">
        <v>0</v>
      </c>
      <c r="N2691" t="s">
        <v>193</v>
      </c>
      <c r="O2691" t="s">
        <v>213</v>
      </c>
      <c r="P2691" t="s">
        <v>204</v>
      </c>
      <c r="Q2691" t="s">
        <v>170</v>
      </c>
      <c r="R2691" t="s">
        <v>155</v>
      </c>
      <c r="T2691" t="s">
        <v>134</v>
      </c>
      <c r="U2691">
        <v>1</v>
      </c>
      <c r="W2691" t="s">
        <v>134</v>
      </c>
      <c r="X2691">
        <v>1</v>
      </c>
      <c r="Y2691" t="s">
        <v>140</v>
      </c>
      <c r="Z2691" t="s">
        <v>186</v>
      </c>
      <c r="AA2691" t="s">
        <v>149</v>
      </c>
      <c r="AB2691" t="s">
        <v>165</v>
      </c>
      <c r="AC2691" t="s">
        <v>3789</v>
      </c>
      <c r="AD2691" t="s">
        <v>158</v>
      </c>
      <c r="AE2691" t="s">
        <v>122</v>
      </c>
      <c r="AF2691" t="s">
        <v>21</v>
      </c>
    </row>
    <row r="2692" spans="1:32">
      <c r="A2692" t="s">
        <v>3790</v>
      </c>
      <c r="B2692" s="37">
        <v>40048</v>
      </c>
      <c r="C2692" s="38">
        <v>40048</v>
      </c>
      <c r="D2692" s="38">
        <v>40042</v>
      </c>
      <c r="E2692" s="38">
        <v>40026</v>
      </c>
      <c r="F2692" s="39">
        <v>143</v>
      </c>
      <c r="G2692" t="s">
        <v>21</v>
      </c>
      <c r="H2692" t="s">
        <v>21</v>
      </c>
      <c r="I2692">
        <v>0</v>
      </c>
      <c r="J2692">
        <v>0</v>
      </c>
      <c r="K2692">
        <v>0</v>
      </c>
      <c r="L2692">
        <v>1</v>
      </c>
      <c r="M2692">
        <v>0</v>
      </c>
      <c r="N2692" t="s">
        <v>193</v>
      </c>
      <c r="O2692" t="s">
        <v>213</v>
      </c>
      <c r="P2692" t="s">
        <v>204</v>
      </c>
      <c r="Q2692" t="s">
        <v>170</v>
      </c>
      <c r="R2692" t="s">
        <v>155</v>
      </c>
      <c r="S2692">
        <v>5</v>
      </c>
      <c r="T2692" t="s">
        <v>135</v>
      </c>
      <c r="U2692">
        <v>0</v>
      </c>
      <c r="V2692">
        <v>3</v>
      </c>
      <c r="W2692" t="s">
        <v>137</v>
      </c>
      <c r="X2692">
        <v>0</v>
      </c>
      <c r="Y2692" t="s">
        <v>140</v>
      </c>
      <c r="Z2692" t="s">
        <v>183</v>
      </c>
      <c r="AA2692" t="s">
        <v>142</v>
      </c>
      <c r="AB2692" t="s">
        <v>162</v>
      </c>
      <c r="AC2692" t="s">
        <v>2873</v>
      </c>
      <c r="AD2692" t="s">
        <v>159</v>
      </c>
      <c r="AE2692" t="s">
        <v>123</v>
      </c>
      <c r="AF2692" t="s">
        <v>123</v>
      </c>
    </row>
    <row r="2693" spans="1:32">
      <c r="A2693" t="s">
        <v>3791</v>
      </c>
      <c r="B2693" s="37">
        <v>39995</v>
      </c>
      <c r="C2693" s="38">
        <v>39995</v>
      </c>
      <c r="D2693" s="38">
        <v>39993</v>
      </c>
      <c r="E2693" s="38">
        <v>39995</v>
      </c>
      <c r="F2693" s="39">
        <v>90</v>
      </c>
      <c r="G2693" t="s">
        <v>21</v>
      </c>
      <c r="H2693" t="s">
        <v>21</v>
      </c>
      <c r="I2693">
        <v>0</v>
      </c>
      <c r="J2693">
        <v>0</v>
      </c>
      <c r="K2693">
        <v>0</v>
      </c>
      <c r="L2693">
        <v>1</v>
      </c>
      <c r="M2693">
        <v>0</v>
      </c>
      <c r="N2693" t="s">
        <v>196</v>
      </c>
      <c r="O2693" t="s">
        <v>213</v>
      </c>
      <c r="P2693" t="s">
        <v>207</v>
      </c>
      <c r="Q2693" t="s">
        <v>170</v>
      </c>
      <c r="R2693" t="s">
        <v>155</v>
      </c>
      <c r="T2693" t="s">
        <v>134</v>
      </c>
      <c r="U2693">
        <v>1</v>
      </c>
      <c r="V2693">
        <v>5</v>
      </c>
      <c r="W2693" t="s">
        <v>135</v>
      </c>
      <c r="X2693">
        <v>0</v>
      </c>
      <c r="Y2693" t="s">
        <v>139</v>
      </c>
      <c r="Z2693" t="s">
        <v>181</v>
      </c>
      <c r="AA2693" t="s">
        <v>149</v>
      </c>
      <c r="AB2693" t="s">
        <v>162</v>
      </c>
      <c r="AC2693" t="s">
        <v>175</v>
      </c>
      <c r="AD2693" t="s">
        <v>155</v>
      </c>
      <c r="AE2693" t="s">
        <v>130</v>
      </c>
      <c r="AF2693" t="s">
        <v>21</v>
      </c>
    </row>
    <row r="2694" spans="1:32">
      <c r="A2694" t="s">
        <v>3792</v>
      </c>
      <c r="B2694" s="37">
        <v>39940</v>
      </c>
      <c r="C2694" s="38">
        <v>39940</v>
      </c>
      <c r="D2694" s="38">
        <v>39937</v>
      </c>
      <c r="E2694" s="38">
        <v>39934</v>
      </c>
      <c r="F2694" s="39">
        <v>35</v>
      </c>
      <c r="G2694" t="s">
        <v>9</v>
      </c>
      <c r="H2694" t="s">
        <v>9</v>
      </c>
      <c r="I2694">
        <v>1</v>
      </c>
      <c r="J2694">
        <v>0</v>
      </c>
      <c r="K2694">
        <v>0</v>
      </c>
      <c r="L2694">
        <v>0</v>
      </c>
      <c r="M2694">
        <v>1</v>
      </c>
      <c r="N2694" t="s">
        <v>201</v>
      </c>
      <c r="O2694" t="s">
        <v>214</v>
      </c>
      <c r="P2694" t="s">
        <v>204</v>
      </c>
      <c r="Q2694" t="s">
        <v>170</v>
      </c>
      <c r="R2694" t="s">
        <v>155</v>
      </c>
      <c r="T2694" t="s">
        <v>134</v>
      </c>
      <c r="U2694">
        <v>1</v>
      </c>
      <c r="W2694" t="s">
        <v>134</v>
      </c>
      <c r="X2694">
        <v>1</v>
      </c>
      <c r="Y2694" t="s">
        <v>140</v>
      </c>
      <c r="Z2694" t="s">
        <v>181</v>
      </c>
      <c r="AA2694" t="s">
        <v>142</v>
      </c>
      <c r="AB2694" t="s">
        <v>163</v>
      </c>
      <c r="AC2694" t="s">
        <v>173</v>
      </c>
      <c r="AD2694" t="s">
        <v>155</v>
      </c>
      <c r="AE2694" t="s">
        <v>406</v>
      </c>
      <c r="AF2694" t="s">
        <v>21</v>
      </c>
    </row>
    <row r="2695" spans="1:32">
      <c r="A2695" t="s">
        <v>3793</v>
      </c>
      <c r="B2695" s="37">
        <v>40008</v>
      </c>
      <c r="C2695" s="38">
        <v>40008</v>
      </c>
      <c r="D2695" s="38">
        <v>40007</v>
      </c>
      <c r="E2695" s="38">
        <v>39995</v>
      </c>
      <c r="F2695" s="39">
        <v>103</v>
      </c>
      <c r="G2695" t="s">
        <v>383</v>
      </c>
      <c r="H2695" t="s">
        <v>17</v>
      </c>
      <c r="I2695">
        <v>0</v>
      </c>
      <c r="J2695">
        <v>0</v>
      </c>
      <c r="K2695">
        <v>1</v>
      </c>
      <c r="L2695">
        <v>0</v>
      </c>
      <c r="M2695">
        <v>0</v>
      </c>
      <c r="N2695" t="s">
        <v>193</v>
      </c>
      <c r="O2695" t="s">
        <v>213</v>
      </c>
      <c r="P2695" t="s">
        <v>204</v>
      </c>
      <c r="Q2695" t="s">
        <v>170</v>
      </c>
      <c r="R2695" t="s">
        <v>155</v>
      </c>
      <c r="S2695">
        <v>3</v>
      </c>
      <c r="T2695" t="s">
        <v>137</v>
      </c>
      <c r="U2695">
        <v>0</v>
      </c>
      <c r="V2695">
        <v>3</v>
      </c>
      <c r="W2695" t="s">
        <v>137</v>
      </c>
      <c r="X2695">
        <v>0</v>
      </c>
      <c r="Y2695" t="s">
        <v>140</v>
      </c>
      <c r="Z2695" t="s">
        <v>186</v>
      </c>
      <c r="AA2695" t="s">
        <v>149</v>
      </c>
      <c r="AB2695" t="s">
        <v>162</v>
      </c>
      <c r="AC2695" t="s">
        <v>176</v>
      </c>
      <c r="AD2695" t="s">
        <v>155</v>
      </c>
      <c r="AE2695" t="s">
        <v>130</v>
      </c>
      <c r="AF2695" t="s">
        <v>21</v>
      </c>
    </row>
    <row r="2696" spans="1:32">
      <c r="A2696" t="s">
        <v>3794</v>
      </c>
      <c r="B2696" s="37">
        <v>40024</v>
      </c>
      <c r="C2696" s="38">
        <v>40024</v>
      </c>
      <c r="D2696" s="38">
        <v>40021</v>
      </c>
      <c r="E2696" s="38">
        <v>39995</v>
      </c>
      <c r="F2696" s="39">
        <v>119</v>
      </c>
      <c r="G2696" t="s">
        <v>21</v>
      </c>
      <c r="H2696" t="s">
        <v>21</v>
      </c>
      <c r="I2696">
        <v>0</v>
      </c>
      <c r="J2696">
        <v>0</v>
      </c>
      <c r="K2696">
        <v>0</v>
      </c>
      <c r="L2696">
        <v>1</v>
      </c>
      <c r="M2696">
        <v>0</v>
      </c>
      <c r="N2696" t="s">
        <v>193</v>
      </c>
      <c r="O2696" t="s">
        <v>213</v>
      </c>
      <c r="P2696" t="s">
        <v>204</v>
      </c>
      <c r="Q2696" t="s">
        <v>170</v>
      </c>
      <c r="R2696" t="s">
        <v>155</v>
      </c>
      <c r="S2696">
        <v>5</v>
      </c>
      <c r="T2696" t="s">
        <v>135</v>
      </c>
      <c r="U2696">
        <v>0</v>
      </c>
      <c r="V2696">
        <v>5</v>
      </c>
      <c r="W2696" t="s">
        <v>135</v>
      </c>
      <c r="X2696">
        <v>0</v>
      </c>
      <c r="Y2696" t="s">
        <v>140</v>
      </c>
      <c r="Z2696" t="s">
        <v>186</v>
      </c>
      <c r="AA2696" t="s">
        <v>145</v>
      </c>
      <c r="AB2696" t="s">
        <v>162</v>
      </c>
      <c r="AC2696" t="s">
        <v>2438</v>
      </c>
      <c r="AD2696" t="s">
        <v>156</v>
      </c>
      <c r="AE2696" t="s">
        <v>120</v>
      </c>
      <c r="AF2696" t="s">
        <v>123</v>
      </c>
    </row>
    <row r="2697" spans="1:32">
      <c r="A2697" t="s">
        <v>3795</v>
      </c>
      <c r="B2697" s="37">
        <v>39949</v>
      </c>
      <c r="C2697" s="38">
        <v>39949</v>
      </c>
      <c r="D2697" s="38">
        <v>39944</v>
      </c>
      <c r="E2697" s="38">
        <v>39934</v>
      </c>
      <c r="F2697" s="39">
        <v>44</v>
      </c>
      <c r="G2697" t="s">
        <v>9</v>
      </c>
      <c r="H2697" t="s">
        <v>9</v>
      </c>
      <c r="I2697">
        <v>1</v>
      </c>
      <c r="J2697">
        <v>0</v>
      </c>
      <c r="K2697">
        <v>0</v>
      </c>
      <c r="L2697">
        <v>0</v>
      </c>
      <c r="M2697">
        <v>1</v>
      </c>
      <c r="N2697" t="s">
        <v>194</v>
      </c>
      <c r="O2697" t="s">
        <v>213</v>
      </c>
      <c r="P2697" t="s">
        <v>205</v>
      </c>
      <c r="Q2697" t="s">
        <v>170</v>
      </c>
      <c r="R2697" t="s">
        <v>155</v>
      </c>
      <c r="T2697" t="s">
        <v>134</v>
      </c>
      <c r="U2697">
        <v>1</v>
      </c>
      <c r="W2697" t="s">
        <v>134</v>
      </c>
      <c r="X2697">
        <v>1</v>
      </c>
      <c r="Y2697" t="s">
        <v>139</v>
      </c>
      <c r="Z2697" t="s">
        <v>183</v>
      </c>
      <c r="AA2697" t="s">
        <v>150</v>
      </c>
      <c r="AB2697" t="s">
        <v>163</v>
      </c>
      <c r="AC2697" t="s">
        <v>173</v>
      </c>
      <c r="AD2697" t="s">
        <v>155</v>
      </c>
      <c r="AE2697" t="s">
        <v>124</v>
      </c>
      <c r="AF2697" t="s">
        <v>21</v>
      </c>
    </row>
    <row r="2698" spans="1:32">
      <c r="A2698" t="s">
        <v>3796</v>
      </c>
      <c r="B2698" s="37">
        <v>40026</v>
      </c>
      <c r="C2698" s="38">
        <v>40026</v>
      </c>
      <c r="D2698" s="38">
        <v>40021</v>
      </c>
      <c r="E2698" s="38">
        <v>40026</v>
      </c>
      <c r="F2698" s="39">
        <v>121</v>
      </c>
      <c r="G2698" t="s">
        <v>21</v>
      </c>
      <c r="H2698" t="s">
        <v>21</v>
      </c>
      <c r="I2698">
        <v>0</v>
      </c>
      <c r="J2698">
        <v>0</v>
      </c>
      <c r="K2698">
        <v>0</v>
      </c>
      <c r="L2698">
        <v>1</v>
      </c>
      <c r="M2698">
        <v>0</v>
      </c>
      <c r="N2698" t="s">
        <v>197</v>
      </c>
      <c r="O2698" t="s">
        <v>213</v>
      </c>
      <c r="P2698" t="s">
        <v>209</v>
      </c>
      <c r="Q2698" t="s">
        <v>170</v>
      </c>
      <c r="R2698" t="s">
        <v>155</v>
      </c>
      <c r="S2698">
        <v>5</v>
      </c>
      <c r="T2698" t="s">
        <v>135</v>
      </c>
      <c r="U2698">
        <v>0</v>
      </c>
      <c r="V2698">
        <v>5</v>
      </c>
      <c r="W2698" t="s">
        <v>135</v>
      </c>
      <c r="X2698">
        <v>0</v>
      </c>
      <c r="Y2698" t="s">
        <v>139</v>
      </c>
      <c r="Z2698" t="s">
        <v>183</v>
      </c>
      <c r="AA2698" t="s">
        <v>145</v>
      </c>
      <c r="AB2698" t="s">
        <v>162</v>
      </c>
      <c r="AC2698" t="s">
        <v>459</v>
      </c>
      <c r="AD2698" t="s">
        <v>155</v>
      </c>
      <c r="AE2698" t="s">
        <v>129</v>
      </c>
      <c r="AF2698" t="s">
        <v>21</v>
      </c>
    </row>
    <row r="2699" spans="1:32">
      <c r="A2699" t="s">
        <v>3797</v>
      </c>
      <c r="B2699" s="37">
        <v>39979</v>
      </c>
      <c r="C2699" s="38">
        <v>39979</v>
      </c>
      <c r="D2699" s="38">
        <v>39979</v>
      </c>
      <c r="E2699" s="38">
        <v>39965</v>
      </c>
      <c r="F2699" s="39">
        <v>74</v>
      </c>
      <c r="G2699" t="s">
        <v>9</v>
      </c>
      <c r="H2699" t="s">
        <v>9</v>
      </c>
      <c r="I2699">
        <v>1</v>
      </c>
      <c r="J2699">
        <v>0</v>
      </c>
      <c r="K2699">
        <v>0</v>
      </c>
      <c r="L2699">
        <v>0</v>
      </c>
      <c r="M2699">
        <v>1</v>
      </c>
      <c r="N2699" t="s">
        <v>193</v>
      </c>
      <c r="O2699" t="s">
        <v>213</v>
      </c>
      <c r="P2699" t="s">
        <v>204</v>
      </c>
      <c r="Q2699" t="s">
        <v>170</v>
      </c>
      <c r="R2699" t="s">
        <v>155</v>
      </c>
      <c r="T2699" t="s">
        <v>134</v>
      </c>
      <c r="U2699">
        <v>1</v>
      </c>
      <c r="W2699" t="s">
        <v>134</v>
      </c>
      <c r="X2699">
        <v>1</v>
      </c>
      <c r="Y2699" t="s">
        <v>140</v>
      </c>
      <c r="Z2699" t="s">
        <v>178</v>
      </c>
      <c r="AA2699" t="s">
        <v>143</v>
      </c>
      <c r="AB2699" t="s">
        <v>163</v>
      </c>
      <c r="AC2699" t="s">
        <v>902</v>
      </c>
      <c r="AD2699" t="s">
        <v>155</v>
      </c>
      <c r="AE2699" t="s">
        <v>125</v>
      </c>
      <c r="AF2699" t="s">
        <v>21</v>
      </c>
    </row>
    <row r="2700" spans="1:32">
      <c r="A2700" t="s">
        <v>3798</v>
      </c>
      <c r="B2700" s="37">
        <v>40074</v>
      </c>
      <c r="C2700" s="38">
        <v>40074</v>
      </c>
      <c r="D2700" s="38">
        <v>40070</v>
      </c>
      <c r="E2700" s="38">
        <v>40057</v>
      </c>
      <c r="F2700" s="39">
        <v>169</v>
      </c>
      <c r="G2700" t="s">
        <v>21</v>
      </c>
      <c r="H2700" t="s">
        <v>21</v>
      </c>
      <c r="I2700">
        <v>0</v>
      </c>
      <c r="J2700">
        <v>0</v>
      </c>
      <c r="K2700">
        <v>0</v>
      </c>
      <c r="L2700">
        <v>1</v>
      </c>
      <c r="M2700">
        <v>0</v>
      </c>
      <c r="N2700" t="s">
        <v>195</v>
      </c>
      <c r="O2700" t="s">
        <v>213</v>
      </c>
      <c r="P2700" t="s">
        <v>206</v>
      </c>
      <c r="Q2700" t="s">
        <v>170</v>
      </c>
      <c r="R2700" t="s">
        <v>155</v>
      </c>
      <c r="S2700">
        <v>2</v>
      </c>
      <c r="T2700" t="s">
        <v>136</v>
      </c>
      <c r="U2700">
        <v>0</v>
      </c>
      <c r="V2700">
        <v>5</v>
      </c>
      <c r="W2700" t="s">
        <v>135</v>
      </c>
      <c r="X2700">
        <v>0</v>
      </c>
      <c r="Y2700" t="s">
        <v>139</v>
      </c>
      <c r="Z2700" t="s">
        <v>180</v>
      </c>
      <c r="AA2700" t="s">
        <v>142</v>
      </c>
      <c r="AB2700" t="s">
        <v>163</v>
      </c>
      <c r="AC2700" t="s">
        <v>3799</v>
      </c>
      <c r="AD2700" t="s">
        <v>155</v>
      </c>
      <c r="AE2700" t="s">
        <v>128</v>
      </c>
      <c r="AF2700" t="s">
        <v>21</v>
      </c>
    </row>
    <row r="2701" spans="1:32">
      <c r="A2701" t="s">
        <v>3800</v>
      </c>
      <c r="B2701" s="37">
        <v>39994</v>
      </c>
      <c r="C2701" s="38">
        <v>39994</v>
      </c>
      <c r="D2701" s="38">
        <v>39993</v>
      </c>
      <c r="E2701" s="38">
        <v>39965</v>
      </c>
      <c r="F2701" s="39">
        <v>89</v>
      </c>
      <c r="G2701" t="s">
        <v>21</v>
      </c>
      <c r="H2701" t="s">
        <v>21</v>
      </c>
      <c r="I2701">
        <v>0</v>
      </c>
      <c r="J2701">
        <v>0</v>
      </c>
      <c r="K2701">
        <v>0</v>
      </c>
      <c r="L2701">
        <v>1</v>
      </c>
      <c r="M2701">
        <v>0</v>
      </c>
      <c r="N2701" t="s">
        <v>193</v>
      </c>
      <c r="O2701" t="s">
        <v>213</v>
      </c>
      <c r="P2701" t="s">
        <v>204</v>
      </c>
      <c r="Q2701" t="s">
        <v>170</v>
      </c>
      <c r="R2701" t="s">
        <v>155</v>
      </c>
      <c r="T2701" t="s">
        <v>134</v>
      </c>
      <c r="U2701">
        <v>1</v>
      </c>
      <c r="V2701">
        <v>5</v>
      </c>
      <c r="W2701" t="s">
        <v>135</v>
      </c>
      <c r="X2701">
        <v>0</v>
      </c>
      <c r="Y2701" t="s">
        <v>140</v>
      </c>
      <c r="Z2701" t="s">
        <v>180</v>
      </c>
      <c r="AA2701" t="s">
        <v>148</v>
      </c>
      <c r="AB2701" t="s">
        <v>162</v>
      </c>
      <c r="AC2701" t="s">
        <v>21</v>
      </c>
      <c r="AD2701" t="s">
        <v>155</v>
      </c>
      <c r="AE2701" t="s">
        <v>704</v>
      </c>
      <c r="AF2701" t="s">
        <v>21</v>
      </c>
    </row>
    <row r="2702" spans="1:32">
      <c r="A2702" t="s">
        <v>3801</v>
      </c>
      <c r="B2702" s="37">
        <v>39970</v>
      </c>
      <c r="C2702" s="38">
        <v>39970</v>
      </c>
      <c r="D2702" s="38">
        <v>39965</v>
      </c>
      <c r="E2702" s="38">
        <v>39965</v>
      </c>
      <c r="F2702" s="39">
        <v>65</v>
      </c>
      <c r="G2702" t="s">
        <v>21</v>
      </c>
      <c r="H2702" t="s">
        <v>21</v>
      </c>
      <c r="I2702">
        <v>0</v>
      </c>
      <c r="J2702">
        <v>0</v>
      </c>
      <c r="K2702">
        <v>0</v>
      </c>
      <c r="L2702">
        <v>1</v>
      </c>
      <c r="M2702">
        <v>0</v>
      </c>
      <c r="N2702" t="s">
        <v>193</v>
      </c>
      <c r="O2702" t="s">
        <v>213</v>
      </c>
      <c r="P2702" t="s">
        <v>204</v>
      </c>
      <c r="Q2702" t="s">
        <v>170</v>
      </c>
      <c r="R2702" t="s">
        <v>155</v>
      </c>
      <c r="T2702" t="s">
        <v>134</v>
      </c>
      <c r="U2702">
        <v>1</v>
      </c>
      <c r="W2702" t="s">
        <v>134</v>
      </c>
      <c r="X2702">
        <v>1</v>
      </c>
      <c r="Y2702" t="s">
        <v>140</v>
      </c>
      <c r="Z2702" t="s">
        <v>178</v>
      </c>
      <c r="AA2702" t="s">
        <v>144</v>
      </c>
      <c r="AB2702" t="s">
        <v>162</v>
      </c>
      <c r="AC2702" t="s">
        <v>1722</v>
      </c>
      <c r="AD2702" t="s">
        <v>157</v>
      </c>
      <c r="AE2702" t="s">
        <v>127</v>
      </c>
      <c r="AF2702" t="s">
        <v>153</v>
      </c>
    </row>
    <row r="2703" spans="1:32">
      <c r="A2703" t="s">
        <v>3802</v>
      </c>
      <c r="B2703" s="37">
        <v>40018</v>
      </c>
      <c r="C2703" s="38">
        <v>40018</v>
      </c>
      <c r="D2703" s="38">
        <v>40014</v>
      </c>
      <c r="E2703" s="38">
        <v>39995</v>
      </c>
      <c r="F2703" s="39">
        <v>113</v>
      </c>
      <c r="G2703" t="s">
        <v>21</v>
      </c>
      <c r="H2703" t="s">
        <v>21</v>
      </c>
      <c r="I2703">
        <v>0</v>
      </c>
      <c r="J2703">
        <v>0</v>
      </c>
      <c r="K2703">
        <v>0</v>
      </c>
      <c r="L2703">
        <v>1</v>
      </c>
      <c r="M2703">
        <v>0</v>
      </c>
      <c r="N2703" t="s">
        <v>197</v>
      </c>
      <c r="O2703" t="s">
        <v>213</v>
      </c>
      <c r="P2703" t="s">
        <v>209</v>
      </c>
      <c r="Q2703" t="s">
        <v>170</v>
      </c>
      <c r="R2703" t="s">
        <v>155</v>
      </c>
      <c r="S2703">
        <v>3</v>
      </c>
      <c r="T2703" t="s">
        <v>137</v>
      </c>
      <c r="U2703">
        <v>0</v>
      </c>
      <c r="V2703">
        <v>3</v>
      </c>
      <c r="W2703" t="s">
        <v>137</v>
      </c>
      <c r="X2703">
        <v>0</v>
      </c>
      <c r="Y2703" t="s">
        <v>139</v>
      </c>
      <c r="Z2703" t="s">
        <v>178</v>
      </c>
      <c r="AA2703" t="s">
        <v>142</v>
      </c>
      <c r="AB2703" t="s">
        <v>162</v>
      </c>
      <c r="AC2703" t="s">
        <v>597</v>
      </c>
      <c r="AD2703" t="s">
        <v>155</v>
      </c>
      <c r="AE2703" t="s">
        <v>130</v>
      </c>
      <c r="AF2703" t="s">
        <v>21</v>
      </c>
    </row>
    <row r="2704" spans="1:32">
      <c r="A2704" t="s">
        <v>3803</v>
      </c>
      <c r="B2704" s="37">
        <v>40022</v>
      </c>
      <c r="C2704" s="38">
        <v>40022</v>
      </c>
      <c r="D2704" s="38">
        <v>40021</v>
      </c>
      <c r="E2704" s="38">
        <v>39995</v>
      </c>
      <c r="F2704" s="39">
        <v>117</v>
      </c>
      <c r="G2704" t="s">
        <v>21</v>
      </c>
      <c r="H2704" t="s">
        <v>21</v>
      </c>
      <c r="I2704">
        <v>0</v>
      </c>
      <c r="J2704">
        <v>0</v>
      </c>
      <c r="K2704">
        <v>0</v>
      </c>
      <c r="L2704">
        <v>1</v>
      </c>
      <c r="M2704">
        <v>0</v>
      </c>
      <c r="N2704" t="s">
        <v>193</v>
      </c>
      <c r="O2704" t="s">
        <v>213</v>
      </c>
      <c r="P2704" t="s">
        <v>204</v>
      </c>
      <c r="Q2704" t="s">
        <v>170</v>
      </c>
      <c r="R2704" t="s">
        <v>155</v>
      </c>
      <c r="S2704">
        <v>5</v>
      </c>
      <c r="T2704" t="s">
        <v>135</v>
      </c>
      <c r="U2704">
        <v>0</v>
      </c>
      <c r="V2704">
        <v>5</v>
      </c>
      <c r="W2704" t="s">
        <v>135</v>
      </c>
      <c r="X2704">
        <v>0</v>
      </c>
      <c r="Y2704" t="s">
        <v>140</v>
      </c>
      <c r="Z2704" t="s">
        <v>178</v>
      </c>
      <c r="AA2704" t="s">
        <v>144</v>
      </c>
      <c r="AB2704" t="s">
        <v>162</v>
      </c>
      <c r="AC2704" t="s">
        <v>2900</v>
      </c>
      <c r="AD2704" t="s">
        <v>157</v>
      </c>
      <c r="AE2704" t="s">
        <v>127</v>
      </c>
      <c r="AF2704" t="s">
        <v>153</v>
      </c>
    </row>
    <row r="2705" spans="1:32">
      <c r="A2705" t="s">
        <v>3804</v>
      </c>
      <c r="B2705" s="37">
        <v>39919</v>
      </c>
      <c r="C2705" s="38">
        <v>39919</v>
      </c>
      <c r="D2705" s="38">
        <v>39916</v>
      </c>
      <c r="E2705" s="38">
        <v>39904</v>
      </c>
      <c r="F2705" s="39">
        <v>14</v>
      </c>
      <c r="G2705" t="s">
        <v>21</v>
      </c>
      <c r="H2705" t="s">
        <v>21</v>
      </c>
      <c r="I2705">
        <v>0</v>
      </c>
      <c r="J2705">
        <v>0</v>
      </c>
      <c r="K2705">
        <v>0</v>
      </c>
      <c r="L2705">
        <v>1</v>
      </c>
      <c r="M2705">
        <v>0</v>
      </c>
      <c r="N2705" t="s">
        <v>198</v>
      </c>
      <c r="O2705" t="s">
        <v>213</v>
      </c>
      <c r="P2705" t="s">
        <v>208</v>
      </c>
      <c r="Q2705" t="s">
        <v>170</v>
      </c>
      <c r="R2705" t="s">
        <v>155</v>
      </c>
      <c r="T2705" t="s">
        <v>134</v>
      </c>
      <c r="U2705">
        <v>1</v>
      </c>
      <c r="W2705" t="s">
        <v>134</v>
      </c>
      <c r="X2705">
        <v>1</v>
      </c>
      <c r="Y2705" t="s">
        <v>139</v>
      </c>
      <c r="Z2705" t="s">
        <v>433</v>
      </c>
      <c r="AA2705" t="s">
        <v>150</v>
      </c>
      <c r="AB2705" t="s">
        <v>162</v>
      </c>
      <c r="AC2705" t="s">
        <v>174</v>
      </c>
      <c r="AD2705" t="s">
        <v>156</v>
      </c>
      <c r="AE2705" t="s">
        <v>120</v>
      </c>
      <c r="AF2705" t="s">
        <v>832</v>
      </c>
    </row>
    <row r="2706" spans="1:32">
      <c r="A2706" t="s">
        <v>3805</v>
      </c>
      <c r="B2706" s="37">
        <v>39914</v>
      </c>
      <c r="C2706" s="38">
        <v>39914</v>
      </c>
      <c r="D2706" s="38">
        <v>39909</v>
      </c>
      <c r="E2706" s="38">
        <v>39904</v>
      </c>
      <c r="F2706" s="39">
        <v>9</v>
      </c>
      <c r="G2706" t="s">
        <v>21</v>
      </c>
      <c r="H2706" t="s">
        <v>21</v>
      </c>
      <c r="I2706">
        <v>0</v>
      </c>
      <c r="J2706">
        <v>0</v>
      </c>
      <c r="K2706">
        <v>0</v>
      </c>
      <c r="L2706">
        <v>1</v>
      </c>
      <c r="M2706">
        <v>0</v>
      </c>
      <c r="N2706" t="s">
        <v>200</v>
      </c>
      <c r="O2706" t="s">
        <v>214</v>
      </c>
      <c r="P2706" t="s">
        <v>208</v>
      </c>
      <c r="Q2706" t="s">
        <v>170</v>
      </c>
      <c r="R2706" t="s">
        <v>155</v>
      </c>
      <c r="T2706" t="s">
        <v>134</v>
      </c>
      <c r="U2706">
        <v>1</v>
      </c>
      <c r="W2706" t="s">
        <v>134</v>
      </c>
      <c r="X2706">
        <v>1</v>
      </c>
      <c r="Y2706" t="s">
        <v>139</v>
      </c>
      <c r="Z2706" t="s">
        <v>181</v>
      </c>
      <c r="AA2706" t="s">
        <v>142</v>
      </c>
      <c r="AB2706" t="s">
        <v>162</v>
      </c>
      <c r="AC2706" t="s">
        <v>175</v>
      </c>
      <c r="AD2706" t="s">
        <v>155</v>
      </c>
      <c r="AE2706" t="s">
        <v>387</v>
      </c>
      <c r="AF2706" t="s">
        <v>21</v>
      </c>
    </row>
    <row r="2707" spans="1:32">
      <c r="A2707" t="s">
        <v>3806</v>
      </c>
      <c r="B2707" s="37">
        <v>39982</v>
      </c>
      <c r="C2707" s="38">
        <v>39982</v>
      </c>
      <c r="D2707" s="38">
        <v>39979</v>
      </c>
      <c r="E2707" s="38">
        <v>39965</v>
      </c>
      <c r="F2707" s="39">
        <v>77</v>
      </c>
      <c r="G2707" t="s">
        <v>21</v>
      </c>
      <c r="H2707" t="s">
        <v>21</v>
      </c>
      <c r="I2707">
        <v>0</v>
      </c>
      <c r="J2707">
        <v>0</v>
      </c>
      <c r="K2707">
        <v>0</v>
      </c>
      <c r="L2707">
        <v>1</v>
      </c>
      <c r="M2707">
        <v>0</v>
      </c>
      <c r="N2707" t="s">
        <v>196</v>
      </c>
      <c r="O2707" t="s">
        <v>213</v>
      </c>
      <c r="P2707" t="s">
        <v>207</v>
      </c>
      <c r="Q2707" t="s">
        <v>170</v>
      </c>
      <c r="R2707" t="s">
        <v>155</v>
      </c>
      <c r="T2707" t="s">
        <v>134</v>
      </c>
      <c r="U2707">
        <v>1</v>
      </c>
      <c r="W2707" t="s">
        <v>134</v>
      </c>
      <c r="X2707">
        <v>1</v>
      </c>
      <c r="Y2707" t="s">
        <v>139</v>
      </c>
      <c r="Z2707" t="s">
        <v>433</v>
      </c>
      <c r="AA2707" t="s">
        <v>145</v>
      </c>
      <c r="AB2707" t="s">
        <v>163</v>
      </c>
      <c r="AC2707" t="s">
        <v>173</v>
      </c>
      <c r="AD2707" t="s">
        <v>155</v>
      </c>
      <c r="AE2707" t="s">
        <v>798</v>
      </c>
      <c r="AF2707" t="s">
        <v>21</v>
      </c>
    </row>
    <row r="2708" spans="1:32">
      <c r="A2708" t="s">
        <v>3807</v>
      </c>
      <c r="B2708" s="37">
        <v>39998</v>
      </c>
      <c r="C2708" s="38">
        <v>39998</v>
      </c>
      <c r="D2708" s="38">
        <v>39993</v>
      </c>
      <c r="E2708" s="38">
        <v>39995</v>
      </c>
      <c r="F2708" s="39">
        <v>93</v>
      </c>
      <c r="G2708" t="s">
        <v>21</v>
      </c>
      <c r="H2708" t="s">
        <v>21</v>
      </c>
      <c r="I2708">
        <v>0</v>
      </c>
      <c r="J2708">
        <v>0</v>
      </c>
      <c r="K2708">
        <v>0</v>
      </c>
      <c r="L2708">
        <v>1</v>
      </c>
      <c r="M2708">
        <v>0</v>
      </c>
      <c r="N2708" t="s">
        <v>193</v>
      </c>
      <c r="O2708" t="s">
        <v>213</v>
      </c>
      <c r="P2708" t="s">
        <v>204</v>
      </c>
      <c r="Q2708" t="s">
        <v>170</v>
      </c>
      <c r="R2708" t="s">
        <v>155</v>
      </c>
      <c r="T2708" t="s">
        <v>134</v>
      </c>
      <c r="U2708">
        <v>1</v>
      </c>
      <c r="V2708">
        <v>3</v>
      </c>
      <c r="W2708" t="s">
        <v>137</v>
      </c>
      <c r="X2708">
        <v>0</v>
      </c>
      <c r="Y2708" t="s">
        <v>140</v>
      </c>
      <c r="Z2708" t="s">
        <v>183</v>
      </c>
      <c r="AA2708" t="s">
        <v>142</v>
      </c>
      <c r="AB2708" t="s">
        <v>163</v>
      </c>
      <c r="AC2708" t="s">
        <v>173</v>
      </c>
      <c r="AD2708" t="s">
        <v>155</v>
      </c>
      <c r="AE2708" t="s">
        <v>124</v>
      </c>
      <c r="AF2708" t="s">
        <v>21</v>
      </c>
    </row>
    <row r="2709" spans="1:32">
      <c r="A2709" t="s">
        <v>3808</v>
      </c>
      <c r="B2709" s="37">
        <v>39943</v>
      </c>
      <c r="C2709" s="38">
        <v>39943</v>
      </c>
      <c r="D2709" s="38">
        <v>39937</v>
      </c>
      <c r="E2709" s="38">
        <v>39934</v>
      </c>
      <c r="F2709" s="39">
        <v>38</v>
      </c>
      <c r="G2709" t="s">
        <v>21</v>
      </c>
      <c r="H2709" t="s">
        <v>21</v>
      </c>
      <c r="I2709">
        <v>0</v>
      </c>
      <c r="J2709">
        <v>0</v>
      </c>
      <c r="K2709">
        <v>0</v>
      </c>
      <c r="L2709">
        <v>1</v>
      </c>
      <c r="M2709">
        <v>0</v>
      </c>
      <c r="N2709" t="s">
        <v>193</v>
      </c>
      <c r="O2709" t="s">
        <v>213</v>
      </c>
      <c r="P2709" t="s">
        <v>204</v>
      </c>
      <c r="Q2709" t="s">
        <v>170</v>
      </c>
      <c r="R2709" t="s">
        <v>155</v>
      </c>
      <c r="T2709" t="s">
        <v>134</v>
      </c>
      <c r="U2709">
        <v>1</v>
      </c>
      <c r="W2709" t="s">
        <v>134</v>
      </c>
      <c r="X2709">
        <v>1</v>
      </c>
      <c r="Y2709" t="s">
        <v>140</v>
      </c>
      <c r="Z2709" t="s">
        <v>186</v>
      </c>
      <c r="AA2709" t="s">
        <v>142</v>
      </c>
      <c r="AB2709" t="s">
        <v>163</v>
      </c>
      <c r="AC2709" t="s">
        <v>415</v>
      </c>
      <c r="AD2709" t="s">
        <v>155</v>
      </c>
      <c r="AE2709" t="s">
        <v>1186</v>
      </c>
      <c r="AF2709" t="s">
        <v>21</v>
      </c>
    </row>
    <row r="2710" spans="1:32">
      <c r="A2710" t="s">
        <v>3809</v>
      </c>
      <c r="B2710" s="37">
        <v>39961</v>
      </c>
      <c r="C2710" s="38">
        <v>39961</v>
      </c>
      <c r="D2710" s="38">
        <v>39958</v>
      </c>
      <c r="E2710" s="38">
        <v>39934</v>
      </c>
      <c r="F2710" s="39">
        <v>56</v>
      </c>
      <c r="G2710" t="s">
        <v>21</v>
      </c>
      <c r="H2710" t="s">
        <v>21</v>
      </c>
      <c r="I2710">
        <v>0</v>
      </c>
      <c r="J2710">
        <v>0</v>
      </c>
      <c r="K2710">
        <v>0</v>
      </c>
      <c r="L2710">
        <v>1</v>
      </c>
      <c r="M2710">
        <v>0</v>
      </c>
      <c r="N2710" t="s">
        <v>195</v>
      </c>
      <c r="O2710" t="s">
        <v>213</v>
      </c>
      <c r="P2710" t="s">
        <v>206</v>
      </c>
      <c r="Q2710" t="s">
        <v>170</v>
      </c>
      <c r="R2710" t="s">
        <v>155</v>
      </c>
      <c r="T2710" t="s">
        <v>134</v>
      </c>
      <c r="U2710">
        <v>1</v>
      </c>
      <c r="W2710" t="s">
        <v>134</v>
      </c>
      <c r="X2710">
        <v>1</v>
      </c>
      <c r="Y2710" t="s">
        <v>139</v>
      </c>
      <c r="Z2710" t="s">
        <v>184</v>
      </c>
      <c r="AA2710" t="s">
        <v>146</v>
      </c>
      <c r="AB2710" t="s">
        <v>162</v>
      </c>
      <c r="AC2710" t="s">
        <v>176</v>
      </c>
      <c r="AD2710" t="s">
        <v>155</v>
      </c>
      <c r="AE2710" t="s">
        <v>130</v>
      </c>
      <c r="AF2710" t="s">
        <v>21</v>
      </c>
    </row>
    <row r="2711" spans="1:32">
      <c r="A2711" t="s">
        <v>3810</v>
      </c>
      <c r="B2711" s="37">
        <v>39942</v>
      </c>
      <c r="C2711" s="38">
        <v>39942</v>
      </c>
      <c r="D2711" s="38">
        <v>39937</v>
      </c>
      <c r="E2711" s="38">
        <v>39934</v>
      </c>
      <c r="F2711" s="39">
        <v>37</v>
      </c>
      <c r="G2711" t="s">
        <v>21</v>
      </c>
      <c r="H2711" t="s">
        <v>21</v>
      </c>
      <c r="I2711">
        <v>0</v>
      </c>
      <c r="J2711">
        <v>0</v>
      </c>
      <c r="K2711">
        <v>0</v>
      </c>
      <c r="L2711">
        <v>1</v>
      </c>
      <c r="M2711">
        <v>0</v>
      </c>
      <c r="N2711" t="s">
        <v>195</v>
      </c>
      <c r="O2711" t="s">
        <v>213</v>
      </c>
      <c r="P2711" t="s">
        <v>206</v>
      </c>
      <c r="Q2711" t="s">
        <v>170</v>
      </c>
      <c r="R2711" t="s">
        <v>155</v>
      </c>
      <c r="T2711" t="s">
        <v>134</v>
      </c>
      <c r="U2711">
        <v>1</v>
      </c>
      <c r="W2711" t="s">
        <v>134</v>
      </c>
      <c r="X2711">
        <v>1</v>
      </c>
      <c r="Y2711" t="s">
        <v>139</v>
      </c>
      <c r="Z2711" t="s">
        <v>1034</v>
      </c>
      <c r="AA2711" t="s">
        <v>148</v>
      </c>
      <c r="AB2711" t="s">
        <v>162</v>
      </c>
      <c r="AC2711" t="s">
        <v>175</v>
      </c>
      <c r="AD2711" t="s">
        <v>155</v>
      </c>
      <c r="AE2711" t="s">
        <v>130</v>
      </c>
      <c r="AF2711" t="s">
        <v>21</v>
      </c>
    </row>
    <row r="2712" spans="1:32">
      <c r="A2712" t="s">
        <v>3811</v>
      </c>
      <c r="B2712" s="37">
        <v>39983</v>
      </c>
      <c r="C2712" s="38">
        <v>39983</v>
      </c>
      <c r="D2712" s="38">
        <v>39979</v>
      </c>
      <c r="E2712" s="38">
        <v>39965</v>
      </c>
      <c r="F2712" s="39">
        <v>78</v>
      </c>
      <c r="G2712" t="s">
        <v>21</v>
      </c>
      <c r="H2712" t="s">
        <v>21</v>
      </c>
      <c r="I2712">
        <v>0</v>
      </c>
      <c r="J2712">
        <v>0</v>
      </c>
      <c r="K2712">
        <v>0</v>
      </c>
      <c r="L2712">
        <v>1</v>
      </c>
      <c r="M2712">
        <v>0</v>
      </c>
      <c r="N2712" t="s">
        <v>193</v>
      </c>
      <c r="O2712" t="s">
        <v>213</v>
      </c>
      <c r="P2712" t="s">
        <v>204</v>
      </c>
      <c r="Q2712" t="s">
        <v>170</v>
      </c>
      <c r="R2712" t="s">
        <v>155</v>
      </c>
      <c r="T2712" t="s">
        <v>134</v>
      </c>
      <c r="U2712">
        <v>1</v>
      </c>
      <c r="W2712" t="s">
        <v>134</v>
      </c>
      <c r="X2712">
        <v>1</v>
      </c>
      <c r="Y2712" t="s">
        <v>140</v>
      </c>
      <c r="Z2712" t="s">
        <v>1034</v>
      </c>
      <c r="AA2712" t="s">
        <v>142</v>
      </c>
      <c r="AB2712" t="s">
        <v>163</v>
      </c>
      <c r="AC2712" t="s">
        <v>173</v>
      </c>
      <c r="AD2712" t="s">
        <v>155</v>
      </c>
      <c r="AE2712" t="s">
        <v>467</v>
      </c>
      <c r="AF2712" t="s">
        <v>21</v>
      </c>
    </row>
    <row r="2713" spans="1:32">
      <c r="A2713" t="s">
        <v>3812</v>
      </c>
      <c r="B2713" s="37">
        <v>39986</v>
      </c>
      <c r="C2713" s="38">
        <v>39986</v>
      </c>
      <c r="D2713" s="38">
        <v>39986</v>
      </c>
      <c r="E2713" s="38">
        <v>39965</v>
      </c>
      <c r="F2713" s="39">
        <v>81</v>
      </c>
      <c r="G2713" t="s">
        <v>21</v>
      </c>
      <c r="H2713" t="s">
        <v>21</v>
      </c>
      <c r="I2713">
        <v>0</v>
      </c>
      <c r="J2713">
        <v>0</v>
      </c>
      <c r="K2713">
        <v>0</v>
      </c>
      <c r="L2713">
        <v>1</v>
      </c>
      <c r="M2713">
        <v>0</v>
      </c>
      <c r="N2713" t="s">
        <v>194</v>
      </c>
      <c r="O2713" t="s">
        <v>213</v>
      </c>
      <c r="P2713" t="s">
        <v>205</v>
      </c>
      <c r="Q2713" t="s">
        <v>170</v>
      </c>
      <c r="R2713" t="s">
        <v>155</v>
      </c>
      <c r="T2713" t="s">
        <v>134</v>
      </c>
      <c r="U2713">
        <v>1</v>
      </c>
      <c r="W2713" t="s">
        <v>134</v>
      </c>
      <c r="X2713">
        <v>1</v>
      </c>
      <c r="Y2713" t="s">
        <v>139</v>
      </c>
      <c r="Z2713" t="s">
        <v>1034</v>
      </c>
      <c r="AA2713" t="s">
        <v>142</v>
      </c>
      <c r="AB2713" t="s">
        <v>162</v>
      </c>
      <c r="AC2713" t="s">
        <v>985</v>
      </c>
      <c r="AD2713" t="s">
        <v>156</v>
      </c>
      <c r="AE2713" t="s">
        <v>120</v>
      </c>
      <c r="AF2713" t="s">
        <v>3813</v>
      </c>
    </row>
    <row r="2714" spans="1:32">
      <c r="A2714" t="s">
        <v>3814</v>
      </c>
      <c r="B2714" s="37">
        <v>39947</v>
      </c>
      <c r="C2714" s="38">
        <v>39947</v>
      </c>
      <c r="D2714" s="38">
        <v>39944</v>
      </c>
      <c r="E2714" s="38">
        <v>39934</v>
      </c>
      <c r="F2714" s="39">
        <v>42</v>
      </c>
      <c r="G2714" t="s">
        <v>21</v>
      </c>
      <c r="H2714" t="s">
        <v>21</v>
      </c>
      <c r="I2714">
        <v>0</v>
      </c>
      <c r="J2714">
        <v>0</v>
      </c>
      <c r="K2714">
        <v>0</v>
      </c>
      <c r="L2714">
        <v>1</v>
      </c>
      <c r="M2714">
        <v>0</v>
      </c>
      <c r="N2714" t="s">
        <v>194</v>
      </c>
      <c r="O2714" t="s">
        <v>213</v>
      </c>
      <c r="P2714" t="s">
        <v>205</v>
      </c>
      <c r="Q2714" t="s">
        <v>170</v>
      </c>
      <c r="R2714" t="s">
        <v>155</v>
      </c>
      <c r="T2714" t="s">
        <v>134</v>
      </c>
      <c r="U2714">
        <v>1</v>
      </c>
      <c r="W2714" t="s">
        <v>134</v>
      </c>
      <c r="X2714">
        <v>1</v>
      </c>
      <c r="Y2714" t="s">
        <v>139</v>
      </c>
      <c r="Z2714" t="s">
        <v>178</v>
      </c>
      <c r="AA2714" t="s">
        <v>148</v>
      </c>
      <c r="AB2714" t="s">
        <v>165</v>
      </c>
      <c r="AC2714" t="s">
        <v>1238</v>
      </c>
      <c r="AD2714" t="s">
        <v>158</v>
      </c>
      <c r="AE2714" t="s">
        <v>122</v>
      </c>
      <c r="AF2714" t="s">
        <v>21</v>
      </c>
    </row>
    <row r="2715" spans="1:32">
      <c r="A2715" t="s">
        <v>3815</v>
      </c>
      <c r="B2715" s="37">
        <v>40021</v>
      </c>
      <c r="C2715" s="38">
        <v>40021</v>
      </c>
      <c r="D2715" s="38">
        <v>40021</v>
      </c>
      <c r="E2715" s="38">
        <v>39995</v>
      </c>
      <c r="F2715" s="39">
        <v>116</v>
      </c>
      <c r="G2715" t="s">
        <v>380</v>
      </c>
      <c r="H2715" t="s">
        <v>17</v>
      </c>
      <c r="I2715">
        <v>0</v>
      </c>
      <c r="J2715">
        <v>0</v>
      </c>
      <c r="K2715">
        <v>1</v>
      </c>
      <c r="L2715">
        <v>0</v>
      </c>
      <c r="M2715">
        <v>0</v>
      </c>
      <c r="N2715" t="s">
        <v>193</v>
      </c>
      <c r="O2715" t="s">
        <v>213</v>
      </c>
      <c r="P2715" t="s">
        <v>204</v>
      </c>
      <c r="Q2715" t="s">
        <v>170</v>
      </c>
      <c r="R2715" t="s">
        <v>155</v>
      </c>
      <c r="S2715">
        <v>1</v>
      </c>
      <c r="T2715" t="s">
        <v>136</v>
      </c>
      <c r="U2715">
        <v>0</v>
      </c>
      <c r="V2715">
        <v>5</v>
      </c>
      <c r="W2715" t="s">
        <v>135</v>
      </c>
      <c r="X2715">
        <v>0</v>
      </c>
      <c r="Y2715" t="s">
        <v>140</v>
      </c>
      <c r="Z2715" t="s">
        <v>178</v>
      </c>
      <c r="AA2715" t="s">
        <v>143</v>
      </c>
      <c r="AB2715" t="s">
        <v>162</v>
      </c>
      <c r="AC2715" t="s">
        <v>21</v>
      </c>
      <c r="AD2715" t="s">
        <v>160</v>
      </c>
      <c r="AE2715" t="s">
        <v>392</v>
      </c>
      <c r="AF2715" t="s">
        <v>393</v>
      </c>
    </row>
    <row r="2716" spans="1:32">
      <c r="A2716" t="s">
        <v>3816</v>
      </c>
      <c r="B2716" s="37">
        <v>40009</v>
      </c>
      <c r="C2716" s="38">
        <v>40009</v>
      </c>
      <c r="D2716" s="38">
        <v>40007</v>
      </c>
      <c r="E2716" s="38">
        <v>39995</v>
      </c>
      <c r="F2716" s="39">
        <v>104</v>
      </c>
      <c r="G2716" t="s">
        <v>21</v>
      </c>
      <c r="H2716" t="s">
        <v>21</v>
      </c>
      <c r="I2716">
        <v>0</v>
      </c>
      <c r="J2716">
        <v>0</v>
      </c>
      <c r="K2716">
        <v>0</v>
      </c>
      <c r="L2716">
        <v>1</v>
      </c>
      <c r="M2716">
        <v>0</v>
      </c>
      <c r="N2716" t="s">
        <v>193</v>
      </c>
      <c r="O2716" t="s">
        <v>213</v>
      </c>
      <c r="P2716" t="s">
        <v>204</v>
      </c>
      <c r="Q2716" t="s">
        <v>170</v>
      </c>
      <c r="R2716" t="s">
        <v>155</v>
      </c>
      <c r="S2716">
        <v>1</v>
      </c>
      <c r="T2716" t="s">
        <v>136</v>
      </c>
      <c r="U2716">
        <v>0</v>
      </c>
      <c r="V2716">
        <v>4</v>
      </c>
      <c r="W2716" t="s">
        <v>137</v>
      </c>
      <c r="X2716">
        <v>0</v>
      </c>
      <c r="Y2716" t="s">
        <v>140</v>
      </c>
      <c r="Z2716" t="s">
        <v>185</v>
      </c>
      <c r="AA2716" t="s">
        <v>144</v>
      </c>
      <c r="AB2716" t="s">
        <v>162</v>
      </c>
      <c r="AC2716" t="s">
        <v>978</v>
      </c>
      <c r="AD2716" t="s">
        <v>157</v>
      </c>
      <c r="AE2716" t="s">
        <v>127</v>
      </c>
      <c r="AF2716" t="s">
        <v>153</v>
      </c>
    </row>
    <row r="2717" spans="1:32">
      <c r="A2717" t="s">
        <v>3817</v>
      </c>
      <c r="B2717" s="37">
        <v>40048</v>
      </c>
      <c r="C2717" s="38">
        <v>40048</v>
      </c>
      <c r="D2717" s="38">
        <v>40042</v>
      </c>
      <c r="E2717" s="38">
        <v>40026</v>
      </c>
      <c r="F2717" s="39">
        <v>143</v>
      </c>
      <c r="G2717" t="s">
        <v>21</v>
      </c>
      <c r="H2717" t="s">
        <v>21</v>
      </c>
      <c r="I2717">
        <v>0</v>
      </c>
      <c r="J2717">
        <v>0</v>
      </c>
      <c r="K2717">
        <v>0</v>
      </c>
      <c r="L2717">
        <v>1</v>
      </c>
      <c r="M2717">
        <v>0</v>
      </c>
      <c r="N2717" t="s">
        <v>195</v>
      </c>
      <c r="O2717" t="s">
        <v>213</v>
      </c>
      <c r="P2717" t="s">
        <v>206</v>
      </c>
      <c r="Q2717" t="s">
        <v>170</v>
      </c>
      <c r="R2717" t="s">
        <v>155</v>
      </c>
      <c r="S2717">
        <v>5</v>
      </c>
      <c r="T2717" t="s">
        <v>135</v>
      </c>
      <c r="U2717">
        <v>0</v>
      </c>
      <c r="V2717">
        <v>2</v>
      </c>
      <c r="W2717" t="s">
        <v>136</v>
      </c>
      <c r="X2717">
        <v>0</v>
      </c>
      <c r="Y2717" t="s">
        <v>139</v>
      </c>
      <c r="Z2717" t="s">
        <v>187</v>
      </c>
      <c r="AA2717" t="s">
        <v>144</v>
      </c>
      <c r="AB2717" t="s">
        <v>162</v>
      </c>
      <c r="AC2717" t="s">
        <v>550</v>
      </c>
      <c r="AD2717" t="s">
        <v>156</v>
      </c>
      <c r="AE2717" t="s">
        <v>120</v>
      </c>
      <c r="AF2717" t="s">
        <v>470</v>
      </c>
    </row>
    <row r="2718" spans="1:32">
      <c r="A2718" t="s">
        <v>3818</v>
      </c>
      <c r="B2718" s="37">
        <v>40006</v>
      </c>
      <c r="C2718" s="38">
        <v>40006</v>
      </c>
      <c r="D2718" s="38">
        <v>40000</v>
      </c>
      <c r="E2718" s="38">
        <v>39995</v>
      </c>
      <c r="F2718" s="39">
        <v>101</v>
      </c>
      <c r="G2718" t="s">
        <v>21</v>
      </c>
      <c r="H2718" t="s">
        <v>21</v>
      </c>
      <c r="I2718">
        <v>0</v>
      </c>
      <c r="J2718">
        <v>0</v>
      </c>
      <c r="K2718">
        <v>0</v>
      </c>
      <c r="L2718">
        <v>1</v>
      </c>
      <c r="M2718">
        <v>0</v>
      </c>
      <c r="N2718" t="s">
        <v>193</v>
      </c>
      <c r="O2718" t="s">
        <v>213</v>
      </c>
      <c r="P2718" t="s">
        <v>204</v>
      </c>
      <c r="Q2718" t="s">
        <v>170</v>
      </c>
      <c r="R2718" t="s">
        <v>155</v>
      </c>
      <c r="S2718">
        <v>5</v>
      </c>
      <c r="T2718" t="s">
        <v>135</v>
      </c>
      <c r="U2718">
        <v>0</v>
      </c>
      <c r="V2718">
        <v>5</v>
      </c>
      <c r="W2718" t="s">
        <v>135</v>
      </c>
      <c r="X2718">
        <v>0</v>
      </c>
      <c r="Y2718" t="s">
        <v>140</v>
      </c>
      <c r="Z2718" t="s">
        <v>179</v>
      </c>
      <c r="AA2718" t="s">
        <v>142</v>
      </c>
      <c r="AB2718" t="s">
        <v>162</v>
      </c>
      <c r="AC2718" t="s">
        <v>1957</v>
      </c>
      <c r="AD2718" t="s">
        <v>155</v>
      </c>
      <c r="AE2718" t="s">
        <v>130</v>
      </c>
      <c r="AF2718" t="s">
        <v>21</v>
      </c>
    </row>
    <row r="2719" spans="1:32">
      <c r="A2719" t="s">
        <v>3819</v>
      </c>
      <c r="B2719" s="37">
        <v>39930</v>
      </c>
      <c r="C2719" s="38">
        <v>39930</v>
      </c>
      <c r="D2719" s="38">
        <v>39930</v>
      </c>
      <c r="E2719" s="38">
        <v>39904</v>
      </c>
      <c r="F2719" s="39">
        <v>25</v>
      </c>
      <c r="G2719" t="s">
        <v>21</v>
      </c>
      <c r="H2719" t="s">
        <v>21</v>
      </c>
      <c r="I2719">
        <v>0</v>
      </c>
      <c r="J2719">
        <v>0</v>
      </c>
      <c r="K2719">
        <v>0</v>
      </c>
      <c r="L2719">
        <v>1</v>
      </c>
      <c r="M2719">
        <v>0</v>
      </c>
      <c r="N2719" t="s">
        <v>194</v>
      </c>
      <c r="O2719" t="s">
        <v>213</v>
      </c>
      <c r="P2719" t="s">
        <v>205</v>
      </c>
      <c r="Q2719" t="s">
        <v>170</v>
      </c>
      <c r="R2719" t="s">
        <v>155</v>
      </c>
      <c r="T2719" t="s">
        <v>134</v>
      </c>
      <c r="U2719">
        <v>1</v>
      </c>
      <c r="W2719" t="s">
        <v>134</v>
      </c>
      <c r="X2719">
        <v>1</v>
      </c>
      <c r="Y2719" t="s">
        <v>139</v>
      </c>
      <c r="Z2719" t="s">
        <v>179</v>
      </c>
      <c r="AA2719" t="s">
        <v>142</v>
      </c>
      <c r="AB2719" t="s">
        <v>162</v>
      </c>
      <c r="AC2719" t="s">
        <v>175</v>
      </c>
      <c r="AD2719" t="s">
        <v>155</v>
      </c>
      <c r="AE2719" t="s">
        <v>392</v>
      </c>
      <c r="AF2719" t="s">
        <v>21</v>
      </c>
    </row>
    <row r="2720" spans="1:32">
      <c r="A2720" t="s">
        <v>3820</v>
      </c>
      <c r="B2720" s="37">
        <v>40006</v>
      </c>
      <c r="C2720" s="38">
        <v>40006</v>
      </c>
      <c r="D2720" s="38">
        <v>40000</v>
      </c>
      <c r="E2720" s="38">
        <v>39995</v>
      </c>
      <c r="F2720" s="39">
        <v>101</v>
      </c>
      <c r="G2720" t="s">
        <v>21</v>
      </c>
      <c r="H2720" t="s">
        <v>21</v>
      </c>
      <c r="I2720">
        <v>0</v>
      </c>
      <c r="J2720">
        <v>0</v>
      </c>
      <c r="K2720">
        <v>0</v>
      </c>
      <c r="L2720">
        <v>1</v>
      </c>
      <c r="M2720">
        <v>0</v>
      </c>
      <c r="N2720" t="s">
        <v>193</v>
      </c>
      <c r="O2720" t="s">
        <v>213</v>
      </c>
      <c r="P2720" t="s">
        <v>204</v>
      </c>
      <c r="Q2720" t="s">
        <v>170</v>
      </c>
      <c r="R2720" t="s">
        <v>155</v>
      </c>
      <c r="S2720">
        <v>5</v>
      </c>
      <c r="T2720" t="s">
        <v>135</v>
      </c>
      <c r="U2720">
        <v>0</v>
      </c>
      <c r="V2720">
        <v>4</v>
      </c>
      <c r="W2720" t="s">
        <v>137</v>
      </c>
      <c r="X2720">
        <v>0</v>
      </c>
      <c r="Y2720" t="s">
        <v>140</v>
      </c>
      <c r="Z2720" t="s">
        <v>181</v>
      </c>
      <c r="AA2720" t="s">
        <v>149</v>
      </c>
      <c r="AB2720" t="s">
        <v>162</v>
      </c>
      <c r="AC2720" t="s">
        <v>3409</v>
      </c>
      <c r="AD2720" t="s">
        <v>155</v>
      </c>
      <c r="AE2720" t="s">
        <v>130</v>
      </c>
      <c r="AF2720" t="s">
        <v>21</v>
      </c>
    </row>
    <row r="2721" spans="1:32">
      <c r="A2721" t="s">
        <v>3821</v>
      </c>
      <c r="B2721" s="37">
        <v>40005</v>
      </c>
      <c r="C2721" s="38">
        <v>40005</v>
      </c>
      <c r="D2721" s="38">
        <v>40000</v>
      </c>
      <c r="E2721" s="38">
        <v>39995</v>
      </c>
      <c r="F2721" s="39">
        <v>100</v>
      </c>
      <c r="G2721" t="s">
        <v>21</v>
      </c>
      <c r="H2721" t="s">
        <v>21</v>
      </c>
      <c r="I2721">
        <v>0</v>
      </c>
      <c r="J2721">
        <v>0</v>
      </c>
      <c r="K2721">
        <v>0</v>
      </c>
      <c r="L2721">
        <v>1</v>
      </c>
      <c r="M2721">
        <v>0</v>
      </c>
      <c r="N2721" t="s">
        <v>193</v>
      </c>
      <c r="O2721" t="s">
        <v>213</v>
      </c>
      <c r="P2721" t="s">
        <v>204</v>
      </c>
      <c r="Q2721" t="s">
        <v>170</v>
      </c>
      <c r="R2721" t="s">
        <v>155</v>
      </c>
      <c r="S2721">
        <v>5</v>
      </c>
      <c r="T2721" t="s">
        <v>135</v>
      </c>
      <c r="U2721">
        <v>0</v>
      </c>
      <c r="V2721">
        <v>4</v>
      </c>
      <c r="W2721" t="s">
        <v>137</v>
      </c>
      <c r="X2721">
        <v>0</v>
      </c>
      <c r="Y2721" t="s">
        <v>140</v>
      </c>
      <c r="Z2721" t="s">
        <v>181</v>
      </c>
      <c r="AA2721" t="s">
        <v>146</v>
      </c>
      <c r="AB2721" t="s">
        <v>162</v>
      </c>
      <c r="AC2721" t="s">
        <v>459</v>
      </c>
      <c r="AD2721" t="s">
        <v>155</v>
      </c>
      <c r="AE2721" t="s">
        <v>129</v>
      </c>
      <c r="AF2721" t="s">
        <v>21</v>
      </c>
    </row>
    <row r="2722" spans="1:32">
      <c r="A2722" t="s">
        <v>3822</v>
      </c>
      <c r="B2722" s="37">
        <v>40083</v>
      </c>
      <c r="C2722" s="38">
        <v>40083</v>
      </c>
      <c r="D2722" s="38">
        <v>40077</v>
      </c>
      <c r="E2722" s="38">
        <v>40057</v>
      </c>
      <c r="F2722" s="39">
        <v>178</v>
      </c>
      <c r="G2722" t="s">
        <v>21</v>
      </c>
      <c r="H2722" t="s">
        <v>21</v>
      </c>
      <c r="I2722">
        <v>0</v>
      </c>
      <c r="J2722">
        <v>0</v>
      </c>
      <c r="K2722">
        <v>0</v>
      </c>
      <c r="L2722">
        <v>1</v>
      </c>
      <c r="M2722">
        <v>0</v>
      </c>
      <c r="N2722" t="s">
        <v>544</v>
      </c>
      <c r="O2722" t="s">
        <v>213</v>
      </c>
      <c r="P2722" t="s">
        <v>545</v>
      </c>
      <c r="Q2722" t="s">
        <v>170</v>
      </c>
      <c r="R2722" t="s">
        <v>155</v>
      </c>
      <c r="S2722">
        <v>5</v>
      </c>
      <c r="T2722" t="s">
        <v>135</v>
      </c>
      <c r="U2722">
        <v>0</v>
      </c>
      <c r="V2722">
        <v>3</v>
      </c>
      <c r="W2722" t="s">
        <v>137</v>
      </c>
      <c r="X2722">
        <v>0</v>
      </c>
      <c r="Y2722" t="s">
        <v>139</v>
      </c>
      <c r="Z2722" t="s">
        <v>181</v>
      </c>
      <c r="AA2722" t="s">
        <v>142</v>
      </c>
      <c r="AB2722" t="s">
        <v>163</v>
      </c>
      <c r="AC2722" t="s">
        <v>3065</v>
      </c>
      <c r="AD2722" t="s">
        <v>155</v>
      </c>
      <c r="AE2722" t="s">
        <v>124</v>
      </c>
      <c r="AF2722" t="s">
        <v>21</v>
      </c>
    </row>
    <row r="2723" spans="1:32">
      <c r="A2723" t="s">
        <v>3823</v>
      </c>
      <c r="B2723" s="37">
        <v>39943</v>
      </c>
      <c r="C2723" s="38">
        <v>39943</v>
      </c>
      <c r="D2723" s="38">
        <v>39937</v>
      </c>
      <c r="E2723" s="38">
        <v>39934</v>
      </c>
      <c r="F2723" s="39">
        <v>38</v>
      </c>
      <c r="G2723" t="s">
        <v>21</v>
      </c>
      <c r="H2723" t="s">
        <v>21</v>
      </c>
      <c r="I2723">
        <v>0</v>
      </c>
      <c r="J2723">
        <v>0</v>
      </c>
      <c r="K2723">
        <v>0</v>
      </c>
      <c r="L2723">
        <v>1</v>
      </c>
      <c r="M2723">
        <v>0</v>
      </c>
      <c r="N2723" t="s">
        <v>194</v>
      </c>
      <c r="O2723" t="s">
        <v>213</v>
      </c>
      <c r="P2723" t="s">
        <v>205</v>
      </c>
      <c r="Q2723" t="s">
        <v>170</v>
      </c>
      <c r="R2723" t="s">
        <v>155</v>
      </c>
      <c r="T2723" t="s">
        <v>134</v>
      </c>
      <c r="U2723">
        <v>1</v>
      </c>
      <c r="W2723" t="s">
        <v>134</v>
      </c>
      <c r="X2723">
        <v>1</v>
      </c>
      <c r="Y2723" t="s">
        <v>139</v>
      </c>
      <c r="Z2723" t="s">
        <v>181</v>
      </c>
      <c r="AA2723" t="s">
        <v>147</v>
      </c>
      <c r="AB2723" t="s">
        <v>163</v>
      </c>
      <c r="AC2723" t="s">
        <v>415</v>
      </c>
      <c r="AD2723" t="s">
        <v>155</v>
      </c>
      <c r="AE2723" t="s">
        <v>1186</v>
      </c>
      <c r="AF2723" t="s">
        <v>21</v>
      </c>
    </row>
    <row r="2724" spans="1:32">
      <c r="A2724" t="s">
        <v>3824</v>
      </c>
      <c r="B2724" s="37">
        <v>40080</v>
      </c>
      <c r="C2724" s="38">
        <v>40080</v>
      </c>
      <c r="D2724" s="38">
        <v>40077</v>
      </c>
      <c r="E2724" s="38">
        <v>40057</v>
      </c>
      <c r="F2724" s="39">
        <v>175</v>
      </c>
      <c r="G2724" t="s">
        <v>21</v>
      </c>
      <c r="H2724" t="s">
        <v>21</v>
      </c>
      <c r="I2724">
        <v>0</v>
      </c>
      <c r="J2724">
        <v>0</v>
      </c>
      <c r="K2724">
        <v>0</v>
      </c>
      <c r="L2724">
        <v>1</v>
      </c>
      <c r="M2724">
        <v>0</v>
      </c>
      <c r="N2724" t="s">
        <v>193</v>
      </c>
      <c r="O2724" t="s">
        <v>213</v>
      </c>
      <c r="P2724" t="s">
        <v>204</v>
      </c>
      <c r="Q2724" t="s">
        <v>170</v>
      </c>
      <c r="R2724" t="s">
        <v>155</v>
      </c>
      <c r="S2724">
        <v>5</v>
      </c>
      <c r="T2724" t="s">
        <v>135</v>
      </c>
      <c r="U2724">
        <v>0</v>
      </c>
      <c r="V2724">
        <v>2</v>
      </c>
      <c r="W2724" t="s">
        <v>136</v>
      </c>
      <c r="X2724">
        <v>0</v>
      </c>
      <c r="Y2724" t="s">
        <v>140</v>
      </c>
      <c r="Z2724" t="s">
        <v>181</v>
      </c>
      <c r="AA2724" t="s">
        <v>146</v>
      </c>
      <c r="AB2724" t="s">
        <v>163</v>
      </c>
      <c r="AC2724" t="s">
        <v>3825</v>
      </c>
      <c r="AD2724" t="s">
        <v>155</v>
      </c>
      <c r="AE2724" t="s">
        <v>128</v>
      </c>
      <c r="AF2724" t="s">
        <v>21</v>
      </c>
    </row>
    <row r="2725" spans="1:32">
      <c r="A2725" t="s">
        <v>3826</v>
      </c>
      <c r="B2725" s="37">
        <v>39937</v>
      </c>
      <c r="C2725" s="38">
        <v>39937</v>
      </c>
      <c r="D2725" s="38">
        <v>39937</v>
      </c>
      <c r="E2725" s="38">
        <v>39934</v>
      </c>
      <c r="F2725" s="39">
        <v>32</v>
      </c>
      <c r="G2725" t="s">
        <v>21</v>
      </c>
      <c r="H2725" t="s">
        <v>21</v>
      </c>
      <c r="I2725">
        <v>0</v>
      </c>
      <c r="J2725">
        <v>0</v>
      </c>
      <c r="K2725">
        <v>0</v>
      </c>
      <c r="L2725">
        <v>1</v>
      </c>
      <c r="M2725">
        <v>0</v>
      </c>
      <c r="N2725" t="s">
        <v>201</v>
      </c>
      <c r="O2725" t="s">
        <v>214</v>
      </c>
      <c r="P2725" t="s">
        <v>204</v>
      </c>
      <c r="Q2725" t="s">
        <v>170</v>
      </c>
      <c r="R2725" t="s">
        <v>155</v>
      </c>
      <c r="T2725" t="s">
        <v>134</v>
      </c>
      <c r="U2725">
        <v>1</v>
      </c>
      <c r="W2725" t="s">
        <v>134</v>
      </c>
      <c r="X2725">
        <v>1</v>
      </c>
      <c r="Y2725" t="s">
        <v>140</v>
      </c>
      <c r="Z2725" t="s">
        <v>181</v>
      </c>
      <c r="AA2725" t="s">
        <v>148</v>
      </c>
      <c r="AB2725" t="s">
        <v>162</v>
      </c>
      <c r="AC2725" t="s">
        <v>175</v>
      </c>
      <c r="AD2725" t="s">
        <v>125</v>
      </c>
      <c r="AE2725" t="s">
        <v>628</v>
      </c>
      <c r="AF2725" t="s">
        <v>1209</v>
      </c>
    </row>
    <row r="2726" spans="1:32">
      <c r="A2726" t="s">
        <v>3827</v>
      </c>
      <c r="B2726" s="37">
        <v>40041</v>
      </c>
      <c r="C2726" s="38">
        <v>40041</v>
      </c>
      <c r="D2726" s="38">
        <v>40035</v>
      </c>
      <c r="E2726" s="38">
        <v>40026</v>
      </c>
      <c r="F2726" s="39">
        <v>136</v>
      </c>
      <c r="G2726" t="s">
        <v>21</v>
      </c>
      <c r="H2726" t="s">
        <v>21</v>
      </c>
      <c r="I2726">
        <v>0</v>
      </c>
      <c r="J2726">
        <v>0</v>
      </c>
      <c r="K2726">
        <v>0</v>
      </c>
      <c r="L2726">
        <v>1</v>
      </c>
      <c r="M2726">
        <v>0</v>
      </c>
      <c r="N2726" t="s">
        <v>197</v>
      </c>
      <c r="O2726" t="s">
        <v>213</v>
      </c>
      <c r="P2726" t="s">
        <v>209</v>
      </c>
      <c r="Q2726" t="s">
        <v>170</v>
      </c>
      <c r="R2726" t="s">
        <v>155</v>
      </c>
      <c r="S2726">
        <v>1</v>
      </c>
      <c r="T2726" t="s">
        <v>136</v>
      </c>
      <c r="U2726">
        <v>0</v>
      </c>
      <c r="V2726">
        <v>3</v>
      </c>
      <c r="W2726" t="s">
        <v>137</v>
      </c>
      <c r="X2726">
        <v>0</v>
      </c>
      <c r="Y2726" t="s">
        <v>139</v>
      </c>
      <c r="Z2726" t="s">
        <v>181</v>
      </c>
      <c r="AA2726" t="s">
        <v>151</v>
      </c>
      <c r="AB2726" t="s">
        <v>162</v>
      </c>
      <c r="AC2726" t="s">
        <v>175</v>
      </c>
      <c r="AD2726" t="s">
        <v>155</v>
      </c>
      <c r="AE2726" t="s">
        <v>129</v>
      </c>
      <c r="AF2726" t="s">
        <v>21</v>
      </c>
    </row>
    <row r="2727" spans="1:32">
      <c r="A2727" t="s">
        <v>3828</v>
      </c>
      <c r="B2727" s="37">
        <v>39964</v>
      </c>
      <c r="C2727" s="38">
        <v>39964</v>
      </c>
      <c r="D2727" s="38">
        <v>39958</v>
      </c>
      <c r="E2727" s="38">
        <v>39934</v>
      </c>
      <c r="F2727" s="39">
        <v>59</v>
      </c>
      <c r="G2727" t="s">
        <v>496</v>
      </c>
      <c r="H2727" t="s">
        <v>13</v>
      </c>
      <c r="I2727">
        <v>0</v>
      </c>
      <c r="J2727">
        <v>1</v>
      </c>
      <c r="K2727">
        <v>0</v>
      </c>
      <c r="L2727">
        <v>0</v>
      </c>
      <c r="M2727">
        <v>1</v>
      </c>
      <c r="N2727" t="s">
        <v>195</v>
      </c>
      <c r="O2727" t="s">
        <v>213</v>
      </c>
      <c r="P2727" t="s">
        <v>206</v>
      </c>
      <c r="Q2727" t="s">
        <v>170</v>
      </c>
      <c r="R2727" t="s">
        <v>155</v>
      </c>
      <c r="T2727" t="s">
        <v>134</v>
      </c>
      <c r="U2727">
        <v>1</v>
      </c>
      <c r="W2727" t="s">
        <v>134</v>
      </c>
      <c r="X2727">
        <v>1</v>
      </c>
      <c r="Y2727" t="s">
        <v>139</v>
      </c>
      <c r="Z2727" t="s">
        <v>181</v>
      </c>
      <c r="AA2727" t="s">
        <v>146</v>
      </c>
      <c r="AB2727" t="s">
        <v>163</v>
      </c>
      <c r="AC2727" t="s">
        <v>2629</v>
      </c>
      <c r="AD2727" t="s">
        <v>155</v>
      </c>
      <c r="AE2727" t="s">
        <v>124</v>
      </c>
      <c r="AF2727" t="s">
        <v>21</v>
      </c>
    </row>
    <row r="2728" spans="1:32">
      <c r="A2728" t="s">
        <v>3829</v>
      </c>
      <c r="B2728" s="37">
        <v>39935</v>
      </c>
      <c r="C2728" s="38">
        <v>39935</v>
      </c>
      <c r="D2728" s="38">
        <v>39930</v>
      </c>
      <c r="E2728" s="38">
        <v>39934</v>
      </c>
      <c r="F2728" s="39">
        <v>30</v>
      </c>
      <c r="G2728" t="s">
        <v>21</v>
      </c>
      <c r="H2728" t="s">
        <v>21</v>
      </c>
      <c r="I2728">
        <v>0</v>
      </c>
      <c r="J2728">
        <v>0</v>
      </c>
      <c r="K2728">
        <v>0</v>
      </c>
      <c r="L2728">
        <v>1</v>
      </c>
      <c r="M2728">
        <v>0</v>
      </c>
      <c r="N2728" t="s">
        <v>200</v>
      </c>
      <c r="O2728" t="s">
        <v>214</v>
      </c>
      <c r="P2728" t="s">
        <v>208</v>
      </c>
      <c r="Q2728" t="s">
        <v>170</v>
      </c>
      <c r="R2728" t="s">
        <v>155</v>
      </c>
      <c r="T2728" t="s">
        <v>134</v>
      </c>
      <c r="U2728">
        <v>1</v>
      </c>
      <c r="W2728" t="s">
        <v>134</v>
      </c>
      <c r="X2728">
        <v>1</v>
      </c>
      <c r="Y2728" t="s">
        <v>139</v>
      </c>
      <c r="Z2728" t="s">
        <v>181</v>
      </c>
      <c r="AA2728" t="s">
        <v>148</v>
      </c>
      <c r="AB2728" t="s">
        <v>162</v>
      </c>
      <c r="AC2728" t="s">
        <v>176</v>
      </c>
      <c r="AD2728" t="s">
        <v>155</v>
      </c>
      <c r="AE2728" t="s">
        <v>130</v>
      </c>
      <c r="AF2728" t="s">
        <v>21</v>
      </c>
    </row>
    <row r="2729" spans="1:32">
      <c r="A2729" t="s">
        <v>3830</v>
      </c>
      <c r="B2729" s="37">
        <v>39945</v>
      </c>
      <c r="C2729" s="38">
        <v>39945</v>
      </c>
      <c r="D2729" s="38">
        <v>39944</v>
      </c>
      <c r="E2729" s="38">
        <v>39934</v>
      </c>
      <c r="F2729" s="39">
        <v>40</v>
      </c>
      <c r="G2729" t="s">
        <v>9</v>
      </c>
      <c r="H2729" t="s">
        <v>9</v>
      </c>
      <c r="I2729">
        <v>1</v>
      </c>
      <c r="J2729">
        <v>0</v>
      </c>
      <c r="K2729">
        <v>0</v>
      </c>
      <c r="L2729">
        <v>0</v>
      </c>
      <c r="M2729">
        <v>1</v>
      </c>
      <c r="N2729" t="s">
        <v>195</v>
      </c>
      <c r="O2729" t="s">
        <v>213</v>
      </c>
      <c r="P2729" t="s">
        <v>206</v>
      </c>
      <c r="Q2729" t="s">
        <v>170</v>
      </c>
      <c r="R2729" t="s">
        <v>155</v>
      </c>
      <c r="T2729" t="s">
        <v>134</v>
      </c>
      <c r="U2729">
        <v>1</v>
      </c>
      <c r="W2729" t="s">
        <v>134</v>
      </c>
      <c r="X2729">
        <v>1</v>
      </c>
      <c r="Y2729" t="s">
        <v>139</v>
      </c>
      <c r="Z2729" t="s">
        <v>528</v>
      </c>
      <c r="AA2729" t="s">
        <v>145</v>
      </c>
      <c r="AB2729" t="s">
        <v>163</v>
      </c>
      <c r="AC2729" t="s">
        <v>173</v>
      </c>
      <c r="AD2729" t="s">
        <v>155</v>
      </c>
      <c r="AE2729" t="s">
        <v>125</v>
      </c>
      <c r="AF2729" t="s">
        <v>21</v>
      </c>
    </row>
    <row r="2730" spans="1:32">
      <c r="A2730" t="s">
        <v>3831</v>
      </c>
      <c r="B2730" s="37">
        <v>39979</v>
      </c>
      <c r="C2730" s="38">
        <v>39979</v>
      </c>
      <c r="D2730" s="38">
        <v>39979</v>
      </c>
      <c r="E2730" s="38">
        <v>39965</v>
      </c>
      <c r="F2730" s="39">
        <v>74</v>
      </c>
      <c r="G2730" t="s">
        <v>383</v>
      </c>
      <c r="H2730" t="s">
        <v>17</v>
      </c>
      <c r="I2730">
        <v>0</v>
      </c>
      <c r="J2730">
        <v>0</v>
      </c>
      <c r="K2730">
        <v>1</v>
      </c>
      <c r="L2730">
        <v>0</v>
      </c>
      <c r="M2730">
        <v>0</v>
      </c>
      <c r="N2730" t="s">
        <v>194</v>
      </c>
      <c r="O2730" t="s">
        <v>213</v>
      </c>
      <c r="P2730" t="s">
        <v>205</v>
      </c>
      <c r="Q2730" t="s">
        <v>170</v>
      </c>
      <c r="R2730" t="s">
        <v>155</v>
      </c>
      <c r="T2730" t="s">
        <v>134</v>
      </c>
      <c r="U2730">
        <v>1</v>
      </c>
      <c r="W2730" t="s">
        <v>134</v>
      </c>
      <c r="X2730">
        <v>1</v>
      </c>
      <c r="Y2730" t="s">
        <v>139</v>
      </c>
      <c r="Z2730" t="s">
        <v>188</v>
      </c>
      <c r="AA2730" t="s">
        <v>144</v>
      </c>
      <c r="AB2730" t="s">
        <v>163</v>
      </c>
      <c r="AC2730" t="s">
        <v>173</v>
      </c>
      <c r="AD2730" t="s">
        <v>155</v>
      </c>
      <c r="AE2730" t="s">
        <v>125</v>
      </c>
      <c r="AF2730" t="s">
        <v>21</v>
      </c>
    </row>
    <row r="2731" spans="1:32">
      <c r="A2731" t="s">
        <v>3832</v>
      </c>
      <c r="B2731" s="37">
        <v>39971</v>
      </c>
      <c r="C2731" s="38">
        <v>39971</v>
      </c>
      <c r="D2731" s="38">
        <v>39965</v>
      </c>
      <c r="E2731" s="38">
        <v>39965</v>
      </c>
      <c r="F2731" s="39">
        <v>66</v>
      </c>
      <c r="G2731" t="s">
        <v>21</v>
      </c>
      <c r="H2731" t="s">
        <v>21</v>
      </c>
      <c r="I2731">
        <v>0</v>
      </c>
      <c r="J2731">
        <v>0</v>
      </c>
      <c r="K2731">
        <v>0</v>
      </c>
      <c r="L2731">
        <v>1</v>
      </c>
      <c r="M2731">
        <v>0</v>
      </c>
      <c r="N2731" t="s">
        <v>193</v>
      </c>
      <c r="O2731" t="s">
        <v>213</v>
      </c>
      <c r="P2731" t="s">
        <v>204</v>
      </c>
      <c r="Q2731" t="s">
        <v>170</v>
      </c>
      <c r="R2731" t="s">
        <v>155</v>
      </c>
      <c r="T2731" t="s">
        <v>134</v>
      </c>
      <c r="U2731">
        <v>1</v>
      </c>
      <c r="W2731" t="s">
        <v>134</v>
      </c>
      <c r="X2731">
        <v>1</v>
      </c>
      <c r="Y2731" t="s">
        <v>140</v>
      </c>
      <c r="Z2731" t="s">
        <v>188</v>
      </c>
      <c r="AA2731" t="s">
        <v>148</v>
      </c>
      <c r="AB2731" t="s">
        <v>162</v>
      </c>
      <c r="AC2731" t="s">
        <v>2201</v>
      </c>
      <c r="AD2731" t="s">
        <v>156</v>
      </c>
      <c r="AE2731" t="s">
        <v>120</v>
      </c>
      <c r="AF2731" t="s">
        <v>2676</v>
      </c>
    </row>
    <row r="2732" spans="1:32">
      <c r="A2732" t="s">
        <v>3833</v>
      </c>
      <c r="B2732" s="37">
        <v>40078</v>
      </c>
      <c r="C2732" s="38">
        <v>40078</v>
      </c>
      <c r="D2732" s="38">
        <v>40077</v>
      </c>
      <c r="E2732" s="38">
        <v>40057</v>
      </c>
      <c r="F2732" s="39">
        <v>173</v>
      </c>
      <c r="G2732" t="s">
        <v>21</v>
      </c>
      <c r="H2732" t="s">
        <v>21</v>
      </c>
      <c r="I2732">
        <v>0</v>
      </c>
      <c r="J2732">
        <v>0</v>
      </c>
      <c r="K2732">
        <v>0</v>
      </c>
      <c r="L2732">
        <v>1</v>
      </c>
      <c r="M2732">
        <v>0</v>
      </c>
      <c r="N2732" t="s">
        <v>193</v>
      </c>
      <c r="O2732" t="s">
        <v>213</v>
      </c>
      <c r="P2732" t="s">
        <v>204</v>
      </c>
      <c r="Q2732" t="s">
        <v>170</v>
      </c>
      <c r="R2732" t="s">
        <v>155</v>
      </c>
      <c r="S2732">
        <v>5</v>
      </c>
      <c r="T2732" t="s">
        <v>135</v>
      </c>
      <c r="U2732">
        <v>0</v>
      </c>
      <c r="V2732">
        <v>5</v>
      </c>
      <c r="W2732" t="s">
        <v>135</v>
      </c>
      <c r="X2732">
        <v>0</v>
      </c>
      <c r="Y2732" t="s">
        <v>140</v>
      </c>
      <c r="Z2732" t="s">
        <v>185</v>
      </c>
      <c r="AA2732" t="s">
        <v>144</v>
      </c>
      <c r="AB2732" t="s">
        <v>162</v>
      </c>
      <c r="AC2732" t="s">
        <v>174</v>
      </c>
      <c r="AD2732" t="s">
        <v>157</v>
      </c>
      <c r="AE2732" t="s">
        <v>501</v>
      </c>
      <c r="AF2732" t="s">
        <v>3834</v>
      </c>
    </row>
    <row r="2733" spans="1:32">
      <c r="A2733" t="s">
        <v>3835</v>
      </c>
      <c r="B2733" s="37">
        <v>39956</v>
      </c>
      <c r="C2733" s="38">
        <v>39956</v>
      </c>
      <c r="D2733" s="38">
        <v>39951</v>
      </c>
      <c r="E2733" s="38">
        <v>39934</v>
      </c>
      <c r="F2733" s="39">
        <v>51</v>
      </c>
      <c r="G2733" t="s">
        <v>21</v>
      </c>
      <c r="H2733" t="s">
        <v>21</v>
      </c>
      <c r="I2733">
        <v>0</v>
      </c>
      <c r="J2733">
        <v>0</v>
      </c>
      <c r="K2733">
        <v>0</v>
      </c>
      <c r="L2733">
        <v>1</v>
      </c>
      <c r="M2733">
        <v>0</v>
      </c>
      <c r="N2733" t="s">
        <v>195</v>
      </c>
      <c r="O2733" t="s">
        <v>213</v>
      </c>
      <c r="P2733" t="s">
        <v>206</v>
      </c>
      <c r="Q2733" t="s">
        <v>170</v>
      </c>
      <c r="R2733" t="s">
        <v>155</v>
      </c>
      <c r="T2733" t="s">
        <v>134</v>
      </c>
      <c r="U2733">
        <v>1</v>
      </c>
      <c r="W2733" t="s">
        <v>134</v>
      </c>
      <c r="X2733">
        <v>1</v>
      </c>
      <c r="Y2733" t="s">
        <v>139</v>
      </c>
      <c r="Z2733" t="s">
        <v>185</v>
      </c>
      <c r="AA2733" t="s">
        <v>144</v>
      </c>
      <c r="AB2733" t="s">
        <v>163</v>
      </c>
      <c r="AC2733" t="s">
        <v>173</v>
      </c>
      <c r="AD2733" t="s">
        <v>155</v>
      </c>
      <c r="AE2733" t="s">
        <v>124</v>
      </c>
      <c r="AF2733" t="s">
        <v>21</v>
      </c>
    </row>
    <row r="2734" spans="1:32">
      <c r="A2734" t="s">
        <v>3836</v>
      </c>
      <c r="B2734" s="37">
        <v>39971</v>
      </c>
      <c r="C2734" s="38">
        <v>39971</v>
      </c>
      <c r="D2734" s="38">
        <v>39965</v>
      </c>
      <c r="E2734" s="38">
        <v>39965</v>
      </c>
      <c r="F2734" s="39">
        <v>66</v>
      </c>
      <c r="G2734" t="s">
        <v>380</v>
      </c>
      <c r="H2734" t="s">
        <v>17</v>
      </c>
      <c r="I2734">
        <v>0</v>
      </c>
      <c r="J2734">
        <v>0</v>
      </c>
      <c r="K2734">
        <v>1</v>
      </c>
      <c r="L2734">
        <v>0</v>
      </c>
      <c r="M2734">
        <v>0</v>
      </c>
      <c r="N2734" t="s">
        <v>193</v>
      </c>
      <c r="O2734" t="s">
        <v>213</v>
      </c>
      <c r="P2734" t="s">
        <v>204</v>
      </c>
      <c r="Q2734" t="s">
        <v>170</v>
      </c>
      <c r="R2734" t="s">
        <v>155</v>
      </c>
      <c r="T2734" t="s">
        <v>134</v>
      </c>
      <c r="U2734">
        <v>1</v>
      </c>
      <c r="W2734" t="s">
        <v>134</v>
      </c>
      <c r="X2734">
        <v>1</v>
      </c>
      <c r="Y2734" t="s">
        <v>140</v>
      </c>
      <c r="Z2734" t="s">
        <v>413</v>
      </c>
      <c r="AA2734" t="s">
        <v>146</v>
      </c>
      <c r="AB2734" t="s">
        <v>163</v>
      </c>
      <c r="AC2734" t="s">
        <v>173</v>
      </c>
      <c r="AD2734" t="s">
        <v>161</v>
      </c>
      <c r="AE2734" t="s">
        <v>1364</v>
      </c>
      <c r="AF2734" t="s">
        <v>21</v>
      </c>
    </row>
    <row r="2735" spans="1:32">
      <c r="A2735" t="s">
        <v>3837</v>
      </c>
      <c r="B2735" s="37">
        <v>40000</v>
      </c>
      <c r="C2735" s="38">
        <v>40000</v>
      </c>
      <c r="D2735" s="38">
        <v>40000</v>
      </c>
      <c r="E2735" s="38">
        <v>39995</v>
      </c>
      <c r="F2735" s="39">
        <v>95</v>
      </c>
      <c r="G2735" t="s">
        <v>9</v>
      </c>
      <c r="H2735" t="s">
        <v>9</v>
      </c>
      <c r="I2735">
        <v>1</v>
      </c>
      <c r="J2735">
        <v>0</v>
      </c>
      <c r="K2735">
        <v>0</v>
      </c>
      <c r="L2735">
        <v>0</v>
      </c>
      <c r="M2735">
        <v>1</v>
      </c>
      <c r="N2735" t="s">
        <v>194</v>
      </c>
      <c r="O2735" t="s">
        <v>213</v>
      </c>
      <c r="P2735" t="s">
        <v>205</v>
      </c>
      <c r="Q2735" t="s">
        <v>170</v>
      </c>
      <c r="R2735" t="s">
        <v>155</v>
      </c>
      <c r="T2735" t="s">
        <v>134</v>
      </c>
      <c r="U2735">
        <v>1</v>
      </c>
      <c r="V2735">
        <v>3</v>
      </c>
      <c r="W2735" t="s">
        <v>137</v>
      </c>
      <c r="X2735">
        <v>0</v>
      </c>
      <c r="Y2735" t="s">
        <v>139</v>
      </c>
      <c r="Z2735" t="s">
        <v>413</v>
      </c>
      <c r="AA2735" t="s">
        <v>143</v>
      </c>
      <c r="AB2735" t="s">
        <v>163</v>
      </c>
      <c r="AC2735" t="s">
        <v>1768</v>
      </c>
      <c r="AD2735" t="s">
        <v>155</v>
      </c>
      <c r="AE2735" t="s">
        <v>127</v>
      </c>
      <c r="AF2735" t="s">
        <v>21</v>
      </c>
    </row>
    <row r="2736" spans="1:32">
      <c r="A2736" t="s">
        <v>3838</v>
      </c>
      <c r="B2736" s="37">
        <v>39914</v>
      </c>
      <c r="C2736" s="38">
        <v>39914</v>
      </c>
      <c r="D2736" s="38">
        <v>39909</v>
      </c>
      <c r="E2736" s="38">
        <v>39904</v>
      </c>
      <c r="F2736" s="39">
        <v>9</v>
      </c>
      <c r="G2736" t="s">
        <v>21</v>
      </c>
      <c r="H2736" t="s">
        <v>21</v>
      </c>
      <c r="I2736">
        <v>0</v>
      </c>
      <c r="J2736">
        <v>0</v>
      </c>
      <c r="K2736">
        <v>0</v>
      </c>
      <c r="L2736">
        <v>1</v>
      </c>
      <c r="M2736">
        <v>0</v>
      </c>
      <c r="N2736" t="s">
        <v>199</v>
      </c>
      <c r="O2736" t="s">
        <v>213</v>
      </c>
      <c r="P2736" t="s">
        <v>210</v>
      </c>
      <c r="Q2736" t="s">
        <v>170</v>
      </c>
      <c r="R2736" t="s">
        <v>155</v>
      </c>
      <c r="T2736" t="s">
        <v>134</v>
      </c>
      <c r="U2736">
        <v>1</v>
      </c>
      <c r="W2736" t="s">
        <v>134</v>
      </c>
      <c r="X2736">
        <v>1</v>
      </c>
      <c r="Y2736" t="s">
        <v>139</v>
      </c>
      <c r="Z2736" t="s">
        <v>479</v>
      </c>
      <c r="AA2736" t="s">
        <v>147</v>
      </c>
      <c r="AB2736" t="s">
        <v>162</v>
      </c>
      <c r="AC2736" t="s">
        <v>175</v>
      </c>
      <c r="AD2736" t="s">
        <v>155</v>
      </c>
      <c r="AE2736" t="s">
        <v>439</v>
      </c>
      <c r="AF2736" t="s">
        <v>21</v>
      </c>
    </row>
    <row r="2737" spans="1:32">
      <c r="A2737" t="s">
        <v>3839</v>
      </c>
      <c r="B2737" s="37">
        <v>39981</v>
      </c>
      <c r="C2737" s="38">
        <v>39981</v>
      </c>
      <c r="D2737" s="38">
        <v>39979</v>
      </c>
      <c r="E2737" s="38">
        <v>39965</v>
      </c>
      <c r="F2737" s="39">
        <v>76</v>
      </c>
      <c r="G2737" t="s">
        <v>380</v>
      </c>
      <c r="H2737" t="s">
        <v>17</v>
      </c>
      <c r="I2737">
        <v>0</v>
      </c>
      <c r="J2737">
        <v>0</v>
      </c>
      <c r="K2737">
        <v>1</v>
      </c>
      <c r="L2737">
        <v>0</v>
      </c>
      <c r="M2737">
        <v>0</v>
      </c>
      <c r="N2737" t="s">
        <v>196</v>
      </c>
      <c r="O2737" t="s">
        <v>213</v>
      </c>
      <c r="P2737" t="s">
        <v>207</v>
      </c>
      <c r="Q2737" t="s">
        <v>170</v>
      </c>
      <c r="R2737" t="s">
        <v>155</v>
      </c>
      <c r="T2737" t="s">
        <v>134</v>
      </c>
      <c r="U2737">
        <v>1</v>
      </c>
      <c r="W2737" t="s">
        <v>134</v>
      </c>
      <c r="X2737">
        <v>1</v>
      </c>
      <c r="Y2737" t="s">
        <v>139</v>
      </c>
      <c r="Z2737" t="s">
        <v>188</v>
      </c>
      <c r="AA2737" t="s">
        <v>143</v>
      </c>
      <c r="AB2737" t="s">
        <v>162</v>
      </c>
      <c r="AC2737" t="s">
        <v>174</v>
      </c>
      <c r="AD2737" t="s">
        <v>157</v>
      </c>
      <c r="AE2737" t="s">
        <v>127</v>
      </c>
      <c r="AF2737" t="s">
        <v>153</v>
      </c>
    </row>
    <row r="2738" spans="1:32">
      <c r="A2738" t="s">
        <v>3840</v>
      </c>
      <c r="B2738" s="37">
        <v>39990</v>
      </c>
      <c r="C2738" s="38">
        <v>39990</v>
      </c>
      <c r="D2738" s="38">
        <v>39986</v>
      </c>
      <c r="E2738" s="38">
        <v>39965</v>
      </c>
      <c r="F2738" s="39">
        <v>85</v>
      </c>
      <c r="G2738" t="s">
        <v>21</v>
      </c>
      <c r="H2738" t="s">
        <v>21</v>
      </c>
      <c r="I2738">
        <v>0</v>
      </c>
      <c r="J2738">
        <v>0</v>
      </c>
      <c r="K2738">
        <v>0</v>
      </c>
      <c r="L2738">
        <v>1</v>
      </c>
      <c r="M2738">
        <v>0</v>
      </c>
      <c r="N2738" t="s">
        <v>193</v>
      </c>
      <c r="O2738" t="s">
        <v>213</v>
      </c>
      <c r="P2738" t="s">
        <v>204</v>
      </c>
      <c r="Q2738" t="s">
        <v>170</v>
      </c>
      <c r="R2738" t="s">
        <v>155</v>
      </c>
      <c r="T2738" t="s">
        <v>134</v>
      </c>
      <c r="U2738">
        <v>1</v>
      </c>
      <c r="V2738">
        <v>5</v>
      </c>
      <c r="W2738" t="s">
        <v>135</v>
      </c>
      <c r="X2738">
        <v>0</v>
      </c>
      <c r="Y2738" t="s">
        <v>140</v>
      </c>
      <c r="Z2738" t="s">
        <v>185</v>
      </c>
      <c r="AA2738" t="s">
        <v>142</v>
      </c>
      <c r="AB2738" t="s">
        <v>163</v>
      </c>
      <c r="AC2738" t="s">
        <v>173</v>
      </c>
      <c r="AD2738" t="s">
        <v>155</v>
      </c>
      <c r="AE2738" t="s">
        <v>454</v>
      </c>
      <c r="AF2738" t="s">
        <v>21</v>
      </c>
    </row>
    <row r="2739" spans="1:32">
      <c r="A2739" t="s">
        <v>3841</v>
      </c>
      <c r="B2739" s="37">
        <v>40045</v>
      </c>
      <c r="C2739" s="38">
        <v>40045</v>
      </c>
      <c r="D2739" s="38">
        <v>40042</v>
      </c>
      <c r="E2739" s="38">
        <v>40026</v>
      </c>
      <c r="F2739" s="39">
        <v>140</v>
      </c>
      <c r="G2739" t="s">
        <v>21</v>
      </c>
      <c r="H2739" t="s">
        <v>21</v>
      </c>
      <c r="I2739">
        <v>0</v>
      </c>
      <c r="J2739">
        <v>0</v>
      </c>
      <c r="K2739">
        <v>0</v>
      </c>
      <c r="L2739">
        <v>1</v>
      </c>
      <c r="M2739">
        <v>0</v>
      </c>
      <c r="N2739" t="s">
        <v>196</v>
      </c>
      <c r="O2739" t="s">
        <v>213</v>
      </c>
      <c r="P2739" t="s">
        <v>207</v>
      </c>
      <c r="Q2739" t="s">
        <v>170</v>
      </c>
      <c r="R2739" t="s">
        <v>155</v>
      </c>
      <c r="S2739">
        <v>5</v>
      </c>
      <c r="T2739" t="s">
        <v>135</v>
      </c>
      <c r="U2739">
        <v>0</v>
      </c>
      <c r="V2739">
        <v>3</v>
      </c>
      <c r="W2739" t="s">
        <v>137</v>
      </c>
      <c r="X2739">
        <v>0</v>
      </c>
      <c r="Y2739" t="s">
        <v>139</v>
      </c>
      <c r="Z2739" t="s">
        <v>185</v>
      </c>
      <c r="AA2739" t="s">
        <v>142</v>
      </c>
      <c r="AB2739" t="s">
        <v>162</v>
      </c>
      <c r="AC2739" t="s">
        <v>175</v>
      </c>
      <c r="AD2739" t="s">
        <v>125</v>
      </c>
      <c r="AE2739" t="s">
        <v>125</v>
      </c>
      <c r="AF2739" t="s">
        <v>3842</v>
      </c>
    </row>
    <row r="2740" spans="1:32">
      <c r="A2740" t="s">
        <v>3843</v>
      </c>
      <c r="B2740" s="37">
        <v>39917</v>
      </c>
      <c r="C2740" s="38">
        <v>39917</v>
      </c>
      <c r="D2740" s="38">
        <v>39916</v>
      </c>
      <c r="E2740" s="38">
        <v>39904</v>
      </c>
      <c r="F2740" s="39">
        <v>12</v>
      </c>
      <c r="G2740" t="s">
        <v>21</v>
      </c>
      <c r="H2740" t="s">
        <v>21</v>
      </c>
      <c r="I2740">
        <v>0</v>
      </c>
      <c r="J2740">
        <v>0</v>
      </c>
      <c r="K2740">
        <v>0</v>
      </c>
      <c r="L2740">
        <v>1</v>
      </c>
      <c r="M2740">
        <v>0</v>
      </c>
      <c r="N2740" t="s">
        <v>200</v>
      </c>
      <c r="O2740" t="s">
        <v>214</v>
      </c>
      <c r="P2740" t="s">
        <v>208</v>
      </c>
      <c r="Q2740" t="s">
        <v>170</v>
      </c>
      <c r="R2740" t="s">
        <v>155</v>
      </c>
      <c r="T2740" t="s">
        <v>134</v>
      </c>
      <c r="U2740">
        <v>1</v>
      </c>
      <c r="W2740" t="s">
        <v>134</v>
      </c>
      <c r="X2740">
        <v>1</v>
      </c>
      <c r="Y2740" t="s">
        <v>139</v>
      </c>
      <c r="Z2740" t="s">
        <v>188</v>
      </c>
      <c r="AA2740" t="s">
        <v>150</v>
      </c>
      <c r="AB2740" t="s">
        <v>162</v>
      </c>
      <c r="AC2740" t="s">
        <v>713</v>
      </c>
      <c r="AD2740" t="s">
        <v>159</v>
      </c>
      <c r="AE2740" t="s">
        <v>126</v>
      </c>
      <c r="AF2740" t="s">
        <v>601</v>
      </c>
    </row>
    <row r="2741" spans="1:32">
      <c r="A2741" t="s">
        <v>3844</v>
      </c>
      <c r="B2741" s="37">
        <v>40076</v>
      </c>
      <c r="C2741" s="38">
        <v>40076</v>
      </c>
      <c r="D2741" s="38">
        <v>40070</v>
      </c>
      <c r="E2741" s="38">
        <v>40057</v>
      </c>
      <c r="F2741" s="39">
        <v>171</v>
      </c>
      <c r="G2741" t="s">
        <v>21</v>
      </c>
      <c r="H2741" t="s">
        <v>21</v>
      </c>
      <c r="I2741">
        <v>0</v>
      </c>
      <c r="J2741">
        <v>0</v>
      </c>
      <c r="K2741">
        <v>0</v>
      </c>
      <c r="L2741">
        <v>1</v>
      </c>
      <c r="M2741">
        <v>0</v>
      </c>
      <c r="N2741" t="s">
        <v>193</v>
      </c>
      <c r="O2741" t="s">
        <v>213</v>
      </c>
      <c r="P2741" t="s">
        <v>204</v>
      </c>
      <c r="Q2741" t="s">
        <v>170</v>
      </c>
      <c r="R2741" t="s">
        <v>155</v>
      </c>
      <c r="S2741">
        <v>5</v>
      </c>
      <c r="T2741" t="s">
        <v>135</v>
      </c>
      <c r="U2741">
        <v>0</v>
      </c>
      <c r="V2741">
        <v>4</v>
      </c>
      <c r="W2741" t="s">
        <v>137</v>
      </c>
      <c r="X2741">
        <v>0</v>
      </c>
      <c r="Y2741" t="s">
        <v>140</v>
      </c>
      <c r="Z2741" t="s">
        <v>528</v>
      </c>
      <c r="AA2741" t="s">
        <v>142</v>
      </c>
      <c r="AB2741" t="s">
        <v>162</v>
      </c>
      <c r="AC2741" t="s">
        <v>175</v>
      </c>
      <c r="AD2741" t="s">
        <v>155</v>
      </c>
      <c r="AE2741" t="s">
        <v>129</v>
      </c>
      <c r="AF2741" t="s">
        <v>21</v>
      </c>
    </row>
    <row r="2742" spans="1:32">
      <c r="A2742" t="s">
        <v>3845</v>
      </c>
      <c r="B2742" s="37">
        <v>39974</v>
      </c>
      <c r="C2742" s="38">
        <v>39974</v>
      </c>
      <c r="D2742" s="38">
        <v>39972</v>
      </c>
      <c r="E2742" s="38">
        <v>39965</v>
      </c>
      <c r="F2742" s="39">
        <v>69</v>
      </c>
      <c r="G2742" t="s">
        <v>21</v>
      </c>
      <c r="H2742" t="s">
        <v>21</v>
      </c>
      <c r="I2742">
        <v>0</v>
      </c>
      <c r="J2742">
        <v>0</v>
      </c>
      <c r="K2742">
        <v>0</v>
      </c>
      <c r="L2742">
        <v>1</v>
      </c>
      <c r="M2742">
        <v>0</v>
      </c>
      <c r="N2742" t="s">
        <v>195</v>
      </c>
      <c r="O2742" t="s">
        <v>213</v>
      </c>
      <c r="P2742" t="s">
        <v>206</v>
      </c>
      <c r="Q2742" t="s">
        <v>170</v>
      </c>
      <c r="R2742" t="s">
        <v>155</v>
      </c>
      <c r="T2742" t="s">
        <v>134</v>
      </c>
      <c r="U2742">
        <v>1</v>
      </c>
      <c r="W2742" t="s">
        <v>134</v>
      </c>
      <c r="X2742">
        <v>1</v>
      </c>
      <c r="Y2742" t="s">
        <v>139</v>
      </c>
      <c r="Z2742" t="s">
        <v>391</v>
      </c>
      <c r="AA2742" t="s">
        <v>148</v>
      </c>
      <c r="AB2742" t="s">
        <v>162</v>
      </c>
      <c r="AC2742" t="s">
        <v>174</v>
      </c>
      <c r="AD2742" t="s">
        <v>157</v>
      </c>
      <c r="AE2742" t="s">
        <v>130</v>
      </c>
      <c r="AF2742" t="s">
        <v>437</v>
      </c>
    </row>
    <row r="2743" spans="1:32">
      <c r="A2743" t="s">
        <v>3846</v>
      </c>
      <c r="B2743" s="37">
        <v>39946</v>
      </c>
      <c r="C2743" s="38">
        <v>39946</v>
      </c>
      <c r="D2743" s="38">
        <v>39944</v>
      </c>
      <c r="E2743" s="38">
        <v>39934</v>
      </c>
      <c r="F2743" s="39">
        <v>41</v>
      </c>
      <c r="G2743" t="s">
        <v>21</v>
      </c>
      <c r="H2743" t="s">
        <v>21</v>
      </c>
      <c r="I2743">
        <v>0</v>
      </c>
      <c r="J2743">
        <v>0</v>
      </c>
      <c r="K2743">
        <v>0</v>
      </c>
      <c r="L2743">
        <v>1</v>
      </c>
      <c r="M2743">
        <v>0</v>
      </c>
      <c r="N2743" t="s">
        <v>194</v>
      </c>
      <c r="O2743" t="s">
        <v>213</v>
      </c>
      <c r="P2743" t="s">
        <v>205</v>
      </c>
      <c r="Q2743" t="s">
        <v>170</v>
      </c>
      <c r="R2743" t="s">
        <v>155</v>
      </c>
      <c r="T2743" t="s">
        <v>134</v>
      </c>
      <c r="U2743">
        <v>1</v>
      </c>
      <c r="W2743" t="s">
        <v>134</v>
      </c>
      <c r="X2743">
        <v>1</v>
      </c>
      <c r="Y2743" t="s">
        <v>139</v>
      </c>
      <c r="Z2743" t="s">
        <v>179</v>
      </c>
      <c r="AA2743" t="s">
        <v>147</v>
      </c>
      <c r="AB2743" t="s">
        <v>165</v>
      </c>
      <c r="AC2743" t="s">
        <v>3847</v>
      </c>
      <c r="AD2743" t="s">
        <v>158</v>
      </c>
      <c r="AE2743" t="s">
        <v>122</v>
      </c>
      <c r="AF2743" t="s">
        <v>21</v>
      </c>
    </row>
    <row r="2744" spans="1:32">
      <c r="A2744" t="s">
        <v>3848</v>
      </c>
      <c r="B2744" s="37">
        <v>40030</v>
      </c>
      <c r="C2744" s="38">
        <v>40030</v>
      </c>
      <c r="D2744" s="38">
        <v>40028</v>
      </c>
      <c r="E2744" s="38">
        <v>40026</v>
      </c>
      <c r="F2744" s="39">
        <v>125</v>
      </c>
      <c r="G2744" t="s">
        <v>21</v>
      </c>
      <c r="H2744" t="s">
        <v>21</v>
      </c>
      <c r="I2744">
        <v>0</v>
      </c>
      <c r="J2744">
        <v>0</v>
      </c>
      <c r="K2744">
        <v>0</v>
      </c>
      <c r="L2744">
        <v>1</v>
      </c>
      <c r="M2744">
        <v>0</v>
      </c>
      <c r="N2744" t="s">
        <v>196</v>
      </c>
      <c r="O2744" t="s">
        <v>213</v>
      </c>
      <c r="P2744" t="s">
        <v>207</v>
      </c>
      <c r="Q2744" t="s">
        <v>170</v>
      </c>
      <c r="R2744" t="s">
        <v>155</v>
      </c>
      <c r="S2744">
        <v>1</v>
      </c>
      <c r="T2744" t="s">
        <v>136</v>
      </c>
      <c r="U2744">
        <v>0</v>
      </c>
      <c r="V2744">
        <v>5</v>
      </c>
      <c r="W2744" t="s">
        <v>135</v>
      </c>
      <c r="X2744">
        <v>0</v>
      </c>
      <c r="Y2744" t="s">
        <v>139</v>
      </c>
      <c r="Z2744" t="s">
        <v>534</v>
      </c>
      <c r="AA2744" t="s">
        <v>151</v>
      </c>
      <c r="AB2744" t="s">
        <v>163</v>
      </c>
      <c r="AC2744" t="s">
        <v>173</v>
      </c>
      <c r="AD2744" t="s">
        <v>155</v>
      </c>
      <c r="AE2744" t="s">
        <v>125</v>
      </c>
      <c r="AF2744" t="s">
        <v>21</v>
      </c>
    </row>
    <row r="2745" spans="1:32">
      <c r="A2745" t="s">
        <v>3849</v>
      </c>
      <c r="B2745" s="37">
        <v>40019</v>
      </c>
      <c r="C2745" s="38">
        <v>40019</v>
      </c>
      <c r="D2745" s="38">
        <v>40014</v>
      </c>
      <c r="E2745" s="38">
        <v>39995</v>
      </c>
      <c r="F2745" s="39">
        <v>114</v>
      </c>
      <c r="G2745" t="s">
        <v>21</v>
      </c>
      <c r="H2745" t="s">
        <v>21</v>
      </c>
      <c r="I2745">
        <v>0</v>
      </c>
      <c r="J2745">
        <v>0</v>
      </c>
      <c r="K2745">
        <v>0</v>
      </c>
      <c r="L2745">
        <v>1</v>
      </c>
      <c r="M2745">
        <v>0</v>
      </c>
      <c r="N2745" t="s">
        <v>193</v>
      </c>
      <c r="O2745" t="s">
        <v>213</v>
      </c>
      <c r="P2745" t="s">
        <v>204</v>
      </c>
      <c r="Q2745" t="s">
        <v>170</v>
      </c>
      <c r="R2745" t="s">
        <v>155</v>
      </c>
      <c r="S2745">
        <v>3</v>
      </c>
      <c r="T2745" t="s">
        <v>137</v>
      </c>
      <c r="U2745">
        <v>0</v>
      </c>
      <c r="V2745">
        <v>4</v>
      </c>
      <c r="W2745" t="s">
        <v>137</v>
      </c>
      <c r="X2745">
        <v>0</v>
      </c>
      <c r="Y2745" t="s">
        <v>140</v>
      </c>
      <c r="Z2745" t="s">
        <v>179</v>
      </c>
      <c r="AA2745" t="s">
        <v>143</v>
      </c>
      <c r="AB2745" t="s">
        <v>162</v>
      </c>
      <c r="AC2745" t="s">
        <v>175</v>
      </c>
      <c r="AD2745" t="s">
        <v>155</v>
      </c>
      <c r="AE2745" t="s">
        <v>130</v>
      </c>
      <c r="AF2745" t="s">
        <v>21</v>
      </c>
    </row>
    <row r="2746" spans="1:32">
      <c r="A2746" t="s">
        <v>3850</v>
      </c>
      <c r="B2746" s="37">
        <v>40046</v>
      </c>
      <c r="C2746" s="38">
        <v>40046</v>
      </c>
      <c r="D2746" s="38">
        <v>40042</v>
      </c>
      <c r="E2746" s="38">
        <v>40026</v>
      </c>
      <c r="F2746" s="39">
        <v>141</v>
      </c>
      <c r="G2746" t="s">
        <v>383</v>
      </c>
      <c r="H2746" t="s">
        <v>17</v>
      </c>
      <c r="I2746">
        <v>0</v>
      </c>
      <c r="J2746">
        <v>0</v>
      </c>
      <c r="K2746">
        <v>1</v>
      </c>
      <c r="L2746">
        <v>0</v>
      </c>
      <c r="M2746">
        <v>0</v>
      </c>
      <c r="N2746" t="s">
        <v>195</v>
      </c>
      <c r="O2746" t="s">
        <v>213</v>
      </c>
      <c r="P2746" t="s">
        <v>206</v>
      </c>
      <c r="Q2746" t="s">
        <v>170</v>
      </c>
      <c r="R2746" t="s">
        <v>155</v>
      </c>
      <c r="S2746">
        <v>3</v>
      </c>
      <c r="T2746" t="s">
        <v>137</v>
      </c>
      <c r="U2746">
        <v>0</v>
      </c>
      <c r="V2746">
        <v>3</v>
      </c>
      <c r="W2746" t="s">
        <v>137</v>
      </c>
      <c r="X2746">
        <v>0</v>
      </c>
      <c r="Y2746" t="s">
        <v>139</v>
      </c>
      <c r="Z2746" t="s">
        <v>181</v>
      </c>
      <c r="AA2746" t="s">
        <v>143</v>
      </c>
      <c r="AB2746" t="s">
        <v>162</v>
      </c>
      <c r="AC2746" t="s">
        <v>550</v>
      </c>
      <c r="AD2746" t="s">
        <v>157</v>
      </c>
      <c r="AE2746" t="s">
        <v>434</v>
      </c>
      <c r="AF2746" t="s">
        <v>449</v>
      </c>
    </row>
    <row r="2747" spans="1:32">
      <c r="A2747" t="s">
        <v>3851</v>
      </c>
      <c r="B2747" s="37">
        <v>40006</v>
      </c>
      <c r="C2747" s="38">
        <v>40006</v>
      </c>
      <c r="D2747" s="38">
        <v>40000</v>
      </c>
      <c r="E2747" s="38">
        <v>39995</v>
      </c>
      <c r="F2747" s="39">
        <v>101</v>
      </c>
      <c r="G2747" t="s">
        <v>21</v>
      </c>
      <c r="H2747" t="s">
        <v>21</v>
      </c>
      <c r="I2747">
        <v>0</v>
      </c>
      <c r="J2747">
        <v>0</v>
      </c>
      <c r="K2747">
        <v>0</v>
      </c>
      <c r="L2747">
        <v>1</v>
      </c>
      <c r="M2747">
        <v>0</v>
      </c>
      <c r="N2747" t="s">
        <v>193</v>
      </c>
      <c r="O2747" t="s">
        <v>213</v>
      </c>
      <c r="P2747" t="s">
        <v>204</v>
      </c>
      <c r="Q2747" t="s">
        <v>170</v>
      </c>
      <c r="R2747" t="s">
        <v>155</v>
      </c>
      <c r="S2747">
        <v>3</v>
      </c>
      <c r="T2747" t="s">
        <v>137</v>
      </c>
      <c r="U2747">
        <v>0</v>
      </c>
      <c r="V2747">
        <v>3</v>
      </c>
      <c r="W2747" t="s">
        <v>137</v>
      </c>
      <c r="X2747">
        <v>0</v>
      </c>
      <c r="Y2747" t="s">
        <v>140</v>
      </c>
      <c r="Z2747" t="s">
        <v>433</v>
      </c>
      <c r="AA2747" t="s">
        <v>146</v>
      </c>
      <c r="AB2747" t="s">
        <v>162</v>
      </c>
      <c r="AC2747" t="s">
        <v>176</v>
      </c>
      <c r="AD2747" t="s">
        <v>125</v>
      </c>
      <c r="AE2747" t="s">
        <v>125</v>
      </c>
      <c r="AF2747" t="s">
        <v>3852</v>
      </c>
    </row>
    <row r="2748" spans="1:32">
      <c r="A2748" t="s">
        <v>3853</v>
      </c>
      <c r="B2748" s="37">
        <v>39919</v>
      </c>
      <c r="C2748" s="38">
        <v>39919</v>
      </c>
      <c r="D2748" s="38">
        <v>39916</v>
      </c>
      <c r="E2748" s="38">
        <v>39904</v>
      </c>
      <c r="F2748" s="39">
        <v>14</v>
      </c>
      <c r="G2748" t="s">
        <v>21</v>
      </c>
      <c r="H2748" t="s">
        <v>21</v>
      </c>
      <c r="I2748">
        <v>0</v>
      </c>
      <c r="J2748">
        <v>0</v>
      </c>
      <c r="K2748">
        <v>0</v>
      </c>
      <c r="L2748">
        <v>1</v>
      </c>
      <c r="M2748">
        <v>0</v>
      </c>
      <c r="N2748" t="s">
        <v>200</v>
      </c>
      <c r="O2748" t="s">
        <v>214</v>
      </c>
      <c r="P2748" t="s">
        <v>208</v>
      </c>
      <c r="Q2748" t="s">
        <v>170</v>
      </c>
      <c r="R2748" t="s">
        <v>155</v>
      </c>
      <c r="T2748" t="s">
        <v>134</v>
      </c>
      <c r="U2748">
        <v>1</v>
      </c>
      <c r="W2748" t="s">
        <v>134</v>
      </c>
      <c r="X2748">
        <v>1</v>
      </c>
      <c r="Y2748" t="s">
        <v>139</v>
      </c>
      <c r="Z2748" t="s">
        <v>190</v>
      </c>
      <c r="AA2748" t="s">
        <v>143</v>
      </c>
      <c r="AB2748" t="s">
        <v>163</v>
      </c>
      <c r="AC2748" t="s">
        <v>3854</v>
      </c>
      <c r="AD2748" t="s">
        <v>155</v>
      </c>
      <c r="AE2748" t="s">
        <v>130</v>
      </c>
      <c r="AF2748" t="s">
        <v>21</v>
      </c>
    </row>
    <row r="2749" spans="1:32">
      <c r="A2749" t="s">
        <v>3855</v>
      </c>
      <c r="B2749" s="37">
        <v>40042</v>
      </c>
      <c r="C2749" s="38">
        <v>40042</v>
      </c>
      <c r="D2749" s="38">
        <v>40042</v>
      </c>
      <c r="E2749" s="38">
        <v>40026</v>
      </c>
      <c r="F2749" s="39">
        <v>137</v>
      </c>
      <c r="G2749" t="s">
        <v>21</v>
      </c>
      <c r="H2749" t="s">
        <v>21</v>
      </c>
      <c r="I2749">
        <v>0</v>
      </c>
      <c r="J2749">
        <v>0</v>
      </c>
      <c r="K2749">
        <v>0</v>
      </c>
      <c r="L2749">
        <v>1</v>
      </c>
      <c r="M2749">
        <v>0</v>
      </c>
      <c r="N2749" t="s">
        <v>196</v>
      </c>
      <c r="O2749" t="s">
        <v>213</v>
      </c>
      <c r="P2749" t="s">
        <v>207</v>
      </c>
      <c r="Q2749" t="s">
        <v>170</v>
      </c>
      <c r="R2749" t="s">
        <v>155</v>
      </c>
      <c r="S2749">
        <v>5</v>
      </c>
      <c r="T2749" t="s">
        <v>135</v>
      </c>
      <c r="U2749">
        <v>0</v>
      </c>
      <c r="V2749">
        <v>5</v>
      </c>
      <c r="W2749" t="s">
        <v>135</v>
      </c>
      <c r="X2749">
        <v>0</v>
      </c>
      <c r="Y2749" t="s">
        <v>139</v>
      </c>
      <c r="Z2749" t="s">
        <v>184</v>
      </c>
      <c r="AA2749" t="s">
        <v>144</v>
      </c>
      <c r="AB2749" t="s">
        <v>162</v>
      </c>
      <c r="AC2749" t="s">
        <v>174</v>
      </c>
      <c r="AD2749" t="s">
        <v>157</v>
      </c>
      <c r="AE2749" t="s">
        <v>127</v>
      </c>
      <c r="AF2749" t="s">
        <v>153</v>
      </c>
    </row>
    <row r="2750" spans="1:32">
      <c r="A2750" t="s">
        <v>3856</v>
      </c>
      <c r="B2750" s="37">
        <v>40020</v>
      </c>
      <c r="C2750" s="38">
        <v>40020</v>
      </c>
      <c r="D2750" s="38">
        <v>40014</v>
      </c>
      <c r="E2750" s="38">
        <v>39995</v>
      </c>
      <c r="F2750" s="39">
        <v>115</v>
      </c>
      <c r="G2750" t="s">
        <v>9</v>
      </c>
      <c r="H2750" t="s">
        <v>9</v>
      </c>
      <c r="I2750">
        <v>1</v>
      </c>
      <c r="J2750">
        <v>0</v>
      </c>
      <c r="K2750">
        <v>0</v>
      </c>
      <c r="L2750">
        <v>0</v>
      </c>
      <c r="M2750">
        <v>1</v>
      </c>
      <c r="N2750" t="s">
        <v>193</v>
      </c>
      <c r="O2750" t="s">
        <v>213</v>
      </c>
      <c r="P2750" t="s">
        <v>204</v>
      </c>
      <c r="Q2750" t="s">
        <v>170</v>
      </c>
      <c r="R2750" t="s">
        <v>155</v>
      </c>
      <c r="S2750">
        <v>5</v>
      </c>
      <c r="T2750" t="s">
        <v>135</v>
      </c>
      <c r="U2750">
        <v>0</v>
      </c>
      <c r="V2750">
        <v>5</v>
      </c>
      <c r="W2750" t="s">
        <v>135</v>
      </c>
      <c r="X2750">
        <v>0</v>
      </c>
      <c r="Y2750" t="s">
        <v>140</v>
      </c>
      <c r="Z2750" t="s">
        <v>184</v>
      </c>
      <c r="AA2750" t="s">
        <v>144</v>
      </c>
      <c r="AB2750" t="s">
        <v>162</v>
      </c>
      <c r="AC2750" t="s">
        <v>174</v>
      </c>
      <c r="AD2750" t="s">
        <v>157</v>
      </c>
      <c r="AE2750" t="s">
        <v>439</v>
      </c>
      <c r="AF2750" t="s">
        <v>2793</v>
      </c>
    </row>
    <row r="2751" spans="1:32">
      <c r="A2751" t="s">
        <v>3857</v>
      </c>
      <c r="B2751" s="37">
        <v>39958</v>
      </c>
      <c r="C2751" s="38">
        <v>39958</v>
      </c>
      <c r="D2751" s="38">
        <v>39958</v>
      </c>
      <c r="E2751" s="38">
        <v>39934</v>
      </c>
      <c r="F2751" s="39">
        <v>53</v>
      </c>
      <c r="G2751" t="s">
        <v>9</v>
      </c>
      <c r="H2751" t="s">
        <v>9</v>
      </c>
      <c r="I2751">
        <v>1</v>
      </c>
      <c r="J2751">
        <v>0</v>
      </c>
      <c r="K2751">
        <v>0</v>
      </c>
      <c r="L2751">
        <v>0</v>
      </c>
      <c r="M2751">
        <v>1</v>
      </c>
      <c r="N2751" t="s">
        <v>194</v>
      </c>
      <c r="O2751" t="s">
        <v>213</v>
      </c>
      <c r="P2751" t="s">
        <v>205</v>
      </c>
      <c r="Q2751" t="s">
        <v>170</v>
      </c>
      <c r="R2751" t="s">
        <v>155</v>
      </c>
      <c r="T2751" t="s">
        <v>134</v>
      </c>
      <c r="U2751">
        <v>1</v>
      </c>
      <c r="W2751" t="s">
        <v>134</v>
      </c>
      <c r="X2751">
        <v>1</v>
      </c>
      <c r="Y2751" t="s">
        <v>139</v>
      </c>
      <c r="Z2751" t="s">
        <v>184</v>
      </c>
      <c r="AA2751" t="s">
        <v>150</v>
      </c>
      <c r="AB2751" t="s">
        <v>162</v>
      </c>
      <c r="AC2751" t="s">
        <v>174</v>
      </c>
      <c r="AD2751" t="s">
        <v>160</v>
      </c>
      <c r="AE2751" t="s">
        <v>484</v>
      </c>
      <c r="AF2751" t="s">
        <v>924</v>
      </c>
    </row>
    <row r="2752" spans="1:32">
      <c r="A2752" t="s">
        <v>3858</v>
      </c>
      <c r="B2752" s="37">
        <v>39920</v>
      </c>
      <c r="C2752" s="38">
        <v>39920</v>
      </c>
      <c r="D2752" s="38">
        <v>39916</v>
      </c>
      <c r="E2752" s="38">
        <v>39904</v>
      </c>
      <c r="F2752" s="39">
        <v>15</v>
      </c>
      <c r="G2752" t="s">
        <v>21</v>
      </c>
      <c r="H2752" t="s">
        <v>21</v>
      </c>
      <c r="I2752">
        <v>0</v>
      </c>
      <c r="J2752">
        <v>0</v>
      </c>
      <c r="K2752">
        <v>0</v>
      </c>
      <c r="L2752">
        <v>1</v>
      </c>
      <c r="M2752">
        <v>0</v>
      </c>
      <c r="N2752" t="s">
        <v>193</v>
      </c>
      <c r="O2752" t="s">
        <v>213</v>
      </c>
      <c r="P2752" t="s">
        <v>204</v>
      </c>
      <c r="Q2752" t="s">
        <v>170</v>
      </c>
      <c r="R2752" t="s">
        <v>155</v>
      </c>
      <c r="T2752" t="s">
        <v>134</v>
      </c>
      <c r="U2752">
        <v>1</v>
      </c>
      <c r="W2752" t="s">
        <v>134</v>
      </c>
      <c r="X2752">
        <v>1</v>
      </c>
      <c r="Y2752" t="s">
        <v>140</v>
      </c>
      <c r="Z2752" t="s">
        <v>189</v>
      </c>
      <c r="AA2752" t="s">
        <v>148</v>
      </c>
      <c r="AB2752" t="s">
        <v>162</v>
      </c>
      <c r="AC2752" t="s">
        <v>174</v>
      </c>
      <c r="AD2752" t="s">
        <v>157</v>
      </c>
      <c r="AE2752" t="s">
        <v>130</v>
      </c>
      <c r="AF2752" t="s">
        <v>437</v>
      </c>
    </row>
    <row r="2753" spans="1:32">
      <c r="A2753" t="s">
        <v>3859</v>
      </c>
      <c r="B2753" s="37">
        <v>39988</v>
      </c>
      <c r="C2753" s="38">
        <v>39988</v>
      </c>
      <c r="D2753" s="38">
        <v>39986</v>
      </c>
      <c r="E2753" s="38">
        <v>39965</v>
      </c>
      <c r="F2753" s="39">
        <v>83</v>
      </c>
      <c r="G2753" t="s">
        <v>21</v>
      </c>
      <c r="H2753" t="s">
        <v>21</v>
      </c>
      <c r="I2753">
        <v>0</v>
      </c>
      <c r="J2753">
        <v>0</v>
      </c>
      <c r="K2753">
        <v>0</v>
      </c>
      <c r="L2753">
        <v>1</v>
      </c>
      <c r="M2753">
        <v>0</v>
      </c>
      <c r="N2753" t="s">
        <v>193</v>
      </c>
      <c r="O2753" t="s">
        <v>213</v>
      </c>
      <c r="P2753" t="s">
        <v>204</v>
      </c>
      <c r="Q2753" t="s">
        <v>170</v>
      </c>
      <c r="R2753" t="s">
        <v>155</v>
      </c>
      <c r="T2753" t="s">
        <v>134</v>
      </c>
      <c r="U2753">
        <v>1</v>
      </c>
      <c r="W2753" t="s">
        <v>134</v>
      </c>
      <c r="X2753">
        <v>1</v>
      </c>
      <c r="Y2753" t="s">
        <v>140</v>
      </c>
      <c r="Z2753" t="s">
        <v>182</v>
      </c>
      <c r="AA2753" t="s">
        <v>143</v>
      </c>
      <c r="AB2753" t="s">
        <v>163</v>
      </c>
      <c r="AC2753" t="s">
        <v>173</v>
      </c>
      <c r="AD2753" t="s">
        <v>788</v>
      </c>
      <c r="AE2753" t="s">
        <v>789</v>
      </c>
      <c r="AF2753" t="s">
        <v>21</v>
      </c>
    </row>
    <row r="2754" spans="1:32">
      <c r="A2754" t="s">
        <v>3860</v>
      </c>
      <c r="B2754" s="37">
        <v>39920</v>
      </c>
      <c r="C2754" s="38">
        <v>39920</v>
      </c>
      <c r="D2754" s="38">
        <v>39916</v>
      </c>
      <c r="E2754" s="38">
        <v>39904</v>
      </c>
      <c r="F2754" s="39">
        <v>15</v>
      </c>
      <c r="G2754" t="s">
        <v>380</v>
      </c>
      <c r="H2754" t="s">
        <v>17</v>
      </c>
      <c r="I2754">
        <v>0</v>
      </c>
      <c r="J2754">
        <v>0</v>
      </c>
      <c r="K2754">
        <v>1</v>
      </c>
      <c r="L2754">
        <v>0</v>
      </c>
      <c r="M2754">
        <v>0</v>
      </c>
      <c r="N2754" t="s">
        <v>201</v>
      </c>
      <c r="O2754" t="s">
        <v>214</v>
      </c>
      <c r="P2754" t="s">
        <v>204</v>
      </c>
      <c r="Q2754" t="s">
        <v>170</v>
      </c>
      <c r="R2754" t="s">
        <v>155</v>
      </c>
      <c r="T2754" t="s">
        <v>134</v>
      </c>
      <c r="U2754">
        <v>1</v>
      </c>
      <c r="W2754" t="s">
        <v>134</v>
      </c>
      <c r="X2754">
        <v>1</v>
      </c>
      <c r="Y2754" t="s">
        <v>140</v>
      </c>
      <c r="Z2754" t="s">
        <v>178</v>
      </c>
      <c r="AA2754" t="s">
        <v>150</v>
      </c>
      <c r="AB2754" t="s">
        <v>163</v>
      </c>
      <c r="AC2754" t="s">
        <v>173</v>
      </c>
      <c r="AD2754" t="s">
        <v>155</v>
      </c>
      <c r="AE2754" t="s">
        <v>392</v>
      </c>
      <c r="AF2754" t="s">
        <v>21</v>
      </c>
    </row>
    <row r="2755" spans="1:32">
      <c r="A2755" t="s">
        <v>3861</v>
      </c>
      <c r="B2755" s="37">
        <v>40083</v>
      </c>
      <c r="C2755" s="38">
        <v>40083</v>
      </c>
      <c r="D2755" s="38">
        <v>40077</v>
      </c>
      <c r="E2755" s="38">
        <v>40057</v>
      </c>
      <c r="F2755" s="39">
        <v>178</v>
      </c>
      <c r="G2755" t="s">
        <v>21</v>
      </c>
      <c r="H2755" t="s">
        <v>21</v>
      </c>
      <c r="I2755">
        <v>0</v>
      </c>
      <c r="J2755">
        <v>0</v>
      </c>
      <c r="K2755">
        <v>0</v>
      </c>
      <c r="L2755">
        <v>1</v>
      </c>
      <c r="M2755">
        <v>0</v>
      </c>
      <c r="N2755" t="s">
        <v>197</v>
      </c>
      <c r="O2755" t="s">
        <v>213</v>
      </c>
      <c r="P2755" t="s">
        <v>209</v>
      </c>
      <c r="Q2755" t="s">
        <v>170</v>
      </c>
      <c r="R2755" t="s">
        <v>155</v>
      </c>
      <c r="S2755">
        <v>5</v>
      </c>
      <c r="T2755" t="s">
        <v>135</v>
      </c>
      <c r="U2755">
        <v>0</v>
      </c>
      <c r="V2755">
        <v>2</v>
      </c>
      <c r="W2755" t="s">
        <v>136</v>
      </c>
      <c r="X2755">
        <v>0</v>
      </c>
      <c r="Y2755" t="s">
        <v>139</v>
      </c>
      <c r="Z2755" t="s">
        <v>182</v>
      </c>
      <c r="AA2755" t="s">
        <v>146</v>
      </c>
      <c r="AB2755" t="s">
        <v>163</v>
      </c>
      <c r="AC2755" t="s">
        <v>173</v>
      </c>
      <c r="AD2755" t="s">
        <v>155</v>
      </c>
      <c r="AE2755" t="s">
        <v>128</v>
      </c>
      <c r="AF2755" t="s">
        <v>21</v>
      </c>
    </row>
    <row r="2756" spans="1:32">
      <c r="A2756" t="s">
        <v>3862</v>
      </c>
      <c r="B2756" s="37">
        <v>39979</v>
      </c>
      <c r="C2756" s="38">
        <v>39979</v>
      </c>
      <c r="D2756" s="38">
        <v>39979</v>
      </c>
      <c r="E2756" s="38">
        <v>39965</v>
      </c>
      <c r="F2756" s="39">
        <v>74</v>
      </c>
      <c r="G2756" t="s">
        <v>21</v>
      </c>
      <c r="H2756" t="s">
        <v>21</v>
      </c>
      <c r="I2756">
        <v>0</v>
      </c>
      <c r="J2756">
        <v>0</v>
      </c>
      <c r="K2756">
        <v>0</v>
      </c>
      <c r="L2756">
        <v>1</v>
      </c>
      <c r="M2756">
        <v>0</v>
      </c>
      <c r="N2756" t="s">
        <v>193</v>
      </c>
      <c r="O2756" t="s">
        <v>213</v>
      </c>
      <c r="P2756" t="s">
        <v>204</v>
      </c>
      <c r="Q2756" t="s">
        <v>170</v>
      </c>
      <c r="R2756" t="s">
        <v>155</v>
      </c>
      <c r="T2756" t="s">
        <v>134</v>
      </c>
      <c r="U2756">
        <v>1</v>
      </c>
      <c r="W2756" t="s">
        <v>134</v>
      </c>
      <c r="X2756">
        <v>1</v>
      </c>
      <c r="Y2756" t="s">
        <v>140</v>
      </c>
      <c r="Z2756" t="s">
        <v>182</v>
      </c>
      <c r="AA2756" t="s">
        <v>142</v>
      </c>
      <c r="AB2756" t="s">
        <v>162</v>
      </c>
      <c r="AC2756" t="s">
        <v>174</v>
      </c>
      <c r="AD2756" t="s">
        <v>156</v>
      </c>
      <c r="AE2756" t="s">
        <v>120</v>
      </c>
      <c r="AF2756" t="s">
        <v>1479</v>
      </c>
    </row>
    <row r="2757" spans="1:32">
      <c r="A2757" t="s">
        <v>3863</v>
      </c>
      <c r="B2757" s="37">
        <v>40019</v>
      </c>
      <c r="C2757" s="38">
        <v>40019</v>
      </c>
      <c r="D2757" s="38">
        <v>40014</v>
      </c>
      <c r="E2757" s="38">
        <v>39995</v>
      </c>
      <c r="F2757" s="39">
        <v>114</v>
      </c>
      <c r="G2757" t="s">
        <v>21</v>
      </c>
      <c r="H2757" t="s">
        <v>21</v>
      </c>
      <c r="I2757">
        <v>0</v>
      </c>
      <c r="J2757">
        <v>0</v>
      </c>
      <c r="K2757">
        <v>0</v>
      </c>
      <c r="L2757">
        <v>1</v>
      </c>
      <c r="M2757">
        <v>0</v>
      </c>
      <c r="N2757" t="s">
        <v>197</v>
      </c>
      <c r="O2757" t="s">
        <v>213</v>
      </c>
      <c r="P2757" t="s">
        <v>209</v>
      </c>
      <c r="Q2757" t="s">
        <v>170</v>
      </c>
      <c r="R2757" t="s">
        <v>155</v>
      </c>
      <c r="S2757">
        <v>5</v>
      </c>
      <c r="T2757" t="s">
        <v>135</v>
      </c>
      <c r="U2757">
        <v>0</v>
      </c>
      <c r="V2757">
        <v>5</v>
      </c>
      <c r="W2757" t="s">
        <v>135</v>
      </c>
      <c r="X2757">
        <v>0</v>
      </c>
      <c r="Y2757" t="s">
        <v>139</v>
      </c>
      <c r="Z2757" t="s">
        <v>189</v>
      </c>
      <c r="AA2757" t="s">
        <v>148</v>
      </c>
      <c r="AB2757" t="s">
        <v>162</v>
      </c>
      <c r="AC2757" t="s">
        <v>597</v>
      </c>
      <c r="AD2757" t="s">
        <v>155</v>
      </c>
      <c r="AE2757" t="s">
        <v>130</v>
      </c>
      <c r="AF2757" t="s">
        <v>21</v>
      </c>
    </row>
    <row r="2758" spans="1:32">
      <c r="A2758" t="s">
        <v>3864</v>
      </c>
      <c r="B2758" s="37">
        <v>39929</v>
      </c>
      <c r="C2758" s="38">
        <v>39929</v>
      </c>
      <c r="D2758" s="38">
        <v>39923</v>
      </c>
      <c r="E2758" s="38">
        <v>39904</v>
      </c>
      <c r="F2758" s="39">
        <v>24</v>
      </c>
      <c r="G2758" t="s">
        <v>496</v>
      </c>
      <c r="H2758" t="s">
        <v>13</v>
      </c>
      <c r="I2758">
        <v>0</v>
      </c>
      <c r="J2758">
        <v>1</v>
      </c>
      <c r="K2758">
        <v>0</v>
      </c>
      <c r="L2758">
        <v>0</v>
      </c>
      <c r="M2758">
        <v>1</v>
      </c>
      <c r="N2758" t="s">
        <v>200</v>
      </c>
      <c r="O2758" t="s">
        <v>214</v>
      </c>
      <c r="P2758" t="s">
        <v>208</v>
      </c>
      <c r="Q2758" t="s">
        <v>170</v>
      </c>
      <c r="R2758" t="s">
        <v>155</v>
      </c>
      <c r="T2758" t="s">
        <v>134</v>
      </c>
      <c r="U2758">
        <v>1</v>
      </c>
      <c r="W2758" t="s">
        <v>134</v>
      </c>
      <c r="X2758">
        <v>1</v>
      </c>
      <c r="Y2758" t="s">
        <v>139</v>
      </c>
      <c r="Z2758" t="s">
        <v>179</v>
      </c>
      <c r="AA2758" t="s">
        <v>143</v>
      </c>
      <c r="AB2758" t="s">
        <v>162</v>
      </c>
      <c r="AC2758" t="s">
        <v>174</v>
      </c>
      <c r="AD2758" t="s">
        <v>157</v>
      </c>
      <c r="AE2758" t="s">
        <v>571</v>
      </c>
      <c r="AF2758" t="s">
        <v>2744</v>
      </c>
    </row>
    <row r="2759" spans="1:32">
      <c r="A2759" t="s">
        <v>3865</v>
      </c>
      <c r="B2759" s="37">
        <v>39971</v>
      </c>
      <c r="C2759" s="38">
        <v>39971</v>
      </c>
      <c r="D2759" s="38">
        <v>39965</v>
      </c>
      <c r="E2759" s="38">
        <v>39965</v>
      </c>
      <c r="F2759" s="39">
        <v>66</v>
      </c>
      <c r="G2759" t="s">
        <v>21</v>
      </c>
      <c r="H2759" t="s">
        <v>21</v>
      </c>
      <c r="I2759">
        <v>0</v>
      </c>
      <c r="J2759">
        <v>0</v>
      </c>
      <c r="K2759">
        <v>0</v>
      </c>
      <c r="L2759">
        <v>1</v>
      </c>
      <c r="M2759">
        <v>0</v>
      </c>
      <c r="N2759" t="s">
        <v>193</v>
      </c>
      <c r="O2759" t="s">
        <v>213</v>
      </c>
      <c r="P2759" t="s">
        <v>204</v>
      </c>
      <c r="Q2759" t="s">
        <v>170</v>
      </c>
      <c r="R2759" t="s">
        <v>155</v>
      </c>
      <c r="T2759" t="s">
        <v>134</v>
      </c>
      <c r="U2759">
        <v>1</v>
      </c>
      <c r="W2759" t="s">
        <v>134</v>
      </c>
      <c r="X2759">
        <v>1</v>
      </c>
      <c r="Y2759" t="s">
        <v>140</v>
      </c>
      <c r="Z2759" t="s">
        <v>178</v>
      </c>
      <c r="AA2759" t="s">
        <v>145</v>
      </c>
      <c r="AB2759" t="s">
        <v>163</v>
      </c>
      <c r="AC2759" t="s">
        <v>173</v>
      </c>
      <c r="AD2759" t="s">
        <v>155</v>
      </c>
      <c r="AE2759" t="s">
        <v>125</v>
      </c>
      <c r="AF2759" t="s">
        <v>21</v>
      </c>
    </row>
    <row r="2760" spans="1:32">
      <c r="A2760" t="s">
        <v>3866</v>
      </c>
      <c r="B2760" s="37">
        <v>40019</v>
      </c>
      <c r="C2760" s="38">
        <v>40019</v>
      </c>
      <c r="D2760" s="38">
        <v>40014</v>
      </c>
      <c r="E2760" s="38">
        <v>39995</v>
      </c>
      <c r="F2760" s="39">
        <v>114</v>
      </c>
      <c r="G2760" t="s">
        <v>21</v>
      </c>
      <c r="H2760" t="s">
        <v>21</v>
      </c>
      <c r="I2760">
        <v>0</v>
      </c>
      <c r="J2760">
        <v>0</v>
      </c>
      <c r="K2760">
        <v>0</v>
      </c>
      <c r="L2760">
        <v>1</v>
      </c>
      <c r="M2760">
        <v>0</v>
      </c>
      <c r="N2760" t="s">
        <v>196</v>
      </c>
      <c r="O2760" t="s">
        <v>213</v>
      </c>
      <c r="P2760" t="s">
        <v>207</v>
      </c>
      <c r="Q2760" t="s">
        <v>170</v>
      </c>
      <c r="R2760" t="s">
        <v>155</v>
      </c>
      <c r="S2760">
        <v>5</v>
      </c>
      <c r="T2760" t="s">
        <v>135</v>
      </c>
      <c r="U2760">
        <v>0</v>
      </c>
      <c r="V2760">
        <v>5</v>
      </c>
      <c r="W2760" t="s">
        <v>135</v>
      </c>
      <c r="X2760">
        <v>0</v>
      </c>
      <c r="Y2760" t="s">
        <v>139</v>
      </c>
      <c r="Z2760" t="s">
        <v>178</v>
      </c>
      <c r="AA2760" t="s">
        <v>145</v>
      </c>
      <c r="AB2760" t="s">
        <v>163</v>
      </c>
      <c r="AC2760" t="s">
        <v>173</v>
      </c>
      <c r="AD2760" t="s">
        <v>155</v>
      </c>
      <c r="AE2760" t="s">
        <v>125</v>
      </c>
      <c r="AF2760" t="s">
        <v>21</v>
      </c>
    </row>
    <row r="2761" spans="1:32">
      <c r="A2761" t="s">
        <v>3867</v>
      </c>
      <c r="B2761" s="37">
        <v>40064</v>
      </c>
      <c r="C2761" s="38">
        <v>40064</v>
      </c>
      <c r="D2761" s="38">
        <v>40063</v>
      </c>
      <c r="E2761" s="38">
        <v>40057</v>
      </c>
      <c r="F2761" s="39">
        <v>159</v>
      </c>
      <c r="G2761" t="s">
        <v>21</v>
      </c>
      <c r="H2761" t="s">
        <v>21</v>
      </c>
      <c r="I2761">
        <v>0</v>
      </c>
      <c r="J2761">
        <v>0</v>
      </c>
      <c r="K2761">
        <v>0</v>
      </c>
      <c r="L2761">
        <v>1</v>
      </c>
      <c r="M2761">
        <v>0</v>
      </c>
      <c r="N2761" t="s">
        <v>193</v>
      </c>
      <c r="O2761" t="s">
        <v>213</v>
      </c>
      <c r="P2761" t="s">
        <v>204</v>
      </c>
      <c r="Q2761" t="s">
        <v>170</v>
      </c>
      <c r="R2761" t="s">
        <v>155</v>
      </c>
      <c r="S2761">
        <v>5</v>
      </c>
      <c r="T2761" t="s">
        <v>135</v>
      </c>
      <c r="U2761">
        <v>0</v>
      </c>
      <c r="V2761">
        <v>2</v>
      </c>
      <c r="W2761" t="s">
        <v>136</v>
      </c>
      <c r="X2761">
        <v>0</v>
      </c>
      <c r="Y2761" t="s">
        <v>140</v>
      </c>
      <c r="Z2761" t="s">
        <v>528</v>
      </c>
      <c r="AA2761" t="s">
        <v>143</v>
      </c>
      <c r="AB2761" t="s">
        <v>163</v>
      </c>
      <c r="AC2761" t="s">
        <v>1032</v>
      </c>
      <c r="AD2761" t="s">
        <v>155</v>
      </c>
      <c r="AE2761" t="s">
        <v>510</v>
      </c>
      <c r="AF2761" t="s">
        <v>21</v>
      </c>
    </row>
    <row r="2762" spans="1:32">
      <c r="A2762" t="s">
        <v>3868</v>
      </c>
      <c r="B2762" s="37">
        <v>40005</v>
      </c>
      <c r="C2762" s="38">
        <v>40005</v>
      </c>
      <c r="D2762" s="38">
        <v>40000</v>
      </c>
      <c r="E2762" s="38">
        <v>39995</v>
      </c>
      <c r="F2762" s="39">
        <v>100</v>
      </c>
      <c r="G2762" t="s">
        <v>525</v>
      </c>
      <c r="H2762" t="s">
        <v>17</v>
      </c>
      <c r="I2762">
        <v>0</v>
      </c>
      <c r="J2762">
        <v>0</v>
      </c>
      <c r="K2762">
        <v>1</v>
      </c>
      <c r="L2762">
        <v>0</v>
      </c>
      <c r="M2762">
        <v>0</v>
      </c>
      <c r="N2762" t="s">
        <v>193</v>
      </c>
      <c r="O2762" t="s">
        <v>213</v>
      </c>
      <c r="P2762" t="s">
        <v>204</v>
      </c>
      <c r="Q2762" t="s">
        <v>170</v>
      </c>
      <c r="R2762" t="s">
        <v>155</v>
      </c>
      <c r="S2762">
        <v>5</v>
      </c>
      <c r="T2762" t="s">
        <v>135</v>
      </c>
      <c r="U2762">
        <v>0</v>
      </c>
      <c r="V2762">
        <v>5</v>
      </c>
      <c r="W2762" t="s">
        <v>135</v>
      </c>
      <c r="X2762">
        <v>0</v>
      </c>
      <c r="Y2762" t="s">
        <v>140</v>
      </c>
      <c r="Z2762" t="s">
        <v>184</v>
      </c>
      <c r="AA2762" t="s">
        <v>145</v>
      </c>
      <c r="AB2762" t="s">
        <v>162</v>
      </c>
      <c r="AC2762" t="s">
        <v>175</v>
      </c>
      <c r="AD2762" t="s">
        <v>155</v>
      </c>
      <c r="AE2762" t="s">
        <v>130</v>
      </c>
      <c r="AF2762" t="s">
        <v>21</v>
      </c>
    </row>
    <row r="2763" spans="1:32">
      <c r="A2763" t="s">
        <v>3869</v>
      </c>
      <c r="B2763" s="37">
        <v>39981</v>
      </c>
      <c r="C2763" s="38">
        <v>39981</v>
      </c>
      <c r="D2763" s="38">
        <v>39979</v>
      </c>
      <c r="E2763" s="38">
        <v>39965</v>
      </c>
      <c r="F2763" s="39">
        <v>76</v>
      </c>
      <c r="G2763" t="s">
        <v>21</v>
      </c>
      <c r="H2763" t="s">
        <v>21</v>
      </c>
      <c r="I2763">
        <v>0</v>
      </c>
      <c r="J2763">
        <v>0</v>
      </c>
      <c r="K2763">
        <v>0</v>
      </c>
      <c r="L2763">
        <v>1</v>
      </c>
      <c r="M2763">
        <v>0</v>
      </c>
      <c r="N2763" t="s">
        <v>193</v>
      </c>
      <c r="O2763" t="s">
        <v>213</v>
      </c>
      <c r="P2763" t="s">
        <v>204</v>
      </c>
      <c r="Q2763" t="s">
        <v>170</v>
      </c>
      <c r="R2763" t="s">
        <v>155</v>
      </c>
      <c r="T2763" t="s">
        <v>134</v>
      </c>
      <c r="U2763">
        <v>1</v>
      </c>
      <c r="W2763" t="s">
        <v>134</v>
      </c>
      <c r="X2763">
        <v>1</v>
      </c>
      <c r="Y2763" t="s">
        <v>140</v>
      </c>
      <c r="Z2763" t="s">
        <v>180</v>
      </c>
      <c r="AA2763" t="s">
        <v>149</v>
      </c>
      <c r="AB2763" t="s">
        <v>163</v>
      </c>
      <c r="AC2763" t="s">
        <v>21</v>
      </c>
      <c r="AD2763" t="s">
        <v>155</v>
      </c>
      <c r="AE2763" t="s">
        <v>125</v>
      </c>
      <c r="AF2763" t="s">
        <v>21</v>
      </c>
    </row>
    <row r="2764" spans="1:32">
      <c r="A2764" t="s">
        <v>3870</v>
      </c>
      <c r="B2764" s="37">
        <v>39973</v>
      </c>
      <c r="C2764" s="38">
        <v>39973</v>
      </c>
      <c r="D2764" s="38">
        <v>39972</v>
      </c>
      <c r="E2764" s="38">
        <v>39965</v>
      </c>
      <c r="F2764" s="39">
        <v>68</v>
      </c>
      <c r="G2764" t="s">
        <v>21</v>
      </c>
      <c r="H2764" t="s">
        <v>21</v>
      </c>
      <c r="I2764">
        <v>0</v>
      </c>
      <c r="J2764">
        <v>0</v>
      </c>
      <c r="K2764">
        <v>0</v>
      </c>
      <c r="L2764">
        <v>1</v>
      </c>
      <c r="M2764">
        <v>0</v>
      </c>
      <c r="N2764" t="s">
        <v>195</v>
      </c>
      <c r="O2764" t="s">
        <v>213</v>
      </c>
      <c r="P2764" t="s">
        <v>206</v>
      </c>
      <c r="Q2764" t="s">
        <v>170</v>
      </c>
      <c r="R2764" t="s">
        <v>155</v>
      </c>
      <c r="T2764" t="s">
        <v>134</v>
      </c>
      <c r="U2764">
        <v>1</v>
      </c>
      <c r="W2764" t="s">
        <v>134</v>
      </c>
      <c r="X2764">
        <v>1</v>
      </c>
      <c r="Y2764" t="s">
        <v>139</v>
      </c>
      <c r="Z2764" t="s">
        <v>181</v>
      </c>
      <c r="AA2764" t="s">
        <v>143</v>
      </c>
      <c r="AB2764" t="s">
        <v>163</v>
      </c>
      <c r="AC2764" t="s">
        <v>173</v>
      </c>
      <c r="AD2764" t="s">
        <v>155</v>
      </c>
      <c r="AE2764" t="s">
        <v>124</v>
      </c>
      <c r="AF2764" t="s">
        <v>21</v>
      </c>
    </row>
    <row r="2765" spans="1:32">
      <c r="A2765" t="s">
        <v>3871</v>
      </c>
      <c r="B2765" s="37">
        <v>39971</v>
      </c>
      <c r="C2765" s="38">
        <v>39971</v>
      </c>
      <c r="D2765" s="38">
        <v>39965</v>
      </c>
      <c r="E2765" s="38">
        <v>39965</v>
      </c>
      <c r="F2765" s="39">
        <v>66</v>
      </c>
      <c r="G2765" t="s">
        <v>380</v>
      </c>
      <c r="H2765" t="s">
        <v>17</v>
      </c>
      <c r="I2765">
        <v>0</v>
      </c>
      <c r="J2765">
        <v>0</v>
      </c>
      <c r="K2765">
        <v>1</v>
      </c>
      <c r="L2765">
        <v>0</v>
      </c>
      <c r="M2765">
        <v>0</v>
      </c>
      <c r="N2765" t="s">
        <v>193</v>
      </c>
      <c r="O2765" t="s">
        <v>213</v>
      </c>
      <c r="P2765" t="s">
        <v>204</v>
      </c>
      <c r="Q2765" t="s">
        <v>170</v>
      </c>
      <c r="R2765" t="s">
        <v>155</v>
      </c>
      <c r="T2765" t="s">
        <v>134</v>
      </c>
      <c r="U2765">
        <v>1</v>
      </c>
      <c r="W2765" t="s">
        <v>134</v>
      </c>
      <c r="X2765">
        <v>1</v>
      </c>
      <c r="Y2765" t="s">
        <v>140</v>
      </c>
      <c r="Z2765" t="s">
        <v>179</v>
      </c>
      <c r="AA2765" t="s">
        <v>148</v>
      </c>
      <c r="AB2765" t="s">
        <v>162</v>
      </c>
      <c r="AC2765" t="s">
        <v>498</v>
      </c>
      <c r="AD2765" t="s">
        <v>157</v>
      </c>
      <c r="AE2765" t="s">
        <v>501</v>
      </c>
      <c r="AF2765" t="s">
        <v>3872</v>
      </c>
    </row>
    <row r="2766" spans="1:32">
      <c r="A2766" t="s">
        <v>3873</v>
      </c>
      <c r="B2766" s="37">
        <v>40003</v>
      </c>
      <c r="C2766" s="38">
        <v>40003</v>
      </c>
      <c r="D2766" s="38">
        <v>40000</v>
      </c>
      <c r="E2766" s="38">
        <v>39995</v>
      </c>
      <c r="F2766" s="39">
        <v>98</v>
      </c>
      <c r="G2766" t="s">
        <v>383</v>
      </c>
      <c r="H2766" t="s">
        <v>17</v>
      </c>
      <c r="I2766">
        <v>0</v>
      </c>
      <c r="J2766">
        <v>0</v>
      </c>
      <c r="K2766">
        <v>1</v>
      </c>
      <c r="L2766">
        <v>0</v>
      </c>
      <c r="M2766">
        <v>0</v>
      </c>
      <c r="N2766" t="s">
        <v>194</v>
      </c>
      <c r="O2766" t="s">
        <v>213</v>
      </c>
      <c r="P2766" t="s">
        <v>205</v>
      </c>
      <c r="Q2766" t="s">
        <v>170</v>
      </c>
      <c r="R2766" t="s">
        <v>155</v>
      </c>
      <c r="T2766" t="s">
        <v>134</v>
      </c>
      <c r="U2766">
        <v>1</v>
      </c>
      <c r="V2766">
        <v>5</v>
      </c>
      <c r="W2766" t="s">
        <v>135</v>
      </c>
      <c r="X2766">
        <v>0</v>
      </c>
      <c r="Y2766" t="s">
        <v>139</v>
      </c>
      <c r="Z2766" t="s">
        <v>447</v>
      </c>
      <c r="AA2766" t="s">
        <v>149</v>
      </c>
      <c r="AB2766" t="s">
        <v>163</v>
      </c>
      <c r="AC2766" t="s">
        <v>21</v>
      </c>
      <c r="AD2766" t="s">
        <v>155</v>
      </c>
      <c r="AE2766" t="s">
        <v>467</v>
      </c>
      <c r="AF2766" t="s">
        <v>21</v>
      </c>
    </row>
    <row r="2767" spans="1:32">
      <c r="A2767" t="s">
        <v>3874</v>
      </c>
      <c r="B2767" s="37">
        <v>39991</v>
      </c>
      <c r="C2767" s="38">
        <v>39991</v>
      </c>
      <c r="D2767" s="38">
        <v>39986</v>
      </c>
      <c r="E2767" s="38">
        <v>39965</v>
      </c>
      <c r="F2767" s="39">
        <v>86</v>
      </c>
      <c r="G2767" t="s">
        <v>380</v>
      </c>
      <c r="H2767" t="s">
        <v>17</v>
      </c>
      <c r="I2767">
        <v>0</v>
      </c>
      <c r="J2767">
        <v>0</v>
      </c>
      <c r="K2767">
        <v>1</v>
      </c>
      <c r="L2767">
        <v>0</v>
      </c>
      <c r="M2767">
        <v>0</v>
      </c>
      <c r="N2767" t="s">
        <v>193</v>
      </c>
      <c r="O2767" t="s">
        <v>213</v>
      </c>
      <c r="P2767" t="s">
        <v>204</v>
      </c>
      <c r="Q2767" t="s">
        <v>170</v>
      </c>
      <c r="R2767" t="s">
        <v>155</v>
      </c>
      <c r="T2767" t="s">
        <v>134</v>
      </c>
      <c r="U2767">
        <v>1</v>
      </c>
      <c r="V2767">
        <v>2</v>
      </c>
      <c r="W2767" t="s">
        <v>136</v>
      </c>
      <c r="X2767">
        <v>0</v>
      </c>
      <c r="Y2767" t="s">
        <v>140</v>
      </c>
      <c r="Z2767" t="s">
        <v>178</v>
      </c>
      <c r="AA2767" t="s">
        <v>150</v>
      </c>
      <c r="AB2767" t="s">
        <v>162</v>
      </c>
      <c r="AC2767" t="s">
        <v>174</v>
      </c>
      <c r="AD2767" t="s">
        <v>157</v>
      </c>
      <c r="AE2767" t="s">
        <v>571</v>
      </c>
      <c r="AF2767" t="s">
        <v>636</v>
      </c>
    </row>
    <row r="2768" spans="1:32">
      <c r="A2768" t="s">
        <v>3875</v>
      </c>
      <c r="B2768" s="37">
        <v>39956</v>
      </c>
      <c r="C2768" s="38">
        <v>39956</v>
      </c>
      <c r="D2768" s="38">
        <v>39951</v>
      </c>
      <c r="E2768" s="38">
        <v>39934</v>
      </c>
      <c r="F2768" s="39">
        <v>51</v>
      </c>
      <c r="G2768" t="s">
        <v>21</v>
      </c>
      <c r="H2768" t="s">
        <v>21</v>
      </c>
      <c r="I2768">
        <v>0</v>
      </c>
      <c r="J2768">
        <v>0</v>
      </c>
      <c r="K2768">
        <v>0</v>
      </c>
      <c r="L2768">
        <v>1</v>
      </c>
      <c r="M2768">
        <v>0</v>
      </c>
      <c r="N2768" t="s">
        <v>193</v>
      </c>
      <c r="O2768" t="s">
        <v>213</v>
      </c>
      <c r="P2768" t="s">
        <v>204</v>
      </c>
      <c r="Q2768" t="s">
        <v>170</v>
      </c>
      <c r="R2768" t="s">
        <v>155</v>
      </c>
      <c r="T2768" t="s">
        <v>134</v>
      </c>
      <c r="U2768">
        <v>1</v>
      </c>
      <c r="W2768" t="s">
        <v>134</v>
      </c>
      <c r="X2768">
        <v>1</v>
      </c>
      <c r="Y2768" t="s">
        <v>140</v>
      </c>
      <c r="Z2768" t="s">
        <v>180</v>
      </c>
      <c r="AA2768" t="s">
        <v>149</v>
      </c>
      <c r="AB2768" t="s">
        <v>163</v>
      </c>
      <c r="AC2768" t="s">
        <v>415</v>
      </c>
      <c r="AD2768" t="s">
        <v>155</v>
      </c>
      <c r="AE2768" t="s">
        <v>125</v>
      </c>
      <c r="AF2768" t="s">
        <v>21</v>
      </c>
    </row>
    <row r="2769" spans="1:32">
      <c r="A2769" t="s">
        <v>3876</v>
      </c>
      <c r="B2769" s="37">
        <v>39976</v>
      </c>
      <c r="C2769" s="38">
        <v>39976</v>
      </c>
      <c r="D2769" s="38">
        <v>39972</v>
      </c>
      <c r="E2769" s="38">
        <v>39965</v>
      </c>
      <c r="F2769" s="39">
        <v>71</v>
      </c>
      <c r="G2769" t="s">
        <v>9</v>
      </c>
      <c r="H2769" t="s">
        <v>9</v>
      </c>
      <c r="I2769">
        <v>1</v>
      </c>
      <c r="J2769">
        <v>0</v>
      </c>
      <c r="K2769">
        <v>0</v>
      </c>
      <c r="L2769">
        <v>0</v>
      </c>
      <c r="M2769">
        <v>1</v>
      </c>
      <c r="N2769" t="s">
        <v>195</v>
      </c>
      <c r="O2769" t="s">
        <v>213</v>
      </c>
      <c r="P2769" t="s">
        <v>206</v>
      </c>
      <c r="Q2769" t="s">
        <v>170</v>
      </c>
      <c r="R2769" t="s">
        <v>155</v>
      </c>
      <c r="T2769" t="s">
        <v>134</v>
      </c>
      <c r="U2769">
        <v>1</v>
      </c>
      <c r="W2769" t="s">
        <v>134</v>
      </c>
      <c r="X2769">
        <v>1</v>
      </c>
      <c r="Y2769" t="s">
        <v>139</v>
      </c>
      <c r="Z2769" t="s">
        <v>191</v>
      </c>
      <c r="AA2769" t="s">
        <v>142</v>
      </c>
      <c r="AB2769" t="s">
        <v>162</v>
      </c>
      <c r="AC2769" t="s">
        <v>175</v>
      </c>
      <c r="AD2769" t="s">
        <v>155</v>
      </c>
      <c r="AE2769" t="s">
        <v>129</v>
      </c>
      <c r="AF2769" t="s">
        <v>21</v>
      </c>
    </row>
    <row r="2770" spans="1:32">
      <c r="A2770" t="s">
        <v>3877</v>
      </c>
      <c r="B2770" s="37">
        <v>39990</v>
      </c>
      <c r="C2770" s="38">
        <v>39990</v>
      </c>
      <c r="D2770" s="38">
        <v>39986</v>
      </c>
      <c r="E2770" s="38">
        <v>39965</v>
      </c>
      <c r="F2770" s="39">
        <v>85</v>
      </c>
      <c r="G2770" t="s">
        <v>21</v>
      </c>
      <c r="H2770" t="s">
        <v>21</v>
      </c>
      <c r="I2770">
        <v>0</v>
      </c>
      <c r="J2770">
        <v>0</v>
      </c>
      <c r="K2770">
        <v>0</v>
      </c>
      <c r="L2770">
        <v>1</v>
      </c>
      <c r="M2770">
        <v>0</v>
      </c>
      <c r="N2770" t="s">
        <v>193</v>
      </c>
      <c r="O2770" t="s">
        <v>213</v>
      </c>
      <c r="P2770" t="s">
        <v>204</v>
      </c>
      <c r="Q2770" t="s">
        <v>170</v>
      </c>
      <c r="R2770" t="s">
        <v>155</v>
      </c>
      <c r="T2770" t="s">
        <v>134</v>
      </c>
      <c r="U2770">
        <v>1</v>
      </c>
      <c r="V2770">
        <v>5</v>
      </c>
      <c r="W2770" t="s">
        <v>135</v>
      </c>
      <c r="X2770">
        <v>0</v>
      </c>
      <c r="Y2770" t="s">
        <v>140</v>
      </c>
      <c r="Z2770" t="s">
        <v>182</v>
      </c>
      <c r="AA2770" t="s">
        <v>143</v>
      </c>
      <c r="AB2770" t="s">
        <v>163</v>
      </c>
      <c r="AC2770" t="s">
        <v>173</v>
      </c>
      <c r="AD2770" t="s">
        <v>155</v>
      </c>
      <c r="AE2770" t="s">
        <v>124</v>
      </c>
      <c r="AF2770" t="s">
        <v>21</v>
      </c>
    </row>
    <row r="2771" spans="1:32">
      <c r="A2771" t="s">
        <v>3878</v>
      </c>
      <c r="B2771" s="37">
        <v>40058</v>
      </c>
      <c r="C2771" s="38">
        <v>40058</v>
      </c>
      <c r="D2771" s="38">
        <v>40056</v>
      </c>
      <c r="E2771" s="38">
        <v>40057</v>
      </c>
      <c r="F2771" s="39">
        <v>153</v>
      </c>
      <c r="G2771" t="s">
        <v>21</v>
      </c>
      <c r="H2771" t="s">
        <v>21</v>
      </c>
      <c r="I2771">
        <v>0</v>
      </c>
      <c r="J2771">
        <v>0</v>
      </c>
      <c r="K2771">
        <v>0</v>
      </c>
      <c r="L2771">
        <v>1</v>
      </c>
      <c r="M2771">
        <v>0</v>
      </c>
      <c r="N2771" t="s">
        <v>196</v>
      </c>
      <c r="O2771" t="s">
        <v>213</v>
      </c>
      <c r="P2771" t="s">
        <v>207</v>
      </c>
      <c r="Q2771" t="s">
        <v>170</v>
      </c>
      <c r="R2771" t="s">
        <v>155</v>
      </c>
      <c r="S2771">
        <v>5</v>
      </c>
      <c r="T2771" t="s">
        <v>135</v>
      </c>
      <c r="U2771">
        <v>0</v>
      </c>
      <c r="V2771">
        <v>5</v>
      </c>
      <c r="W2771" t="s">
        <v>135</v>
      </c>
      <c r="X2771">
        <v>0</v>
      </c>
      <c r="Y2771" t="s">
        <v>139</v>
      </c>
      <c r="Z2771" t="s">
        <v>180</v>
      </c>
      <c r="AA2771" t="s">
        <v>149</v>
      </c>
      <c r="AB2771" t="s">
        <v>165</v>
      </c>
      <c r="AC2771" t="s">
        <v>21</v>
      </c>
      <c r="AD2771" t="s">
        <v>158</v>
      </c>
      <c r="AE2771" t="s">
        <v>122</v>
      </c>
      <c r="AF2771" t="s">
        <v>21</v>
      </c>
    </row>
    <row r="2772" spans="1:32">
      <c r="A2772" t="s">
        <v>3879</v>
      </c>
      <c r="B2772" s="37">
        <v>40081</v>
      </c>
      <c r="C2772" s="38">
        <v>40081</v>
      </c>
      <c r="D2772" s="38">
        <v>40077</v>
      </c>
      <c r="E2772" s="38">
        <v>40057</v>
      </c>
      <c r="F2772" s="39">
        <v>176</v>
      </c>
      <c r="G2772" t="s">
        <v>9</v>
      </c>
      <c r="H2772" t="s">
        <v>9</v>
      </c>
      <c r="I2772">
        <v>1</v>
      </c>
      <c r="J2772">
        <v>0</v>
      </c>
      <c r="K2772">
        <v>0</v>
      </c>
      <c r="L2772">
        <v>0</v>
      </c>
      <c r="M2772">
        <v>1</v>
      </c>
      <c r="N2772" t="s">
        <v>193</v>
      </c>
      <c r="O2772" t="s">
        <v>213</v>
      </c>
      <c r="P2772" t="s">
        <v>204</v>
      </c>
      <c r="Q2772" t="s">
        <v>170</v>
      </c>
      <c r="R2772" t="s">
        <v>155</v>
      </c>
      <c r="S2772">
        <v>5</v>
      </c>
      <c r="T2772" t="s">
        <v>135</v>
      </c>
      <c r="U2772">
        <v>0</v>
      </c>
      <c r="V2772">
        <v>5</v>
      </c>
      <c r="W2772" t="s">
        <v>135</v>
      </c>
      <c r="X2772">
        <v>0</v>
      </c>
      <c r="Y2772" t="s">
        <v>140</v>
      </c>
      <c r="Z2772" t="s">
        <v>180</v>
      </c>
      <c r="AA2772" t="s">
        <v>143</v>
      </c>
      <c r="AB2772" t="s">
        <v>163</v>
      </c>
      <c r="AC2772" t="s">
        <v>3880</v>
      </c>
      <c r="AD2772" t="s">
        <v>155</v>
      </c>
      <c r="AE2772" t="s">
        <v>128</v>
      </c>
      <c r="AF2772" t="s">
        <v>21</v>
      </c>
    </row>
    <row r="2773" spans="1:32">
      <c r="A2773" t="s">
        <v>3881</v>
      </c>
      <c r="B2773" s="37">
        <v>40079</v>
      </c>
      <c r="C2773" s="38">
        <v>40079</v>
      </c>
      <c r="D2773" s="38">
        <v>40077</v>
      </c>
      <c r="E2773" s="38">
        <v>40057</v>
      </c>
      <c r="F2773" s="39">
        <v>174</v>
      </c>
      <c r="G2773" t="s">
        <v>21</v>
      </c>
      <c r="H2773" t="s">
        <v>21</v>
      </c>
      <c r="I2773">
        <v>0</v>
      </c>
      <c r="J2773">
        <v>0</v>
      </c>
      <c r="K2773">
        <v>0</v>
      </c>
      <c r="L2773">
        <v>1</v>
      </c>
      <c r="M2773">
        <v>0</v>
      </c>
      <c r="N2773" t="s">
        <v>193</v>
      </c>
      <c r="O2773" t="s">
        <v>213</v>
      </c>
      <c r="P2773" t="s">
        <v>204</v>
      </c>
      <c r="Q2773" t="s">
        <v>170</v>
      </c>
      <c r="R2773" t="s">
        <v>155</v>
      </c>
      <c r="S2773">
        <v>5</v>
      </c>
      <c r="T2773" t="s">
        <v>135</v>
      </c>
      <c r="U2773">
        <v>0</v>
      </c>
      <c r="V2773">
        <v>5</v>
      </c>
      <c r="W2773" t="s">
        <v>135</v>
      </c>
      <c r="X2773">
        <v>0</v>
      </c>
      <c r="Y2773" t="s">
        <v>140</v>
      </c>
      <c r="Z2773" t="s">
        <v>384</v>
      </c>
      <c r="AA2773" t="s">
        <v>146</v>
      </c>
      <c r="AB2773" t="s">
        <v>162</v>
      </c>
      <c r="AC2773" t="s">
        <v>176</v>
      </c>
      <c r="AD2773" t="s">
        <v>155</v>
      </c>
      <c r="AE2773" t="s">
        <v>129</v>
      </c>
      <c r="AF2773" t="s">
        <v>21</v>
      </c>
    </row>
    <row r="2774" spans="1:32">
      <c r="A2774" t="s">
        <v>3882</v>
      </c>
      <c r="B2774" s="37">
        <v>39947</v>
      </c>
      <c r="C2774" s="38">
        <v>39947</v>
      </c>
      <c r="D2774" s="38">
        <v>39944</v>
      </c>
      <c r="E2774" s="38">
        <v>39934</v>
      </c>
      <c r="F2774" s="39">
        <v>42</v>
      </c>
      <c r="G2774" t="s">
        <v>21</v>
      </c>
      <c r="H2774" t="s">
        <v>21</v>
      </c>
      <c r="I2774">
        <v>0</v>
      </c>
      <c r="J2774">
        <v>0</v>
      </c>
      <c r="K2774">
        <v>0</v>
      </c>
      <c r="L2774">
        <v>1</v>
      </c>
      <c r="M2774">
        <v>0</v>
      </c>
      <c r="N2774" t="s">
        <v>194</v>
      </c>
      <c r="O2774" t="s">
        <v>213</v>
      </c>
      <c r="P2774" t="s">
        <v>205</v>
      </c>
      <c r="Q2774" t="s">
        <v>170</v>
      </c>
      <c r="R2774" t="s">
        <v>155</v>
      </c>
      <c r="T2774" t="s">
        <v>134</v>
      </c>
      <c r="U2774">
        <v>1</v>
      </c>
      <c r="W2774" t="s">
        <v>134</v>
      </c>
      <c r="X2774">
        <v>1</v>
      </c>
      <c r="Y2774" t="s">
        <v>139</v>
      </c>
      <c r="Z2774" t="s">
        <v>181</v>
      </c>
      <c r="AA2774" t="s">
        <v>149</v>
      </c>
      <c r="AB2774" t="s">
        <v>162</v>
      </c>
      <c r="AC2774" t="s">
        <v>550</v>
      </c>
      <c r="AD2774" t="s">
        <v>160</v>
      </c>
      <c r="AE2774" t="s">
        <v>126</v>
      </c>
      <c r="AF2774" t="s">
        <v>3883</v>
      </c>
    </row>
    <row r="2775" spans="1:32">
      <c r="A2775" t="s">
        <v>3884</v>
      </c>
      <c r="B2775" s="37">
        <v>39982</v>
      </c>
      <c r="C2775" s="38">
        <v>39982</v>
      </c>
      <c r="D2775" s="38">
        <v>39979</v>
      </c>
      <c r="E2775" s="38">
        <v>39965</v>
      </c>
      <c r="F2775" s="39">
        <v>77</v>
      </c>
      <c r="G2775" t="s">
        <v>21</v>
      </c>
      <c r="H2775" t="s">
        <v>21</v>
      </c>
      <c r="I2775">
        <v>0</v>
      </c>
      <c r="J2775">
        <v>0</v>
      </c>
      <c r="K2775">
        <v>0</v>
      </c>
      <c r="L2775">
        <v>1</v>
      </c>
      <c r="M2775">
        <v>0</v>
      </c>
      <c r="N2775" t="s">
        <v>193</v>
      </c>
      <c r="O2775" t="s">
        <v>213</v>
      </c>
      <c r="P2775" t="s">
        <v>204</v>
      </c>
      <c r="Q2775" t="s">
        <v>170</v>
      </c>
      <c r="R2775" t="s">
        <v>155</v>
      </c>
      <c r="T2775" t="s">
        <v>134</v>
      </c>
      <c r="U2775">
        <v>1</v>
      </c>
      <c r="W2775" t="s">
        <v>134</v>
      </c>
      <c r="X2775">
        <v>1</v>
      </c>
      <c r="Y2775" t="s">
        <v>140</v>
      </c>
      <c r="Z2775" t="s">
        <v>413</v>
      </c>
      <c r="AA2775" t="s">
        <v>144</v>
      </c>
      <c r="AB2775" t="s">
        <v>162</v>
      </c>
      <c r="AC2775" t="s">
        <v>175</v>
      </c>
      <c r="AD2775" t="s">
        <v>155</v>
      </c>
      <c r="AE2775" t="s">
        <v>130</v>
      </c>
      <c r="AF2775" t="s">
        <v>21</v>
      </c>
    </row>
    <row r="2776" spans="1:32">
      <c r="A2776" t="s">
        <v>3885</v>
      </c>
      <c r="B2776" s="37">
        <v>39973</v>
      </c>
      <c r="C2776" s="38">
        <v>39973</v>
      </c>
      <c r="D2776" s="38">
        <v>39972</v>
      </c>
      <c r="E2776" s="38">
        <v>39965</v>
      </c>
      <c r="F2776" s="39">
        <v>68</v>
      </c>
      <c r="G2776" t="s">
        <v>21</v>
      </c>
      <c r="H2776" t="s">
        <v>21</v>
      </c>
      <c r="I2776">
        <v>0</v>
      </c>
      <c r="J2776">
        <v>0</v>
      </c>
      <c r="K2776">
        <v>0</v>
      </c>
      <c r="L2776">
        <v>1</v>
      </c>
      <c r="M2776">
        <v>0</v>
      </c>
      <c r="N2776" t="s">
        <v>194</v>
      </c>
      <c r="O2776" t="s">
        <v>213</v>
      </c>
      <c r="P2776" t="s">
        <v>205</v>
      </c>
      <c r="Q2776" t="s">
        <v>170</v>
      </c>
      <c r="R2776" t="s">
        <v>155</v>
      </c>
      <c r="T2776" t="s">
        <v>134</v>
      </c>
      <c r="U2776">
        <v>1</v>
      </c>
      <c r="W2776" t="s">
        <v>134</v>
      </c>
      <c r="X2776">
        <v>1</v>
      </c>
      <c r="Y2776" t="s">
        <v>139</v>
      </c>
      <c r="Z2776" t="s">
        <v>413</v>
      </c>
      <c r="AA2776" t="s">
        <v>145</v>
      </c>
      <c r="AB2776" t="s">
        <v>163</v>
      </c>
      <c r="AC2776" t="s">
        <v>173</v>
      </c>
      <c r="AD2776" t="s">
        <v>161</v>
      </c>
      <c r="AE2776" t="s">
        <v>465</v>
      </c>
      <c r="AF2776" t="s">
        <v>21</v>
      </c>
    </row>
    <row r="2777" spans="1:32">
      <c r="A2777" t="s">
        <v>3886</v>
      </c>
      <c r="B2777" s="37">
        <v>39928</v>
      </c>
      <c r="C2777" s="38">
        <v>39928</v>
      </c>
      <c r="D2777" s="38">
        <v>39923</v>
      </c>
      <c r="E2777" s="38">
        <v>39904</v>
      </c>
      <c r="F2777" s="39">
        <v>23</v>
      </c>
      <c r="G2777" t="s">
        <v>21</v>
      </c>
      <c r="H2777" t="s">
        <v>21</v>
      </c>
      <c r="I2777">
        <v>0</v>
      </c>
      <c r="J2777">
        <v>0</v>
      </c>
      <c r="K2777">
        <v>0</v>
      </c>
      <c r="L2777">
        <v>1</v>
      </c>
      <c r="M2777">
        <v>0</v>
      </c>
      <c r="N2777" t="s">
        <v>200</v>
      </c>
      <c r="O2777" t="s">
        <v>214</v>
      </c>
      <c r="P2777" t="s">
        <v>208</v>
      </c>
      <c r="Q2777" t="s">
        <v>170</v>
      </c>
      <c r="R2777" t="s">
        <v>155</v>
      </c>
      <c r="T2777" t="s">
        <v>134</v>
      </c>
      <c r="U2777">
        <v>1</v>
      </c>
      <c r="W2777" t="s">
        <v>134</v>
      </c>
      <c r="X2777">
        <v>1</v>
      </c>
      <c r="Y2777" t="s">
        <v>139</v>
      </c>
      <c r="Z2777" t="s">
        <v>185</v>
      </c>
      <c r="AA2777" t="s">
        <v>143</v>
      </c>
      <c r="AB2777" t="s">
        <v>163</v>
      </c>
      <c r="AC2777" t="s">
        <v>21</v>
      </c>
      <c r="AD2777" t="s">
        <v>155</v>
      </c>
      <c r="AE2777" t="s">
        <v>124</v>
      </c>
      <c r="AF2777" t="s">
        <v>21</v>
      </c>
    </row>
    <row r="2778" spans="1:32">
      <c r="A2778" t="s">
        <v>3887</v>
      </c>
      <c r="B2778" s="37">
        <v>40024</v>
      </c>
      <c r="C2778" s="38">
        <v>40024</v>
      </c>
      <c r="D2778" s="38">
        <v>40021</v>
      </c>
      <c r="E2778" s="38">
        <v>39995</v>
      </c>
      <c r="F2778" s="39">
        <v>119</v>
      </c>
      <c r="G2778" t="s">
        <v>21</v>
      </c>
      <c r="H2778" t="s">
        <v>21</v>
      </c>
      <c r="I2778">
        <v>0</v>
      </c>
      <c r="J2778">
        <v>0</v>
      </c>
      <c r="K2778">
        <v>0</v>
      </c>
      <c r="L2778">
        <v>1</v>
      </c>
      <c r="M2778">
        <v>0</v>
      </c>
      <c r="N2778" t="s">
        <v>193</v>
      </c>
      <c r="O2778" t="s">
        <v>213</v>
      </c>
      <c r="P2778" t="s">
        <v>204</v>
      </c>
      <c r="Q2778" t="s">
        <v>170</v>
      </c>
      <c r="R2778" t="s">
        <v>155</v>
      </c>
      <c r="S2778">
        <v>5</v>
      </c>
      <c r="T2778" t="s">
        <v>135</v>
      </c>
      <c r="U2778">
        <v>0</v>
      </c>
      <c r="V2778">
        <v>2</v>
      </c>
      <c r="W2778" t="s">
        <v>136</v>
      </c>
      <c r="X2778">
        <v>0</v>
      </c>
      <c r="Y2778" t="s">
        <v>140</v>
      </c>
      <c r="Z2778" t="s">
        <v>413</v>
      </c>
      <c r="AA2778" t="s">
        <v>142</v>
      </c>
      <c r="AB2778" t="s">
        <v>163</v>
      </c>
      <c r="AC2778" t="s">
        <v>173</v>
      </c>
      <c r="AD2778" t="s">
        <v>155</v>
      </c>
      <c r="AE2778" t="s">
        <v>124</v>
      </c>
      <c r="AF2778" t="s">
        <v>21</v>
      </c>
    </row>
    <row r="2779" spans="1:32">
      <c r="A2779" t="s">
        <v>3888</v>
      </c>
      <c r="B2779" s="37">
        <v>40008</v>
      </c>
      <c r="C2779" s="38">
        <v>40008</v>
      </c>
      <c r="D2779" s="38">
        <v>40007</v>
      </c>
      <c r="E2779" s="38">
        <v>39995</v>
      </c>
      <c r="F2779" s="39">
        <v>103</v>
      </c>
      <c r="G2779" t="s">
        <v>21</v>
      </c>
      <c r="H2779" t="s">
        <v>21</v>
      </c>
      <c r="I2779">
        <v>0</v>
      </c>
      <c r="J2779">
        <v>0</v>
      </c>
      <c r="K2779">
        <v>0</v>
      </c>
      <c r="L2779">
        <v>1</v>
      </c>
      <c r="M2779">
        <v>0</v>
      </c>
      <c r="N2779" t="s">
        <v>196</v>
      </c>
      <c r="O2779" t="s">
        <v>213</v>
      </c>
      <c r="P2779" t="s">
        <v>207</v>
      </c>
      <c r="Q2779" t="s">
        <v>170</v>
      </c>
      <c r="R2779" t="s">
        <v>155</v>
      </c>
      <c r="S2779">
        <v>5</v>
      </c>
      <c r="T2779" t="s">
        <v>135</v>
      </c>
      <c r="U2779">
        <v>0</v>
      </c>
      <c r="V2779">
        <v>5</v>
      </c>
      <c r="W2779" t="s">
        <v>135</v>
      </c>
      <c r="X2779">
        <v>0</v>
      </c>
      <c r="Y2779" t="s">
        <v>139</v>
      </c>
      <c r="Z2779" t="s">
        <v>190</v>
      </c>
      <c r="AA2779" t="s">
        <v>145</v>
      </c>
      <c r="AB2779" t="s">
        <v>162</v>
      </c>
      <c r="AC2779" t="s">
        <v>175</v>
      </c>
      <c r="AD2779" t="s">
        <v>155</v>
      </c>
      <c r="AE2779" t="s">
        <v>130</v>
      </c>
      <c r="AF2779" t="s">
        <v>21</v>
      </c>
    </row>
    <row r="2780" spans="1:32">
      <c r="A2780" t="s">
        <v>3889</v>
      </c>
      <c r="B2780" s="37">
        <v>39942</v>
      </c>
      <c r="C2780" s="38">
        <v>39942</v>
      </c>
      <c r="D2780" s="38">
        <v>39937</v>
      </c>
      <c r="E2780" s="38">
        <v>39934</v>
      </c>
      <c r="F2780" s="39">
        <v>37</v>
      </c>
      <c r="G2780" t="s">
        <v>21</v>
      </c>
      <c r="H2780" t="s">
        <v>21</v>
      </c>
      <c r="I2780">
        <v>0</v>
      </c>
      <c r="J2780">
        <v>0</v>
      </c>
      <c r="K2780">
        <v>0</v>
      </c>
      <c r="L2780">
        <v>1</v>
      </c>
      <c r="M2780">
        <v>0</v>
      </c>
      <c r="N2780" t="s">
        <v>193</v>
      </c>
      <c r="O2780" t="s">
        <v>213</v>
      </c>
      <c r="P2780" t="s">
        <v>204</v>
      </c>
      <c r="Q2780" t="s">
        <v>170</v>
      </c>
      <c r="R2780" t="s">
        <v>155</v>
      </c>
      <c r="T2780" t="s">
        <v>134</v>
      </c>
      <c r="U2780">
        <v>1</v>
      </c>
      <c r="W2780" t="s">
        <v>134</v>
      </c>
      <c r="X2780">
        <v>1</v>
      </c>
      <c r="Y2780" t="s">
        <v>140</v>
      </c>
      <c r="Z2780" t="s">
        <v>189</v>
      </c>
      <c r="AA2780" t="s">
        <v>147</v>
      </c>
      <c r="AB2780" t="s">
        <v>163</v>
      </c>
      <c r="AC2780" t="s">
        <v>415</v>
      </c>
      <c r="AD2780" t="s">
        <v>155</v>
      </c>
      <c r="AE2780" t="s">
        <v>130</v>
      </c>
      <c r="AF2780" t="s">
        <v>21</v>
      </c>
    </row>
    <row r="2781" spans="1:32">
      <c r="A2781" t="s">
        <v>3890</v>
      </c>
      <c r="B2781" s="37">
        <v>39973</v>
      </c>
      <c r="C2781" s="38">
        <v>39973</v>
      </c>
      <c r="D2781" s="38">
        <v>39972</v>
      </c>
      <c r="E2781" s="38">
        <v>39965</v>
      </c>
      <c r="F2781" s="39">
        <v>68</v>
      </c>
      <c r="G2781" t="s">
        <v>21</v>
      </c>
      <c r="H2781" t="s">
        <v>21</v>
      </c>
      <c r="I2781">
        <v>0</v>
      </c>
      <c r="J2781">
        <v>0</v>
      </c>
      <c r="K2781">
        <v>0</v>
      </c>
      <c r="L2781">
        <v>1</v>
      </c>
      <c r="M2781">
        <v>0</v>
      </c>
      <c r="N2781" t="s">
        <v>194</v>
      </c>
      <c r="O2781" t="s">
        <v>213</v>
      </c>
      <c r="P2781" t="s">
        <v>205</v>
      </c>
      <c r="Q2781" t="s">
        <v>170</v>
      </c>
      <c r="R2781" t="s">
        <v>155</v>
      </c>
      <c r="T2781" t="s">
        <v>134</v>
      </c>
      <c r="U2781">
        <v>1</v>
      </c>
      <c r="W2781" t="s">
        <v>134</v>
      </c>
      <c r="X2781">
        <v>1</v>
      </c>
      <c r="Y2781" t="s">
        <v>139</v>
      </c>
      <c r="Z2781" t="s">
        <v>184</v>
      </c>
      <c r="AA2781" t="s">
        <v>142</v>
      </c>
      <c r="AB2781" t="s">
        <v>163</v>
      </c>
      <c r="AC2781" t="s">
        <v>173</v>
      </c>
      <c r="AD2781" t="s">
        <v>155</v>
      </c>
      <c r="AE2781" t="s">
        <v>1133</v>
      </c>
      <c r="AF2781" t="s">
        <v>21</v>
      </c>
    </row>
    <row r="2782" spans="1:32">
      <c r="A2782" t="s">
        <v>3891</v>
      </c>
      <c r="B2782" s="37">
        <v>39974</v>
      </c>
      <c r="C2782" s="38">
        <v>39974</v>
      </c>
      <c r="D2782" s="38">
        <v>39972</v>
      </c>
      <c r="E2782" s="38">
        <v>39965</v>
      </c>
      <c r="F2782" s="39">
        <v>69</v>
      </c>
      <c r="G2782" t="s">
        <v>21</v>
      </c>
      <c r="H2782" t="s">
        <v>21</v>
      </c>
      <c r="I2782">
        <v>0</v>
      </c>
      <c r="J2782">
        <v>0</v>
      </c>
      <c r="K2782">
        <v>0</v>
      </c>
      <c r="L2782">
        <v>1</v>
      </c>
      <c r="M2782">
        <v>0</v>
      </c>
      <c r="N2782" t="s">
        <v>195</v>
      </c>
      <c r="O2782" t="s">
        <v>213</v>
      </c>
      <c r="P2782" t="s">
        <v>206</v>
      </c>
      <c r="Q2782" t="s">
        <v>170</v>
      </c>
      <c r="R2782" t="s">
        <v>155</v>
      </c>
      <c r="T2782" t="s">
        <v>134</v>
      </c>
      <c r="U2782">
        <v>1</v>
      </c>
      <c r="W2782" t="s">
        <v>134</v>
      </c>
      <c r="X2782">
        <v>1</v>
      </c>
      <c r="Y2782" t="s">
        <v>139</v>
      </c>
      <c r="Z2782" t="s">
        <v>509</v>
      </c>
      <c r="AA2782" t="s">
        <v>144</v>
      </c>
      <c r="AB2782" t="s">
        <v>162</v>
      </c>
      <c r="AC2782" t="s">
        <v>459</v>
      </c>
      <c r="AD2782" t="s">
        <v>155</v>
      </c>
      <c r="AE2782" t="s">
        <v>129</v>
      </c>
      <c r="AF2782" t="s">
        <v>21</v>
      </c>
    </row>
    <row r="2783" spans="1:32">
      <c r="A2783" t="s">
        <v>3892</v>
      </c>
      <c r="B2783" s="37">
        <v>40028</v>
      </c>
      <c r="C2783" s="38">
        <v>40028</v>
      </c>
      <c r="D2783" s="38">
        <v>40028</v>
      </c>
      <c r="E2783" s="38">
        <v>40026</v>
      </c>
      <c r="F2783" s="39">
        <v>123</v>
      </c>
      <c r="G2783" t="s">
        <v>21</v>
      </c>
      <c r="H2783" t="s">
        <v>21</v>
      </c>
      <c r="I2783">
        <v>0</v>
      </c>
      <c r="J2783">
        <v>0</v>
      </c>
      <c r="K2783">
        <v>0</v>
      </c>
      <c r="L2783">
        <v>1</v>
      </c>
      <c r="M2783">
        <v>0</v>
      </c>
      <c r="N2783" t="s">
        <v>544</v>
      </c>
      <c r="O2783" t="s">
        <v>213</v>
      </c>
      <c r="P2783" t="s">
        <v>545</v>
      </c>
      <c r="Q2783" t="s">
        <v>170</v>
      </c>
      <c r="R2783" t="s">
        <v>155</v>
      </c>
      <c r="S2783">
        <v>5</v>
      </c>
      <c r="T2783" t="s">
        <v>135</v>
      </c>
      <c r="U2783">
        <v>0</v>
      </c>
      <c r="V2783">
        <v>5</v>
      </c>
      <c r="W2783" t="s">
        <v>135</v>
      </c>
      <c r="X2783">
        <v>0</v>
      </c>
      <c r="Y2783" t="s">
        <v>139</v>
      </c>
      <c r="Z2783" t="s">
        <v>181</v>
      </c>
      <c r="AA2783" t="s">
        <v>149</v>
      </c>
      <c r="AB2783" t="s">
        <v>162</v>
      </c>
      <c r="AC2783" t="s">
        <v>175</v>
      </c>
      <c r="AD2783" t="s">
        <v>155</v>
      </c>
      <c r="AE2783" t="s">
        <v>129</v>
      </c>
      <c r="AF2783" t="s">
        <v>21</v>
      </c>
    </row>
    <row r="2784" spans="1:32">
      <c r="A2784" t="s">
        <v>3893</v>
      </c>
      <c r="B2784" s="37">
        <v>39927</v>
      </c>
      <c r="C2784" s="38">
        <v>39927</v>
      </c>
      <c r="D2784" s="38">
        <v>39923</v>
      </c>
      <c r="E2784" s="38">
        <v>39904</v>
      </c>
      <c r="F2784" s="39">
        <v>22</v>
      </c>
      <c r="G2784" t="s">
        <v>496</v>
      </c>
      <c r="H2784" t="s">
        <v>13</v>
      </c>
      <c r="I2784">
        <v>0</v>
      </c>
      <c r="J2784">
        <v>1</v>
      </c>
      <c r="K2784">
        <v>0</v>
      </c>
      <c r="L2784">
        <v>0</v>
      </c>
      <c r="M2784">
        <v>1</v>
      </c>
      <c r="N2784" t="s">
        <v>194</v>
      </c>
      <c r="O2784" t="s">
        <v>213</v>
      </c>
      <c r="P2784" t="s">
        <v>205</v>
      </c>
      <c r="Q2784" t="s">
        <v>170</v>
      </c>
      <c r="R2784" t="s">
        <v>155</v>
      </c>
      <c r="T2784" t="s">
        <v>134</v>
      </c>
      <c r="U2784">
        <v>1</v>
      </c>
      <c r="W2784" t="s">
        <v>134</v>
      </c>
      <c r="X2784">
        <v>1</v>
      </c>
      <c r="Y2784" t="s">
        <v>139</v>
      </c>
      <c r="Z2784" t="s">
        <v>180</v>
      </c>
      <c r="AA2784" t="s">
        <v>147</v>
      </c>
      <c r="AB2784" t="s">
        <v>163</v>
      </c>
      <c r="AC2784" t="s">
        <v>173</v>
      </c>
      <c r="AD2784" t="s">
        <v>155</v>
      </c>
      <c r="AE2784" t="s">
        <v>124</v>
      </c>
      <c r="AF2784" t="s">
        <v>21</v>
      </c>
    </row>
    <row r="2785" spans="1:32">
      <c r="A2785" t="s">
        <v>3894</v>
      </c>
      <c r="B2785" s="37">
        <v>39926</v>
      </c>
      <c r="C2785" s="38">
        <v>39926</v>
      </c>
      <c r="D2785" s="38">
        <v>39923</v>
      </c>
      <c r="E2785" s="38">
        <v>39904</v>
      </c>
      <c r="F2785" s="39">
        <v>21</v>
      </c>
      <c r="G2785" t="s">
        <v>21</v>
      </c>
      <c r="H2785" t="s">
        <v>21</v>
      </c>
      <c r="I2785">
        <v>0</v>
      </c>
      <c r="J2785">
        <v>0</v>
      </c>
      <c r="K2785">
        <v>0</v>
      </c>
      <c r="L2785">
        <v>1</v>
      </c>
      <c r="M2785">
        <v>0</v>
      </c>
      <c r="N2785" t="s">
        <v>201</v>
      </c>
      <c r="O2785" t="s">
        <v>214</v>
      </c>
      <c r="P2785" t="s">
        <v>204</v>
      </c>
      <c r="Q2785" t="s">
        <v>170</v>
      </c>
      <c r="R2785" t="s">
        <v>155</v>
      </c>
      <c r="T2785" t="s">
        <v>134</v>
      </c>
      <c r="U2785">
        <v>1</v>
      </c>
      <c r="W2785" t="s">
        <v>134</v>
      </c>
      <c r="X2785">
        <v>1</v>
      </c>
      <c r="Y2785" t="s">
        <v>140</v>
      </c>
      <c r="Z2785" t="s">
        <v>180</v>
      </c>
      <c r="AA2785" t="s">
        <v>147</v>
      </c>
      <c r="AB2785" t="s">
        <v>163</v>
      </c>
      <c r="AC2785" t="s">
        <v>3895</v>
      </c>
      <c r="AD2785" t="s">
        <v>155</v>
      </c>
      <c r="AE2785" t="s">
        <v>387</v>
      </c>
      <c r="AF2785" t="s">
        <v>21</v>
      </c>
    </row>
    <row r="2786" spans="1:32">
      <c r="A2786" t="s">
        <v>3896</v>
      </c>
      <c r="B2786" s="37">
        <v>39974</v>
      </c>
      <c r="C2786" s="38">
        <v>39974</v>
      </c>
      <c r="D2786" s="38">
        <v>39972</v>
      </c>
      <c r="E2786" s="38">
        <v>39965</v>
      </c>
      <c r="F2786" s="39">
        <v>69</v>
      </c>
      <c r="G2786" t="s">
        <v>383</v>
      </c>
      <c r="H2786" t="s">
        <v>17</v>
      </c>
      <c r="I2786">
        <v>0</v>
      </c>
      <c r="J2786">
        <v>0</v>
      </c>
      <c r="K2786">
        <v>1</v>
      </c>
      <c r="L2786">
        <v>0</v>
      </c>
      <c r="M2786">
        <v>0</v>
      </c>
      <c r="N2786" t="s">
        <v>195</v>
      </c>
      <c r="O2786" t="s">
        <v>213</v>
      </c>
      <c r="P2786" t="s">
        <v>206</v>
      </c>
      <c r="Q2786" t="s">
        <v>170</v>
      </c>
      <c r="R2786" t="s">
        <v>155</v>
      </c>
      <c r="T2786" t="s">
        <v>134</v>
      </c>
      <c r="U2786">
        <v>1</v>
      </c>
      <c r="W2786" t="s">
        <v>134</v>
      </c>
      <c r="X2786">
        <v>1</v>
      </c>
      <c r="Y2786" t="s">
        <v>139</v>
      </c>
      <c r="Z2786" t="s">
        <v>180</v>
      </c>
      <c r="AA2786" t="s">
        <v>146</v>
      </c>
      <c r="AB2786" t="s">
        <v>162</v>
      </c>
      <c r="AC2786" t="s">
        <v>174</v>
      </c>
      <c r="AD2786" t="s">
        <v>157</v>
      </c>
      <c r="AE2786" t="s">
        <v>130</v>
      </c>
      <c r="AF2786" t="s">
        <v>437</v>
      </c>
    </row>
    <row r="2787" spans="1:32">
      <c r="A2787" t="s">
        <v>3897</v>
      </c>
      <c r="B2787" s="37">
        <v>40019</v>
      </c>
      <c r="C2787" s="38">
        <v>40019</v>
      </c>
      <c r="D2787" s="38">
        <v>40014</v>
      </c>
      <c r="E2787" s="38">
        <v>39995</v>
      </c>
      <c r="F2787" s="39">
        <v>114</v>
      </c>
      <c r="G2787" t="s">
        <v>21</v>
      </c>
      <c r="H2787" t="s">
        <v>21</v>
      </c>
      <c r="I2787">
        <v>0</v>
      </c>
      <c r="J2787">
        <v>0</v>
      </c>
      <c r="K2787">
        <v>0</v>
      </c>
      <c r="L2787">
        <v>1</v>
      </c>
      <c r="M2787">
        <v>0</v>
      </c>
      <c r="N2787" t="s">
        <v>196</v>
      </c>
      <c r="O2787" t="s">
        <v>213</v>
      </c>
      <c r="P2787" t="s">
        <v>207</v>
      </c>
      <c r="Q2787" t="s">
        <v>170</v>
      </c>
      <c r="R2787" t="s">
        <v>155</v>
      </c>
      <c r="S2787">
        <v>5</v>
      </c>
      <c r="T2787" t="s">
        <v>135</v>
      </c>
      <c r="U2787">
        <v>0</v>
      </c>
      <c r="V2787">
        <v>5</v>
      </c>
      <c r="W2787" t="s">
        <v>135</v>
      </c>
      <c r="X2787">
        <v>0</v>
      </c>
      <c r="Y2787" t="s">
        <v>139</v>
      </c>
      <c r="Z2787" t="s">
        <v>183</v>
      </c>
      <c r="AA2787" t="s">
        <v>151</v>
      </c>
      <c r="AB2787" t="s">
        <v>162</v>
      </c>
      <c r="AC2787" t="s">
        <v>567</v>
      </c>
      <c r="AD2787" t="s">
        <v>155</v>
      </c>
      <c r="AE2787" t="s">
        <v>130</v>
      </c>
      <c r="AF2787" t="s">
        <v>21</v>
      </c>
    </row>
    <row r="2788" spans="1:32">
      <c r="A2788" t="s">
        <v>3898</v>
      </c>
      <c r="B2788" s="37">
        <v>40058</v>
      </c>
      <c r="C2788" s="38">
        <v>40058</v>
      </c>
      <c r="D2788" s="38">
        <v>40056</v>
      </c>
      <c r="E2788" s="38">
        <v>40057</v>
      </c>
      <c r="F2788" s="39">
        <v>153</v>
      </c>
      <c r="G2788" t="s">
        <v>21</v>
      </c>
      <c r="H2788" t="s">
        <v>21</v>
      </c>
      <c r="I2788">
        <v>0</v>
      </c>
      <c r="J2788">
        <v>0</v>
      </c>
      <c r="K2788">
        <v>0</v>
      </c>
      <c r="L2788">
        <v>1</v>
      </c>
      <c r="M2788">
        <v>0</v>
      </c>
      <c r="N2788" t="s">
        <v>195</v>
      </c>
      <c r="O2788" t="s">
        <v>213</v>
      </c>
      <c r="P2788" t="s">
        <v>206</v>
      </c>
      <c r="Q2788" t="s">
        <v>170</v>
      </c>
      <c r="R2788" t="s">
        <v>155</v>
      </c>
      <c r="S2788">
        <v>5</v>
      </c>
      <c r="T2788" t="s">
        <v>135</v>
      </c>
      <c r="U2788">
        <v>0</v>
      </c>
      <c r="V2788">
        <v>3</v>
      </c>
      <c r="W2788" t="s">
        <v>137</v>
      </c>
      <c r="X2788">
        <v>0</v>
      </c>
      <c r="Y2788" t="s">
        <v>139</v>
      </c>
      <c r="Z2788" t="s">
        <v>186</v>
      </c>
      <c r="AA2788" t="s">
        <v>143</v>
      </c>
      <c r="AB2788" t="s">
        <v>165</v>
      </c>
      <c r="AC2788" t="s">
        <v>1089</v>
      </c>
      <c r="AD2788" t="s">
        <v>158</v>
      </c>
      <c r="AE2788" t="s">
        <v>122</v>
      </c>
      <c r="AF2788" t="s">
        <v>21</v>
      </c>
    </row>
    <row r="2789" spans="1:32">
      <c r="A2789" t="s">
        <v>3899</v>
      </c>
      <c r="B2789" s="37">
        <v>39947</v>
      </c>
      <c r="C2789" s="38">
        <v>39947</v>
      </c>
      <c r="D2789" s="38">
        <v>39944</v>
      </c>
      <c r="E2789" s="38">
        <v>39934</v>
      </c>
      <c r="F2789" s="39">
        <v>42</v>
      </c>
      <c r="G2789" t="s">
        <v>21</v>
      </c>
      <c r="H2789" t="s">
        <v>21</v>
      </c>
      <c r="I2789">
        <v>0</v>
      </c>
      <c r="J2789">
        <v>0</v>
      </c>
      <c r="K2789">
        <v>0</v>
      </c>
      <c r="L2789">
        <v>1</v>
      </c>
      <c r="M2789">
        <v>0</v>
      </c>
      <c r="N2789" t="s">
        <v>194</v>
      </c>
      <c r="O2789" t="s">
        <v>213</v>
      </c>
      <c r="P2789" t="s">
        <v>205</v>
      </c>
      <c r="Q2789" t="s">
        <v>170</v>
      </c>
      <c r="R2789" t="s">
        <v>155</v>
      </c>
      <c r="T2789" t="s">
        <v>134</v>
      </c>
      <c r="U2789">
        <v>1</v>
      </c>
      <c r="W2789" t="s">
        <v>134</v>
      </c>
      <c r="X2789">
        <v>1</v>
      </c>
      <c r="Y2789" t="s">
        <v>139</v>
      </c>
      <c r="Z2789" t="s">
        <v>191</v>
      </c>
      <c r="AA2789" t="s">
        <v>145</v>
      </c>
      <c r="AB2789" t="s">
        <v>165</v>
      </c>
      <c r="AC2789" t="s">
        <v>21</v>
      </c>
      <c r="AD2789" t="s">
        <v>158</v>
      </c>
      <c r="AE2789" t="s">
        <v>122</v>
      </c>
      <c r="AF2789" t="s">
        <v>21</v>
      </c>
    </row>
    <row r="2790" spans="1:32">
      <c r="A2790" t="s">
        <v>3900</v>
      </c>
      <c r="B2790" s="37">
        <v>40049</v>
      </c>
      <c r="C2790" s="38">
        <v>40049</v>
      </c>
      <c r="D2790" s="38">
        <v>40049</v>
      </c>
      <c r="E2790" s="38">
        <v>40026</v>
      </c>
      <c r="F2790" s="39">
        <v>144</v>
      </c>
      <c r="G2790" t="s">
        <v>21</v>
      </c>
      <c r="H2790" t="s">
        <v>21</v>
      </c>
      <c r="I2790">
        <v>0</v>
      </c>
      <c r="J2790">
        <v>0</v>
      </c>
      <c r="K2790">
        <v>0</v>
      </c>
      <c r="L2790">
        <v>1</v>
      </c>
      <c r="M2790">
        <v>0</v>
      </c>
      <c r="N2790" t="s">
        <v>193</v>
      </c>
      <c r="O2790" t="s">
        <v>213</v>
      </c>
      <c r="P2790" t="s">
        <v>204</v>
      </c>
      <c r="Q2790" t="s">
        <v>170</v>
      </c>
      <c r="R2790" t="s">
        <v>155</v>
      </c>
      <c r="S2790">
        <v>5</v>
      </c>
      <c r="T2790" t="s">
        <v>135</v>
      </c>
      <c r="U2790">
        <v>0</v>
      </c>
      <c r="V2790">
        <v>5</v>
      </c>
      <c r="W2790" t="s">
        <v>135</v>
      </c>
      <c r="X2790">
        <v>0</v>
      </c>
      <c r="Y2790" t="s">
        <v>140</v>
      </c>
      <c r="Z2790" t="s">
        <v>187</v>
      </c>
      <c r="AA2790" t="s">
        <v>146</v>
      </c>
      <c r="AB2790" t="s">
        <v>162</v>
      </c>
      <c r="AC2790" t="s">
        <v>802</v>
      </c>
      <c r="AD2790" t="s">
        <v>155</v>
      </c>
      <c r="AE2790" t="s">
        <v>129</v>
      </c>
      <c r="AF2790" t="s">
        <v>21</v>
      </c>
    </row>
    <row r="2791" spans="1:32">
      <c r="A2791" t="s">
        <v>3901</v>
      </c>
      <c r="B2791" s="37">
        <v>39921</v>
      </c>
      <c r="C2791" s="38">
        <v>39921</v>
      </c>
      <c r="D2791" s="38">
        <v>39916</v>
      </c>
      <c r="E2791" s="38">
        <v>39904</v>
      </c>
      <c r="F2791" s="39">
        <v>16</v>
      </c>
      <c r="G2791" t="s">
        <v>21</v>
      </c>
      <c r="H2791" t="s">
        <v>21</v>
      </c>
      <c r="I2791">
        <v>0</v>
      </c>
      <c r="J2791">
        <v>0</v>
      </c>
      <c r="K2791">
        <v>0</v>
      </c>
      <c r="L2791">
        <v>1</v>
      </c>
      <c r="M2791">
        <v>0</v>
      </c>
      <c r="N2791" t="s">
        <v>198</v>
      </c>
      <c r="O2791" t="s">
        <v>213</v>
      </c>
      <c r="P2791" t="s">
        <v>208</v>
      </c>
      <c r="Q2791" t="s">
        <v>170</v>
      </c>
      <c r="R2791" t="s">
        <v>155</v>
      </c>
      <c r="T2791" t="s">
        <v>134</v>
      </c>
      <c r="U2791">
        <v>1</v>
      </c>
      <c r="W2791" t="s">
        <v>134</v>
      </c>
      <c r="X2791">
        <v>1</v>
      </c>
      <c r="Y2791" t="s">
        <v>139</v>
      </c>
      <c r="Z2791" t="s">
        <v>178</v>
      </c>
      <c r="AA2791" t="s">
        <v>143</v>
      </c>
      <c r="AB2791" t="s">
        <v>162</v>
      </c>
      <c r="AC2791" t="s">
        <v>176</v>
      </c>
      <c r="AD2791" t="s">
        <v>155</v>
      </c>
      <c r="AE2791" t="s">
        <v>130</v>
      </c>
      <c r="AF2791" t="s">
        <v>21</v>
      </c>
    </row>
    <row r="2792" spans="1:32">
      <c r="A2792" t="s">
        <v>3902</v>
      </c>
      <c r="B2792" s="37">
        <v>39931</v>
      </c>
      <c r="C2792" s="38">
        <v>39931</v>
      </c>
      <c r="D2792" s="38">
        <v>39930</v>
      </c>
      <c r="E2792" s="38">
        <v>39904</v>
      </c>
      <c r="F2792" s="39">
        <v>26</v>
      </c>
      <c r="G2792" t="s">
        <v>21</v>
      </c>
      <c r="H2792" t="s">
        <v>21</v>
      </c>
      <c r="I2792">
        <v>0</v>
      </c>
      <c r="J2792">
        <v>0</v>
      </c>
      <c r="K2792">
        <v>0</v>
      </c>
      <c r="L2792">
        <v>1</v>
      </c>
      <c r="M2792">
        <v>0</v>
      </c>
      <c r="N2792" t="s">
        <v>193</v>
      </c>
      <c r="O2792" t="s">
        <v>213</v>
      </c>
      <c r="P2792" t="s">
        <v>204</v>
      </c>
      <c r="Q2792" t="s">
        <v>170</v>
      </c>
      <c r="R2792" t="s">
        <v>155</v>
      </c>
      <c r="T2792" t="s">
        <v>134</v>
      </c>
      <c r="U2792">
        <v>1</v>
      </c>
      <c r="W2792" t="s">
        <v>134</v>
      </c>
      <c r="X2792">
        <v>1</v>
      </c>
      <c r="Y2792" t="s">
        <v>140</v>
      </c>
      <c r="Z2792" t="s">
        <v>178</v>
      </c>
      <c r="AA2792" t="s">
        <v>147</v>
      </c>
      <c r="AB2792" t="s">
        <v>162</v>
      </c>
      <c r="AC2792" t="s">
        <v>578</v>
      </c>
      <c r="AD2792" t="s">
        <v>157</v>
      </c>
      <c r="AE2792" t="s">
        <v>130</v>
      </c>
      <c r="AF2792" t="s">
        <v>437</v>
      </c>
    </row>
    <row r="2793" spans="1:32">
      <c r="A2793" t="s">
        <v>3903</v>
      </c>
      <c r="B2793" s="37">
        <v>39963</v>
      </c>
      <c r="C2793" s="38">
        <v>39963</v>
      </c>
      <c r="D2793" s="38">
        <v>39958</v>
      </c>
      <c r="E2793" s="38">
        <v>39934</v>
      </c>
      <c r="F2793" s="39">
        <v>58</v>
      </c>
      <c r="G2793" t="s">
        <v>9</v>
      </c>
      <c r="H2793" t="s">
        <v>9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193</v>
      </c>
      <c r="O2793" t="s">
        <v>213</v>
      </c>
      <c r="P2793" t="s">
        <v>204</v>
      </c>
      <c r="Q2793" t="s">
        <v>170</v>
      </c>
      <c r="R2793" t="s">
        <v>155</v>
      </c>
      <c r="T2793" t="s">
        <v>134</v>
      </c>
      <c r="U2793">
        <v>1</v>
      </c>
      <c r="W2793" t="s">
        <v>134</v>
      </c>
      <c r="X2793">
        <v>1</v>
      </c>
      <c r="Y2793" t="s">
        <v>140</v>
      </c>
      <c r="Z2793" t="s">
        <v>376</v>
      </c>
      <c r="AA2793" t="s">
        <v>146</v>
      </c>
      <c r="AB2793" t="s">
        <v>162</v>
      </c>
      <c r="AC2793" t="s">
        <v>174</v>
      </c>
      <c r="AD2793" t="s">
        <v>156</v>
      </c>
      <c r="AE2793" t="s">
        <v>120</v>
      </c>
      <c r="AF2793" t="s">
        <v>2228</v>
      </c>
    </row>
    <row r="2794" spans="1:32">
      <c r="A2794" t="s">
        <v>3904</v>
      </c>
      <c r="B2794" s="37">
        <v>39979</v>
      </c>
      <c r="C2794" s="38">
        <v>39979</v>
      </c>
      <c r="D2794" s="38">
        <v>39979</v>
      </c>
      <c r="E2794" s="38">
        <v>39965</v>
      </c>
      <c r="F2794" s="39">
        <v>74</v>
      </c>
      <c r="G2794" t="s">
        <v>496</v>
      </c>
      <c r="H2794" t="s">
        <v>13</v>
      </c>
      <c r="I2794">
        <v>0</v>
      </c>
      <c r="J2794">
        <v>1</v>
      </c>
      <c r="K2794">
        <v>0</v>
      </c>
      <c r="L2794">
        <v>0</v>
      </c>
      <c r="M2794">
        <v>1</v>
      </c>
      <c r="N2794" t="s">
        <v>194</v>
      </c>
      <c r="O2794" t="s">
        <v>213</v>
      </c>
      <c r="P2794" t="s">
        <v>205</v>
      </c>
      <c r="Q2794" t="s">
        <v>170</v>
      </c>
      <c r="R2794" t="s">
        <v>155</v>
      </c>
      <c r="T2794" t="s">
        <v>134</v>
      </c>
      <c r="U2794">
        <v>1</v>
      </c>
      <c r="W2794" t="s">
        <v>134</v>
      </c>
      <c r="X2794">
        <v>1</v>
      </c>
      <c r="Y2794" t="s">
        <v>139</v>
      </c>
      <c r="Z2794" t="s">
        <v>178</v>
      </c>
      <c r="AA2794" t="s">
        <v>143</v>
      </c>
      <c r="AB2794" t="s">
        <v>163</v>
      </c>
      <c r="AC2794" t="s">
        <v>173</v>
      </c>
      <c r="AD2794" t="s">
        <v>155</v>
      </c>
      <c r="AE2794" t="s">
        <v>124</v>
      </c>
      <c r="AF2794" t="s">
        <v>21</v>
      </c>
    </row>
    <row r="2795" spans="1:32">
      <c r="A2795" t="s">
        <v>3905</v>
      </c>
      <c r="B2795" s="37">
        <v>40009</v>
      </c>
      <c r="C2795" s="38">
        <v>40009</v>
      </c>
      <c r="D2795" s="38">
        <v>40007</v>
      </c>
      <c r="E2795" s="38">
        <v>39995</v>
      </c>
      <c r="F2795" s="39">
        <v>104</v>
      </c>
      <c r="G2795" t="s">
        <v>21</v>
      </c>
      <c r="H2795" t="s">
        <v>21</v>
      </c>
      <c r="I2795">
        <v>0</v>
      </c>
      <c r="J2795">
        <v>0</v>
      </c>
      <c r="K2795">
        <v>0</v>
      </c>
      <c r="L2795">
        <v>1</v>
      </c>
      <c r="M2795">
        <v>0</v>
      </c>
      <c r="N2795" t="s">
        <v>193</v>
      </c>
      <c r="O2795" t="s">
        <v>213</v>
      </c>
      <c r="P2795" t="s">
        <v>204</v>
      </c>
      <c r="Q2795" t="s">
        <v>170</v>
      </c>
      <c r="R2795" t="s">
        <v>155</v>
      </c>
      <c r="S2795">
        <v>4</v>
      </c>
      <c r="T2795" t="s">
        <v>137</v>
      </c>
      <c r="U2795">
        <v>0</v>
      </c>
      <c r="V2795">
        <v>3</v>
      </c>
      <c r="W2795" t="s">
        <v>137</v>
      </c>
      <c r="X2795">
        <v>0</v>
      </c>
      <c r="Y2795" t="s">
        <v>140</v>
      </c>
      <c r="Z2795" t="s">
        <v>178</v>
      </c>
      <c r="AA2795" t="s">
        <v>149</v>
      </c>
      <c r="AB2795" t="s">
        <v>162</v>
      </c>
      <c r="AC2795" t="s">
        <v>567</v>
      </c>
      <c r="AD2795" t="s">
        <v>155</v>
      </c>
      <c r="AE2795" t="s">
        <v>130</v>
      </c>
      <c r="AF2795" t="s">
        <v>21</v>
      </c>
    </row>
    <row r="2796" spans="1:32">
      <c r="A2796" t="s">
        <v>3906</v>
      </c>
      <c r="B2796" s="37">
        <v>39923</v>
      </c>
      <c r="C2796" s="38">
        <v>39923</v>
      </c>
      <c r="D2796" s="38">
        <v>39923</v>
      </c>
      <c r="E2796" s="38">
        <v>39904</v>
      </c>
      <c r="F2796" s="39">
        <v>18</v>
      </c>
      <c r="G2796" t="s">
        <v>570</v>
      </c>
      <c r="H2796" t="s">
        <v>13</v>
      </c>
      <c r="I2796">
        <v>0</v>
      </c>
      <c r="J2796">
        <v>1</v>
      </c>
      <c r="K2796">
        <v>0</v>
      </c>
      <c r="L2796">
        <v>0</v>
      </c>
      <c r="M2796">
        <v>1</v>
      </c>
      <c r="N2796" t="s">
        <v>202</v>
      </c>
      <c r="O2796" t="s">
        <v>213</v>
      </c>
      <c r="P2796" t="s">
        <v>211</v>
      </c>
      <c r="Q2796" t="s">
        <v>170</v>
      </c>
      <c r="R2796" t="s">
        <v>155</v>
      </c>
      <c r="T2796" t="s">
        <v>134</v>
      </c>
      <c r="U2796">
        <v>1</v>
      </c>
      <c r="W2796" t="s">
        <v>134</v>
      </c>
      <c r="X2796">
        <v>1</v>
      </c>
      <c r="Y2796" t="s">
        <v>139</v>
      </c>
      <c r="Z2796" t="s">
        <v>178</v>
      </c>
      <c r="AA2796" t="s">
        <v>147</v>
      </c>
      <c r="AB2796" t="s">
        <v>163</v>
      </c>
      <c r="AC2796" t="s">
        <v>3907</v>
      </c>
      <c r="AD2796" t="s">
        <v>155</v>
      </c>
      <c r="AE2796" t="s">
        <v>439</v>
      </c>
      <c r="AF2796" t="s">
        <v>21</v>
      </c>
    </row>
    <row r="2797" spans="1:32">
      <c r="A2797" t="s">
        <v>3908</v>
      </c>
      <c r="B2797" s="37">
        <v>39921</v>
      </c>
      <c r="C2797" s="38">
        <v>39921</v>
      </c>
      <c r="D2797" s="38">
        <v>39916</v>
      </c>
      <c r="E2797" s="38">
        <v>39904</v>
      </c>
      <c r="F2797" s="39">
        <v>16</v>
      </c>
      <c r="G2797" t="s">
        <v>21</v>
      </c>
      <c r="H2797" t="s">
        <v>21</v>
      </c>
      <c r="I2797">
        <v>0</v>
      </c>
      <c r="J2797">
        <v>0</v>
      </c>
      <c r="K2797">
        <v>0</v>
      </c>
      <c r="L2797">
        <v>1</v>
      </c>
      <c r="M2797">
        <v>0</v>
      </c>
      <c r="N2797" t="s">
        <v>199</v>
      </c>
      <c r="O2797" t="s">
        <v>213</v>
      </c>
      <c r="P2797" t="s">
        <v>210</v>
      </c>
      <c r="Q2797" t="s">
        <v>170</v>
      </c>
      <c r="R2797" t="s">
        <v>155</v>
      </c>
      <c r="T2797" t="s">
        <v>134</v>
      </c>
      <c r="U2797">
        <v>1</v>
      </c>
      <c r="W2797" t="s">
        <v>134</v>
      </c>
      <c r="X2797">
        <v>1</v>
      </c>
      <c r="Y2797" t="s">
        <v>139</v>
      </c>
      <c r="Z2797" t="s">
        <v>178</v>
      </c>
      <c r="AA2797" t="s">
        <v>145</v>
      </c>
      <c r="AB2797" t="s">
        <v>163</v>
      </c>
      <c r="AC2797" t="s">
        <v>173</v>
      </c>
      <c r="AD2797" t="s">
        <v>155</v>
      </c>
      <c r="AE2797" t="s">
        <v>434</v>
      </c>
      <c r="AF2797" t="s">
        <v>21</v>
      </c>
    </row>
    <row r="2798" spans="1:32">
      <c r="A2798" t="s">
        <v>3909</v>
      </c>
      <c r="B2798" s="37">
        <v>40051</v>
      </c>
      <c r="C2798" s="38">
        <v>40051</v>
      </c>
      <c r="D2798" s="38">
        <v>40049</v>
      </c>
      <c r="E2798" s="38">
        <v>40026</v>
      </c>
      <c r="F2798" s="39">
        <v>146</v>
      </c>
      <c r="G2798" t="s">
        <v>21</v>
      </c>
      <c r="H2798" t="s">
        <v>21</v>
      </c>
      <c r="I2798">
        <v>0</v>
      </c>
      <c r="J2798">
        <v>0</v>
      </c>
      <c r="K2798">
        <v>0</v>
      </c>
      <c r="L2798">
        <v>1</v>
      </c>
      <c r="M2798">
        <v>0</v>
      </c>
      <c r="N2798" t="s">
        <v>193</v>
      </c>
      <c r="O2798" t="s">
        <v>213</v>
      </c>
      <c r="P2798" t="s">
        <v>204</v>
      </c>
      <c r="Q2798" t="s">
        <v>170</v>
      </c>
      <c r="R2798" t="s">
        <v>155</v>
      </c>
      <c r="S2798">
        <v>3</v>
      </c>
      <c r="T2798" t="s">
        <v>137</v>
      </c>
      <c r="U2798">
        <v>0</v>
      </c>
      <c r="V2798">
        <v>3</v>
      </c>
      <c r="W2798" t="s">
        <v>137</v>
      </c>
      <c r="X2798">
        <v>0</v>
      </c>
      <c r="Y2798" t="s">
        <v>140</v>
      </c>
      <c r="Z2798" t="s">
        <v>178</v>
      </c>
      <c r="AA2798" t="s">
        <v>144</v>
      </c>
      <c r="AB2798" t="s">
        <v>162</v>
      </c>
      <c r="AC2798" t="s">
        <v>21</v>
      </c>
      <c r="AD2798" t="s">
        <v>155</v>
      </c>
      <c r="AE2798" t="s">
        <v>127</v>
      </c>
      <c r="AF2798" t="s">
        <v>21</v>
      </c>
    </row>
    <row r="2799" spans="1:32">
      <c r="A2799" t="s">
        <v>3910</v>
      </c>
      <c r="B2799" s="37">
        <v>39999</v>
      </c>
      <c r="C2799" s="38">
        <v>39999</v>
      </c>
      <c r="D2799" s="38">
        <v>39993</v>
      </c>
      <c r="E2799" s="38">
        <v>39995</v>
      </c>
      <c r="F2799" s="39">
        <v>94</v>
      </c>
      <c r="G2799" t="s">
        <v>496</v>
      </c>
      <c r="H2799" t="s">
        <v>13</v>
      </c>
      <c r="I2799">
        <v>0</v>
      </c>
      <c r="J2799">
        <v>1</v>
      </c>
      <c r="K2799">
        <v>0</v>
      </c>
      <c r="L2799">
        <v>0</v>
      </c>
      <c r="M2799">
        <v>1</v>
      </c>
      <c r="N2799" t="s">
        <v>193</v>
      </c>
      <c r="O2799" t="s">
        <v>213</v>
      </c>
      <c r="P2799" t="s">
        <v>204</v>
      </c>
      <c r="Q2799" t="s">
        <v>170</v>
      </c>
      <c r="R2799" t="s">
        <v>155</v>
      </c>
      <c r="T2799" t="s">
        <v>134</v>
      </c>
      <c r="U2799">
        <v>1</v>
      </c>
      <c r="V2799">
        <v>3</v>
      </c>
      <c r="W2799" t="s">
        <v>137</v>
      </c>
      <c r="X2799">
        <v>0</v>
      </c>
      <c r="Y2799" t="s">
        <v>140</v>
      </c>
      <c r="Z2799" t="s">
        <v>178</v>
      </c>
      <c r="AA2799" t="s">
        <v>146</v>
      </c>
      <c r="AB2799" t="s">
        <v>165</v>
      </c>
      <c r="AC2799" t="s">
        <v>589</v>
      </c>
      <c r="AD2799" t="s">
        <v>158</v>
      </c>
      <c r="AE2799" t="s">
        <v>122</v>
      </c>
      <c r="AF2799" t="s">
        <v>21</v>
      </c>
    </row>
    <row r="2800" spans="1:32">
      <c r="A2800" t="s">
        <v>3911</v>
      </c>
      <c r="B2800" s="37">
        <v>39982</v>
      </c>
      <c r="C2800" s="38">
        <v>39982</v>
      </c>
      <c r="D2800" s="38">
        <v>39979</v>
      </c>
      <c r="E2800" s="38">
        <v>39965</v>
      </c>
      <c r="F2800" s="39">
        <v>77</v>
      </c>
      <c r="G2800" t="s">
        <v>380</v>
      </c>
      <c r="H2800" t="s">
        <v>17</v>
      </c>
      <c r="I2800">
        <v>0</v>
      </c>
      <c r="J2800">
        <v>0</v>
      </c>
      <c r="K2800">
        <v>1</v>
      </c>
      <c r="L2800">
        <v>0</v>
      </c>
      <c r="M2800">
        <v>0</v>
      </c>
      <c r="N2800" t="s">
        <v>196</v>
      </c>
      <c r="O2800" t="s">
        <v>213</v>
      </c>
      <c r="P2800" t="s">
        <v>207</v>
      </c>
      <c r="Q2800" t="s">
        <v>170</v>
      </c>
      <c r="R2800" t="s">
        <v>155</v>
      </c>
      <c r="T2800" t="s">
        <v>134</v>
      </c>
      <c r="U2800">
        <v>1</v>
      </c>
      <c r="W2800" t="s">
        <v>134</v>
      </c>
      <c r="X2800">
        <v>1</v>
      </c>
      <c r="Y2800" t="s">
        <v>139</v>
      </c>
      <c r="Z2800" t="s">
        <v>376</v>
      </c>
      <c r="AA2800" t="s">
        <v>145</v>
      </c>
      <c r="AB2800" t="s">
        <v>162</v>
      </c>
      <c r="AC2800" t="s">
        <v>174</v>
      </c>
      <c r="AD2800" t="s">
        <v>157</v>
      </c>
      <c r="AE2800" t="s">
        <v>3912</v>
      </c>
      <c r="AF2800" t="s">
        <v>3913</v>
      </c>
    </row>
    <row r="2801" spans="1:32">
      <c r="A2801" t="s">
        <v>3914</v>
      </c>
      <c r="B2801" s="37">
        <v>40030</v>
      </c>
      <c r="C2801" s="38">
        <v>40030</v>
      </c>
      <c r="D2801" s="38">
        <v>40028</v>
      </c>
      <c r="E2801" s="38">
        <v>40026</v>
      </c>
      <c r="F2801" s="39">
        <v>125</v>
      </c>
      <c r="G2801" t="s">
        <v>21</v>
      </c>
      <c r="H2801" t="s">
        <v>21</v>
      </c>
      <c r="I2801">
        <v>0</v>
      </c>
      <c r="J2801">
        <v>0</v>
      </c>
      <c r="K2801">
        <v>0</v>
      </c>
      <c r="L2801">
        <v>1</v>
      </c>
      <c r="M2801">
        <v>0</v>
      </c>
      <c r="N2801" t="s">
        <v>193</v>
      </c>
      <c r="O2801" t="s">
        <v>213</v>
      </c>
      <c r="P2801" t="s">
        <v>204</v>
      </c>
      <c r="Q2801" t="s">
        <v>170</v>
      </c>
      <c r="R2801" t="s">
        <v>155</v>
      </c>
      <c r="S2801">
        <v>5</v>
      </c>
      <c r="T2801" t="s">
        <v>135</v>
      </c>
      <c r="U2801">
        <v>0</v>
      </c>
      <c r="V2801">
        <v>2</v>
      </c>
      <c r="W2801" t="s">
        <v>136</v>
      </c>
      <c r="X2801">
        <v>0</v>
      </c>
      <c r="Y2801" t="s">
        <v>140</v>
      </c>
      <c r="Z2801" t="s">
        <v>189</v>
      </c>
      <c r="AA2801" t="s">
        <v>151</v>
      </c>
      <c r="AB2801" t="s">
        <v>162</v>
      </c>
      <c r="AC2801" t="s">
        <v>659</v>
      </c>
      <c r="AD2801" t="s">
        <v>156</v>
      </c>
      <c r="AE2801" t="s">
        <v>120</v>
      </c>
      <c r="AF2801" t="s">
        <v>649</v>
      </c>
    </row>
    <row r="2802" spans="1:32">
      <c r="A2802" t="s">
        <v>3915</v>
      </c>
      <c r="B2802" s="37">
        <v>40084</v>
      </c>
      <c r="C2802" s="38">
        <v>40084</v>
      </c>
      <c r="D2802" s="38">
        <v>40084</v>
      </c>
      <c r="E2802" s="38">
        <v>40057</v>
      </c>
      <c r="F2802" s="39">
        <v>179</v>
      </c>
      <c r="G2802" t="s">
        <v>380</v>
      </c>
      <c r="H2802" t="s">
        <v>17</v>
      </c>
      <c r="I2802">
        <v>0</v>
      </c>
      <c r="J2802">
        <v>0</v>
      </c>
      <c r="K2802">
        <v>1</v>
      </c>
      <c r="L2802">
        <v>0</v>
      </c>
      <c r="M2802">
        <v>0</v>
      </c>
      <c r="N2802" t="s">
        <v>197</v>
      </c>
      <c r="O2802" t="s">
        <v>213</v>
      </c>
      <c r="P2802" t="s">
        <v>209</v>
      </c>
      <c r="Q2802" t="s">
        <v>170</v>
      </c>
      <c r="R2802" t="s">
        <v>155</v>
      </c>
      <c r="S2802">
        <v>5</v>
      </c>
      <c r="T2802" t="s">
        <v>135</v>
      </c>
      <c r="U2802">
        <v>0</v>
      </c>
      <c r="V2802">
        <v>5</v>
      </c>
      <c r="W2802" t="s">
        <v>135</v>
      </c>
      <c r="X2802">
        <v>0</v>
      </c>
      <c r="Y2802" t="s">
        <v>139</v>
      </c>
      <c r="Z2802" t="s">
        <v>534</v>
      </c>
      <c r="AA2802" t="s">
        <v>143</v>
      </c>
      <c r="AB2802" t="s">
        <v>163</v>
      </c>
      <c r="AC2802" t="s">
        <v>902</v>
      </c>
      <c r="AD2802" t="s">
        <v>155</v>
      </c>
      <c r="AE2802" t="s">
        <v>125</v>
      </c>
      <c r="AF2802" t="s">
        <v>21</v>
      </c>
    </row>
    <row r="2803" spans="1:32">
      <c r="A2803" t="s">
        <v>3916</v>
      </c>
      <c r="B2803" s="37">
        <v>39941</v>
      </c>
      <c r="C2803" s="38">
        <v>39941</v>
      </c>
      <c r="D2803" s="38">
        <v>39937</v>
      </c>
      <c r="E2803" s="38">
        <v>39934</v>
      </c>
      <c r="F2803" s="39">
        <v>36</v>
      </c>
      <c r="G2803" t="s">
        <v>21</v>
      </c>
      <c r="H2803" t="s">
        <v>21</v>
      </c>
      <c r="I2803">
        <v>0</v>
      </c>
      <c r="J2803">
        <v>0</v>
      </c>
      <c r="K2803">
        <v>0</v>
      </c>
      <c r="L2803">
        <v>1</v>
      </c>
      <c r="M2803">
        <v>0</v>
      </c>
      <c r="N2803" t="s">
        <v>193</v>
      </c>
      <c r="O2803" t="s">
        <v>213</v>
      </c>
      <c r="P2803" t="s">
        <v>204</v>
      </c>
      <c r="Q2803" t="s">
        <v>170</v>
      </c>
      <c r="R2803" t="s">
        <v>155</v>
      </c>
      <c r="T2803" t="s">
        <v>134</v>
      </c>
      <c r="U2803">
        <v>1</v>
      </c>
      <c r="W2803" t="s">
        <v>134</v>
      </c>
      <c r="X2803">
        <v>1</v>
      </c>
      <c r="Y2803" t="s">
        <v>140</v>
      </c>
      <c r="Z2803" t="s">
        <v>810</v>
      </c>
      <c r="AA2803" t="s">
        <v>142</v>
      </c>
      <c r="AB2803" t="s">
        <v>162</v>
      </c>
      <c r="AC2803" t="s">
        <v>174</v>
      </c>
      <c r="AD2803" t="s">
        <v>156</v>
      </c>
      <c r="AE2803" t="s">
        <v>120</v>
      </c>
      <c r="AF2803" t="s">
        <v>958</v>
      </c>
    </row>
    <row r="2804" spans="1:32">
      <c r="A2804" t="s">
        <v>3917</v>
      </c>
      <c r="B2804" s="37">
        <v>39913</v>
      </c>
      <c r="C2804" s="38">
        <v>39913</v>
      </c>
      <c r="D2804" s="38">
        <v>39909</v>
      </c>
      <c r="E2804" s="38">
        <v>39904</v>
      </c>
      <c r="F2804" s="39">
        <v>8</v>
      </c>
      <c r="G2804" t="s">
        <v>21</v>
      </c>
      <c r="H2804" t="s">
        <v>21</v>
      </c>
      <c r="I2804">
        <v>0</v>
      </c>
      <c r="J2804">
        <v>0</v>
      </c>
      <c r="K2804">
        <v>0</v>
      </c>
      <c r="L2804">
        <v>1</v>
      </c>
      <c r="M2804">
        <v>0</v>
      </c>
      <c r="N2804" t="s">
        <v>202</v>
      </c>
      <c r="O2804" t="s">
        <v>213</v>
      </c>
      <c r="P2804" t="s">
        <v>211</v>
      </c>
      <c r="Q2804" t="s">
        <v>170</v>
      </c>
      <c r="R2804" t="s">
        <v>155</v>
      </c>
      <c r="T2804" t="s">
        <v>134</v>
      </c>
      <c r="U2804">
        <v>1</v>
      </c>
      <c r="W2804" t="s">
        <v>134</v>
      </c>
      <c r="X2804">
        <v>1</v>
      </c>
      <c r="Y2804" t="s">
        <v>139</v>
      </c>
      <c r="Z2804" t="s">
        <v>409</v>
      </c>
      <c r="AA2804" t="s">
        <v>147</v>
      </c>
      <c r="AB2804" t="s">
        <v>162</v>
      </c>
      <c r="AC2804" t="s">
        <v>175</v>
      </c>
      <c r="AD2804" t="s">
        <v>155</v>
      </c>
      <c r="AE2804" t="s">
        <v>127</v>
      </c>
      <c r="AF2804" t="s">
        <v>21</v>
      </c>
    </row>
    <row r="2805" spans="1:32">
      <c r="A2805" t="s">
        <v>3918</v>
      </c>
      <c r="B2805" s="37">
        <v>39938</v>
      </c>
      <c r="C2805" s="38">
        <v>39938</v>
      </c>
      <c r="D2805" s="38">
        <v>39937</v>
      </c>
      <c r="E2805" s="38">
        <v>39934</v>
      </c>
      <c r="F2805" s="39">
        <v>33</v>
      </c>
      <c r="G2805" t="s">
        <v>21</v>
      </c>
      <c r="H2805" t="s">
        <v>21</v>
      </c>
      <c r="I2805">
        <v>0</v>
      </c>
      <c r="J2805">
        <v>0</v>
      </c>
      <c r="K2805">
        <v>0</v>
      </c>
      <c r="L2805">
        <v>1</v>
      </c>
      <c r="M2805">
        <v>0</v>
      </c>
      <c r="N2805" t="s">
        <v>198</v>
      </c>
      <c r="O2805" t="s">
        <v>213</v>
      </c>
      <c r="P2805" t="s">
        <v>208</v>
      </c>
      <c r="Q2805" t="s">
        <v>170</v>
      </c>
      <c r="R2805" t="s">
        <v>155</v>
      </c>
      <c r="T2805" t="s">
        <v>134</v>
      </c>
      <c r="U2805">
        <v>1</v>
      </c>
      <c r="W2805" t="s">
        <v>134</v>
      </c>
      <c r="X2805">
        <v>1</v>
      </c>
      <c r="Y2805" t="s">
        <v>139</v>
      </c>
      <c r="Z2805" t="s">
        <v>409</v>
      </c>
      <c r="AA2805" t="s">
        <v>149</v>
      </c>
      <c r="AB2805" t="s">
        <v>163</v>
      </c>
      <c r="AC2805" t="s">
        <v>173</v>
      </c>
      <c r="AD2805" t="s">
        <v>155</v>
      </c>
      <c r="AE2805" t="s">
        <v>734</v>
      </c>
      <c r="AF2805" t="s">
        <v>21</v>
      </c>
    </row>
    <row r="2806" spans="1:32">
      <c r="A2806" t="s">
        <v>3919</v>
      </c>
      <c r="B2806" s="37">
        <v>39914</v>
      </c>
      <c r="C2806" s="38">
        <v>39914</v>
      </c>
      <c r="D2806" s="38">
        <v>39909</v>
      </c>
      <c r="E2806" s="38">
        <v>39904</v>
      </c>
      <c r="F2806" s="39">
        <v>9</v>
      </c>
      <c r="G2806" t="s">
        <v>21</v>
      </c>
      <c r="H2806" t="s">
        <v>21</v>
      </c>
      <c r="I2806">
        <v>0</v>
      </c>
      <c r="J2806">
        <v>0</v>
      </c>
      <c r="K2806">
        <v>0</v>
      </c>
      <c r="L2806">
        <v>1</v>
      </c>
      <c r="M2806">
        <v>0</v>
      </c>
      <c r="N2806" t="s">
        <v>198</v>
      </c>
      <c r="O2806" t="s">
        <v>213</v>
      </c>
      <c r="P2806" t="s">
        <v>208</v>
      </c>
      <c r="Q2806" t="s">
        <v>170</v>
      </c>
      <c r="R2806" t="s">
        <v>155</v>
      </c>
      <c r="T2806" t="s">
        <v>134</v>
      </c>
      <c r="U2806">
        <v>1</v>
      </c>
      <c r="W2806" t="s">
        <v>134</v>
      </c>
      <c r="X2806">
        <v>1</v>
      </c>
      <c r="Y2806" t="s">
        <v>139</v>
      </c>
      <c r="Z2806" t="s">
        <v>409</v>
      </c>
      <c r="AA2806" t="s">
        <v>147</v>
      </c>
      <c r="AB2806" t="s">
        <v>162</v>
      </c>
      <c r="AC2806" t="s">
        <v>933</v>
      </c>
      <c r="AD2806" t="s">
        <v>155</v>
      </c>
      <c r="AE2806" t="s">
        <v>439</v>
      </c>
      <c r="AF2806" t="s">
        <v>21</v>
      </c>
    </row>
    <row r="2807" spans="1:32">
      <c r="A2807" t="s">
        <v>3920</v>
      </c>
      <c r="B2807" s="37">
        <v>39988</v>
      </c>
      <c r="C2807" s="38">
        <v>39988</v>
      </c>
      <c r="D2807" s="38">
        <v>39986</v>
      </c>
      <c r="E2807" s="38">
        <v>39965</v>
      </c>
      <c r="F2807" s="39">
        <v>83</v>
      </c>
      <c r="G2807" t="s">
        <v>9</v>
      </c>
      <c r="H2807" t="s">
        <v>9</v>
      </c>
      <c r="I2807">
        <v>1</v>
      </c>
      <c r="J2807">
        <v>0</v>
      </c>
      <c r="K2807">
        <v>0</v>
      </c>
      <c r="L2807">
        <v>0</v>
      </c>
      <c r="M2807">
        <v>1</v>
      </c>
      <c r="N2807" t="s">
        <v>196</v>
      </c>
      <c r="O2807" t="s">
        <v>213</v>
      </c>
      <c r="P2807" t="s">
        <v>207</v>
      </c>
      <c r="Q2807" t="s">
        <v>170</v>
      </c>
      <c r="R2807" t="s">
        <v>155</v>
      </c>
      <c r="T2807" t="s">
        <v>134</v>
      </c>
      <c r="U2807">
        <v>1</v>
      </c>
      <c r="W2807" t="s">
        <v>134</v>
      </c>
      <c r="X2807">
        <v>1</v>
      </c>
      <c r="Y2807" t="s">
        <v>139</v>
      </c>
      <c r="Z2807" t="s">
        <v>190</v>
      </c>
      <c r="AA2807" t="s">
        <v>142</v>
      </c>
      <c r="AB2807" t="s">
        <v>162</v>
      </c>
      <c r="AC2807" t="s">
        <v>175</v>
      </c>
      <c r="AD2807" t="s">
        <v>125</v>
      </c>
      <c r="AE2807" t="s">
        <v>628</v>
      </c>
      <c r="AF2807" t="s">
        <v>3921</v>
      </c>
    </row>
    <row r="2808" spans="1:32">
      <c r="A2808" t="s">
        <v>3922</v>
      </c>
      <c r="B2808" s="37">
        <v>39984</v>
      </c>
      <c r="C2808" s="38">
        <v>39984</v>
      </c>
      <c r="D2808" s="38">
        <v>39979</v>
      </c>
      <c r="E2808" s="38">
        <v>39965</v>
      </c>
      <c r="F2808" s="39">
        <v>79</v>
      </c>
      <c r="G2808" t="s">
        <v>9</v>
      </c>
      <c r="H2808" t="s">
        <v>9</v>
      </c>
      <c r="I2808">
        <v>1</v>
      </c>
      <c r="J2808">
        <v>0</v>
      </c>
      <c r="K2808">
        <v>0</v>
      </c>
      <c r="L2808">
        <v>0</v>
      </c>
      <c r="M2808">
        <v>1</v>
      </c>
      <c r="N2808" t="s">
        <v>195</v>
      </c>
      <c r="O2808" t="s">
        <v>213</v>
      </c>
      <c r="P2808" t="s">
        <v>206</v>
      </c>
      <c r="Q2808" t="s">
        <v>170</v>
      </c>
      <c r="R2808" t="s">
        <v>155</v>
      </c>
      <c r="T2808" t="s">
        <v>134</v>
      </c>
      <c r="U2808">
        <v>1</v>
      </c>
      <c r="W2808" t="s">
        <v>134</v>
      </c>
      <c r="X2808">
        <v>1</v>
      </c>
      <c r="Y2808" t="s">
        <v>139</v>
      </c>
      <c r="Z2808" t="s">
        <v>190</v>
      </c>
      <c r="AA2808" t="s">
        <v>146</v>
      </c>
      <c r="AB2808" t="s">
        <v>162</v>
      </c>
      <c r="AC2808" t="s">
        <v>459</v>
      </c>
      <c r="AD2808" t="s">
        <v>155</v>
      </c>
      <c r="AE2808" t="s">
        <v>130</v>
      </c>
      <c r="AF2808" t="s">
        <v>21</v>
      </c>
    </row>
    <row r="2809" spans="1:32">
      <c r="A2809" t="s">
        <v>3923</v>
      </c>
      <c r="B2809" s="37">
        <v>39941</v>
      </c>
      <c r="C2809" s="38">
        <v>39941</v>
      </c>
      <c r="D2809" s="38">
        <v>39937</v>
      </c>
      <c r="E2809" s="38">
        <v>39934</v>
      </c>
      <c r="F2809" s="39">
        <v>36</v>
      </c>
      <c r="G2809" t="s">
        <v>21</v>
      </c>
      <c r="H2809" t="s">
        <v>21</v>
      </c>
      <c r="I2809">
        <v>0</v>
      </c>
      <c r="J2809">
        <v>0</v>
      </c>
      <c r="K2809">
        <v>0</v>
      </c>
      <c r="L2809">
        <v>1</v>
      </c>
      <c r="M2809">
        <v>0</v>
      </c>
      <c r="N2809" t="s">
        <v>195</v>
      </c>
      <c r="O2809" t="s">
        <v>213</v>
      </c>
      <c r="P2809" t="s">
        <v>206</v>
      </c>
      <c r="Q2809" t="s">
        <v>170</v>
      </c>
      <c r="R2809" t="s">
        <v>155</v>
      </c>
      <c r="T2809" t="s">
        <v>134</v>
      </c>
      <c r="U2809">
        <v>1</v>
      </c>
      <c r="W2809" t="s">
        <v>134</v>
      </c>
      <c r="X2809">
        <v>1</v>
      </c>
      <c r="Y2809" t="s">
        <v>139</v>
      </c>
      <c r="Z2809" t="s">
        <v>188</v>
      </c>
      <c r="AA2809" t="s">
        <v>149</v>
      </c>
      <c r="AB2809" t="s">
        <v>162</v>
      </c>
      <c r="AC2809" t="s">
        <v>174</v>
      </c>
      <c r="AD2809" t="s">
        <v>156</v>
      </c>
      <c r="AE2809" t="s">
        <v>120</v>
      </c>
      <c r="AF2809" t="s">
        <v>832</v>
      </c>
    </row>
    <row r="2810" spans="1:32">
      <c r="A2810" t="s">
        <v>3924</v>
      </c>
      <c r="B2810" s="37">
        <v>40018</v>
      </c>
      <c r="C2810" s="38">
        <v>40018</v>
      </c>
      <c r="D2810" s="38">
        <v>40014</v>
      </c>
      <c r="E2810" s="38">
        <v>39995</v>
      </c>
      <c r="F2810" s="39">
        <v>113</v>
      </c>
      <c r="G2810" t="s">
        <v>21</v>
      </c>
      <c r="H2810" t="s">
        <v>21</v>
      </c>
      <c r="I2810">
        <v>0</v>
      </c>
      <c r="J2810">
        <v>0</v>
      </c>
      <c r="K2810">
        <v>0</v>
      </c>
      <c r="L2810">
        <v>1</v>
      </c>
      <c r="M2810">
        <v>0</v>
      </c>
      <c r="N2810" t="s">
        <v>193</v>
      </c>
      <c r="O2810" t="s">
        <v>213</v>
      </c>
      <c r="P2810" t="s">
        <v>204</v>
      </c>
      <c r="Q2810" t="s">
        <v>170</v>
      </c>
      <c r="R2810" t="s">
        <v>155</v>
      </c>
      <c r="S2810">
        <v>5</v>
      </c>
      <c r="T2810" t="s">
        <v>135</v>
      </c>
      <c r="U2810">
        <v>0</v>
      </c>
      <c r="V2810">
        <v>3</v>
      </c>
      <c r="W2810" t="s">
        <v>137</v>
      </c>
      <c r="X2810">
        <v>0</v>
      </c>
      <c r="Y2810" t="s">
        <v>140</v>
      </c>
      <c r="Z2810" t="s">
        <v>188</v>
      </c>
      <c r="AA2810" t="s">
        <v>142</v>
      </c>
      <c r="AB2810" t="s">
        <v>162</v>
      </c>
      <c r="AC2810" t="s">
        <v>174</v>
      </c>
      <c r="AD2810" t="s">
        <v>156</v>
      </c>
      <c r="AE2810" t="s">
        <v>120</v>
      </c>
      <c r="AF2810" t="s">
        <v>3925</v>
      </c>
    </row>
    <row r="2811" spans="1:32">
      <c r="A2811" t="s">
        <v>3926</v>
      </c>
      <c r="B2811" s="37">
        <v>39939</v>
      </c>
      <c r="C2811" s="38">
        <v>39939</v>
      </c>
      <c r="D2811" s="38">
        <v>39937</v>
      </c>
      <c r="E2811" s="38">
        <v>39934</v>
      </c>
      <c r="F2811" s="39">
        <v>34</v>
      </c>
      <c r="G2811" t="s">
        <v>21</v>
      </c>
      <c r="H2811" t="s">
        <v>21</v>
      </c>
      <c r="I2811">
        <v>0</v>
      </c>
      <c r="J2811">
        <v>0</v>
      </c>
      <c r="K2811">
        <v>0</v>
      </c>
      <c r="L2811">
        <v>1</v>
      </c>
      <c r="M2811">
        <v>0</v>
      </c>
      <c r="N2811" t="s">
        <v>202</v>
      </c>
      <c r="O2811" t="s">
        <v>213</v>
      </c>
      <c r="P2811" t="s">
        <v>211</v>
      </c>
      <c r="Q2811" t="s">
        <v>170</v>
      </c>
      <c r="R2811" t="s">
        <v>155</v>
      </c>
      <c r="T2811" t="s">
        <v>134</v>
      </c>
      <c r="U2811">
        <v>1</v>
      </c>
      <c r="W2811" t="s">
        <v>134</v>
      </c>
      <c r="X2811">
        <v>1</v>
      </c>
      <c r="Y2811" t="s">
        <v>139</v>
      </c>
      <c r="Z2811" t="s">
        <v>188</v>
      </c>
      <c r="AA2811" t="s">
        <v>148</v>
      </c>
      <c r="AB2811" t="s">
        <v>162</v>
      </c>
      <c r="AC2811" t="s">
        <v>174</v>
      </c>
      <c r="AD2811" t="s">
        <v>157</v>
      </c>
      <c r="AE2811" t="s">
        <v>130</v>
      </c>
      <c r="AF2811" t="s">
        <v>437</v>
      </c>
    </row>
    <row r="2812" spans="1:32">
      <c r="A2812" t="s">
        <v>3927</v>
      </c>
      <c r="B2812" s="37">
        <v>39973</v>
      </c>
      <c r="C2812" s="38">
        <v>39973</v>
      </c>
      <c r="D2812" s="38">
        <v>39972</v>
      </c>
      <c r="E2812" s="38">
        <v>39965</v>
      </c>
      <c r="F2812" s="39">
        <v>68</v>
      </c>
      <c r="G2812" t="s">
        <v>21</v>
      </c>
      <c r="H2812" t="s">
        <v>21</v>
      </c>
      <c r="I2812">
        <v>0</v>
      </c>
      <c r="J2812">
        <v>0</v>
      </c>
      <c r="K2812">
        <v>0</v>
      </c>
      <c r="L2812">
        <v>1</v>
      </c>
      <c r="M2812">
        <v>0</v>
      </c>
      <c r="N2812" t="s">
        <v>193</v>
      </c>
      <c r="O2812" t="s">
        <v>213</v>
      </c>
      <c r="P2812" t="s">
        <v>204</v>
      </c>
      <c r="Q2812" t="s">
        <v>170</v>
      </c>
      <c r="R2812" t="s">
        <v>155</v>
      </c>
      <c r="T2812" t="s">
        <v>134</v>
      </c>
      <c r="U2812">
        <v>1</v>
      </c>
      <c r="W2812" t="s">
        <v>134</v>
      </c>
      <c r="X2812">
        <v>1</v>
      </c>
      <c r="Y2812" t="s">
        <v>140</v>
      </c>
      <c r="Z2812" t="s">
        <v>447</v>
      </c>
      <c r="AA2812" t="s">
        <v>143</v>
      </c>
      <c r="AB2812" t="s">
        <v>163</v>
      </c>
      <c r="AC2812" t="s">
        <v>173</v>
      </c>
      <c r="AD2812" t="s">
        <v>155</v>
      </c>
      <c r="AE2812" t="s">
        <v>125</v>
      </c>
      <c r="AF2812" t="s">
        <v>21</v>
      </c>
    </row>
    <row r="2813" spans="1:32">
      <c r="A2813" t="s">
        <v>3928</v>
      </c>
      <c r="B2813" s="37">
        <v>40007</v>
      </c>
      <c r="C2813" s="38">
        <v>40007</v>
      </c>
      <c r="D2813" s="38">
        <v>40007</v>
      </c>
      <c r="E2813" s="38">
        <v>39995</v>
      </c>
      <c r="F2813" s="39">
        <v>102</v>
      </c>
      <c r="G2813" t="s">
        <v>21</v>
      </c>
      <c r="H2813" t="s">
        <v>21</v>
      </c>
      <c r="I2813">
        <v>0</v>
      </c>
      <c r="J2813">
        <v>0</v>
      </c>
      <c r="K2813">
        <v>0</v>
      </c>
      <c r="L2813">
        <v>1</v>
      </c>
      <c r="M2813">
        <v>0</v>
      </c>
      <c r="N2813" t="s">
        <v>193</v>
      </c>
      <c r="O2813" t="s">
        <v>213</v>
      </c>
      <c r="P2813" t="s">
        <v>204</v>
      </c>
      <c r="Q2813" t="s">
        <v>170</v>
      </c>
      <c r="R2813" t="s">
        <v>155</v>
      </c>
      <c r="S2813">
        <v>5</v>
      </c>
      <c r="T2813" t="s">
        <v>135</v>
      </c>
      <c r="U2813">
        <v>0</v>
      </c>
      <c r="V2813">
        <v>3</v>
      </c>
      <c r="W2813" t="s">
        <v>137</v>
      </c>
      <c r="X2813">
        <v>0</v>
      </c>
      <c r="Y2813" t="s">
        <v>140</v>
      </c>
      <c r="Z2813" t="s">
        <v>183</v>
      </c>
      <c r="AA2813" t="s">
        <v>143</v>
      </c>
      <c r="AB2813" t="s">
        <v>162</v>
      </c>
      <c r="AC2813" t="s">
        <v>174</v>
      </c>
      <c r="AD2813" t="s">
        <v>156</v>
      </c>
      <c r="AE2813" t="s">
        <v>120</v>
      </c>
      <c r="AF2813" t="s">
        <v>620</v>
      </c>
    </row>
    <row r="2814" spans="1:32">
      <c r="A2814" t="s">
        <v>3929</v>
      </c>
      <c r="B2814" s="37">
        <v>39959</v>
      </c>
      <c r="C2814" s="38">
        <v>39959</v>
      </c>
      <c r="D2814" s="38">
        <v>39958</v>
      </c>
      <c r="E2814" s="38">
        <v>39934</v>
      </c>
      <c r="F2814" s="39">
        <v>54</v>
      </c>
      <c r="G2814" t="s">
        <v>383</v>
      </c>
      <c r="H2814" t="s">
        <v>17</v>
      </c>
      <c r="I2814">
        <v>0</v>
      </c>
      <c r="J2814">
        <v>0</v>
      </c>
      <c r="K2814">
        <v>1</v>
      </c>
      <c r="L2814">
        <v>0</v>
      </c>
      <c r="M2814">
        <v>0</v>
      </c>
      <c r="N2814" t="s">
        <v>195</v>
      </c>
      <c r="O2814" t="s">
        <v>213</v>
      </c>
      <c r="P2814" t="s">
        <v>206</v>
      </c>
      <c r="Q2814" t="s">
        <v>170</v>
      </c>
      <c r="R2814" t="s">
        <v>155</v>
      </c>
      <c r="T2814" t="s">
        <v>134</v>
      </c>
      <c r="U2814">
        <v>1</v>
      </c>
      <c r="W2814" t="s">
        <v>134</v>
      </c>
      <c r="X2814">
        <v>1</v>
      </c>
      <c r="Y2814" t="s">
        <v>139</v>
      </c>
      <c r="Z2814" t="s">
        <v>183</v>
      </c>
      <c r="AA2814" t="s">
        <v>146</v>
      </c>
      <c r="AB2814" t="s">
        <v>162</v>
      </c>
      <c r="AC2814" t="s">
        <v>174</v>
      </c>
      <c r="AD2814" t="s">
        <v>156</v>
      </c>
      <c r="AE2814" t="s">
        <v>120</v>
      </c>
      <c r="AF2814" t="s">
        <v>794</v>
      </c>
    </row>
    <row r="2815" spans="1:32">
      <c r="A2815" t="s">
        <v>3930</v>
      </c>
      <c r="B2815" s="37">
        <v>40013</v>
      </c>
      <c r="C2815" s="38">
        <v>40013</v>
      </c>
      <c r="D2815" s="38">
        <v>40007</v>
      </c>
      <c r="E2815" s="38">
        <v>39995</v>
      </c>
      <c r="F2815" s="39">
        <v>108</v>
      </c>
      <c r="G2815" t="s">
        <v>383</v>
      </c>
      <c r="H2815" t="s">
        <v>17</v>
      </c>
      <c r="I2815">
        <v>0</v>
      </c>
      <c r="J2815">
        <v>0</v>
      </c>
      <c r="K2815">
        <v>1</v>
      </c>
      <c r="L2815">
        <v>0</v>
      </c>
      <c r="M2815">
        <v>0</v>
      </c>
      <c r="N2815" t="s">
        <v>196</v>
      </c>
      <c r="O2815" t="s">
        <v>213</v>
      </c>
      <c r="P2815" t="s">
        <v>207</v>
      </c>
      <c r="Q2815" t="s">
        <v>170</v>
      </c>
      <c r="R2815" t="s">
        <v>155</v>
      </c>
      <c r="S2815">
        <v>3</v>
      </c>
      <c r="T2815" t="s">
        <v>137</v>
      </c>
      <c r="U2815">
        <v>0</v>
      </c>
      <c r="V2815">
        <v>3</v>
      </c>
      <c r="W2815" t="s">
        <v>137</v>
      </c>
      <c r="X2815">
        <v>0</v>
      </c>
      <c r="Y2815" t="s">
        <v>139</v>
      </c>
      <c r="Z2815" t="s">
        <v>183</v>
      </c>
      <c r="AA2815" t="s">
        <v>146</v>
      </c>
      <c r="AB2815" t="s">
        <v>162</v>
      </c>
      <c r="AC2815" t="s">
        <v>21</v>
      </c>
      <c r="AD2815" t="s">
        <v>155</v>
      </c>
      <c r="AE2815" t="s">
        <v>130</v>
      </c>
      <c r="AF2815" t="s">
        <v>21</v>
      </c>
    </row>
    <row r="2816" spans="1:32">
      <c r="A2816" t="s">
        <v>3931</v>
      </c>
      <c r="B2816" s="37">
        <v>39992</v>
      </c>
      <c r="C2816" s="38">
        <v>39992</v>
      </c>
      <c r="D2816" s="38">
        <v>39986</v>
      </c>
      <c r="E2816" s="38">
        <v>39965</v>
      </c>
      <c r="F2816" s="39">
        <v>87</v>
      </c>
      <c r="G2816" t="s">
        <v>21</v>
      </c>
      <c r="H2816" t="s">
        <v>21</v>
      </c>
      <c r="I2816">
        <v>0</v>
      </c>
      <c r="J2816">
        <v>0</v>
      </c>
      <c r="K2816">
        <v>0</v>
      </c>
      <c r="L2816">
        <v>1</v>
      </c>
      <c r="M2816">
        <v>0</v>
      </c>
      <c r="N2816" t="s">
        <v>193</v>
      </c>
      <c r="O2816" t="s">
        <v>213</v>
      </c>
      <c r="P2816" t="s">
        <v>204</v>
      </c>
      <c r="Q2816" t="s">
        <v>170</v>
      </c>
      <c r="R2816" t="s">
        <v>155</v>
      </c>
      <c r="T2816" t="s">
        <v>134</v>
      </c>
      <c r="U2816">
        <v>1</v>
      </c>
      <c r="V2816">
        <v>5</v>
      </c>
      <c r="W2816" t="s">
        <v>135</v>
      </c>
      <c r="X2816">
        <v>0</v>
      </c>
      <c r="Y2816" t="s">
        <v>140</v>
      </c>
      <c r="Z2816" t="s">
        <v>183</v>
      </c>
      <c r="AA2816" t="s">
        <v>146</v>
      </c>
      <c r="AB2816" t="s">
        <v>162</v>
      </c>
      <c r="AC2816" t="s">
        <v>3932</v>
      </c>
      <c r="AD2816" t="s">
        <v>156</v>
      </c>
      <c r="AE2816" t="s">
        <v>120</v>
      </c>
      <c r="AF2816" t="s">
        <v>425</v>
      </c>
    </row>
    <row r="2817" spans="1:32">
      <c r="A2817" t="s">
        <v>3933</v>
      </c>
      <c r="B2817" s="37">
        <v>39983</v>
      </c>
      <c r="C2817" s="38">
        <v>39983</v>
      </c>
      <c r="D2817" s="38">
        <v>39979</v>
      </c>
      <c r="E2817" s="38">
        <v>39965</v>
      </c>
      <c r="F2817" s="39">
        <v>78</v>
      </c>
      <c r="G2817" t="s">
        <v>21</v>
      </c>
      <c r="H2817" t="s">
        <v>21</v>
      </c>
      <c r="I2817">
        <v>0</v>
      </c>
      <c r="J2817">
        <v>0</v>
      </c>
      <c r="K2817">
        <v>0</v>
      </c>
      <c r="L2817">
        <v>1</v>
      </c>
      <c r="M2817">
        <v>0</v>
      </c>
      <c r="N2817" t="s">
        <v>193</v>
      </c>
      <c r="O2817" t="s">
        <v>213</v>
      </c>
      <c r="P2817" t="s">
        <v>204</v>
      </c>
      <c r="Q2817" t="s">
        <v>170</v>
      </c>
      <c r="R2817" t="s">
        <v>155</v>
      </c>
      <c r="T2817" t="s">
        <v>134</v>
      </c>
      <c r="U2817">
        <v>1</v>
      </c>
      <c r="W2817" t="s">
        <v>134</v>
      </c>
      <c r="X2817">
        <v>1</v>
      </c>
      <c r="Y2817" t="s">
        <v>140</v>
      </c>
      <c r="Z2817" t="s">
        <v>183</v>
      </c>
      <c r="AA2817" t="s">
        <v>143</v>
      </c>
      <c r="AB2817" t="s">
        <v>162</v>
      </c>
      <c r="AC2817" t="s">
        <v>550</v>
      </c>
      <c r="AD2817" t="s">
        <v>159</v>
      </c>
      <c r="AE2817" t="s">
        <v>1737</v>
      </c>
      <c r="AF2817" t="s">
        <v>3934</v>
      </c>
    </row>
    <row r="2818" spans="1:32">
      <c r="A2818" t="s">
        <v>3935</v>
      </c>
      <c r="B2818" s="37">
        <v>39981</v>
      </c>
      <c r="C2818" s="38">
        <v>39981</v>
      </c>
      <c r="D2818" s="38">
        <v>39979</v>
      </c>
      <c r="E2818" s="38">
        <v>39965</v>
      </c>
      <c r="F2818" s="39">
        <v>76</v>
      </c>
      <c r="G2818" t="s">
        <v>21</v>
      </c>
      <c r="H2818" t="s">
        <v>21</v>
      </c>
      <c r="I2818">
        <v>0</v>
      </c>
      <c r="J2818">
        <v>0</v>
      </c>
      <c r="K2818">
        <v>0</v>
      </c>
      <c r="L2818">
        <v>1</v>
      </c>
      <c r="M2818">
        <v>0</v>
      </c>
      <c r="N2818" t="s">
        <v>193</v>
      </c>
      <c r="O2818" t="s">
        <v>213</v>
      </c>
      <c r="P2818" t="s">
        <v>204</v>
      </c>
      <c r="Q2818" t="s">
        <v>170</v>
      </c>
      <c r="R2818" t="s">
        <v>155</v>
      </c>
      <c r="T2818" t="s">
        <v>134</v>
      </c>
      <c r="U2818">
        <v>1</v>
      </c>
      <c r="W2818" t="s">
        <v>134</v>
      </c>
      <c r="X2818">
        <v>1</v>
      </c>
      <c r="Y2818" t="s">
        <v>140</v>
      </c>
      <c r="Z2818" t="s">
        <v>183</v>
      </c>
      <c r="AA2818" t="s">
        <v>143</v>
      </c>
      <c r="AB2818" t="s">
        <v>163</v>
      </c>
      <c r="AC2818" t="s">
        <v>173</v>
      </c>
      <c r="AD2818" t="s">
        <v>155</v>
      </c>
      <c r="AE2818" t="s">
        <v>124</v>
      </c>
      <c r="AF2818" t="s">
        <v>21</v>
      </c>
    </row>
    <row r="2819" spans="1:32">
      <c r="A2819" t="s">
        <v>3936</v>
      </c>
      <c r="B2819" s="37">
        <v>39927</v>
      </c>
      <c r="C2819" s="38">
        <v>39927</v>
      </c>
      <c r="D2819" s="38">
        <v>39923</v>
      </c>
      <c r="E2819" s="38">
        <v>39904</v>
      </c>
      <c r="F2819" s="39">
        <v>22</v>
      </c>
      <c r="G2819" t="s">
        <v>21</v>
      </c>
      <c r="H2819" t="s">
        <v>21</v>
      </c>
      <c r="I2819">
        <v>0</v>
      </c>
      <c r="J2819">
        <v>0</v>
      </c>
      <c r="K2819">
        <v>0</v>
      </c>
      <c r="L2819">
        <v>1</v>
      </c>
      <c r="M2819">
        <v>0</v>
      </c>
      <c r="N2819" t="s">
        <v>198</v>
      </c>
      <c r="O2819" t="s">
        <v>213</v>
      </c>
      <c r="P2819" t="s">
        <v>208</v>
      </c>
      <c r="Q2819" t="s">
        <v>170</v>
      </c>
      <c r="R2819" t="s">
        <v>155</v>
      </c>
      <c r="T2819" t="s">
        <v>134</v>
      </c>
      <c r="U2819">
        <v>1</v>
      </c>
      <c r="W2819" t="s">
        <v>134</v>
      </c>
      <c r="X2819">
        <v>1</v>
      </c>
      <c r="Y2819" t="s">
        <v>139</v>
      </c>
      <c r="Z2819" t="s">
        <v>183</v>
      </c>
      <c r="AA2819" t="s">
        <v>142</v>
      </c>
      <c r="AB2819" t="s">
        <v>163</v>
      </c>
      <c r="AC2819" t="s">
        <v>2393</v>
      </c>
      <c r="AD2819" t="s">
        <v>155</v>
      </c>
      <c r="AE2819" t="s">
        <v>956</v>
      </c>
      <c r="AF2819" t="s">
        <v>21</v>
      </c>
    </row>
    <row r="2820" spans="1:32">
      <c r="A2820" t="s">
        <v>3937</v>
      </c>
      <c r="B2820" s="37">
        <v>39927</v>
      </c>
      <c r="C2820" s="38">
        <v>39927</v>
      </c>
      <c r="D2820" s="38">
        <v>39923</v>
      </c>
      <c r="E2820" s="38">
        <v>39904</v>
      </c>
      <c r="F2820" s="39">
        <v>22</v>
      </c>
      <c r="G2820" t="s">
        <v>21</v>
      </c>
      <c r="H2820" t="s">
        <v>21</v>
      </c>
      <c r="I2820">
        <v>0</v>
      </c>
      <c r="J2820">
        <v>0</v>
      </c>
      <c r="K2820">
        <v>0</v>
      </c>
      <c r="L2820">
        <v>1</v>
      </c>
      <c r="M2820">
        <v>0</v>
      </c>
      <c r="N2820" t="s">
        <v>202</v>
      </c>
      <c r="O2820" t="s">
        <v>213</v>
      </c>
      <c r="P2820" t="s">
        <v>211</v>
      </c>
      <c r="Q2820" t="s">
        <v>170</v>
      </c>
      <c r="R2820" t="s">
        <v>155</v>
      </c>
      <c r="T2820" t="s">
        <v>134</v>
      </c>
      <c r="U2820">
        <v>1</v>
      </c>
      <c r="W2820" t="s">
        <v>134</v>
      </c>
      <c r="X2820">
        <v>1</v>
      </c>
      <c r="Y2820" t="s">
        <v>139</v>
      </c>
      <c r="Z2820" t="s">
        <v>183</v>
      </c>
      <c r="AA2820" t="s">
        <v>147</v>
      </c>
      <c r="AB2820" t="s">
        <v>163</v>
      </c>
      <c r="AC2820" t="s">
        <v>2393</v>
      </c>
      <c r="AD2820" t="s">
        <v>155</v>
      </c>
      <c r="AE2820" t="s">
        <v>956</v>
      </c>
      <c r="AF2820" t="s">
        <v>21</v>
      </c>
    </row>
    <row r="2821" spans="1:32">
      <c r="A2821" t="s">
        <v>3938</v>
      </c>
      <c r="B2821" s="37">
        <v>40051</v>
      </c>
      <c r="C2821" s="38">
        <v>40051</v>
      </c>
      <c r="D2821" s="38">
        <v>40049</v>
      </c>
      <c r="E2821" s="38">
        <v>40026</v>
      </c>
      <c r="F2821" s="39">
        <v>146</v>
      </c>
      <c r="G2821" t="s">
        <v>21</v>
      </c>
      <c r="H2821" t="s">
        <v>21</v>
      </c>
      <c r="I2821">
        <v>0</v>
      </c>
      <c r="J2821">
        <v>0</v>
      </c>
      <c r="K2821">
        <v>0</v>
      </c>
      <c r="L2821">
        <v>1</v>
      </c>
      <c r="M2821">
        <v>0</v>
      </c>
      <c r="N2821" t="s">
        <v>544</v>
      </c>
      <c r="O2821" t="s">
        <v>213</v>
      </c>
      <c r="P2821" t="s">
        <v>545</v>
      </c>
      <c r="Q2821" t="s">
        <v>170</v>
      </c>
      <c r="R2821" t="s">
        <v>155</v>
      </c>
      <c r="S2821">
        <v>5</v>
      </c>
      <c r="T2821" t="s">
        <v>135</v>
      </c>
      <c r="U2821">
        <v>0</v>
      </c>
      <c r="V2821">
        <v>3</v>
      </c>
      <c r="W2821" t="s">
        <v>137</v>
      </c>
      <c r="X2821">
        <v>0</v>
      </c>
      <c r="Y2821" t="s">
        <v>139</v>
      </c>
      <c r="Z2821" t="s">
        <v>178</v>
      </c>
      <c r="AA2821" t="s">
        <v>146</v>
      </c>
      <c r="AB2821" t="s">
        <v>162</v>
      </c>
      <c r="AC2821" t="s">
        <v>174</v>
      </c>
      <c r="AD2821" t="s">
        <v>156</v>
      </c>
      <c r="AE2821" t="s">
        <v>120</v>
      </c>
      <c r="AF2821" t="s">
        <v>1427</v>
      </c>
    </row>
    <row r="2822" spans="1:32">
      <c r="A2822" t="s">
        <v>3939</v>
      </c>
      <c r="B2822" s="37">
        <v>39933</v>
      </c>
      <c r="C2822" s="38">
        <v>39933</v>
      </c>
      <c r="D2822" s="38">
        <v>39930</v>
      </c>
      <c r="E2822" s="38">
        <v>39904</v>
      </c>
      <c r="F2822" s="39">
        <v>28</v>
      </c>
      <c r="G2822" t="s">
        <v>21</v>
      </c>
      <c r="H2822" t="s">
        <v>21</v>
      </c>
      <c r="I2822">
        <v>0</v>
      </c>
      <c r="J2822">
        <v>0</v>
      </c>
      <c r="K2822">
        <v>0</v>
      </c>
      <c r="L2822">
        <v>1</v>
      </c>
      <c r="M2822">
        <v>0</v>
      </c>
      <c r="N2822" t="s">
        <v>199</v>
      </c>
      <c r="O2822" t="s">
        <v>213</v>
      </c>
      <c r="P2822" t="s">
        <v>210</v>
      </c>
      <c r="Q2822" t="s">
        <v>170</v>
      </c>
      <c r="R2822" t="s">
        <v>155</v>
      </c>
      <c r="T2822" t="s">
        <v>134</v>
      </c>
      <c r="U2822">
        <v>1</v>
      </c>
      <c r="W2822" t="s">
        <v>134</v>
      </c>
      <c r="X2822">
        <v>1</v>
      </c>
      <c r="Y2822" t="s">
        <v>139</v>
      </c>
      <c r="Z2822" t="s">
        <v>603</v>
      </c>
      <c r="AA2822" t="s">
        <v>145</v>
      </c>
      <c r="AB2822" t="s">
        <v>163</v>
      </c>
      <c r="AC2822" t="s">
        <v>173</v>
      </c>
      <c r="AD2822" t="s">
        <v>155</v>
      </c>
      <c r="AE2822" t="s">
        <v>439</v>
      </c>
      <c r="AF2822" t="s">
        <v>21</v>
      </c>
    </row>
    <row r="2823" spans="1:32">
      <c r="A2823" t="s">
        <v>3940</v>
      </c>
      <c r="B2823" s="37">
        <v>39907</v>
      </c>
      <c r="C2823" s="38">
        <v>39907</v>
      </c>
      <c r="D2823" s="38">
        <v>39902</v>
      </c>
      <c r="E2823" s="38">
        <v>39904</v>
      </c>
      <c r="F2823" s="39">
        <v>2</v>
      </c>
      <c r="G2823" t="s">
        <v>21</v>
      </c>
      <c r="H2823" t="s">
        <v>21</v>
      </c>
      <c r="I2823">
        <v>0</v>
      </c>
      <c r="J2823">
        <v>0</v>
      </c>
      <c r="K2823">
        <v>0</v>
      </c>
      <c r="L2823">
        <v>1</v>
      </c>
      <c r="M2823">
        <v>0</v>
      </c>
      <c r="N2823" t="s">
        <v>201</v>
      </c>
      <c r="O2823" t="s">
        <v>214</v>
      </c>
      <c r="P2823" t="s">
        <v>204</v>
      </c>
      <c r="Q2823" t="s">
        <v>170</v>
      </c>
      <c r="R2823" t="s">
        <v>155</v>
      </c>
      <c r="T2823" t="s">
        <v>134</v>
      </c>
      <c r="U2823">
        <v>1</v>
      </c>
      <c r="W2823" t="s">
        <v>134</v>
      </c>
      <c r="X2823">
        <v>1</v>
      </c>
      <c r="Y2823" t="s">
        <v>140</v>
      </c>
      <c r="Z2823" t="s">
        <v>178</v>
      </c>
      <c r="AA2823" t="s">
        <v>147</v>
      </c>
      <c r="AB2823" t="s">
        <v>162</v>
      </c>
      <c r="AC2823" t="s">
        <v>174</v>
      </c>
      <c r="AD2823" t="s">
        <v>540</v>
      </c>
      <c r="AE2823" t="s">
        <v>123</v>
      </c>
      <c r="AF2823" t="s">
        <v>123</v>
      </c>
    </row>
    <row r="2824" spans="1:32">
      <c r="A2824" t="s">
        <v>3941</v>
      </c>
      <c r="B2824" s="37">
        <v>39946</v>
      </c>
      <c r="C2824" s="38">
        <v>39946</v>
      </c>
      <c r="D2824" s="38">
        <v>39944</v>
      </c>
      <c r="E2824" s="38">
        <v>39934</v>
      </c>
      <c r="F2824" s="39">
        <v>41</v>
      </c>
      <c r="G2824" t="s">
        <v>496</v>
      </c>
      <c r="H2824" t="s">
        <v>13</v>
      </c>
      <c r="I2824">
        <v>0</v>
      </c>
      <c r="J2824">
        <v>1</v>
      </c>
      <c r="K2824">
        <v>0</v>
      </c>
      <c r="L2824">
        <v>0</v>
      </c>
      <c r="M2824">
        <v>1</v>
      </c>
      <c r="N2824" t="s">
        <v>194</v>
      </c>
      <c r="O2824" t="s">
        <v>213</v>
      </c>
      <c r="P2824" t="s">
        <v>205</v>
      </c>
      <c r="Q2824" t="s">
        <v>170</v>
      </c>
      <c r="R2824" t="s">
        <v>155</v>
      </c>
      <c r="T2824" t="s">
        <v>134</v>
      </c>
      <c r="U2824">
        <v>1</v>
      </c>
      <c r="W2824" t="s">
        <v>134</v>
      </c>
      <c r="X2824">
        <v>1</v>
      </c>
      <c r="Y2824" t="s">
        <v>139</v>
      </c>
      <c r="Z2824" t="s">
        <v>810</v>
      </c>
      <c r="AA2824" t="s">
        <v>145</v>
      </c>
      <c r="AB2824" t="s">
        <v>163</v>
      </c>
      <c r="AC2824" t="s">
        <v>173</v>
      </c>
      <c r="AD2824" t="s">
        <v>155</v>
      </c>
      <c r="AE2824" t="s">
        <v>439</v>
      </c>
      <c r="AF2824" t="s">
        <v>21</v>
      </c>
    </row>
    <row r="2825" spans="1:32">
      <c r="A2825" t="s">
        <v>3942</v>
      </c>
      <c r="B2825" s="37">
        <v>40081</v>
      </c>
      <c r="C2825" s="38">
        <v>40081</v>
      </c>
      <c r="D2825" s="38">
        <v>40077</v>
      </c>
      <c r="E2825" s="38">
        <v>40057</v>
      </c>
      <c r="F2825" s="39">
        <v>176</v>
      </c>
      <c r="G2825" t="s">
        <v>21</v>
      </c>
      <c r="H2825" t="s">
        <v>21</v>
      </c>
      <c r="I2825">
        <v>0</v>
      </c>
      <c r="J2825">
        <v>0</v>
      </c>
      <c r="K2825">
        <v>0</v>
      </c>
      <c r="L2825">
        <v>1</v>
      </c>
      <c r="M2825">
        <v>0</v>
      </c>
      <c r="N2825" t="s">
        <v>195</v>
      </c>
      <c r="O2825" t="s">
        <v>213</v>
      </c>
      <c r="P2825" t="s">
        <v>206</v>
      </c>
      <c r="Q2825" t="s">
        <v>170</v>
      </c>
      <c r="R2825" t="s">
        <v>155</v>
      </c>
      <c r="S2825">
        <v>5</v>
      </c>
      <c r="T2825" t="s">
        <v>135</v>
      </c>
      <c r="U2825">
        <v>0</v>
      </c>
      <c r="V2825">
        <v>3</v>
      </c>
      <c r="W2825" t="s">
        <v>137</v>
      </c>
      <c r="X2825">
        <v>0</v>
      </c>
      <c r="Y2825" t="s">
        <v>139</v>
      </c>
      <c r="Z2825" t="s">
        <v>190</v>
      </c>
      <c r="AA2825" t="s">
        <v>148</v>
      </c>
      <c r="AB2825" t="s">
        <v>162</v>
      </c>
      <c r="AC2825" t="s">
        <v>174</v>
      </c>
      <c r="AD2825" t="s">
        <v>156</v>
      </c>
      <c r="AE2825" t="s">
        <v>120</v>
      </c>
      <c r="AF2825" t="s">
        <v>3943</v>
      </c>
    </row>
    <row r="2826" spans="1:32">
      <c r="A2826" t="s">
        <v>3944</v>
      </c>
      <c r="B2826" s="37">
        <v>40065</v>
      </c>
      <c r="C2826" s="38">
        <v>40065</v>
      </c>
      <c r="D2826" s="38">
        <v>40063</v>
      </c>
      <c r="E2826" s="38">
        <v>40057</v>
      </c>
      <c r="F2826" s="39">
        <v>160</v>
      </c>
      <c r="G2826" t="s">
        <v>21</v>
      </c>
      <c r="H2826" t="s">
        <v>21</v>
      </c>
      <c r="I2826">
        <v>0</v>
      </c>
      <c r="J2826">
        <v>0</v>
      </c>
      <c r="K2826">
        <v>0</v>
      </c>
      <c r="L2826">
        <v>1</v>
      </c>
      <c r="M2826">
        <v>0</v>
      </c>
      <c r="N2826" t="s">
        <v>544</v>
      </c>
      <c r="O2826" t="s">
        <v>213</v>
      </c>
      <c r="P2826" t="s">
        <v>545</v>
      </c>
      <c r="Q2826" t="s">
        <v>170</v>
      </c>
      <c r="R2826" t="s">
        <v>155</v>
      </c>
      <c r="S2826">
        <v>3</v>
      </c>
      <c r="T2826" t="s">
        <v>137</v>
      </c>
      <c r="U2826">
        <v>0</v>
      </c>
      <c r="V2826">
        <v>3</v>
      </c>
      <c r="W2826" t="s">
        <v>137</v>
      </c>
      <c r="X2826">
        <v>0</v>
      </c>
      <c r="Y2826" t="s">
        <v>139</v>
      </c>
      <c r="Z2826" t="s">
        <v>509</v>
      </c>
      <c r="AA2826" t="s">
        <v>142</v>
      </c>
      <c r="AB2826" t="s">
        <v>163</v>
      </c>
      <c r="AC2826" t="s">
        <v>173</v>
      </c>
      <c r="AD2826" t="s">
        <v>155</v>
      </c>
      <c r="AE2826" t="s">
        <v>130</v>
      </c>
      <c r="AF2826" t="s">
        <v>21</v>
      </c>
    </row>
    <row r="2827" spans="1:32">
      <c r="A2827" t="s">
        <v>3945</v>
      </c>
      <c r="B2827" s="37">
        <v>39966</v>
      </c>
      <c r="C2827" s="38">
        <v>39966</v>
      </c>
      <c r="D2827" s="38">
        <v>39965</v>
      </c>
      <c r="E2827" s="38">
        <v>39965</v>
      </c>
      <c r="F2827" s="39">
        <v>61</v>
      </c>
      <c r="G2827" t="s">
        <v>21</v>
      </c>
      <c r="H2827" t="s">
        <v>21</v>
      </c>
      <c r="I2827">
        <v>0</v>
      </c>
      <c r="J2827">
        <v>0</v>
      </c>
      <c r="K2827">
        <v>0</v>
      </c>
      <c r="L2827">
        <v>1</v>
      </c>
      <c r="M2827">
        <v>0</v>
      </c>
      <c r="N2827" t="s">
        <v>193</v>
      </c>
      <c r="O2827" t="s">
        <v>213</v>
      </c>
      <c r="P2827" t="s">
        <v>204</v>
      </c>
      <c r="Q2827" t="s">
        <v>170</v>
      </c>
      <c r="R2827" t="s">
        <v>155</v>
      </c>
      <c r="T2827" t="s">
        <v>134</v>
      </c>
      <c r="U2827">
        <v>1</v>
      </c>
      <c r="W2827" t="s">
        <v>134</v>
      </c>
      <c r="X2827">
        <v>1</v>
      </c>
      <c r="Y2827" t="s">
        <v>140</v>
      </c>
      <c r="Z2827" t="s">
        <v>509</v>
      </c>
      <c r="AA2827" t="s">
        <v>144</v>
      </c>
      <c r="AB2827" t="s">
        <v>162</v>
      </c>
      <c r="AC2827" t="s">
        <v>581</v>
      </c>
      <c r="AD2827" t="s">
        <v>155</v>
      </c>
      <c r="AE2827" t="s">
        <v>130</v>
      </c>
      <c r="AF2827" t="s">
        <v>21</v>
      </c>
    </row>
    <row r="2828" spans="1:32">
      <c r="A2828" t="s">
        <v>3946</v>
      </c>
      <c r="B2828" s="37">
        <v>39972</v>
      </c>
      <c r="C2828" s="38">
        <v>39972</v>
      </c>
      <c r="D2828" s="38">
        <v>39972</v>
      </c>
      <c r="E2828" s="38">
        <v>39965</v>
      </c>
      <c r="F2828" s="39">
        <v>67</v>
      </c>
      <c r="G2828" t="s">
        <v>21</v>
      </c>
      <c r="H2828" t="s">
        <v>21</v>
      </c>
      <c r="I2828">
        <v>0</v>
      </c>
      <c r="J2828">
        <v>0</v>
      </c>
      <c r="K2828">
        <v>0</v>
      </c>
      <c r="L2828">
        <v>1</v>
      </c>
      <c r="M2828">
        <v>0</v>
      </c>
      <c r="N2828" t="s">
        <v>194</v>
      </c>
      <c r="O2828" t="s">
        <v>213</v>
      </c>
      <c r="P2828" t="s">
        <v>205</v>
      </c>
      <c r="Q2828" t="s">
        <v>170</v>
      </c>
      <c r="R2828" t="s">
        <v>155</v>
      </c>
      <c r="T2828" t="s">
        <v>134</v>
      </c>
      <c r="U2828">
        <v>1</v>
      </c>
      <c r="W2828" t="s">
        <v>134</v>
      </c>
      <c r="X2828">
        <v>1</v>
      </c>
      <c r="Y2828" t="s">
        <v>139</v>
      </c>
      <c r="Z2828" t="s">
        <v>183</v>
      </c>
      <c r="AA2828" t="s">
        <v>142</v>
      </c>
      <c r="AB2828" t="s">
        <v>162</v>
      </c>
      <c r="AC2828" t="s">
        <v>174</v>
      </c>
      <c r="AD2828" t="s">
        <v>157</v>
      </c>
      <c r="AE2828" t="s">
        <v>130</v>
      </c>
      <c r="AF2828" t="s">
        <v>423</v>
      </c>
    </row>
    <row r="2829" spans="1:32">
      <c r="A2829" t="s">
        <v>3947</v>
      </c>
      <c r="B2829" s="37">
        <v>39950</v>
      </c>
      <c r="C2829" s="38">
        <v>39950</v>
      </c>
      <c r="D2829" s="38">
        <v>39944</v>
      </c>
      <c r="E2829" s="38">
        <v>39934</v>
      </c>
      <c r="F2829" s="39">
        <v>45</v>
      </c>
      <c r="G2829" t="s">
        <v>21</v>
      </c>
      <c r="H2829" t="s">
        <v>21</v>
      </c>
      <c r="I2829">
        <v>0</v>
      </c>
      <c r="J2829">
        <v>0</v>
      </c>
      <c r="K2829">
        <v>0</v>
      </c>
      <c r="L2829">
        <v>1</v>
      </c>
      <c r="M2829">
        <v>0</v>
      </c>
      <c r="N2829" t="s">
        <v>195</v>
      </c>
      <c r="O2829" t="s">
        <v>213</v>
      </c>
      <c r="P2829" t="s">
        <v>206</v>
      </c>
      <c r="Q2829" t="s">
        <v>170</v>
      </c>
      <c r="R2829" t="s">
        <v>155</v>
      </c>
      <c r="T2829" t="s">
        <v>134</v>
      </c>
      <c r="U2829">
        <v>1</v>
      </c>
      <c r="W2829" t="s">
        <v>134</v>
      </c>
      <c r="X2829">
        <v>1</v>
      </c>
      <c r="Y2829" t="s">
        <v>139</v>
      </c>
      <c r="Z2829" t="s">
        <v>183</v>
      </c>
      <c r="AA2829" t="s">
        <v>147</v>
      </c>
      <c r="AB2829" t="s">
        <v>162</v>
      </c>
      <c r="AC2829" t="s">
        <v>619</v>
      </c>
      <c r="AD2829" t="s">
        <v>157</v>
      </c>
      <c r="AE2829" t="s">
        <v>127</v>
      </c>
      <c r="AF2829" t="s">
        <v>153</v>
      </c>
    </row>
    <row r="2830" spans="1:32">
      <c r="A2830" t="s">
        <v>3948</v>
      </c>
      <c r="B2830" s="37">
        <v>40049</v>
      </c>
      <c r="C2830" s="38">
        <v>40049</v>
      </c>
      <c r="D2830" s="38">
        <v>40049</v>
      </c>
      <c r="E2830" s="38">
        <v>40026</v>
      </c>
      <c r="F2830" s="39">
        <v>144</v>
      </c>
      <c r="G2830" t="s">
        <v>21</v>
      </c>
      <c r="H2830" t="s">
        <v>21</v>
      </c>
      <c r="I2830">
        <v>0</v>
      </c>
      <c r="J2830">
        <v>0</v>
      </c>
      <c r="K2830">
        <v>0</v>
      </c>
      <c r="L2830">
        <v>1</v>
      </c>
      <c r="M2830">
        <v>0</v>
      </c>
      <c r="N2830" t="s">
        <v>197</v>
      </c>
      <c r="O2830" t="s">
        <v>213</v>
      </c>
      <c r="P2830" t="s">
        <v>209</v>
      </c>
      <c r="Q2830" t="s">
        <v>170</v>
      </c>
      <c r="R2830" t="s">
        <v>155</v>
      </c>
      <c r="S2830">
        <v>5</v>
      </c>
      <c r="T2830" t="s">
        <v>135</v>
      </c>
      <c r="U2830">
        <v>0</v>
      </c>
      <c r="V2830">
        <v>2</v>
      </c>
      <c r="W2830" t="s">
        <v>136</v>
      </c>
      <c r="X2830">
        <v>0</v>
      </c>
      <c r="Y2830" t="s">
        <v>139</v>
      </c>
      <c r="Z2830" t="s">
        <v>183</v>
      </c>
      <c r="AA2830" t="s">
        <v>146</v>
      </c>
      <c r="AB2830" t="s">
        <v>162</v>
      </c>
      <c r="AC2830" t="s">
        <v>174</v>
      </c>
      <c r="AD2830" t="s">
        <v>156</v>
      </c>
      <c r="AE2830" t="s">
        <v>120</v>
      </c>
      <c r="AF2830" t="s">
        <v>1087</v>
      </c>
    </row>
    <row r="2831" spans="1:32">
      <c r="A2831" t="s">
        <v>3949</v>
      </c>
      <c r="B2831" s="37">
        <v>40054</v>
      </c>
      <c r="C2831" s="38">
        <v>40054</v>
      </c>
      <c r="D2831" s="38">
        <v>40049</v>
      </c>
      <c r="E2831" s="38">
        <v>40026</v>
      </c>
      <c r="F2831" s="39">
        <v>149</v>
      </c>
      <c r="G2831" t="s">
        <v>21</v>
      </c>
      <c r="H2831" t="s">
        <v>21</v>
      </c>
      <c r="I2831">
        <v>0</v>
      </c>
      <c r="J2831">
        <v>0</v>
      </c>
      <c r="K2831">
        <v>0</v>
      </c>
      <c r="L2831">
        <v>1</v>
      </c>
      <c r="M2831">
        <v>0</v>
      </c>
      <c r="N2831" t="s">
        <v>193</v>
      </c>
      <c r="O2831" t="s">
        <v>213</v>
      </c>
      <c r="P2831" t="s">
        <v>204</v>
      </c>
      <c r="Q2831" t="s">
        <v>170</v>
      </c>
      <c r="R2831" t="s">
        <v>155</v>
      </c>
      <c r="S2831">
        <v>1</v>
      </c>
      <c r="T2831" t="s">
        <v>136</v>
      </c>
      <c r="U2831">
        <v>0</v>
      </c>
      <c r="V2831">
        <v>5</v>
      </c>
      <c r="W2831" t="s">
        <v>135</v>
      </c>
      <c r="X2831">
        <v>0</v>
      </c>
      <c r="Y2831" t="s">
        <v>140</v>
      </c>
      <c r="Z2831" t="s">
        <v>810</v>
      </c>
      <c r="AA2831" t="s">
        <v>146</v>
      </c>
      <c r="AB2831" t="s">
        <v>162</v>
      </c>
      <c r="AC2831" t="s">
        <v>459</v>
      </c>
      <c r="AD2831" t="s">
        <v>155</v>
      </c>
      <c r="AE2831" t="s">
        <v>129</v>
      </c>
      <c r="AF2831" t="s">
        <v>21</v>
      </c>
    </row>
    <row r="2832" spans="1:32">
      <c r="A2832" t="s">
        <v>3950</v>
      </c>
      <c r="B2832" s="37">
        <v>40036</v>
      </c>
      <c r="C2832" s="38">
        <v>40036</v>
      </c>
      <c r="D2832" s="38">
        <v>40035</v>
      </c>
      <c r="E2832" s="38">
        <v>40026</v>
      </c>
      <c r="F2832" s="39">
        <v>131</v>
      </c>
      <c r="G2832" t="s">
        <v>9</v>
      </c>
      <c r="H2832" t="s">
        <v>9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193</v>
      </c>
      <c r="O2832" t="s">
        <v>213</v>
      </c>
      <c r="P2832" t="s">
        <v>204</v>
      </c>
      <c r="Q2832" t="s">
        <v>170</v>
      </c>
      <c r="R2832" t="s">
        <v>155</v>
      </c>
      <c r="S2832">
        <v>5</v>
      </c>
      <c r="T2832" t="s">
        <v>135</v>
      </c>
      <c r="U2832">
        <v>0</v>
      </c>
      <c r="V2832">
        <v>5</v>
      </c>
      <c r="W2832" t="s">
        <v>135</v>
      </c>
      <c r="X2832">
        <v>0</v>
      </c>
      <c r="Y2832" t="s">
        <v>140</v>
      </c>
      <c r="Z2832" t="s">
        <v>190</v>
      </c>
      <c r="AA2832" t="s">
        <v>145</v>
      </c>
      <c r="AB2832" t="s">
        <v>162</v>
      </c>
      <c r="AC2832" t="s">
        <v>2119</v>
      </c>
      <c r="AD2832" t="s">
        <v>156</v>
      </c>
      <c r="AE2832" t="s">
        <v>120</v>
      </c>
      <c r="AF2832" t="s">
        <v>626</v>
      </c>
    </row>
    <row r="2833" spans="1:32">
      <c r="A2833" t="s">
        <v>3951</v>
      </c>
      <c r="B2833" s="37">
        <v>40031</v>
      </c>
      <c r="C2833" s="38">
        <v>40031</v>
      </c>
      <c r="D2833" s="38">
        <v>40028</v>
      </c>
      <c r="E2833" s="38">
        <v>40026</v>
      </c>
      <c r="F2833" s="39">
        <v>126</v>
      </c>
      <c r="G2833" t="s">
        <v>21</v>
      </c>
      <c r="H2833" t="s">
        <v>21</v>
      </c>
      <c r="I2833">
        <v>0</v>
      </c>
      <c r="J2833">
        <v>0</v>
      </c>
      <c r="K2833">
        <v>0</v>
      </c>
      <c r="L2833">
        <v>1</v>
      </c>
      <c r="M2833">
        <v>0</v>
      </c>
      <c r="N2833" t="s">
        <v>193</v>
      </c>
      <c r="O2833" t="s">
        <v>213</v>
      </c>
      <c r="P2833" t="s">
        <v>204</v>
      </c>
      <c r="Q2833" t="s">
        <v>170</v>
      </c>
      <c r="R2833" t="s">
        <v>155</v>
      </c>
      <c r="S2833">
        <v>5</v>
      </c>
      <c r="T2833" t="s">
        <v>135</v>
      </c>
      <c r="U2833">
        <v>0</v>
      </c>
      <c r="V2833">
        <v>5</v>
      </c>
      <c r="W2833" t="s">
        <v>135</v>
      </c>
      <c r="X2833">
        <v>0</v>
      </c>
      <c r="Y2833" t="s">
        <v>140</v>
      </c>
      <c r="Z2833" t="s">
        <v>186</v>
      </c>
      <c r="AA2833" t="s">
        <v>145</v>
      </c>
      <c r="AB2833" t="s">
        <v>163</v>
      </c>
      <c r="AC2833" t="s">
        <v>3952</v>
      </c>
      <c r="AD2833" t="s">
        <v>155</v>
      </c>
      <c r="AE2833" t="s">
        <v>128</v>
      </c>
      <c r="AF2833" t="s">
        <v>21</v>
      </c>
    </row>
    <row r="2834" spans="1:32">
      <c r="A2834" t="s">
        <v>3953</v>
      </c>
      <c r="B2834" s="37">
        <v>40035</v>
      </c>
      <c r="C2834" s="38">
        <v>40035</v>
      </c>
      <c r="D2834" s="38">
        <v>40035</v>
      </c>
      <c r="E2834" s="38">
        <v>40026</v>
      </c>
      <c r="F2834" s="39">
        <v>130</v>
      </c>
      <c r="G2834" t="s">
        <v>21</v>
      </c>
      <c r="H2834" t="s">
        <v>21</v>
      </c>
      <c r="I2834">
        <v>0</v>
      </c>
      <c r="J2834">
        <v>0</v>
      </c>
      <c r="K2834">
        <v>0</v>
      </c>
      <c r="L2834">
        <v>1</v>
      </c>
      <c r="M2834">
        <v>0</v>
      </c>
      <c r="N2834" t="s">
        <v>197</v>
      </c>
      <c r="O2834" t="s">
        <v>213</v>
      </c>
      <c r="P2834" t="s">
        <v>209</v>
      </c>
      <c r="Q2834" t="s">
        <v>170</v>
      </c>
      <c r="R2834" t="s">
        <v>155</v>
      </c>
      <c r="S2834">
        <v>3</v>
      </c>
      <c r="T2834" t="s">
        <v>137</v>
      </c>
      <c r="U2834">
        <v>0</v>
      </c>
      <c r="V2834">
        <v>4</v>
      </c>
      <c r="W2834" t="s">
        <v>137</v>
      </c>
      <c r="X2834">
        <v>0</v>
      </c>
      <c r="Y2834" t="s">
        <v>139</v>
      </c>
      <c r="Z2834" t="s">
        <v>182</v>
      </c>
      <c r="AA2834" t="s">
        <v>144</v>
      </c>
      <c r="AB2834" t="s">
        <v>162</v>
      </c>
      <c r="AC2834" t="s">
        <v>1627</v>
      </c>
      <c r="AD2834" t="s">
        <v>156</v>
      </c>
      <c r="AE2834" t="s">
        <v>120</v>
      </c>
      <c r="AF2834" t="s">
        <v>1970</v>
      </c>
    </row>
    <row r="2835" spans="1:32">
      <c r="A2835" t="s">
        <v>3954</v>
      </c>
      <c r="B2835" s="37">
        <v>40054</v>
      </c>
      <c r="C2835" s="38">
        <v>40054</v>
      </c>
      <c r="D2835" s="38">
        <v>40049</v>
      </c>
      <c r="E2835" s="38">
        <v>40026</v>
      </c>
      <c r="F2835" s="39">
        <v>149</v>
      </c>
      <c r="G2835" t="s">
        <v>21</v>
      </c>
      <c r="H2835" t="s">
        <v>21</v>
      </c>
      <c r="I2835">
        <v>0</v>
      </c>
      <c r="J2835">
        <v>0</v>
      </c>
      <c r="K2835">
        <v>0</v>
      </c>
      <c r="L2835">
        <v>1</v>
      </c>
      <c r="M2835">
        <v>0</v>
      </c>
      <c r="N2835" t="s">
        <v>195</v>
      </c>
      <c r="O2835" t="s">
        <v>213</v>
      </c>
      <c r="P2835" t="s">
        <v>206</v>
      </c>
      <c r="Q2835" t="s">
        <v>170</v>
      </c>
      <c r="R2835" t="s">
        <v>155</v>
      </c>
      <c r="S2835">
        <v>5</v>
      </c>
      <c r="T2835" t="s">
        <v>135</v>
      </c>
      <c r="U2835">
        <v>0</v>
      </c>
      <c r="V2835">
        <v>4</v>
      </c>
      <c r="W2835" t="s">
        <v>137</v>
      </c>
      <c r="X2835">
        <v>0</v>
      </c>
      <c r="Y2835" t="s">
        <v>139</v>
      </c>
      <c r="Z2835" t="s">
        <v>179</v>
      </c>
      <c r="AA2835" t="s">
        <v>143</v>
      </c>
      <c r="AB2835" t="s">
        <v>163</v>
      </c>
      <c r="AC2835" t="s">
        <v>21</v>
      </c>
      <c r="AD2835" t="s">
        <v>155</v>
      </c>
      <c r="AE2835" t="s">
        <v>128</v>
      </c>
      <c r="AF2835" t="s">
        <v>21</v>
      </c>
    </row>
    <row r="2836" spans="1:32">
      <c r="A2836" t="s">
        <v>3955</v>
      </c>
      <c r="B2836" s="37">
        <v>40042</v>
      </c>
      <c r="C2836" s="38">
        <v>40042</v>
      </c>
      <c r="D2836" s="38">
        <v>40042</v>
      </c>
      <c r="E2836" s="38">
        <v>40026</v>
      </c>
      <c r="F2836" s="39">
        <v>137</v>
      </c>
      <c r="G2836" t="s">
        <v>380</v>
      </c>
      <c r="H2836" t="s">
        <v>17</v>
      </c>
      <c r="I2836">
        <v>0</v>
      </c>
      <c r="J2836">
        <v>0</v>
      </c>
      <c r="K2836">
        <v>1</v>
      </c>
      <c r="L2836">
        <v>0</v>
      </c>
      <c r="M2836">
        <v>0</v>
      </c>
      <c r="N2836" t="s">
        <v>193</v>
      </c>
      <c r="O2836" t="s">
        <v>213</v>
      </c>
      <c r="P2836" t="s">
        <v>204</v>
      </c>
      <c r="Q2836" t="s">
        <v>170</v>
      </c>
      <c r="R2836" t="s">
        <v>155</v>
      </c>
      <c r="S2836">
        <v>3</v>
      </c>
      <c r="T2836" t="s">
        <v>137</v>
      </c>
      <c r="U2836">
        <v>0</v>
      </c>
      <c r="V2836">
        <v>3</v>
      </c>
      <c r="W2836" t="s">
        <v>137</v>
      </c>
      <c r="X2836">
        <v>0</v>
      </c>
      <c r="Y2836" t="s">
        <v>140</v>
      </c>
      <c r="Z2836" t="s">
        <v>179</v>
      </c>
      <c r="AA2836" t="s">
        <v>144</v>
      </c>
      <c r="AB2836" t="s">
        <v>162</v>
      </c>
      <c r="AC2836" t="s">
        <v>176</v>
      </c>
      <c r="AD2836" t="s">
        <v>155</v>
      </c>
      <c r="AE2836" t="s">
        <v>129</v>
      </c>
      <c r="AF2836" t="s">
        <v>21</v>
      </c>
    </row>
    <row r="2837" spans="1:32">
      <c r="A2837" t="s">
        <v>3956</v>
      </c>
      <c r="B2837" s="37">
        <v>40082</v>
      </c>
      <c r="C2837" s="38">
        <v>40082</v>
      </c>
      <c r="D2837" s="38">
        <v>40077</v>
      </c>
      <c r="E2837" s="38">
        <v>40057</v>
      </c>
      <c r="F2837" s="39">
        <v>177</v>
      </c>
      <c r="G2837" t="s">
        <v>21</v>
      </c>
      <c r="H2837" t="s">
        <v>21</v>
      </c>
      <c r="I2837">
        <v>0</v>
      </c>
      <c r="J2837">
        <v>0</v>
      </c>
      <c r="K2837">
        <v>0</v>
      </c>
      <c r="L2837">
        <v>1</v>
      </c>
      <c r="M2837">
        <v>0</v>
      </c>
      <c r="N2837" t="s">
        <v>196</v>
      </c>
      <c r="O2837" t="s">
        <v>213</v>
      </c>
      <c r="P2837" t="s">
        <v>207</v>
      </c>
      <c r="Q2837" t="s">
        <v>170</v>
      </c>
      <c r="R2837" t="s">
        <v>155</v>
      </c>
      <c r="S2837">
        <v>5</v>
      </c>
      <c r="T2837" t="s">
        <v>135</v>
      </c>
      <c r="U2837">
        <v>0</v>
      </c>
      <c r="V2837">
        <v>5</v>
      </c>
      <c r="W2837" t="s">
        <v>135</v>
      </c>
      <c r="X2837">
        <v>0</v>
      </c>
      <c r="Y2837" t="s">
        <v>139</v>
      </c>
      <c r="Z2837" t="s">
        <v>179</v>
      </c>
      <c r="AA2837" t="s">
        <v>142</v>
      </c>
      <c r="AB2837" t="s">
        <v>162</v>
      </c>
      <c r="AC2837" t="s">
        <v>498</v>
      </c>
      <c r="AD2837" t="s">
        <v>2264</v>
      </c>
      <c r="AE2837" t="s">
        <v>3957</v>
      </c>
      <c r="AF2837" t="s">
        <v>916</v>
      </c>
    </row>
    <row r="2838" spans="1:32">
      <c r="A2838" t="s">
        <v>3958</v>
      </c>
      <c r="B2838" s="37">
        <v>40023</v>
      </c>
      <c r="C2838" s="38">
        <v>40023</v>
      </c>
      <c r="D2838" s="38">
        <v>40021</v>
      </c>
      <c r="E2838" s="38">
        <v>39995</v>
      </c>
      <c r="F2838" s="39">
        <v>118</v>
      </c>
      <c r="G2838" t="s">
        <v>21</v>
      </c>
      <c r="H2838" t="s">
        <v>21</v>
      </c>
      <c r="I2838">
        <v>0</v>
      </c>
      <c r="J2838">
        <v>0</v>
      </c>
      <c r="K2838">
        <v>0</v>
      </c>
      <c r="L2838">
        <v>1</v>
      </c>
      <c r="M2838">
        <v>0</v>
      </c>
      <c r="N2838" t="s">
        <v>195</v>
      </c>
      <c r="O2838" t="s">
        <v>213</v>
      </c>
      <c r="P2838" t="s">
        <v>206</v>
      </c>
      <c r="Q2838" t="s">
        <v>170</v>
      </c>
      <c r="R2838" t="s">
        <v>155</v>
      </c>
      <c r="S2838">
        <v>5</v>
      </c>
      <c r="T2838" t="s">
        <v>135</v>
      </c>
      <c r="U2838">
        <v>0</v>
      </c>
      <c r="V2838">
        <v>5</v>
      </c>
      <c r="W2838" t="s">
        <v>135</v>
      </c>
      <c r="X2838">
        <v>0</v>
      </c>
      <c r="Y2838" t="s">
        <v>139</v>
      </c>
      <c r="Z2838" t="s">
        <v>179</v>
      </c>
      <c r="AA2838" t="s">
        <v>148</v>
      </c>
      <c r="AB2838" t="s">
        <v>162</v>
      </c>
      <c r="AC2838" t="s">
        <v>176</v>
      </c>
      <c r="AD2838" t="s">
        <v>159</v>
      </c>
      <c r="AE2838" t="s">
        <v>126</v>
      </c>
      <c r="AF2838" t="s">
        <v>601</v>
      </c>
    </row>
    <row r="2839" spans="1:32">
      <c r="A2839" t="s">
        <v>3959</v>
      </c>
      <c r="B2839" s="37">
        <v>40060</v>
      </c>
      <c r="C2839" s="38">
        <v>40060</v>
      </c>
      <c r="D2839" s="38">
        <v>40056</v>
      </c>
      <c r="E2839" s="38">
        <v>40057</v>
      </c>
      <c r="F2839" s="39">
        <v>155</v>
      </c>
      <c r="G2839" t="s">
        <v>496</v>
      </c>
      <c r="H2839" t="s">
        <v>13</v>
      </c>
      <c r="I2839">
        <v>0</v>
      </c>
      <c r="J2839">
        <v>1</v>
      </c>
      <c r="K2839">
        <v>0</v>
      </c>
      <c r="L2839">
        <v>0</v>
      </c>
      <c r="M2839">
        <v>1</v>
      </c>
      <c r="N2839" t="s">
        <v>193</v>
      </c>
      <c r="O2839" t="s">
        <v>213</v>
      </c>
      <c r="P2839" t="s">
        <v>204</v>
      </c>
      <c r="Q2839" t="s">
        <v>170</v>
      </c>
      <c r="R2839" t="s">
        <v>155</v>
      </c>
      <c r="S2839">
        <v>5</v>
      </c>
      <c r="T2839" t="s">
        <v>135</v>
      </c>
      <c r="U2839">
        <v>0</v>
      </c>
      <c r="V2839">
        <v>5</v>
      </c>
      <c r="W2839" t="s">
        <v>135</v>
      </c>
      <c r="X2839">
        <v>0</v>
      </c>
      <c r="Y2839" t="s">
        <v>140</v>
      </c>
      <c r="Z2839" t="s">
        <v>179</v>
      </c>
      <c r="AA2839" t="s">
        <v>143</v>
      </c>
      <c r="AB2839" t="s">
        <v>162</v>
      </c>
      <c r="AC2839" t="s">
        <v>174</v>
      </c>
      <c r="AD2839" t="s">
        <v>156</v>
      </c>
      <c r="AE2839" t="s">
        <v>120</v>
      </c>
      <c r="AF2839" t="s">
        <v>832</v>
      </c>
    </row>
    <row r="2840" spans="1:32">
      <c r="A2840" t="s">
        <v>3960</v>
      </c>
      <c r="B2840" s="37">
        <v>39952</v>
      </c>
      <c r="C2840" s="38">
        <v>39952</v>
      </c>
      <c r="D2840" s="38">
        <v>39951</v>
      </c>
      <c r="E2840" s="38">
        <v>39934</v>
      </c>
      <c r="F2840" s="39">
        <v>47</v>
      </c>
      <c r="G2840" t="s">
        <v>21</v>
      </c>
      <c r="H2840" t="s">
        <v>21</v>
      </c>
      <c r="I2840">
        <v>0</v>
      </c>
      <c r="J2840">
        <v>0</v>
      </c>
      <c r="K2840">
        <v>0</v>
      </c>
      <c r="L2840">
        <v>1</v>
      </c>
      <c r="M2840">
        <v>0</v>
      </c>
      <c r="N2840" t="s">
        <v>195</v>
      </c>
      <c r="O2840" t="s">
        <v>213</v>
      </c>
      <c r="P2840" t="s">
        <v>206</v>
      </c>
      <c r="Q2840" t="s">
        <v>170</v>
      </c>
      <c r="R2840" t="s">
        <v>155</v>
      </c>
      <c r="T2840" t="s">
        <v>134</v>
      </c>
      <c r="U2840">
        <v>1</v>
      </c>
      <c r="W2840" t="s">
        <v>134</v>
      </c>
      <c r="X2840">
        <v>1</v>
      </c>
      <c r="Y2840" t="s">
        <v>139</v>
      </c>
      <c r="Z2840" t="s">
        <v>179</v>
      </c>
      <c r="AA2840" t="s">
        <v>147</v>
      </c>
      <c r="AB2840" t="s">
        <v>163</v>
      </c>
      <c r="AC2840" t="s">
        <v>173</v>
      </c>
      <c r="AD2840" t="s">
        <v>155</v>
      </c>
      <c r="AE2840" t="s">
        <v>439</v>
      </c>
      <c r="AF2840" t="s">
        <v>21</v>
      </c>
    </row>
    <row r="2841" spans="1:32">
      <c r="A2841" t="s">
        <v>3961</v>
      </c>
      <c r="B2841" s="37">
        <v>40061</v>
      </c>
      <c r="C2841" s="38">
        <v>40061</v>
      </c>
      <c r="D2841" s="38">
        <v>40056</v>
      </c>
      <c r="E2841" s="38">
        <v>40057</v>
      </c>
      <c r="F2841" s="39">
        <v>156</v>
      </c>
      <c r="G2841" t="s">
        <v>21</v>
      </c>
      <c r="H2841" t="s">
        <v>21</v>
      </c>
      <c r="I2841">
        <v>0</v>
      </c>
      <c r="J2841">
        <v>0</v>
      </c>
      <c r="K2841">
        <v>0</v>
      </c>
      <c r="L2841">
        <v>1</v>
      </c>
      <c r="M2841">
        <v>0</v>
      </c>
      <c r="N2841" t="s">
        <v>193</v>
      </c>
      <c r="O2841" t="s">
        <v>213</v>
      </c>
      <c r="P2841" t="s">
        <v>204</v>
      </c>
      <c r="Q2841" t="s">
        <v>170</v>
      </c>
      <c r="R2841" t="s">
        <v>155</v>
      </c>
      <c r="S2841">
        <v>5</v>
      </c>
      <c r="T2841" t="s">
        <v>135</v>
      </c>
      <c r="U2841">
        <v>0</v>
      </c>
      <c r="V2841">
        <v>3</v>
      </c>
      <c r="W2841" t="s">
        <v>137</v>
      </c>
      <c r="X2841">
        <v>0</v>
      </c>
      <c r="Y2841" t="s">
        <v>140</v>
      </c>
      <c r="Z2841" t="s">
        <v>179</v>
      </c>
      <c r="AA2841" t="s">
        <v>148</v>
      </c>
      <c r="AB2841" t="s">
        <v>162</v>
      </c>
      <c r="AC2841" t="s">
        <v>174</v>
      </c>
      <c r="AD2841" t="s">
        <v>156</v>
      </c>
      <c r="AE2841" t="s">
        <v>120</v>
      </c>
      <c r="AF2841" t="s">
        <v>741</v>
      </c>
    </row>
    <row r="2842" spans="1:32">
      <c r="A2842" t="s">
        <v>3962</v>
      </c>
      <c r="B2842" s="37">
        <v>40036</v>
      </c>
      <c r="C2842" s="38">
        <v>40036</v>
      </c>
      <c r="D2842" s="38">
        <v>40035</v>
      </c>
      <c r="E2842" s="38">
        <v>40026</v>
      </c>
      <c r="F2842" s="39">
        <v>131</v>
      </c>
      <c r="G2842" t="s">
        <v>21</v>
      </c>
      <c r="H2842" t="s">
        <v>21</v>
      </c>
      <c r="I2842">
        <v>0</v>
      </c>
      <c r="J2842">
        <v>0</v>
      </c>
      <c r="K2842">
        <v>0</v>
      </c>
      <c r="L2842">
        <v>1</v>
      </c>
      <c r="M2842">
        <v>0</v>
      </c>
      <c r="N2842" t="s">
        <v>193</v>
      </c>
      <c r="O2842" t="s">
        <v>213</v>
      </c>
      <c r="P2842" t="s">
        <v>204</v>
      </c>
      <c r="Q2842" t="s">
        <v>170</v>
      </c>
      <c r="R2842" t="s">
        <v>155</v>
      </c>
      <c r="S2842">
        <v>5</v>
      </c>
      <c r="T2842" t="s">
        <v>135</v>
      </c>
      <c r="U2842">
        <v>0</v>
      </c>
      <c r="V2842">
        <v>3</v>
      </c>
      <c r="W2842" t="s">
        <v>137</v>
      </c>
      <c r="X2842">
        <v>0</v>
      </c>
      <c r="Y2842" t="s">
        <v>140</v>
      </c>
      <c r="Z2842" t="s">
        <v>179</v>
      </c>
      <c r="AA2842" t="s">
        <v>148</v>
      </c>
      <c r="AB2842" t="s">
        <v>162</v>
      </c>
      <c r="AC2842" t="s">
        <v>174</v>
      </c>
      <c r="AD2842" t="s">
        <v>160</v>
      </c>
      <c r="AE2842" t="s">
        <v>484</v>
      </c>
      <c r="AF2842" t="s">
        <v>924</v>
      </c>
    </row>
    <row r="2843" spans="1:32">
      <c r="A2843" t="s">
        <v>3963</v>
      </c>
      <c r="B2843" s="37">
        <v>39922</v>
      </c>
      <c r="C2843" s="38">
        <v>39922</v>
      </c>
      <c r="D2843" s="38">
        <v>39916</v>
      </c>
      <c r="E2843" s="38">
        <v>39904</v>
      </c>
      <c r="F2843" s="39">
        <v>17</v>
      </c>
      <c r="G2843" t="s">
        <v>21</v>
      </c>
      <c r="H2843" t="s">
        <v>21</v>
      </c>
      <c r="I2843">
        <v>0</v>
      </c>
      <c r="J2843">
        <v>0</v>
      </c>
      <c r="K2843">
        <v>0</v>
      </c>
      <c r="L2843">
        <v>1</v>
      </c>
      <c r="M2843">
        <v>0</v>
      </c>
      <c r="N2843" t="s">
        <v>198</v>
      </c>
      <c r="O2843" t="s">
        <v>213</v>
      </c>
      <c r="P2843" t="s">
        <v>208</v>
      </c>
      <c r="Q2843" t="s">
        <v>170</v>
      </c>
      <c r="R2843" t="s">
        <v>155</v>
      </c>
      <c r="T2843" t="s">
        <v>134</v>
      </c>
      <c r="U2843">
        <v>1</v>
      </c>
      <c r="W2843" t="s">
        <v>134</v>
      </c>
      <c r="X2843">
        <v>1</v>
      </c>
      <c r="Y2843" t="s">
        <v>139</v>
      </c>
      <c r="Z2843" t="s">
        <v>179</v>
      </c>
      <c r="AA2843" t="s">
        <v>143</v>
      </c>
      <c r="AB2843" t="s">
        <v>162</v>
      </c>
      <c r="AC2843" t="s">
        <v>550</v>
      </c>
      <c r="AD2843" t="s">
        <v>156</v>
      </c>
      <c r="AE2843" t="s">
        <v>120</v>
      </c>
      <c r="AF2843" t="s">
        <v>3964</v>
      </c>
    </row>
    <row r="2844" spans="1:32">
      <c r="A2844" t="s">
        <v>3965</v>
      </c>
      <c r="B2844" s="37">
        <v>40027</v>
      </c>
      <c r="C2844" s="38">
        <v>40027</v>
      </c>
      <c r="D2844" s="38">
        <v>40021</v>
      </c>
      <c r="E2844" s="38">
        <v>40026</v>
      </c>
      <c r="F2844" s="39">
        <v>122</v>
      </c>
      <c r="G2844" t="s">
        <v>21</v>
      </c>
      <c r="H2844" t="s">
        <v>21</v>
      </c>
      <c r="I2844">
        <v>0</v>
      </c>
      <c r="J2844">
        <v>0</v>
      </c>
      <c r="K2844">
        <v>0</v>
      </c>
      <c r="L2844">
        <v>1</v>
      </c>
      <c r="M2844">
        <v>0</v>
      </c>
      <c r="N2844" t="s">
        <v>193</v>
      </c>
      <c r="O2844" t="s">
        <v>213</v>
      </c>
      <c r="P2844" t="s">
        <v>204</v>
      </c>
      <c r="Q2844" t="s">
        <v>170</v>
      </c>
      <c r="R2844" t="s">
        <v>155</v>
      </c>
      <c r="S2844">
        <v>5</v>
      </c>
      <c r="T2844" t="s">
        <v>135</v>
      </c>
      <c r="U2844">
        <v>0</v>
      </c>
      <c r="V2844">
        <v>3</v>
      </c>
      <c r="W2844" t="s">
        <v>137</v>
      </c>
      <c r="X2844">
        <v>0</v>
      </c>
      <c r="Y2844" t="s">
        <v>140</v>
      </c>
      <c r="Z2844" t="s">
        <v>190</v>
      </c>
      <c r="AA2844" t="s">
        <v>145</v>
      </c>
      <c r="AB2844" t="s">
        <v>163</v>
      </c>
      <c r="AC2844" t="s">
        <v>3966</v>
      </c>
      <c r="AD2844" t="s">
        <v>155</v>
      </c>
      <c r="AE2844" t="s">
        <v>510</v>
      </c>
      <c r="AF2844" t="s">
        <v>21</v>
      </c>
    </row>
    <row r="2845" spans="1:32">
      <c r="A2845" t="s">
        <v>3967</v>
      </c>
      <c r="B2845" s="37">
        <v>39955</v>
      </c>
      <c r="C2845" s="38">
        <v>39955</v>
      </c>
      <c r="D2845" s="38">
        <v>39951</v>
      </c>
      <c r="E2845" s="38">
        <v>39934</v>
      </c>
      <c r="F2845" s="39">
        <v>50</v>
      </c>
      <c r="G2845" t="s">
        <v>9</v>
      </c>
      <c r="H2845" t="s">
        <v>9</v>
      </c>
      <c r="I2845">
        <v>1</v>
      </c>
      <c r="J2845">
        <v>0</v>
      </c>
      <c r="K2845">
        <v>0</v>
      </c>
      <c r="L2845">
        <v>0</v>
      </c>
      <c r="M2845">
        <v>1</v>
      </c>
      <c r="N2845" t="s">
        <v>195</v>
      </c>
      <c r="O2845" t="s">
        <v>213</v>
      </c>
      <c r="P2845" t="s">
        <v>206</v>
      </c>
      <c r="Q2845" t="s">
        <v>170</v>
      </c>
      <c r="R2845" t="s">
        <v>155</v>
      </c>
      <c r="T2845" t="s">
        <v>134</v>
      </c>
      <c r="U2845">
        <v>1</v>
      </c>
      <c r="W2845" t="s">
        <v>134</v>
      </c>
      <c r="X2845">
        <v>1</v>
      </c>
      <c r="Y2845" t="s">
        <v>139</v>
      </c>
      <c r="Z2845" t="s">
        <v>179</v>
      </c>
      <c r="AA2845" t="s">
        <v>146</v>
      </c>
      <c r="AB2845" t="s">
        <v>163</v>
      </c>
      <c r="AC2845" t="s">
        <v>173</v>
      </c>
      <c r="AD2845" t="s">
        <v>155</v>
      </c>
      <c r="AE2845" t="s">
        <v>124</v>
      </c>
      <c r="AF2845" t="s">
        <v>21</v>
      </c>
    </row>
    <row r="2846" spans="1:32">
      <c r="A2846" t="s">
        <v>3968</v>
      </c>
      <c r="B2846" s="37">
        <v>40077</v>
      </c>
      <c r="C2846" s="38">
        <v>40077</v>
      </c>
      <c r="D2846" s="38">
        <v>40077</v>
      </c>
      <c r="E2846" s="38">
        <v>40057</v>
      </c>
      <c r="F2846" s="39">
        <v>172</v>
      </c>
      <c r="G2846" t="s">
        <v>21</v>
      </c>
      <c r="H2846" t="s">
        <v>21</v>
      </c>
      <c r="I2846">
        <v>0</v>
      </c>
      <c r="J2846">
        <v>0</v>
      </c>
      <c r="K2846">
        <v>0</v>
      </c>
      <c r="L2846">
        <v>1</v>
      </c>
      <c r="M2846">
        <v>0</v>
      </c>
      <c r="N2846" t="s">
        <v>193</v>
      </c>
      <c r="O2846" t="s">
        <v>213</v>
      </c>
      <c r="P2846" t="s">
        <v>204</v>
      </c>
      <c r="Q2846" t="s">
        <v>170</v>
      </c>
      <c r="R2846" t="s">
        <v>155</v>
      </c>
      <c r="S2846">
        <v>5</v>
      </c>
      <c r="T2846" t="s">
        <v>135</v>
      </c>
      <c r="U2846">
        <v>0</v>
      </c>
      <c r="V2846">
        <v>4</v>
      </c>
      <c r="W2846" t="s">
        <v>137</v>
      </c>
      <c r="X2846">
        <v>0</v>
      </c>
      <c r="Y2846" t="s">
        <v>140</v>
      </c>
      <c r="Z2846" t="s">
        <v>179</v>
      </c>
      <c r="AA2846" t="s">
        <v>143</v>
      </c>
      <c r="AB2846" t="s">
        <v>162</v>
      </c>
      <c r="AC2846" t="s">
        <v>550</v>
      </c>
      <c r="AD2846" t="s">
        <v>157</v>
      </c>
      <c r="AE2846" t="s">
        <v>434</v>
      </c>
      <c r="AF2846" t="s">
        <v>435</v>
      </c>
    </row>
    <row r="2847" spans="1:32">
      <c r="A2847" t="s">
        <v>3969</v>
      </c>
      <c r="B2847" s="37">
        <v>39987</v>
      </c>
      <c r="C2847" s="38">
        <v>39987</v>
      </c>
      <c r="D2847" s="38">
        <v>39986</v>
      </c>
      <c r="E2847" s="38">
        <v>39965</v>
      </c>
      <c r="F2847" s="39">
        <v>82</v>
      </c>
      <c r="G2847" t="s">
        <v>21</v>
      </c>
      <c r="H2847" t="s">
        <v>21</v>
      </c>
      <c r="I2847">
        <v>0</v>
      </c>
      <c r="J2847">
        <v>0</v>
      </c>
      <c r="K2847">
        <v>0</v>
      </c>
      <c r="L2847">
        <v>1</v>
      </c>
      <c r="M2847">
        <v>0</v>
      </c>
      <c r="N2847" t="s">
        <v>194</v>
      </c>
      <c r="O2847" t="s">
        <v>213</v>
      </c>
      <c r="P2847" t="s">
        <v>205</v>
      </c>
      <c r="Q2847" t="s">
        <v>170</v>
      </c>
      <c r="R2847" t="s">
        <v>155</v>
      </c>
      <c r="T2847" t="s">
        <v>134</v>
      </c>
      <c r="U2847">
        <v>1</v>
      </c>
      <c r="W2847" t="s">
        <v>134</v>
      </c>
      <c r="X2847">
        <v>1</v>
      </c>
      <c r="Y2847" t="s">
        <v>139</v>
      </c>
      <c r="Z2847" t="s">
        <v>509</v>
      </c>
      <c r="AA2847" t="s">
        <v>144</v>
      </c>
      <c r="AB2847" t="s">
        <v>162</v>
      </c>
      <c r="AC2847" t="s">
        <v>3970</v>
      </c>
      <c r="AD2847" t="s">
        <v>155</v>
      </c>
      <c r="AE2847" t="s">
        <v>956</v>
      </c>
      <c r="AF2847" t="s">
        <v>21</v>
      </c>
    </row>
    <row r="2848" spans="1:32">
      <c r="A2848" t="s">
        <v>3971</v>
      </c>
      <c r="B2848" s="37">
        <v>40013</v>
      </c>
      <c r="C2848" s="38">
        <v>40013</v>
      </c>
      <c r="D2848" s="38">
        <v>40007</v>
      </c>
      <c r="E2848" s="38">
        <v>39995</v>
      </c>
      <c r="F2848" s="39">
        <v>108</v>
      </c>
      <c r="G2848" t="s">
        <v>21</v>
      </c>
      <c r="H2848" t="s">
        <v>21</v>
      </c>
      <c r="I2848">
        <v>0</v>
      </c>
      <c r="J2848">
        <v>0</v>
      </c>
      <c r="K2848">
        <v>0</v>
      </c>
      <c r="L2848">
        <v>1</v>
      </c>
      <c r="M2848">
        <v>0</v>
      </c>
      <c r="N2848" t="s">
        <v>193</v>
      </c>
      <c r="O2848" t="s">
        <v>213</v>
      </c>
      <c r="P2848" t="s">
        <v>204</v>
      </c>
      <c r="Q2848" t="s">
        <v>170</v>
      </c>
      <c r="R2848" t="s">
        <v>155</v>
      </c>
      <c r="S2848">
        <v>5</v>
      </c>
      <c r="T2848" t="s">
        <v>135</v>
      </c>
      <c r="U2848">
        <v>0</v>
      </c>
      <c r="V2848">
        <v>3</v>
      </c>
      <c r="W2848" t="s">
        <v>137</v>
      </c>
      <c r="X2848">
        <v>0</v>
      </c>
      <c r="Y2848" t="s">
        <v>140</v>
      </c>
      <c r="Z2848" t="s">
        <v>509</v>
      </c>
      <c r="AA2848" t="s">
        <v>144</v>
      </c>
      <c r="AB2848" t="s">
        <v>163</v>
      </c>
      <c r="AC2848" t="s">
        <v>173</v>
      </c>
      <c r="AD2848" t="s">
        <v>155</v>
      </c>
      <c r="AE2848" t="s">
        <v>128</v>
      </c>
      <c r="AF2848" t="s">
        <v>21</v>
      </c>
    </row>
    <row r="2849" spans="1:32">
      <c r="A2849" t="s">
        <v>3972</v>
      </c>
      <c r="B2849" s="37">
        <v>39960</v>
      </c>
      <c r="C2849" s="38">
        <v>39960</v>
      </c>
      <c r="D2849" s="38">
        <v>39958</v>
      </c>
      <c r="E2849" s="38">
        <v>39934</v>
      </c>
      <c r="F2849" s="39">
        <v>55</v>
      </c>
      <c r="G2849" t="s">
        <v>21</v>
      </c>
      <c r="H2849" t="s">
        <v>21</v>
      </c>
      <c r="I2849">
        <v>0</v>
      </c>
      <c r="J2849">
        <v>0</v>
      </c>
      <c r="K2849">
        <v>0</v>
      </c>
      <c r="L2849">
        <v>1</v>
      </c>
      <c r="M2849">
        <v>0</v>
      </c>
      <c r="N2849" t="s">
        <v>193</v>
      </c>
      <c r="O2849" t="s">
        <v>213</v>
      </c>
      <c r="P2849" t="s">
        <v>204</v>
      </c>
      <c r="Q2849" t="s">
        <v>170</v>
      </c>
      <c r="R2849" t="s">
        <v>155</v>
      </c>
      <c r="T2849" t="s">
        <v>134</v>
      </c>
      <c r="U2849">
        <v>1</v>
      </c>
      <c r="W2849" t="s">
        <v>134</v>
      </c>
      <c r="X2849">
        <v>1</v>
      </c>
      <c r="Y2849" t="s">
        <v>140</v>
      </c>
      <c r="Z2849" t="s">
        <v>179</v>
      </c>
      <c r="AA2849" t="s">
        <v>143</v>
      </c>
      <c r="AB2849" t="s">
        <v>162</v>
      </c>
      <c r="AC2849" t="s">
        <v>567</v>
      </c>
      <c r="AD2849" t="s">
        <v>155</v>
      </c>
      <c r="AE2849" t="s">
        <v>130</v>
      </c>
      <c r="AF2849" t="s">
        <v>21</v>
      </c>
    </row>
    <row r="2850" spans="1:32">
      <c r="A2850" t="s">
        <v>3973</v>
      </c>
      <c r="B2850" s="37">
        <v>40019</v>
      </c>
      <c r="C2850" s="38">
        <v>40019</v>
      </c>
      <c r="D2850" s="38">
        <v>40014</v>
      </c>
      <c r="E2850" s="38">
        <v>39995</v>
      </c>
      <c r="F2850" s="39">
        <v>114</v>
      </c>
      <c r="G2850" t="s">
        <v>21</v>
      </c>
      <c r="H2850" t="s">
        <v>21</v>
      </c>
      <c r="I2850">
        <v>0</v>
      </c>
      <c r="J2850">
        <v>0</v>
      </c>
      <c r="K2850">
        <v>0</v>
      </c>
      <c r="L2850">
        <v>1</v>
      </c>
      <c r="M2850">
        <v>0</v>
      </c>
      <c r="N2850" t="s">
        <v>196</v>
      </c>
      <c r="O2850" t="s">
        <v>213</v>
      </c>
      <c r="P2850" t="s">
        <v>207</v>
      </c>
      <c r="Q2850" t="s">
        <v>170</v>
      </c>
      <c r="R2850" t="s">
        <v>155</v>
      </c>
      <c r="S2850">
        <v>5</v>
      </c>
      <c r="T2850" t="s">
        <v>135</v>
      </c>
      <c r="U2850">
        <v>0</v>
      </c>
      <c r="V2850">
        <v>5</v>
      </c>
      <c r="W2850" t="s">
        <v>135</v>
      </c>
      <c r="X2850">
        <v>0</v>
      </c>
      <c r="Y2850" t="s">
        <v>139</v>
      </c>
      <c r="Z2850" t="s">
        <v>179</v>
      </c>
      <c r="AA2850" t="s">
        <v>144</v>
      </c>
      <c r="AB2850" t="s">
        <v>163</v>
      </c>
      <c r="AC2850" t="s">
        <v>173</v>
      </c>
      <c r="AD2850" t="s">
        <v>155</v>
      </c>
      <c r="AE2850" t="s">
        <v>751</v>
      </c>
      <c r="AF2850" t="s">
        <v>21</v>
      </c>
    </row>
    <row r="2851" spans="1:32">
      <c r="A2851" t="s">
        <v>3974</v>
      </c>
      <c r="B2851" s="37">
        <v>39972</v>
      </c>
      <c r="C2851" s="38">
        <v>39972</v>
      </c>
      <c r="D2851" s="38">
        <v>39972</v>
      </c>
      <c r="E2851" s="38">
        <v>39965</v>
      </c>
      <c r="F2851" s="39">
        <v>67</v>
      </c>
      <c r="G2851" t="s">
        <v>21</v>
      </c>
      <c r="H2851" t="s">
        <v>21</v>
      </c>
      <c r="I2851">
        <v>0</v>
      </c>
      <c r="J2851">
        <v>0</v>
      </c>
      <c r="K2851">
        <v>0</v>
      </c>
      <c r="L2851">
        <v>1</v>
      </c>
      <c r="M2851">
        <v>0</v>
      </c>
      <c r="N2851" t="s">
        <v>195</v>
      </c>
      <c r="O2851" t="s">
        <v>213</v>
      </c>
      <c r="P2851" t="s">
        <v>206</v>
      </c>
      <c r="Q2851" t="s">
        <v>170</v>
      </c>
      <c r="R2851" t="s">
        <v>155</v>
      </c>
      <c r="T2851" t="s">
        <v>134</v>
      </c>
      <c r="U2851">
        <v>1</v>
      </c>
      <c r="W2851" t="s">
        <v>134</v>
      </c>
      <c r="X2851">
        <v>1</v>
      </c>
      <c r="Y2851" t="s">
        <v>139</v>
      </c>
      <c r="Z2851" t="s">
        <v>179</v>
      </c>
      <c r="AA2851" t="s">
        <v>143</v>
      </c>
      <c r="AB2851" t="s">
        <v>162</v>
      </c>
      <c r="AC2851" t="s">
        <v>174</v>
      </c>
      <c r="AD2851" t="s">
        <v>157</v>
      </c>
      <c r="AE2851" t="s">
        <v>434</v>
      </c>
      <c r="AF2851" t="s">
        <v>435</v>
      </c>
    </row>
    <row r="2852" spans="1:32">
      <c r="A2852" t="s">
        <v>3975</v>
      </c>
      <c r="B2852" s="37">
        <v>39995</v>
      </c>
      <c r="C2852" s="38">
        <v>39995</v>
      </c>
      <c r="D2852" s="38">
        <v>39993</v>
      </c>
      <c r="E2852" s="38">
        <v>39995</v>
      </c>
      <c r="F2852" s="39">
        <v>90</v>
      </c>
      <c r="G2852" t="s">
        <v>21</v>
      </c>
      <c r="H2852" t="s">
        <v>21</v>
      </c>
      <c r="I2852">
        <v>0</v>
      </c>
      <c r="J2852">
        <v>0</v>
      </c>
      <c r="K2852">
        <v>0</v>
      </c>
      <c r="L2852">
        <v>1</v>
      </c>
      <c r="M2852">
        <v>0</v>
      </c>
      <c r="N2852" t="s">
        <v>197</v>
      </c>
      <c r="O2852" t="s">
        <v>213</v>
      </c>
      <c r="P2852" t="s">
        <v>209</v>
      </c>
      <c r="Q2852" t="s">
        <v>170</v>
      </c>
      <c r="R2852" t="s">
        <v>155</v>
      </c>
      <c r="T2852" t="s">
        <v>134</v>
      </c>
      <c r="U2852">
        <v>1</v>
      </c>
      <c r="V2852">
        <v>5</v>
      </c>
      <c r="W2852" t="s">
        <v>135</v>
      </c>
      <c r="X2852">
        <v>0</v>
      </c>
      <c r="Y2852" t="s">
        <v>139</v>
      </c>
      <c r="Z2852" t="s">
        <v>179</v>
      </c>
      <c r="AA2852" t="s">
        <v>143</v>
      </c>
      <c r="AB2852" t="s">
        <v>163</v>
      </c>
      <c r="AC2852" t="s">
        <v>3976</v>
      </c>
      <c r="AD2852" t="s">
        <v>155</v>
      </c>
      <c r="AE2852" t="s">
        <v>3912</v>
      </c>
      <c r="AF2852" t="s">
        <v>21</v>
      </c>
    </row>
    <row r="2853" spans="1:32">
      <c r="A2853" t="s">
        <v>3977</v>
      </c>
      <c r="B2853" s="37">
        <v>40072</v>
      </c>
      <c r="C2853" s="38">
        <v>40072</v>
      </c>
      <c r="D2853" s="38">
        <v>40070</v>
      </c>
      <c r="E2853" s="38">
        <v>40057</v>
      </c>
      <c r="F2853" s="39">
        <v>167</v>
      </c>
      <c r="G2853" t="s">
        <v>380</v>
      </c>
      <c r="H2853" t="s">
        <v>17</v>
      </c>
      <c r="I2853">
        <v>0</v>
      </c>
      <c r="J2853">
        <v>0</v>
      </c>
      <c r="K2853">
        <v>1</v>
      </c>
      <c r="L2853">
        <v>0</v>
      </c>
      <c r="M2853">
        <v>0</v>
      </c>
      <c r="N2853" t="s">
        <v>193</v>
      </c>
      <c r="O2853" t="s">
        <v>213</v>
      </c>
      <c r="P2853" t="s">
        <v>204</v>
      </c>
      <c r="Q2853" t="s">
        <v>170</v>
      </c>
      <c r="R2853" t="s">
        <v>155</v>
      </c>
      <c r="S2853">
        <v>4</v>
      </c>
      <c r="T2853" t="s">
        <v>137</v>
      </c>
      <c r="U2853">
        <v>0</v>
      </c>
      <c r="V2853">
        <v>3</v>
      </c>
      <c r="W2853" t="s">
        <v>137</v>
      </c>
      <c r="X2853">
        <v>0</v>
      </c>
      <c r="Y2853" t="s">
        <v>140</v>
      </c>
      <c r="Z2853" t="s">
        <v>181</v>
      </c>
      <c r="AA2853" t="s">
        <v>144</v>
      </c>
      <c r="AB2853" t="s">
        <v>162</v>
      </c>
      <c r="AC2853" t="s">
        <v>597</v>
      </c>
      <c r="AD2853" t="s">
        <v>160</v>
      </c>
      <c r="AE2853" t="s">
        <v>392</v>
      </c>
      <c r="AF2853" t="s">
        <v>393</v>
      </c>
    </row>
    <row r="2854" spans="1:32">
      <c r="A2854" t="s">
        <v>3978</v>
      </c>
      <c r="B2854" s="37">
        <v>40063</v>
      </c>
      <c r="C2854" s="38">
        <v>40063</v>
      </c>
      <c r="D2854" s="38">
        <v>40063</v>
      </c>
      <c r="E2854" s="38">
        <v>40057</v>
      </c>
      <c r="F2854" s="39">
        <v>158</v>
      </c>
      <c r="G2854" t="s">
        <v>9</v>
      </c>
      <c r="H2854" t="s">
        <v>9</v>
      </c>
      <c r="I2854">
        <v>1</v>
      </c>
      <c r="J2854">
        <v>0</v>
      </c>
      <c r="K2854">
        <v>0</v>
      </c>
      <c r="L2854">
        <v>0</v>
      </c>
      <c r="M2854">
        <v>1</v>
      </c>
      <c r="N2854" t="s">
        <v>193</v>
      </c>
      <c r="O2854" t="s">
        <v>213</v>
      </c>
      <c r="P2854" t="s">
        <v>204</v>
      </c>
      <c r="Q2854" t="s">
        <v>170</v>
      </c>
      <c r="R2854" t="s">
        <v>155</v>
      </c>
      <c r="S2854">
        <v>5</v>
      </c>
      <c r="T2854" t="s">
        <v>135</v>
      </c>
      <c r="U2854">
        <v>0</v>
      </c>
      <c r="V2854">
        <v>3</v>
      </c>
      <c r="W2854" t="s">
        <v>137</v>
      </c>
      <c r="X2854">
        <v>0</v>
      </c>
      <c r="Y2854" t="s">
        <v>140</v>
      </c>
      <c r="Z2854" t="s">
        <v>181</v>
      </c>
      <c r="AA2854" t="s">
        <v>146</v>
      </c>
      <c r="AB2854" t="s">
        <v>162</v>
      </c>
      <c r="AC2854" t="s">
        <v>174</v>
      </c>
      <c r="AD2854" t="s">
        <v>156</v>
      </c>
      <c r="AE2854" t="s">
        <v>120</v>
      </c>
      <c r="AF2854" t="s">
        <v>3574</v>
      </c>
    </row>
    <row r="2855" spans="1:32">
      <c r="A2855" t="s">
        <v>3979</v>
      </c>
      <c r="B2855" s="37">
        <v>40041</v>
      </c>
      <c r="C2855" s="38">
        <v>40041</v>
      </c>
      <c r="D2855" s="38">
        <v>40035</v>
      </c>
      <c r="E2855" s="38">
        <v>40026</v>
      </c>
      <c r="F2855" s="39">
        <v>136</v>
      </c>
      <c r="G2855" t="s">
        <v>9</v>
      </c>
      <c r="H2855" t="s">
        <v>9</v>
      </c>
      <c r="I2855">
        <v>1</v>
      </c>
      <c r="J2855">
        <v>0</v>
      </c>
      <c r="K2855">
        <v>0</v>
      </c>
      <c r="L2855">
        <v>0</v>
      </c>
      <c r="M2855">
        <v>1</v>
      </c>
      <c r="N2855" t="s">
        <v>193</v>
      </c>
      <c r="O2855" t="s">
        <v>213</v>
      </c>
      <c r="P2855" t="s">
        <v>204</v>
      </c>
      <c r="Q2855" t="s">
        <v>170</v>
      </c>
      <c r="R2855" t="s">
        <v>155</v>
      </c>
      <c r="S2855">
        <v>5</v>
      </c>
      <c r="T2855" t="s">
        <v>135</v>
      </c>
      <c r="U2855">
        <v>0</v>
      </c>
      <c r="V2855">
        <v>5</v>
      </c>
      <c r="W2855" t="s">
        <v>135</v>
      </c>
      <c r="X2855">
        <v>0</v>
      </c>
      <c r="Y2855" t="s">
        <v>140</v>
      </c>
      <c r="Z2855" t="s">
        <v>182</v>
      </c>
      <c r="AA2855" t="s">
        <v>142</v>
      </c>
      <c r="AB2855" t="s">
        <v>162</v>
      </c>
      <c r="AC2855" t="s">
        <v>459</v>
      </c>
      <c r="AD2855" t="s">
        <v>155</v>
      </c>
      <c r="AE2855" t="s">
        <v>129</v>
      </c>
      <c r="AF2855" t="s">
        <v>21</v>
      </c>
    </row>
    <row r="2856" spans="1:32">
      <c r="A2856" t="s">
        <v>3980</v>
      </c>
      <c r="B2856" s="37">
        <v>39961</v>
      </c>
      <c r="C2856" s="38">
        <v>39961</v>
      </c>
      <c r="D2856" s="38">
        <v>39958</v>
      </c>
      <c r="E2856" s="38">
        <v>39934</v>
      </c>
      <c r="F2856" s="39">
        <v>56</v>
      </c>
      <c r="G2856" t="s">
        <v>21</v>
      </c>
      <c r="H2856" t="s">
        <v>21</v>
      </c>
      <c r="I2856">
        <v>0</v>
      </c>
      <c r="J2856">
        <v>0</v>
      </c>
      <c r="K2856">
        <v>0</v>
      </c>
      <c r="L2856">
        <v>1</v>
      </c>
      <c r="M2856">
        <v>0</v>
      </c>
      <c r="N2856" t="s">
        <v>195</v>
      </c>
      <c r="O2856" t="s">
        <v>213</v>
      </c>
      <c r="P2856" t="s">
        <v>206</v>
      </c>
      <c r="Q2856" t="s">
        <v>170</v>
      </c>
      <c r="R2856" t="s">
        <v>155</v>
      </c>
      <c r="T2856" t="s">
        <v>134</v>
      </c>
      <c r="U2856">
        <v>1</v>
      </c>
      <c r="W2856" t="s">
        <v>134</v>
      </c>
      <c r="X2856">
        <v>1</v>
      </c>
      <c r="Y2856" t="s">
        <v>139</v>
      </c>
      <c r="Z2856" t="s">
        <v>182</v>
      </c>
      <c r="AA2856" t="s">
        <v>144</v>
      </c>
      <c r="AB2856" t="s">
        <v>162</v>
      </c>
      <c r="AC2856" t="s">
        <v>578</v>
      </c>
      <c r="AD2856" t="s">
        <v>157</v>
      </c>
      <c r="AE2856" t="s">
        <v>130</v>
      </c>
      <c r="AF2856" t="s">
        <v>437</v>
      </c>
    </row>
    <row r="2857" spans="1:32">
      <c r="A2857" t="s">
        <v>3981</v>
      </c>
      <c r="B2857" s="37">
        <v>40009</v>
      </c>
      <c r="C2857" s="38">
        <v>40009</v>
      </c>
      <c r="D2857" s="38">
        <v>40007</v>
      </c>
      <c r="E2857" s="38">
        <v>39995</v>
      </c>
      <c r="F2857" s="39">
        <v>104</v>
      </c>
      <c r="G2857" t="s">
        <v>21</v>
      </c>
      <c r="H2857" t="s">
        <v>21</v>
      </c>
      <c r="I2857">
        <v>0</v>
      </c>
      <c r="J2857">
        <v>0</v>
      </c>
      <c r="K2857">
        <v>0</v>
      </c>
      <c r="L2857">
        <v>1</v>
      </c>
      <c r="M2857">
        <v>0</v>
      </c>
      <c r="N2857" t="s">
        <v>193</v>
      </c>
      <c r="O2857" t="s">
        <v>213</v>
      </c>
      <c r="P2857" t="s">
        <v>204</v>
      </c>
      <c r="Q2857" t="s">
        <v>170</v>
      </c>
      <c r="R2857" t="s">
        <v>155</v>
      </c>
      <c r="S2857">
        <v>5</v>
      </c>
      <c r="T2857" t="s">
        <v>135</v>
      </c>
      <c r="U2857">
        <v>0</v>
      </c>
      <c r="V2857">
        <v>3</v>
      </c>
      <c r="W2857" t="s">
        <v>137</v>
      </c>
      <c r="X2857">
        <v>0</v>
      </c>
      <c r="Y2857" t="s">
        <v>140</v>
      </c>
      <c r="Z2857" t="s">
        <v>178</v>
      </c>
      <c r="AA2857" t="s">
        <v>146</v>
      </c>
      <c r="AB2857" t="s">
        <v>162</v>
      </c>
      <c r="AC2857" t="s">
        <v>175</v>
      </c>
      <c r="AD2857" t="s">
        <v>155</v>
      </c>
      <c r="AE2857" t="s">
        <v>129</v>
      </c>
      <c r="AF2857" t="s">
        <v>21</v>
      </c>
    </row>
    <row r="2858" spans="1:32">
      <c r="A2858" t="s">
        <v>3982</v>
      </c>
      <c r="B2858" s="37">
        <v>39977</v>
      </c>
      <c r="C2858" s="38">
        <v>39977</v>
      </c>
      <c r="D2858" s="38">
        <v>39972</v>
      </c>
      <c r="E2858" s="38">
        <v>39965</v>
      </c>
      <c r="F2858" s="39">
        <v>72</v>
      </c>
      <c r="G2858" t="s">
        <v>9</v>
      </c>
      <c r="H2858" t="s">
        <v>9</v>
      </c>
      <c r="I2858">
        <v>1</v>
      </c>
      <c r="J2858">
        <v>0</v>
      </c>
      <c r="K2858">
        <v>0</v>
      </c>
      <c r="L2858">
        <v>0</v>
      </c>
      <c r="M2858">
        <v>1</v>
      </c>
      <c r="N2858" t="s">
        <v>193</v>
      </c>
      <c r="O2858" t="s">
        <v>213</v>
      </c>
      <c r="P2858" t="s">
        <v>204</v>
      </c>
      <c r="Q2858" t="s">
        <v>170</v>
      </c>
      <c r="R2858" t="s">
        <v>155</v>
      </c>
      <c r="T2858" t="s">
        <v>134</v>
      </c>
      <c r="U2858">
        <v>1</v>
      </c>
      <c r="W2858" t="s">
        <v>134</v>
      </c>
      <c r="X2858">
        <v>1</v>
      </c>
      <c r="Y2858" t="s">
        <v>140</v>
      </c>
      <c r="Z2858" t="s">
        <v>181</v>
      </c>
      <c r="AA2858" t="s">
        <v>143</v>
      </c>
      <c r="AB2858" t="s">
        <v>162</v>
      </c>
      <c r="AC2858" t="s">
        <v>174</v>
      </c>
      <c r="AD2858" t="s">
        <v>159</v>
      </c>
      <c r="AE2858" t="s">
        <v>123</v>
      </c>
      <c r="AF2858" t="s">
        <v>123</v>
      </c>
    </row>
    <row r="2859" spans="1:32">
      <c r="A2859" t="s">
        <v>3983</v>
      </c>
      <c r="B2859" s="37">
        <v>40037</v>
      </c>
      <c r="C2859" s="38">
        <v>40037</v>
      </c>
      <c r="D2859" s="38">
        <v>40035</v>
      </c>
      <c r="E2859" s="38">
        <v>40026</v>
      </c>
      <c r="F2859" s="39">
        <v>132</v>
      </c>
      <c r="G2859" t="s">
        <v>383</v>
      </c>
      <c r="H2859" t="s">
        <v>17</v>
      </c>
      <c r="I2859">
        <v>0</v>
      </c>
      <c r="J2859">
        <v>0</v>
      </c>
      <c r="K2859">
        <v>1</v>
      </c>
      <c r="L2859">
        <v>0</v>
      </c>
      <c r="M2859">
        <v>0</v>
      </c>
      <c r="N2859" t="s">
        <v>193</v>
      </c>
      <c r="O2859" t="s">
        <v>213</v>
      </c>
      <c r="P2859" t="s">
        <v>204</v>
      </c>
      <c r="Q2859" t="s">
        <v>170</v>
      </c>
      <c r="R2859" t="s">
        <v>155</v>
      </c>
      <c r="S2859">
        <v>5</v>
      </c>
      <c r="T2859" t="s">
        <v>135</v>
      </c>
      <c r="U2859">
        <v>0</v>
      </c>
      <c r="V2859">
        <v>3</v>
      </c>
      <c r="W2859" t="s">
        <v>137</v>
      </c>
      <c r="X2859">
        <v>0</v>
      </c>
      <c r="Y2859" t="s">
        <v>140</v>
      </c>
      <c r="Z2859" t="s">
        <v>178</v>
      </c>
      <c r="AA2859" t="s">
        <v>142</v>
      </c>
      <c r="AB2859" t="s">
        <v>163</v>
      </c>
      <c r="AC2859" t="s">
        <v>902</v>
      </c>
      <c r="AD2859" t="s">
        <v>155</v>
      </c>
      <c r="AE2859" t="s">
        <v>510</v>
      </c>
      <c r="AF2859" t="s">
        <v>21</v>
      </c>
    </row>
    <row r="2860" spans="1:32">
      <c r="A2860" t="s">
        <v>3984</v>
      </c>
      <c r="B2860" s="37">
        <v>40013</v>
      </c>
      <c r="C2860" s="38">
        <v>40013</v>
      </c>
      <c r="D2860" s="38">
        <v>40007</v>
      </c>
      <c r="E2860" s="38">
        <v>39995</v>
      </c>
      <c r="F2860" s="39">
        <v>108</v>
      </c>
      <c r="G2860" t="s">
        <v>21</v>
      </c>
      <c r="H2860" t="s">
        <v>21</v>
      </c>
      <c r="I2860">
        <v>0</v>
      </c>
      <c r="J2860">
        <v>0</v>
      </c>
      <c r="K2860">
        <v>0</v>
      </c>
      <c r="L2860">
        <v>1</v>
      </c>
      <c r="M2860">
        <v>0</v>
      </c>
      <c r="N2860" t="s">
        <v>193</v>
      </c>
      <c r="O2860" t="s">
        <v>213</v>
      </c>
      <c r="P2860" t="s">
        <v>204</v>
      </c>
      <c r="Q2860" t="s">
        <v>170</v>
      </c>
      <c r="R2860" t="s">
        <v>155</v>
      </c>
      <c r="S2860">
        <v>2</v>
      </c>
      <c r="T2860" t="s">
        <v>136</v>
      </c>
      <c r="U2860">
        <v>0</v>
      </c>
      <c r="V2860">
        <v>3</v>
      </c>
      <c r="W2860" t="s">
        <v>137</v>
      </c>
      <c r="X2860">
        <v>0</v>
      </c>
      <c r="Y2860" t="s">
        <v>140</v>
      </c>
      <c r="Z2860" t="s">
        <v>178</v>
      </c>
      <c r="AA2860" t="s">
        <v>145</v>
      </c>
      <c r="AB2860" t="s">
        <v>162</v>
      </c>
      <c r="AC2860" t="s">
        <v>1823</v>
      </c>
      <c r="AD2860" t="s">
        <v>160</v>
      </c>
      <c r="AE2860" t="s">
        <v>126</v>
      </c>
      <c r="AF2860" t="s">
        <v>3985</v>
      </c>
    </row>
    <row r="2861" spans="1:32">
      <c r="A2861" t="s">
        <v>3986</v>
      </c>
      <c r="B2861" s="37">
        <v>40037</v>
      </c>
      <c r="C2861" s="38">
        <v>40037</v>
      </c>
      <c r="D2861" s="38">
        <v>40035</v>
      </c>
      <c r="E2861" s="38">
        <v>40026</v>
      </c>
      <c r="F2861" s="39">
        <v>132</v>
      </c>
      <c r="G2861" t="s">
        <v>21</v>
      </c>
      <c r="H2861" t="s">
        <v>21</v>
      </c>
      <c r="I2861">
        <v>0</v>
      </c>
      <c r="J2861">
        <v>0</v>
      </c>
      <c r="K2861">
        <v>0</v>
      </c>
      <c r="L2861">
        <v>1</v>
      </c>
      <c r="M2861">
        <v>0</v>
      </c>
      <c r="N2861" t="s">
        <v>193</v>
      </c>
      <c r="O2861" t="s">
        <v>213</v>
      </c>
      <c r="P2861" t="s">
        <v>204</v>
      </c>
      <c r="Q2861" t="s">
        <v>170</v>
      </c>
      <c r="R2861" t="s">
        <v>155</v>
      </c>
      <c r="S2861">
        <v>5</v>
      </c>
      <c r="T2861" t="s">
        <v>135</v>
      </c>
      <c r="U2861">
        <v>0</v>
      </c>
      <c r="V2861">
        <v>4</v>
      </c>
      <c r="W2861" t="s">
        <v>137</v>
      </c>
      <c r="X2861">
        <v>0</v>
      </c>
      <c r="Y2861" t="s">
        <v>140</v>
      </c>
      <c r="Z2861" t="s">
        <v>178</v>
      </c>
      <c r="AA2861" t="s">
        <v>143</v>
      </c>
      <c r="AB2861" t="s">
        <v>162</v>
      </c>
      <c r="AC2861" t="s">
        <v>175</v>
      </c>
      <c r="AD2861" t="s">
        <v>155</v>
      </c>
      <c r="AE2861" t="s">
        <v>129</v>
      </c>
      <c r="AF2861" t="s">
        <v>21</v>
      </c>
    </row>
    <row r="2862" spans="1:32">
      <c r="A2862" t="s">
        <v>3987</v>
      </c>
      <c r="B2862" s="37">
        <v>39959</v>
      </c>
      <c r="C2862" s="38">
        <v>39959</v>
      </c>
      <c r="D2862" s="38">
        <v>39958</v>
      </c>
      <c r="E2862" s="38">
        <v>39934</v>
      </c>
      <c r="F2862" s="39">
        <v>54</v>
      </c>
      <c r="G2862" t="s">
        <v>21</v>
      </c>
      <c r="H2862" t="s">
        <v>21</v>
      </c>
      <c r="I2862">
        <v>0</v>
      </c>
      <c r="J2862">
        <v>0</v>
      </c>
      <c r="K2862">
        <v>0</v>
      </c>
      <c r="L2862">
        <v>1</v>
      </c>
      <c r="M2862">
        <v>0</v>
      </c>
      <c r="N2862" t="s">
        <v>195</v>
      </c>
      <c r="O2862" t="s">
        <v>213</v>
      </c>
      <c r="P2862" t="s">
        <v>206</v>
      </c>
      <c r="Q2862" t="s">
        <v>170</v>
      </c>
      <c r="R2862" t="s">
        <v>155</v>
      </c>
      <c r="T2862" t="s">
        <v>134</v>
      </c>
      <c r="U2862">
        <v>1</v>
      </c>
      <c r="W2862" t="s">
        <v>134</v>
      </c>
      <c r="X2862">
        <v>1</v>
      </c>
      <c r="Y2862" t="s">
        <v>139</v>
      </c>
      <c r="Z2862" t="s">
        <v>178</v>
      </c>
      <c r="AA2862" t="s">
        <v>143</v>
      </c>
      <c r="AB2862" t="s">
        <v>163</v>
      </c>
      <c r="AC2862" t="s">
        <v>21</v>
      </c>
      <c r="AD2862" t="s">
        <v>155</v>
      </c>
      <c r="AE2862" t="s">
        <v>454</v>
      </c>
      <c r="AF2862" t="s">
        <v>21</v>
      </c>
    </row>
    <row r="2863" spans="1:32">
      <c r="A2863" t="s">
        <v>3988</v>
      </c>
      <c r="B2863" s="37">
        <v>39924</v>
      </c>
      <c r="C2863" s="38">
        <v>39924</v>
      </c>
      <c r="D2863" s="38">
        <v>39923</v>
      </c>
      <c r="E2863" s="38">
        <v>39904</v>
      </c>
      <c r="F2863" s="39">
        <v>19</v>
      </c>
      <c r="G2863" t="s">
        <v>21</v>
      </c>
      <c r="H2863" t="s">
        <v>21</v>
      </c>
      <c r="I2863">
        <v>0</v>
      </c>
      <c r="J2863">
        <v>0</v>
      </c>
      <c r="K2863">
        <v>0</v>
      </c>
      <c r="L2863">
        <v>1</v>
      </c>
      <c r="M2863">
        <v>0</v>
      </c>
      <c r="N2863" t="s">
        <v>194</v>
      </c>
      <c r="O2863" t="s">
        <v>213</v>
      </c>
      <c r="P2863" t="s">
        <v>205</v>
      </c>
      <c r="Q2863" t="s">
        <v>170</v>
      </c>
      <c r="R2863" t="s">
        <v>155</v>
      </c>
      <c r="T2863" t="s">
        <v>134</v>
      </c>
      <c r="U2863">
        <v>1</v>
      </c>
      <c r="W2863" t="s">
        <v>134</v>
      </c>
      <c r="X2863">
        <v>1</v>
      </c>
      <c r="Y2863" t="s">
        <v>139</v>
      </c>
      <c r="Z2863" t="s">
        <v>178</v>
      </c>
      <c r="AA2863" t="s">
        <v>150</v>
      </c>
      <c r="AB2863" t="s">
        <v>163</v>
      </c>
      <c r="AC2863" t="s">
        <v>173</v>
      </c>
      <c r="AD2863" t="s">
        <v>161</v>
      </c>
      <c r="AE2863" t="s">
        <v>939</v>
      </c>
      <c r="AF2863" t="s">
        <v>21</v>
      </c>
    </row>
    <row r="2864" spans="1:32">
      <c r="A2864" t="s">
        <v>3989</v>
      </c>
      <c r="B2864" s="37">
        <v>39933</v>
      </c>
      <c r="C2864" s="38">
        <v>39933</v>
      </c>
      <c r="D2864" s="38">
        <v>39930</v>
      </c>
      <c r="E2864" s="38">
        <v>39904</v>
      </c>
      <c r="F2864" s="39">
        <v>28</v>
      </c>
      <c r="G2864" t="s">
        <v>9</v>
      </c>
      <c r="H2864" t="s">
        <v>9</v>
      </c>
      <c r="I2864">
        <v>1</v>
      </c>
      <c r="J2864">
        <v>0</v>
      </c>
      <c r="K2864">
        <v>0</v>
      </c>
      <c r="L2864">
        <v>0</v>
      </c>
      <c r="M2864">
        <v>1</v>
      </c>
      <c r="N2864" t="s">
        <v>200</v>
      </c>
      <c r="O2864" t="s">
        <v>214</v>
      </c>
      <c r="P2864" t="s">
        <v>208</v>
      </c>
      <c r="Q2864" t="s">
        <v>170</v>
      </c>
      <c r="R2864" t="s">
        <v>155</v>
      </c>
      <c r="T2864" t="s">
        <v>134</v>
      </c>
      <c r="U2864">
        <v>1</v>
      </c>
      <c r="W2864" t="s">
        <v>134</v>
      </c>
      <c r="X2864">
        <v>1</v>
      </c>
      <c r="Y2864" t="s">
        <v>139</v>
      </c>
      <c r="Z2864" t="s">
        <v>178</v>
      </c>
      <c r="AA2864" t="s">
        <v>151</v>
      </c>
      <c r="AB2864" t="s">
        <v>162</v>
      </c>
      <c r="AC2864" t="s">
        <v>174</v>
      </c>
      <c r="AD2864" t="s">
        <v>156</v>
      </c>
      <c r="AE2864" t="s">
        <v>120</v>
      </c>
      <c r="AF2864" t="s">
        <v>3990</v>
      </c>
    </row>
    <row r="2865" spans="1:32">
      <c r="A2865" t="s">
        <v>3991</v>
      </c>
      <c r="B2865" s="37">
        <v>39964</v>
      </c>
      <c r="C2865" s="38">
        <v>39964</v>
      </c>
      <c r="D2865" s="38">
        <v>39958</v>
      </c>
      <c r="E2865" s="38">
        <v>39934</v>
      </c>
      <c r="F2865" s="39">
        <v>59</v>
      </c>
      <c r="G2865" t="s">
        <v>21</v>
      </c>
      <c r="H2865" t="s">
        <v>21</v>
      </c>
      <c r="I2865">
        <v>0</v>
      </c>
      <c r="J2865">
        <v>0</v>
      </c>
      <c r="K2865">
        <v>0</v>
      </c>
      <c r="L2865">
        <v>1</v>
      </c>
      <c r="M2865">
        <v>0</v>
      </c>
      <c r="N2865" t="s">
        <v>194</v>
      </c>
      <c r="O2865" t="s">
        <v>213</v>
      </c>
      <c r="P2865" t="s">
        <v>205</v>
      </c>
      <c r="Q2865" t="s">
        <v>170</v>
      </c>
      <c r="R2865" t="s">
        <v>155</v>
      </c>
      <c r="T2865" t="s">
        <v>134</v>
      </c>
      <c r="U2865">
        <v>1</v>
      </c>
      <c r="W2865" t="s">
        <v>134</v>
      </c>
      <c r="X2865">
        <v>1</v>
      </c>
      <c r="Y2865" t="s">
        <v>139</v>
      </c>
      <c r="Z2865" t="s">
        <v>181</v>
      </c>
      <c r="AA2865" t="s">
        <v>145</v>
      </c>
      <c r="AB2865" t="s">
        <v>162</v>
      </c>
      <c r="AC2865" t="s">
        <v>174</v>
      </c>
      <c r="AD2865" t="s">
        <v>157</v>
      </c>
      <c r="AE2865" t="s">
        <v>434</v>
      </c>
      <c r="AF2865" t="s">
        <v>435</v>
      </c>
    </row>
    <row r="2866" spans="1:32">
      <c r="A2866" t="s">
        <v>3992</v>
      </c>
      <c r="B2866" s="37">
        <v>39939</v>
      </c>
      <c r="C2866" s="38">
        <v>39939</v>
      </c>
      <c r="D2866" s="38">
        <v>39937</v>
      </c>
      <c r="E2866" s="38">
        <v>39934</v>
      </c>
      <c r="F2866" s="39">
        <v>34</v>
      </c>
      <c r="G2866" t="s">
        <v>21</v>
      </c>
      <c r="H2866" t="s">
        <v>21</v>
      </c>
      <c r="I2866">
        <v>0</v>
      </c>
      <c r="J2866">
        <v>0</v>
      </c>
      <c r="K2866">
        <v>0</v>
      </c>
      <c r="L2866">
        <v>1</v>
      </c>
      <c r="M2866">
        <v>0</v>
      </c>
      <c r="N2866" t="s">
        <v>193</v>
      </c>
      <c r="O2866" t="s">
        <v>213</v>
      </c>
      <c r="P2866" t="s">
        <v>204</v>
      </c>
      <c r="Q2866" t="s">
        <v>170</v>
      </c>
      <c r="R2866" t="s">
        <v>155</v>
      </c>
      <c r="T2866" t="s">
        <v>134</v>
      </c>
      <c r="U2866">
        <v>1</v>
      </c>
      <c r="W2866" t="s">
        <v>134</v>
      </c>
      <c r="X2866">
        <v>1</v>
      </c>
      <c r="Y2866" t="s">
        <v>140</v>
      </c>
      <c r="Z2866" t="s">
        <v>181</v>
      </c>
      <c r="AA2866" t="s">
        <v>147</v>
      </c>
      <c r="AB2866" t="s">
        <v>162</v>
      </c>
      <c r="AC2866" t="s">
        <v>654</v>
      </c>
      <c r="AD2866" t="s">
        <v>160</v>
      </c>
      <c r="AE2866" t="s">
        <v>128</v>
      </c>
      <c r="AF2866" t="s">
        <v>3993</v>
      </c>
    </row>
    <row r="2867" spans="1:32">
      <c r="A2867" t="s">
        <v>3994</v>
      </c>
      <c r="B2867" s="37">
        <v>39924</v>
      </c>
      <c r="C2867" s="38">
        <v>39924</v>
      </c>
      <c r="D2867" s="38">
        <v>39923</v>
      </c>
      <c r="E2867" s="38">
        <v>39904</v>
      </c>
      <c r="F2867" s="39">
        <v>19</v>
      </c>
      <c r="G2867" t="s">
        <v>21</v>
      </c>
      <c r="H2867" t="s">
        <v>21</v>
      </c>
      <c r="I2867">
        <v>0</v>
      </c>
      <c r="J2867">
        <v>0</v>
      </c>
      <c r="K2867">
        <v>0</v>
      </c>
      <c r="L2867">
        <v>1</v>
      </c>
      <c r="M2867">
        <v>0</v>
      </c>
      <c r="N2867" t="s">
        <v>193</v>
      </c>
      <c r="O2867" t="s">
        <v>213</v>
      </c>
      <c r="P2867" t="s">
        <v>204</v>
      </c>
      <c r="Q2867" t="s">
        <v>170</v>
      </c>
      <c r="R2867" t="s">
        <v>155</v>
      </c>
      <c r="T2867" t="s">
        <v>134</v>
      </c>
      <c r="U2867">
        <v>1</v>
      </c>
      <c r="W2867" t="s">
        <v>134</v>
      </c>
      <c r="X2867">
        <v>1</v>
      </c>
      <c r="Y2867" t="s">
        <v>140</v>
      </c>
      <c r="Z2867" t="s">
        <v>182</v>
      </c>
      <c r="AA2867" t="s">
        <v>142</v>
      </c>
      <c r="AB2867" t="s">
        <v>163</v>
      </c>
      <c r="AC2867" t="s">
        <v>173</v>
      </c>
      <c r="AD2867" t="s">
        <v>155</v>
      </c>
      <c r="AE2867" t="s">
        <v>124</v>
      </c>
      <c r="AF2867" t="s">
        <v>21</v>
      </c>
    </row>
    <row r="2868" spans="1:32">
      <c r="A2868" t="s">
        <v>3995</v>
      </c>
      <c r="B2868" s="37">
        <v>39922</v>
      </c>
      <c r="C2868" s="38">
        <v>39922</v>
      </c>
      <c r="D2868" s="38">
        <v>39916</v>
      </c>
      <c r="E2868" s="38">
        <v>39904</v>
      </c>
      <c r="F2868" s="39">
        <v>17</v>
      </c>
      <c r="G2868" t="s">
        <v>21</v>
      </c>
      <c r="H2868" t="s">
        <v>21</v>
      </c>
      <c r="I2868">
        <v>0</v>
      </c>
      <c r="J2868">
        <v>0</v>
      </c>
      <c r="K2868">
        <v>0</v>
      </c>
      <c r="L2868">
        <v>1</v>
      </c>
      <c r="M2868">
        <v>0</v>
      </c>
      <c r="N2868" t="s">
        <v>193</v>
      </c>
      <c r="O2868" t="s">
        <v>213</v>
      </c>
      <c r="P2868" t="s">
        <v>204</v>
      </c>
      <c r="Q2868" t="s">
        <v>170</v>
      </c>
      <c r="R2868" t="s">
        <v>155</v>
      </c>
      <c r="T2868" t="s">
        <v>134</v>
      </c>
      <c r="U2868">
        <v>1</v>
      </c>
      <c r="W2868" t="s">
        <v>134</v>
      </c>
      <c r="X2868">
        <v>1</v>
      </c>
      <c r="Y2868" t="s">
        <v>140</v>
      </c>
      <c r="Z2868" t="s">
        <v>182</v>
      </c>
      <c r="AA2868" t="s">
        <v>149</v>
      </c>
      <c r="AB2868" t="s">
        <v>163</v>
      </c>
      <c r="AC2868" t="s">
        <v>173</v>
      </c>
      <c r="AD2868" t="s">
        <v>161</v>
      </c>
      <c r="AE2868" t="s">
        <v>939</v>
      </c>
      <c r="AF2868" t="s">
        <v>21</v>
      </c>
    </row>
    <row r="2869" spans="1:32">
      <c r="A2869" t="s">
        <v>3996</v>
      </c>
      <c r="B2869" s="37">
        <v>39955</v>
      </c>
      <c r="C2869" s="38">
        <v>39955</v>
      </c>
      <c r="D2869" s="38">
        <v>39951</v>
      </c>
      <c r="E2869" s="38">
        <v>39934</v>
      </c>
      <c r="F2869" s="39">
        <v>50</v>
      </c>
      <c r="G2869" t="s">
        <v>21</v>
      </c>
      <c r="H2869" t="s">
        <v>21</v>
      </c>
      <c r="I2869">
        <v>0</v>
      </c>
      <c r="J2869">
        <v>0</v>
      </c>
      <c r="K2869">
        <v>0</v>
      </c>
      <c r="L2869">
        <v>1</v>
      </c>
      <c r="M2869">
        <v>0</v>
      </c>
      <c r="N2869" t="s">
        <v>195</v>
      </c>
      <c r="O2869" t="s">
        <v>213</v>
      </c>
      <c r="P2869" t="s">
        <v>206</v>
      </c>
      <c r="Q2869" t="s">
        <v>170</v>
      </c>
      <c r="R2869" t="s">
        <v>155</v>
      </c>
      <c r="T2869" t="s">
        <v>134</v>
      </c>
      <c r="U2869">
        <v>1</v>
      </c>
      <c r="W2869" t="s">
        <v>134</v>
      </c>
      <c r="X2869">
        <v>1</v>
      </c>
      <c r="Y2869" t="s">
        <v>139</v>
      </c>
      <c r="Z2869" t="s">
        <v>182</v>
      </c>
      <c r="AA2869" t="s">
        <v>142</v>
      </c>
      <c r="AB2869" t="s">
        <v>163</v>
      </c>
      <c r="AC2869" t="s">
        <v>3997</v>
      </c>
      <c r="AD2869" t="s">
        <v>155</v>
      </c>
      <c r="AE2869" t="s">
        <v>125</v>
      </c>
      <c r="AF2869" t="s">
        <v>21</v>
      </c>
    </row>
    <row r="2870" spans="1:32">
      <c r="A2870" t="s">
        <v>3998</v>
      </c>
      <c r="B2870" s="37">
        <v>39978</v>
      </c>
      <c r="C2870" s="38">
        <v>39978</v>
      </c>
      <c r="D2870" s="38">
        <v>39972</v>
      </c>
      <c r="E2870" s="38">
        <v>39965</v>
      </c>
      <c r="F2870" s="39">
        <v>73</v>
      </c>
      <c r="G2870" t="s">
        <v>21</v>
      </c>
      <c r="H2870" t="s">
        <v>21</v>
      </c>
      <c r="I2870">
        <v>0</v>
      </c>
      <c r="J2870">
        <v>0</v>
      </c>
      <c r="K2870">
        <v>0</v>
      </c>
      <c r="L2870">
        <v>1</v>
      </c>
      <c r="M2870">
        <v>0</v>
      </c>
      <c r="N2870" t="s">
        <v>193</v>
      </c>
      <c r="O2870" t="s">
        <v>213</v>
      </c>
      <c r="P2870" t="s">
        <v>204</v>
      </c>
      <c r="Q2870" t="s">
        <v>170</v>
      </c>
      <c r="R2870" t="s">
        <v>155</v>
      </c>
      <c r="T2870" t="s">
        <v>134</v>
      </c>
      <c r="U2870">
        <v>1</v>
      </c>
      <c r="W2870" t="s">
        <v>134</v>
      </c>
      <c r="X2870">
        <v>1</v>
      </c>
      <c r="Y2870" t="s">
        <v>140</v>
      </c>
      <c r="Z2870" t="s">
        <v>182</v>
      </c>
      <c r="AA2870" t="s">
        <v>145</v>
      </c>
      <c r="AB2870" t="s">
        <v>162</v>
      </c>
      <c r="AC2870" t="s">
        <v>21</v>
      </c>
      <c r="AD2870" t="s">
        <v>155</v>
      </c>
      <c r="AE2870" t="s">
        <v>130</v>
      </c>
      <c r="AF2870" t="s">
        <v>21</v>
      </c>
    </row>
    <row r="2871" spans="1:32">
      <c r="A2871" t="s">
        <v>3999</v>
      </c>
      <c r="B2871" s="37">
        <v>39917</v>
      </c>
      <c r="C2871" s="38">
        <v>39917</v>
      </c>
      <c r="D2871" s="38">
        <v>39916</v>
      </c>
      <c r="E2871" s="38">
        <v>39904</v>
      </c>
      <c r="F2871" s="39">
        <v>12</v>
      </c>
      <c r="G2871" t="s">
        <v>21</v>
      </c>
      <c r="H2871" t="s">
        <v>21</v>
      </c>
      <c r="I2871">
        <v>0</v>
      </c>
      <c r="J2871">
        <v>0</v>
      </c>
      <c r="K2871">
        <v>0</v>
      </c>
      <c r="L2871">
        <v>1</v>
      </c>
      <c r="M2871">
        <v>0</v>
      </c>
      <c r="N2871" t="s">
        <v>202</v>
      </c>
      <c r="O2871" t="s">
        <v>213</v>
      </c>
      <c r="P2871" t="s">
        <v>211</v>
      </c>
      <c r="Q2871" t="s">
        <v>170</v>
      </c>
      <c r="R2871" t="s">
        <v>155</v>
      </c>
      <c r="T2871" t="s">
        <v>134</v>
      </c>
      <c r="U2871">
        <v>1</v>
      </c>
      <c r="W2871" t="s">
        <v>134</v>
      </c>
      <c r="X2871">
        <v>1</v>
      </c>
      <c r="Y2871" t="s">
        <v>139</v>
      </c>
      <c r="Z2871" t="s">
        <v>182</v>
      </c>
      <c r="AA2871" t="s">
        <v>147</v>
      </c>
      <c r="AB2871" t="s">
        <v>162</v>
      </c>
      <c r="AC2871" t="s">
        <v>498</v>
      </c>
      <c r="AD2871" t="s">
        <v>155</v>
      </c>
      <c r="AE2871" t="s">
        <v>129</v>
      </c>
      <c r="AF2871" t="s">
        <v>21</v>
      </c>
    </row>
    <row r="2872" spans="1:32">
      <c r="A2872" t="s">
        <v>4000</v>
      </c>
      <c r="B2872" s="37">
        <v>39980</v>
      </c>
      <c r="C2872" s="38">
        <v>39980</v>
      </c>
      <c r="D2872" s="38">
        <v>39979</v>
      </c>
      <c r="E2872" s="38">
        <v>39965</v>
      </c>
      <c r="F2872" s="39">
        <v>75</v>
      </c>
      <c r="G2872" t="s">
        <v>380</v>
      </c>
      <c r="H2872" t="s">
        <v>17</v>
      </c>
      <c r="I2872">
        <v>0</v>
      </c>
      <c r="J2872">
        <v>0</v>
      </c>
      <c r="K2872">
        <v>1</v>
      </c>
      <c r="L2872">
        <v>0</v>
      </c>
      <c r="M2872">
        <v>0</v>
      </c>
      <c r="N2872" t="s">
        <v>193</v>
      </c>
      <c r="O2872" t="s">
        <v>213</v>
      </c>
      <c r="P2872" t="s">
        <v>204</v>
      </c>
      <c r="Q2872" t="s">
        <v>170</v>
      </c>
      <c r="R2872" t="s">
        <v>155</v>
      </c>
      <c r="T2872" t="s">
        <v>134</v>
      </c>
      <c r="U2872">
        <v>1</v>
      </c>
      <c r="W2872" t="s">
        <v>134</v>
      </c>
      <c r="X2872">
        <v>1</v>
      </c>
      <c r="Y2872" t="s">
        <v>140</v>
      </c>
      <c r="Z2872" t="s">
        <v>182</v>
      </c>
      <c r="AA2872" t="s">
        <v>144</v>
      </c>
      <c r="AB2872" t="s">
        <v>163</v>
      </c>
      <c r="AC2872" t="s">
        <v>173</v>
      </c>
      <c r="AD2872" t="s">
        <v>155</v>
      </c>
      <c r="AE2872" t="s">
        <v>501</v>
      </c>
      <c r="AF2872" t="s">
        <v>21</v>
      </c>
    </row>
    <row r="2873" spans="1:32">
      <c r="A2873" t="s">
        <v>4001</v>
      </c>
      <c r="B2873" s="37">
        <v>39936</v>
      </c>
      <c r="C2873" s="38">
        <v>39936</v>
      </c>
      <c r="D2873" s="38">
        <v>39930</v>
      </c>
      <c r="E2873" s="38">
        <v>39934</v>
      </c>
      <c r="F2873" s="39">
        <v>31</v>
      </c>
      <c r="G2873" t="s">
        <v>21</v>
      </c>
      <c r="H2873" t="s">
        <v>21</v>
      </c>
      <c r="I2873">
        <v>0</v>
      </c>
      <c r="J2873">
        <v>0</v>
      </c>
      <c r="K2873">
        <v>0</v>
      </c>
      <c r="L2873">
        <v>1</v>
      </c>
      <c r="M2873">
        <v>0</v>
      </c>
      <c r="N2873" t="s">
        <v>193</v>
      </c>
      <c r="O2873" t="s">
        <v>213</v>
      </c>
      <c r="P2873" t="s">
        <v>204</v>
      </c>
      <c r="Q2873" t="s">
        <v>170</v>
      </c>
      <c r="R2873" t="s">
        <v>155</v>
      </c>
      <c r="T2873" t="s">
        <v>134</v>
      </c>
      <c r="U2873">
        <v>1</v>
      </c>
      <c r="W2873" t="s">
        <v>134</v>
      </c>
      <c r="X2873">
        <v>1</v>
      </c>
      <c r="Y2873" t="s">
        <v>140</v>
      </c>
      <c r="Z2873" t="s">
        <v>182</v>
      </c>
      <c r="AA2873" t="s">
        <v>151</v>
      </c>
      <c r="AB2873" t="s">
        <v>163</v>
      </c>
      <c r="AC2873" t="s">
        <v>173</v>
      </c>
      <c r="AD2873" t="s">
        <v>161</v>
      </c>
      <c r="AE2873" t="s">
        <v>638</v>
      </c>
      <c r="AF2873" t="s">
        <v>21</v>
      </c>
    </row>
    <row r="2874" spans="1:32">
      <c r="A2874" t="s">
        <v>4002</v>
      </c>
      <c r="B2874" s="37">
        <v>39960</v>
      </c>
      <c r="C2874" s="38">
        <v>39960</v>
      </c>
      <c r="D2874" s="38">
        <v>39958</v>
      </c>
      <c r="E2874" s="38">
        <v>39934</v>
      </c>
      <c r="F2874" s="39">
        <v>55</v>
      </c>
      <c r="G2874" t="s">
        <v>21</v>
      </c>
      <c r="H2874" t="s">
        <v>21</v>
      </c>
      <c r="I2874">
        <v>0</v>
      </c>
      <c r="J2874">
        <v>0</v>
      </c>
      <c r="K2874">
        <v>0</v>
      </c>
      <c r="L2874">
        <v>1</v>
      </c>
      <c r="M2874">
        <v>0</v>
      </c>
      <c r="N2874" t="s">
        <v>194</v>
      </c>
      <c r="O2874" t="s">
        <v>213</v>
      </c>
      <c r="P2874" t="s">
        <v>205</v>
      </c>
      <c r="Q2874" t="s">
        <v>170</v>
      </c>
      <c r="R2874" t="s">
        <v>155</v>
      </c>
      <c r="T2874" t="s">
        <v>134</v>
      </c>
      <c r="U2874">
        <v>1</v>
      </c>
      <c r="W2874" t="s">
        <v>134</v>
      </c>
      <c r="X2874">
        <v>1</v>
      </c>
      <c r="Y2874" t="s">
        <v>139</v>
      </c>
      <c r="Z2874" t="s">
        <v>182</v>
      </c>
      <c r="AA2874" t="s">
        <v>142</v>
      </c>
      <c r="AB2874" t="s">
        <v>162</v>
      </c>
      <c r="AC2874" t="s">
        <v>578</v>
      </c>
      <c r="AD2874" t="s">
        <v>157</v>
      </c>
      <c r="AE2874" t="s">
        <v>130</v>
      </c>
      <c r="AF2874" t="s">
        <v>437</v>
      </c>
    </row>
    <row r="2875" spans="1:32">
      <c r="A2875" t="s">
        <v>4003</v>
      </c>
      <c r="B2875" s="37">
        <v>39991</v>
      </c>
      <c r="C2875" s="38">
        <v>39991</v>
      </c>
      <c r="D2875" s="38">
        <v>39986</v>
      </c>
      <c r="E2875" s="38">
        <v>39965</v>
      </c>
      <c r="F2875" s="39">
        <v>86</v>
      </c>
      <c r="G2875" t="s">
        <v>21</v>
      </c>
      <c r="H2875" t="s">
        <v>21</v>
      </c>
      <c r="I2875">
        <v>0</v>
      </c>
      <c r="J2875">
        <v>0</v>
      </c>
      <c r="K2875">
        <v>0</v>
      </c>
      <c r="L2875">
        <v>1</v>
      </c>
      <c r="M2875">
        <v>0</v>
      </c>
      <c r="N2875" t="s">
        <v>193</v>
      </c>
      <c r="O2875" t="s">
        <v>213</v>
      </c>
      <c r="P2875" t="s">
        <v>204</v>
      </c>
      <c r="Q2875" t="s">
        <v>170</v>
      </c>
      <c r="R2875" t="s">
        <v>155</v>
      </c>
      <c r="T2875" t="s">
        <v>134</v>
      </c>
      <c r="U2875">
        <v>1</v>
      </c>
      <c r="V2875">
        <v>3</v>
      </c>
      <c r="W2875" t="s">
        <v>137</v>
      </c>
      <c r="X2875">
        <v>0</v>
      </c>
      <c r="Y2875" t="s">
        <v>140</v>
      </c>
      <c r="Z2875" t="s">
        <v>433</v>
      </c>
      <c r="AA2875" t="s">
        <v>149</v>
      </c>
      <c r="AB2875" t="s">
        <v>162</v>
      </c>
      <c r="AC2875" t="s">
        <v>622</v>
      </c>
      <c r="AD2875" t="s">
        <v>155</v>
      </c>
      <c r="AE2875" t="s">
        <v>130</v>
      </c>
      <c r="AF2875" t="s">
        <v>21</v>
      </c>
    </row>
    <row r="2876" spans="1:32">
      <c r="A2876" t="s">
        <v>4004</v>
      </c>
      <c r="B2876" s="37">
        <v>39997</v>
      </c>
      <c r="C2876" s="38">
        <v>39997</v>
      </c>
      <c r="D2876" s="38">
        <v>39993</v>
      </c>
      <c r="E2876" s="38">
        <v>39995</v>
      </c>
      <c r="F2876" s="39">
        <v>92</v>
      </c>
      <c r="G2876" t="s">
        <v>21</v>
      </c>
      <c r="H2876" t="s">
        <v>21</v>
      </c>
      <c r="I2876">
        <v>0</v>
      </c>
      <c r="J2876">
        <v>0</v>
      </c>
      <c r="K2876">
        <v>0</v>
      </c>
      <c r="L2876">
        <v>1</v>
      </c>
      <c r="M2876">
        <v>0</v>
      </c>
      <c r="N2876" t="s">
        <v>193</v>
      </c>
      <c r="O2876" t="s">
        <v>213</v>
      </c>
      <c r="P2876" t="s">
        <v>204</v>
      </c>
      <c r="Q2876" t="s">
        <v>170</v>
      </c>
      <c r="R2876" t="s">
        <v>155</v>
      </c>
      <c r="T2876" t="s">
        <v>134</v>
      </c>
      <c r="U2876">
        <v>1</v>
      </c>
      <c r="V2876">
        <v>5</v>
      </c>
      <c r="W2876" t="s">
        <v>135</v>
      </c>
      <c r="X2876">
        <v>0</v>
      </c>
      <c r="Y2876" t="s">
        <v>140</v>
      </c>
      <c r="Z2876" t="s">
        <v>433</v>
      </c>
      <c r="AA2876" t="s">
        <v>149</v>
      </c>
      <c r="AB2876" t="s">
        <v>162</v>
      </c>
      <c r="AC2876" t="s">
        <v>174</v>
      </c>
      <c r="AD2876" t="s">
        <v>157</v>
      </c>
      <c r="AE2876" t="s">
        <v>434</v>
      </c>
      <c r="AF2876" t="s">
        <v>435</v>
      </c>
    </row>
    <row r="2877" spans="1:32">
      <c r="A2877" t="s">
        <v>4005</v>
      </c>
      <c r="B2877" s="37">
        <v>39976</v>
      </c>
      <c r="C2877" s="38">
        <v>39976</v>
      </c>
      <c r="D2877" s="38">
        <v>39972</v>
      </c>
      <c r="E2877" s="38">
        <v>39965</v>
      </c>
      <c r="F2877" s="39">
        <v>71</v>
      </c>
      <c r="G2877" t="s">
        <v>21</v>
      </c>
      <c r="H2877" t="s">
        <v>21</v>
      </c>
      <c r="I2877">
        <v>0</v>
      </c>
      <c r="J2877">
        <v>0</v>
      </c>
      <c r="K2877">
        <v>0</v>
      </c>
      <c r="L2877">
        <v>1</v>
      </c>
      <c r="M2877">
        <v>0</v>
      </c>
      <c r="N2877" t="s">
        <v>194</v>
      </c>
      <c r="O2877" t="s">
        <v>213</v>
      </c>
      <c r="P2877" t="s">
        <v>205</v>
      </c>
      <c r="Q2877" t="s">
        <v>170</v>
      </c>
      <c r="R2877" t="s">
        <v>155</v>
      </c>
      <c r="T2877" t="s">
        <v>134</v>
      </c>
      <c r="U2877">
        <v>1</v>
      </c>
      <c r="W2877" t="s">
        <v>134</v>
      </c>
      <c r="X2877">
        <v>1</v>
      </c>
      <c r="Y2877" t="s">
        <v>139</v>
      </c>
      <c r="Z2877" t="s">
        <v>433</v>
      </c>
      <c r="AA2877" t="s">
        <v>142</v>
      </c>
      <c r="AB2877" t="s">
        <v>162</v>
      </c>
      <c r="AC2877" t="s">
        <v>174</v>
      </c>
      <c r="AD2877" t="s">
        <v>159</v>
      </c>
      <c r="AE2877" t="s">
        <v>123</v>
      </c>
      <c r="AF2877" t="s">
        <v>123</v>
      </c>
    </row>
    <row r="2878" spans="1:32">
      <c r="A2878" t="s">
        <v>4006</v>
      </c>
      <c r="B2878" s="37">
        <v>39941</v>
      </c>
      <c r="C2878" s="38">
        <v>39941</v>
      </c>
      <c r="D2878" s="38">
        <v>39937</v>
      </c>
      <c r="E2878" s="38">
        <v>39934</v>
      </c>
      <c r="F2878" s="39">
        <v>36</v>
      </c>
      <c r="G2878" t="s">
        <v>21</v>
      </c>
      <c r="H2878" t="s">
        <v>21</v>
      </c>
      <c r="I2878">
        <v>0</v>
      </c>
      <c r="J2878">
        <v>0</v>
      </c>
      <c r="K2878">
        <v>0</v>
      </c>
      <c r="L2878">
        <v>1</v>
      </c>
      <c r="M2878">
        <v>0</v>
      </c>
      <c r="N2878" t="s">
        <v>195</v>
      </c>
      <c r="O2878" t="s">
        <v>213</v>
      </c>
      <c r="P2878" t="s">
        <v>206</v>
      </c>
      <c r="Q2878" t="s">
        <v>170</v>
      </c>
      <c r="R2878" t="s">
        <v>155</v>
      </c>
      <c r="T2878" t="s">
        <v>134</v>
      </c>
      <c r="U2878">
        <v>1</v>
      </c>
      <c r="W2878" t="s">
        <v>134</v>
      </c>
      <c r="X2878">
        <v>1</v>
      </c>
      <c r="Y2878" t="s">
        <v>139</v>
      </c>
      <c r="Z2878" t="s">
        <v>186</v>
      </c>
      <c r="AA2878" t="s">
        <v>147</v>
      </c>
      <c r="AB2878" t="s">
        <v>163</v>
      </c>
      <c r="AC2878" t="s">
        <v>173</v>
      </c>
      <c r="AD2878" t="s">
        <v>155</v>
      </c>
      <c r="AE2878" t="s">
        <v>125</v>
      </c>
      <c r="AF2878" t="s">
        <v>21</v>
      </c>
    </row>
    <row r="2879" spans="1:32">
      <c r="A2879" t="s">
        <v>4007</v>
      </c>
      <c r="B2879" s="37">
        <v>39941</v>
      </c>
      <c r="C2879" s="38">
        <v>39941</v>
      </c>
      <c r="D2879" s="38">
        <v>39937</v>
      </c>
      <c r="E2879" s="38">
        <v>39934</v>
      </c>
      <c r="F2879" s="39">
        <v>36</v>
      </c>
      <c r="G2879" t="s">
        <v>21</v>
      </c>
      <c r="H2879" t="s">
        <v>21</v>
      </c>
      <c r="I2879">
        <v>0</v>
      </c>
      <c r="J2879">
        <v>0</v>
      </c>
      <c r="K2879">
        <v>0</v>
      </c>
      <c r="L2879">
        <v>1</v>
      </c>
      <c r="M2879">
        <v>0</v>
      </c>
      <c r="N2879" t="s">
        <v>195</v>
      </c>
      <c r="O2879" t="s">
        <v>213</v>
      </c>
      <c r="P2879" t="s">
        <v>206</v>
      </c>
      <c r="Q2879" t="s">
        <v>170</v>
      </c>
      <c r="R2879" t="s">
        <v>155</v>
      </c>
      <c r="T2879" t="s">
        <v>134</v>
      </c>
      <c r="U2879">
        <v>1</v>
      </c>
      <c r="W2879" t="s">
        <v>134</v>
      </c>
      <c r="X2879">
        <v>1</v>
      </c>
      <c r="Y2879" t="s">
        <v>139</v>
      </c>
      <c r="Z2879" t="s">
        <v>479</v>
      </c>
      <c r="AA2879" t="s">
        <v>142</v>
      </c>
      <c r="AB2879" t="s">
        <v>163</v>
      </c>
      <c r="AC2879" t="s">
        <v>173</v>
      </c>
      <c r="AD2879" t="s">
        <v>155</v>
      </c>
      <c r="AE2879" t="s">
        <v>692</v>
      </c>
      <c r="AF2879" t="s">
        <v>21</v>
      </c>
    </row>
    <row r="2880" spans="1:32">
      <c r="A2880" t="s">
        <v>4008</v>
      </c>
      <c r="B2880" s="37">
        <v>39941</v>
      </c>
      <c r="C2880" s="38">
        <v>39941</v>
      </c>
      <c r="D2880" s="38">
        <v>39937</v>
      </c>
      <c r="E2880" s="38">
        <v>39934</v>
      </c>
      <c r="F2880" s="39">
        <v>36</v>
      </c>
      <c r="G2880" t="s">
        <v>380</v>
      </c>
      <c r="H2880" t="s">
        <v>17</v>
      </c>
      <c r="I2880">
        <v>0</v>
      </c>
      <c r="J2880">
        <v>0</v>
      </c>
      <c r="K2880">
        <v>1</v>
      </c>
      <c r="L2880">
        <v>0</v>
      </c>
      <c r="M2880">
        <v>0</v>
      </c>
      <c r="N2880" t="s">
        <v>195</v>
      </c>
      <c r="O2880" t="s">
        <v>213</v>
      </c>
      <c r="P2880" t="s">
        <v>206</v>
      </c>
      <c r="Q2880" t="s">
        <v>170</v>
      </c>
      <c r="R2880" t="s">
        <v>155</v>
      </c>
      <c r="T2880" t="s">
        <v>134</v>
      </c>
      <c r="U2880">
        <v>1</v>
      </c>
      <c r="W2880" t="s">
        <v>134</v>
      </c>
      <c r="X2880">
        <v>1</v>
      </c>
      <c r="Y2880" t="s">
        <v>139</v>
      </c>
      <c r="Z2880" t="s">
        <v>479</v>
      </c>
      <c r="AA2880" t="s">
        <v>149</v>
      </c>
      <c r="AB2880" t="s">
        <v>163</v>
      </c>
      <c r="AC2880" t="s">
        <v>173</v>
      </c>
      <c r="AD2880" t="s">
        <v>155</v>
      </c>
      <c r="AE2880" t="s">
        <v>692</v>
      </c>
      <c r="AF2880" t="s">
        <v>21</v>
      </c>
    </row>
    <row r="2881" spans="1:32">
      <c r="A2881" t="s">
        <v>4009</v>
      </c>
      <c r="B2881" s="37">
        <v>40044</v>
      </c>
      <c r="C2881" s="38">
        <v>40044</v>
      </c>
      <c r="D2881" s="38">
        <v>40042</v>
      </c>
      <c r="E2881" s="38">
        <v>40026</v>
      </c>
      <c r="F2881" s="39">
        <v>139</v>
      </c>
      <c r="G2881" t="s">
        <v>21</v>
      </c>
      <c r="H2881" t="s">
        <v>21</v>
      </c>
      <c r="I2881">
        <v>0</v>
      </c>
      <c r="J2881">
        <v>0</v>
      </c>
      <c r="K2881">
        <v>0</v>
      </c>
      <c r="L2881">
        <v>1</v>
      </c>
      <c r="M2881">
        <v>0</v>
      </c>
      <c r="N2881" t="s">
        <v>193</v>
      </c>
      <c r="O2881" t="s">
        <v>213</v>
      </c>
      <c r="P2881" t="s">
        <v>204</v>
      </c>
      <c r="Q2881" t="s">
        <v>170</v>
      </c>
      <c r="R2881" t="s">
        <v>155</v>
      </c>
      <c r="S2881">
        <v>5</v>
      </c>
      <c r="T2881" t="s">
        <v>135</v>
      </c>
      <c r="U2881">
        <v>0</v>
      </c>
      <c r="V2881">
        <v>5</v>
      </c>
      <c r="W2881" t="s">
        <v>135</v>
      </c>
      <c r="X2881">
        <v>0</v>
      </c>
      <c r="Y2881" t="s">
        <v>140</v>
      </c>
      <c r="Z2881" t="s">
        <v>509</v>
      </c>
      <c r="AA2881" t="s">
        <v>149</v>
      </c>
      <c r="AB2881" t="s">
        <v>162</v>
      </c>
      <c r="AC2881" t="s">
        <v>619</v>
      </c>
      <c r="AD2881" t="s">
        <v>156</v>
      </c>
      <c r="AE2881" t="s">
        <v>120</v>
      </c>
      <c r="AF2881" t="s">
        <v>4010</v>
      </c>
    </row>
    <row r="2882" spans="1:32">
      <c r="A2882" t="s">
        <v>4011</v>
      </c>
      <c r="B2882" s="37">
        <v>39981</v>
      </c>
      <c r="C2882" s="38">
        <v>39981</v>
      </c>
      <c r="D2882" s="38">
        <v>39979</v>
      </c>
      <c r="E2882" s="38">
        <v>39965</v>
      </c>
      <c r="F2882" s="39">
        <v>76</v>
      </c>
      <c r="G2882" t="s">
        <v>21</v>
      </c>
      <c r="H2882" t="s">
        <v>21</v>
      </c>
      <c r="I2882">
        <v>0</v>
      </c>
      <c r="J2882">
        <v>0</v>
      </c>
      <c r="K2882">
        <v>0</v>
      </c>
      <c r="L2882">
        <v>1</v>
      </c>
      <c r="M2882">
        <v>0</v>
      </c>
      <c r="N2882" t="s">
        <v>193</v>
      </c>
      <c r="O2882" t="s">
        <v>213</v>
      </c>
      <c r="P2882" t="s">
        <v>204</v>
      </c>
      <c r="Q2882" t="s">
        <v>170</v>
      </c>
      <c r="R2882" t="s">
        <v>155</v>
      </c>
      <c r="T2882" t="s">
        <v>134</v>
      </c>
      <c r="U2882">
        <v>1</v>
      </c>
      <c r="W2882" t="s">
        <v>134</v>
      </c>
      <c r="X2882">
        <v>1</v>
      </c>
      <c r="Y2882" t="s">
        <v>140</v>
      </c>
      <c r="Z2882" t="s">
        <v>447</v>
      </c>
      <c r="AA2882" t="s">
        <v>146</v>
      </c>
      <c r="AB2882" t="s">
        <v>163</v>
      </c>
      <c r="AC2882" t="s">
        <v>21</v>
      </c>
      <c r="AD2882" t="s">
        <v>155</v>
      </c>
      <c r="AE2882" t="s">
        <v>467</v>
      </c>
      <c r="AF2882" t="s">
        <v>21</v>
      </c>
    </row>
    <row r="2883" spans="1:32">
      <c r="A2883" t="s">
        <v>4012</v>
      </c>
      <c r="B2883" s="37">
        <v>40032</v>
      </c>
      <c r="C2883" s="38">
        <v>40032</v>
      </c>
      <c r="D2883" s="38">
        <v>40028</v>
      </c>
      <c r="E2883" s="38">
        <v>40026</v>
      </c>
      <c r="F2883" s="39">
        <v>127</v>
      </c>
      <c r="G2883" t="s">
        <v>380</v>
      </c>
      <c r="H2883" t="s">
        <v>17</v>
      </c>
      <c r="I2883">
        <v>0</v>
      </c>
      <c r="J2883">
        <v>0</v>
      </c>
      <c r="K2883">
        <v>1</v>
      </c>
      <c r="L2883">
        <v>0</v>
      </c>
      <c r="M2883">
        <v>0</v>
      </c>
      <c r="N2883" t="s">
        <v>193</v>
      </c>
      <c r="O2883" t="s">
        <v>213</v>
      </c>
      <c r="P2883" t="s">
        <v>204</v>
      </c>
      <c r="Q2883" t="s">
        <v>170</v>
      </c>
      <c r="R2883" t="s">
        <v>155</v>
      </c>
      <c r="S2883">
        <v>5</v>
      </c>
      <c r="T2883" t="s">
        <v>135</v>
      </c>
      <c r="U2883">
        <v>0</v>
      </c>
      <c r="V2883">
        <v>5</v>
      </c>
      <c r="W2883" t="s">
        <v>135</v>
      </c>
      <c r="X2883">
        <v>0</v>
      </c>
      <c r="Y2883" t="s">
        <v>140</v>
      </c>
      <c r="Z2883" t="s">
        <v>447</v>
      </c>
      <c r="AA2883" t="s">
        <v>142</v>
      </c>
      <c r="AB2883" t="s">
        <v>162</v>
      </c>
      <c r="AC2883" t="s">
        <v>863</v>
      </c>
      <c r="AD2883" t="s">
        <v>155</v>
      </c>
      <c r="AE2883" t="s">
        <v>129</v>
      </c>
      <c r="AF2883" t="s">
        <v>21</v>
      </c>
    </row>
    <row r="2884" spans="1:32">
      <c r="A2884" t="s">
        <v>4013</v>
      </c>
      <c r="B2884" s="37">
        <v>40057</v>
      </c>
      <c r="C2884" s="38">
        <v>40057</v>
      </c>
      <c r="D2884" s="38">
        <v>40056</v>
      </c>
      <c r="E2884" s="38">
        <v>40057</v>
      </c>
      <c r="F2884" s="39">
        <v>152</v>
      </c>
      <c r="G2884" t="s">
        <v>21</v>
      </c>
      <c r="H2884" t="s">
        <v>21</v>
      </c>
      <c r="I2884">
        <v>0</v>
      </c>
      <c r="J2884">
        <v>0</v>
      </c>
      <c r="K2884">
        <v>0</v>
      </c>
      <c r="L2884">
        <v>1</v>
      </c>
      <c r="M2884">
        <v>0</v>
      </c>
      <c r="N2884" t="s">
        <v>193</v>
      </c>
      <c r="O2884" t="s">
        <v>213</v>
      </c>
      <c r="P2884" t="s">
        <v>204</v>
      </c>
      <c r="Q2884" t="s">
        <v>170</v>
      </c>
      <c r="R2884" t="s">
        <v>155</v>
      </c>
      <c r="S2884">
        <v>5</v>
      </c>
      <c r="T2884" t="s">
        <v>135</v>
      </c>
      <c r="U2884">
        <v>0</v>
      </c>
      <c r="V2884">
        <v>5</v>
      </c>
      <c r="W2884" t="s">
        <v>135</v>
      </c>
      <c r="X2884">
        <v>0</v>
      </c>
      <c r="Y2884" t="s">
        <v>140</v>
      </c>
      <c r="Z2884" t="s">
        <v>182</v>
      </c>
      <c r="AA2884" t="s">
        <v>149</v>
      </c>
      <c r="AB2884" t="s">
        <v>163</v>
      </c>
      <c r="AC2884" t="s">
        <v>4014</v>
      </c>
      <c r="AD2884" t="s">
        <v>155</v>
      </c>
      <c r="AE2884" t="s">
        <v>406</v>
      </c>
      <c r="AF2884" t="s">
        <v>21</v>
      </c>
    </row>
    <row r="2885" spans="1:32">
      <c r="A2885" t="s">
        <v>4015</v>
      </c>
      <c r="B2885" s="37">
        <v>39947</v>
      </c>
      <c r="C2885" s="38">
        <v>39947</v>
      </c>
      <c r="D2885" s="38">
        <v>39944</v>
      </c>
      <c r="E2885" s="38">
        <v>39934</v>
      </c>
      <c r="F2885" s="39">
        <v>42</v>
      </c>
      <c r="G2885" t="s">
        <v>21</v>
      </c>
      <c r="H2885" t="s">
        <v>21</v>
      </c>
      <c r="I2885">
        <v>0</v>
      </c>
      <c r="J2885">
        <v>0</v>
      </c>
      <c r="K2885">
        <v>0</v>
      </c>
      <c r="L2885">
        <v>1</v>
      </c>
      <c r="M2885">
        <v>0</v>
      </c>
      <c r="N2885" t="s">
        <v>193</v>
      </c>
      <c r="O2885" t="s">
        <v>213</v>
      </c>
      <c r="P2885" t="s">
        <v>204</v>
      </c>
      <c r="Q2885" t="s">
        <v>170</v>
      </c>
      <c r="R2885" t="s">
        <v>155</v>
      </c>
      <c r="T2885" t="s">
        <v>134</v>
      </c>
      <c r="U2885">
        <v>1</v>
      </c>
      <c r="W2885" t="s">
        <v>134</v>
      </c>
      <c r="X2885">
        <v>1</v>
      </c>
      <c r="Y2885" t="s">
        <v>140</v>
      </c>
      <c r="Z2885" t="s">
        <v>181</v>
      </c>
      <c r="AA2885" t="s">
        <v>149</v>
      </c>
      <c r="AB2885" t="s">
        <v>162</v>
      </c>
      <c r="AC2885" t="s">
        <v>174</v>
      </c>
      <c r="AD2885" t="s">
        <v>156</v>
      </c>
      <c r="AE2885" t="s">
        <v>120</v>
      </c>
      <c r="AF2885" t="s">
        <v>4016</v>
      </c>
    </row>
    <row r="2886" spans="1:32">
      <c r="A2886" t="s">
        <v>4017</v>
      </c>
      <c r="B2886" s="37">
        <v>39938</v>
      </c>
      <c r="C2886" s="38">
        <v>39938</v>
      </c>
      <c r="D2886" s="38">
        <v>39937</v>
      </c>
      <c r="E2886" s="38">
        <v>39934</v>
      </c>
      <c r="F2886" s="39">
        <v>33</v>
      </c>
      <c r="G2886" t="s">
        <v>21</v>
      </c>
      <c r="H2886" t="s">
        <v>21</v>
      </c>
      <c r="I2886">
        <v>0</v>
      </c>
      <c r="J2886">
        <v>0</v>
      </c>
      <c r="K2886">
        <v>0</v>
      </c>
      <c r="L2886">
        <v>1</v>
      </c>
      <c r="M2886">
        <v>0</v>
      </c>
      <c r="N2886" t="s">
        <v>194</v>
      </c>
      <c r="O2886" t="s">
        <v>213</v>
      </c>
      <c r="P2886" t="s">
        <v>205</v>
      </c>
      <c r="Q2886" t="s">
        <v>170</v>
      </c>
      <c r="R2886" t="s">
        <v>155</v>
      </c>
      <c r="T2886" t="s">
        <v>134</v>
      </c>
      <c r="U2886">
        <v>1</v>
      </c>
      <c r="W2886" t="s">
        <v>134</v>
      </c>
      <c r="X2886">
        <v>1</v>
      </c>
      <c r="Y2886" t="s">
        <v>139</v>
      </c>
      <c r="Z2886" t="s">
        <v>181</v>
      </c>
      <c r="AA2886" t="s">
        <v>143</v>
      </c>
      <c r="AB2886" t="s">
        <v>162</v>
      </c>
      <c r="AC2886" t="s">
        <v>659</v>
      </c>
      <c r="AD2886" t="s">
        <v>156</v>
      </c>
      <c r="AE2886" t="s">
        <v>120</v>
      </c>
      <c r="AF2886" t="s">
        <v>4018</v>
      </c>
    </row>
    <row r="2887" spans="1:32">
      <c r="A2887" t="s">
        <v>4019</v>
      </c>
      <c r="B2887" s="37">
        <v>40041</v>
      </c>
      <c r="C2887" s="38">
        <v>40041</v>
      </c>
      <c r="D2887" s="38">
        <v>40035</v>
      </c>
      <c r="E2887" s="38">
        <v>40026</v>
      </c>
      <c r="F2887" s="39">
        <v>136</v>
      </c>
      <c r="G2887" t="s">
        <v>21</v>
      </c>
      <c r="H2887" t="s">
        <v>21</v>
      </c>
      <c r="I2887">
        <v>0</v>
      </c>
      <c r="J2887">
        <v>0</v>
      </c>
      <c r="K2887">
        <v>0</v>
      </c>
      <c r="L2887">
        <v>1</v>
      </c>
      <c r="M2887">
        <v>0</v>
      </c>
      <c r="N2887" t="s">
        <v>193</v>
      </c>
      <c r="O2887" t="s">
        <v>213</v>
      </c>
      <c r="P2887" t="s">
        <v>204</v>
      </c>
      <c r="Q2887" t="s">
        <v>170</v>
      </c>
      <c r="R2887" t="s">
        <v>155</v>
      </c>
      <c r="S2887">
        <v>5</v>
      </c>
      <c r="T2887" t="s">
        <v>135</v>
      </c>
      <c r="U2887">
        <v>0</v>
      </c>
      <c r="V2887">
        <v>3</v>
      </c>
      <c r="W2887" t="s">
        <v>137</v>
      </c>
      <c r="X2887">
        <v>0</v>
      </c>
      <c r="Y2887" t="s">
        <v>140</v>
      </c>
      <c r="Z2887" t="s">
        <v>178</v>
      </c>
      <c r="AA2887" t="s">
        <v>144</v>
      </c>
      <c r="AB2887" t="s">
        <v>162</v>
      </c>
      <c r="AC2887" t="s">
        <v>175</v>
      </c>
      <c r="AD2887" t="s">
        <v>125</v>
      </c>
      <c r="AE2887" t="s">
        <v>125</v>
      </c>
      <c r="AF2887" t="s">
        <v>4020</v>
      </c>
    </row>
    <row r="2888" spans="1:32">
      <c r="A2888" t="s">
        <v>4021</v>
      </c>
      <c r="B2888" s="37">
        <v>39986</v>
      </c>
      <c r="C2888" s="38">
        <v>39986</v>
      </c>
      <c r="D2888" s="38">
        <v>39986</v>
      </c>
      <c r="E2888" s="38">
        <v>39965</v>
      </c>
      <c r="F2888" s="39">
        <v>81</v>
      </c>
      <c r="G2888" t="s">
        <v>21</v>
      </c>
      <c r="H2888" t="s">
        <v>21</v>
      </c>
      <c r="I2888">
        <v>0</v>
      </c>
      <c r="J2888">
        <v>0</v>
      </c>
      <c r="K2888">
        <v>0</v>
      </c>
      <c r="L2888">
        <v>1</v>
      </c>
      <c r="M2888">
        <v>0</v>
      </c>
      <c r="N2888" t="s">
        <v>196</v>
      </c>
      <c r="O2888" t="s">
        <v>213</v>
      </c>
      <c r="P2888" t="s">
        <v>207</v>
      </c>
      <c r="Q2888" t="s">
        <v>170</v>
      </c>
      <c r="R2888" t="s">
        <v>155</v>
      </c>
      <c r="T2888" t="s">
        <v>134</v>
      </c>
      <c r="U2888">
        <v>1</v>
      </c>
      <c r="W2888" t="s">
        <v>134</v>
      </c>
      <c r="X2888">
        <v>1</v>
      </c>
      <c r="Y2888" t="s">
        <v>139</v>
      </c>
      <c r="Z2888" t="s">
        <v>447</v>
      </c>
      <c r="AA2888" t="s">
        <v>144</v>
      </c>
      <c r="AB2888" t="s">
        <v>163</v>
      </c>
      <c r="AC2888" t="s">
        <v>902</v>
      </c>
      <c r="AD2888" t="s">
        <v>788</v>
      </c>
      <c r="AE2888" t="s">
        <v>2715</v>
      </c>
      <c r="AF2888" t="s">
        <v>21</v>
      </c>
    </row>
    <row r="2889" spans="1:32">
      <c r="A2889" t="s">
        <v>4022</v>
      </c>
      <c r="B2889" s="37">
        <v>39973</v>
      </c>
      <c r="C2889" s="38">
        <v>39973</v>
      </c>
      <c r="D2889" s="38">
        <v>39972</v>
      </c>
      <c r="E2889" s="38">
        <v>39965</v>
      </c>
      <c r="F2889" s="39">
        <v>68</v>
      </c>
      <c r="G2889" t="s">
        <v>383</v>
      </c>
      <c r="H2889" t="s">
        <v>17</v>
      </c>
      <c r="I2889">
        <v>0</v>
      </c>
      <c r="J2889">
        <v>0</v>
      </c>
      <c r="K2889">
        <v>1</v>
      </c>
      <c r="L2889">
        <v>0</v>
      </c>
      <c r="M2889">
        <v>0</v>
      </c>
      <c r="N2889" t="s">
        <v>195</v>
      </c>
      <c r="O2889" t="s">
        <v>213</v>
      </c>
      <c r="P2889" t="s">
        <v>206</v>
      </c>
      <c r="Q2889" t="s">
        <v>170</v>
      </c>
      <c r="R2889" t="s">
        <v>155</v>
      </c>
      <c r="T2889" t="s">
        <v>134</v>
      </c>
      <c r="U2889">
        <v>1</v>
      </c>
      <c r="W2889" t="s">
        <v>134</v>
      </c>
      <c r="X2889">
        <v>1</v>
      </c>
      <c r="Y2889" t="s">
        <v>139</v>
      </c>
      <c r="Z2889" t="s">
        <v>182</v>
      </c>
      <c r="AA2889" t="s">
        <v>142</v>
      </c>
      <c r="AB2889" t="s">
        <v>162</v>
      </c>
      <c r="AC2889" t="s">
        <v>174</v>
      </c>
      <c r="AD2889" t="s">
        <v>157</v>
      </c>
      <c r="AE2889" t="s">
        <v>130</v>
      </c>
      <c r="AF2889" t="s">
        <v>437</v>
      </c>
    </row>
    <row r="2890" spans="1:32">
      <c r="A2890" t="s">
        <v>4023</v>
      </c>
      <c r="B2890" s="37">
        <v>40003</v>
      </c>
      <c r="C2890" s="38">
        <v>40003</v>
      </c>
      <c r="D2890" s="38">
        <v>40000</v>
      </c>
      <c r="E2890" s="38">
        <v>39995</v>
      </c>
      <c r="F2890" s="39">
        <v>98</v>
      </c>
      <c r="G2890" t="s">
        <v>380</v>
      </c>
      <c r="H2890" t="s">
        <v>17</v>
      </c>
      <c r="I2890">
        <v>0</v>
      </c>
      <c r="J2890">
        <v>0</v>
      </c>
      <c r="K2890">
        <v>1</v>
      </c>
      <c r="L2890">
        <v>0</v>
      </c>
      <c r="M2890">
        <v>0</v>
      </c>
      <c r="N2890" t="s">
        <v>193</v>
      </c>
      <c r="O2890" t="s">
        <v>213</v>
      </c>
      <c r="P2890" t="s">
        <v>204</v>
      </c>
      <c r="Q2890" t="s">
        <v>170</v>
      </c>
      <c r="R2890" t="s">
        <v>155</v>
      </c>
      <c r="T2890" t="s">
        <v>134</v>
      </c>
      <c r="U2890">
        <v>1</v>
      </c>
      <c r="W2890" t="s">
        <v>134</v>
      </c>
      <c r="X2890">
        <v>1</v>
      </c>
      <c r="Y2890" t="s">
        <v>140</v>
      </c>
      <c r="Z2890" t="s">
        <v>509</v>
      </c>
      <c r="AA2890" t="s">
        <v>144</v>
      </c>
      <c r="AB2890" t="s">
        <v>162</v>
      </c>
      <c r="AC2890" t="s">
        <v>459</v>
      </c>
      <c r="AD2890" t="s">
        <v>155</v>
      </c>
      <c r="AE2890" t="s">
        <v>130</v>
      </c>
      <c r="AF2890" t="s">
        <v>21</v>
      </c>
    </row>
    <row r="2891" spans="1:32">
      <c r="A2891" t="s">
        <v>4024</v>
      </c>
      <c r="B2891" s="37">
        <v>40067</v>
      </c>
      <c r="C2891" s="38">
        <v>40067</v>
      </c>
      <c r="D2891" s="38">
        <v>40063</v>
      </c>
      <c r="E2891" s="38">
        <v>40057</v>
      </c>
      <c r="F2891" s="39">
        <v>162</v>
      </c>
      <c r="G2891" t="s">
        <v>21</v>
      </c>
      <c r="H2891" t="s">
        <v>21</v>
      </c>
      <c r="I2891">
        <v>0</v>
      </c>
      <c r="J2891">
        <v>0</v>
      </c>
      <c r="K2891">
        <v>0</v>
      </c>
      <c r="L2891">
        <v>1</v>
      </c>
      <c r="M2891">
        <v>0</v>
      </c>
      <c r="N2891" t="s">
        <v>193</v>
      </c>
      <c r="O2891" t="s">
        <v>213</v>
      </c>
      <c r="P2891" t="s">
        <v>204</v>
      </c>
      <c r="Q2891" t="s">
        <v>170</v>
      </c>
      <c r="R2891" t="s">
        <v>155</v>
      </c>
      <c r="S2891">
        <v>5</v>
      </c>
      <c r="T2891" t="s">
        <v>135</v>
      </c>
      <c r="U2891">
        <v>0</v>
      </c>
      <c r="V2891">
        <v>5</v>
      </c>
      <c r="W2891" t="s">
        <v>135</v>
      </c>
      <c r="X2891">
        <v>0</v>
      </c>
      <c r="Y2891" t="s">
        <v>140</v>
      </c>
      <c r="Z2891" t="s">
        <v>182</v>
      </c>
      <c r="AA2891" t="s">
        <v>146</v>
      </c>
      <c r="AB2891" t="s">
        <v>162</v>
      </c>
      <c r="AC2891" t="s">
        <v>867</v>
      </c>
      <c r="AD2891" t="s">
        <v>157</v>
      </c>
      <c r="AE2891" t="s">
        <v>127</v>
      </c>
      <c r="AF2891" t="s">
        <v>153</v>
      </c>
    </row>
    <row r="2892" spans="1:32">
      <c r="A2892" t="s">
        <v>4025</v>
      </c>
      <c r="B2892" s="37">
        <v>39920</v>
      </c>
      <c r="C2892" s="38">
        <v>39920</v>
      </c>
      <c r="D2892" s="38">
        <v>39916</v>
      </c>
      <c r="E2892" s="38">
        <v>39904</v>
      </c>
      <c r="F2892" s="39">
        <v>15</v>
      </c>
      <c r="G2892" t="s">
        <v>380</v>
      </c>
      <c r="H2892" t="s">
        <v>17</v>
      </c>
      <c r="I2892">
        <v>0</v>
      </c>
      <c r="J2892">
        <v>0</v>
      </c>
      <c r="K2892">
        <v>1</v>
      </c>
      <c r="L2892">
        <v>0</v>
      </c>
      <c r="M2892">
        <v>0</v>
      </c>
      <c r="N2892" t="s">
        <v>200</v>
      </c>
      <c r="O2892" t="s">
        <v>214</v>
      </c>
      <c r="P2892" t="s">
        <v>208</v>
      </c>
      <c r="Q2892" t="s">
        <v>170</v>
      </c>
      <c r="R2892" t="s">
        <v>155</v>
      </c>
      <c r="T2892" t="s">
        <v>134</v>
      </c>
      <c r="U2892">
        <v>1</v>
      </c>
      <c r="W2892" t="s">
        <v>134</v>
      </c>
      <c r="X2892">
        <v>1</v>
      </c>
      <c r="Y2892" t="s">
        <v>139</v>
      </c>
      <c r="Z2892" t="s">
        <v>182</v>
      </c>
      <c r="AA2892" t="s">
        <v>147</v>
      </c>
      <c r="AB2892" t="s">
        <v>162</v>
      </c>
      <c r="AC2892" t="s">
        <v>175</v>
      </c>
      <c r="AD2892" t="s">
        <v>155</v>
      </c>
      <c r="AE2892" t="s">
        <v>454</v>
      </c>
      <c r="AF2892" t="s">
        <v>21</v>
      </c>
    </row>
    <row r="2893" spans="1:32">
      <c r="A2893" t="s">
        <v>4026</v>
      </c>
      <c r="B2893" s="37">
        <v>39995</v>
      </c>
      <c r="C2893" s="38">
        <v>39995</v>
      </c>
      <c r="D2893" s="38">
        <v>39993</v>
      </c>
      <c r="E2893" s="38">
        <v>39995</v>
      </c>
      <c r="F2893" s="39">
        <v>90</v>
      </c>
      <c r="G2893" t="s">
        <v>21</v>
      </c>
      <c r="H2893" t="s">
        <v>21</v>
      </c>
      <c r="I2893">
        <v>0</v>
      </c>
      <c r="J2893">
        <v>0</v>
      </c>
      <c r="K2893">
        <v>0</v>
      </c>
      <c r="L2893">
        <v>1</v>
      </c>
      <c r="M2893">
        <v>0</v>
      </c>
      <c r="N2893" t="s">
        <v>193</v>
      </c>
      <c r="O2893" t="s">
        <v>213</v>
      </c>
      <c r="P2893" t="s">
        <v>204</v>
      </c>
      <c r="Q2893" t="s">
        <v>170</v>
      </c>
      <c r="R2893" t="s">
        <v>155</v>
      </c>
      <c r="T2893" t="s">
        <v>134</v>
      </c>
      <c r="U2893">
        <v>1</v>
      </c>
      <c r="V2893">
        <v>4</v>
      </c>
      <c r="W2893" t="s">
        <v>137</v>
      </c>
      <c r="X2893">
        <v>0</v>
      </c>
      <c r="Y2893" t="s">
        <v>140</v>
      </c>
      <c r="Z2893" t="s">
        <v>479</v>
      </c>
      <c r="AA2893" t="s">
        <v>142</v>
      </c>
      <c r="AB2893" t="s">
        <v>163</v>
      </c>
      <c r="AC2893" t="s">
        <v>415</v>
      </c>
      <c r="AD2893" t="s">
        <v>155</v>
      </c>
      <c r="AE2893" t="s">
        <v>125</v>
      </c>
      <c r="AF2893" t="s">
        <v>21</v>
      </c>
    </row>
    <row r="2894" spans="1:32">
      <c r="A2894" t="s">
        <v>4027</v>
      </c>
      <c r="B2894" s="37">
        <v>39919</v>
      </c>
      <c r="C2894" s="38">
        <v>39919</v>
      </c>
      <c r="D2894" s="38">
        <v>39916</v>
      </c>
      <c r="E2894" s="38">
        <v>39904</v>
      </c>
      <c r="F2894" s="39">
        <v>14</v>
      </c>
      <c r="G2894" t="s">
        <v>496</v>
      </c>
      <c r="H2894" t="s">
        <v>13</v>
      </c>
      <c r="I2894">
        <v>0</v>
      </c>
      <c r="J2894">
        <v>1</v>
      </c>
      <c r="K2894">
        <v>0</v>
      </c>
      <c r="L2894">
        <v>0</v>
      </c>
      <c r="M2894">
        <v>1</v>
      </c>
      <c r="N2894" t="s">
        <v>198</v>
      </c>
      <c r="O2894" t="s">
        <v>213</v>
      </c>
      <c r="P2894" t="s">
        <v>208</v>
      </c>
      <c r="Q2894" t="s">
        <v>170</v>
      </c>
      <c r="R2894" t="s">
        <v>155</v>
      </c>
      <c r="T2894" t="s">
        <v>134</v>
      </c>
      <c r="U2894">
        <v>1</v>
      </c>
      <c r="W2894" t="s">
        <v>134</v>
      </c>
      <c r="X2894">
        <v>1</v>
      </c>
      <c r="Y2894" t="s">
        <v>139</v>
      </c>
      <c r="Z2894" t="s">
        <v>479</v>
      </c>
      <c r="AA2894" t="s">
        <v>147</v>
      </c>
      <c r="AB2894" t="s">
        <v>163</v>
      </c>
      <c r="AC2894" t="s">
        <v>173</v>
      </c>
      <c r="AD2894" t="s">
        <v>155</v>
      </c>
      <c r="AE2894" t="s">
        <v>125</v>
      </c>
      <c r="AF2894" t="s">
        <v>21</v>
      </c>
    </row>
    <row r="2895" spans="1:32">
      <c r="A2895" t="s">
        <v>4028</v>
      </c>
      <c r="B2895" s="37">
        <v>40044</v>
      </c>
      <c r="C2895" s="38">
        <v>40044</v>
      </c>
      <c r="D2895" s="38">
        <v>40042</v>
      </c>
      <c r="E2895" s="38">
        <v>40026</v>
      </c>
      <c r="F2895" s="39">
        <v>139</v>
      </c>
      <c r="G2895" t="s">
        <v>21</v>
      </c>
      <c r="H2895" t="s">
        <v>21</v>
      </c>
      <c r="I2895">
        <v>0</v>
      </c>
      <c r="J2895">
        <v>0</v>
      </c>
      <c r="K2895">
        <v>0</v>
      </c>
      <c r="L2895">
        <v>1</v>
      </c>
      <c r="M2895">
        <v>0</v>
      </c>
      <c r="N2895" t="s">
        <v>193</v>
      </c>
      <c r="O2895" t="s">
        <v>213</v>
      </c>
      <c r="P2895" t="s">
        <v>204</v>
      </c>
      <c r="Q2895" t="s">
        <v>170</v>
      </c>
      <c r="R2895" t="s">
        <v>155</v>
      </c>
      <c r="S2895">
        <v>5</v>
      </c>
      <c r="T2895" t="s">
        <v>135</v>
      </c>
      <c r="U2895">
        <v>0</v>
      </c>
      <c r="V2895">
        <v>5</v>
      </c>
      <c r="W2895" t="s">
        <v>135</v>
      </c>
      <c r="X2895">
        <v>0</v>
      </c>
      <c r="Y2895" t="s">
        <v>140</v>
      </c>
      <c r="Z2895" t="s">
        <v>186</v>
      </c>
      <c r="AA2895" t="s">
        <v>144</v>
      </c>
      <c r="AB2895" t="s">
        <v>162</v>
      </c>
      <c r="AC2895" t="s">
        <v>174</v>
      </c>
      <c r="AD2895" t="s">
        <v>160</v>
      </c>
      <c r="AE2895" t="s">
        <v>126</v>
      </c>
      <c r="AF2895" t="s">
        <v>900</v>
      </c>
    </row>
    <row r="2896" spans="1:32">
      <c r="A2896" t="s">
        <v>4029</v>
      </c>
      <c r="B2896" s="37">
        <v>40055</v>
      </c>
      <c r="C2896" s="38">
        <v>40055</v>
      </c>
      <c r="D2896" s="38">
        <v>40049</v>
      </c>
      <c r="E2896" s="38">
        <v>40026</v>
      </c>
      <c r="F2896" s="39">
        <v>150</v>
      </c>
      <c r="G2896" t="s">
        <v>21</v>
      </c>
      <c r="H2896" t="s">
        <v>21</v>
      </c>
      <c r="I2896">
        <v>0</v>
      </c>
      <c r="J2896">
        <v>0</v>
      </c>
      <c r="K2896">
        <v>0</v>
      </c>
      <c r="L2896">
        <v>1</v>
      </c>
      <c r="M2896">
        <v>0</v>
      </c>
      <c r="N2896" t="s">
        <v>193</v>
      </c>
      <c r="O2896" t="s">
        <v>213</v>
      </c>
      <c r="P2896" t="s">
        <v>204</v>
      </c>
      <c r="Q2896" t="s">
        <v>170</v>
      </c>
      <c r="R2896" t="s">
        <v>155</v>
      </c>
      <c r="S2896">
        <v>5</v>
      </c>
      <c r="T2896" t="s">
        <v>135</v>
      </c>
      <c r="U2896">
        <v>0</v>
      </c>
      <c r="V2896">
        <v>5</v>
      </c>
      <c r="W2896" t="s">
        <v>135</v>
      </c>
      <c r="X2896">
        <v>0</v>
      </c>
      <c r="Y2896" t="s">
        <v>140</v>
      </c>
      <c r="Z2896" t="s">
        <v>183</v>
      </c>
      <c r="AA2896" t="s">
        <v>148</v>
      </c>
      <c r="AB2896" t="s">
        <v>163</v>
      </c>
      <c r="AC2896" t="s">
        <v>173</v>
      </c>
      <c r="AD2896" t="s">
        <v>155</v>
      </c>
      <c r="AE2896" t="s">
        <v>128</v>
      </c>
      <c r="AF2896" t="s">
        <v>21</v>
      </c>
    </row>
    <row r="2897" spans="1:32">
      <c r="A2897" t="s">
        <v>4030</v>
      </c>
      <c r="B2897" s="37">
        <v>39956</v>
      </c>
      <c r="C2897" s="38">
        <v>39956</v>
      </c>
      <c r="D2897" s="38">
        <v>39951</v>
      </c>
      <c r="E2897" s="38">
        <v>39934</v>
      </c>
      <c r="F2897" s="39">
        <v>51</v>
      </c>
      <c r="G2897" t="s">
        <v>21</v>
      </c>
      <c r="H2897" t="s">
        <v>21</v>
      </c>
      <c r="I2897">
        <v>0</v>
      </c>
      <c r="J2897">
        <v>0</v>
      </c>
      <c r="K2897">
        <v>0</v>
      </c>
      <c r="L2897">
        <v>1</v>
      </c>
      <c r="M2897">
        <v>0</v>
      </c>
      <c r="N2897" t="s">
        <v>193</v>
      </c>
      <c r="O2897" t="s">
        <v>213</v>
      </c>
      <c r="P2897" t="s">
        <v>204</v>
      </c>
      <c r="Q2897" t="s">
        <v>170</v>
      </c>
      <c r="R2897" t="s">
        <v>155</v>
      </c>
      <c r="T2897" t="s">
        <v>134</v>
      </c>
      <c r="U2897">
        <v>1</v>
      </c>
      <c r="W2897" t="s">
        <v>134</v>
      </c>
      <c r="X2897">
        <v>1</v>
      </c>
      <c r="Y2897" t="s">
        <v>140</v>
      </c>
      <c r="Z2897" t="s">
        <v>181</v>
      </c>
      <c r="AA2897" t="s">
        <v>146</v>
      </c>
      <c r="AB2897" t="s">
        <v>162</v>
      </c>
      <c r="AC2897" t="s">
        <v>174</v>
      </c>
      <c r="AD2897" t="s">
        <v>157</v>
      </c>
      <c r="AE2897" t="s">
        <v>130</v>
      </c>
      <c r="AF2897" t="s">
        <v>437</v>
      </c>
    </row>
    <row r="2898" spans="1:32">
      <c r="A2898" t="s">
        <v>4031</v>
      </c>
      <c r="B2898" s="37">
        <v>40035</v>
      </c>
      <c r="C2898" s="38">
        <v>40035</v>
      </c>
      <c r="D2898" s="38">
        <v>40035</v>
      </c>
      <c r="E2898" s="38">
        <v>40026</v>
      </c>
      <c r="F2898" s="39">
        <v>130</v>
      </c>
      <c r="G2898" t="s">
        <v>21</v>
      </c>
      <c r="H2898" t="s">
        <v>21</v>
      </c>
      <c r="I2898">
        <v>0</v>
      </c>
      <c r="J2898">
        <v>0</v>
      </c>
      <c r="K2898">
        <v>0</v>
      </c>
      <c r="L2898">
        <v>1</v>
      </c>
      <c r="M2898">
        <v>0</v>
      </c>
      <c r="N2898" t="s">
        <v>195</v>
      </c>
      <c r="O2898" t="s">
        <v>213</v>
      </c>
      <c r="P2898" t="s">
        <v>206</v>
      </c>
      <c r="Q2898" t="s">
        <v>170</v>
      </c>
      <c r="R2898" t="s">
        <v>155</v>
      </c>
      <c r="S2898">
        <v>5</v>
      </c>
      <c r="T2898" t="s">
        <v>135</v>
      </c>
      <c r="U2898">
        <v>0</v>
      </c>
      <c r="V2898">
        <v>4</v>
      </c>
      <c r="W2898" t="s">
        <v>137</v>
      </c>
      <c r="X2898">
        <v>0</v>
      </c>
      <c r="Y2898" t="s">
        <v>139</v>
      </c>
      <c r="Z2898" t="s">
        <v>528</v>
      </c>
      <c r="AA2898" t="s">
        <v>142</v>
      </c>
      <c r="AB2898" t="s">
        <v>162</v>
      </c>
      <c r="AC2898" t="s">
        <v>1984</v>
      </c>
      <c r="AD2898" t="s">
        <v>159</v>
      </c>
      <c r="AE2898" t="s">
        <v>123</v>
      </c>
      <c r="AF2898" t="s">
        <v>123</v>
      </c>
    </row>
    <row r="2899" spans="1:32">
      <c r="A2899" t="s">
        <v>4032</v>
      </c>
      <c r="B2899" s="37">
        <v>39996</v>
      </c>
      <c r="C2899" s="38">
        <v>39996</v>
      </c>
      <c r="D2899" s="38">
        <v>39993</v>
      </c>
      <c r="E2899" s="38">
        <v>39995</v>
      </c>
      <c r="F2899" s="39">
        <v>91</v>
      </c>
      <c r="G2899" t="s">
        <v>9</v>
      </c>
      <c r="H2899" t="s">
        <v>9</v>
      </c>
      <c r="I2899">
        <v>1</v>
      </c>
      <c r="J2899">
        <v>0</v>
      </c>
      <c r="K2899">
        <v>0</v>
      </c>
      <c r="L2899">
        <v>0</v>
      </c>
      <c r="M2899">
        <v>1</v>
      </c>
      <c r="N2899" t="s">
        <v>196</v>
      </c>
      <c r="O2899" t="s">
        <v>213</v>
      </c>
      <c r="P2899" t="s">
        <v>207</v>
      </c>
      <c r="Q2899" t="s">
        <v>170</v>
      </c>
      <c r="R2899" t="s">
        <v>155</v>
      </c>
      <c r="T2899" t="s">
        <v>134</v>
      </c>
      <c r="U2899">
        <v>1</v>
      </c>
      <c r="V2899">
        <v>5</v>
      </c>
      <c r="W2899" t="s">
        <v>135</v>
      </c>
      <c r="X2899">
        <v>0</v>
      </c>
      <c r="Y2899" t="s">
        <v>139</v>
      </c>
      <c r="Z2899" t="s">
        <v>528</v>
      </c>
      <c r="AA2899" t="s">
        <v>145</v>
      </c>
      <c r="AB2899" t="s">
        <v>162</v>
      </c>
      <c r="AC2899" t="s">
        <v>174</v>
      </c>
      <c r="AD2899" t="s">
        <v>157</v>
      </c>
      <c r="AE2899" t="s">
        <v>124</v>
      </c>
      <c r="AF2899" t="s">
        <v>885</v>
      </c>
    </row>
    <row r="2900" spans="1:32">
      <c r="A2900" t="s">
        <v>4033</v>
      </c>
      <c r="B2900" s="37">
        <v>40009</v>
      </c>
      <c r="C2900" s="38">
        <v>40009</v>
      </c>
      <c r="D2900" s="38">
        <v>40007</v>
      </c>
      <c r="E2900" s="38">
        <v>39995</v>
      </c>
      <c r="F2900" s="39">
        <v>104</v>
      </c>
      <c r="G2900" t="s">
        <v>21</v>
      </c>
      <c r="H2900" t="s">
        <v>21</v>
      </c>
      <c r="I2900">
        <v>0</v>
      </c>
      <c r="J2900">
        <v>0</v>
      </c>
      <c r="K2900">
        <v>0</v>
      </c>
      <c r="L2900">
        <v>1</v>
      </c>
      <c r="M2900">
        <v>0</v>
      </c>
      <c r="N2900" t="s">
        <v>195</v>
      </c>
      <c r="O2900" t="s">
        <v>213</v>
      </c>
      <c r="P2900" t="s">
        <v>206</v>
      </c>
      <c r="Q2900" t="s">
        <v>170</v>
      </c>
      <c r="R2900" t="s">
        <v>155</v>
      </c>
      <c r="S2900">
        <v>5</v>
      </c>
      <c r="T2900" t="s">
        <v>135</v>
      </c>
      <c r="U2900">
        <v>0</v>
      </c>
      <c r="V2900">
        <v>5</v>
      </c>
      <c r="W2900" t="s">
        <v>135</v>
      </c>
      <c r="X2900">
        <v>0</v>
      </c>
      <c r="Y2900" t="s">
        <v>139</v>
      </c>
      <c r="Z2900" t="s">
        <v>186</v>
      </c>
      <c r="AA2900" t="s">
        <v>145</v>
      </c>
      <c r="AB2900" t="s">
        <v>162</v>
      </c>
      <c r="AC2900" t="s">
        <v>174</v>
      </c>
      <c r="AD2900" t="s">
        <v>156</v>
      </c>
      <c r="AE2900" t="s">
        <v>120</v>
      </c>
      <c r="AF2900" t="s">
        <v>1087</v>
      </c>
    </row>
    <row r="2901" spans="1:32">
      <c r="A2901" t="s">
        <v>4034</v>
      </c>
      <c r="B2901" s="37">
        <v>39915</v>
      </c>
      <c r="C2901" s="38">
        <v>39915</v>
      </c>
      <c r="D2901" s="38">
        <v>39909</v>
      </c>
      <c r="E2901" s="38">
        <v>39904</v>
      </c>
      <c r="F2901" s="39">
        <v>10</v>
      </c>
      <c r="G2901" t="s">
        <v>21</v>
      </c>
      <c r="H2901" t="s">
        <v>21</v>
      </c>
      <c r="I2901">
        <v>0</v>
      </c>
      <c r="J2901">
        <v>0</v>
      </c>
      <c r="K2901">
        <v>0</v>
      </c>
      <c r="L2901">
        <v>1</v>
      </c>
      <c r="M2901">
        <v>0</v>
      </c>
      <c r="N2901" t="s">
        <v>194</v>
      </c>
      <c r="O2901" t="s">
        <v>213</v>
      </c>
      <c r="P2901" t="s">
        <v>205</v>
      </c>
      <c r="Q2901" t="s">
        <v>170</v>
      </c>
      <c r="R2901" t="s">
        <v>155</v>
      </c>
      <c r="T2901" t="s">
        <v>134</v>
      </c>
      <c r="U2901">
        <v>1</v>
      </c>
      <c r="W2901" t="s">
        <v>134</v>
      </c>
      <c r="X2901">
        <v>1</v>
      </c>
      <c r="Y2901" t="s">
        <v>139</v>
      </c>
      <c r="Z2901" t="s">
        <v>186</v>
      </c>
      <c r="AA2901" t="s">
        <v>142</v>
      </c>
      <c r="AB2901" t="s">
        <v>163</v>
      </c>
      <c r="AC2901" t="s">
        <v>21</v>
      </c>
      <c r="AD2901" t="s">
        <v>155</v>
      </c>
      <c r="AE2901" t="s">
        <v>125</v>
      </c>
      <c r="AF2901" t="s">
        <v>21</v>
      </c>
    </row>
    <row r="2902" spans="1:32">
      <c r="A2902" t="s">
        <v>4035</v>
      </c>
      <c r="B2902" s="37">
        <v>40031</v>
      </c>
      <c r="C2902" s="38">
        <v>40031</v>
      </c>
      <c r="D2902" s="38">
        <v>40028</v>
      </c>
      <c r="E2902" s="38">
        <v>40026</v>
      </c>
      <c r="F2902" s="39">
        <v>126</v>
      </c>
      <c r="G2902" t="s">
        <v>21</v>
      </c>
      <c r="H2902" t="s">
        <v>21</v>
      </c>
      <c r="I2902">
        <v>0</v>
      </c>
      <c r="J2902">
        <v>0</v>
      </c>
      <c r="K2902">
        <v>0</v>
      </c>
      <c r="L2902">
        <v>1</v>
      </c>
      <c r="M2902">
        <v>0</v>
      </c>
      <c r="N2902" t="s">
        <v>193</v>
      </c>
      <c r="O2902" t="s">
        <v>213</v>
      </c>
      <c r="P2902" t="s">
        <v>204</v>
      </c>
      <c r="Q2902" t="s">
        <v>170</v>
      </c>
      <c r="R2902" t="s">
        <v>155</v>
      </c>
      <c r="S2902">
        <v>5</v>
      </c>
      <c r="T2902" t="s">
        <v>135</v>
      </c>
      <c r="U2902">
        <v>0</v>
      </c>
      <c r="V2902">
        <v>5</v>
      </c>
      <c r="W2902" t="s">
        <v>135</v>
      </c>
      <c r="X2902">
        <v>0</v>
      </c>
      <c r="Y2902" t="s">
        <v>140</v>
      </c>
      <c r="Z2902" t="s">
        <v>186</v>
      </c>
      <c r="AA2902" t="s">
        <v>143</v>
      </c>
      <c r="AB2902" t="s">
        <v>162</v>
      </c>
      <c r="AC2902" t="s">
        <v>176</v>
      </c>
      <c r="AD2902" t="s">
        <v>155</v>
      </c>
      <c r="AE2902" t="s">
        <v>129</v>
      </c>
      <c r="AF2902" t="s">
        <v>21</v>
      </c>
    </row>
    <row r="2903" spans="1:32">
      <c r="A2903" t="s">
        <v>4036</v>
      </c>
      <c r="B2903" s="37">
        <v>39909</v>
      </c>
      <c r="C2903" s="38">
        <v>39909</v>
      </c>
      <c r="D2903" s="38">
        <v>39909</v>
      </c>
      <c r="E2903" s="38">
        <v>39904</v>
      </c>
      <c r="F2903" s="39">
        <v>4</v>
      </c>
      <c r="G2903" t="s">
        <v>9</v>
      </c>
      <c r="H2903" t="s">
        <v>9</v>
      </c>
      <c r="I2903">
        <v>1</v>
      </c>
      <c r="J2903">
        <v>0</v>
      </c>
      <c r="K2903">
        <v>0</v>
      </c>
      <c r="L2903">
        <v>0</v>
      </c>
      <c r="M2903">
        <v>1</v>
      </c>
      <c r="N2903" t="s">
        <v>198</v>
      </c>
      <c r="O2903" t="s">
        <v>213</v>
      </c>
      <c r="P2903" t="s">
        <v>208</v>
      </c>
      <c r="Q2903" t="s">
        <v>170</v>
      </c>
      <c r="R2903" t="s">
        <v>155</v>
      </c>
      <c r="T2903" t="s">
        <v>134</v>
      </c>
      <c r="U2903">
        <v>1</v>
      </c>
      <c r="W2903" t="s">
        <v>134</v>
      </c>
      <c r="X2903">
        <v>1</v>
      </c>
      <c r="Y2903" t="s">
        <v>139</v>
      </c>
      <c r="Z2903" t="s">
        <v>178</v>
      </c>
      <c r="AA2903" t="s">
        <v>145</v>
      </c>
      <c r="AB2903" t="s">
        <v>165</v>
      </c>
      <c r="AC2903" t="s">
        <v>4037</v>
      </c>
      <c r="AD2903" t="s">
        <v>158</v>
      </c>
      <c r="AE2903" t="s">
        <v>122</v>
      </c>
      <c r="AF2903" t="s">
        <v>21</v>
      </c>
    </row>
    <row r="2904" spans="1:32">
      <c r="A2904" t="s">
        <v>4038</v>
      </c>
      <c r="B2904" s="37">
        <v>40066</v>
      </c>
      <c r="C2904" s="38">
        <v>40066</v>
      </c>
      <c r="D2904" s="38">
        <v>40063</v>
      </c>
      <c r="E2904" s="38">
        <v>40057</v>
      </c>
      <c r="F2904" s="39">
        <v>161</v>
      </c>
      <c r="G2904" t="s">
        <v>9</v>
      </c>
      <c r="H2904" t="s">
        <v>9</v>
      </c>
      <c r="I2904">
        <v>1</v>
      </c>
      <c r="J2904">
        <v>0</v>
      </c>
      <c r="K2904">
        <v>0</v>
      </c>
      <c r="L2904">
        <v>0</v>
      </c>
      <c r="M2904">
        <v>1</v>
      </c>
      <c r="N2904" t="s">
        <v>195</v>
      </c>
      <c r="O2904" t="s">
        <v>213</v>
      </c>
      <c r="P2904" t="s">
        <v>206</v>
      </c>
      <c r="Q2904" t="s">
        <v>170</v>
      </c>
      <c r="R2904" t="s">
        <v>155</v>
      </c>
      <c r="S2904">
        <v>5</v>
      </c>
      <c r="T2904" t="s">
        <v>135</v>
      </c>
      <c r="U2904">
        <v>0</v>
      </c>
      <c r="V2904">
        <v>5</v>
      </c>
      <c r="W2904" t="s">
        <v>135</v>
      </c>
      <c r="X2904">
        <v>0</v>
      </c>
      <c r="Y2904" t="s">
        <v>139</v>
      </c>
      <c r="Z2904" t="s">
        <v>178</v>
      </c>
      <c r="AA2904" t="s">
        <v>151</v>
      </c>
      <c r="AB2904" t="s">
        <v>162</v>
      </c>
      <c r="AC2904" t="s">
        <v>506</v>
      </c>
      <c r="AD2904" t="s">
        <v>156</v>
      </c>
      <c r="AE2904" t="s">
        <v>120</v>
      </c>
      <c r="AF2904" t="s">
        <v>991</v>
      </c>
    </row>
    <row r="2905" spans="1:32">
      <c r="A2905" t="s">
        <v>4039</v>
      </c>
      <c r="B2905" s="37">
        <v>40030</v>
      </c>
      <c r="C2905" s="38">
        <v>40030</v>
      </c>
      <c r="D2905" s="38">
        <v>40028</v>
      </c>
      <c r="E2905" s="38">
        <v>40026</v>
      </c>
      <c r="F2905" s="39">
        <v>125</v>
      </c>
      <c r="G2905" t="s">
        <v>21</v>
      </c>
      <c r="H2905" t="s">
        <v>21</v>
      </c>
      <c r="I2905">
        <v>0</v>
      </c>
      <c r="J2905">
        <v>0</v>
      </c>
      <c r="K2905">
        <v>0</v>
      </c>
      <c r="L2905">
        <v>1</v>
      </c>
      <c r="M2905">
        <v>0</v>
      </c>
      <c r="N2905" t="s">
        <v>193</v>
      </c>
      <c r="O2905" t="s">
        <v>213</v>
      </c>
      <c r="P2905" t="s">
        <v>204</v>
      </c>
      <c r="Q2905" t="s">
        <v>170</v>
      </c>
      <c r="R2905" t="s">
        <v>155</v>
      </c>
      <c r="S2905">
        <v>5</v>
      </c>
      <c r="T2905" t="s">
        <v>135</v>
      </c>
      <c r="U2905">
        <v>0</v>
      </c>
      <c r="V2905">
        <v>5</v>
      </c>
      <c r="W2905" t="s">
        <v>135</v>
      </c>
      <c r="X2905">
        <v>0</v>
      </c>
      <c r="Y2905" t="s">
        <v>140</v>
      </c>
      <c r="Z2905" t="s">
        <v>178</v>
      </c>
      <c r="AA2905" t="s">
        <v>148</v>
      </c>
      <c r="AB2905" t="s">
        <v>162</v>
      </c>
      <c r="AC2905" t="s">
        <v>4040</v>
      </c>
      <c r="AD2905" t="s">
        <v>540</v>
      </c>
      <c r="AE2905" t="s">
        <v>123</v>
      </c>
      <c r="AF2905" t="s">
        <v>123</v>
      </c>
    </row>
    <row r="2906" spans="1:32">
      <c r="A2906" t="s">
        <v>4041</v>
      </c>
      <c r="B2906" s="37">
        <v>39976</v>
      </c>
      <c r="C2906" s="38">
        <v>39976</v>
      </c>
      <c r="D2906" s="38">
        <v>39972</v>
      </c>
      <c r="E2906" s="38">
        <v>39965</v>
      </c>
      <c r="F2906" s="39">
        <v>71</v>
      </c>
      <c r="G2906" t="s">
        <v>383</v>
      </c>
      <c r="H2906" t="s">
        <v>17</v>
      </c>
      <c r="I2906">
        <v>0</v>
      </c>
      <c r="J2906">
        <v>0</v>
      </c>
      <c r="K2906">
        <v>1</v>
      </c>
      <c r="L2906">
        <v>0</v>
      </c>
      <c r="M2906">
        <v>0</v>
      </c>
      <c r="N2906" t="s">
        <v>193</v>
      </c>
      <c r="O2906" t="s">
        <v>213</v>
      </c>
      <c r="P2906" t="s">
        <v>204</v>
      </c>
      <c r="Q2906" t="s">
        <v>170</v>
      </c>
      <c r="R2906" t="s">
        <v>155</v>
      </c>
      <c r="T2906" t="s">
        <v>134</v>
      </c>
      <c r="U2906">
        <v>1</v>
      </c>
      <c r="W2906" t="s">
        <v>134</v>
      </c>
      <c r="X2906">
        <v>1</v>
      </c>
      <c r="Y2906" t="s">
        <v>140</v>
      </c>
      <c r="Z2906" t="s">
        <v>178</v>
      </c>
      <c r="AA2906" t="s">
        <v>145</v>
      </c>
      <c r="AB2906" t="s">
        <v>163</v>
      </c>
      <c r="AC2906" t="s">
        <v>173</v>
      </c>
      <c r="AD2906" t="s">
        <v>155</v>
      </c>
      <c r="AE2906" t="s">
        <v>692</v>
      </c>
      <c r="AF2906" t="s">
        <v>21</v>
      </c>
    </row>
    <row r="2907" spans="1:32">
      <c r="A2907" t="s">
        <v>4042</v>
      </c>
      <c r="B2907" s="37">
        <v>39930</v>
      </c>
      <c r="C2907" s="38">
        <v>39930</v>
      </c>
      <c r="D2907" s="38">
        <v>39930</v>
      </c>
      <c r="E2907" s="38">
        <v>39904</v>
      </c>
      <c r="F2907" s="39">
        <v>25</v>
      </c>
      <c r="G2907" t="s">
        <v>21</v>
      </c>
      <c r="H2907" t="s">
        <v>21</v>
      </c>
      <c r="I2907">
        <v>0</v>
      </c>
      <c r="J2907">
        <v>0</v>
      </c>
      <c r="K2907">
        <v>0</v>
      </c>
      <c r="L2907">
        <v>1</v>
      </c>
      <c r="M2907">
        <v>0</v>
      </c>
      <c r="N2907" t="s">
        <v>194</v>
      </c>
      <c r="O2907" t="s">
        <v>213</v>
      </c>
      <c r="P2907" t="s">
        <v>205</v>
      </c>
      <c r="Q2907" t="s">
        <v>170</v>
      </c>
      <c r="R2907" t="s">
        <v>155</v>
      </c>
      <c r="T2907" t="s">
        <v>134</v>
      </c>
      <c r="U2907">
        <v>1</v>
      </c>
      <c r="W2907" t="s">
        <v>134</v>
      </c>
      <c r="X2907">
        <v>1</v>
      </c>
      <c r="Y2907" t="s">
        <v>139</v>
      </c>
      <c r="Z2907" t="s">
        <v>178</v>
      </c>
      <c r="AA2907" t="s">
        <v>150</v>
      </c>
      <c r="AB2907" t="s">
        <v>162</v>
      </c>
      <c r="AC2907" t="s">
        <v>176</v>
      </c>
      <c r="AD2907" t="s">
        <v>155</v>
      </c>
      <c r="AE2907" t="s">
        <v>439</v>
      </c>
      <c r="AF2907" t="s">
        <v>21</v>
      </c>
    </row>
    <row r="2908" spans="1:32">
      <c r="A2908" t="s">
        <v>4043</v>
      </c>
      <c r="B2908" s="37">
        <v>40014</v>
      </c>
      <c r="C2908" s="38">
        <v>40014</v>
      </c>
      <c r="D2908" s="38">
        <v>40014</v>
      </c>
      <c r="E2908" s="38">
        <v>39995</v>
      </c>
      <c r="F2908" s="39">
        <v>109</v>
      </c>
      <c r="G2908" t="s">
        <v>21</v>
      </c>
      <c r="H2908" t="s">
        <v>21</v>
      </c>
      <c r="I2908">
        <v>0</v>
      </c>
      <c r="J2908">
        <v>0</v>
      </c>
      <c r="K2908">
        <v>0</v>
      </c>
      <c r="L2908">
        <v>1</v>
      </c>
      <c r="M2908">
        <v>0</v>
      </c>
      <c r="N2908" t="s">
        <v>193</v>
      </c>
      <c r="O2908" t="s">
        <v>213</v>
      </c>
      <c r="P2908" t="s">
        <v>204</v>
      </c>
      <c r="Q2908" t="s">
        <v>170</v>
      </c>
      <c r="R2908" t="s">
        <v>155</v>
      </c>
      <c r="S2908">
        <v>1</v>
      </c>
      <c r="T2908" t="s">
        <v>136</v>
      </c>
      <c r="U2908">
        <v>0</v>
      </c>
      <c r="V2908">
        <v>4</v>
      </c>
      <c r="W2908" t="s">
        <v>137</v>
      </c>
      <c r="X2908">
        <v>0</v>
      </c>
      <c r="Y2908" t="s">
        <v>140</v>
      </c>
      <c r="Z2908" t="s">
        <v>186</v>
      </c>
      <c r="AA2908" t="s">
        <v>144</v>
      </c>
      <c r="AB2908" t="s">
        <v>162</v>
      </c>
      <c r="AC2908" t="s">
        <v>174</v>
      </c>
      <c r="AD2908" t="s">
        <v>157</v>
      </c>
      <c r="AE2908" t="s">
        <v>127</v>
      </c>
      <c r="AF2908" t="s">
        <v>1005</v>
      </c>
    </row>
    <row r="2909" spans="1:32">
      <c r="A2909" t="s">
        <v>4044</v>
      </c>
      <c r="B2909" s="37">
        <v>40023</v>
      </c>
      <c r="C2909" s="38">
        <v>40023</v>
      </c>
      <c r="D2909" s="38">
        <v>40021</v>
      </c>
      <c r="E2909" s="38">
        <v>39995</v>
      </c>
      <c r="F2909" s="39">
        <v>118</v>
      </c>
      <c r="G2909" t="s">
        <v>383</v>
      </c>
      <c r="H2909" t="s">
        <v>17</v>
      </c>
      <c r="I2909">
        <v>0</v>
      </c>
      <c r="J2909">
        <v>0</v>
      </c>
      <c r="K2909">
        <v>1</v>
      </c>
      <c r="L2909">
        <v>0</v>
      </c>
      <c r="M2909">
        <v>0</v>
      </c>
      <c r="N2909" t="s">
        <v>195</v>
      </c>
      <c r="O2909" t="s">
        <v>213</v>
      </c>
      <c r="P2909" t="s">
        <v>206</v>
      </c>
      <c r="Q2909" t="s">
        <v>170</v>
      </c>
      <c r="R2909" t="s">
        <v>155</v>
      </c>
      <c r="S2909">
        <v>1</v>
      </c>
      <c r="T2909" t="s">
        <v>136</v>
      </c>
      <c r="U2909">
        <v>0</v>
      </c>
      <c r="V2909">
        <v>4</v>
      </c>
      <c r="W2909" t="s">
        <v>137</v>
      </c>
      <c r="X2909">
        <v>0</v>
      </c>
      <c r="Y2909" t="s">
        <v>139</v>
      </c>
      <c r="Z2909" t="s">
        <v>191</v>
      </c>
      <c r="AA2909" t="s">
        <v>144</v>
      </c>
      <c r="AB2909" t="s">
        <v>162</v>
      </c>
      <c r="AC2909" t="s">
        <v>176</v>
      </c>
      <c r="AD2909" t="s">
        <v>155</v>
      </c>
      <c r="AE2909" t="s">
        <v>129</v>
      </c>
      <c r="AF2909" t="s">
        <v>21</v>
      </c>
    </row>
    <row r="2910" spans="1:32">
      <c r="A2910" t="s">
        <v>4045</v>
      </c>
      <c r="B2910" s="37">
        <v>39997</v>
      </c>
      <c r="C2910" s="38">
        <v>39997</v>
      </c>
      <c r="D2910" s="38">
        <v>39993</v>
      </c>
      <c r="E2910" s="38">
        <v>39995</v>
      </c>
      <c r="F2910" s="39">
        <v>92</v>
      </c>
      <c r="G2910" t="s">
        <v>496</v>
      </c>
      <c r="H2910" t="s">
        <v>13</v>
      </c>
      <c r="I2910">
        <v>0</v>
      </c>
      <c r="J2910">
        <v>1</v>
      </c>
      <c r="K2910">
        <v>0</v>
      </c>
      <c r="L2910">
        <v>0</v>
      </c>
      <c r="M2910">
        <v>1</v>
      </c>
      <c r="N2910" t="s">
        <v>193</v>
      </c>
      <c r="O2910" t="s">
        <v>213</v>
      </c>
      <c r="P2910" t="s">
        <v>204</v>
      </c>
      <c r="Q2910" t="s">
        <v>170</v>
      </c>
      <c r="R2910" t="s">
        <v>155</v>
      </c>
      <c r="T2910" t="s">
        <v>134</v>
      </c>
      <c r="U2910">
        <v>1</v>
      </c>
      <c r="V2910">
        <v>3</v>
      </c>
      <c r="W2910" t="s">
        <v>137</v>
      </c>
      <c r="X2910">
        <v>0</v>
      </c>
      <c r="Y2910" t="s">
        <v>140</v>
      </c>
      <c r="Z2910" t="s">
        <v>534</v>
      </c>
      <c r="AA2910" t="s">
        <v>144</v>
      </c>
      <c r="AB2910" t="s">
        <v>162</v>
      </c>
      <c r="AC2910" t="s">
        <v>174</v>
      </c>
      <c r="AD2910" t="s">
        <v>159</v>
      </c>
      <c r="AE2910" t="s">
        <v>123</v>
      </c>
      <c r="AF2910" t="s">
        <v>123</v>
      </c>
    </row>
    <row r="2911" spans="1:32">
      <c r="A2911" t="s">
        <v>4046</v>
      </c>
      <c r="B2911" s="37">
        <v>40018</v>
      </c>
      <c r="C2911" s="38">
        <v>40018</v>
      </c>
      <c r="D2911" s="38">
        <v>40014</v>
      </c>
      <c r="E2911" s="38">
        <v>39995</v>
      </c>
      <c r="F2911" s="39">
        <v>113</v>
      </c>
      <c r="G2911" t="s">
        <v>21</v>
      </c>
      <c r="H2911" t="s">
        <v>21</v>
      </c>
      <c r="I2911">
        <v>0</v>
      </c>
      <c r="J2911">
        <v>0</v>
      </c>
      <c r="K2911">
        <v>0</v>
      </c>
      <c r="L2911">
        <v>1</v>
      </c>
      <c r="M2911">
        <v>0</v>
      </c>
      <c r="N2911" t="s">
        <v>193</v>
      </c>
      <c r="O2911" t="s">
        <v>213</v>
      </c>
      <c r="P2911" t="s">
        <v>204</v>
      </c>
      <c r="Q2911" t="s">
        <v>170</v>
      </c>
      <c r="R2911" t="s">
        <v>155</v>
      </c>
      <c r="S2911">
        <v>5</v>
      </c>
      <c r="T2911" t="s">
        <v>135</v>
      </c>
      <c r="U2911">
        <v>0</v>
      </c>
      <c r="V2911">
        <v>4</v>
      </c>
      <c r="W2911" t="s">
        <v>137</v>
      </c>
      <c r="X2911">
        <v>0</v>
      </c>
      <c r="Y2911" t="s">
        <v>140</v>
      </c>
      <c r="Z2911" t="s">
        <v>191</v>
      </c>
      <c r="AA2911" t="s">
        <v>145</v>
      </c>
      <c r="AB2911" t="s">
        <v>162</v>
      </c>
      <c r="AC2911" t="s">
        <v>21</v>
      </c>
      <c r="AD2911" t="s">
        <v>155</v>
      </c>
      <c r="AE2911" t="s">
        <v>130</v>
      </c>
      <c r="AF2911" t="s">
        <v>21</v>
      </c>
    </row>
    <row r="2912" spans="1:32">
      <c r="A2912" t="s">
        <v>4047</v>
      </c>
      <c r="B2912" s="37">
        <v>40026</v>
      </c>
      <c r="C2912" s="38">
        <v>40026</v>
      </c>
      <c r="D2912" s="38">
        <v>40021</v>
      </c>
      <c r="E2912" s="38">
        <v>40026</v>
      </c>
      <c r="F2912" s="39">
        <v>121</v>
      </c>
      <c r="G2912" t="s">
        <v>21</v>
      </c>
      <c r="H2912" t="s">
        <v>21</v>
      </c>
      <c r="I2912">
        <v>0</v>
      </c>
      <c r="J2912">
        <v>0</v>
      </c>
      <c r="K2912">
        <v>0</v>
      </c>
      <c r="L2912">
        <v>1</v>
      </c>
      <c r="M2912">
        <v>0</v>
      </c>
      <c r="N2912" t="s">
        <v>193</v>
      </c>
      <c r="O2912" t="s">
        <v>213</v>
      </c>
      <c r="P2912" t="s">
        <v>204</v>
      </c>
      <c r="Q2912" t="s">
        <v>170</v>
      </c>
      <c r="R2912" t="s">
        <v>155</v>
      </c>
      <c r="S2912">
        <v>5</v>
      </c>
      <c r="T2912" t="s">
        <v>135</v>
      </c>
      <c r="U2912">
        <v>0</v>
      </c>
      <c r="V2912">
        <v>5</v>
      </c>
      <c r="W2912" t="s">
        <v>135</v>
      </c>
      <c r="X2912">
        <v>0</v>
      </c>
      <c r="Y2912" t="s">
        <v>140</v>
      </c>
      <c r="Z2912" t="s">
        <v>181</v>
      </c>
      <c r="AA2912" t="s">
        <v>144</v>
      </c>
      <c r="AB2912" t="s">
        <v>162</v>
      </c>
      <c r="AC2912" t="s">
        <v>3072</v>
      </c>
      <c r="AD2912" t="s">
        <v>157</v>
      </c>
      <c r="AE2912" t="s">
        <v>127</v>
      </c>
      <c r="AF2912" t="s">
        <v>153</v>
      </c>
    </row>
    <row r="2913" spans="1:32">
      <c r="A2913" t="s">
        <v>4048</v>
      </c>
      <c r="B2913" s="37">
        <v>40037</v>
      </c>
      <c r="C2913" s="38">
        <v>40037</v>
      </c>
      <c r="D2913" s="38">
        <v>40035</v>
      </c>
      <c r="E2913" s="38">
        <v>40026</v>
      </c>
      <c r="F2913" s="39">
        <v>132</v>
      </c>
      <c r="G2913" t="s">
        <v>496</v>
      </c>
      <c r="H2913" t="s">
        <v>13</v>
      </c>
      <c r="I2913">
        <v>0</v>
      </c>
      <c r="J2913">
        <v>1</v>
      </c>
      <c r="K2913">
        <v>0</v>
      </c>
      <c r="L2913">
        <v>0</v>
      </c>
      <c r="M2913">
        <v>1</v>
      </c>
      <c r="N2913" t="s">
        <v>196</v>
      </c>
      <c r="O2913" t="s">
        <v>213</v>
      </c>
      <c r="P2913" t="s">
        <v>207</v>
      </c>
      <c r="Q2913" t="s">
        <v>170</v>
      </c>
      <c r="R2913" t="s">
        <v>155</v>
      </c>
      <c r="S2913">
        <v>5</v>
      </c>
      <c r="T2913" t="s">
        <v>135</v>
      </c>
      <c r="U2913">
        <v>0</v>
      </c>
      <c r="V2913">
        <v>2</v>
      </c>
      <c r="W2913" t="s">
        <v>136</v>
      </c>
      <c r="X2913">
        <v>0</v>
      </c>
      <c r="Y2913" t="s">
        <v>139</v>
      </c>
      <c r="Z2913" t="s">
        <v>184</v>
      </c>
      <c r="AA2913" t="s">
        <v>145</v>
      </c>
      <c r="AB2913" t="s">
        <v>162</v>
      </c>
      <c r="AC2913" t="s">
        <v>802</v>
      </c>
      <c r="AD2913" t="s">
        <v>398</v>
      </c>
      <c r="AE2913" t="s">
        <v>123</v>
      </c>
      <c r="AF2913" t="s">
        <v>123</v>
      </c>
    </row>
    <row r="2914" spans="1:32">
      <c r="A2914" t="s">
        <v>4049</v>
      </c>
      <c r="B2914" s="37">
        <v>39953</v>
      </c>
      <c r="C2914" s="38">
        <v>39953</v>
      </c>
      <c r="D2914" s="38">
        <v>39951</v>
      </c>
      <c r="E2914" s="38">
        <v>39934</v>
      </c>
      <c r="F2914" s="39">
        <v>48</v>
      </c>
      <c r="G2914" t="s">
        <v>9</v>
      </c>
      <c r="H2914" t="s">
        <v>9</v>
      </c>
      <c r="I2914">
        <v>1</v>
      </c>
      <c r="J2914">
        <v>0</v>
      </c>
      <c r="K2914">
        <v>0</v>
      </c>
      <c r="L2914">
        <v>0</v>
      </c>
      <c r="M2914">
        <v>1</v>
      </c>
      <c r="N2914" t="s">
        <v>193</v>
      </c>
      <c r="O2914" t="s">
        <v>213</v>
      </c>
      <c r="P2914" t="s">
        <v>204</v>
      </c>
      <c r="Q2914" t="s">
        <v>170</v>
      </c>
      <c r="R2914" t="s">
        <v>155</v>
      </c>
      <c r="T2914" t="s">
        <v>134</v>
      </c>
      <c r="U2914">
        <v>1</v>
      </c>
      <c r="W2914" t="s">
        <v>134</v>
      </c>
      <c r="X2914">
        <v>1</v>
      </c>
      <c r="Y2914" t="s">
        <v>140</v>
      </c>
      <c r="Z2914" t="s">
        <v>184</v>
      </c>
      <c r="AA2914" t="s">
        <v>147</v>
      </c>
      <c r="AB2914" t="s">
        <v>163</v>
      </c>
      <c r="AC2914" t="s">
        <v>173</v>
      </c>
      <c r="AD2914" t="s">
        <v>155</v>
      </c>
      <c r="AE2914" t="s">
        <v>124</v>
      </c>
      <c r="AF2914" t="s">
        <v>21</v>
      </c>
    </row>
    <row r="2915" spans="1:32">
      <c r="A2915" t="s">
        <v>4050</v>
      </c>
      <c r="B2915" s="37">
        <v>39966</v>
      </c>
      <c r="C2915" s="38">
        <v>39966</v>
      </c>
      <c r="D2915" s="38">
        <v>39965</v>
      </c>
      <c r="E2915" s="38">
        <v>39965</v>
      </c>
      <c r="F2915" s="39">
        <v>61</v>
      </c>
      <c r="G2915" t="s">
        <v>21</v>
      </c>
      <c r="H2915" t="s">
        <v>21</v>
      </c>
      <c r="I2915">
        <v>0</v>
      </c>
      <c r="J2915">
        <v>0</v>
      </c>
      <c r="K2915">
        <v>0</v>
      </c>
      <c r="L2915">
        <v>1</v>
      </c>
      <c r="M2915">
        <v>0</v>
      </c>
      <c r="N2915" t="s">
        <v>193</v>
      </c>
      <c r="O2915" t="s">
        <v>213</v>
      </c>
      <c r="P2915" t="s">
        <v>204</v>
      </c>
      <c r="Q2915" t="s">
        <v>170</v>
      </c>
      <c r="R2915" t="s">
        <v>155</v>
      </c>
      <c r="T2915" t="s">
        <v>134</v>
      </c>
      <c r="U2915">
        <v>1</v>
      </c>
      <c r="W2915" t="s">
        <v>134</v>
      </c>
      <c r="X2915">
        <v>1</v>
      </c>
      <c r="Y2915" t="s">
        <v>140</v>
      </c>
      <c r="Z2915" t="s">
        <v>178</v>
      </c>
      <c r="AA2915" t="s">
        <v>149</v>
      </c>
      <c r="AB2915" t="s">
        <v>162</v>
      </c>
      <c r="AC2915" t="s">
        <v>21</v>
      </c>
      <c r="AD2915" t="s">
        <v>161</v>
      </c>
      <c r="AE2915" t="s">
        <v>571</v>
      </c>
      <c r="AF2915" t="s">
        <v>21</v>
      </c>
    </row>
    <row r="2916" spans="1:32">
      <c r="A2916" t="s">
        <v>4051</v>
      </c>
      <c r="B2916" s="37">
        <v>39966</v>
      </c>
      <c r="C2916" s="38">
        <v>39966</v>
      </c>
      <c r="D2916" s="38">
        <v>39965</v>
      </c>
      <c r="E2916" s="38">
        <v>39965</v>
      </c>
      <c r="F2916" s="39">
        <v>61</v>
      </c>
      <c r="G2916" t="s">
        <v>21</v>
      </c>
      <c r="H2916" t="s">
        <v>21</v>
      </c>
      <c r="I2916">
        <v>0</v>
      </c>
      <c r="J2916">
        <v>0</v>
      </c>
      <c r="K2916">
        <v>0</v>
      </c>
      <c r="L2916">
        <v>1</v>
      </c>
      <c r="M2916">
        <v>0</v>
      </c>
      <c r="N2916" t="s">
        <v>194</v>
      </c>
      <c r="O2916" t="s">
        <v>213</v>
      </c>
      <c r="P2916" t="s">
        <v>205</v>
      </c>
      <c r="Q2916" t="s">
        <v>170</v>
      </c>
      <c r="R2916" t="s">
        <v>155</v>
      </c>
      <c r="T2916" t="s">
        <v>134</v>
      </c>
      <c r="U2916">
        <v>1</v>
      </c>
      <c r="W2916" t="s">
        <v>134</v>
      </c>
      <c r="X2916">
        <v>1</v>
      </c>
      <c r="Y2916" t="s">
        <v>139</v>
      </c>
      <c r="Z2916" t="s">
        <v>185</v>
      </c>
      <c r="AA2916" t="s">
        <v>144</v>
      </c>
      <c r="AB2916" t="s">
        <v>163</v>
      </c>
      <c r="AC2916" t="s">
        <v>3952</v>
      </c>
      <c r="AD2916" t="s">
        <v>155</v>
      </c>
      <c r="AE2916" t="s">
        <v>124</v>
      </c>
      <c r="AF2916" t="s">
        <v>21</v>
      </c>
    </row>
    <row r="2917" spans="1:32">
      <c r="A2917" t="s">
        <v>4052</v>
      </c>
      <c r="B2917" s="37">
        <v>40074</v>
      </c>
      <c r="C2917" s="38">
        <v>40074</v>
      </c>
      <c r="D2917" s="38">
        <v>40070</v>
      </c>
      <c r="E2917" s="38">
        <v>40057</v>
      </c>
      <c r="F2917" s="39">
        <v>169</v>
      </c>
      <c r="G2917" t="s">
        <v>21</v>
      </c>
      <c r="H2917" t="s">
        <v>21</v>
      </c>
      <c r="I2917">
        <v>0</v>
      </c>
      <c r="J2917">
        <v>0</v>
      </c>
      <c r="K2917">
        <v>0</v>
      </c>
      <c r="L2917">
        <v>1</v>
      </c>
      <c r="M2917">
        <v>0</v>
      </c>
      <c r="N2917" t="s">
        <v>197</v>
      </c>
      <c r="O2917" t="s">
        <v>213</v>
      </c>
      <c r="P2917" t="s">
        <v>209</v>
      </c>
      <c r="Q2917" t="s">
        <v>170</v>
      </c>
      <c r="R2917" t="s">
        <v>155</v>
      </c>
      <c r="S2917">
        <v>5</v>
      </c>
      <c r="T2917" t="s">
        <v>135</v>
      </c>
      <c r="U2917">
        <v>0</v>
      </c>
      <c r="V2917">
        <v>5</v>
      </c>
      <c r="W2917" t="s">
        <v>135</v>
      </c>
      <c r="X2917">
        <v>0</v>
      </c>
      <c r="Y2917" t="s">
        <v>139</v>
      </c>
      <c r="Z2917" t="s">
        <v>528</v>
      </c>
      <c r="AA2917" t="s">
        <v>143</v>
      </c>
      <c r="AB2917" t="s">
        <v>162</v>
      </c>
      <c r="AC2917" t="s">
        <v>174</v>
      </c>
      <c r="AD2917" t="s">
        <v>159</v>
      </c>
      <c r="AE2917" t="s">
        <v>123</v>
      </c>
      <c r="AF2917" t="s">
        <v>123</v>
      </c>
    </row>
    <row r="2918" spans="1:32">
      <c r="A2918" t="s">
        <v>4053</v>
      </c>
      <c r="B2918" s="37">
        <v>40001</v>
      </c>
      <c r="C2918" s="38">
        <v>40001</v>
      </c>
      <c r="D2918" s="38">
        <v>40000</v>
      </c>
      <c r="E2918" s="38">
        <v>39995</v>
      </c>
      <c r="F2918" s="39">
        <v>96</v>
      </c>
      <c r="G2918" t="s">
        <v>21</v>
      </c>
      <c r="H2918" t="s">
        <v>21</v>
      </c>
      <c r="I2918">
        <v>0</v>
      </c>
      <c r="J2918">
        <v>0</v>
      </c>
      <c r="K2918">
        <v>0</v>
      </c>
      <c r="L2918">
        <v>1</v>
      </c>
      <c r="M2918">
        <v>0</v>
      </c>
      <c r="N2918" t="s">
        <v>193</v>
      </c>
      <c r="O2918" t="s">
        <v>213</v>
      </c>
      <c r="P2918" t="s">
        <v>204</v>
      </c>
      <c r="Q2918" t="s">
        <v>170</v>
      </c>
      <c r="R2918" t="s">
        <v>155</v>
      </c>
      <c r="T2918" t="s">
        <v>134</v>
      </c>
      <c r="U2918">
        <v>1</v>
      </c>
      <c r="V2918">
        <v>3</v>
      </c>
      <c r="W2918" t="s">
        <v>137</v>
      </c>
      <c r="X2918">
        <v>0</v>
      </c>
      <c r="Y2918" t="s">
        <v>140</v>
      </c>
      <c r="Z2918" t="s">
        <v>528</v>
      </c>
      <c r="AA2918" t="s">
        <v>142</v>
      </c>
      <c r="AB2918" t="s">
        <v>162</v>
      </c>
      <c r="AC2918" t="s">
        <v>174</v>
      </c>
      <c r="AD2918" t="s">
        <v>157</v>
      </c>
      <c r="AE2918" t="s">
        <v>434</v>
      </c>
      <c r="AF2918" t="s">
        <v>435</v>
      </c>
    </row>
    <row r="2919" spans="1:32">
      <c r="A2919" t="s">
        <v>4054</v>
      </c>
      <c r="B2919" s="37">
        <v>40075</v>
      </c>
      <c r="C2919" s="38">
        <v>40075</v>
      </c>
      <c r="D2919" s="38">
        <v>40070</v>
      </c>
      <c r="E2919" s="38">
        <v>40057</v>
      </c>
      <c r="F2919" s="39">
        <v>170</v>
      </c>
      <c r="G2919" t="s">
        <v>21</v>
      </c>
      <c r="H2919" t="s">
        <v>21</v>
      </c>
      <c r="I2919">
        <v>0</v>
      </c>
      <c r="J2919">
        <v>0</v>
      </c>
      <c r="K2919">
        <v>0</v>
      </c>
      <c r="L2919">
        <v>1</v>
      </c>
      <c r="M2919">
        <v>0</v>
      </c>
      <c r="N2919" t="s">
        <v>193</v>
      </c>
      <c r="O2919" t="s">
        <v>213</v>
      </c>
      <c r="P2919" t="s">
        <v>204</v>
      </c>
      <c r="Q2919" t="s">
        <v>170</v>
      </c>
      <c r="R2919" t="s">
        <v>155</v>
      </c>
      <c r="S2919">
        <v>5</v>
      </c>
      <c r="T2919" t="s">
        <v>135</v>
      </c>
      <c r="U2919">
        <v>0</v>
      </c>
      <c r="V2919">
        <v>3</v>
      </c>
      <c r="W2919" t="s">
        <v>137</v>
      </c>
      <c r="X2919">
        <v>0</v>
      </c>
      <c r="Y2919" t="s">
        <v>140</v>
      </c>
      <c r="Z2919" t="s">
        <v>528</v>
      </c>
      <c r="AA2919" t="s">
        <v>146</v>
      </c>
      <c r="AB2919" t="s">
        <v>163</v>
      </c>
      <c r="AC2919" t="s">
        <v>1308</v>
      </c>
      <c r="AD2919" t="s">
        <v>155</v>
      </c>
      <c r="AE2919" t="s">
        <v>510</v>
      </c>
      <c r="AF2919" t="s">
        <v>21</v>
      </c>
    </row>
    <row r="2920" spans="1:32">
      <c r="A2920" t="s">
        <v>4055</v>
      </c>
      <c r="B2920" s="37">
        <v>40041</v>
      </c>
      <c r="C2920" s="38">
        <v>40041</v>
      </c>
      <c r="D2920" s="38">
        <v>40035</v>
      </c>
      <c r="E2920" s="38">
        <v>40026</v>
      </c>
      <c r="F2920" s="39">
        <v>136</v>
      </c>
      <c r="G2920" t="s">
        <v>21</v>
      </c>
      <c r="H2920" t="s">
        <v>21</v>
      </c>
      <c r="I2920">
        <v>0</v>
      </c>
      <c r="J2920">
        <v>0</v>
      </c>
      <c r="K2920">
        <v>0</v>
      </c>
      <c r="L2920">
        <v>1</v>
      </c>
      <c r="M2920">
        <v>0</v>
      </c>
      <c r="N2920" t="s">
        <v>193</v>
      </c>
      <c r="O2920" t="s">
        <v>213</v>
      </c>
      <c r="P2920" t="s">
        <v>204</v>
      </c>
      <c r="Q2920" t="s">
        <v>170</v>
      </c>
      <c r="R2920" t="s">
        <v>155</v>
      </c>
      <c r="S2920">
        <v>5</v>
      </c>
      <c r="T2920" t="s">
        <v>135</v>
      </c>
      <c r="U2920">
        <v>0</v>
      </c>
      <c r="V2920">
        <v>5</v>
      </c>
      <c r="W2920" t="s">
        <v>135</v>
      </c>
      <c r="X2920">
        <v>0</v>
      </c>
      <c r="Y2920" t="s">
        <v>140</v>
      </c>
      <c r="Z2920" t="s">
        <v>384</v>
      </c>
      <c r="AA2920" t="s">
        <v>146</v>
      </c>
      <c r="AB2920" t="s">
        <v>162</v>
      </c>
      <c r="AC2920" t="s">
        <v>1607</v>
      </c>
      <c r="AD2920" t="s">
        <v>157</v>
      </c>
      <c r="AE2920" t="s">
        <v>127</v>
      </c>
      <c r="AF2920" t="s">
        <v>153</v>
      </c>
    </row>
    <row r="2921" spans="1:32">
      <c r="A2921" t="s">
        <v>4056</v>
      </c>
      <c r="B2921" s="37">
        <v>40084</v>
      </c>
      <c r="C2921" s="38">
        <v>40084</v>
      </c>
      <c r="D2921" s="38">
        <v>40084</v>
      </c>
      <c r="E2921" s="38">
        <v>40057</v>
      </c>
      <c r="F2921" s="39">
        <v>179</v>
      </c>
      <c r="G2921" t="s">
        <v>21</v>
      </c>
      <c r="H2921" t="s">
        <v>21</v>
      </c>
      <c r="I2921">
        <v>0</v>
      </c>
      <c r="J2921">
        <v>0</v>
      </c>
      <c r="K2921">
        <v>0</v>
      </c>
      <c r="L2921">
        <v>1</v>
      </c>
      <c r="M2921">
        <v>0</v>
      </c>
      <c r="N2921" t="s">
        <v>197</v>
      </c>
      <c r="O2921" t="s">
        <v>213</v>
      </c>
      <c r="P2921" t="s">
        <v>209</v>
      </c>
      <c r="Q2921" t="s">
        <v>170</v>
      </c>
      <c r="R2921" t="s">
        <v>155</v>
      </c>
      <c r="S2921">
        <v>5</v>
      </c>
      <c r="T2921" t="s">
        <v>135</v>
      </c>
      <c r="U2921">
        <v>0</v>
      </c>
      <c r="V2921">
        <v>4</v>
      </c>
      <c r="W2921" t="s">
        <v>137</v>
      </c>
      <c r="X2921">
        <v>0</v>
      </c>
      <c r="Y2921" t="s">
        <v>139</v>
      </c>
      <c r="Z2921" t="s">
        <v>178</v>
      </c>
      <c r="AA2921" t="s">
        <v>145</v>
      </c>
      <c r="AB2921" t="s">
        <v>162</v>
      </c>
      <c r="AC2921" t="s">
        <v>174</v>
      </c>
      <c r="AD2921" t="s">
        <v>4057</v>
      </c>
      <c r="AE2921" t="s">
        <v>4058</v>
      </c>
      <c r="AF2921" t="s">
        <v>4059</v>
      </c>
    </row>
    <row r="2922" spans="1:32">
      <c r="A2922" t="s">
        <v>4060</v>
      </c>
      <c r="B2922" s="37">
        <v>40065</v>
      </c>
      <c r="C2922" s="38">
        <v>40065</v>
      </c>
      <c r="D2922" s="38">
        <v>40063</v>
      </c>
      <c r="E2922" s="38">
        <v>40057</v>
      </c>
      <c r="F2922" s="39">
        <v>160</v>
      </c>
      <c r="G2922" t="s">
        <v>21</v>
      </c>
      <c r="H2922" t="s">
        <v>21</v>
      </c>
      <c r="I2922">
        <v>0</v>
      </c>
      <c r="J2922">
        <v>0</v>
      </c>
      <c r="K2922">
        <v>0</v>
      </c>
      <c r="L2922">
        <v>1</v>
      </c>
      <c r="M2922">
        <v>0</v>
      </c>
      <c r="N2922" t="s">
        <v>197</v>
      </c>
      <c r="O2922" t="s">
        <v>213</v>
      </c>
      <c r="P2922" t="s">
        <v>209</v>
      </c>
      <c r="Q2922" t="s">
        <v>170</v>
      </c>
      <c r="R2922" t="s">
        <v>155</v>
      </c>
      <c r="S2922">
        <v>3</v>
      </c>
      <c r="T2922" t="s">
        <v>137</v>
      </c>
      <c r="U2922">
        <v>0</v>
      </c>
      <c r="V2922">
        <v>3</v>
      </c>
      <c r="W2922" t="s">
        <v>137</v>
      </c>
      <c r="X2922">
        <v>0</v>
      </c>
      <c r="Y2922" t="s">
        <v>139</v>
      </c>
      <c r="Z2922" t="s">
        <v>181</v>
      </c>
      <c r="AA2922" t="s">
        <v>144</v>
      </c>
      <c r="AB2922" t="s">
        <v>162</v>
      </c>
      <c r="AC2922" t="s">
        <v>21</v>
      </c>
      <c r="AD2922" t="s">
        <v>155</v>
      </c>
      <c r="AE2922" t="s">
        <v>127</v>
      </c>
      <c r="AF2922" t="s">
        <v>21</v>
      </c>
    </row>
    <row r="2923" spans="1:32">
      <c r="A2923" t="s">
        <v>4061</v>
      </c>
      <c r="B2923" s="37">
        <v>39961</v>
      </c>
      <c r="C2923" s="38">
        <v>39961</v>
      </c>
      <c r="D2923" s="38">
        <v>39958</v>
      </c>
      <c r="E2923" s="38">
        <v>39934</v>
      </c>
      <c r="F2923" s="39">
        <v>56</v>
      </c>
      <c r="G2923" t="s">
        <v>21</v>
      </c>
      <c r="H2923" t="s">
        <v>21</v>
      </c>
      <c r="I2923">
        <v>0</v>
      </c>
      <c r="J2923">
        <v>0</v>
      </c>
      <c r="K2923">
        <v>0</v>
      </c>
      <c r="L2923">
        <v>1</v>
      </c>
      <c r="M2923">
        <v>0</v>
      </c>
      <c r="N2923" t="s">
        <v>193</v>
      </c>
      <c r="O2923" t="s">
        <v>213</v>
      </c>
      <c r="P2923" t="s">
        <v>204</v>
      </c>
      <c r="Q2923" t="s">
        <v>170</v>
      </c>
      <c r="R2923" t="s">
        <v>155</v>
      </c>
      <c r="T2923" t="s">
        <v>134</v>
      </c>
      <c r="U2923">
        <v>1</v>
      </c>
      <c r="W2923" t="s">
        <v>134</v>
      </c>
      <c r="X2923">
        <v>1</v>
      </c>
      <c r="Y2923" t="s">
        <v>140</v>
      </c>
      <c r="Z2923" t="s">
        <v>181</v>
      </c>
      <c r="AA2923" t="s">
        <v>148</v>
      </c>
      <c r="AB2923" t="s">
        <v>162</v>
      </c>
      <c r="AC2923" t="s">
        <v>597</v>
      </c>
      <c r="AD2923" t="s">
        <v>155</v>
      </c>
      <c r="AE2923" t="s">
        <v>130</v>
      </c>
      <c r="AF2923" t="s">
        <v>21</v>
      </c>
    </row>
    <row r="2924" spans="1:32">
      <c r="A2924" t="s">
        <v>4062</v>
      </c>
      <c r="B2924" s="37">
        <v>39993</v>
      </c>
      <c r="C2924" s="38">
        <v>39993</v>
      </c>
      <c r="D2924" s="38">
        <v>39993</v>
      </c>
      <c r="E2924" s="38">
        <v>39965</v>
      </c>
      <c r="F2924" s="39">
        <v>88</v>
      </c>
      <c r="G2924" t="s">
        <v>9</v>
      </c>
      <c r="H2924" t="s">
        <v>9</v>
      </c>
      <c r="I2924">
        <v>1</v>
      </c>
      <c r="J2924">
        <v>0</v>
      </c>
      <c r="K2924">
        <v>0</v>
      </c>
      <c r="L2924">
        <v>0</v>
      </c>
      <c r="M2924">
        <v>1</v>
      </c>
      <c r="N2924" t="s">
        <v>193</v>
      </c>
      <c r="O2924" t="s">
        <v>213</v>
      </c>
      <c r="P2924" t="s">
        <v>204</v>
      </c>
      <c r="Q2924" t="s">
        <v>170</v>
      </c>
      <c r="R2924" t="s">
        <v>155</v>
      </c>
      <c r="T2924" t="s">
        <v>134</v>
      </c>
      <c r="U2924">
        <v>1</v>
      </c>
      <c r="V2924">
        <v>5</v>
      </c>
      <c r="W2924" t="s">
        <v>135</v>
      </c>
      <c r="X2924">
        <v>0</v>
      </c>
      <c r="Y2924" t="s">
        <v>140</v>
      </c>
      <c r="Z2924" t="s">
        <v>181</v>
      </c>
      <c r="AA2924" t="s">
        <v>143</v>
      </c>
      <c r="AB2924" t="s">
        <v>165</v>
      </c>
      <c r="AC2924" t="s">
        <v>589</v>
      </c>
      <c r="AD2924" t="s">
        <v>158</v>
      </c>
      <c r="AE2924" t="s">
        <v>122</v>
      </c>
      <c r="AF2924" t="s">
        <v>21</v>
      </c>
    </row>
    <row r="2925" spans="1:32">
      <c r="A2925" t="s">
        <v>4063</v>
      </c>
      <c r="B2925" s="37">
        <v>39948</v>
      </c>
      <c r="C2925" s="38">
        <v>39948</v>
      </c>
      <c r="D2925" s="38">
        <v>39944</v>
      </c>
      <c r="E2925" s="38">
        <v>39934</v>
      </c>
      <c r="F2925" s="39">
        <v>43</v>
      </c>
      <c r="G2925" t="s">
        <v>21</v>
      </c>
      <c r="H2925" t="s">
        <v>21</v>
      </c>
      <c r="I2925">
        <v>0</v>
      </c>
      <c r="J2925">
        <v>0</v>
      </c>
      <c r="K2925">
        <v>0</v>
      </c>
      <c r="L2925">
        <v>1</v>
      </c>
      <c r="M2925">
        <v>0</v>
      </c>
      <c r="N2925" t="s">
        <v>193</v>
      </c>
      <c r="O2925" t="s">
        <v>213</v>
      </c>
      <c r="P2925" t="s">
        <v>204</v>
      </c>
      <c r="Q2925" t="s">
        <v>170</v>
      </c>
      <c r="R2925" t="s">
        <v>155</v>
      </c>
      <c r="T2925" t="s">
        <v>134</v>
      </c>
      <c r="U2925">
        <v>1</v>
      </c>
      <c r="W2925" t="s">
        <v>134</v>
      </c>
      <c r="X2925">
        <v>1</v>
      </c>
      <c r="Y2925" t="s">
        <v>140</v>
      </c>
      <c r="Z2925" t="s">
        <v>181</v>
      </c>
      <c r="AA2925" t="s">
        <v>150</v>
      </c>
      <c r="AB2925" t="s">
        <v>163</v>
      </c>
      <c r="AC2925" t="s">
        <v>415</v>
      </c>
      <c r="AD2925" t="s">
        <v>155</v>
      </c>
      <c r="AE2925" t="s">
        <v>125</v>
      </c>
      <c r="AF2925" t="s">
        <v>21</v>
      </c>
    </row>
    <row r="2926" spans="1:32">
      <c r="A2926" t="s">
        <v>4064</v>
      </c>
      <c r="B2926" s="37">
        <v>40029</v>
      </c>
      <c r="C2926" s="38">
        <v>40029</v>
      </c>
      <c r="D2926" s="38">
        <v>40028</v>
      </c>
      <c r="E2926" s="38">
        <v>40026</v>
      </c>
      <c r="F2926" s="39">
        <v>124</v>
      </c>
      <c r="G2926" t="s">
        <v>21</v>
      </c>
      <c r="H2926" t="s">
        <v>21</v>
      </c>
      <c r="I2926">
        <v>0</v>
      </c>
      <c r="J2926">
        <v>0</v>
      </c>
      <c r="K2926">
        <v>0</v>
      </c>
      <c r="L2926">
        <v>1</v>
      </c>
      <c r="M2926">
        <v>0</v>
      </c>
      <c r="N2926" t="s">
        <v>193</v>
      </c>
      <c r="O2926" t="s">
        <v>213</v>
      </c>
      <c r="P2926" t="s">
        <v>204</v>
      </c>
      <c r="Q2926" t="s">
        <v>170</v>
      </c>
      <c r="R2926" t="s">
        <v>155</v>
      </c>
      <c r="S2926">
        <v>5</v>
      </c>
      <c r="T2926" t="s">
        <v>135</v>
      </c>
      <c r="U2926">
        <v>0</v>
      </c>
      <c r="V2926">
        <v>5</v>
      </c>
      <c r="W2926" t="s">
        <v>135</v>
      </c>
      <c r="X2926">
        <v>0</v>
      </c>
      <c r="Y2926" t="s">
        <v>140</v>
      </c>
      <c r="Z2926" t="s">
        <v>181</v>
      </c>
      <c r="AA2926" t="s">
        <v>148</v>
      </c>
      <c r="AB2926" t="s">
        <v>163</v>
      </c>
      <c r="AC2926" t="s">
        <v>173</v>
      </c>
      <c r="AD2926" t="s">
        <v>155</v>
      </c>
      <c r="AE2926" t="s">
        <v>125</v>
      </c>
      <c r="AF2926" t="s">
        <v>21</v>
      </c>
    </row>
    <row r="2927" spans="1:32">
      <c r="A2927" t="s">
        <v>4065</v>
      </c>
      <c r="B2927" s="37">
        <v>40074</v>
      </c>
      <c r="C2927" s="38">
        <v>40074</v>
      </c>
      <c r="D2927" s="38">
        <v>40070</v>
      </c>
      <c r="E2927" s="38">
        <v>40057</v>
      </c>
      <c r="F2927" s="39">
        <v>169</v>
      </c>
      <c r="G2927" t="s">
        <v>380</v>
      </c>
      <c r="H2927" t="s">
        <v>17</v>
      </c>
      <c r="I2927">
        <v>0</v>
      </c>
      <c r="J2927">
        <v>0</v>
      </c>
      <c r="K2927">
        <v>1</v>
      </c>
      <c r="L2927">
        <v>0</v>
      </c>
      <c r="M2927">
        <v>0</v>
      </c>
      <c r="N2927" t="s">
        <v>544</v>
      </c>
      <c r="O2927" t="s">
        <v>213</v>
      </c>
      <c r="P2927" t="s">
        <v>545</v>
      </c>
      <c r="Q2927" t="s">
        <v>170</v>
      </c>
      <c r="R2927" t="s">
        <v>155</v>
      </c>
      <c r="S2927">
        <v>5</v>
      </c>
      <c r="T2927" t="s">
        <v>135</v>
      </c>
      <c r="U2927">
        <v>0</v>
      </c>
      <c r="V2927">
        <v>5</v>
      </c>
      <c r="W2927" t="s">
        <v>135</v>
      </c>
      <c r="X2927">
        <v>0</v>
      </c>
      <c r="Y2927" t="s">
        <v>139</v>
      </c>
      <c r="Z2927" t="s">
        <v>187</v>
      </c>
      <c r="AA2927" t="s">
        <v>145</v>
      </c>
      <c r="AB2927" t="s">
        <v>162</v>
      </c>
      <c r="AC2927" t="s">
        <v>21</v>
      </c>
      <c r="AD2927" t="s">
        <v>155</v>
      </c>
      <c r="AE2927" t="s">
        <v>129</v>
      </c>
      <c r="AF2927" t="s">
        <v>21</v>
      </c>
    </row>
    <row r="2928" spans="1:32">
      <c r="A2928" t="s">
        <v>4066</v>
      </c>
      <c r="B2928" s="37">
        <v>40021</v>
      </c>
      <c r="C2928" s="38">
        <v>40021</v>
      </c>
      <c r="D2928" s="38">
        <v>40021</v>
      </c>
      <c r="E2928" s="38">
        <v>39995</v>
      </c>
      <c r="F2928" s="39">
        <v>116</v>
      </c>
      <c r="G2928" t="s">
        <v>21</v>
      </c>
      <c r="H2928" t="s">
        <v>21</v>
      </c>
      <c r="I2928">
        <v>0</v>
      </c>
      <c r="J2928">
        <v>0</v>
      </c>
      <c r="K2928">
        <v>0</v>
      </c>
      <c r="L2928">
        <v>1</v>
      </c>
      <c r="M2928">
        <v>0</v>
      </c>
      <c r="N2928" t="s">
        <v>195</v>
      </c>
      <c r="O2928" t="s">
        <v>213</v>
      </c>
      <c r="P2928" t="s">
        <v>206</v>
      </c>
      <c r="Q2928" t="s">
        <v>170</v>
      </c>
      <c r="R2928" t="s">
        <v>155</v>
      </c>
      <c r="S2928">
        <v>5</v>
      </c>
      <c r="T2928" t="s">
        <v>135</v>
      </c>
      <c r="U2928">
        <v>0</v>
      </c>
      <c r="V2928">
        <v>5</v>
      </c>
      <c r="W2928" t="s">
        <v>135</v>
      </c>
      <c r="X2928">
        <v>0</v>
      </c>
      <c r="Y2928" t="s">
        <v>139</v>
      </c>
      <c r="Z2928" t="s">
        <v>190</v>
      </c>
      <c r="AA2928" t="s">
        <v>143</v>
      </c>
      <c r="AB2928" t="s">
        <v>162</v>
      </c>
      <c r="AC2928" t="s">
        <v>581</v>
      </c>
      <c r="AD2928" t="s">
        <v>159</v>
      </c>
      <c r="AE2928" t="s">
        <v>126</v>
      </c>
      <c r="AF2928" t="s">
        <v>601</v>
      </c>
    </row>
    <row r="2929" spans="1:32">
      <c r="A2929" t="s">
        <v>4067</v>
      </c>
      <c r="B2929" s="37">
        <v>40048</v>
      </c>
      <c r="C2929" s="38">
        <v>40048</v>
      </c>
      <c r="D2929" s="38">
        <v>40042</v>
      </c>
      <c r="E2929" s="38">
        <v>40026</v>
      </c>
      <c r="F2929" s="39">
        <v>143</v>
      </c>
      <c r="G2929" t="s">
        <v>21</v>
      </c>
      <c r="H2929" t="s">
        <v>21</v>
      </c>
      <c r="I2929">
        <v>0</v>
      </c>
      <c r="J2929">
        <v>0</v>
      </c>
      <c r="K2929">
        <v>0</v>
      </c>
      <c r="L2929">
        <v>1</v>
      </c>
      <c r="M2929">
        <v>0</v>
      </c>
      <c r="N2929" t="s">
        <v>197</v>
      </c>
      <c r="O2929" t="s">
        <v>213</v>
      </c>
      <c r="P2929" t="s">
        <v>209</v>
      </c>
      <c r="Q2929" t="s">
        <v>170</v>
      </c>
      <c r="R2929" t="s">
        <v>155</v>
      </c>
      <c r="S2929">
        <v>5</v>
      </c>
      <c r="T2929" t="s">
        <v>135</v>
      </c>
      <c r="U2929">
        <v>0</v>
      </c>
      <c r="V2929">
        <v>5</v>
      </c>
      <c r="W2929" t="s">
        <v>135</v>
      </c>
      <c r="X2929">
        <v>0</v>
      </c>
      <c r="Y2929" t="s">
        <v>139</v>
      </c>
      <c r="Z2929" t="s">
        <v>190</v>
      </c>
      <c r="AA2929" t="s">
        <v>142</v>
      </c>
      <c r="AB2929" t="s">
        <v>162</v>
      </c>
      <c r="AC2929" t="s">
        <v>429</v>
      </c>
      <c r="AD2929" t="s">
        <v>155</v>
      </c>
      <c r="AE2929" t="s">
        <v>129</v>
      </c>
      <c r="AF2929" t="s">
        <v>21</v>
      </c>
    </row>
    <row r="2930" spans="1:32">
      <c r="A2930" t="s">
        <v>4068</v>
      </c>
      <c r="B2930" s="37">
        <v>40042</v>
      </c>
      <c r="C2930" s="38">
        <v>40042</v>
      </c>
      <c r="D2930" s="38">
        <v>40042</v>
      </c>
      <c r="E2930" s="38">
        <v>40026</v>
      </c>
      <c r="F2930" s="39">
        <v>137</v>
      </c>
      <c r="G2930" t="s">
        <v>21</v>
      </c>
      <c r="H2930" t="s">
        <v>21</v>
      </c>
      <c r="I2930">
        <v>0</v>
      </c>
      <c r="J2930">
        <v>0</v>
      </c>
      <c r="K2930">
        <v>0</v>
      </c>
      <c r="L2930">
        <v>1</v>
      </c>
      <c r="M2930">
        <v>0</v>
      </c>
      <c r="N2930" t="s">
        <v>195</v>
      </c>
      <c r="O2930" t="s">
        <v>213</v>
      </c>
      <c r="P2930" t="s">
        <v>206</v>
      </c>
      <c r="Q2930" t="s">
        <v>170</v>
      </c>
      <c r="R2930" t="s">
        <v>155</v>
      </c>
      <c r="S2930">
        <v>5</v>
      </c>
      <c r="T2930" t="s">
        <v>135</v>
      </c>
      <c r="U2930">
        <v>0</v>
      </c>
      <c r="V2930">
        <v>3</v>
      </c>
      <c r="W2930" t="s">
        <v>137</v>
      </c>
      <c r="X2930">
        <v>0</v>
      </c>
      <c r="Y2930" t="s">
        <v>139</v>
      </c>
      <c r="Z2930" t="s">
        <v>181</v>
      </c>
      <c r="AA2930" t="s">
        <v>145</v>
      </c>
      <c r="AB2930" t="s">
        <v>162</v>
      </c>
      <c r="AC2930" t="s">
        <v>175</v>
      </c>
      <c r="AD2930" t="s">
        <v>155</v>
      </c>
      <c r="AE2930" t="s">
        <v>129</v>
      </c>
      <c r="AF2930" t="s">
        <v>21</v>
      </c>
    </row>
    <row r="2931" spans="1:32">
      <c r="A2931" t="s">
        <v>4069</v>
      </c>
      <c r="B2931" s="37">
        <v>39925</v>
      </c>
      <c r="C2931" s="38">
        <v>39925</v>
      </c>
      <c r="D2931" s="38">
        <v>39923</v>
      </c>
      <c r="E2931" s="38">
        <v>39904</v>
      </c>
      <c r="F2931" s="39">
        <v>20</v>
      </c>
      <c r="G2931" t="s">
        <v>9</v>
      </c>
      <c r="H2931" t="s">
        <v>9</v>
      </c>
      <c r="I2931">
        <v>1</v>
      </c>
      <c r="J2931">
        <v>0</v>
      </c>
      <c r="K2931">
        <v>0</v>
      </c>
      <c r="L2931">
        <v>0</v>
      </c>
      <c r="M2931">
        <v>1</v>
      </c>
      <c r="N2931" t="s">
        <v>199</v>
      </c>
      <c r="O2931" t="s">
        <v>213</v>
      </c>
      <c r="P2931" t="s">
        <v>210</v>
      </c>
      <c r="Q2931" t="s">
        <v>170</v>
      </c>
      <c r="R2931" t="s">
        <v>155</v>
      </c>
      <c r="T2931" t="s">
        <v>134</v>
      </c>
      <c r="U2931">
        <v>1</v>
      </c>
      <c r="W2931" t="s">
        <v>134</v>
      </c>
      <c r="X2931">
        <v>1</v>
      </c>
      <c r="Y2931" t="s">
        <v>139</v>
      </c>
      <c r="Z2931" t="s">
        <v>181</v>
      </c>
      <c r="AA2931" t="s">
        <v>147</v>
      </c>
      <c r="AB2931" t="s">
        <v>163</v>
      </c>
      <c r="AC2931" t="s">
        <v>173</v>
      </c>
      <c r="AD2931" t="s">
        <v>155</v>
      </c>
      <c r="AE2931" t="s">
        <v>792</v>
      </c>
      <c r="AF2931" t="s">
        <v>21</v>
      </c>
    </row>
    <row r="2932" spans="1:32">
      <c r="A2932" t="s">
        <v>4070</v>
      </c>
      <c r="B2932" s="37">
        <v>39979</v>
      </c>
      <c r="C2932" s="38">
        <v>39979</v>
      </c>
      <c r="D2932" s="38">
        <v>39979</v>
      </c>
      <c r="E2932" s="38">
        <v>39965</v>
      </c>
      <c r="F2932" s="39">
        <v>74</v>
      </c>
      <c r="G2932" t="s">
        <v>9</v>
      </c>
      <c r="H2932" t="s">
        <v>9</v>
      </c>
      <c r="I2932">
        <v>1</v>
      </c>
      <c r="J2932">
        <v>0</v>
      </c>
      <c r="K2932">
        <v>0</v>
      </c>
      <c r="L2932">
        <v>0</v>
      </c>
      <c r="M2932">
        <v>1</v>
      </c>
      <c r="N2932" t="s">
        <v>193</v>
      </c>
      <c r="O2932" t="s">
        <v>213</v>
      </c>
      <c r="P2932" t="s">
        <v>204</v>
      </c>
      <c r="Q2932" t="s">
        <v>170</v>
      </c>
      <c r="R2932" t="s">
        <v>155</v>
      </c>
      <c r="T2932" t="s">
        <v>134</v>
      </c>
      <c r="U2932">
        <v>1</v>
      </c>
      <c r="W2932" t="s">
        <v>134</v>
      </c>
      <c r="X2932">
        <v>1</v>
      </c>
      <c r="Y2932" t="s">
        <v>140</v>
      </c>
      <c r="Z2932" t="s">
        <v>181</v>
      </c>
      <c r="AA2932" t="s">
        <v>143</v>
      </c>
      <c r="AB2932" t="s">
        <v>163</v>
      </c>
      <c r="AC2932" t="s">
        <v>1574</v>
      </c>
      <c r="AD2932" t="s">
        <v>155</v>
      </c>
      <c r="AE2932" t="s">
        <v>125</v>
      </c>
      <c r="AF2932" t="s">
        <v>21</v>
      </c>
    </row>
    <row r="2933" spans="1:32">
      <c r="A2933" t="s">
        <v>4071</v>
      </c>
      <c r="B2933" s="37">
        <v>39936</v>
      </c>
      <c r="C2933" s="38">
        <v>39936</v>
      </c>
      <c r="D2933" s="38">
        <v>39930</v>
      </c>
      <c r="E2933" s="38">
        <v>39934</v>
      </c>
      <c r="F2933" s="39">
        <v>31</v>
      </c>
      <c r="G2933" t="s">
        <v>525</v>
      </c>
      <c r="H2933" t="s">
        <v>17</v>
      </c>
      <c r="I2933">
        <v>0</v>
      </c>
      <c r="J2933">
        <v>0</v>
      </c>
      <c r="K2933">
        <v>1</v>
      </c>
      <c r="L2933">
        <v>0</v>
      </c>
      <c r="M2933">
        <v>0</v>
      </c>
      <c r="N2933" t="s">
        <v>199</v>
      </c>
      <c r="O2933" t="s">
        <v>213</v>
      </c>
      <c r="P2933" t="s">
        <v>210</v>
      </c>
      <c r="Q2933" t="s">
        <v>170</v>
      </c>
      <c r="R2933" t="s">
        <v>155</v>
      </c>
      <c r="T2933" t="s">
        <v>134</v>
      </c>
      <c r="U2933">
        <v>1</v>
      </c>
      <c r="W2933" t="s">
        <v>134</v>
      </c>
      <c r="X2933">
        <v>1</v>
      </c>
      <c r="Y2933" t="s">
        <v>139</v>
      </c>
      <c r="Z2933" t="s">
        <v>181</v>
      </c>
      <c r="AA2933" t="s">
        <v>147</v>
      </c>
      <c r="AB2933" t="s">
        <v>162</v>
      </c>
      <c r="AC2933" t="s">
        <v>174</v>
      </c>
      <c r="AD2933" t="s">
        <v>157</v>
      </c>
      <c r="AE2933" t="s">
        <v>127</v>
      </c>
      <c r="AF2933" t="s">
        <v>153</v>
      </c>
    </row>
    <row r="2934" spans="1:32">
      <c r="A2934" t="s">
        <v>4072</v>
      </c>
      <c r="B2934" s="37">
        <v>39972</v>
      </c>
      <c r="C2934" s="38">
        <v>39972</v>
      </c>
      <c r="D2934" s="38">
        <v>39972</v>
      </c>
      <c r="E2934" s="38">
        <v>39965</v>
      </c>
      <c r="F2934" s="39">
        <v>67</v>
      </c>
      <c r="G2934" t="s">
        <v>525</v>
      </c>
      <c r="H2934" t="s">
        <v>17</v>
      </c>
      <c r="I2934">
        <v>0</v>
      </c>
      <c r="J2934">
        <v>0</v>
      </c>
      <c r="K2934">
        <v>1</v>
      </c>
      <c r="L2934">
        <v>0</v>
      </c>
      <c r="M2934">
        <v>0</v>
      </c>
      <c r="N2934" t="s">
        <v>195</v>
      </c>
      <c r="O2934" t="s">
        <v>213</v>
      </c>
      <c r="P2934" t="s">
        <v>206</v>
      </c>
      <c r="Q2934" t="s">
        <v>170</v>
      </c>
      <c r="R2934" t="s">
        <v>155</v>
      </c>
      <c r="T2934" t="s">
        <v>134</v>
      </c>
      <c r="U2934">
        <v>1</v>
      </c>
      <c r="W2934" t="s">
        <v>134</v>
      </c>
      <c r="X2934">
        <v>1</v>
      </c>
      <c r="Y2934" t="s">
        <v>139</v>
      </c>
      <c r="Z2934" t="s">
        <v>181</v>
      </c>
      <c r="AA2934" t="s">
        <v>144</v>
      </c>
      <c r="AB2934" t="s">
        <v>163</v>
      </c>
      <c r="AC2934" t="s">
        <v>3452</v>
      </c>
      <c r="AD2934" t="s">
        <v>155</v>
      </c>
      <c r="AE2934" t="s">
        <v>124</v>
      </c>
      <c r="AF2934" t="s">
        <v>21</v>
      </c>
    </row>
    <row r="2935" spans="1:32">
      <c r="A2935" t="s">
        <v>4073</v>
      </c>
      <c r="B2935" s="37">
        <v>40034</v>
      </c>
      <c r="C2935" s="38">
        <v>40034</v>
      </c>
      <c r="D2935" s="38">
        <v>40028</v>
      </c>
      <c r="E2935" s="38">
        <v>40026</v>
      </c>
      <c r="F2935" s="39">
        <v>129</v>
      </c>
      <c r="G2935" t="s">
        <v>9</v>
      </c>
      <c r="H2935" t="s">
        <v>9</v>
      </c>
      <c r="I2935">
        <v>1</v>
      </c>
      <c r="J2935">
        <v>0</v>
      </c>
      <c r="K2935">
        <v>0</v>
      </c>
      <c r="L2935">
        <v>0</v>
      </c>
      <c r="M2935">
        <v>1</v>
      </c>
      <c r="N2935" t="s">
        <v>193</v>
      </c>
      <c r="O2935" t="s">
        <v>213</v>
      </c>
      <c r="P2935" t="s">
        <v>204</v>
      </c>
      <c r="Q2935" t="s">
        <v>170</v>
      </c>
      <c r="R2935" t="s">
        <v>155</v>
      </c>
      <c r="S2935">
        <v>5</v>
      </c>
      <c r="T2935" t="s">
        <v>135</v>
      </c>
      <c r="U2935">
        <v>0</v>
      </c>
      <c r="V2935">
        <v>5</v>
      </c>
      <c r="W2935" t="s">
        <v>135</v>
      </c>
      <c r="X2935">
        <v>0</v>
      </c>
      <c r="Y2935" t="s">
        <v>140</v>
      </c>
      <c r="Z2935" t="s">
        <v>187</v>
      </c>
      <c r="AA2935" t="s">
        <v>142</v>
      </c>
      <c r="AB2935" t="s">
        <v>162</v>
      </c>
      <c r="AC2935" t="s">
        <v>978</v>
      </c>
      <c r="AD2935" t="s">
        <v>157</v>
      </c>
      <c r="AE2935" t="s">
        <v>571</v>
      </c>
      <c r="AF2935" t="s">
        <v>641</v>
      </c>
    </row>
    <row r="2936" spans="1:32">
      <c r="A2936" t="s">
        <v>4074</v>
      </c>
      <c r="B2936" s="37">
        <v>40046</v>
      </c>
      <c r="C2936" s="38">
        <v>40046</v>
      </c>
      <c r="D2936" s="38">
        <v>40042</v>
      </c>
      <c r="E2936" s="38">
        <v>40026</v>
      </c>
      <c r="F2936" s="39">
        <v>141</v>
      </c>
      <c r="G2936" t="s">
        <v>383</v>
      </c>
      <c r="H2936" t="s">
        <v>17</v>
      </c>
      <c r="I2936">
        <v>0</v>
      </c>
      <c r="J2936">
        <v>0</v>
      </c>
      <c r="K2936">
        <v>1</v>
      </c>
      <c r="L2936">
        <v>0</v>
      </c>
      <c r="M2936">
        <v>0</v>
      </c>
      <c r="N2936" t="s">
        <v>193</v>
      </c>
      <c r="O2936" t="s">
        <v>213</v>
      </c>
      <c r="P2936" t="s">
        <v>204</v>
      </c>
      <c r="Q2936" t="s">
        <v>170</v>
      </c>
      <c r="R2936" t="s">
        <v>155</v>
      </c>
      <c r="S2936">
        <v>5</v>
      </c>
      <c r="T2936" t="s">
        <v>135</v>
      </c>
      <c r="U2936">
        <v>0</v>
      </c>
      <c r="V2936">
        <v>5</v>
      </c>
      <c r="W2936" t="s">
        <v>135</v>
      </c>
      <c r="X2936">
        <v>0</v>
      </c>
      <c r="Y2936" t="s">
        <v>140</v>
      </c>
      <c r="Z2936" t="s">
        <v>447</v>
      </c>
      <c r="AA2936" t="s">
        <v>142</v>
      </c>
      <c r="AB2936" t="s">
        <v>162</v>
      </c>
      <c r="AC2936" t="s">
        <v>550</v>
      </c>
      <c r="AD2936" t="s">
        <v>160</v>
      </c>
      <c r="AE2936" t="s">
        <v>126</v>
      </c>
      <c r="AF2936" t="s">
        <v>1203</v>
      </c>
    </row>
    <row r="2937" spans="1:32">
      <c r="A2937" t="s">
        <v>4075</v>
      </c>
      <c r="B2937" s="37">
        <v>40044</v>
      </c>
      <c r="C2937" s="38">
        <v>40044</v>
      </c>
      <c r="D2937" s="38">
        <v>40042</v>
      </c>
      <c r="E2937" s="38">
        <v>40026</v>
      </c>
      <c r="F2937" s="39">
        <v>139</v>
      </c>
      <c r="G2937" t="s">
        <v>21</v>
      </c>
      <c r="H2937" t="s">
        <v>21</v>
      </c>
      <c r="I2937">
        <v>0</v>
      </c>
      <c r="J2937">
        <v>0</v>
      </c>
      <c r="K2937">
        <v>0</v>
      </c>
      <c r="L2937">
        <v>1</v>
      </c>
      <c r="M2937">
        <v>0</v>
      </c>
      <c r="N2937" t="s">
        <v>195</v>
      </c>
      <c r="O2937" t="s">
        <v>213</v>
      </c>
      <c r="P2937" t="s">
        <v>206</v>
      </c>
      <c r="Q2937" t="s">
        <v>170</v>
      </c>
      <c r="R2937" t="s">
        <v>155</v>
      </c>
      <c r="S2937">
        <v>4</v>
      </c>
      <c r="T2937" t="s">
        <v>137</v>
      </c>
      <c r="U2937">
        <v>0</v>
      </c>
      <c r="V2937">
        <v>3</v>
      </c>
      <c r="W2937" t="s">
        <v>137</v>
      </c>
      <c r="X2937">
        <v>0</v>
      </c>
      <c r="Y2937" t="s">
        <v>139</v>
      </c>
      <c r="Z2937" t="s">
        <v>178</v>
      </c>
      <c r="AA2937" t="s">
        <v>146</v>
      </c>
      <c r="AB2937" t="s">
        <v>162</v>
      </c>
      <c r="AC2937" t="s">
        <v>21</v>
      </c>
      <c r="AD2937" t="s">
        <v>155</v>
      </c>
      <c r="AE2937" t="s">
        <v>127</v>
      </c>
      <c r="AF2937" t="s">
        <v>21</v>
      </c>
    </row>
    <row r="2938" spans="1:32">
      <c r="A2938" t="s">
        <v>4076</v>
      </c>
      <c r="B2938" s="37">
        <v>39912</v>
      </c>
      <c r="C2938" s="38">
        <v>39912</v>
      </c>
      <c r="D2938" s="38">
        <v>39909</v>
      </c>
      <c r="E2938" s="38">
        <v>39904</v>
      </c>
      <c r="F2938" s="39">
        <v>7</v>
      </c>
      <c r="G2938" t="s">
        <v>496</v>
      </c>
      <c r="H2938" t="s">
        <v>13</v>
      </c>
      <c r="I2938">
        <v>0</v>
      </c>
      <c r="J2938">
        <v>1</v>
      </c>
      <c r="K2938">
        <v>0</v>
      </c>
      <c r="L2938">
        <v>0</v>
      </c>
      <c r="M2938">
        <v>1</v>
      </c>
      <c r="N2938" t="s">
        <v>199</v>
      </c>
      <c r="O2938" t="s">
        <v>213</v>
      </c>
      <c r="P2938" t="s">
        <v>210</v>
      </c>
      <c r="Q2938" t="s">
        <v>170</v>
      </c>
      <c r="R2938" t="s">
        <v>155</v>
      </c>
      <c r="T2938" t="s">
        <v>134</v>
      </c>
      <c r="U2938">
        <v>1</v>
      </c>
      <c r="W2938" t="s">
        <v>134</v>
      </c>
      <c r="X2938">
        <v>1</v>
      </c>
      <c r="Y2938" t="s">
        <v>139</v>
      </c>
      <c r="Z2938" t="s">
        <v>178</v>
      </c>
      <c r="AA2938" t="s">
        <v>149</v>
      </c>
      <c r="AB2938" t="s">
        <v>165</v>
      </c>
      <c r="AC2938" t="s">
        <v>4077</v>
      </c>
      <c r="AD2938" t="s">
        <v>158</v>
      </c>
      <c r="AE2938" t="s">
        <v>122</v>
      </c>
      <c r="AF2938" t="s">
        <v>21</v>
      </c>
    </row>
    <row r="2939" spans="1:32">
      <c r="A2939" t="s">
        <v>4078</v>
      </c>
      <c r="B2939" s="37">
        <v>39972</v>
      </c>
      <c r="C2939" s="38">
        <v>39972</v>
      </c>
      <c r="D2939" s="38">
        <v>39972</v>
      </c>
      <c r="E2939" s="38">
        <v>39965</v>
      </c>
      <c r="F2939" s="39">
        <v>67</v>
      </c>
      <c r="G2939" t="s">
        <v>21</v>
      </c>
      <c r="H2939" t="s">
        <v>21</v>
      </c>
      <c r="I2939">
        <v>0</v>
      </c>
      <c r="J2939">
        <v>0</v>
      </c>
      <c r="K2939">
        <v>0</v>
      </c>
      <c r="L2939">
        <v>1</v>
      </c>
      <c r="M2939">
        <v>0</v>
      </c>
      <c r="N2939" t="s">
        <v>193</v>
      </c>
      <c r="O2939" t="s">
        <v>213</v>
      </c>
      <c r="P2939" t="s">
        <v>204</v>
      </c>
      <c r="Q2939" t="s">
        <v>170</v>
      </c>
      <c r="R2939" t="s">
        <v>155</v>
      </c>
      <c r="T2939" t="s">
        <v>134</v>
      </c>
      <c r="U2939">
        <v>1</v>
      </c>
      <c r="W2939" t="s">
        <v>134</v>
      </c>
      <c r="X2939">
        <v>1</v>
      </c>
      <c r="Y2939" t="s">
        <v>140</v>
      </c>
      <c r="Z2939" t="s">
        <v>182</v>
      </c>
      <c r="AA2939" t="s">
        <v>145</v>
      </c>
      <c r="AB2939" t="s">
        <v>163</v>
      </c>
      <c r="AC2939" t="s">
        <v>173</v>
      </c>
      <c r="AD2939" t="s">
        <v>155</v>
      </c>
      <c r="AE2939" t="s">
        <v>746</v>
      </c>
      <c r="AF2939" t="s">
        <v>21</v>
      </c>
    </row>
    <row r="2940" spans="1:32">
      <c r="A2940" t="s">
        <v>4079</v>
      </c>
      <c r="B2940" s="37">
        <v>39941</v>
      </c>
      <c r="C2940" s="38">
        <v>39941</v>
      </c>
      <c r="D2940" s="38">
        <v>39937</v>
      </c>
      <c r="E2940" s="38">
        <v>39934</v>
      </c>
      <c r="F2940" s="39">
        <v>36</v>
      </c>
      <c r="G2940" t="s">
        <v>21</v>
      </c>
      <c r="H2940" t="s">
        <v>21</v>
      </c>
      <c r="I2940">
        <v>0</v>
      </c>
      <c r="J2940">
        <v>0</v>
      </c>
      <c r="K2940">
        <v>0</v>
      </c>
      <c r="L2940">
        <v>1</v>
      </c>
      <c r="M2940">
        <v>0</v>
      </c>
      <c r="N2940" t="s">
        <v>194</v>
      </c>
      <c r="O2940" t="s">
        <v>213</v>
      </c>
      <c r="P2940" t="s">
        <v>205</v>
      </c>
      <c r="Q2940" t="s">
        <v>170</v>
      </c>
      <c r="R2940" t="s">
        <v>155</v>
      </c>
      <c r="T2940" t="s">
        <v>134</v>
      </c>
      <c r="U2940">
        <v>1</v>
      </c>
      <c r="W2940" t="s">
        <v>134</v>
      </c>
      <c r="X2940">
        <v>1</v>
      </c>
      <c r="Y2940" t="s">
        <v>139</v>
      </c>
      <c r="Z2940" t="s">
        <v>178</v>
      </c>
      <c r="AA2940" t="s">
        <v>149</v>
      </c>
      <c r="AB2940" t="s">
        <v>163</v>
      </c>
      <c r="AC2940" t="s">
        <v>4080</v>
      </c>
      <c r="AD2940" t="s">
        <v>161</v>
      </c>
      <c r="AE2940" t="s">
        <v>4081</v>
      </c>
      <c r="AF2940" t="s">
        <v>21</v>
      </c>
    </row>
    <row r="2941" spans="1:32">
      <c r="A2941" t="s">
        <v>4082</v>
      </c>
      <c r="B2941" s="37">
        <v>39941</v>
      </c>
      <c r="C2941" s="38">
        <v>39941</v>
      </c>
      <c r="D2941" s="38">
        <v>39937</v>
      </c>
      <c r="E2941" s="38">
        <v>39934</v>
      </c>
      <c r="F2941" s="39">
        <v>36</v>
      </c>
      <c r="G2941" t="s">
        <v>21</v>
      </c>
      <c r="H2941" t="s">
        <v>21</v>
      </c>
      <c r="I2941">
        <v>0</v>
      </c>
      <c r="J2941">
        <v>0</v>
      </c>
      <c r="K2941">
        <v>0</v>
      </c>
      <c r="L2941">
        <v>1</v>
      </c>
      <c r="M2941">
        <v>0</v>
      </c>
      <c r="N2941" t="s">
        <v>194</v>
      </c>
      <c r="O2941" t="s">
        <v>213</v>
      </c>
      <c r="P2941" t="s">
        <v>205</v>
      </c>
      <c r="Q2941" t="s">
        <v>170</v>
      </c>
      <c r="R2941" t="s">
        <v>155</v>
      </c>
      <c r="T2941" t="s">
        <v>134</v>
      </c>
      <c r="U2941">
        <v>1</v>
      </c>
      <c r="W2941" t="s">
        <v>134</v>
      </c>
      <c r="X2941">
        <v>1</v>
      </c>
      <c r="Y2941" t="s">
        <v>139</v>
      </c>
      <c r="Z2941" t="s">
        <v>178</v>
      </c>
      <c r="AA2941" t="s">
        <v>149</v>
      </c>
      <c r="AB2941" t="s">
        <v>163</v>
      </c>
      <c r="AC2941" t="s">
        <v>4080</v>
      </c>
      <c r="AD2941" t="s">
        <v>161</v>
      </c>
      <c r="AE2941" t="s">
        <v>4081</v>
      </c>
      <c r="AF2941" t="s">
        <v>21</v>
      </c>
    </row>
    <row r="2942" spans="1:32">
      <c r="A2942" t="s">
        <v>4083</v>
      </c>
      <c r="B2942" s="37">
        <v>40014</v>
      </c>
      <c r="C2942" s="38">
        <v>40014</v>
      </c>
      <c r="D2942" s="38">
        <v>40014</v>
      </c>
      <c r="E2942" s="38">
        <v>39995</v>
      </c>
      <c r="F2942" s="39">
        <v>109</v>
      </c>
      <c r="G2942" t="s">
        <v>21</v>
      </c>
      <c r="H2942" t="s">
        <v>21</v>
      </c>
      <c r="I2942">
        <v>0</v>
      </c>
      <c r="J2942">
        <v>0</v>
      </c>
      <c r="K2942">
        <v>0</v>
      </c>
      <c r="L2942">
        <v>1</v>
      </c>
      <c r="M2942">
        <v>0</v>
      </c>
      <c r="N2942" t="s">
        <v>193</v>
      </c>
      <c r="O2942" t="s">
        <v>213</v>
      </c>
      <c r="P2942" t="s">
        <v>204</v>
      </c>
      <c r="Q2942" t="s">
        <v>170</v>
      </c>
      <c r="R2942" t="s">
        <v>155</v>
      </c>
      <c r="S2942">
        <v>1</v>
      </c>
      <c r="T2942" t="s">
        <v>136</v>
      </c>
      <c r="U2942">
        <v>0</v>
      </c>
      <c r="V2942">
        <v>3</v>
      </c>
      <c r="W2942" t="s">
        <v>137</v>
      </c>
      <c r="X2942">
        <v>0</v>
      </c>
      <c r="Y2942" t="s">
        <v>140</v>
      </c>
      <c r="Z2942" t="s">
        <v>182</v>
      </c>
      <c r="AA2942" t="s">
        <v>143</v>
      </c>
      <c r="AB2942" t="s">
        <v>162</v>
      </c>
      <c r="AC2942" t="s">
        <v>550</v>
      </c>
      <c r="AD2942" t="s">
        <v>157</v>
      </c>
      <c r="AE2942" t="s">
        <v>501</v>
      </c>
      <c r="AF2942" t="s">
        <v>3872</v>
      </c>
    </row>
    <row r="2943" spans="1:32">
      <c r="A2943" t="s">
        <v>4084</v>
      </c>
      <c r="B2943" s="37">
        <v>39938</v>
      </c>
      <c r="C2943" s="38">
        <v>39938</v>
      </c>
      <c r="D2943" s="38">
        <v>39937</v>
      </c>
      <c r="E2943" s="38">
        <v>39934</v>
      </c>
      <c r="F2943" s="39">
        <v>33</v>
      </c>
      <c r="G2943" t="s">
        <v>9</v>
      </c>
      <c r="H2943" t="s">
        <v>9</v>
      </c>
      <c r="I2943">
        <v>1</v>
      </c>
      <c r="J2943">
        <v>0</v>
      </c>
      <c r="K2943">
        <v>0</v>
      </c>
      <c r="L2943">
        <v>0</v>
      </c>
      <c r="M2943">
        <v>1</v>
      </c>
      <c r="N2943" t="s">
        <v>199</v>
      </c>
      <c r="O2943" t="s">
        <v>213</v>
      </c>
      <c r="P2943" t="s">
        <v>210</v>
      </c>
      <c r="Q2943" t="s">
        <v>170</v>
      </c>
      <c r="R2943" t="s">
        <v>155</v>
      </c>
      <c r="T2943" t="s">
        <v>134</v>
      </c>
      <c r="U2943">
        <v>1</v>
      </c>
      <c r="W2943" t="s">
        <v>134</v>
      </c>
      <c r="X2943">
        <v>1</v>
      </c>
      <c r="Y2943" t="s">
        <v>139</v>
      </c>
      <c r="Z2943" t="s">
        <v>179</v>
      </c>
      <c r="AA2943" t="s">
        <v>147</v>
      </c>
      <c r="AB2943" t="s">
        <v>163</v>
      </c>
      <c r="AC2943" t="s">
        <v>4085</v>
      </c>
      <c r="AD2943" t="s">
        <v>155</v>
      </c>
      <c r="AE2943" t="s">
        <v>454</v>
      </c>
      <c r="AF2943" t="s">
        <v>21</v>
      </c>
    </row>
    <row r="2944" spans="1:32">
      <c r="A2944" t="s">
        <v>4086</v>
      </c>
      <c r="B2944" s="37">
        <v>40056</v>
      </c>
      <c r="C2944" s="38">
        <v>40056</v>
      </c>
      <c r="D2944" s="38">
        <v>40056</v>
      </c>
      <c r="E2944" s="38">
        <v>40026</v>
      </c>
      <c r="F2944" s="39">
        <v>151</v>
      </c>
      <c r="G2944" t="s">
        <v>9</v>
      </c>
      <c r="H2944" t="s">
        <v>9</v>
      </c>
      <c r="I2944">
        <v>1</v>
      </c>
      <c r="J2944">
        <v>0</v>
      </c>
      <c r="K2944">
        <v>0</v>
      </c>
      <c r="L2944">
        <v>0</v>
      </c>
      <c r="M2944">
        <v>1</v>
      </c>
      <c r="N2944" t="s">
        <v>193</v>
      </c>
      <c r="O2944" t="s">
        <v>213</v>
      </c>
      <c r="P2944" t="s">
        <v>204</v>
      </c>
      <c r="Q2944" t="s">
        <v>170</v>
      </c>
      <c r="R2944" t="s">
        <v>155</v>
      </c>
      <c r="S2944">
        <v>4</v>
      </c>
      <c r="T2944" t="s">
        <v>137</v>
      </c>
      <c r="U2944">
        <v>0</v>
      </c>
      <c r="V2944">
        <v>3</v>
      </c>
      <c r="W2944" t="s">
        <v>137</v>
      </c>
      <c r="X2944">
        <v>0</v>
      </c>
      <c r="Y2944" t="s">
        <v>140</v>
      </c>
      <c r="Z2944" t="s">
        <v>178</v>
      </c>
      <c r="AA2944" t="s">
        <v>146</v>
      </c>
      <c r="AB2944" t="s">
        <v>163</v>
      </c>
      <c r="AC2944" t="s">
        <v>4087</v>
      </c>
      <c r="AD2944" t="s">
        <v>155</v>
      </c>
      <c r="AE2944" t="s">
        <v>406</v>
      </c>
      <c r="AF2944" t="s">
        <v>21</v>
      </c>
    </row>
    <row r="2945" spans="1:32">
      <c r="A2945" t="s">
        <v>4088</v>
      </c>
      <c r="B2945" s="37">
        <v>40025</v>
      </c>
      <c r="C2945" s="38">
        <v>40025</v>
      </c>
      <c r="D2945" s="38">
        <v>40021</v>
      </c>
      <c r="E2945" s="38">
        <v>39995</v>
      </c>
      <c r="F2945" s="39">
        <v>120</v>
      </c>
      <c r="G2945" t="s">
        <v>21</v>
      </c>
      <c r="H2945" t="s">
        <v>21</v>
      </c>
      <c r="I2945">
        <v>0</v>
      </c>
      <c r="J2945">
        <v>0</v>
      </c>
      <c r="K2945">
        <v>0</v>
      </c>
      <c r="L2945">
        <v>1</v>
      </c>
      <c r="M2945">
        <v>0</v>
      </c>
      <c r="N2945" t="s">
        <v>197</v>
      </c>
      <c r="O2945" t="s">
        <v>213</v>
      </c>
      <c r="P2945" t="s">
        <v>209</v>
      </c>
      <c r="Q2945" t="s">
        <v>170</v>
      </c>
      <c r="R2945" t="s">
        <v>155</v>
      </c>
      <c r="S2945">
        <v>5</v>
      </c>
      <c r="T2945" t="s">
        <v>135</v>
      </c>
      <c r="U2945">
        <v>0</v>
      </c>
      <c r="V2945">
        <v>5</v>
      </c>
      <c r="W2945" t="s">
        <v>135</v>
      </c>
      <c r="X2945">
        <v>0</v>
      </c>
      <c r="Y2945" t="s">
        <v>139</v>
      </c>
      <c r="Z2945" t="s">
        <v>182</v>
      </c>
      <c r="AA2945" t="s">
        <v>146</v>
      </c>
      <c r="AB2945" t="s">
        <v>162</v>
      </c>
      <c r="AC2945" t="s">
        <v>1607</v>
      </c>
      <c r="AD2945" t="s">
        <v>157</v>
      </c>
      <c r="AE2945" t="s">
        <v>127</v>
      </c>
      <c r="AF2945" t="s">
        <v>153</v>
      </c>
    </row>
    <row r="2946" spans="1:32">
      <c r="A2946" t="s">
        <v>4089</v>
      </c>
      <c r="B2946" s="37">
        <v>39954</v>
      </c>
      <c r="C2946" s="38">
        <v>39954</v>
      </c>
      <c r="D2946" s="38">
        <v>39951</v>
      </c>
      <c r="E2946" s="38">
        <v>39934</v>
      </c>
      <c r="F2946" s="39">
        <v>49</v>
      </c>
      <c r="G2946" t="s">
        <v>9</v>
      </c>
      <c r="H2946" t="s">
        <v>9</v>
      </c>
      <c r="I2946">
        <v>1</v>
      </c>
      <c r="J2946">
        <v>0</v>
      </c>
      <c r="K2946">
        <v>0</v>
      </c>
      <c r="L2946">
        <v>0</v>
      </c>
      <c r="M2946">
        <v>1</v>
      </c>
      <c r="N2946" t="s">
        <v>195</v>
      </c>
      <c r="O2946" t="s">
        <v>213</v>
      </c>
      <c r="P2946" t="s">
        <v>206</v>
      </c>
      <c r="Q2946" t="s">
        <v>170</v>
      </c>
      <c r="R2946" t="s">
        <v>155</v>
      </c>
      <c r="T2946" t="s">
        <v>134</v>
      </c>
      <c r="U2946">
        <v>1</v>
      </c>
      <c r="W2946" t="s">
        <v>134</v>
      </c>
      <c r="X2946">
        <v>1</v>
      </c>
      <c r="Y2946" t="s">
        <v>139</v>
      </c>
      <c r="Z2946" t="s">
        <v>182</v>
      </c>
      <c r="AA2946" t="s">
        <v>148</v>
      </c>
      <c r="AB2946" t="s">
        <v>163</v>
      </c>
      <c r="AC2946" t="s">
        <v>173</v>
      </c>
      <c r="AD2946" t="s">
        <v>155</v>
      </c>
      <c r="AE2946" t="s">
        <v>406</v>
      </c>
      <c r="AF2946" t="s">
        <v>21</v>
      </c>
    </row>
    <row r="2947" spans="1:32">
      <c r="A2947" t="s">
        <v>4090</v>
      </c>
      <c r="B2947" s="37">
        <v>39945</v>
      </c>
      <c r="C2947" s="38">
        <v>39945</v>
      </c>
      <c r="D2947" s="38">
        <v>39944</v>
      </c>
      <c r="E2947" s="38">
        <v>39934</v>
      </c>
      <c r="F2947" s="39">
        <v>40</v>
      </c>
      <c r="G2947" t="s">
        <v>21</v>
      </c>
      <c r="H2947" t="s">
        <v>21</v>
      </c>
      <c r="I2947">
        <v>0</v>
      </c>
      <c r="J2947">
        <v>0</v>
      </c>
      <c r="K2947">
        <v>0</v>
      </c>
      <c r="L2947">
        <v>1</v>
      </c>
      <c r="M2947">
        <v>0</v>
      </c>
      <c r="N2947" t="s">
        <v>194</v>
      </c>
      <c r="O2947" t="s">
        <v>213</v>
      </c>
      <c r="P2947" t="s">
        <v>205</v>
      </c>
      <c r="Q2947" t="s">
        <v>170</v>
      </c>
      <c r="R2947" t="s">
        <v>155</v>
      </c>
      <c r="T2947" t="s">
        <v>134</v>
      </c>
      <c r="U2947">
        <v>1</v>
      </c>
      <c r="W2947" t="s">
        <v>134</v>
      </c>
      <c r="X2947">
        <v>1</v>
      </c>
      <c r="Y2947" t="s">
        <v>139</v>
      </c>
      <c r="Z2947" t="s">
        <v>182</v>
      </c>
      <c r="AA2947" t="s">
        <v>142</v>
      </c>
      <c r="AB2947" t="s">
        <v>163</v>
      </c>
      <c r="AC2947" t="s">
        <v>173</v>
      </c>
      <c r="AD2947" t="s">
        <v>161</v>
      </c>
      <c r="AE2947" t="s">
        <v>1473</v>
      </c>
      <c r="AF2947" t="s">
        <v>21</v>
      </c>
    </row>
    <row r="2948" spans="1:32">
      <c r="A2948" t="s">
        <v>4091</v>
      </c>
      <c r="B2948" s="37">
        <v>39938</v>
      </c>
      <c r="C2948" s="38">
        <v>39938</v>
      </c>
      <c r="D2948" s="38">
        <v>39937</v>
      </c>
      <c r="E2948" s="38">
        <v>39934</v>
      </c>
      <c r="F2948" s="39">
        <v>33</v>
      </c>
      <c r="G2948" t="s">
        <v>21</v>
      </c>
      <c r="H2948" t="s">
        <v>21</v>
      </c>
      <c r="I2948">
        <v>0</v>
      </c>
      <c r="J2948">
        <v>0</v>
      </c>
      <c r="K2948">
        <v>0</v>
      </c>
      <c r="L2948">
        <v>1</v>
      </c>
      <c r="M2948">
        <v>0</v>
      </c>
      <c r="N2948" t="s">
        <v>200</v>
      </c>
      <c r="O2948" t="s">
        <v>214</v>
      </c>
      <c r="P2948" t="s">
        <v>208</v>
      </c>
      <c r="Q2948" t="s">
        <v>170</v>
      </c>
      <c r="R2948" t="s">
        <v>155</v>
      </c>
      <c r="T2948" t="s">
        <v>134</v>
      </c>
      <c r="U2948">
        <v>1</v>
      </c>
      <c r="W2948" t="s">
        <v>134</v>
      </c>
      <c r="X2948">
        <v>1</v>
      </c>
      <c r="Y2948" t="s">
        <v>139</v>
      </c>
      <c r="Z2948" t="s">
        <v>182</v>
      </c>
      <c r="AA2948" t="s">
        <v>147</v>
      </c>
      <c r="AB2948" t="s">
        <v>163</v>
      </c>
      <c r="AC2948" t="s">
        <v>21</v>
      </c>
      <c r="AD2948" t="s">
        <v>155</v>
      </c>
      <c r="AE2948" t="s">
        <v>127</v>
      </c>
      <c r="AF2948" t="s">
        <v>21</v>
      </c>
    </row>
    <row r="2949" spans="1:32">
      <c r="A2949" t="s">
        <v>4092</v>
      </c>
      <c r="B2949" s="37">
        <v>40008</v>
      </c>
      <c r="C2949" s="38">
        <v>40008</v>
      </c>
      <c r="D2949" s="38">
        <v>40007</v>
      </c>
      <c r="E2949" s="38">
        <v>39995</v>
      </c>
      <c r="F2949" s="39">
        <v>103</v>
      </c>
      <c r="G2949" t="s">
        <v>21</v>
      </c>
      <c r="H2949" t="s">
        <v>21</v>
      </c>
      <c r="I2949">
        <v>0</v>
      </c>
      <c r="J2949">
        <v>0</v>
      </c>
      <c r="K2949">
        <v>0</v>
      </c>
      <c r="L2949">
        <v>1</v>
      </c>
      <c r="M2949">
        <v>0</v>
      </c>
      <c r="N2949" t="s">
        <v>195</v>
      </c>
      <c r="O2949" t="s">
        <v>213</v>
      </c>
      <c r="P2949" t="s">
        <v>206</v>
      </c>
      <c r="Q2949" t="s">
        <v>170</v>
      </c>
      <c r="R2949" t="s">
        <v>155</v>
      </c>
      <c r="S2949">
        <v>5</v>
      </c>
      <c r="T2949" t="s">
        <v>135</v>
      </c>
      <c r="U2949">
        <v>0</v>
      </c>
      <c r="V2949">
        <v>4</v>
      </c>
      <c r="W2949" t="s">
        <v>137</v>
      </c>
      <c r="X2949">
        <v>0</v>
      </c>
      <c r="Y2949" t="s">
        <v>139</v>
      </c>
      <c r="Z2949" t="s">
        <v>182</v>
      </c>
      <c r="AA2949" t="s">
        <v>143</v>
      </c>
      <c r="AB2949" t="s">
        <v>162</v>
      </c>
      <c r="AC2949" t="s">
        <v>175</v>
      </c>
      <c r="AD2949" t="s">
        <v>155</v>
      </c>
      <c r="AE2949" t="s">
        <v>130</v>
      </c>
      <c r="AF2949" t="s">
        <v>21</v>
      </c>
    </row>
    <row r="2950" spans="1:32">
      <c r="A2950" t="s">
        <v>4093</v>
      </c>
      <c r="B2950" s="37">
        <v>39950</v>
      </c>
      <c r="C2950" s="38">
        <v>39950</v>
      </c>
      <c r="D2950" s="38">
        <v>39944</v>
      </c>
      <c r="E2950" s="38">
        <v>39934</v>
      </c>
      <c r="F2950" s="39">
        <v>45</v>
      </c>
      <c r="G2950" t="s">
        <v>21</v>
      </c>
      <c r="H2950" t="s">
        <v>21</v>
      </c>
      <c r="I2950">
        <v>0</v>
      </c>
      <c r="J2950">
        <v>0</v>
      </c>
      <c r="K2950">
        <v>0</v>
      </c>
      <c r="L2950">
        <v>1</v>
      </c>
      <c r="M2950">
        <v>0</v>
      </c>
      <c r="N2950" t="s">
        <v>193</v>
      </c>
      <c r="O2950" t="s">
        <v>213</v>
      </c>
      <c r="P2950" t="s">
        <v>204</v>
      </c>
      <c r="Q2950" t="s">
        <v>170</v>
      </c>
      <c r="R2950" t="s">
        <v>155</v>
      </c>
      <c r="T2950" t="s">
        <v>134</v>
      </c>
      <c r="U2950">
        <v>1</v>
      </c>
      <c r="W2950" t="s">
        <v>134</v>
      </c>
      <c r="X2950">
        <v>1</v>
      </c>
      <c r="Y2950" t="s">
        <v>140</v>
      </c>
      <c r="Z2950" t="s">
        <v>178</v>
      </c>
      <c r="AA2950" t="s">
        <v>150</v>
      </c>
      <c r="AB2950" t="s">
        <v>163</v>
      </c>
      <c r="AC2950" t="s">
        <v>173</v>
      </c>
      <c r="AD2950" t="s">
        <v>155</v>
      </c>
      <c r="AE2950" t="s">
        <v>434</v>
      </c>
      <c r="AF2950" t="s">
        <v>21</v>
      </c>
    </row>
    <row r="2951" spans="1:32">
      <c r="A2951" t="s">
        <v>4094</v>
      </c>
      <c r="B2951" s="37">
        <v>39917</v>
      </c>
      <c r="C2951" s="38">
        <v>39917</v>
      </c>
      <c r="D2951" s="38">
        <v>39916</v>
      </c>
      <c r="E2951" s="38">
        <v>39904</v>
      </c>
      <c r="F2951" s="39">
        <v>12</v>
      </c>
      <c r="G2951" t="s">
        <v>21</v>
      </c>
      <c r="H2951" t="s">
        <v>21</v>
      </c>
      <c r="I2951">
        <v>0</v>
      </c>
      <c r="J2951">
        <v>0</v>
      </c>
      <c r="K2951">
        <v>0</v>
      </c>
      <c r="L2951">
        <v>1</v>
      </c>
      <c r="M2951">
        <v>0</v>
      </c>
      <c r="N2951" t="s">
        <v>194</v>
      </c>
      <c r="O2951" t="s">
        <v>213</v>
      </c>
      <c r="P2951" t="s">
        <v>205</v>
      </c>
      <c r="Q2951" t="s">
        <v>170</v>
      </c>
      <c r="R2951" t="s">
        <v>155</v>
      </c>
      <c r="T2951" t="s">
        <v>134</v>
      </c>
      <c r="U2951">
        <v>1</v>
      </c>
      <c r="W2951" t="s">
        <v>134</v>
      </c>
      <c r="X2951">
        <v>1</v>
      </c>
      <c r="Y2951" t="s">
        <v>139</v>
      </c>
      <c r="Z2951" t="s">
        <v>178</v>
      </c>
      <c r="AA2951" t="s">
        <v>148</v>
      </c>
      <c r="AB2951" t="s">
        <v>162</v>
      </c>
      <c r="AC2951" t="s">
        <v>174</v>
      </c>
      <c r="AD2951" t="s">
        <v>156</v>
      </c>
      <c r="AE2951" t="s">
        <v>120</v>
      </c>
      <c r="AF2951" t="s">
        <v>4095</v>
      </c>
    </row>
    <row r="2952" spans="1:32">
      <c r="A2952" t="s">
        <v>4096</v>
      </c>
      <c r="B2952" s="37">
        <v>39946</v>
      </c>
      <c r="C2952" s="38">
        <v>39946</v>
      </c>
      <c r="D2952" s="38">
        <v>39944</v>
      </c>
      <c r="E2952" s="38">
        <v>39934</v>
      </c>
      <c r="F2952" s="39">
        <v>41</v>
      </c>
      <c r="G2952" t="s">
        <v>9</v>
      </c>
      <c r="H2952" t="s">
        <v>9</v>
      </c>
      <c r="I2952">
        <v>1</v>
      </c>
      <c r="J2952">
        <v>0</v>
      </c>
      <c r="K2952">
        <v>0</v>
      </c>
      <c r="L2952">
        <v>0</v>
      </c>
      <c r="M2952">
        <v>1</v>
      </c>
      <c r="N2952" t="s">
        <v>195</v>
      </c>
      <c r="O2952" t="s">
        <v>213</v>
      </c>
      <c r="P2952" t="s">
        <v>206</v>
      </c>
      <c r="Q2952" t="s">
        <v>170</v>
      </c>
      <c r="R2952" t="s">
        <v>155</v>
      </c>
      <c r="T2952" t="s">
        <v>134</v>
      </c>
      <c r="U2952">
        <v>1</v>
      </c>
      <c r="W2952" t="s">
        <v>134</v>
      </c>
      <c r="X2952">
        <v>1</v>
      </c>
      <c r="Y2952" t="s">
        <v>139</v>
      </c>
      <c r="Z2952" t="s">
        <v>178</v>
      </c>
      <c r="AA2952" t="s">
        <v>145</v>
      </c>
      <c r="AB2952" t="s">
        <v>162</v>
      </c>
      <c r="AC2952" t="s">
        <v>174</v>
      </c>
      <c r="AD2952" t="s">
        <v>157</v>
      </c>
      <c r="AE2952" t="s">
        <v>127</v>
      </c>
      <c r="AF2952" t="s">
        <v>153</v>
      </c>
    </row>
    <row r="2953" spans="1:32">
      <c r="A2953" t="s">
        <v>4097</v>
      </c>
      <c r="B2953" s="37">
        <v>39936</v>
      </c>
      <c r="C2953" s="38">
        <v>39936</v>
      </c>
      <c r="D2953" s="38">
        <v>39930</v>
      </c>
      <c r="E2953" s="38">
        <v>39934</v>
      </c>
      <c r="F2953" s="39">
        <v>31</v>
      </c>
      <c r="G2953" t="s">
        <v>21</v>
      </c>
      <c r="H2953" t="s">
        <v>21</v>
      </c>
      <c r="I2953">
        <v>0</v>
      </c>
      <c r="J2953">
        <v>0</v>
      </c>
      <c r="K2953">
        <v>0</v>
      </c>
      <c r="L2953">
        <v>1</v>
      </c>
      <c r="M2953">
        <v>0</v>
      </c>
      <c r="N2953" t="s">
        <v>201</v>
      </c>
      <c r="O2953" t="s">
        <v>214</v>
      </c>
      <c r="P2953" t="s">
        <v>204</v>
      </c>
      <c r="Q2953" t="s">
        <v>170</v>
      </c>
      <c r="R2953" t="s">
        <v>155</v>
      </c>
      <c r="T2953" t="s">
        <v>134</v>
      </c>
      <c r="U2953">
        <v>1</v>
      </c>
      <c r="W2953" t="s">
        <v>134</v>
      </c>
      <c r="X2953">
        <v>1</v>
      </c>
      <c r="Y2953" t="s">
        <v>140</v>
      </c>
      <c r="Z2953" t="s">
        <v>182</v>
      </c>
      <c r="AA2953" t="s">
        <v>147</v>
      </c>
      <c r="AB2953" t="s">
        <v>162</v>
      </c>
      <c r="AC2953" t="s">
        <v>21</v>
      </c>
      <c r="AD2953" t="s">
        <v>156</v>
      </c>
      <c r="AE2953" t="s">
        <v>120</v>
      </c>
      <c r="AF2953" t="s">
        <v>2459</v>
      </c>
    </row>
    <row r="2954" spans="1:32">
      <c r="A2954" t="s">
        <v>4098</v>
      </c>
      <c r="B2954" s="37">
        <v>39918</v>
      </c>
      <c r="C2954" s="38">
        <v>39918</v>
      </c>
      <c r="D2954" s="38">
        <v>39916</v>
      </c>
      <c r="E2954" s="38">
        <v>39904</v>
      </c>
      <c r="F2954" s="39">
        <v>13</v>
      </c>
      <c r="G2954" t="s">
        <v>21</v>
      </c>
      <c r="H2954" t="s">
        <v>21</v>
      </c>
      <c r="I2954">
        <v>0</v>
      </c>
      <c r="J2954">
        <v>0</v>
      </c>
      <c r="K2954">
        <v>0</v>
      </c>
      <c r="L2954">
        <v>1</v>
      </c>
      <c r="M2954">
        <v>0</v>
      </c>
      <c r="N2954" t="s">
        <v>199</v>
      </c>
      <c r="O2954" t="s">
        <v>213</v>
      </c>
      <c r="P2954" t="s">
        <v>210</v>
      </c>
      <c r="Q2954" t="s">
        <v>170</v>
      </c>
      <c r="R2954" t="s">
        <v>155</v>
      </c>
      <c r="T2954" t="s">
        <v>134</v>
      </c>
      <c r="U2954">
        <v>1</v>
      </c>
      <c r="W2954" t="s">
        <v>134</v>
      </c>
      <c r="X2954">
        <v>1</v>
      </c>
      <c r="Y2954" t="s">
        <v>139</v>
      </c>
      <c r="Z2954" t="s">
        <v>184</v>
      </c>
      <c r="AA2954" t="s">
        <v>143</v>
      </c>
      <c r="AB2954" t="s">
        <v>163</v>
      </c>
      <c r="AC2954" t="s">
        <v>173</v>
      </c>
      <c r="AD2954" t="s">
        <v>161</v>
      </c>
      <c r="AE2954" t="s">
        <v>420</v>
      </c>
      <c r="AF2954" t="s">
        <v>21</v>
      </c>
    </row>
    <row r="2955" spans="1:32">
      <c r="A2955" t="s">
        <v>4099</v>
      </c>
      <c r="B2955" s="37">
        <v>40021</v>
      </c>
      <c r="C2955" s="38">
        <v>40021</v>
      </c>
      <c r="D2955" s="38">
        <v>40021</v>
      </c>
      <c r="E2955" s="38">
        <v>39995</v>
      </c>
      <c r="F2955" s="39">
        <v>116</v>
      </c>
      <c r="G2955" t="s">
        <v>21</v>
      </c>
      <c r="H2955" t="s">
        <v>21</v>
      </c>
      <c r="I2955">
        <v>0</v>
      </c>
      <c r="J2955">
        <v>0</v>
      </c>
      <c r="K2955">
        <v>0</v>
      </c>
      <c r="L2955">
        <v>1</v>
      </c>
      <c r="M2955">
        <v>0</v>
      </c>
      <c r="N2955" t="s">
        <v>193</v>
      </c>
      <c r="O2955" t="s">
        <v>213</v>
      </c>
      <c r="P2955" t="s">
        <v>204</v>
      </c>
      <c r="Q2955" t="s">
        <v>170</v>
      </c>
      <c r="R2955" t="s">
        <v>155</v>
      </c>
      <c r="S2955">
        <v>4</v>
      </c>
      <c r="T2955" t="s">
        <v>137</v>
      </c>
      <c r="U2955">
        <v>0</v>
      </c>
      <c r="V2955">
        <v>4</v>
      </c>
      <c r="W2955" t="s">
        <v>137</v>
      </c>
      <c r="X2955">
        <v>0</v>
      </c>
      <c r="Y2955" t="s">
        <v>140</v>
      </c>
      <c r="Z2955" t="s">
        <v>182</v>
      </c>
      <c r="AA2955" t="s">
        <v>149</v>
      </c>
      <c r="AB2955" t="s">
        <v>162</v>
      </c>
      <c r="AC2955" t="s">
        <v>597</v>
      </c>
      <c r="AD2955" t="s">
        <v>155</v>
      </c>
      <c r="AE2955" t="s">
        <v>130</v>
      </c>
      <c r="AF2955" t="s">
        <v>21</v>
      </c>
    </row>
    <row r="2956" spans="1:32">
      <c r="A2956" t="s">
        <v>4100</v>
      </c>
      <c r="B2956" s="37">
        <v>39916</v>
      </c>
      <c r="C2956" s="38">
        <v>39916</v>
      </c>
      <c r="D2956" s="38">
        <v>39916</v>
      </c>
      <c r="E2956" s="38">
        <v>39904</v>
      </c>
      <c r="F2956" s="39">
        <v>11</v>
      </c>
      <c r="G2956" t="s">
        <v>21</v>
      </c>
      <c r="H2956" t="s">
        <v>21</v>
      </c>
      <c r="I2956">
        <v>0</v>
      </c>
      <c r="J2956">
        <v>0</v>
      </c>
      <c r="K2956">
        <v>0</v>
      </c>
      <c r="L2956">
        <v>1</v>
      </c>
      <c r="M2956">
        <v>0</v>
      </c>
      <c r="N2956" t="s">
        <v>198</v>
      </c>
      <c r="O2956" t="s">
        <v>213</v>
      </c>
      <c r="P2956" t="s">
        <v>208</v>
      </c>
      <c r="Q2956" t="s">
        <v>170</v>
      </c>
      <c r="R2956" t="s">
        <v>155</v>
      </c>
      <c r="T2956" t="s">
        <v>134</v>
      </c>
      <c r="U2956">
        <v>1</v>
      </c>
      <c r="W2956" t="s">
        <v>134</v>
      </c>
      <c r="X2956">
        <v>1</v>
      </c>
      <c r="Y2956" t="s">
        <v>139</v>
      </c>
      <c r="Z2956" t="s">
        <v>182</v>
      </c>
      <c r="AA2956" t="s">
        <v>142</v>
      </c>
      <c r="AB2956" t="s">
        <v>162</v>
      </c>
      <c r="AC2956" t="s">
        <v>174</v>
      </c>
      <c r="AD2956" t="s">
        <v>157</v>
      </c>
      <c r="AE2956" t="s">
        <v>434</v>
      </c>
      <c r="AF2956" t="s">
        <v>435</v>
      </c>
    </row>
    <row r="2957" spans="1:32">
      <c r="A2957" t="s">
        <v>4101</v>
      </c>
      <c r="B2957" s="37">
        <v>39952</v>
      </c>
      <c r="C2957" s="38">
        <v>39952</v>
      </c>
      <c r="D2957" s="38">
        <v>39951</v>
      </c>
      <c r="E2957" s="38">
        <v>39934</v>
      </c>
      <c r="F2957" s="39">
        <v>47</v>
      </c>
      <c r="G2957" t="s">
        <v>21</v>
      </c>
      <c r="H2957" t="s">
        <v>21</v>
      </c>
      <c r="I2957">
        <v>0</v>
      </c>
      <c r="J2957">
        <v>0</v>
      </c>
      <c r="K2957">
        <v>0</v>
      </c>
      <c r="L2957">
        <v>1</v>
      </c>
      <c r="M2957">
        <v>0</v>
      </c>
      <c r="N2957" t="s">
        <v>193</v>
      </c>
      <c r="O2957" t="s">
        <v>213</v>
      </c>
      <c r="P2957" t="s">
        <v>204</v>
      </c>
      <c r="Q2957" t="s">
        <v>170</v>
      </c>
      <c r="R2957" t="s">
        <v>155</v>
      </c>
      <c r="T2957" t="s">
        <v>134</v>
      </c>
      <c r="U2957">
        <v>1</v>
      </c>
      <c r="W2957" t="s">
        <v>134</v>
      </c>
      <c r="X2957">
        <v>1</v>
      </c>
      <c r="Y2957" t="s">
        <v>140</v>
      </c>
      <c r="Z2957" t="s">
        <v>178</v>
      </c>
      <c r="AA2957" t="s">
        <v>142</v>
      </c>
      <c r="AB2957" t="s">
        <v>162</v>
      </c>
      <c r="AC2957" t="s">
        <v>1425</v>
      </c>
      <c r="AD2957" t="s">
        <v>159</v>
      </c>
      <c r="AE2957" t="s">
        <v>126</v>
      </c>
      <c r="AF2957" t="s">
        <v>601</v>
      </c>
    </row>
    <row r="2958" spans="1:32">
      <c r="A2958" t="s">
        <v>4102</v>
      </c>
      <c r="B2958" s="37">
        <v>40038</v>
      </c>
      <c r="C2958" s="38">
        <v>40038</v>
      </c>
      <c r="D2958" s="38">
        <v>40035</v>
      </c>
      <c r="E2958" s="38">
        <v>40026</v>
      </c>
      <c r="F2958" s="39">
        <v>133</v>
      </c>
      <c r="G2958" t="s">
        <v>21</v>
      </c>
      <c r="H2958" t="s">
        <v>21</v>
      </c>
      <c r="I2958">
        <v>0</v>
      </c>
      <c r="J2958">
        <v>0</v>
      </c>
      <c r="K2958">
        <v>0</v>
      </c>
      <c r="L2958">
        <v>1</v>
      </c>
      <c r="M2958">
        <v>0</v>
      </c>
      <c r="N2958" t="s">
        <v>193</v>
      </c>
      <c r="O2958" t="s">
        <v>213</v>
      </c>
      <c r="P2958" t="s">
        <v>204</v>
      </c>
      <c r="Q2958" t="s">
        <v>170</v>
      </c>
      <c r="R2958" t="s">
        <v>155</v>
      </c>
      <c r="S2958">
        <v>5</v>
      </c>
      <c r="T2958" t="s">
        <v>135</v>
      </c>
      <c r="U2958">
        <v>0</v>
      </c>
      <c r="V2958">
        <v>3</v>
      </c>
      <c r="W2958" t="s">
        <v>137</v>
      </c>
      <c r="X2958">
        <v>0</v>
      </c>
      <c r="Y2958" t="s">
        <v>140</v>
      </c>
      <c r="Z2958" t="s">
        <v>182</v>
      </c>
      <c r="AA2958" t="s">
        <v>142</v>
      </c>
      <c r="AB2958" t="s">
        <v>162</v>
      </c>
      <c r="AC2958" t="s">
        <v>21</v>
      </c>
      <c r="AD2958" t="s">
        <v>155</v>
      </c>
      <c r="AE2958" t="s">
        <v>129</v>
      </c>
      <c r="AF2958" t="s">
        <v>21</v>
      </c>
    </row>
    <row r="2959" spans="1:32">
      <c r="A2959" t="s">
        <v>4103</v>
      </c>
      <c r="B2959" s="37">
        <v>39929</v>
      </c>
      <c r="C2959" s="38">
        <v>39929</v>
      </c>
      <c r="D2959" s="38">
        <v>39923</v>
      </c>
      <c r="E2959" s="38">
        <v>39904</v>
      </c>
      <c r="F2959" s="39">
        <v>24</v>
      </c>
      <c r="G2959" t="s">
        <v>21</v>
      </c>
      <c r="H2959" t="s">
        <v>21</v>
      </c>
      <c r="I2959">
        <v>0</v>
      </c>
      <c r="J2959">
        <v>0</v>
      </c>
      <c r="K2959">
        <v>0</v>
      </c>
      <c r="L2959">
        <v>1</v>
      </c>
      <c r="M2959">
        <v>0</v>
      </c>
      <c r="N2959" t="s">
        <v>201</v>
      </c>
      <c r="O2959" t="s">
        <v>214</v>
      </c>
      <c r="P2959" t="s">
        <v>204</v>
      </c>
      <c r="Q2959" t="s">
        <v>170</v>
      </c>
      <c r="R2959" t="s">
        <v>155</v>
      </c>
      <c r="T2959" t="s">
        <v>134</v>
      </c>
      <c r="U2959">
        <v>1</v>
      </c>
      <c r="W2959" t="s">
        <v>134</v>
      </c>
      <c r="X2959">
        <v>1</v>
      </c>
      <c r="Y2959" t="s">
        <v>140</v>
      </c>
      <c r="Z2959" t="s">
        <v>179</v>
      </c>
      <c r="AA2959" t="s">
        <v>147</v>
      </c>
      <c r="AB2959" t="s">
        <v>162</v>
      </c>
      <c r="AC2959" t="s">
        <v>175</v>
      </c>
      <c r="AD2959" t="s">
        <v>155</v>
      </c>
      <c r="AE2959" t="s">
        <v>454</v>
      </c>
      <c r="AF2959" t="s">
        <v>21</v>
      </c>
    </row>
    <row r="2960" spans="1:32">
      <c r="A2960" t="s">
        <v>4104</v>
      </c>
      <c r="B2960" s="37">
        <v>39967</v>
      </c>
      <c r="C2960" s="38">
        <v>39967</v>
      </c>
      <c r="D2960" s="38">
        <v>39965</v>
      </c>
      <c r="E2960" s="38">
        <v>39965</v>
      </c>
      <c r="F2960" s="39">
        <v>62</v>
      </c>
      <c r="G2960" t="s">
        <v>21</v>
      </c>
      <c r="H2960" t="s">
        <v>21</v>
      </c>
      <c r="I2960">
        <v>0</v>
      </c>
      <c r="J2960">
        <v>0</v>
      </c>
      <c r="K2960">
        <v>0</v>
      </c>
      <c r="L2960">
        <v>1</v>
      </c>
      <c r="M2960">
        <v>0</v>
      </c>
      <c r="N2960" t="s">
        <v>193</v>
      </c>
      <c r="O2960" t="s">
        <v>213</v>
      </c>
      <c r="P2960" t="s">
        <v>204</v>
      </c>
      <c r="Q2960" t="s">
        <v>170</v>
      </c>
      <c r="R2960" t="s">
        <v>155</v>
      </c>
      <c r="T2960" t="s">
        <v>134</v>
      </c>
      <c r="U2960">
        <v>1</v>
      </c>
      <c r="W2960" t="s">
        <v>134</v>
      </c>
      <c r="X2960">
        <v>1</v>
      </c>
      <c r="Y2960" t="s">
        <v>140</v>
      </c>
      <c r="Z2960" t="s">
        <v>181</v>
      </c>
      <c r="AA2960" t="s">
        <v>143</v>
      </c>
      <c r="AB2960" t="s">
        <v>163</v>
      </c>
      <c r="AC2960" t="s">
        <v>173</v>
      </c>
      <c r="AD2960" t="s">
        <v>155</v>
      </c>
      <c r="AE2960" t="s">
        <v>704</v>
      </c>
      <c r="AF2960" t="s">
        <v>21</v>
      </c>
    </row>
    <row r="2961" spans="1:32">
      <c r="A2961" t="s">
        <v>4105</v>
      </c>
      <c r="B2961" s="37">
        <v>39941</v>
      </c>
      <c r="C2961" s="38">
        <v>39941</v>
      </c>
      <c r="D2961" s="38">
        <v>39937</v>
      </c>
      <c r="E2961" s="38">
        <v>39934</v>
      </c>
      <c r="F2961" s="39">
        <v>36</v>
      </c>
      <c r="G2961" t="s">
        <v>21</v>
      </c>
      <c r="H2961" t="s">
        <v>21</v>
      </c>
      <c r="I2961">
        <v>0</v>
      </c>
      <c r="J2961">
        <v>0</v>
      </c>
      <c r="K2961">
        <v>0</v>
      </c>
      <c r="L2961">
        <v>1</v>
      </c>
      <c r="M2961">
        <v>0</v>
      </c>
      <c r="N2961" t="s">
        <v>193</v>
      </c>
      <c r="O2961" t="s">
        <v>213</v>
      </c>
      <c r="P2961" t="s">
        <v>204</v>
      </c>
      <c r="Q2961" t="s">
        <v>170</v>
      </c>
      <c r="R2961" t="s">
        <v>155</v>
      </c>
      <c r="T2961" t="s">
        <v>134</v>
      </c>
      <c r="U2961">
        <v>1</v>
      </c>
      <c r="W2961" t="s">
        <v>134</v>
      </c>
      <c r="X2961">
        <v>1</v>
      </c>
      <c r="Y2961" t="s">
        <v>140</v>
      </c>
      <c r="Z2961" t="s">
        <v>178</v>
      </c>
      <c r="AA2961" t="s">
        <v>147</v>
      </c>
      <c r="AB2961" t="s">
        <v>163</v>
      </c>
      <c r="AC2961" t="s">
        <v>415</v>
      </c>
      <c r="AD2961" t="s">
        <v>155</v>
      </c>
      <c r="AE2961" t="s">
        <v>125</v>
      </c>
      <c r="AF2961" t="s">
        <v>21</v>
      </c>
    </row>
    <row r="2962" spans="1:32">
      <c r="A2962" t="s">
        <v>4106</v>
      </c>
      <c r="B2962" s="37">
        <v>40044</v>
      </c>
      <c r="C2962" s="38">
        <v>40044</v>
      </c>
      <c r="D2962" s="38">
        <v>40042</v>
      </c>
      <c r="E2962" s="38">
        <v>40026</v>
      </c>
      <c r="F2962" s="39">
        <v>139</v>
      </c>
      <c r="G2962" t="s">
        <v>21</v>
      </c>
      <c r="H2962" t="s">
        <v>21</v>
      </c>
      <c r="I2962">
        <v>0</v>
      </c>
      <c r="J2962">
        <v>0</v>
      </c>
      <c r="K2962">
        <v>0</v>
      </c>
      <c r="L2962">
        <v>1</v>
      </c>
      <c r="M2962">
        <v>0</v>
      </c>
      <c r="N2962" t="s">
        <v>193</v>
      </c>
      <c r="O2962" t="s">
        <v>213</v>
      </c>
      <c r="P2962" t="s">
        <v>204</v>
      </c>
      <c r="Q2962" t="s">
        <v>170</v>
      </c>
      <c r="R2962" t="s">
        <v>155</v>
      </c>
      <c r="S2962">
        <v>4</v>
      </c>
      <c r="T2962" t="s">
        <v>137</v>
      </c>
      <c r="U2962">
        <v>0</v>
      </c>
      <c r="V2962">
        <v>3</v>
      </c>
      <c r="W2962" t="s">
        <v>137</v>
      </c>
      <c r="X2962">
        <v>0</v>
      </c>
      <c r="Y2962" t="s">
        <v>140</v>
      </c>
      <c r="Z2962" t="s">
        <v>181</v>
      </c>
      <c r="AA2962" t="s">
        <v>144</v>
      </c>
      <c r="AB2962" t="s">
        <v>162</v>
      </c>
      <c r="AC2962" t="s">
        <v>174</v>
      </c>
      <c r="AD2962" t="s">
        <v>157</v>
      </c>
      <c r="AE2962" t="s">
        <v>127</v>
      </c>
      <c r="AF2962" t="s">
        <v>153</v>
      </c>
    </row>
    <row r="2963" spans="1:32">
      <c r="A2963" t="s">
        <v>4107</v>
      </c>
      <c r="B2963" s="37">
        <v>40060</v>
      </c>
      <c r="C2963" s="38">
        <v>40060</v>
      </c>
      <c r="D2963" s="38">
        <v>40056</v>
      </c>
      <c r="E2963" s="38">
        <v>40057</v>
      </c>
      <c r="F2963" s="39">
        <v>155</v>
      </c>
      <c r="G2963" t="s">
        <v>21</v>
      </c>
      <c r="H2963" t="s">
        <v>21</v>
      </c>
      <c r="I2963">
        <v>0</v>
      </c>
      <c r="J2963">
        <v>0</v>
      </c>
      <c r="K2963">
        <v>0</v>
      </c>
      <c r="L2963">
        <v>1</v>
      </c>
      <c r="M2963">
        <v>0</v>
      </c>
      <c r="N2963" t="s">
        <v>196</v>
      </c>
      <c r="O2963" t="s">
        <v>213</v>
      </c>
      <c r="P2963" t="s">
        <v>207</v>
      </c>
      <c r="Q2963" t="s">
        <v>170</v>
      </c>
      <c r="R2963" t="s">
        <v>155</v>
      </c>
      <c r="S2963">
        <v>5</v>
      </c>
      <c r="T2963" t="s">
        <v>135</v>
      </c>
      <c r="U2963">
        <v>0</v>
      </c>
      <c r="V2963">
        <v>5</v>
      </c>
      <c r="W2963" t="s">
        <v>135</v>
      </c>
      <c r="X2963">
        <v>0</v>
      </c>
      <c r="Y2963" t="s">
        <v>139</v>
      </c>
      <c r="Z2963" t="s">
        <v>184</v>
      </c>
      <c r="AA2963" t="s">
        <v>142</v>
      </c>
      <c r="AB2963" t="s">
        <v>162</v>
      </c>
      <c r="AC2963" t="s">
        <v>175</v>
      </c>
      <c r="AD2963" t="s">
        <v>155</v>
      </c>
      <c r="AE2963" t="s">
        <v>127</v>
      </c>
      <c r="AF2963" t="s">
        <v>21</v>
      </c>
    </row>
    <row r="2964" spans="1:32">
      <c r="A2964" t="s">
        <v>4108</v>
      </c>
      <c r="B2964" s="37">
        <v>40063</v>
      </c>
      <c r="C2964" s="38">
        <v>40063</v>
      </c>
      <c r="D2964" s="38">
        <v>40063</v>
      </c>
      <c r="E2964" s="38">
        <v>40057</v>
      </c>
      <c r="F2964" s="39">
        <v>158</v>
      </c>
      <c r="G2964" t="s">
        <v>21</v>
      </c>
      <c r="H2964" t="s">
        <v>21</v>
      </c>
      <c r="I2964">
        <v>0</v>
      </c>
      <c r="J2964">
        <v>0</v>
      </c>
      <c r="K2964">
        <v>0</v>
      </c>
      <c r="L2964">
        <v>1</v>
      </c>
      <c r="M2964">
        <v>0</v>
      </c>
      <c r="N2964" t="s">
        <v>197</v>
      </c>
      <c r="O2964" t="s">
        <v>213</v>
      </c>
      <c r="P2964" t="s">
        <v>209</v>
      </c>
      <c r="Q2964" t="s">
        <v>170</v>
      </c>
      <c r="R2964" t="s">
        <v>155</v>
      </c>
      <c r="S2964">
        <v>3</v>
      </c>
      <c r="T2964" t="s">
        <v>137</v>
      </c>
      <c r="U2964">
        <v>0</v>
      </c>
      <c r="V2964">
        <v>4</v>
      </c>
      <c r="W2964" t="s">
        <v>137</v>
      </c>
      <c r="X2964">
        <v>0</v>
      </c>
      <c r="Y2964" t="s">
        <v>139</v>
      </c>
      <c r="Z2964" t="s">
        <v>178</v>
      </c>
      <c r="AA2964" t="s">
        <v>144</v>
      </c>
      <c r="AB2964" t="s">
        <v>163</v>
      </c>
      <c r="AC2964" t="s">
        <v>173</v>
      </c>
      <c r="AD2964" t="s">
        <v>155</v>
      </c>
      <c r="AE2964" t="s">
        <v>454</v>
      </c>
      <c r="AF2964" t="s">
        <v>21</v>
      </c>
    </row>
    <row r="2965" spans="1:32">
      <c r="A2965" t="s">
        <v>4109</v>
      </c>
      <c r="B2965" s="37">
        <v>39906</v>
      </c>
      <c r="C2965" s="38">
        <v>39906</v>
      </c>
      <c r="D2965" s="38">
        <v>39902</v>
      </c>
      <c r="E2965" s="38">
        <v>39904</v>
      </c>
      <c r="F2965" s="39">
        <v>1</v>
      </c>
      <c r="G2965" t="s">
        <v>9</v>
      </c>
      <c r="H2965" t="s">
        <v>9</v>
      </c>
      <c r="I2965">
        <v>1</v>
      </c>
      <c r="J2965">
        <v>0</v>
      </c>
      <c r="K2965">
        <v>0</v>
      </c>
      <c r="L2965">
        <v>0</v>
      </c>
      <c r="M2965">
        <v>1</v>
      </c>
      <c r="N2965" t="s">
        <v>195</v>
      </c>
      <c r="O2965" t="s">
        <v>213</v>
      </c>
      <c r="P2965" t="s">
        <v>206</v>
      </c>
      <c r="Q2965" t="s">
        <v>170</v>
      </c>
      <c r="R2965" t="s">
        <v>155</v>
      </c>
      <c r="T2965" t="s">
        <v>134</v>
      </c>
      <c r="U2965">
        <v>1</v>
      </c>
      <c r="W2965" t="s">
        <v>134</v>
      </c>
      <c r="X2965">
        <v>1</v>
      </c>
      <c r="Y2965" t="s">
        <v>139</v>
      </c>
      <c r="Z2965" t="s">
        <v>178</v>
      </c>
      <c r="AA2965" t="s">
        <v>147</v>
      </c>
      <c r="AB2965" t="s">
        <v>165</v>
      </c>
      <c r="AC2965" t="s">
        <v>4110</v>
      </c>
      <c r="AD2965" t="s">
        <v>158</v>
      </c>
      <c r="AE2965" t="s">
        <v>122</v>
      </c>
      <c r="AF2965" t="s">
        <v>21</v>
      </c>
    </row>
    <row r="2966" spans="1:32">
      <c r="A2966" t="s">
        <v>4111</v>
      </c>
      <c r="B2966" s="37">
        <v>40051</v>
      </c>
      <c r="C2966" s="38">
        <v>40051</v>
      </c>
      <c r="D2966" s="38">
        <v>40049</v>
      </c>
      <c r="E2966" s="38">
        <v>40026</v>
      </c>
      <c r="F2966" s="39">
        <v>146</v>
      </c>
      <c r="G2966" t="s">
        <v>21</v>
      </c>
      <c r="H2966" t="s">
        <v>21</v>
      </c>
      <c r="I2966">
        <v>0</v>
      </c>
      <c r="J2966">
        <v>0</v>
      </c>
      <c r="K2966">
        <v>0</v>
      </c>
      <c r="L2966">
        <v>1</v>
      </c>
      <c r="M2966">
        <v>0</v>
      </c>
      <c r="N2966" t="s">
        <v>197</v>
      </c>
      <c r="O2966" t="s">
        <v>213</v>
      </c>
      <c r="P2966" t="s">
        <v>209</v>
      </c>
      <c r="Q2966" t="s">
        <v>170</v>
      </c>
      <c r="R2966" t="s">
        <v>155</v>
      </c>
      <c r="S2966">
        <v>5</v>
      </c>
      <c r="T2966" t="s">
        <v>135</v>
      </c>
      <c r="U2966">
        <v>0</v>
      </c>
      <c r="V2966">
        <v>2</v>
      </c>
      <c r="W2966" t="s">
        <v>136</v>
      </c>
      <c r="X2966">
        <v>0</v>
      </c>
      <c r="Y2966" t="s">
        <v>139</v>
      </c>
      <c r="Z2966" t="s">
        <v>576</v>
      </c>
      <c r="AA2966" t="s">
        <v>144</v>
      </c>
      <c r="AB2966" t="s">
        <v>162</v>
      </c>
      <c r="AC2966" t="s">
        <v>21</v>
      </c>
      <c r="AD2966" t="s">
        <v>155</v>
      </c>
      <c r="AE2966" t="s">
        <v>127</v>
      </c>
      <c r="AF2966" t="s">
        <v>21</v>
      </c>
    </row>
    <row r="2967" spans="1:32">
      <c r="A2967" t="s">
        <v>4112</v>
      </c>
      <c r="B2967" s="37">
        <v>40033</v>
      </c>
      <c r="C2967" s="38">
        <v>40033</v>
      </c>
      <c r="D2967" s="38">
        <v>40028</v>
      </c>
      <c r="E2967" s="38">
        <v>40026</v>
      </c>
      <c r="F2967" s="39">
        <v>128</v>
      </c>
      <c r="G2967" t="s">
        <v>21</v>
      </c>
      <c r="H2967" t="s">
        <v>21</v>
      </c>
      <c r="I2967">
        <v>0</v>
      </c>
      <c r="J2967">
        <v>0</v>
      </c>
      <c r="K2967">
        <v>0</v>
      </c>
      <c r="L2967">
        <v>1</v>
      </c>
      <c r="M2967">
        <v>0</v>
      </c>
      <c r="N2967" t="s">
        <v>195</v>
      </c>
      <c r="O2967" t="s">
        <v>213</v>
      </c>
      <c r="P2967" t="s">
        <v>206</v>
      </c>
      <c r="Q2967" t="s">
        <v>170</v>
      </c>
      <c r="R2967" t="s">
        <v>155</v>
      </c>
      <c r="S2967">
        <v>5</v>
      </c>
      <c r="T2967" t="s">
        <v>135</v>
      </c>
      <c r="U2967">
        <v>0</v>
      </c>
      <c r="V2967">
        <v>3</v>
      </c>
      <c r="W2967" t="s">
        <v>137</v>
      </c>
      <c r="X2967">
        <v>0</v>
      </c>
      <c r="Y2967" t="s">
        <v>139</v>
      </c>
      <c r="Z2967" t="s">
        <v>189</v>
      </c>
      <c r="AA2967" t="s">
        <v>144</v>
      </c>
      <c r="AB2967" t="s">
        <v>162</v>
      </c>
      <c r="AC2967" t="s">
        <v>174</v>
      </c>
      <c r="AD2967" t="s">
        <v>159</v>
      </c>
      <c r="AE2967" t="s">
        <v>123</v>
      </c>
      <c r="AF2967" t="s">
        <v>123</v>
      </c>
    </row>
    <row r="2968" spans="1:32">
      <c r="A2968" t="s">
        <v>4113</v>
      </c>
      <c r="B2968" s="37">
        <v>39930</v>
      </c>
      <c r="C2968" s="38">
        <v>39930</v>
      </c>
      <c r="D2968" s="38">
        <v>39930</v>
      </c>
      <c r="E2968" s="38">
        <v>39904</v>
      </c>
      <c r="F2968" s="39">
        <v>25</v>
      </c>
      <c r="G2968" t="s">
        <v>9</v>
      </c>
      <c r="H2968" t="s">
        <v>9</v>
      </c>
      <c r="I2968">
        <v>1</v>
      </c>
      <c r="J2968">
        <v>0</v>
      </c>
      <c r="K2968">
        <v>0</v>
      </c>
      <c r="L2968">
        <v>0</v>
      </c>
      <c r="M2968">
        <v>1</v>
      </c>
      <c r="N2968" t="s">
        <v>194</v>
      </c>
      <c r="O2968" t="s">
        <v>213</v>
      </c>
      <c r="P2968" t="s">
        <v>205</v>
      </c>
      <c r="Q2968" t="s">
        <v>170</v>
      </c>
      <c r="R2968" t="s">
        <v>155</v>
      </c>
      <c r="T2968" t="s">
        <v>134</v>
      </c>
      <c r="U2968">
        <v>1</v>
      </c>
      <c r="W2968" t="s">
        <v>134</v>
      </c>
      <c r="X2968">
        <v>1</v>
      </c>
      <c r="Y2968" t="s">
        <v>139</v>
      </c>
      <c r="Z2968" t="s">
        <v>182</v>
      </c>
      <c r="AA2968" t="s">
        <v>145</v>
      </c>
      <c r="AB2968" t="s">
        <v>162</v>
      </c>
      <c r="AC2968" t="s">
        <v>174</v>
      </c>
      <c r="AD2968" t="s">
        <v>156</v>
      </c>
      <c r="AE2968" t="s">
        <v>120</v>
      </c>
      <c r="AF2968" t="s">
        <v>427</v>
      </c>
    </row>
    <row r="2969" spans="1:32">
      <c r="A2969" t="s">
        <v>4114</v>
      </c>
      <c r="B2969" s="37">
        <v>39919</v>
      </c>
      <c r="C2969" s="38">
        <v>39919</v>
      </c>
      <c r="D2969" s="38">
        <v>39916</v>
      </c>
      <c r="E2969" s="38">
        <v>39904</v>
      </c>
      <c r="F2969" s="39">
        <v>14</v>
      </c>
      <c r="G2969" t="s">
        <v>21</v>
      </c>
      <c r="H2969" t="s">
        <v>21</v>
      </c>
      <c r="I2969">
        <v>0</v>
      </c>
      <c r="J2969">
        <v>0</v>
      </c>
      <c r="K2969">
        <v>0</v>
      </c>
      <c r="L2969">
        <v>1</v>
      </c>
      <c r="M2969">
        <v>0</v>
      </c>
      <c r="N2969" t="s">
        <v>193</v>
      </c>
      <c r="O2969" t="s">
        <v>213</v>
      </c>
      <c r="P2969" t="s">
        <v>204</v>
      </c>
      <c r="Q2969" t="s">
        <v>170</v>
      </c>
      <c r="R2969" t="s">
        <v>155</v>
      </c>
      <c r="T2969" t="s">
        <v>134</v>
      </c>
      <c r="U2969">
        <v>1</v>
      </c>
      <c r="W2969" t="s">
        <v>134</v>
      </c>
      <c r="X2969">
        <v>1</v>
      </c>
      <c r="Y2969" t="s">
        <v>140</v>
      </c>
      <c r="Z2969" t="s">
        <v>179</v>
      </c>
      <c r="AA2969" t="s">
        <v>145</v>
      </c>
      <c r="AB2969" t="s">
        <v>163</v>
      </c>
      <c r="AC2969" t="s">
        <v>173</v>
      </c>
      <c r="AD2969" t="s">
        <v>155</v>
      </c>
      <c r="AE2969" t="s">
        <v>125</v>
      </c>
      <c r="AF2969" t="s">
        <v>21</v>
      </c>
    </row>
    <row r="2970" spans="1:32">
      <c r="A2970" t="s">
        <v>4115</v>
      </c>
      <c r="B2970" s="37">
        <v>40014</v>
      </c>
      <c r="C2970" s="38">
        <v>40014</v>
      </c>
      <c r="D2970" s="38">
        <v>40014</v>
      </c>
      <c r="E2970" s="38">
        <v>39995</v>
      </c>
      <c r="F2970" s="39">
        <v>109</v>
      </c>
      <c r="G2970" t="s">
        <v>383</v>
      </c>
      <c r="H2970" t="s">
        <v>17</v>
      </c>
      <c r="I2970">
        <v>0</v>
      </c>
      <c r="J2970">
        <v>0</v>
      </c>
      <c r="K2970">
        <v>1</v>
      </c>
      <c r="L2970">
        <v>0</v>
      </c>
      <c r="M2970">
        <v>0</v>
      </c>
      <c r="N2970" t="s">
        <v>193</v>
      </c>
      <c r="O2970" t="s">
        <v>213</v>
      </c>
      <c r="P2970" t="s">
        <v>204</v>
      </c>
      <c r="Q2970" t="s">
        <v>170</v>
      </c>
      <c r="R2970" t="s">
        <v>155</v>
      </c>
      <c r="S2970">
        <v>5</v>
      </c>
      <c r="T2970" t="s">
        <v>135</v>
      </c>
      <c r="U2970">
        <v>0</v>
      </c>
      <c r="V2970">
        <v>3</v>
      </c>
      <c r="W2970" t="s">
        <v>137</v>
      </c>
      <c r="X2970">
        <v>0</v>
      </c>
      <c r="Y2970" t="s">
        <v>140</v>
      </c>
      <c r="Z2970" t="s">
        <v>184</v>
      </c>
      <c r="AA2970" t="s">
        <v>146</v>
      </c>
      <c r="AB2970" t="s">
        <v>162</v>
      </c>
      <c r="AC2970" t="s">
        <v>550</v>
      </c>
      <c r="AD2970" t="s">
        <v>157</v>
      </c>
      <c r="AE2970" t="s">
        <v>130</v>
      </c>
      <c r="AF2970" t="s">
        <v>423</v>
      </c>
    </row>
    <row r="2971" spans="1:32">
      <c r="A2971" t="s">
        <v>4116</v>
      </c>
      <c r="B2971" s="37">
        <v>39966</v>
      </c>
      <c r="C2971" s="38">
        <v>39966</v>
      </c>
      <c r="D2971" s="38">
        <v>39965</v>
      </c>
      <c r="E2971" s="38">
        <v>39965</v>
      </c>
      <c r="F2971" s="39">
        <v>61</v>
      </c>
      <c r="G2971" t="s">
        <v>570</v>
      </c>
      <c r="H2971" t="s">
        <v>13</v>
      </c>
      <c r="I2971">
        <v>0</v>
      </c>
      <c r="J2971">
        <v>1</v>
      </c>
      <c r="K2971">
        <v>0</v>
      </c>
      <c r="L2971">
        <v>0</v>
      </c>
      <c r="M2971">
        <v>1</v>
      </c>
      <c r="N2971" t="s">
        <v>193</v>
      </c>
      <c r="O2971" t="s">
        <v>213</v>
      </c>
      <c r="P2971" t="s">
        <v>204</v>
      </c>
      <c r="Q2971" t="s">
        <v>170</v>
      </c>
      <c r="R2971" t="s">
        <v>155</v>
      </c>
      <c r="T2971" t="s">
        <v>134</v>
      </c>
      <c r="U2971">
        <v>1</v>
      </c>
      <c r="W2971" t="s">
        <v>134</v>
      </c>
      <c r="X2971">
        <v>1</v>
      </c>
      <c r="Y2971" t="s">
        <v>140</v>
      </c>
      <c r="Z2971" t="s">
        <v>178</v>
      </c>
      <c r="AA2971" t="s">
        <v>150</v>
      </c>
      <c r="AB2971" t="s">
        <v>162</v>
      </c>
      <c r="AC2971" t="s">
        <v>550</v>
      </c>
      <c r="AD2971" t="s">
        <v>160</v>
      </c>
      <c r="AE2971" t="s">
        <v>126</v>
      </c>
      <c r="AF2971" t="s">
        <v>685</v>
      </c>
    </row>
    <row r="2972" spans="1:32">
      <c r="A2972" t="s">
        <v>4117</v>
      </c>
      <c r="B2972" s="37">
        <v>40006</v>
      </c>
      <c r="C2972" s="38">
        <v>40006</v>
      </c>
      <c r="D2972" s="38">
        <v>40000</v>
      </c>
      <c r="E2972" s="38">
        <v>39995</v>
      </c>
      <c r="F2972" s="39">
        <v>101</v>
      </c>
      <c r="G2972" t="s">
        <v>21</v>
      </c>
      <c r="H2972" t="s">
        <v>21</v>
      </c>
      <c r="I2972">
        <v>0</v>
      </c>
      <c r="J2972">
        <v>0</v>
      </c>
      <c r="K2972">
        <v>0</v>
      </c>
      <c r="L2972">
        <v>1</v>
      </c>
      <c r="M2972">
        <v>0</v>
      </c>
      <c r="N2972" t="s">
        <v>196</v>
      </c>
      <c r="O2972" t="s">
        <v>213</v>
      </c>
      <c r="P2972" t="s">
        <v>207</v>
      </c>
      <c r="Q2972" t="s">
        <v>170</v>
      </c>
      <c r="R2972" t="s">
        <v>155</v>
      </c>
      <c r="S2972">
        <v>5</v>
      </c>
      <c r="T2972" t="s">
        <v>135</v>
      </c>
      <c r="U2972">
        <v>0</v>
      </c>
      <c r="V2972">
        <v>5</v>
      </c>
      <c r="W2972" t="s">
        <v>135</v>
      </c>
      <c r="X2972">
        <v>0</v>
      </c>
      <c r="Y2972" t="s">
        <v>139</v>
      </c>
      <c r="Z2972" t="s">
        <v>182</v>
      </c>
      <c r="AA2972" t="s">
        <v>143</v>
      </c>
      <c r="AB2972" t="s">
        <v>162</v>
      </c>
      <c r="AC2972" t="s">
        <v>174</v>
      </c>
      <c r="AD2972" t="s">
        <v>156</v>
      </c>
      <c r="AE2972" t="s">
        <v>120</v>
      </c>
      <c r="AF2972" t="s">
        <v>794</v>
      </c>
    </row>
    <row r="2973" spans="1:32">
      <c r="A2973" t="s">
        <v>4118</v>
      </c>
      <c r="B2973" s="37">
        <v>40020</v>
      </c>
      <c r="C2973" s="38">
        <v>40020</v>
      </c>
      <c r="D2973" s="38">
        <v>40014</v>
      </c>
      <c r="E2973" s="38">
        <v>39995</v>
      </c>
      <c r="F2973" s="39">
        <v>115</v>
      </c>
      <c r="G2973" t="s">
        <v>383</v>
      </c>
      <c r="H2973" t="s">
        <v>17</v>
      </c>
      <c r="I2973">
        <v>0</v>
      </c>
      <c r="J2973">
        <v>0</v>
      </c>
      <c r="K2973">
        <v>1</v>
      </c>
      <c r="L2973">
        <v>0</v>
      </c>
      <c r="M2973">
        <v>0</v>
      </c>
      <c r="N2973" t="s">
        <v>195</v>
      </c>
      <c r="O2973" t="s">
        <v>213</v>
      </c>
      <c r="P2973" t="s">
        <v>206</v>
      </c>
      <c r="Q2973" t="s">
        <v>170</v>
      </c>
      <c r="R2973" t="s">
        <v>155</v>
      </c>
      <c r="S2973">
        <v>5</v>
      </c>
      <c r="T2973" t="s">
        <v>135</v>
      </c>
      <c r="U2973">
        <v>0</v>
      </c>
      <c r="V2973">
        <v>5</v>
      </c>
      <c r="W2973" t="s">
        <v>135</v>
      </c>
      <c r="X2973">
        <v>0</v>
      </c>
      <c r="Y2973" t="s">
        <v>139</v>
      </c>
      <c r="Z2973" t="s">
        <v>184</v>
      </c>
      <c r="AA2973" t="s">
        <v>146</v>
      </c>
      <c r="AB2973" t="s">
        <v>162</v>
      </c>
      <c r="AC2973" t="s">
        <v>176</v>
      </c>
      <c r="AD2973" t="s">
        <v>398</v>
      </c>
      <c r="AE2973" t="s">
        <v>399</v>
      </c>
      <c r="AF2973" t="s">
        <v>400</v>
      </c>
    </row>
    <row r="2974" spans="1:32">
      <c r="A2974" t="s">
        <v>4119</v>
      </c>
      <c r="B2974" s="37">
        <v>40051</v>
      </c>
      <c r="C2974" s="38">
        <v>40051</v>
      </c>
      <c r="D2974" s="38">
        <v>40049</v>
      </c>
      <c r="E2974" s="38">
        <v>40026</v>
      </c>
      <c r="F2974" s="39">
        <v>146</v>
      </c>
      <c r="G2974" t="s">
        <v>380</v>
      </c>
      <c r="H2974" t="s">
        <v>17</v>
      </c>
      <c r="I2974">
        <v>0</v>
      </c>
      <c r="J2974">
        <v>0</v>
      </c>
      <c r="K2974">
        <v>1</v>
      </c>
      <c r="L2974">
        <v>0</v>
      </c>
      <c r="M2974">
        <v>0</v>
      </c>
      <c r="N2974" t="s">
        <v>197</v>
      </c>
      <c r="O2974" t="s">
        <v>213</v>
      </c>
      <c r="P2974" t="s">
        <v>209</v>
      </c>
      <c r="Q2974" t="s">
        <v>170</v>
      </c>
      <c r="R2974" t="s">
        <v>155</v>
      </c>
      <c r="S2974">
        <v>5</v>
      </c>
      <c r="T2974" t="s">
        <v>135</v>
      </c>
      <c r="U2974">
        <v>0</v>
      </c>
      <c r="V2974">
        <v>3</v>
      </c>
      <c r="W2974" t="s">
        <v>137</v>
      </c>
      <c r="X2974">
        <v>0</v>
      </c>
      <c r="Y2974" t="s">
        <v>139</v>
      </c>
      <c r="Z2974" t="s">
        <v>184</v>
      </c>
      <c r="AA2974" t="s">
        <v>146</v>
      </c>
      <c r="AB2974" t="s">
        <v>165</v>
      </c>
      <c r="AC2974" t="s">
        <v>4120</v>
      </c>
      <c r="AD2974" t="s">
        <v>158</v>
      </c>
      <c r="AE2974" t="s">
        <v>122</v>
      </c>
      <c r="AF2974" t="s">
        <v>21</v>
      </c>
    </row>
    <row r="2975" spans="1:32">
      <c r="A2975" t="s">
        <v>4121</v>
      </c>
      <c r="B2975" s="37">
        <v>40074</v>
      </c>
      <c r="C2975" s="38">
        <v>40074</v>
      </c>
      <c r="D2975" s="38">
        <v>40070</v>
      </c>
      <c r="E2975" s="38">
        <v>40057</v>
      </c>
      <c r="F2975" s="39">
        <v>169</v>
      </c>
      <c r="G2975" t="s">
        <v>380</v>
      </c>
      <c r="H2975" t="s">
        <v>17</v>
      </c>
      <c r="I2975">
        <v>0</v>
      </c>
      <c r="J2975">
        <v>0</v>
      </c>
      <c r="K2975">
        <v>1</v>
      </c>
      <c r="L2975">
        <v>0</v>
      </c>
      <c r="M2975">
        <v>0</v>
      </c>
      <c r="N2975" t="s">
        <v>197</v>
      </c>
      <c r="O2975" t="s">
        <v>213</v>
      </c>
      <c r="P2975" t="s">
        <v>209</v>
      </c>
      <c r="Q2975" t="s">
        <v>170</v>
      </c>
      <c r="R2975" t="s">
        <v>155</v>
      </c>
      <c r="S2975">
        <v>5</v>
      </c>
      <c r="T2975" t="s">
        <v>135</v>
      </c>
      <c r="U2975">
        <v>0</v>
      </c>
      <c r="V2975">
        <v>3</v>
      </c>
      <c r="W2975" t="s">
        <v>137</v>
      </c>
      <c r="X2975">
        <v>0</v>
      </c>
      <c r="Y2975" t="s">
        <v>139</v>
      </c>
      <c r="Z2975" t="s">
        <v>184</v>
      </c>
      <c r="AA2975" t="s">
        <v>142</v>
      </c>
      <c r="AB2975" t="s">
        <v>163</v>
      </c>
      <c r="AC2975" t="s">
        <v>173</v>
      </c>
      <c r="AD2975" t="s">
        <v>155</v>
      </c>
      <c r="AE2975" t="s">
        <v>127</v>
      </c>
      <c r="AF2975" t="s">
        <v>21</v>
      </c>
    </row>
    <row r="2976" spans="1:32">
      <c r="A2976" t="s">
        <v>4122</v>
      </c>
      <c r="B2976" s="37">
        <v>39911</v>
      </c>
      <c r="C2976" s="38">
        <v>39911</v>
      </c>
      <c r="D2976" s="38">
        <v>39909</v>
      </c>
      <c r="E2976" s="38">
        <v>39904</v>
      </c>
      <c r="F2976" s="39">
        <v>6</v>
      </c>
      <c r="G2976" t="s">
        <v>21</v>
      </c>
      <c r="H2976" t="s">
        <v>21</v>
      </c>
      <c r="I2976">
        <v>0</v>
      </c>
      <c r="J2976">
        <v>0</v>
      </c>
      <c r="K2976">
        <v>0</v>
      </c>
      <c r="L2976">
        <v>1</v>
      </c>
      <c r="M2976">
        <v>0</v>
      </c>
      <c r="N2976" t="s">
        <v>199</v>
      </c>
      <c r="O2976" t="s">
        <v>213</v>
      </c>
      <c r="P2976" t="s">
        <v>210</v>
      </c>
      <c r="Q2976" t="s">
        <v>170</v>
      </c>
      <c r="R2976" t="s">
        <v>155</v>
      </c>
      <c r="T2976" t="s">
        <v>134</v>
      </c>
      <c r="U2976">
        <v>1</v>
      </c>
      <c r="W2976" t="s">
        <v>134</v>
      </c>
      <c r="X2976">
        <v>1</v>
      </c>
      <c r="Y2976" t="s">
        <v>139</v>
      </c>
      <c r="Z2976" t="s">
        <v>179</v>
      </c>
      <c r="AA2976" t="s">
        <v>150</v>
      </c>
      <c r="AB2976" t="s">
        <v>162</v>
      </c>
      <c r="AC2976" t="s">
        <v>174</v>
      </c>
      <c r="AD2976" t="s">
        <v>156</v>
      </c>
      <c r="AE2976" t="s">
        <v>120</v>
      </c>
      <c r="AF2976" t="s">
        <v>3574</v>
      </c>
    </row>
    <row r="2977" spans="1:32">
      <c r="A2977" t="s">
        <v>4123</v>
      </c>
      <c r="B2977" s="37">
        <v>39958</v>
      </c>
      <c r="C2977" s="38">
        <v>39958</v>
      </c>
      <c r="D2977" s="38">
        <v>39958</v>
      </c>
      <c r="E2977" s="38">
        <v>39934</v>
      </c>
      <c r="F2977" s="39">
        <v>53</v>
      </c>
      <c r="G2977" t="s">
        <v>21</v>
      </c>
      <c r="H2977" t="s">
        <v>21</v>
      </c>
      <c r="I2977">
        <v>0</v>
      </c>
      <c r="J2977">
        <v>0</v>
      </c>
      <c r="K2977">
        <v>0</v>
      </c>
      <c r="L2977">
        <v>1</v>
      </c>
      <c r="M2977">
        <v>0</v>
      </c>
      <c r="N2977" t="s">
        <v>194</v>
      </c>
      <c r="O2977" t="s">
        <v>213</v>
      </c>
      <c r="P2977" t="s">
        <v>205</v>
      </c>
      <c r="Q2977" t="s">
        <v>170</v>
      </c>
      <c r="R2977" t="s">
        <v>155</v>
      </c>
      <c r="T2977" t="s">
        <v>134</v>
      </c>
      <c r="U2977">
        <v>1</v>
      </c>
      <c r="W2977" t="s">
        <v>134</v>
      </c>
      <c r="X2977">
        <v>1</v>
      </c>
      <c r="Y2977" t="s">
        <v>139</v>
      </c>
      <c r="Z2977" t="s">
        <v>178</v>
      </c>
      <c r="AA2977" t="s">
        <v>145</v>
      </c>
      <c r="AB2977" t="s">
        <v>163</v>
      </c>
      <c r="AC2977" t="s">
        <v>4124</v>
      </c>
      <c r="AD2977" t="s">
        <v>155</v>
      </c>
      <c r="AE2977" t="s">
        <v>670</v>
      </c>
      <c r="AF2977" t="s">
        <v>21</v>
      </c>
    </row>
    <row r="2978" spans="1:32">
      <c r="A2978" t="s">
        <v>4125</v>
      </c>
      <c r="B2978" s="37">
        <v>39977</v>
      </c>
      <c r="C2978" s="38">
        <v>39977</v>
      </c>
      <c r="D2978" s="38">
        <v>39972</v>
      </c>
      <c r="E2978" s="38">
        <v>39965</v>
      </c>
      <c r="F2978" s="39">
        <v>72</v>
      </c>
      <c r="G2978" t="s">
        <v>21</v>
      </c>
      <c r="H2978" t="s">
        <v>21</v>
      </c>
      <c r="I2978">
        <v>0</v>
      </c>
      <c r="J2978">
        <v>0</v>
      </c>
      <c r="K2978">
        <v>0</v>
      </c>
      <c r="L2978">
        <v>1</v>
      </c>
      <c r="M2978">
        <v>0</v>
      </c>
      <c r="N2978" t="s">
        <v>195</v>
      </c>
      <c r="O2978" t="s">
        <v>213</v>
      </c>
      <c r="P2978" t="s">
        <v>206</v>
      </c>
      <c r="Q2978" t="s">
        <v>170</v>
      </c>
      <c r="R2978" t="s">
        <v>155</v>
      </c>
      <c r="T2978" t="s">
        <v>134</v>
      </c>
      <c r="U2978">
        <v>1</v>
      </c>
      <c r="W2978" t="s">
        <v>134</v>
      </c>
      <c r="X2978">
        <v>1</v>
      </c>
      <c r="Y2978" t="s">
        <v>139</v>
      </c>
      <c r="Z2978" t="s">
        <v>179</v>
      </c>
      <c r="AA2978" t="s">
        <v>146</v>
      </c>
      <c r="AB2978" t="s">
        <v>163</v>
      </c>
      <c r="AC2978" t="s">
        <v>173</v>
      </c>
      <c r="AD2978" t="s">
        <v>155</v>
      </c>
      <c r="AE2978" t="s">
        <v>571</v>
      </c>
      <c r="AF2978" t="s">
        <v>21</v>
      </c>
    </row>
    <row r="2979" spans="1:32">
      <c r="A2979" t="s">
        <v>4126</v>
      </c>
      <c r="B2979" s="37">
        <v>39948</v>
      </c>
      <c r="C2979" s="38">
        <v>39948</v>
      </c>
      <c r="D2979" s="38">
        <v>39944</v>
      </c>
      <c r="E2979" s="38">
        <v>39934</v>
      </c>
      <c r="F2979" s="39">
        <v>43</v>
      </c>
      <c r="G2979" t="s">
        <v>21</v>
      </c>
      <c r="H2979" t="s">
        <v>21</v>
      </c>
      <c r="I2979">
        <v>0</v>
      </c>
      <c r="J2979">
        <v>0</v>
      </c>
      <c r="K2979">
        <v>0</v>
      </c>
      <c r="L2979">
        <v>1</v>
      </c>
      <c r="M2979">
        <v>0</v>
      </c>
      <c r="N2979" t="s">
        <v>195</v>
      </c>
      <c r="O2979" t="s">
        <v>213</v>
      </c>
      <c r="P2979" t="s">
        <v>206</v>
      </c>
      <c r="Q2979" t="s">
        <v>170</v>
      </c>
      <c r="R2979" t="s">
        <v>155</v>
      </c>
      <c r="T2979" t="s">
        <v>134</v>
      </c>
      <c r="U2979">
        <v>1</v>
      </c>
      <c r="W2979" t="s">
        <v>134</v>
      </c>
      <c r="X2979">
        <v>1</v>
      </c>
      <c r="Y2979" t="s">
        <v>139</v>
      </c>
      <c r="Z2979" t="s">
        <v>189</v>
      </c>
      <c r="AA2979" t="s">
        <v>147</v>
      </c>
      <c r="AB2979" t="s">
        <v>162</v>
      </c>
      <c r="AC2979" t="s">
        <v>4127</v>
      </c>
      <c r="AD2979" t="s">
        <v>156</v>
      </c>
      <c r="AE2979" t="s">
        <v>120</v>
      </c>
      <c r="AF2979" t="s">
        <v>794</v>
      </c>
    </row>
    <row r="2980" spans="1:32">
      <c r="A2980" t="s">
        <v>4128</v>
      </c>
      <c r="B2980" s="37">
        <v>40080</v>
      </c>
      <c r="C2980" s="38">
        <v>40080</v>
      </c>
      <c r="D2980" s="38">
        <v>40077</v>
      </c>
      <c r="E2980" s="38">
        <v>40057</v>
      </c>
      <c r="F2980" s="39">
        <v>175</v>
      </c>
      <c r="G2980" t="s">
        <v>383</v>
      </c>
      <c r="H2980" t="s">
        <v>17</v>
      </c>
      <c r="I2980">
        <v>0</v>
      </c>
      <c r="J2980">
        <v>0</v>
      </c>
      <c r="K2980">
        <v>1</v>
      </c>
      <c r="L2980">
        <v>0</v>
      </c>
      <c r="M2980">
        <v>0</v>
      </c>
      <c r="N2980" t="s">
        <v>197</v>
      </c>
      <c r="O2980" t="s">
        <v>213</v>
      </c>
      <c r="P2980" t="s">
        <v>209</v>
      </c>
      <c r="Q2980" t="s">
        <v>170</v>
      </c>
      <c r="R2980" t="s">
        <v>155</v>
      </c>
      <c r="S2980">
        <v>5</v>
      </c>
      <c r="T2980" t="s">
        <v>135</v>
      </c>
      <c r="U2980">
        <v>0</v>
      </c>
      <c r="V2980">
        <v>5</v>
      </c>
      <c r="W2980" t="s">
        <v>135</v>
      </c>
      <c r="X2980">
        <v>0</v>
      </c>
      <c r="Y2980" t="s">
        <v>139</v>
      </c>
      <c r="Z2980" t="s">
        <v>184</v>
      </c>
      <c r="AA2980" t="s">
        <v>146</v>
      </c>
      <c r="AB2980" t="s">
        <v>162</v>
      </c>
      <c r="AC2980" t="s">
        <v>174</v>
      </c>
      <c r="AD2980" t="s">
        <v>157</v>
      </c>
      <c r="AE2980" t="s">
        <v>434</v>
      </c>
      <c r="AF2980" t="s">
        <v>435</v>
      </c>
    </row>
    <row r="2981" spans="1:32">
      <c r="A2981" t="s">
        <v>4129</v>
      </c>
      <c r="B2981" s="37">
        <v>40040</v>
      </c>
      <c r="C2981" s="38">
        <v>40040</v>
      </c>
      <c r="D2981" s="38">
        <v>40035</v>
      </c>
      <c r="E2981" s="38">
        <v>40026</v>
      </c>
      <c r="F2981" s="39">
        <v>135</v>
      </c>
      <c r="G2981" t="s">
        <v>380</v>
      </c>
      <c r="H2981" t="s">
        <v>17</v>
      </c>
      <c r="I2981">
        <v>0</v>
      </c>
      <c r="J2981">
        <v>0</v>
      </c>
      <c r="K2981">
        <v>1</v>
      </c>
      <c r="L2981">
        <v>0</v>
      </c>
      <c r="M2981">
        <v>0</v>
      </c>
      <c r="N2981" t="s">
        <v>196</v>
      </c>
      <c r="O2981" t="s">
        <v>213</v>
      </c>
      <c r="P2981" t="s">
        <v>207</v>
      </c>
      <c r="Q2981" t="s">
        <v>170</v>
      </c>
      <c r="R2981" t="s">
        <v>155</v>
      </c>
      <c r="S2981">
        <v>5</v>
      </c>
      <c r="T2981" t="s">
        <v>135</v>
      </c>
      <c r="U2981">
        <v>0</v>
      </c>
      <c r="V2981">
        <v>5</v>
      </c>
      <c r="W2981" t="s">
        <v>135</v>
      </c>
      <c r="X2981">
        <v>0</v>
      </c>
      <c r="Y2981" t="s">
        <v>139</v>
      </c>
      <c r="Z2981" t="s">
        <v>189</v>
      </c>
      <c r="AA2981" t="s">
        <v>142</v>
      </c>
      <c r="AB2981" t="s">
        <v>163</v>
      </c>
      <c r="AC2981" t="s">
        <v>173</v>
      </c>
      <c r="AD2981" t="s">
        <v>155</v>
      </c>
      <c r="AE2981" t="s">
        <v>406</v>
      </c>
      <c r="AF2981" t="s">
        <v>21</v>
      </c>
    </row>
    <row r="2982" spans="1:32">
      <c r="A2982" t="s">
        <v>4130</v>
      </c>
      <c r="B2982" s="37">
        <v>40020</v>
      </c>
      <c r="C2982" s="38">
        <v>40020</v>
      </c>
      <c r="D2982" s="38">
        <v>40014</v>
      </c>
      <c r="E2982" s="38">
        <v>39995</v>
      </c>
      <c r="F2982" s="39">
        <v>115</v>
      </c>
      <c r="G2982" t="s">
        <v>496</v>
      </c>
      <c r="H2982" t="s">
        <v>13</v>
      </c>
      <c r="I2982">
        <v>0</v>
      </c>
      <c r="J2982">
        <v>1</v>
      </c>
      <c r="K2982">
        <v>0</v>
      </c>
      <c r="L2982">
        <v>0</v>
      </c>
      <c r="M2982">
        <v>1</v>
      </c>
      <c r="N2982" t="s">
        <v>197</v>
      </c>
      <c r="O2982" t="s">
        <v>213</v>
      </c>
      <c r="P2982" t="s">
        <v>209</v>
      </c>
      <c r="Q2982" t="s">
        <v>170</v>
      </c>
      <c r="R2982" t="s">
        <v>155</v>
      </c>
      <c r="S2982">
        <v>5</v>
      </c>
      <c r="T2982" t="s">
        <v>135</v>
      </c>
      <c r="U2982">
        <v>0</v>
      </c>
      <c r="V2982">
        <v>3</v>
      </c>
      <c r="W2982" t="s">
        <v>137</v>
      </c>
      <c r="X2982">
        <v>0</v>
      </c>
      <c r="Y2982" t="s">
        <v>139</v>
      </c>
      <c r="Z2982" t="s">
        <v>187</v>
      </c>
      <c r="AA2982" t="s">
        <v>142</v>
      </c>
      <c r="AB2982" t="s">
        <v>163</v>
      </c>
      <c r="AC2982" t="s">
        <v>173</v>
      </c>
      <c r="AD2982" t="s">
        <v>155</v>
      </c>
      <c r="AE2982" t="s">
        <v>763</v>
      </c>
      <c r="AF2982" t="s">
        <v>21</v>
      </c>
    </row>
    <row r="2983" spans="1:32">
      <c r="A2983" t="s">
        <v>4131</v>
      </c>
      <c r="B2983" s="37">
        <v>40029</v>
      </c>
      <c r="C2983" s="38">
        <v>40029</v>
      </c>
      <c r="D2983" s="38">
        <v>40028</v>
      </c>
      <c r="E2983" s="38">
        <v>40026</v>
      </c>
      <c r="F2983" s="39">
        <v>124</v>
      </c>
      <c r="G2983" t="s">
        <v>9</v>
      </c>
      <c r="H2983" t="s">
        <v>9</v>
      </c>
      <c r="I2983">
        <v>1</v>
      </c>
      <c r="J2983">
        <v>0</v>
      </c>
      <c r="K2983">
        <v>0</v>
      </c>
      <c r="L2983">
        <v>0</v>
      </c>
      <c r="M2983">
        <v>1</v>
      </c>
      <c r="N2983" t="s">
        <v>197</v>
      </c>
      <c r="O2983" t="s">
        <v>213</v>
      </c>
      <c r="P2983" t="s">
        <v>209</v>
      </c>
      <c r="Q2983" t="s">
        <v>170</v>
      </c>
      <c r="R2983" t="s">
        <v>155</v>
      </c>
      <c r="S2983">
        <v>5</v>
      </c>
      <c r="T2983" t="s">
        <v>135</v>
      </c>
      <c r="U2983">
        <v>0</v>
      </c>
      <c r="V2983">
        <v>2</v>
      </c>
      <c r="W2983" t="s">
        <v>136</v>
      </c>
      <c r="X2983">
        <v>0</v>
      </c>
      <c r="Y2983" t="s">
        <v>139</v>
      </c>
      <c r="Z2983" t="s">
        <v>187</v>
      </c>
      <c r="AA2983" t="s">
        <v>143</v>
      </c>
      <c r="AB2983" t="s">
        <v>163</v>
      </c>
      <c r="AC2983" t="s">
        <v>1042</v>
      </c>
      <c r="AD2983" t="s">
        <v>155</v>
      </c>
      <c r="AE2983" t="s">
        <v>501</v>
      </c>
      <c r="AF2983" t="s">
        <v>21</v>
      </c>
    </row>
    <row r="2984" spans="1:32">
      <c r="A2984" t="s">
        <v>4132</v>
      </c>
      <c r="B2984" s="37">
        <v>39968</v>
      </c>
      <c r="C2984" s="38">
        <v>39968</v>
      </c>
      <c r="D2984" s="38">
        <v>39965</v>
      </c>
      <c r="E2984" s="38">
        <v>39965</v>
      </c>
      <c r="F2984" s="39">
        <v>63</v>
      </c>
      <c r="G2984" t="s">
        <v>21</v>
      </c>
      <c r="H2984" t="s">
        <v>21</v>
      </c>
      <c r="I2984">
        <v>0</v>
      </c>
      <c r="J2984">
        <v>0</v>
      </c>
      <c r="K2984">
        <v>0</v>
      </c>
      <c r="L2984">
        <v>1</v>
      </c>
      <c r="M2984">
        <v>0</v>
      </c>
      <c r="N2984" t="s">
        <v>193</v>
      </c>
      <c r="O2984" t="s">
        <v>213</v>
      </c>
      <c r="P2984" t="s">
        <v>204</v>
      </c>
      <c r="Q2984" t="s">
        <v>170</v>
      </c>
      <c r="R2984" t="s">
        <v>155</v>
      </c>
      <c r="T2984" t="s">
        <v>134</v>
      </c>
      <c r="U2984">
        <v>1</v>
      </c>
      <c r="W2984" t="s">
        <v>134</v>
      </c>
      <c r="X2984">
        <v>1</v>
      </c>
      <c r="Y2984" t="s">
        <v>140</v>
      </c>
      <c r="Z2984" t="s">
        <v>190</v>
      </c>
      <c r="AA2984" t="s">
        <v>143</v>
      </c>
      <c r="AB2984" t="s">
        <v>162</v>
      </c>
      <c r="AC2984" t="s">
        <v>21</v>
      </c>
      <c r="AD2984" t="s">
        <v>160</v>
      </c>
      <c r="AE2984" t="s">
        <v>126</v>
      </c>
      <c r="AF2984" t="s">
        <v>665</v>
      </c>
    </row>
    <row r="2985" spans="1:32">
      <c r="A2985" t="s">
        <v>4133</v>
      </c>
      <c r="B2985" s="37">
        <v>40070</v>
      </c>
      <c r="C2985" s="38">
        <v>40070</v>
      </c>
      <c r="D2985" s="38">
        <v>40070</v>
      </c>
      <c r="E2985" s="38">
        <v>40057</v>
      </c>
      <c r="F2985" s="39">
        <v>165</v>
      </c>
      <c r="G2985" t="s">
        <v>9</v>
      </c>
      <c r="H2985" t="s">
        <v>9</v>
      </c>
      <c r="I2985">
        <v>1</v>
      </c>
      <c r="J2985">
        <v>0</v>
      </c>
      <c r="K2985">
        <v>0</v>
      </c>
      <c r="L2985">
        <v>0</v>
      </c>
      <c r="M2985">
        <v>1</v>
      </c>
      <c r="N2985" t="s">
        <v>193</v>
      </c>
      <c r="O2985" t="s">
        <v>213</v>
      </c>
      <c r="P2985" t="s">
        <v>204</v>
      </c>
      <c r="Q2985" t="s">
        <v>170</v>
      </c>
      <c r="R2985" t="s">
        <v>155</v>
      </c>
      <c r="S2985">
        <v>5</v>
      </c>
      <c r="T2985" t="s">
        <v>135</v>
      </c>
      <c r="U2985">
        <v>0</v>
      </c>
      <c r="V2985">
        <v>3</v>
      </c>
      <c r="W2985" t="s">
        <v>137</v>
      </c>
      <c r="X2985">
        <v>0</v>
      </c>
      <c r="Y2985" t="s">
        <v>140</v>
      </c>
      <c r="Z2985" t="s">
        <v>190</v>
      </c>
      <c r="AA2985" t="s">
        <v>146</v>
      </c>
      <c r="AB2985" t="s">
        <v>162</v>
      </c>
      <c r="AC2985" t="s">
        <v>174</v>
      </c>
      <c r="AD2985" t="s">
        <v>156</v>
      </c>
      <c r="AE2985" t="s">
        <v>120</v>
      </c>
      <c r="AF2985" t="s">
        <v>748</v>
      </c>
    </row>
    <row r="2986" spans="1:32">
      <c r="A2986" t="s">
        <v>4134</v>
      </c>
      <c r="B2986" s="37">
        <v>40085</v>
      </c>
      <c r="C2986" s="38">
        <v>40085</v>
      </c>
      <c r="D2986" s="38">
        <v>40084</v>
      </c>
      <c r="E2986" s="38">
        <v>40057</v>
      </c>
      <c r="F2986" s="39">
        <v>180</v>
      </c>
      <c r="G2986" t="s">
        <v>496</v>
      </c>
      <c r="H2986" t="s">
        <v>13</v>
      </c>
      <c r="I2986">
        <v>0</v>
      </c>
      <c r="J2986">
        <v>1</v>
      </c>
      <c r="K2986">
        <v>0</v>
      </c>
      <c r="L2986">
        <v>0</v>
      </c>
      <c r="M2986">
        <v>1</v>
      </c>
      <c r="N2986" t="s">
        <v>193</v>
      </c>
      <c r="O2986" t="s">
        <v>213</v>
      </c>
      <c r="P2986" t="s">
        <v>204</v>
      </c>
      <c r="Q2986" t="s">
        <v>170</v>
      </c>
      <c r="R2986" t="s">
        <v>155</v>
      </c>
      <c r="S2986">
        <v>3</v>
      </c>
      <c r="T2986" t="s">
        <v>137</v>
      </c>
      <c r="U2986">
        <v>0</v>
      </c>
      <c r="V2986">
        <v>2</v>
      </c>
      <c r="W2986" t="s">
        <v>136</v>
      </c>
      <c r="X2986">
        <v>0</v>
      </c>
      <c r="Y2986" t="s">
        <v>140</v>
      </c>
      <c r="Z2986" t="s">
        <v>178</v>
      </c>
      <c r="AA2986" t="s">
        <v>144</v>
      </c>
      <c r="AB2986" t="s">
        <v>162</v>
      </c>
      <c r="AC2986" t="s">
        <v>174</v>
      </c>
      <c r="AD2986" t="s">
        <v>156</v>
      </c>
      <c r="AE2986" t="s">
        <v>120</v>
      </c>
      <c r="AF2986" t="s">
        <v>741</v>
      </c>
    </row>
    <row r="2987" spans="1:32">
      <c r="A2987" t="s">
        <v>4135</v>
      </c>
      <c r="B2987" s="37">
        <v>39928</v>
      </c>
      <c r="C2987" s="38">
        <v>39928</v>
      </c>
      <c r="D2987" s="38">
        <v>39923</v>
      </c>
      <c r="E2987" s="38">
        <v>39904</v>
      </c>
      <c r="F2987" s="39">
        <v>23</v>
      </c>
      <c r="G2987" t="s">
        <v>21</v>
      </c>
      <c r="H2987" t="s">
        <v>21</v>
      </c>
      <c r="I2987">
        <v>0</v>
      </c>
      <c r="J2987">
        <v>0</v>
      </c>
      <c r="K2987">
        <v>0</v>
      </c>
      <c r="L2987">
        <v>1</v>
      </c>
      <c r="M2987">
        <v>0</v>
      </c>
      <c r="N2987" t="s">
        <v>200</v>
      </c>
      <c r="O2987" t="s">
        <v>214</v>
      </c>
      <c r="P2987" t="s">
        <v>208</v>
      </c>
      <c r="Q2987" t="s">
        <v>170</v>
      </c>
      <c r="R2987" t="s">
        <v>155</v>
      </c>
      <c r="T2987" t="s">
        <v>134</v>
      </c>
      <c r="U2987">
        <v>1</v>
      </c>
      <c r="W2987" t="s">
        <v>134</v>
      </c>
      <c r="X2987">
        <v>1</v>
      </c>
      <c r="Y2987" t="s">
        <v>139</v>
      </c>
      <c r="Z2987" t="s">
        <v>179</v>
      </c>
      <c r="AA2987" t="s">
        <v>148</v>
      </c>
      <c r="AB2987" t="s">
        <v>163</v>
      </c>
      <c r="AC2987" t="s">
        <v>173</v>
      </c>
      <c r="AD2987" t="s">
        <v>155</v>
      </c>
      <c r="AE2987" t="s">
        <v>406</v>
      </c>
      <c r="AF2987" t="s">
        <v>21</v>
      </c>
    </row>
    <row r="2988" spans="1:32">
      <c r="A2988" t="s">
        <v>4136</v>
      </c>
      <c r="B2988" s="37">
        <v>39969</v>
      </c>
      <c r="C2988" s="38">
        <v>39969</v>
      </c>
      <c r="D2988" s="38">
        <v>39965</v>
      </c>
      <c r="E2988" s="38">
        <v>39965</v>
      </c>
      <c r="F2988" s="39">
        <v>64</v>
      </c>
      <c r="G2988" t="s">
        <v>21</v>
      </c>
      <c r="H2988" t="s">
        <v>21</v>
      </c>
      <c r="I2988">
        <v>0</v>
      </c>
      <c r="J2988">
        <v>0</v>
      </c>
      <c r="K2988">
        <v>0</v>
      </c>
      <c r="L2988">
        <v>1</v>
      </c>
      <c r="M2988">
        <v>0</v>
      </c>
      <c r="N2988" t="s">
        <v>193</v>
      </c>
      <c r="O2988" t="s">
        <v>213</v>
      </c>
      <c r="P2988" t="s">
        <v>204</v>
      </c>
      <c r="Q2988" t="s">
        <v>170</v>
      </c>
      <c r="R2988" t="s">
        <v>155</v>
      </c>
      <c r="T2988" t="s">
        <v>134</v>
      </c>
      <c r="U2988">
        <v>1</v>
      </c>
      <c r="W2988" t="s">
        <v>134</v>
      </c>
      <c r="X2988">
        <v>1</v>
      </c>
      <c r="Y2988" t="s">
        <v>140</v>
      </c>
      <c r="Z2988" t="s">
        <v>409</v>
      </c>
      <c r="AA2988" t="s">
        <v>142</v>
      </c>
      <c r="AB2988" t="s">
        <v>162</v>
      </c>
      <c r="AC2988" t="s">
        <v>174</v>
      </c>
      <c r="AD2988" t="s">
        <v>157</v>
      </c>
      <c r="AE2988" t="s">
        <v>434</v>
      </c>
      <c r="AF2988" t="s">
        <v>435</v>
      </c>
    </row>
    <row r="2989" spans="1:32">
      <c r="A2989" t="s">
        <v>4137</v>
      </c>
      <c r="B2989" s="37">
        <v>39971</v>
      </c>
      <c r="C2989" s="38">
        <v>39971</v>
      </c>
      <c r="D2989" s="38">
        <v>39965</v>
      </c>
      <c r="E2989" s="38">
        <v>39965</v>
      </c>
      <c r="F2989" s="39">
        <v>66</v>
      </c>
      <c r="G2989" t="s">
        <v>21</v>
      </c>
      <c r="H2989" t="s">
        <v>21</v>
      </c>
      <c r="I2989">
        <v>0</v>
      </c>
      <c r="J2989">
        <v>0</v>
      </c>
      <c r="K2989">
        <v>0</v>
      </c>
      <c r="L2989">
        <v>1</v>
      </c>
      <c r="M2989">
        <v>0</v>
      </c>
      <c r="N2989" t="s">
        <v>193</v>
      </c>
      <c r="O2989" t="s">
        <v>213</v>
      </c>
      <c r="P2989" t="s">
        <v>204</v>
      </c>
      <c r="Q2989" t="s">
        <v>170</v>
      </c>
      <c r="R2989" t="s">
        <v>155</v>
      </c>
      <c r="T2989" t="s">
        <v>134</v>
      </c>
      <c r="U2989">
        <v>1</v>
      </c>
      <c r="W2989" t="s">
        <v>134</v>
      </c>
      <c r="X2989">
        <v>1</v>
      </c>
      <c r="Y2989" t="s">
        <v>140</v>
      </c>
      <c r="Z2989" t="s">
        <v>182</v>
      </c>
      <c r="AA2989" t="s">
        <v>143</v>
      </c>
      <c r="AB2989" t="s">
        <v>162</v>
      </c>
      <c r="AC2989" t="s">
        <v>21</v>
      </c>
      <c r="AD2989" t="s">
        <v>160</v>
      </c>
      <c r="AE2989" t="s">
        <v>126</v>
      </c>
      <c r="AF2989" t="s">
        <v>551</v>
      </c>
    </row>
    <row r="2990" spans="1:32">
      <c r="A2990" t="s">
        <v>4138</v>
      </c>
      <c r="B2990" s="37">
        <v>40000</v>
      </c>
      <c r="C2990" s="38">
        <v>40000</v>
      </c>
      <c r="D2990" s="38">
        <v>40000</v>
      </c>
      <c r="E2990" s="38">
        <v>39995</v>
      </c>
      <c r="F2990" s="39">
        <v>95</v>
      </c>
      <c r="G2990" t="s">
        <v>21</v>
      </c>
      <c r="H2990" t="s">
        <v>21</v>
      </c>
      <c r="I2990">
        <v>0</v>
      </c>
      <c r="J2990">
        <v>0</v>
      </c>
      <c r="K2990">
        <v>0</v>
      </c>
      <c r="L2990">
        <v>1</v>
      </c>
      <c r="M2990">
        <v>0</v>
      </c>
      <c r="N2990" t="s">
        <v>196</v>
      </c>
      <c r="O2990" t="s">
        <v>213</v>
      </c>
      <c r="P2990" t="s">
        <v>207</v>
      </c>
      <c r="Q2990" t="s">
        <v>170</v>
      </c>
      <c r="R2990" t="s">
        <v>155</v>
      </c>
      <c r="T2990" t="s">
        <v>134</v>
      </c>
      <c r="U2990">
        <v>1</v>
      </c>
      <c r="V2990">
        <v>5</v>
      </c>
      <c r="W2990" t="s">
        <v>135</v>
      </c>
      <c r="X2990">
        <v>0</v>
      </c>
      <c r="Y2990" t="s">
        <v>139</v>
      </c>
      <c r="Z2990" t="s">
        <v>184</v>
      </c>
      <c r="AA2990" t="s">
        <v>144</v>
      </c>
      <c r="AB2990" t="s">
        <v>162</v>
      </c>
      <c r="AC2990" t="s">
        <v>174</v>
      </c>
      <c r="AD2990" t="s">
        <v>156</v>
      </c>
      <c r="AE2990" t="s">
        <v>120</v>
      </c>
      <c r="AF2990" t="s">
        <v>794</v>
      </c>
    </row>
    <row r="2991" spans="1:32">
      <c r="A2991" t="s">
        <v>4139</v>
      </c>
      <c r="B2991" s="37">
        <v>39947</v>
      </c>
      <c r="C2991" s="38">
        <v>39947</v>
      </c>
      <c r="D2991" s="38">
        <v>39944</v>
      </c>
      <c r="E2991" s="38">
        <v>39934</v>
      </c>
      <c r="F2991" s="39">
        <v>42</v>
      </c>
      <c r="G2991" t="s">
        <v>21</v>
      </c>
      <c r="H2991" t="s">
        <v>21</v>
      </c>
      <c r="I2991">
        <v>0</v>
      </c>
      <c r="J2991">
        <v>0</v>
      </c>
      <c r="K2991">
        <v>0</v>
      </c>
      <c r="L2991">
        <v>1</v>
      </c>
      <c r="M2991">
        <v>0</v>
      </c>
      <c r="N2991" t="s">
        <v>195</v>
      </c>
      <c r="O2991" t="s">
        <v>213</v>
      </c>
      <c r="P2991" t="s">
        <v>206</v>
      </c>
      <c r="Q2991" t="s">
        <v>170</v>
      </c>
      <c r="R2991" t="s">
        <v>155</v>
      </c>
      <c r="T2991" t="s">
        <v>134</v>
      </c>
      <c r="U2991">
        <v>1</v>
      </c>
      <c r="W2991" t="s">
        <v>134</v>
      </c>
      <c r="X2991">
        <v>1</v>
      </c>
      <c r="Y2991" t="s">
        <v>139</v>
      </c>
      <c r="Z2991" t="s">
        <v>182</v>
      </c>
      <c r="AA2991" t="s">
        <v>147</v>
      </c>
      <c r="AB2991" t="s">
        <v>165</v>
      </c>
      <c r="AC2991" t="s">
        <v>1023</v>
      </c>
      <c r="AD2991" t="s">
        <v>158</v>
      </c>
      <c r="AE2991" t="s">
        <v>122</v>
      </c>
      <c r="AF2991" t="s">
        <v>21</v>
      </c>
    </row>
    <row r="2992" spans="1:32">
      <c r="A2992" t="s">
        <v>4140</v>
      </c>
      <c r="B2992" s="37">
        <v>40085</v>
      </c>
      <c r="C2992" s="38">
        <v>40085</v>
      </c>
      <c r="D2992" s="38">
        <v>40084</v>
      </c>
      <c r="E2992" s="38">
        <v>40057</v>
      </c>
      <c r="F2992" s="39">
        <v>180</v>
      </c>
      <c r="G2992" t="s">
        <v>380</v>
      </c>
      <c r="H2992" t="s">
        <v>17</v>
      </c>
      <c r="I2992">
        <v>0</v>
      </c>
      <c r="J2992">
        <v>0</v>
      </c>
      <c r="K2992">
        <v>1</v>
      </c>
      <c r="L2992">
        <v>0</v>
      </c>
      <c r="M2992">
        <v>0</v>
      </c>
      <c r="N2992" t="s">
        <v>193</v>
      </c>
      <c r="O2992" t="s">
        <v>213</v>
      </c>
      <c r="P2992" t="s">
        <v>204</v>
      </c>
      <c r="Q2992" t="s">
        <v>170</v>
      </c>
      <c r="R2992" t="s">
        <v>155</v>
      </c>
      <c r="S2992">
        <v>5</v>
      </c>
      <c r="T2992" t="s">
        <v>135</v>
      </c>
      <c r="U2992">
        <v>0</v>
      </c>
      <c r="V2992">
        <v>5</v>
      </c>
      <c r="W2992" t="s">
        <v>135</v>
      </c>
      <c r="X2992">
        <v>0</v>
      </c>
      <c r="Y2992" t="s">
        <v>140</v>
      </c>
      <c r="Z2992" t="s">
        <v>182</v>
      </c>
      <c r="AA2992" t="s">
        <v>142</v>
      </c>
      <c r="AB2992" t="s">
        <v>163</v>
      </c>
      <c r="AC2992" t="s">
        <v>173</v>
      </c>
      <c r="AD2992" t="s">
        <v>155</v>
      </c>
      <c r="AE2992" t="s">
        <v>128</v>
      </c>
      <c r="AF2992" t="s">
        <v>21</v>
      </c>
    </row>
    <row r="2993" spans="1:32">
      <c r="A2993" t="s">
        <v>4141</v>
      </c>
      <c r="B2993" s="37">
        <v>39987</v>
      </c>
      <c r="C2993" s="38">
        <v>39987</v>
      </c>
      <c r="D2993" s="38">
        <v>39986</v>
      </c>
      <c r="E2993" s="38">
        <v>39965</v>
      </c>
      <c r="F2993" s="39">
        <v>82</v>
      </c>
      <c r="G2993" t="s">
        <v>21</v>
      </c>
      <c r="H2993" t="s">
        <v>21</v>
      </c>
      <c r="I2993">
        <v>0</v>
      </c>
      <c r="J2993">
        <v>0</v>
      </c>
      <c r="K2993">
        <v>0</v>
      </c>
      <c r="L2993">
        <v>1</v>
      </c>
      <c r="M2993">
        <v>0</v>
      </c>
      <c r="N2993" t="s">
        <v>194</v>
      </c>
      <c r="O2993" t="s">
        <v>213</v>
      </c>
      <c r="P2993" t="s">
        <v>205</v>
      </c>
      <c r="Q2993" t="s">
        <v>170</v>
      </c>
      <c r="R2993" t="s">
        <v>155</v>
      </c>
      <c r="T2993" t="s">
        <v>134</v>
      </c>
      <c r="U2993">
        <v>1</v>
      </c>
      <c r="W2993" t="s">
        <v>134</v>
      </c>
      <c r="X2993">
        <v>1</v>
      </c>
      <c r="Y2993" t="s">
        <v>139</v>
      </c>
      <c r="Z2993" t="s">
        <v>179</v>
      </c>
      <c r="AA2993" t="s">
        <v>145</v>
      </c>
      <c r="AB2993" t="s">
        <v>162</v>
      </c>
      <c r="AC2993" t="s">
        <v>459</v>
      </c>
      <c r="AD2993" t="s">
        <v>155</v>
      </c>
      <c r="AE2993" t="s">
        <v>130</v>
      </c>
      <c r="AF2993" t="s">
        <v>21</v>
      </c>
    </row>
    <row r="2994" spans="1:32">
      <c r="A2994" t="s">
        <v>4142</v>
      </c>
      <c r="B2994" s="37">
        <v>40011</v>
      </c>
      <c r="C2994" s="38">
        <v>40011</v>
      </c>
      <c r="D2994" s="38">
        <v>40007</v>
      </c>
      <c r="E2994" s="38">
        <v>39995</v>
      </c>
      <c r="F2994" s="39">
        <v>106</v>
      </c>
      <c r="G2994" t="s">
        <v>21</v>
      </c>
      <c r="H2994" t="s">
        <v>21</v>
      </c>
      <c r="I2994">
        <v>0</v>
      </c>
      <c r="J2994">
        <v>0</v>
      </c>
      <c r="K2994">
        <v>0</v>
      </c>
      <c r="L2994">
        <v>1</v>
      </c>
      <c r="M2994">
        <v>0</v>
      </c>
      <c r="N2994" t="s">
        <v>194</v>
      </c>
      <c r="O2994" t="s">
        <v>213</v>
      </c>
      <c r="P2994" t="s">
        <v>205</v>
      </c>
      <c r="Q2994" t="s">
        <v>170</v>
      </c>
      <c r="R2994" t="s">
        <v>155</v>
      </c>
      <c r="S2994">
        <v>5</v>
      </c>
      <c r="T2994" t="s">
        <v>135</v>
      </c>
      <c r="U2994">
        <v>0</v>
      </c>
      <c r="V2994">
        <v>5</v>
      </c>
      <c r="W2994" t="s">
        <v>135</v>
      </c>
      <c r="X2994">
        <v>0</v>
      </c>
      <c r="Y2994" t="s">
        <v>139</v>
      </c>
      <c r="Z2994" t="s">
        <v>184</v>
      </c>
      <c r="AA2994" t="s">
        <v>144</v>
      </c>
      <c r="AB2994" t="s">
        <v>163</v>
      </c>
      <c r="AC2994" t="s">
        <v>415</v>
      </c>
      <c r="AD2994" t="s">
        <v>155</v>
      </c>
      <c r="AE2994" t="s">
        <v>125</v>
      </c>
      <c r="AF2994" t="s">
        <v>21</v>
      </c>
    </row>
    <row r="2995" spans="1:32">
      <c r="A2995" t="s">
        <v>4143</v>
      </c>
      <c r="B2995" s="37">
        <v>39997</v>
      </c>
      <c r="C2995" s="38">
        <v>39997</v>
      </c>
      <c r="D2995" s="38">
        <v>39993</v>
      </c>
      <c r="E2995" s="38">
        <v>39995</v>
      </c>
      <c r="F2995" s="39">
        <v>92</v>
      </c>
      <c r="G2995" t="s">
        <v>21</v>
      </c>
      <c r="H2995" t="s">
        <v>21</v>
      </c>
      <c r="I2995">
        <v>0</v>
      </c>
      <c r="J2995">
        <v>0</v>
      </c>
      <c r="K2995">
        <v>0</v>
      </c>
      <c r="L2995">
        <v>1</v>
      </c>
      <c r="M2995">
        <v>0</v>
      </c>
      <c r="N2995" t="s">
        <v>193</v>
      </c>
      <c r="O2995" t="s">
        <v>213</v>
      </c>
      <c r="P2995" t="s">
        <v>204</v>
      </c>
      <c r="Q2995" t="s">
        <v>170</v>
      </c>
      <c r="R2995" t="s">
        <v>155</v>
      </c>
      <c r="T2995" t="s">
        <v>134</v>
      </c>
      <c r="U2995">
        <v>1</v>
      </c>
      <c r="V2995">
        <v>4</v>
      </c>
      <c r="W2995" t="s">
        <v>137</v>
      </c>
      <c r="X2995">
        <v>0</v>
      </c>
      <c r="Y2995" t="s">
        <v>140</v>
      </c>
      <c r="Z2995" t="s">
        <v>178</v>
      </c>
      <c r="AA2995" t="s">
        <v>143</v>
      </c>
      <c r="AB2995" t="s">
        <v>162</v>
      </c>
      <c r="AC2995" t="s">
        <v>21</v>
      </c>
      <c r="AD2995" t="s">
        <v>155</v>
      </c>
      <c r="AE2995" t="s">
        <v>127</v>
      </c>
      <c r="AF2995" t="s">
        <v>21</v>
      </c>
    </row>
    <row r="2996" spans="1:32">
      <c r="A2996" t="s">
        <v>4144</v>
      </c>
      <c r="B2996" s="37">
        <v>39978</v>
      </c>
      <c r="C2996" s="38">
        <v>39978</v>
      </c>
      <c r="D2996" s="38">
        <v>39972</v>
      </c>
      <c r="E2996" s="38">
        <v>39965</v>
      </c>
      <c r="F2996" s="39">
        <v>73</v>
      </c>
      <c r="G2996" t="s">
        <v>9</v>
      </c>
      <c r="H2996" t="s">
        <v>9</v>
      </c>
      <c r="I2996">
        <v>1</v>
      </c>
      <c r="J2996">
        <v>0</v>
      </c>
      <c r="K2996">
        <v>0</v>
      </c>
      <c r="L2996">
        <v>0</v>
      </c>
      <c r="M2996">
        <v>1</v>
      </c>
      <c r="N2996" t="s">
        <v>193</v>
      </c>
      <c r="O2996" t="s">
        <v>213</v>
      </c>
      <c r="P2996" t="s">
        <v>204</v>
      </c>
      <c r="Q2996" t="s">
        <v>170</v>
      </c>
      <c r="R2996" t="s">
        <v>155</v>
      </c>
      <c r="T2996" t="s">
        <v>134</v>
      </c>
      <c r="U2996">
        <v>1</v>
      </c>
      <c r="W2996" t="s">
        <v>134</v>
      </c>
      <c r="X2996">
        <v>1</v>
      </c>
      <c r="Y2996" t="s">
        <v>140</v>
      </c>
      <c r="Z2996" t="s">
        <v>178</v>
      </c>
      <c r="AA2996" t="s">
        <v>143</v>
      </c>
      <c r="AB2996" t="s">
        <v>163</v>
      </c>
      <c r="AC2996" t="s">
        <v>173</v>
      </c>
      <c r="AD2996" t="s">
        <v>155</v>
      </c>
      <c r="AE2996" t="s">
        <v>454</v>
      </c>
      <c r="AF2996" t="s">
        <v>21</v>
      </c>
    </row>
    <row r="2997" spans="1:32">
      <c r="A2997" t="s">
        <v>4145</v>
      </c>
      <c r="B2997" s="37">
        <v>40064</v>
      </c>
      <c r="C2997" s="38">
        <v>40064</v>
      </c>
      <c r="D2997" s="38">
        <v>40063</v>
      </c>
      <c r="E2997" s="38">
        <v>40057</v>
      </c>
      <c r="F2997" s="39">
        <v>159</v>
      </c>
      <c r="G2997" t="s">
        <v>21</v>
      </c>
      <c r="H2997" t="s">
        <v>21</v>
      </c>
      <c r="I2997">
        <v>0</v>
      </c>
      <c r="J2997">
        <v>0</v>
      </c>
      <c r="K2997">
        <v>0</v>
      </c>
      <c r="L2997">
        <v>1</v>
      </c>
      <c r="M2997">
        <v>0</v>
      </c>
      <c r="N2997" t="s">
        <v>193</v>
      </c>
      <c r="O2997" t="s">
        <v>213</v>
      </c>
      <c r="P2997" t="s">
        <v>204</v>
      </c>
      <c r="Q2997" t="s">
        <v>170</v>
      </c>
      <c r="R2997" t="s">
        <v>155</v>
      </c>
      <c r="S2997">
        <v>5</v>
      </c>
      <c r="T2997" t="s">
        <v>135</v>
      </c>
      <c r="U2997">
        <v>0</v>
      </c>
      <c r="V2997">
        <v>5</v>
      </c>
      <c r="W2997" t="s">
        <v>135</v>
      </c>
      <c r="X2997">
        <v>0</v>
      </c>
      <c r="Y2997" t="s">
        <v>140</v>
      </c>
      <c r="Z2997" t="s">
        <v>182</v>
      </c>
      <c r="AA2997" t="s">
        <v>145</v>
      </c>
      <c r="AB2997" t="s">
        <v>162</v>
      </c>
      <c r="AC2997" t="s">
        <v>459</v>
      </c>
      <c r="AD2997" t="s">
        <v>155</v>
      </c>
      <c r="AE2997" t="s">
        <v>129</v>
      </c>
      <c r="AF2997" t="s">
        <v>21</v>
      </c>
    </row>
    <row r="2998" spans="1:32">
      <c r="A2998" t="s">
        <v>4146</v>
      </c>
      <c r="B2998" s="37">
        <v>40067</v>
      </c>
      <c r="C2998" s="38">
        <v>40067</v>
      </c>
      <c r="D2998" s="38">
        <v>40063</v>
      </c>
      <c r="E2998" s="38">
        <v>40057</v>
      </c>
      <c r="F2998" s="39">
        <v>162</v>
      </c>
      <c r="G2998" t="s">
        <v>21</v>
      </c>
      <c r="H2998" t="s">
        <v>21</v>
      </c>
      <c r="I2998">
        <v>0</v>
      </c>
      <c r="J2998">
        <v>0</v>
      </c>
      <c r="K2998">
        <v>0</v>
      </c>
      <c r="L2998">
        <v>1</v>
      </c>
      <c r="M2998">
        <v>0</v>
      </c>
      <c r="N2998" t="s">
        <v>193</v>
      </c>
      <c r="O2998" t="s">
        <v>213</v>
      </c>
      <c r="P2998" t="s">
        <v>204</v>
      </c>
      <c r="Q2998" t="s">
        <v>170</v>
      </c>
      <c r="R2998" t="s">
        <v>155</v>
      </c>
      <c r="S2998">
        <v>5</v>
      </c>
      <c r="T2998" t="s">
        <v>135</v>
      </c>
      <c r="U2998">
        <v>0</v>
      </c>
      <c r="V2998">
        <v>5</v>
      </c>
      <c r="W2998" t="s">
        <v>135</v>
      </c>
      <c r="X2998">
        <v>0</v>
      </c>
      <c r="Y2998" t="s">
        <v>140</v>
      </c>
      <c r="Z2998" t="s">
        <v>182</v>
      </c>
      <c r="AA2998" t="s">
        <v>144</v>
      </c>
      <c r="AB2998" t="s">
        <v>162</v>
      </c>
      <c r="AC2998" t="s">
        <v>21</v>
      </c>
      <c r="AD2998" t="s">
        <v>155</v>
      </c>
      <c r="AE2998" t="s">
        <v>127</v>
      </c>
      <c r="AF2998" t="s">
        <v>21</v>
      </c>
    </row>
    <row r="2999" spans="1:32">
      <c r="A2999" t="s">
        <v>4147</v>
      </c>
      <c r="B2999" s="37">
        <v>39936</v>
      </c>
      <c r="C2999" s="38">
        <v>39936</v>
      </c>
      <c r="D2999" s="38">
        <v>39930</v>
      </c>
      <c r="E2999" s="38">
        <v>39934</v>
      </c>
      <c r="F2999" s="39">
        <v>31</v>
      </c>
      <c r="G2999" t="s">
        <v>21</v>
      </c>
      <c r="H2999" t="s">
        <v>21</v>
      </c>
      <c r="I2999">
        <v>0</v>
      </c>
      <c r="J2999">
        <v>0</v>
      </c>
      <c r="K2999">
        <v>0</v>
      </c>
      <c r="L2999">
        <v>1</v>
      </c>
      <c r="M2999">
        <v>0</v>
      </c>
      <c r="N2999" t="s">
        <v>194</v>
      </c>
      <c r="O2999" t="s">
        <v>213</v>
      </c>
      <c r="P2999" t="s">
        <v>205</v>
      </c>
      <c r="Q2999" t="s">
        <v>170</v>
      </c>
      <c r="R2999" t="s">
        <v>155</v>
      </c>
      <c r="T2999" t="s">
        <v>134</v>
      </c>
      <c r="U2999">
        <v>1</v>
      </c>
      <c r="W2999" t="s">
        <v>134</v>
      </c>
      <c r="X2999">
        <v>1</v>
      </c>
      <c r="Y2999" t="s">
        <v>139</v>
      </c>
      <c r="Z2999" t="s">
        <v>182</v>
      </c>
      <c r="AA2999" t="s">
        <v>145</v>
      </c>
      <c r="AB2999" t="s">
        <v>163</v>
      </c>
      <c r="AC2999" t="s">
        <v>173</v>
      </c>
      <c r="AD2999" t="s">
        <v>155</v>
      </c>
      <c r="AE2999" t="s">
        <v>125</v>
      </c>
      <c r="AF2999" t="s">
        <v>21</v>
      </c>
    </row>
    <row r="3000" spans="1:32">
      <c r="A3000" t="s">
        <v>4148</v>
      </c>
      <c r="B3000" s="37">
        <v>39989</v>
      </c>
      <c r="C3000" s="38">
        <v>39989</v>
      </c>
      <c r="D3000" s="38">
        <v>39986</v>
      </c>
      <c r="E3000" s="38">
        <v>39965</v>
      </c>
      <c r="F3000" s="39">
        <v>84</v>
      </c>
      <c r="G3000" t="s">
        <v>21</v>
      </c>
      <c r="H3000" t="s">
        <v>21</v>
      </c>
      <c r="I3000">
        <v>0</v>
      </c>
      <c r="J3000">
        <v>0</v>
      </c>
      <c r="K3000">
        <v>0</v>
      </c>
      <c r="L3000">
        <v>1</v>
      </c>
      <c r="M3000">
        <v>0</v>
      </c>
      <c r="N3000" t="s">
        <v>195</v>
      </c>
      <c r="O3000" t="s">
        <v>213</v>
      </c>
      <c r="P3000" t="s">
        <v>206</v>
      </c>
      <c r="Q3000" t="s">
        <v>170</v>
      </c>
      <c r="R3000" t="s">
        <v>155</v>
      </c>
      <c r="T3000" t="s">
        <v>134</v>
      </c>
      <c r="U3000">
        <v>1</v>
      </c>
      <c r="W3000" t="s">
        <v>134</v>
      </c>
      <c r="X3000">
        <v>1</v>
      </c>
      <c r="Y3000" t="s">
        <v>139</v>
      </c>
      <c r="Z3000" t="s">
        <v>182</v>
      </c>
      <c r="AA3000" t="s">
        <v>142</v>
      </c>
      <c r="AB3000" t="s">
        <v>162</v>
      </c>
      <c r="AC3000" t="s">
        <v>4149</v>
      </c>
      <c r="AD3000" t="s">
        <v>155</v>
      </c>
      <c r="AE3000" t="s">
        <v>130</v>
      </c>
      <c r="AF3000" t="s">
        <v>21</v>
      </c>
    </row>
    <row r="3001" spans="1:32">
      <c r="A3001" t="s">
        <v>4150</v>
      </c>
      <c r="B3001" s="37">
        <v>39964</v>
      </c>
      <c r="C3001" s="38">
        <v>39964</v>
      </c>
      <c r="D3001" s="38">
        <v>39958</v>
      </c>
      <c r="E3001" s="38">
        <v>39934</v>
      </c>
      <c r="F3001" s="39">
        <v>59</v>
      </c>
      <c r="G3001" t="s">
        <v>21</v>
      </c>
      <c r="H3001" t="s">
        <v>21</v>
      </c>
      <c r="I3001">
        <v>0</v>
      </c>
      <c r="J3001">
        <v>0</v>
      </c>
      <c r="K3001">
        <v>0</v>
      </c>
      <c r="L3001">
        <v>1</v>
      </c>
      <c r="M3001">
        <v>0</v>
      </c>
      <c r="N3001" t="s">
        <v>193</v>
      </c>
      <c r="O3001" t="s">
        <v>213</v>
      </c>
      <c r="P3001" t="s">
        <v>204</v>
      </c>
      <c r="Q3001" t="s">
        <v>170</v>
      </c>
      <c r="R3001" t="s">
        <v>155</v>
      </c>
      <c r="T3001" t="s">
        <v>134</v>
      </c>
      <c r="U3001">
        <v>1</v>
      </c>
      <c r="W3001" t="s">
        <v>134</v>
      </c>
      <c r="X3001">
        <v>1</v>
      </c>
      <c r="Y3001" t="s">
        <v>140</v>
      </c>
      <c r="Z3001" t="s">
        <v>179</v>
      </c>
      <c r="AA3001" t="s">
        <v>149</v>
      </c>
      <c r="AB3001" t="s">
        <v>162</v>
      </c>
      <c r="AC3001" t="s">
        <v>619</v>
      </c>
      <c r="AD3001" t="s">
        <v>157</v>
      </c>
      <c r="AE3001" t="s">
        <v>130</v>
      </c>
      <c r="AF3001" t="s">
        <v>437</v>
      </c>
    </row>
    <row r="3002" spans="1:32">
      <c r="A3002" t="s">
        <v>4151</v>
      </c>
      <c r="B3002" s="37">
        <v>40059</v>
      </c>
      <c r="C3002" s="38">
        <v>40059</v>
      </c>
      <c r="D3002" s="38">
        <v>40056</v>
      </c>
      <c r="E3002" s="38">
        <v>40057</v>
      </c>
      <c r="F3002" s="39">
        <v>154</v>
      </c>
      <c r="G3002" t="s">
        <v>21</v>
      </c>
      <c r="H3002" t="s">
        <v>21</v>
      </c>
      <c r="I3002">
        <v>0</v>
      </c>
      <c r="J3002">
        <v>0</v>
      </c>
      <c r="K3002">
        <v>0</v>
      </c>
      <c r="L3002">
        <v>1</v>
      </c>
      <c r="M3002">
        <v>0</v>
      </c>
      <c r="N3002" t="s">
        <v>193</v>
      </c>
      <c r="O3002" t="s">
        <v>213</v>
      </c>
      <c r="P3002" t="s">
        <v>204</v>
      </c>
      <c r="Q3002" t="s">
        <v>170</v>
      </c>
      <c r="R3002" t="s">
        <v>155</v>
      </c>
      <c r="S3002">
        <v>3</v>
      </c>
      <c r="T3002" t="s">
        <v>137</v>
      </c>
      <c r="U3002">
        <v>0</v>
      </c>
      <c r="V3002">
        <v>4</v>
      </c>
      <c r="W3002" t="s">
        <v>137</v>
      </c>
      <c r="X3002">
        <v>0</v>
      </c>
      <c r="Y3002" t="s">
        <v>140</v>
      </c>
      <c r="Z3002" t="s">
        <v>184</v>
      </c>
      <c r="AA3002" t="s">
        <v>146</v>
      </c>
      <c r="AB3002" t="s">
        <v>163</v>
      </c>
      <c r="AC3002" t="s">
        <v>173</v>
      </c>
      <c r="AD3002" t="s">
        <v>155</v>
      </c>
      <c r="AE3002" t="s">
        <v>501</v>
      </c>
      <c r="AF3002" t="s">
        <v>21</v>
      </c>
    </row>
    <row r="3003" spans="1:32">
      <c r="A3003" t="s">
        <v>4152</v>
      </c>
      <c r="B3003" s="37">
        <v>40054</v>
      </c>
      <c r="C3003" s="38">
        <v>40054</v>
      </c>
      <c r="D3003" s="38">
        <v>40049</v>
      </c>
      <c r="E3003" s="38">
        <v>40026</v>
      </c>
      <c r="F3003" s="39">
        <v>149</v>
      </c>
      <c r="G3003" t="s">
        <v>21</v>
      </c>
      <c r="H3003" t="s">
        <v>21</v>
      </c>
      <c r="I3003">
        <v>0</v>
      </c>
      <c r="J3003">
        <v>0</v>
      </c>
      <c r="K3003">
        <v>0</v>
      </c>
      <c r="L3003">
        <v>1</v>
      </c>
      <c r="M3003">
        <v>0</v>
      </c>
      <c r="N3003" t="s">
        <v>193</v>
      </c>
      <c r="O3003" t="s">
        <v>213</v>
      </c>
      <c r="P3003" t="s">
        <v>204</v>
      </c>
      <c r="Q3003" t="s">
        <v>170</v>
      </c>
      <c r="R3003" t="s">
        <v>155</v>
      </c>
      <c r="S3003">
        <v>1</v>
      </c>
      <c r="T3003" t="s">
        <v>136</v>
      </c>
      <c r="U3003">
        <v>0</v>
      </c>
      <c r="V3003">
        <v>5</v>
      </c>
      <c r="W3003" t="s">
        <v>135</v>
      </c>
      <c r="X3003">
        <v>0</v>
      </c>
      <c r="Y3003" t="s">
        <v>140</v>
      </c>
      <c r="Z3003" t="s">
        <v>509</v>
      </c>
      <c r="AA3003" t="s">
        <v>144</v>
      </c>
      <c r="AB3003" t="s">
        <v>163</v>
      </c>
      <c r="AC3003" t="s">
        <v>173</v>
      </c>
      <c r="AD3003" t="s">
        <v>155</v>
      </c>
      <c r="AE3003" t="s">
        <v>128</v>
      </c>
      <c r="AF3003" t="s">
        <v>21</v>
      </c>
    </row>
    <row r="3004" spans="1:32">
      <c r="A3004" t="s">
        <v>4153</v>
      </c>
      <c r="B3004" s="37">
        <v>39978</v>
      </c>
      <c r="C3004" s="38">
        <v>39978</v>
      </c>
      <c r="D3004" s="38">
        <v>39972</v>
      </c>
      <c r="E3004" s="38">
        <v>39965</v>
      </c>
      <c r="F3004" s="39">
        <v>73</v>
      </c>
      <c r="G3004" t="s">
        <v>21</v>
      </c>
      <c r="H3004" t="s">
        <v>21</v>
      </c>
      <c r="I3004">
        <v>0</v>
      </c>
      <c r="J3004">
        <v>0</v>
      </c>
      <c r="K3004">
        <v>0</v>
      </c>
      <c r="L3004">
        <v>1</v>
      </c>
      <c r="M3004">
        <v>0</v>
      </c>
      <c r="N3004" t="s">
        <v>193</v>
      </c>
      <c r="O3004" t="s">
        <v>213</v>
      </c>
      <c r="P3004" t="s">
        <v>204</v>
      </c>
      <c r="Q3004" t="s">
        <v>170</v>
      </c>
      <c r="R3004" t="s">
        <v>155</v>
      </c>
      <c r="T3004" t="s">
        <v>134</v>
      </c>
      <c r="U3004">
        <v>1</v>
      </c>
      <c r="W3004" t="s">
        <v>134</v>
      </c>
      <c r="X3004">
        <v>1</v>
      </c>
      <c r="Y3004" t="s">
        <v>140</v>
      </c>
      <c r="Z3004" t="s">
        <v>179</v>
      </c>
      <c r="AA3004" t="s">
        <v>144</v>
      </c>
      <c r="AB3004" t="s">
        <v>163</v>
      </c>
      <c r="AC3004" t="s">
        <v>173</v>
      </c>
      <c r="AD3004" t="s">
        <v>155</v>
      </c>
      <c r="AE3004" t="s">
        <v>406</v>
      </c>
      <c r="AF3004" t="s">
        <v>21</v>
      </c>
    </row>
    <row r="3005" spans="1:32">
      <c r="A3005" t="s">
        <v>4154</v>
      </c>
      <c r="B3005" s="37">
        <v>40044</v>
      </c>
      <c r="C3005" s="38">
        <v>40044</v>
      </c>
      <c r="D3005" s="38">
        <v>40042</v>
      </c>
      <c r="E3005" s="38">
        <v>40026</v>
      </c>
      <c r="F3005" s="39">
        <v>139</v>
      </c>
      <c r="G3005" t="s">
        <v>383</v>
      </c>
      <c r="H3005" t="s">
        <v>17</v>
      </c>
      <c r="I3005">
        <v>0</v>
      </c>
      <c r="J3005">
        <v>0</v>
      </c>
      <c r="K3005">
        <v>1</v>
      </c>
      <c r="L3005">
        <v>0</v>
      </c>
      <c r="M3005">
        <v>0</v>
      </c>
      <c r="N3005" t="s">
        <v>197</v>
      </c>
      <c r="O3005" t="s">
        <v>213</v>
      </c>
      <c r="P3005" t="s">
        <v>209</v>
      </c>
      <c r="Q3005" t="s">
        <v>170</v>
      </c>
      <c r="R3005" t="s">
        <v>155</v>
      </c>
      <c r="S3005">
        <v>5</v>
      </c>
      <c r="T3005" t="s">
        <v>135</v>
      </c>
      <c r="U3005">
        <v>0</v>
      </c>
      <c r="V3005">
        <v>3</v>
      </c>
      <c r="W3005" t="s">
        <v>137</v>
      </c>
      <c r="X3005">
        <v>0</v>
      </c>
      <c r="Y3005" t="s">
        <v>139</v>
      </c>
      <c r="Z3005" t="s">
        <v>182</v>
      </c>
      <c r="AA3005" t="s">
        <v>144</v>
      </c>
      <c r="AB3005" t="s">
        <v>163</v>
      </c>
      <c r="AC3005" t="s">
        <v>173</v>
      </c>
      <c r="AD3005" t="s">
        <v>155</v>
      </c>
      <c r="AE3005" t="s">
        <v>130</v>
      </c>
      <c r="AF3005" t="s">
        <v>21</v>
      </c>
    </row>
    <row r="3006" spans="1:32">
      <c r="A3006" t="s">
        <v>4155</v>
      </c>
      <c r="B3006" s="37">
        <v>40019</v>
      </c>
      <c r="C3006" s="38">
        <v>40019</v>
      </c>
      <c r="D3006" s="38">
        <v>40014</v>
      </c>
      <c r="E3006" s="38">
        <v>39995</v>
      </c>
      <c r="F3006" s="39">
        <v>114</v>
      </c>
      <c r="G3006" t="s">
        <v>21</v>
      </c>
      <c r="H3006" t="s">
        <v>21</v>
      </c>
      <c r="I3006">
        <v>0</v>
      </c>
      <c r="J3006">
        <v>0</v>
      </c>
      <c r="K3006">
        <v>0</v>
      </c>
      <c r="L3006">
        <v>1</v>
      </c>
      <c r="M3006">
        <v>0</v>
      </c>
      <c r="N3006" t="s">
        <v>193</v>
      </c>
      <c r="O3006" t="s">
        <v>213</v>
      </c>
      <c r="P3006" t="s">
        <v>204</v>
      </c>
      <c r="Q3006" t="s">
        <v>170</v>
      </c>
      <c r="R3006" t="s">
        <v>155</v>
      </c>
      <c r="S3006">
        <v>5</v>
      </c>
      <c r="T3006" t="s">
        <v>135</v>
      </c>
      <c r="U3006">
        <v>0</v>
      </c>
      <c r="V3006">
        <v>5</v>
      </c>
      <c r="W3006" t="s">
        <v>135</v>
      </c>
      <c r="X3006">
        <v>0</v>
      </c>
      <c r="Y3006" t="s">
        <v>140</v>
      </c>
      <c r="Z3006" t="s">
        <v>189</v>
      </c>
      <c r="AA3006" t="s">
        <v>145</v>
      </c>
      <c r="AB3006" t="s">
        <v>162</v>
      </c>
      <c r="AC3006" t="s">
        <v>175</v>
      </c>
      <c r="AD3006" t="s">
        <v>155</v>
      </c>
      <c r="AE3006" t="s">
        <v>130</v>
      </c>
      <c r="AF3006" t="s">
        <v>21</v>
      </c>
    </row>
    <row r="3007" spans="1:32">
      <c r="A3007" t="s">
        <v>4156</v>
      </c>
      <c r="B3007" s="37">
        <v>40075</v>
      </c>
      <c r="C3007" s="38">
        <v>40075</v>
      </c>
      <c r="D3007" s="38">
        <v>40070</v>
      </c>
      <c r="E3007" s="38">
        <v>40057</v>
      </c>
      <c r="F3007" s="39">
        <v>170</v>
      </c>
      <c r="G3007" t="s">
        <v>9</v>
      </c>
      <c r="H3007" t="s">
        <v>9</v>
      </c>
      <c r="I3007">
        <v>1</v>
      </c>
      <c r="J3007">
        <v>0</v>
      </c>
      <c r="K3007">
        <v>0</v>
      </c>
      <c r="L3007">
        <v>0</v>
      </c>
      <c r="M3007">
        <v>1</v>
      </c>
      <c r="N3007" t="s">
        <v>195</v>
      </c>
      <c r="O3007" t="s">
        <v>213</v>
      </c>
      <c r="P3007" t="s">
        <v>206</v>
      </c>
      <c r="Q3007" t="s">
        <v>170</v>
      </c>
      <c r="R3007" t="s">
        <v>155</v>
      </c>
      <c r="S3007">
        <v>5</v>
      </c>
      <c r="T3007" t="s">
        <v>135</v>
      </c>
      <c r="U3007">
        <v>0</v>
      </c>
      <c r="V3007">
        <v>5</v>
      </c>
      <c r="W3007" t="s">
        <v>135</v>
      </c>
      <c r="X3007">
        <v>0</v>
      </c>
      <c r="Y3007" t="s">
        <v>139</v>
      </c>
      <c r="Z3007" t="s">
        <v>182</v>
      </c>
      <c r="AA3007" t="s">
        <v>144</v>
      </c>
      <c r="AB3007" t="s">
        <v>162</v>
      </c>
      <c r="AC3007" t="s">
        <v>174</v>
      </c>
      <c r="AD3007" t="s">
        <v>157</v>
      </c>
      <c r="AE3007" t="s">
        <v>571</v>
      </c>
      <c r="AF3007" t="s">
        <v>636</v>
      </c>
    </row>
    <row r="3008" spans="1:32">
      <c r="A3008" t="s">
        <v>4157</v>
      </c>
      <c r="B3008" s="37">
        <v>40052</v>
      </c>
      <c r="C3008" s="38">
        <v>40052</v>
      </c>
      <c r="D3008" s="38">
        <v>40049</v>
      </c>
      <c r="E3008" s="38">
        <v>40026</v>
      </c>
      <c r="F3008" s="39">
        <v>147</v>
      </c>
      <c r="G3008" t="s">
        <v>383</v>
      </c>
      <c r="H3008" t="s">
        <v>17</v>
      </c>
      <c r="I3008">
        <v>0</v>
      </c>
      <c r="J3008">
        <v>0</v>
      </c>
      <c r="K3008">
        <v>1</v>
      </c>
      <c r="L3008">
        <v>0</v>
      </c>
      <c r="M3008">
        <v>0</v>
      </c>
      <c r="N3008" t="s">
        <v>195</v>
      </c>
      <c r="O3008" t="s">
        <v>213</v>
      </c>
      <c r="P3008" t="s">
        <v>206</v>
      </c>
      <c r="Q3008" t="s">
        <v>170</v>
      </c>
      <c r="R3008" t="s">
        <v>155</v>
      </c>
      <c r="S3008">
        <v>5</v>
      </c>
      <c r="T3008" t="s">
        <v>135</v>
      </c>
      <c r="U3008">
        <v>0</v>
      </c>
      <c r="V3008">
        <v>5</v>
      </c>
      <c r="W3008" t="s">
        <v>135</v>
      </c>
      <c r="X3008">
        <v>0</v>
      </c>
      <c r="Y3008" t="s">
        <v>139</v>
      </c>
      <c r="Z3008" t="s">
        <v>182</v>
      </c>
      <c r="AA3008" t="s">
        <v>148</v>
      </c>
      <c r="AB3008" t="s">
        <v>163</v>
      </c>
      <c r="AC3008" t="s">
        <v>173</v>
      </c>
      <c r="AD3008" t="s">
        <v>155</v>
      </c>
      <c r="AE3008" t="s">
        <v>746</v>
      </c>
      <c r="AF3008" t="s">
        <v>21</v>
      </c>
    </row>
    <row r="3009" spans="1:32">
      <c r="A3009" t="s">
        <v>4158</v>
      </c>
      <c r="B3009" s="37">
        <v>40085</v>
      </c>
      <c r="C3009" s="38">
        <v>40085</v>
      </c>
      <c r="D3009" s="38">
        <v>40084</v>
      </c>
      <c r="E3009" s="38">
        <v>40057</v>
      </c>
      <c r="F3009" s="39">
        <v>180</v>
      </c>
      <c r="G3009" t="s">
        <v>383</v>
      </c>
      <c r="H3009" t="s">
        <v>17</v>
      </c>
      <c r="I3009">
        <v>0</v>
      </c>
      <c r="J3009">
        <v>0</v>
      </c>
      <c r="K3009">
        <v>1</v>
      </c>
      <c r="L3009">
        <v>0</v>
      </c>
      <c r="M3009">
        <v>0</v>
      </c>
      <c r="N3009" t="s">
        <v>193</v>
      </c>
      <c r="O3009" t="s">
        <v>213</v>
      </c>
      <c r="P3009" t="s">
        <v>204</v>
      </c>
      <c r="Q3009" t="s">
        <v>170</v>
      </c>
      <c r="R3009" t="s">
        <v>155</v>
      </c>
      <c r="S3009">
        <v>5</v>
      </c>
      <c r="T3009" t="s">
        <v>135</v>
      </c>
      <c r="U3009">
        <v>0</v>
      </c>
      <c r="V3009">
        <v>1</v>
      </c>
      <c r="W3009" t="s">
        <v>136</v>
      </c>
      <c r="X3009">
        <v>0</v>
      </c>
      <c r="Y3009" t="s">
        <v>140</v>
      </c>
      <c r="Z3009" t="s">
        <v>184</v>
      </c>
      <c r="AA3009" t="s">
        <v>143</v>
      </c>
      <c r="AB3009" t="s">
        <v>163</v>
      </c>
      <c r="AC3009" t="s">
        <v>173</v>
      </c>
      <c r="AD3009" t="s">
        <v>155</v>
      </c>
      <c r="AE3009" t="s">
        <v>125</v>
      </c>
      <c r="AF3009" t="s">
        <v>21</v>
      </c>
    </row>
    <row r="3010" spans="1:32">
      <c r="A3010" t="s">
        <v>4159</v>
      </c>
      <c r="B3010" s="37">
        <v>39942</v>
      </c>
      <c r="C3010" s="38">
        <v>39942</v>
      </c>
      <c r="D3010" s="38">
        <v>39937</v>
      </c>
      <c r="E3010" s="38">
        <v>39934</v>
      </c>
      <c r="F3010" s="39">
        <v>37</v>
      </c>
      <c r="G3010" t="s">
        <v>9</v>
      </c>
      <c r="H3010" t="s">
        <v>9</v>
      </c>
      <c r="I3010">
        <v>1</v>
      </c>
      <c r="J3010">
        <v>0</v>
      </c>
      <c r="K3010">
        <v>0</v>
      </c>
      <c r="L3010">
        <v>0</v>
      </c>
      <c r="M3010">
        <v>1</v>
      </c>
      <c r="N3010" t="s">
        <v>195</v>
      </c>
      <c r="O3010" t="s">
        <v>213</v>
      </c>
      <c r="P3010" t="s">
        <v>206</v>
      </c>
      <c r="Q3010" t="s">
        <v>170</v>
      </c>
      <c r="R3010" t="s">
        <v>155</v>
      </c>
      <c r="T3010" t="s">
        <v>134</v>
      </c>
      <c r="U3010">
        <v>1</v>
      </c>
      <c r="W3010" t="s">
        <v>134</v>
      </c>
      <c r="X3010">
        <v>1</v>
      </c>
      <c r="Y3010" t="s">
        <v>139</v>
      </c>
      <c r="Z3010" t="s">
        <v>179</v>
      </c>
      <c r="AA3010" t="s">
        <v>145</v>
      </c>
      <c r="AB3010" t="s">
        <v>163</v>
      </c>
      <c r="AC3010" t="s">
        <v>173</v>
      </c>
      <c r="AD3010" t="s">
        <v>155</v>
      </c>
      <c r="AE3010" t="s">
        <v>124</v>
      </c>
      <c r="AF3010" t="s">
        <v>21</v>
      </c>
    </row>
    <row r="3011" spans="1:32">
      <c r="A3011" t="s">
        <v>4160</v>
      </c>
      <c r="B3011" s="37">
        <v>39939</v>
      </c>
      <c r="C3011" s="38">
        <v>39939</v>
      </c>
      <c r="D3011" s="38">
        <v>39937</v>
      </c>
      <c r="E3011" s="38">
        <v>39934</v>
      </c>
      <c r="F3011" s="39">
        <v>34</v>
      </c>
      <c r="G3011" t="s">
        <v>21</v>
      </c>
      <c r="H3011" t="s">
        <v>21</v>
      </c>
      <c r="I3011">
        <v>0</v>
      </c>
      <c r="J3011">
        <v>0</v>
      </c>
      <c r="K3011">
        <v>0</v>
      </c>
      <c r="L3011">
        <v>1</v>
      </c>
      <c r="M3011">
        <v>0</v>
      </c>
      <c r="N3011" t="s">
        <v>198</v>
      </c>
      <c r="O3011" t="s">
        <v>213</v>
      </c>
      <c r="P3011" t="s">
        <v>208</v>
      </c>
      <c r="Q3011" t="s">
        <v>170</v>
      </c>
      <c r="R3011" t="s">
        <v>155</v>
      </c>
      <c r="T3011" t="s">
        <v>134</v>
      </c>
      <c r="U3011">
        <v>1</v>
      </c>
      <c r="W3011" t="s">
        <v>134</v>
      </c>
      <c r="X3011">
        <v>1</v>
      </c>
      <c r="Y3011" t="s">
        <v>139</v>
      </c>
      <c r="Z3011" t="s">
        <v>178</v>
      </c>
      <c r="AA3011" t="s">
        <v>147</v>
      </c>
      <c r="AB3011" t="s">
        <v>162</v>
      </c>
      <c r="AC3011" t="s">
        <v>174</v>
      </c>
      <c r="AD3011" t="s">
        <v>156</v>
      </c>
      <c r="AE3011" t="s">
        <v>120</v>
      </c>
      <c r="AF3011" t="s">
        <v>4161</v>
      </c>
    </row>
    <row r="3012" spans="1:32">
      <c r="A3012" t="s">
        <v>4162</v>
      </c>
      <c r="B3012" s="37">
        <v>39954</v>
      </c>
      <c r="C3012" s="38">
        <v>39954</v>
      </c>
      <c r="D3012" s="38">
        <v>39951</v>
      </c>
      <c r="E3012" s="38">
        <v>39934</v>
      </c>
      <c r="F3012" s="39">
        <v>49</v>
      </c>
      <c r="G3012" t="s">
        <v>21</v>
      </c>
      <c r="H3012" t="s">
        <v>21</v>
      </c>
      <c r="I3012">
        <v>0</v>
      </c>
      <c r="J3012">
        <v>0</v>
      </c>
      <c r="K3012">
        <v>0</v>
      </c>
      <c r="L3012">
        <v>1</v>
      </c>
      <c r="M3012">
        <v>0</v>
      </c>
      <c r="N3012" t="s">
        <v>193</v>
      </c>
      <c r="O3012" t="s">
        <v>213</v>
      </c>
      <c r="P3012" t="s">
        <v>204</v>
      </c>
      <c r="Q3012" t="s">
        <v>170</v>
      </c>
      <c r="R3012" t="s">
        <v>155</v>
      </c>
      <c r="T3012" t="s">
        <v>134</v>
      </c>
      <c r="U3012">
        <v>1</v>
      </c>
      <c r="W3012" t="s">
        <v>134</v>
      </c>
      <c r="X3012">
        <v>1</v>
      </c>
      <c r="Y3012" t="s">
        <v>140</v>
      </c>
      <c r="Z3012" t="s">
        <v>179</v>
      </c>
      <c r="AA3012" t="s">
        <v>145</v>
      </c>
      <c r="AB3012" t="s">
        <v>162</v>
      </c>
      <c r="AC3012" t="s">
        <v>175</v>
      </c>
      <c r="AD3012" t="s">
        <v>155</v>
      </c>
      <c r="AE3012" t="s">
        <v>130</v>
      </c>
      <c r="AF3012" t="s">
        <v>21</v>
      </c>
    </row>
    <row r="3013" spans="1:32">
      <c r="A3013" t="s">
        <v>4163</v>
      </c>
      <c r="B3013" s="37">
        <v>40002</v>
      </c>
      <c r="C3013" s="38">
        <v>40002</v>
      </c>
      <c r="D3013" s="38">
        <v>40000</v>
      </c>
      <c r="E3013" s="38">
        <v>39995</v>
      </c>
      <c r="F3013" s="39">
        <v>97</v>
      </c>
      <c r="G3013" t="s">
        <v>496</v>
      </c>
      <c r="H3013" t="s">
        <v>13</v>
      </c>
      <c r="I3013">
        <v>0</v>
      </c>
      <c r="J3013">
        <v>1</v>
      </c>
      <c r="K3013">
        <v>0</v>
      </c>
      <c r="L3013">
        <v>0</v>
      </c>
      <c r="M3013">
        <v>1</v>
      </c>
      <c r="N3013" t="s">
        <v>193</v>
      </c>
      <c r="O3013" t="s">
        <v>213</v>
      </c>
      <c r="P3013" t="s">
        <v>204</v>
      </c>
      <c r="Q3013" t="s">
        <v>170</v>
      </c>
      <c r="R3013" t="s">
        <v>155</v>
      </c>
      <c r="T3013" t="s">
        <v>134</v>
      </c>
      <c r="U3013">
        <v>1</v>
      </c>
      <c r="V3013">
        <v>5</v>
      </c>
      <c r="W3013" t="s">
        <v>135</v>
      </c>
      <c r="X3013">
        <v>0</v>
      </c>
      <c r="Y3013" t="s">
        <v>140</v>
      </c>
      <c r="Z3013" t="s">
        <v>603</v>
      </c>
      <c r="AA3013" t="s">
        <v>146</v>
      </c>
      <c r="AB3013" t="s">
        <v>162</v>
      </c>
      <c r="AC3013" t="s">
        <v>174</v>
      </c>
      <c r="AD3013" t="s">
        <v>157</v>
      </c>
      <c r="AE3013" t="s">
        <v>406</v>
      </c>
      <c r="AF3013" t="s">
        <v>1765</v>
      </c>
    </row>
    <row r="3014" spans="1:32">
      <c r="A3014" t="s">
        <v>4164</v>
      </c>
      <c r="B3014" s="37">
        <v>39983</v>
      </c>
      <c r="C3014" s="38">
        <v>39983</v>
      </c>
      <c r="D3014" s="38">
        <v>39979</v>
      </c>
      <c r="E3014" s="38">
        <v>39965</v>
      </c>
      <c r="F3014" s="39">
        <v>78</v>
      </c>
      <c r="G3014" t="s">
        <v>383</v>
      </c>
      <c r="H3014" t="s">
        <v>17</v>
      </c>
      <c r="I3014">
        <v>0</v>
      </c>
      <c r="J3014">
        <v>0</v>
      </c>
      <c r="K3014">
        <v>1</v>
      </c>
      <c r="L3014">
        <v>0</v>
      </c>
      <c r="M3014">
        <v>0</v>
      </c>
      <c r="N3014" t="s">
        <v>196</v>
      </c>
      <c r="O3014" t="s">
        <v>213</v>
      </c>
      <c r="P3014" t="s">
        <v>207</v>
      </c>
      <c r="Q3014" t="s">
        <v>170</v>
      </c>
      <c r="R3014" t="s">
        <v>155</v>
      </c>
      <c r="T3014" t="s">
        <v>134</v>
      </c>
      <c r="U3014">
        <v>1</v>
      </c>
      <c r="W3014" t="s">
        <v>134</v>
      </c>
      <c r="X3014">
        <v>1</v>
      </c>
      <c r="Y3014" t="s">
        <v>139</v>
      </c>
      <c r="Z3014" t="s">
        <v>184</v>
      </c>
      <c r="AA3014" t="s">
        <v>146</v>
      </c>
      <c r="AB3014" t="s">
        <v>163</v>
      </c>
      <c r="AC3014" t="s">
        <v>173</v>
      </c>
      <c r="AD3014" t="s">
        <v>155</v>
      </c>
      <c r="AE3014" t="s">
        <v>130</v>
      </c>
      <c r="AF3014" t="s">
        <v>21</v>
      </c>
    </row>
    <row r="3015" spans="1:32">
      <c r="A3015" t="s">
        <v>4165</v>
      </c>
      <c r="B3015" s="37">
        <v>40022</v>
      </c>
      <c r="C3015" s="38">
        <v>40022</v>
      </c>
      <c r="D3015" s="38">
        <v>40021</v>
      </c>
      <c r="E3015" s="38">
        <v>39995</v>
      </c>
      <c r="F3015" s="39">
        <v>117</v>
      </c>
      <c r="G3015" t="s">
        <v>21</v>
      </c>
      <c r="H3015" t="s">
        <v>21</v>
      </c>
      <c r="I3015">
        <v>0</v>
      </c>
      <c r="J3015">
        <v>0</v>
      </c>
      <c r="K3015">
        <v>0</v>
      </c>
      <c r="L3015">
        <v>1</v>
      </c>
      <c r="M3015">
        <v>0</v>
      </c>
      <c r="N3015" t="s">
        <v>193</v>
      </c>
      <c r="O3015" t="s">
        <v>213</v>
      </c>
      <c r="P3015" t="s">
        <v>204</v>
      </c>
      <c r="Q3015" t="s">
        <v>170</v>
      </c>
      <c r="R3015" t="s">
        <v>155</v>
      </c>
      <c r="S3015">
        <v>5</v>
      </c>
      <c r="T3015" t="s">
        <v>135</v>
      </c>
      <c r="U3015">
        <v>0</v>
      </c>
      <c r="V3015">
        <v>4</v>
      </c>
      <c r="W3015" t="s">
        <v>137</v>
      </c>
      <c r="X3015">
        <v>0</v>
      </c>
      <c r="Y3015" t="s">
        <v>140</v>
      </c>
      <c r="Z3015" t="s">
        <v>184</v>
      </c>
      <c r="AA3015" t="s">
        <v>145</v>
      </c>
      <c r="AB3015" t="s">
        <v>162</v>
      </c>
      <c r="AC3015" t="s">
        <v>174</v>
      </c>
      <c r="AD3015" t="s">
        <v>156</v>
      </c>
      <c r="AE3015" t="s">
        <v>120</v>
      </c>
      <c r="AF3015" t="s">
        <v>794</v>
      </c>
    </row>
    <row r="3016" spans="1:32">
      <c r="A3016" t="s">
        <v>4166</v>
      </c>
      <c r="B3016" s="37">
        <v>40009</v>
      </c>
      <c r="C3016" s="38">
        <v>40009</v>
      </c>
      <c r="D3016" s="38">
        <v>40007</v>
      </c>
      <c r="E3016" s="38">
        <v>39995</v>
      </c>
      <c r="F3016" s="39">
        <v>104</v>
      </c>
      <c r="G3016" t="s">
        <v>383</v>
      </c>
      <c r="H3016" t="s">
        <v>17</v>
      </c>
      <c r="I3016">
        <v>0</v>
      </c>
      <c r="J3016">
        <v>0</v>
      </c>
      <c r="K3016">
        <v>1</v>
      </c>
      <c r="L3016">
        <v>0</v>
      </c>
      <c r="M3016">
        <v>0</v>
      </c>
      <c r="N3016" t="s">
        <v>196</v>
      </c>
      <c r="O3016" t="s">
        <v>213</v>
      </c>
      <c r="P3016" t="s">
        <v>207</v>
      </c>
      <c r="Q3016" t="s">
        <v>170</v>
      </c>
      <c r="R3016" t="s">
        <v>155</v>
      </c>
      <c r="S3016">
        <v>5</v>
      </c>
      <c r="T3016" t="s">
        <v>135</v>
      </c>
      <c r="U3016">
        <v>0</v>
      </c>
      <c r="V3016">
        <v>3</v>
      </c>
      <c r="W3016" t="s">
        <v>137</v>
      </c>
      <c r="X3016">
        <v>0</v>
      </c>
      <c r="Y3016" t="s">
        <v>139</v>
      </c>
      <c r="Z3016" t="s">
        <v>184</v>
      </c>
      <c r="AA3016" t="s">
        <v>142</v>
      </c>
      <c r="AB3016" t="s">
        <v>162</v>
      </c>
      <c r="AC3016" t="s">
        <v>174</v>
      </c>
      <c r="AD3016" t="s">
        <v>157</v>
      </c>
      <c r="AE3016" t="s">
        <v>127</v>
      </c>
      <c r="AF3016" t="s">
        <v>822</v>
      </c>
    </row>
    <row r="3017" spans="1:32">
      <c r="A3017" t="s">
        <v>4167</v>
      </c>
      <c r="B3017" s="37">
        <v>39980</v>
      </c>
      <c r="C3017" s="38">
        <v>39980</v>
      </c>
      <c r="D3017" s="38">
        <v>39979</v>
      </c>
      <c r="E3017" s="38">
        <v>39965</v>
      </c>
      <c r="F3017" s="39">
        <v>75</v>
      </c>
      <c r="G3017" t="s">
        <v>21</v>
      </c>
      <c r="H3017" t="s">
        <v>21</v>
      </c>
      <c r="I3017">
        <v>0</v>
      </c>
      <c r="J3017">
        <v>0</v>
      </c>
      <c r="K3017">
        <v>0</v>
      </c>
      <c r="L3017">
        <v>1</v>
      </c>
      <c r="M3017">
        <v>0</v>
      </c>
      <c r="N3017" t="s">
        <v>194</v>
      </c>
      <c r="O3017" t="s">
        <v>213</v>
      </c>
      <c r="P3017" t="s">
        <v>205</v>
      </c>
      <c r="Q3017" t="s">
        <v>170</v>
      </c>
      <c r="R3017" t="s">
        <v>155</v>
      </c>
      <c r="T3017" t="s">
        <v>134</v>
      </c>
      <c r="U3017">
        <v>1</v>
      </c>
      <c r="W3017" t="s">
        <v>134</v>
      </c>
      <c r="X3017">
        <v>1</v>
      </c>
      <c r="Y3017" t="s">
        <v>139</v>
      </c>
      <c r="Z3017" t="s">
        <v>178</v>
      </c>
      <c r="AA3017" t="s">
        <v>142</v>
      </c>
      <c r="AB3017" t="s">
        <v>162</v>
      </c>
      <c r="AC3017" t="s">
        <v>174</v>
      </c>
      <c r="AD3017" t="s">
        <v>157</v>
      </c>
      <c r="AE3017" t="s">
        <v>130</v>
      </c>
      <c r="AF3017" t="s">
        <v>437</v>
      </c>
    </row>
    <row r="3018" spans="1:32">
      <c r="A3018" t="s">
        <v>4168</v>
      </c>
      <c r="B3018" s="37">
        <v>39906</v>
      </c>
      <c r="C3018" s="38">
        <v>39906</v>
      </c>
      <c r="D3018" s="38">
        <v>39902</v>
      </c>
      <c r="E3018" s="38">
        <v>39904</v>
      </c>
      <c r="F3018" s="39">
        <v>1</v>
      </c>
      <c r="G3018" t="s">
        <v>21</v>
      </c>
      <c r="H3018" t="s">
        <v>21</v>
      </c>
      <c r="I3018">
        <v>0</v>
      </c>
      <c r="J3018">
        <v>0</v>
      </c>
      <c r="K3018">
        <v>0</v>
      </c>
      <c r="L3018">
        <v>1</v>
      </c>
      <c r="M3018">
        <v>0</v>
      </c>
      <c r="N3018" t="s">
        <v>200</v>
      </c>
      <c r="O3018" t="s">
        <v>214</v>
      </c>
      <c r="P3018" t="s">
        <v>208</v>
      </c>
      <c r="Q3018" t="s">
        <v>170</v>
      </c>
      <c r="R3018" t="s">
        <v>155</v>
      </c>
      <c r="T3018" t="s">
        <v>134</v>
      </c>
      <c r="U3018">
        <v>1</v>
      </c>
      <c r="W3018" t="s">
        <v>134</v>
      </c>
      <c r="X3018">
        <v>1</v>
      </c>
      <c r="Y3018" t="s">
        <v>139</v>
      </c>
      <c r="Z3018" t="s">
        <v>179</v>
      </c>
      <c r="AA3018" t="s">
        <v>145</v>
      </c>
      <c r="AB3018" t="s">
        <v>163</v>
      </c>
      <c r="AC3018" t="s">
        <v>173</v>
      </c>
      <c r="AD3018" t="s">
        <v>155</v>
      </c>
      <c r="AE3018" t="s">
        <v>125</v>
      </c>
      <c r="AF3018" t="s">
        <v>21</v>
      </c>
    </row>
    <row r="3019" spans="1:32">
      <c r="A3019" t="s">
        <v>4169</v>
      </c>
      <c r="B3019" s="37">
        <v>40042</v>
      </c>
      <c r="C3019" s="38">
        <v>40042</v>
      </c>
      <c r="D3019" s="38">
        <v>40042</v>
      </c>
      <c r="E3019" s="38">
        <v>40026</v>
      </c>
      <c r="F3019" s="39">
        <v>137</v>
      </c>
      <c r="G3019" t="s">
        <v>21</v>
      </c>
      <c r="H3019" t="s">
        <v>21</v>
      </c>
      <c r="I3019">
        <v>0</v>
      </c>
      <c r="J3019">
        <v>0</v>
      </c>
      <c r="K3019">
        <v>0</v>
      </c>
      <c r="L3019">
        <v>1</v>
      </c>
      <c r="M3019">
        <v>0</v>
      </c>
      <c r="N3019" t="s">
        <v>544</v>
      </c>
      <c r="O3019" t="s">
        <v>213</v>
      </c>
      <c r="P3019" t="s">
        <v>545</v>
      </c>
      <c r="Q3019" t="s">
        <v>170</v>
      </c>
      <c r="R3019" t="s">
        <v>155</v>
      </c>
      <c r="S3019">
        <v>5</v>
      </c>
      <c r="T3019" t="s">
        <v>135</v>
      </c>
      <c r="U3019">
        <v>0</v>
      </c>
      <c r="V3019">
        <v>3</v>
      </c>
      <c r="W3019" t="s">
        <v>137</v>
      </c>
      <c r="X3019">
        <v>0</v>
      </c>
      <c r="Y3019" t="s">
        <v>139</v>
      </c>
      <c r="Z3019" t="s">
        <v>178</v>
      </c>
      <c r="AA3019" t="s">
        <v>144</v>
      </c>
      <c r="AB3019" t="s">
        <v>162</v>
      </c>
      <c r="AC3019" t="s">
        <v>597</v>
      </c>
      <c r="AD3019" t="s">
        <v>155</v>
      </c>
      <c r="AE3019" t="s">
        <v>127</v>
      </c>
      <c r="AF3019" t="s">
        <v>21</v>
      </c>
    </row>
    <row r="3020" spans="1:32">
      <c r="A3020" t="s">
        <v>4170</v>
      </c>
      <c r="B3020" s="37">
        <v>39994</v>
      </c>
      <c r="C3020" s="38">
        <v>39994</v>
      </c>
      <c r="D3020" s="38">
        <v>39993</v>
      </c>
      <c r="E3020" s="38">
        <v>39965</v>
      </c>
      <c r="F3020" s="39">
        <v>89</v>
      </c>
      <c r="G3020" t="s">
        <v>21</v>
      </c>
      <c r="H3020" t="s">
        <v>21</v>
      </c>
      <c r="I3020">
        <v>0</v>
      </c>
      <c r="J3020">
        <v>0</v>
      </c>
      <c r="K3020">
        <v>0</v>
      </c>
      <c r="L3020">
        <v>1</v>
      </c>
      <c r="M3020">
        <v>0</v>
      </c>
      <c r="N3020" t="s">
        <v>195</v>
      </c>
      <c r="O3020" t="s">
        <v>213</v>
      </c>
      <c r="P3020" t="s">
        <v>206</v>
      </c>
      <c r="Q3020" t="s">
        <v>170</v>
      </c>
      <c r="R3020" t="s">
        <v>155</v>
      </c>
      <c r="T3020" t="s">
        <v>134</v>
      </c>
      <c r="U3020">
        <v>1</v>
      </c>
      <c r="W3020" t="s">
        <v>134</v>
      </c>
      <c r="X3020">
        <v>1</v>
      </c>
      <c r="Y3020" t="s">
        <v>139</v>
      </c>
      <c r="Z3020" t="s">
        <v>576</v>
      </c>
      <c r="AA3020" t="s">
        <v>146</v>
      </c>
      <c r="AB3020" t="s">
        <v>163</v>
      </c>
      <c r="AC3020" t="s">
        <v>1634</v>
      </c>
      <c r="AD3020" t="s">
        <v>155</v>
      </c>
      <c r="AE3020" t="s">
        <v>125</v>
      </c>
      <c r="AF3020" t="s">
        <v>21</v>
      </c>
    </row>
    <row r="3021" spans="1:32">
      <c r="A3021" t="s">
        <v>4171</v>
      </c>
      <c r="B3021" s="37">
        <v>39928</v>
      </c>
      <c r="C3021" s="38">
        <v>39928</v>
      </c>
      <c r="D3021" s="38">
        <v>39923</v>
      </c>
      <c r="E3021" s="38">
        <v>39904</v>
      </c>
      <c r="F3021" s="39">
        <v>23</v>
      </c>
      <c r="G3021" t="s">
        <v>21</v>
      </c>
      <c r="H3021" t="s">
        <v>21</v>
      </c>
      <c r="I3021">
        <v>0</v>
      </c>
      <c r="J3021">
        <v>0</v>
      </c>
      <c r="K3021">
        <v>0</v>
      </c>
      <c r="L3021">
        <v>1</v>
      </c>
      <c r="M3021">
        <v>0</v>
      </c>
      <c r="N3021" t="s">
        <v>199</v>
      </c>
      <c r="O3021" t="s">
        <v>213</v>
      </c>
      <c r="P3021" t="s">
        <v>210</v>
      </c>
      <c r="Q3021" t="s">
        <v>170</v>
      </c>
      <c r="R3021" t="s">
        <v>155</v>
      </c>
      <c r="T3021" t="s">
        <v>134</v>
      </c>
      <c r="U3021">
        <v>1</v>
      </c>
      <c r="W3021" t="s">
        <v>134</v>
      </c>
      <c r="X3021">
        <v>1</v>
      </c>
      <c r="Y3021" t="s">
        <v>139</v>
      </c>
      <c r="Z3021" t="s">
        <v>179</v>
      </c>
      <c r="AA3021" t="s">
        <v>147</v>
      </c>
      <c r="AB3021" t="s">
        <v>162</v>
      </c>
      <c r="AC3021" t="s">
        <v>175</v>
      </c>
      <c r="AD3021" t="s">
        <v>155</v>
      </c>
      <c r="AE3021" t="s">
        <v>130</v>
      </c>
      <c r="AF3021" t="s">
        <v>21</v>
      </c>
    </row>
    <row r="3022" spans="1:32">
      <c r="A3022" t="s">
        <v>4172</v>
      </c>
      <c r="B3022" s="37">
        <v>39915</v>
      </c>
      <c r="C3022" s="38">
        <v>39915</v>
      </c>
      <c r="D3022" s="38">
        <v>39909</v>
      </c>
      <c r="E3022" s="38">
        <v>39904</v>
      </c>
      <c r="F3022" s="39">
        <v>10</v>
      </c>
      <c r="G3022" t="s">
        <v>21</v>
      </c>
      <c r="H3022" t="s">
        <v>21</v>
      </c>
      <c r="I3022">
        <v>0</v>
      </c>
      <c r="J3022">
        <v>0</v>
      </c>
      <c r="K3022">
        <v>0</v>
      </c>
      <c r="L3022">
        <v>1</v>
      </c>
      <c r="M3022">
        <v>0</v>
      </c>
      <c r="N3022" t="s">
        <v>193</v>
      </c>
      <c r="O3022" t="s">
        <v>213</v>
      </c>
      <c r="P3022" t="s">
        <v>204</v>
      </c>
      <c r="Q3022" t="s">
        <v>170</v>
      </c>
      <c r="R3022" t="s">
        <v>155</v>
      </c>
      <c r="T3022" t="s">
        <v>134</v>
      </c>
      <c r="U3022">
        <v>1</v>
      </c>
      <c r="W3022" t="s">
        <v>134</v>
      </c>
      <c r="X3022">
        <v>1</v>
      </c>
      <c r="Y3022" t="s">
        <v>140</v>
      </c>
      <c r="Z3022" t="s">
        <v>184</v>
      </c>
      <c r="AA3022" t="s">
        <v>143</v>
      </c>
      <c r="AB3022" t="s">
        <v>163</v>
      </c>
      <c r="AC3022" t="s">
        <v>173</v>
      </c>
      <c r="AD3022" t="s">
        <v>155</v>
      </c>
      <c r="AE3022" t="s">
        <v>125</v>
      </c>
      <c r="AF3022" t="s">
        <v>21</v>
      </c>
    </row>
    <row r="3023" spans="1:32">
      <c r="A3023" t="s">
        <v>4173</v>
      </c>
      <c r="B3023" s="37">
        <v>40079</v>
      </c>
      <c r="C3023" s="38">
        <v>40079</v>
      </c>
      <c r="D3023" s="38">
        <v>40077</v>
      </c>
      <c r="E3023" s="38">
        <v>40057</v>
      </c>
      <c r="F3023" s="39">
        <v>174</v>
      </c>
      <c r="G3023" t="s">
        <v>21</v>
      </c>
      <c r="H3023" t="s">
        <v>21</v>
      </c>
      <c r="I3023">
        <v>0</v>
      </c>
      <c r="J3023">
        <v>0</v>
      </c>
      <c r="K3023">
        <v>0</v>
      </c>
      <c r="L3023">
        <v>1</v>
      </c>
      <c r="M3023">
        <v>0</v>
      </c>
      <c r="N3023" t="s">
        <v>197</v>
      </c>
      <c r="O3023" t="s">
        <v>213</v>
      </c>
      <c r="P3023" t="s">
        <v>209</v>
      </c>
      <c r="Q3023" t="s">
        <v>170</v>
      </c>
      <c r="R3023" t="s">
        <v>155</v>
      </c>
      <c r="S3023">
        <v>5</v>
      </c>
      <c r="T3023" t="s">
        <v>135</v>
      </c>
      <c r="U3023">
        <v>0</v>
      </c>
      <c r="V3023">
        <v>5</v>
      </c>
      <c r="W3023" t="s">
        <v>135</v>
      </c>
      <c r="X3023">
        <v>0</v>
      </c>
      <c r="Y3023" t="s">
        <v>139</v>
      </c>
      <c r="Z3023" t="s">
        <v>447</v>
      </c>
      <c r="AA3023" t="s">
        <v>144</v>
      </c>
      <c r="AB3023" t="s">
        <v>162</v>
      </c>
      <c r="AC3023" t="s">
        <v>21</v>
      </c>
      <c r="AD3023" t="s">
        <v>161</v>
      </c>
      <c r="AE3023" t="s">
        <v>571</v>
      </c>
      <c r="AF3023" t="s">
        <v>21</v>
      </c>
    </row>
    <row r="3024" spans="1:32">
      <c r="A3024" t="s">
        <v>4174</v>
      </c>
      <c r="B3024" s="37">
        <v>39930</v>
      </c>
      <c r="C3024" s="38">
        <v>39930</v>
      </c>
      <c r="D3024" s="38">
        <v>39930</v>
      </c>
      <c r="E3024" s="38">
        <v>39904</v>
      </c>
      <c r="F3024" s="39">
        <v>25</v>
      </c>
      <c r="G3024" t="s">
        <v>21</v>
      </c>
      <c r="H3024" t="s">
        <v>21</v>
      </c>
      <c r="I3024">
        <v>0</v>
      </c>
      <c r="J3024">
        <v>0</v>
      </c>
      <c r="K3024">
        <v>0</v>
      </c>
      <c r="L3024">
        <v>1</v>
      </c>
      <c r="M3024">
        <v>0</v>
      </c>
      <c r="N3024" t="s">
        <v>199</v>
      </c>
      <c r="O3024" t="s">
        <v>213</v>
      </c>
      <c r="P3024" t="s">
        <v>210</v>
      </c>
      <c r="Q3024" t="s">
        <v>170</v>
      </c>
      <c r="R3024" t="s">
        <v>155</v>
      </c>
      <c r="T3024" t="s">
        <v>134</v>
      </c>
      <c r="U3024">
        <v>1</v>
      </c>
      <c r="W3024" t="s">
        <v>134</v>
      </c>
      <c r="X3024">
        <v>1</v>
      </c>
      <c r="Y3024" t="s">
        <v>139</v>
      </c>
      <c r="Z3024" t="s">
        <v>179</v>
      </c>
      <c r="AA3024" t="s">
        <v>147</v>
      </c>
      <c r="AB3024" t="s">
        <v>162</v>
      </c>
      <c r="AC3024" t="s">
        <v>459</v>
      </c>
      <c r="AD3024" t="s">
        <v>155</v>
      </c>
      <c r="AE3024" t="s">
        <v>127</v>
      </c>
      <c r="AF3024" t="s">
        <v>21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024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/>
  <cols>
    <col min="1" max="2" width="20" customWidth="1"/>
    <col min="3" max="4" width="34" customWidth="1"/>
    <col min="5" max="5" width="20" customWidth="1"/>
    <col min="6" max="6" width="34" customWidth="1"/>
    <col min="7" max="8" width="20" customWidth="1"/>
    <col min="9" max="9" width="34" customWidth="1"/>
    <col min="10" max="13" width="20" customWidth="1"/>
    <col min="14" max="16" width="34" customWidth="1"/>
  </cols>
  <sheetData>
    <row r="1" spans="1:16" ht="15">
      <c r="A1" s="29" t="s">
        <v>4175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1" t="s">
        <v>73</v>
      </c>
      <c r="B3" s="2" t="s">
        <v>79</v>
      </c>
      <c r="C3" s="2" t="s">
        <v>82</v>
      </c>
      <c r="D3" s="2" t="s">
        <v>88</v>
      </c>
      <c r="E3" s="2" t="s">
        <v>365</v>
      </c>
      <c r="F3" s="2" t="s">
        <v>366</v>
      </c>
      <c r="G3" s="2" t="s">
        <v>367</v>
      </c>
      <c r="H3" s="2" t="s">
        <v>369</v>
      </c>
      <c r="I3" s="2" t="s">
        <v>371</v>
      </c>
      <c r="J3" s="2" t="s">
        <v>177</v>
      </c>
      <c r="K3" s="2" t="s">
        <v>372</v>
      </c>
      <c r="L3" s="2" t="s">
        <v>91</v>
      </c>
      <c r="M3" s="2" t="s">
        <v>77</v>
      </c>
      <c r="N3" s="2" t="s">
        <v>373</v>
      </c>
      <c r="O3" s="2" t="s">
        <v>374</v>
      </c>
      <c r="P3" s="3" t="s">
        <v>152</v>
      </c>
    </row>
    <row r="4" spans="1:16" ht="15">
      <c r="A4" s="4" t="s">
        <v>375</v>
      </c>
      <c r="B4" s="30">
        <v>39995</v>
      </c>
      <c r="C4" s="4"/>
      <c r="D4" s="4" t="s">
        <v>193</v>
      </c>
      <c r="E4" s="4" t="s">
        <v>170</v>
      </c>
      <c r="F4" s="4" t="s">
        <v>155</v>
      </c>
      <c r="G4" s="4"/>
      <c r="H4" s="4">
        <v>5</v>
      </c>
      <c r="I4" s="4" t="s">
        <v>140</v>
      </c>
      <c r="J4" s="4" t="s">
        <v>376</v>
      </c>
      <c r="K4" s="4" t="s">
        <v>142</v>
      </c>
      <c r="L4" s="4" t="s">
        <v>4176</v>
      </c>
      <c r="M4" s="4" t="s">
        <v>174</v>
      </c>
      <c r="N4" s="4" t="s">
        <v>156</v>
      </c>
      <c r="O4" s="4" t="s">
        <v>120</v>
      </c>
      <c r="P4" s="4" t="s">
        <v>377</v>
      </c>
    </row>
    <row r="5" spans="1:16" ht="15">
      <c r="A5" s="4" t="s">
        <v>378</v>
      </c>
      <c r="B5" s="30">
        <v>39916</v>
      </c>
      <c r="C5" s="4"/>
      <c r="D5" s="4" t="s">
        <v>4177</v>
      </c>
      <c r="E5" s="4" t="s">
        <v>170</v>
      </c>
      <c r="F5" s="4" t="s">
        <v>155</v>
      </c>
      <c r="G5" s="4"/>
      <c r="H5" s="4"/>
      <c r="I5" s="4" t="s">
        <v>139</v>
      </c>
      <c r="J5" s="4" t="s">
        <v>187</v>
      </c>
      <c r="K5" s="4" t="s">
        <v>151</v>
      </c>
      <c r="L5" s="4" t="s">
        <v>165</v>
      </c>
      <c r="M5" s="4"/>
      <c r="N5" s="4" t="s">
        <v>158</v>
      </c>
      <c r="O5" s="4" t="s">
        <v>122</v>
      </c>
      <c r="P5" s="4"/>
    </row>
    <row r="6" spans="1:16" ht="15">
      <c r="A6" s="4" t="s">
        <v>379</v>
      </c>
      <c r="B6" s="30">
        <v>39924</v>
      </c>
      <c r="C6" s="4" t="s">
        <v>380</v>
      </c>
      <c r="D6" s="4" t="s">
        <v>4177</v>
      </c>
      <c r="E6" s="4" t="s">
        <v>170</v>
      </c>
      <c r="F6" s="4" t="s">
        <v>155</v>
      </c>
      <c r="G6" s="4"/>
      <c r="H6" s="4"/>
      <c r="I6" s="4" t="s">
        <v>139</v>
      </c>
      <c r="J6" s="4" t="s">
        <v>180</v>
      </c>
      <c r="K6" s="4" t="s">
        <v>143</v>
      </c>
      <c r="L6" s="4" t="s">
        <v>165</v>
      </c>
      <c r="M6" s="4" t="s">
        <v>381</v>
      </c>
      <c r="N6" s="4" t="s">
        <v>158</v>
      </c>
      <c r="O6" s="4" t="s">
        <v>122</v>
      </c>
      <c r="P6" s="4"/>
    </row>
    <row r="7" spans="1:16" ht="15">
      <c r="A7" s="4" t="s">
        <v>382</v>
      </c>
      <c r="B7" s="30">
        <v>40028</v>
      </c>
      <c r="C7" s="4" t="s">
        <v>383</v>
      </c>
      <c r="D7" s="4" t="s">
        <v>195</v>
      </c>
      <c r="E7" s="4" t="s">
        <v>170</v>
      </c>
      <c r="F7" s="4" t="s">
        <v>155</v>
      </c>
      <c r="G7" s="4">
        <v>5</v>
      </c>
      <c r="H7" s="4">
        <v>3</v>
      </c>
      <c r="I7" s="4" t="s">
        <v>139</v>
      </c>
      <c r="J7" s="4" t="s">
        <v>384</v>
      </c>
      <c r="K7" s="4" t="s">
        <v>143</v>
      </c>
      <c r="L7" s="4" t="s">
        <v>162</v>
      </c>
      <c r="M7" s="4" t="s">
        <v>385</v>
      </c>
      <c r="N7" s="4" t="s">
        <v>155</v>
      </c>
      <c r="O7" s="4" t="s">
        <v>127</v>
      </c>
      <c r="P7" s="4"/>
    </row>
    <row r="8" spans="1:16" ht="15">
      <c r="A8" s="4" t="s">
        <v>386</v>
      </c>
      <c r="B8" s="30">
        <v>39916</v>
      </c>
      <c r="C8" s="4"/>
      <c r="D8" s="4" t="s">
        <v>4178</v>
      </c>
      <c r="E8" s="4" t="s">
        <v>170</v>
      </c>
      <c r="F8" s="4" t="s">
        <v>155</v>
      </c>
      <c r="G8" s="4"/>
      <c r="H8" s="4"/>
      <c r="I8" s="4" t="s">
        <v>139</v>
      </c>
      <c r="J8" s="4" t="s">
        <v>179</v>
      </c>
      <c r="K8" s="4" t="s">
        <v>149</v>
      </c>
      <c r="L8" s="4" t="s">
        <v>162</v>
      </c>
      <c r="M8" s="4"/>
      <c r="N8" s="4" t="s">
        <v>155</v>
      </c>
      <c r="O8" s="4" t="s">
        <v>387</v>
      </c>
      <c r="P8" s="4"/>
    </row>
    <row r="9" spans="1:16" ht="15">
      <c r="A9" s="4" t="s">
        <v>388</v>
      </c>
      <c r="B9" s="30">
        <v>40023</v>
      </c>
      <c r="C9" s="4"/>
      <c r="D9" s="4" t="s">
        <v>195</v>
      </c>
      <c r="E9" s="4" t="s">
        <v>170</v>
      </c>
      <c r="F9" s="4" t="s">
        <v>155</v>
      </c>
      <c r="G9" s="4">
        <v>5</v>
      </c>
      <c r="H9" s="4">
        <v>3</v>
      </c>
      <c r="I9" s="4" t="s">
        <v>139</v>
      </c>
      <c r="J9" s="4" t="s">
        <v>185</v>
      </c>
      <c r="K9" s="4" t="s">
        <v>146</v>
      </c>
      <c r="L9" s="4" t="s">
        <v>162</v>
      </c>
      <c r="M9" s="4" t="s">
        <v>175</v>
      </c>
      <c r="N9" s="4" t="s">
        <v>155</v>
      </c>
      <c r="O9" s="4" t="s">
        <v>129</v>
      </c>
      <c r="P9" s="4"/>
    </row>
    <row r="10" spans="1:16" ht="15">
      <c r="A10" s="4" t="s">
        <v>389</v>
      </c>
      <c r="B10" s="30">
        <v>40000</v>
      </c>
      <c r="C10" s="4"/>
      <c r="D10" s="4" t="s">
        <v>195</v>
      </c>
      <c r="E10" s="4" t="s">
        <v>170</v>
      </c>
      <c r="F10" s="4" t="s">
        <v>155</v>
      </c>
      <c r="G10" s="4"/>
      <c r="H10" s="4">
        <v>4</v>
      </c>
      <c r="I10" s="4" t="s">
        <v>139</v>
      </c>
      <c r="J10" s="4" t="s">
        <v>184</v>
      </c>
      <c r="K10" s="4" t="s">
        <v>150</v>
      </c>
      <c r="L10" s="4" t="s">
        <v>162</v>
      </c>
      <c r="M10" s="4" t="s">
        <v>175</v>
      </c>
      <c r="N10" s="4" t="s">
        <v>155</v>
      </c>
      <c r="O10" s="4" t="s">
        <v>130</v>
      </c>
      <c r="P10" s="4"/>
    </row>
    <row r="11" spans="1:16" ht="15">
      <c r="A11" s="4" t="s">
        <v>390</v>
      </c>
      <c r="B11" s="30">
        <v>39925</v>
      </c>
      <c r="C11" s="4" t="s">
        <v>380</v>
      </c>
      <c r="D11" s="4" t="s">
        <v>4179</v>
      </c>
      <c r="E11" s="4" t="s">
        <v>170</v>
      </c>
      <c r="F11" s="4" t="s">
        <v>155</v>
      </c>
      <c r="G11" s="4"/>
      <c r="H11" s="4"/>
      <c r="I11" s="4" t="s">
        <v>139</v>
      </c>
      <c r="J11" s="4" t="s">
        <v>391</v>
      </c>
      <c r="K11" s="4" t="s">
        <v>147</v>
      </c>
      <c r="L11" s="4" t="s">
        <v>4176</v>
      </c>
      <c r="M11" s="4" t="s">
        <v>174</v>
      </c>
      <c r="N11" s="4" t="s">
        <v>160</v>
      </c>
      <c r="O11" s="4" t="s">
        <v>392</v>
      </c>
      <c r="P11" s="4" t="s">
        <v>393</v>
      </c>
    </row>
    <row r="12" spans="1:16" ht="15">
      <c r="A12" s="4" t="s">
        <v>394</v>
      </c>
      <c r="B12" s="30">
        <v>39938</v>
      </c>
      <c r="C12" s="4"/>
      <c r="D12" s="4" t="s">
        <v>4180</v>
      </c>
      <c r="E12" s="4" t="s">
        <v>170</v>
      </c>
      <c r="F12" s="4" t="s">
        <v>155</v>
      </c>
      <c r="G12" s="4"/>
      <c r="H12" s="4"/>
      <c r="I12" s="4" t="s">
        <v>139</v>
      </c>
      <c r="J12" s="4" t="s">
        <v>190</v>
      </c>
      <c r="K12" s="4" t="s">
        <v>143</v>
      </c>
      <c r="L12" s="4" t="s">
        <v>4181</v>
      </c>
      <c r="M12" s="4" t="s">
        <v>395</v>
      </c>
      <c r="N12" s="4" t="s">
        <v>155</v>
      </c>
      <c r="O12" s="4" t="s">
        <v>125</v>
      </c>
      <c r="P12" s="4"/>
    </row>
    <row r="13" spans="1:16" ht="15">
      <c r="A13" s="4" t="s">
        <v>396</v>
      </c>
      <c r="B13" s="30">
        <v>40032</v>
      </c>
      <c r="C13" s="4"/>
      <c r="D13" s="4" t="s">
        <v>193</v>
      </c>
      <c r="E13" s="4" t="s">
        <v>170</v>
      </c>
      <c r="F13" s="4" t="s">
        <v>155</v>
      </c>
      <c r="G13" s="4">
        <v>3</v>
      </c>
      <c r="H13" s="4">
        <v>4</v>
      </c>
      <c r="I13" s="4" t="s">
        <v>140</v>
      </c>
      <c r="J13" s="4" t="s">
        <v>184</v>
      </c>
      <c r="K13" s="4" t="s">
        <v>146</v>
      </c>
      <c r="L13" s="4" t="s">
        <v>4176</v>
      </c>
      <c r="M13" s="4" t="s">
        <v>397</v>
      </c>
      <c r="N13" s="4" t="s">
        <v>398</v>
      </c>
      <c r="O13" s="4" t="s">
        <v>399</v>
      </c>
      <c r="P13" s="4" t="s">
        <v>400</v>
      </c>
    </row>
    <row r="14" spans="1:16" ht="15">
      <c r="A14" s="4" t="s">
        <v>401</v>
      </c>
      <c r="B14" s="30">
        <v>39965</v>
      </c>
      <c r="C14" s="4" t="s">
        <v>380</v>
      </c>
      <c r="D14" s="4" t="s">
        <v>193</v>
      </c>
      <c r="E14" s="4" t="s">
        <v>170</v>
      </c>
      <c r="F14" s="4" t="s">
        <v>155</v>
      </c>
      <c r="G14" s="4"/>
      <c r="H14" s="4"/>
      <c r="I14" s="4" t="s">
        <v>140</v>
      </c>
      <c r="J14" s="4" t="s">
        <v>179</v>
      </c>
      <c r="K14" s="4" t="s">
        <v>143</v>
      </c>
      <c r="L14" s="4" t="s">
        <v>162</v>
      </c>
      <c r="M14" s="4" t="s">
        <v>175</v>
      </c>
      <c r="N14" s="4" t="s">
        <v>155</v>
      </c>
      <c r="O14" s="4" t="s">
        <v>129</v>
      </c>
      <c r="P14" s="4"/>
    </row>
    <row r="15" spans="1:16" ht="15">
      <c r="A15" s="4" t="s">
        <v>402</v>
      </c>
      <c r="B15" s="30">
        <v>40020</v>
      </c>
      <c r="C15" s="4"/>
      <c r="D15" s="4" t="s">
        <v>193</v>
      </c>
      <c r="E15" s="4" t="s">
        <v>170</v>
      </c>
      <c r="F15" s="4" t="s">
        <v>155</v>
      </c>
      <c r="G15" s="4">
        <v>5</v>
      </c>
      <c r="H15" s="4">
        <v>5</v>
      </c>
      <c r="I15" s="4" t="s">
        <v>140</v>
      </c>
      <c r="J15" s="4" t="s">
        <v>182</v>
      </c>
      <c r="K15" s="4" t="s">
        <v>142</v>
      </c>
      <c r="L15" s="4" t="s">
        <v>4176</v>
      </c>
      <c r="M15" s="4" t="s">
        <v>174</v>
      </c>
      <c r="N15" s="4" t="s">
        <v>159</v>
      </c>
      <c r="O15" s="4" t="s">
        <v>123</v>
      </c>
      <c r="P15" s="4" t="s">
        <v>123</v>
      </c>
    </row>
    <row r="16" spans="1:16" ht="15">
      <c r="A16" s="4" t="s">
        <v>403</v>
      </c>
      <c r="B16" s="30">
        <v>39957</v>
      </c>
      <c r="C16" s="4"/>
      <c r="D16" s="4" t="s">
        <v>194</v>
      </c>
      <c r="E16" s="4" t="s">
        <v>170</v>
      </c>
      <c r="F16" s="4" t="s">
        <v>155</v>
      </c>
      <c r="G16" s="4"/>
      <c r="H16" s="4"/>
      <c r="I16" s="4" t="s">
        <v>139</v>
      </c>
      <c r="J16" s="4" t="s">
        <v>184</v>
      </c>
      <c r="K16" s="4" t="s">
        <v>145</v>
      </c>
      <c r="L16" s="4" t="s">
        <v>4181</v>
      </c>
      <c r="M16" s="4" t="s">
        <v>173</v>
      </c>
      <c r="N16" s="4" t="s">
        <v>161</v>
      </c>
      <c r="O16" s="4" t="s">
        <v>404</v>
      </c>
      <c r="P16" s="4"/>
    </row>
    <row r="17" spans="1:16" ht="15">
      <c r="A17" s="4" t="s">
        <v>405</v>
      </c>
      <c r="B17" s="30">
        <v>39957</v>
      </c>
      <c r="C17" s="4"/>
      <c r="D17" s="4" t="s">
        <v>195</v>
      </c>
      <c r="E17" s="4" t="s">
        <v>170</v>
      </c>
      <c r="F17" s="4" t="s">
        <v>155</v>
      </c>
      <c r="G17" s="4"/>
      <c r="H17" s="4"/>
      <c r="I17" s="4" t="s">
        <v>139</v>
      </c>
      <c r="J17" s="4" t="s">
        <v>190</v>
      </c>
      <c r="K17" s="4" t="s">
        <v>146</v>
      </c>
      <c r="L17" s="4" t="s">
        <v>4181</v>
      </c>
      <c r="M17" s="4" t="s">
        <v>173</v>
      </c>
      <c r="N17" s="4" t="s">
        <v>155</v>
      </c>
      <c r="O17" s="4" t="s">
        <v>406</v>
      </c>
      <c r="P17" s="4"/>
    </row>
    <row r="18" spans="1:16" ht="15">
      <c r="A18" s="4" t="s">
        <v>407</v>
      </c>
      <c r="B18" s="30">
        <v>39939</v>
      </c>
      <c r="C18" s="4"/>
      <c r="D18" s="4" t="s">
        <v>4180</v>
      </c>
      <c r="E18" s="4" t="s">
        <v>170</v>
      </c>
      <c r="F18" s="4" t="s">
        <v>155</v>
      </c>
      <c r="G18" s="4"/>
      <c r="H18" s="4"/>
      <c r="I18" s="4" t="s">
        <v>139</v>
      </c>
      <c r="J18" s="4" t="s">
        <v>180</v>
      </c>
      <c r="K18" s="4" t="s">
        <v>142</v>
      </c>
      <c r="L18" s="4" t="s">
        <v>4181</v>
      </c>
      <c r="M18" s="4" t="s">
        <v>173</v>
      </c>
      <c r="N18" s="4" t="s">
        <v>155</v>
      </c>
      <c r="O18" s="4" t="s">
        <v>124</v>
      </c>
      <c r="P18" s="4"/>
    </row>
    <row r="19" spans="1:16" ht="15">
      <c r="A19" s="4" t="s">
        <v>408</v>
      </c>
      <c r="B19" s="30">
        <v>39961</v>
      </c>
      <c r="C19" s="4"/>
      <c r="D19" s="4" t="s">
        <v>195</v>
      </c>
      <c r="E19" s="4" t="s">
        <v>170</v>
      </c>
      <c r="F19" s="4" t="s">
        <v>155</v>
      </c>
      <c r="G19" s="4"/>
      <c r="H19" s="4"/>
      <c r="I19" s="4" t="s">
        <v>139</v>
      </c>
      <c r="J19" s="4" t="s">
        <v>409</v>
      </c>
      <c r="K19" s="4" t="s">
        <v>148</v>
      </c>
      <c r="L19" s="4" t="s">
        <v>4181</v>
      </c>
      <c r="M19" s="4" t="s">
        <v>173</v>
      </c>
      <c r="N19" s="4" t="s">
        <v>155</v>
      </c>
      <c r="O19" s="4" t="s">
        <v>127</v>
      </c>
      <c r="P19" s="4"/>
    </row>
    <row r="20" spans="1:16" ht="15">
      <c r="A20" s="4" t="s">
        <v>410</v>
      </c>
      <c r="B20" s="30">
        <v>39922</v>
      </c>
      <c r="C20" s="4"/>
      <c r="D20" s="4" t="s">
        <v>4178</v>
      </c>
      <c r="E20" s="4" t="s">
        <v>170</v>
      </c>
      <c r="F20" s="4" t="s">
        <v>155</v>
      </c>
      <c r="G20" s="4"/>
      <c r="H20" s="4"/>
      <c r="I20" s="4" t="s">
        <v>139</v>
      </c>
      <c r="J20" s="4" t="s">
        <v>182</v>
      </c>
      <c r="K20" s="4" t="s">
        <v>147</v>
      </c>
      <c r="L20" s="4" t="s">
        <v>4181</v>
      </c>
      <c r="M20" s="4" t="s">
        <v>173</v>
      </c>
      <c r="N20" s="4" t="s">
        <v>155</v>
      </c>
      <c r="O20" s="4" t="s">
        <v>124</v>
      </c>
      <c r="P20" s="4"/>
    </row>
    <row r="21" spans="1:16" ht="15">
      <c r="A21" s="4" t="s">
        <v>411</v>
      </c>
      <c r="B21" s="30">
        <v>40026</v>
      </c>
      <c r="C21" s="4" t="s">
        <v>380</v>
      </c>
      <c r="D21" s="4" t="s">
        <v>193</v>
      </c>
      <c r="E21" s="4" t="s">
        <v>170</v>
      </c>
      <c r="F21" s="4" t="s">
        <v>155</v>
      </c>
      <c r="G21" s="4">
        <v>3</v>
      </c>
      <c r="H21" s="4">
        <v>3</v>
      </c>
      <c r="I21" s="4" t="s">
        <v>140</v>
      </c>
      <c r="J21" s="4" t="s">
        <v>182</v>
      </c>
      <c r="K21" s="4" t="s">
        <v>144</v>
      </c>
      <c r="L21" s="4" t="s">
        <v>162</v>
      </c>
      <c r="M21" s="4" t="s">
        <v>175</v>
      </c>
      <c r="N21" s="4" t="s">
        <v>155</v>
      </c>
      <c r="O21" s="4" t="s">
        <v>129</v>
      </c>
      <c r="P21" s="4"/>
    </row>
    <row r="22" spans="1:16" ht="15">
      <c r="A22" s="4" t="s">
        <v>412</v>
      </c>
      <c r="B22" s="30">
        <v>40079</v>
      </c>
      <c r="C22" s="4"/>
      <c r="D22" s="4" t="s">
        <v>195</v>
      </c>
      <c r="E22" s="4" t="s">
        <v>170</v>
      </c>
      <c r="F22" s="4" t="s">
        <v>155</v>
      </c>
      <c r="G22" s="4">
        <v>5</v>
      </c>
      <c r="H22" s="4">
        <v>5</v>
      </c>
      <c r="I22" s="4" t="s">
        <v>139</v>
      </c>
      <c r="J22" s="4" t="s">
        <v>413</v>
      </c>
      <c r="K22" s="4" t="s">
        <v>142</v>
      </c>
      <c r="L22" s="4" t="s">
        <v>162</v>
      </c>
      <c r="M22" s="4" t="s">
        <v>176</v>
      </c>
      <c r="N22" s="4" t="s">
        <v>155</v>
      </c>
      <c r="O22" s="4" t="s">
        <v>129</v>
      </c>
      <c r="P22" s="4"/>
    </row>
    <row r="23" spans="1:16" ht="15">
      <c r="A23" s="4" t="s">
        <v>414</v>
      </c>
      <c r="B23" s="30">
        <v>39952</v>
      </c>
      <c r="C23" s="4"/>
      <c r="D23" s="4" t="s">
        <v>195</v>
      </c>
      <c r="E23" s="4" t="s">
        <v>170</v>
      </c>
      <c r="F23" s="4" t="s">
        <v>155</v>
      </c>
      <c r="G23" s="4"/>
      <c r="H23" s="4"/>
      <c r="I23" s="4" t="s">
        <v>139</v>
      </c>
      <c r="J23" s="4" t="s">
        <v>413</v>
      </c>
      <c r="K23" s="4" t="s">
        <v>149</v>
      </c>
      <c r="L23" s="4" t="s">
        <v>4181</v>
      </c>
      <c r="M23" s="4" t="s">
        <v>415</v>
      </c>
      <c r="N23" s="4" t="s">
        <v>161</v>
      </c>
      <c r="O23" s="4" t="s">
        <v>416</v>
      </c>
      <c r="P23" s="4"/>
    </row>
    <row r="24" spans="1:16" ht="15">
      <c r="A24" s="4" t="s">
        <v>417</v>
      </c>
      <c r="B24" s="30">
        <v>39913</v>
      </c>
      <c r="C24" s="4"/>
      <c r="D24" s="4" t="s">
        <v>4179</v>
      </c>
      <c r="E24" s="4" t="s">
        <v>170</v>
      </c>
      <c r="F24" s="4" t="s">
        <v>155</v>
      </c>
      <c r="G24" s="4"/>
      <c r="H24" s="4"/>
      <c r="I24" s="4" t="s">
        <v>139</v>
      </c>
      <c r="J24" s="4" t="s">
        <v>189</v>
      </c>
      <c r="K24" s="4" t="s">
        <v>147</v>
      </c>
      <c r="L24" s="4" t="s">
        <v>165</v>
      </c>
      <c r="M24" s="4" t="s">
        <v>418</v>
      </c>
      <c r="N24" s="4" t="s">
        <v>158</v>
      </c>
      <c r="O24" s="4" t="s">
        <v>122</v>
      </c>
      <c r="P24" s="4"/>
    </row>
    <row r="25" spans="1:16" ht="15">
      <c r="A25" s="4" t="s">
        <v>419</v>
      </c>
      <c r="B25" s="30">
        <v>39922</v>
      </c>
      <c r="C25" s="4"/>
      <c r="D25" s="4" t="s">
        <v>4182</v>
      </c>
      <c r="E25" s="4" t="s">
        <v>170</v>
      </c>
      <c r="F25" s="4" t="s">
        <v>155</v>
      </c>
      <c r="G25" s="4"/>
      <c r="H25" s="4"/>
      <c r="I25" s="4" t="s">
        <v>139</v>
      </c>
      <c r="J25" s="4" t="s">
        <v>186</v>
      </c>
      <c r="K25" s="4" t="s">
        <v>149</v>
      </c>
      <c r="L25" s="4" t="s">
        <v>4181</v>
      </c>
      <c r="M25" s="4" t="s">
        <v>173</v>
      </c>
      <c r="N25" s="4" t="s">
        <v>161</v>
      </c>
      <c r="O25" s="4" t="s">
        <v>420</v>
      </c>
      <c r="P25" s="4"/>
    </row>
    <row r="26" spans="1:16" ht="15">
      <c r="A26" s="4" t="s">
        <v>421</v>
      </c>
      <c r="B26" s="30">
        <v>39947</v>
      </c>
      <c r="C26" s="4" t="s">
        <v>380</v>
      </c>
      <c r="D26" s="4" t="s">
        <v>195</v>
      </c>
      <c r="E26" s="4" t="s">
        <v>170</v>
      </c>
      <c r="F26" s="4" t="s">
        <v>155</v>
      </c>
      <c r="G26" s="4"/>
      <c r="H26" s="4"/>
      <c r="I26" s="4" t="s">
        <v>139</v>
      </c>
      <c r="J26" s="4" t="s">
        <v>179</v>
      </c>
      <c r="K26" s="4" t="s">
        <v>149</v>
      </c>
      <c r="L26" s="4" t="s">
        <v>4181</v>
      </c>
      <c r="M26" s="4" t="s">
        <v>173</v>
      </c>
      <c r="N26" s="4" t="s">
        <v>155</v>
      </c>
      <c r="O26" s="4" t="s">
        <v>125</v>
      </c>
      <c r="P26" s="4"/>
    </row>
    <row r="27" spans="1:16" ht="15">
      <c r="A27" s="4" t="s">
        <v>422</v>
      </c>
      <c r="B27" s="30">
        <v>39930</v>
      </c>
      <c r="C27" s="4"/>
      <c r="D27" s="4" t="s">
        <v>4178</v>
      </c>
      <c r="E27" s="4" t="s">
        <v>170</v>
      </c>
      <c r="F27" s="4" t="s">
        <v>155</v>
      </c>
      <c r="G27" s="4"/>
      <c r="H27" s="4"/>
      <c r="I27" s="4" t="s">
        <v>139</v>
      </c>
      <c r="J27" s="4" t="s">
        <v>178</v>
      </c>
      <c r="K27" s="4" t="s">
        <v>147</v>
      </c>
      <c r="L27" s="4" t="s">
        <v>4176</v>
      </c>
      <c r="M27" s="4" t="s">
        <v>174</v>
      </c>
      <c r="N27" s="4" t="s">
        <v>157</v>
      </c>
      <c r="O27" s="4" t="s">
        <v>130</v>
      </c>
      <c r="P27" s="4" t="s">
        <v>423</v>
      </c>
    </row>
    <row r="28" spans="1:16" ht="15">
      <c r="A28" s="4" t="s">
        <v>424</v>
      </c>
      <c r="B28" s="30">
        <v>40003</v>
      </c>
      <c r="C28" s="4"/>
      <c r="D28" s="4" t="s">
        <v>193</v>
      </c>
      <c r="E28" s="4" t="s">
        <v>170</v>
      </c>
      <c r="F28" s="4" t="s">
        <v>155</v>
      </c>
      <c r="G28" s="4"/>
      <c r="H28" s="4">
        <v>2</v>
      </c>
      <c r="I28" s="4" t="s">
        <v>140</v>
      </c>
      <c r="J28" s="4" t="s">
        <v>178</v>
      </c>
      <c r="K28" s="4" t="s">
        <v>142</v>
      </c>
      <c r="L28" s="4" t="s">
        <v>4176</v>
      </c>
      <c r="M28" s="4" t="s">
        <v>174</v>
      </c>
      <c r="N28" s="4" t="s">
        <v>156</v>
      </c>
      <c r="O28" s="4" t="s">
        <v>120</v>
      </c>
      <c r="P28" s="4" t="s">
        <v>425</v>
      </c>
    </row>
    <row r="29" spans="1:16" ht="15">
      <c r="A29" s="4" t="s">
        <v>426</v>
      </c>
      <c r="B29" s="30">
        <v>39914</v>
      </c>
      <c r="C29" s="4" t="s">
        <v>9</v>
      </c>
      <c r="D29" s="4" t="s">
        <v>4179</v>
      </c>
      <c r="E29" s="4" t="s">
        <v>170</v>
      </c>
      <c r="F29" s="4" t="s">
        <v>155</v>
      </c>
      <c r="G29" s="4"/>
      <c r="H29" s="4"/>
      <c r="I29" s="4" t="s">
        <v>139</v>
      </c>
      <c r="J29" s="4" t="s">
        <v>182</v>
      </c>
      <c r="K29" s="4" t="s">
        <v>150</v>
      </c>
      <c r="L29" s="4" t="s">
        <v>4176</v>
      </c>
      <c r="M29" s="4" t="s">
        <v>174</v>
      </c>
      <c r="N29" s="4" t="s">
        <v>156</v>
      </c>
      <c r="O29" s="4" t="s">
        <v>120</v>
      </c>
      <c r="P29" s="4" t="s">
        <v>427</v>
      </c>
    </row>
    <row r="30" spans="1:16" ht="15">
      <c r="A30" s="4" t="s">
        <v>428</v>
      </c>
      <c r="B30" s="30">
        <v>40020</v>
      </c>
      <c r="C30" s="4"/>
      <c r="D30" s="4" t="s">
        <v>193</v>
      </c>
      <c r="E30" s="4" t="s">
        <v>170</v>
      </c>
      <c r="F30" s="4" t="s">
        <v>155</v>
      </c>
      <c r="G30" s="4">
        <v>5</v>
      </c>
      <c r="H30" s="4">
        <v>2</v>
      </c>
      <c r="I30" s="4" t="s">
        <v>140</v>
      </c>
      <c r="J30" s="4" t="s">
        <v>189</v>
      </c>
      <c r="K30" s="4" t="s">
        <v>142</v>
      </c>
      <c r="L30" s="4" t="s">
        <v>162</v>
      </c>
      <c r="M30" s="4" t="s">
        <v>429</v>
      </c>
      <c r="N30" s="4" t="s">
        <v>155</v>
      </c>
      <c r="O30" s="4" t="s">
        <v>129</v>
      </c>
      <c r="P30" s="4"/>
    </row>
    <row r="31" spans="1:16" ht="15">
      <c r="A31" s="4" t="s">
        <v>430</v>
      </c>
      <c r="B31" s="30">
        <v>40001</v>
      </c>
      <c r="C31" s="4"/>
      <c r="D31" s="4" t="s">
        <v>196</v>
      </c>
      <c r="E31" s="4" t="s">
        <v>170</v>
      </c>
      <c r="F31" s="4" t="s">
        <v>155</v>
      </c>
      <c r="G31" s="4"/>
      <c r="H31" s="4">
        <v>3</v>
      </c>
      <c r="I31" s="4" t="s">
        <v>139</v>
      </c>
      <c r="J31" s="4" t="s">
        <v>179</v>
      </c>
      <c r="K31" s="4" t="s">
        <v>146</v>
      </c>
      <c r="L31" s="4" t="s">
        <v>162</v>
      </c>
      <c r="M31" s="4" t="s">
        <v>431</v>
      </c>
      <c r="N31" s="4" t="s">
        <v>155</v>
      </c>
      <c r="O31" s="4" t="s">
        <v>130</v>
      </c>
      <c r="P31" s="4"/>
    </row>
    <row r="32" spans="1:16" ht="15">
      <c r="A32" s="4" t="s">
        <v>432</v>
      </c>
      <c r="B32" s="30">
        <v>40072</v>
      </c>
      <c r="C32" s="4"/>
      <c r="D32" s="4" t="s">
        <v>193</v>
      </c>
      <c r="E32" s="4" t="s">
        <v>170</v>
      </c>
      <c r="F32" s="4" t="s">
        <v>155</v>
      </c>
      <c r="G32" s="4">
        <v>5</v>
      </c>
      <c r="H32" s="4">
        <v>4</v>
      </c>
      <c r="I32" s="4" t="s">
        <v>140</v>
      </c>
      <c r="J32" s="4" t="s">
        <v>433</v>
      </c>
      <c r="K32" s="4" t="s">
        <v>144</v>
      </c>
      <c r="L32" s="4" t="s">
        <v>4176</v>
      </c>
      <c r="M32" s="4" t="s">
        <v>174</v>
      </c>
      <c r="N32" s="4" t="s">
        <v>157</v>
      </c>
      <c r="O32" s="4" t="s">
        <v>434</v>
      </c>
      <c r="P32" s="4" t="s">
        <v>435</v>
      </c>
    </row>
    <row r="33" spans="1:16" ht="15">
      <c r="A33" s="4" t="s">
        <v>436</v>
      </c>
      <c r="B33" s="30">
        <v>39938</v>
      </c>
      <c r="C33" s="4"/>
      <c r="D33" s="4" t="s">
        <v>4178</v>
      </c>
      <c r="E33" s="4" t="s">
        <v>170</v>
      </c>
      <c r="F33" s="4" t="s">
        <v>155</v>
      </c>
      <c r="G33" s="4"/>
      <c r="H33" s="4"/>
      <c r="I33" s="4" t="s">
        <v>139</v>
      </c>
      <c r="J33" s="4" t="s">
        <v>189</v>
      </c>
      <c r="K33" s="4" t="s">
        <v>149</v>
      </c>
      <c r="L33" s="4" t="s">
        <v>4176</v>
      </c>
      <c r="M33" s="4" t="s">
        <v>174</v>
      </c>
      <c r="N33" s="4" t="s">
        <v>157</v>
      </c>
      <c r="O33" s="4" t="s">
        <v>130</v>
      </c>
      <c r="P33" s="4" t="s">
        <v>437</v>
      </c>
    </row>
    <row r="34" spans="1:16" ht="15">
      <c r="A34" s="4" t="s">
        <v>438</v>
      </c>
      <c r="B34" s="30">
        <v>39927</v>
      </c>
      <c r="C34" s="4"/>
      <c r="D34" s="4" t="s">
        <v>4178</v>
      </c>
      <c r="E34" s="4" t="s">
        <v>170</v>
      </c>
      <c r="F34" s="4" t="s">
        <v>155</v>
      </c>
      <c r="G34" s="4"/>
      <c r="H34" s="4"/>
      <c r="I34" s="4" t="s">
        <v>139</v>
      </c>
      <c r="J34" s="4" t="s">
        <v>181</v>
      </c>
      <c r="K34" s="4" t="s">
        <v>142</v>
      </c>
      <c r="L34" s="4" t="s">
        <v>162</v>
      </c>
      <c r="M34" s="4" t="s">
        <v>175</v>
      </c>
      <c r="N34" s="4" t="s">
        <v>155</v>
      </c>
      <c r="O34" s="4" t="s">
        <v>439</v>
      </c>
      <c r="P34" s="4"/>
    </row>
    <row r="35" spans="1:16" ht="15">
      <c r="A35" s="4" t="s">
        <v>440</v>
      </c>
      <c r="B35" s="30">
        <v>40026</v>
      </c>
      <c r="C35" s="4"/>
      <c r="D35" s="4" t="s">
        <v>193</v>
      </c>
      <c r="E35" s="4" t="s">
        <v>170</v>
      </c>
      <c r="F35" s="4" t="s">
        <v>155</v>
      </c>
      <c r="G35" s="4">
        <v>1</v>
      </c>
      <c r="H35" s="4">
        <v>5</v>
      </c>
      <c r="I35" s="4" t="s">
        <v>140</v>
      </c>
      <c r="J35" s="4" t="s">
        <v>180</v>
      </c>
      <c r="K35" s="4" t="s">
        <v>143</v>
      </c>
      <c r="L35" s="4" t="s">
        <v>4181</v>
      </c>
      <c r="M35" s="4" t="s">
        <v>441</v>
      </c>
      <c r="N35" s="4" t="s">
        <v>155</v>
      </c>
      <c r="O35" s="4" t="s">
        <v>125</v>
      </c>
      <c r="P35" s="4"/>
    </row>
    <row r="36" spans="1:16" ht="15">
      <c r="A36" s="4" t="s">
        <v>442</v>
      </c>
      <c r="B36" s="30">
        <v>40023</v>
      </c>
      <c r="C36" s="4"/>
      <c r="D36" s="4" t="s">
        <v>193</v>
      </c>
      <c r="E36" s="4" t="s">
        <v>170</v>
      </c>
      <c r="F36" s="4" t="s">
        <v>155</v>
      </c>
      <c r="G36" s="4">
        <v>1</v>
      </c>
      <c r="H36" s="4">
        <v>5</v>
      </c>
      <c r="I36" s="4" t="s">
        <v>140</v>
      </c>
      <c r="J36" s="4" t="s">
        <v>188</v>
      </c>
      <c r="K36" s="4" t="s">
        <v>146</v>
      </c>
      <c r="L36" s="4" t="s">
        <v>162</v>
      </c>
      <c r="M36" s="4" t="s">
        <v>175</v>
      </c>
      <c r="N36" s="4" t="s">
        <v>155</v>
      </c>
      <c r="O36" s="4" t="s">
        <v>129</v>
      </c>
      <c r="P36" s="4"/>
    </row>
    <row r="37" spans="1:16" ht="15">
      <c r="A37" s="4" t="s">
        <v>443</v>
      </c>
      <c r="B37" s="30">
        <v>39979</v>
      </c>
      <c r="C37" s="4" t="s">
        <v>383</v>
      </c>
      <c r="D37" s="4" t="s">
        <v>194</v>
      </c>
      <c r="E37" s="4" t="s">
        <v>170</v>
      </c>
      <c r="F37" s="4" t="s">
        <v>155</v>
      </c>
      <c r="G37" s="4"/>
      <c r="H37" s="4"/>
      <c r="I37" s="4" t="s">
        <v>139</v>
      </c>
      <c r="J37" s="4" t="s">
        <v>179</v>
      </c>
      <c r="K37" s="4" t="s">
        <v>143</v>
      </c>
      <c r="L37" s="4" t="s">
        <v>165</v>
      </c>
      <c r="M37" s="4" t="s">
        <v>444</v>
      </c>
      <c r="N37" s="4" t="s">
        <v>158</v>
      </c>
      <c r="O37" s="4" t="s">
        <v>122</v>
      </c>
      <c r="P37" s="4"/>
    </row>
    <row r="38" spans="1:16" ht="15">
      <c r="A38" s="4" t="s">
        <v>445</v>
      </c>
      <c r="B38" s="30">
        <v>40022</v>
      </c>
      <c r="C38" s="4"/>
      <c r="D38" s="4" t="s">
        <v>193</v>
      </c>
      <c r="E38" s="4" t="s">
        <v>170</v>
      </c>
      <c r="F38" s="4" t="s">
        <v>155</v>
      </c>
      <c r="G38" s="4">
        <v>5</v>
      </c>
      <c r="H38" s="4">
        <v>3</v>
      </c>
      <c r="I38" s="4" t="s">
        <v>140</v>
      </c>
      <c r="J38" s="4" t="s">
        <v>181</v>
      </c>
      <c r="K38" s="4" t="s">
        <v>146</v>
      </c>
      <c r="L38" s="4" t="s">
        <v>4181</v>
      </c>
      <c r="M38" s="4" t="s">
        <v>173</v>
      </c>
      <c r="N38" s="4" t="s">
        <v>155</v>
      </c>
      <c r="O38" s="4" t="s">
        <v>127</v>
      </c>
      <c r="P38" s="4"/>
    </row>
    <row r="39" spans="1:16" ht="15">
      <c r="A39" s="4" t="s">
        <v>446</v>
      </c>
      <c r="B39" s="30">
        <v>40044</v>
      </c>
      <c r="C39" s="4"/>
      <c r="D39" s="4" t="s">
        <v>195</v>
      </c>
      <c r="E39" s="4" t="s">
        <v>170</v>
      </c>
      <c r="F39" s="4" t="s">
        <v>155</v>
      </c>
      <c r="G39" s="4">
        <v>5</v>
      </c>
      <c r="H39" s="4">
        <v>5</v>
      </c>
      <c r="I39" s="4" t="s">
        <v>139</v>
      </c>
      <c r="J39" s="4" t="s">
        <v>447</v>
      </c>
      <c r="K39" s="4" t="s">
        <v>144</v>
      </c>
      <c r="L39" s="4" t="s">
        <v>4176</v>
      </c>
      <c r="M39" s="4" t="s">
        <v>448</v>
      </c>
      <c r="N39" s="4" t="s">
        <v>157</v>
      </c>
      <c r="O39" s="4" t="s">
        <v>434</v>
      </c>
      <c r="P39" s="4" t="s">
        <v>449</v>
      </c>
    </row>
    <row r="40" spans="1:16" ht="15">
      <c r="A40" s="4" t="s">
        <v>450</v>
      </c>
      <c r="B40" s="30">
        <v>39926</v>
      </c>
      <c r="C40" s="4"/>
      <c r="D40" s="4" t="s">
        <v>4183</v>
      </c>
      <c r="E40" s="4" t="s">
        <v>170</v>
      </c>
      <c r="F40" s="4" t="s">
        <v>155</v>
      </c>
      <c r="G40" s="4"/>
      <c r="H40" s="4"/>
      <c r="I40" s="4" t="s">
        <v>140</v>
      </c>
      <c r="J40" s="4" t="s">
        <v>178</v>
      </c>
      <c r="K40" s="4" t="s">
        <v>143</v>
      </c>
      <c r="L40" s="4" t="s">
        <v>4181</v>
      </c>
      <c r="M40" s="4" t="s">
        <v>173</v>
      </c>
      <c r="N40" s="4" t="s">
        <v>155</v>
      </c>
      <c r="O40" s="4" t="s">
        <v>124</v>
      </c>
      <c r="P40" s="4"/>
    </row>
    <row r="41" spans="1:16" ht="15">
      <c r="A41" s="4" t="s">
        <v>451</v>
      </c>
      <c r="B41" s="30">
        <v>40044</v>
      </c>
      <c r="C41" s="4"/>
      <c r="D41" s="4" t="s">
        <v>197</v>
      </c>
      <c r="E41" s="4" t="s">
        <v>170</v>
      </c>
      <c r="F41" s="4" t="s">
        <v>155</v>
      </c>
      <c r="G41" s="4">
        <v>5</v>
      </c>
      <c r="H41" s="4">
        <v>3</v>
      </c>
      <c r="I41" s="4" t="s">
        <v>139</v>
      </c>
      <c r="J41" s="4" t="s">
        <v>190</v>
      </c>
      <c r="K41" s="4" t="s">
        <v>149</v>
      </c>
      <c r="L41" s="4" t="s">
        <v>165</v>
      </c>
      <c r="M41" s="4" t="s">
        <v>452</v>
      </c>
      <c r="N41" s="4" t="s">
        <v>158</v>
      </c>
      <c r="O41" s="4" t="s">
        <v>122</v>
      </c>
      <c r="P41" s="4"/>
    </row>
    <row r="42" spans="1:16" ht="15">
      <c r="A42" s="4" t="s">
        <v>453</v>
      </c>
      <c r="B42" s="30">
        <v>40069</v>
      </c>
      <c r="C42" s="4"/>
      <c r="D42" s="4" t="s">
        <v>193</v>
      </c>
      <c r="E42" s="4" t="s">
        <v>170</v>
      </c>
      <c r="F42" s="4" t="s">
        <v>155</v>
      </c>
      <c r="G42" s="4">
        <v>5</v>
      </c>
      <c r="H42" s="4">
        <v>5</v>
      </c>
      <c r="I42" s="4" t="s">
        <v>140</v>
      </c>
      <c r="J42" s="4" t="s">
        <v>187</v>
      </c>
      <c r="K42" s="4" t="s">
        <v>150</v>
      </c>
      <c r="L42" s="4" t="s">
        <v>4176</v>
      </c>
      <c r="M42" s="4" t="s">
        <v>174</v>
      </c>
      <c r="N42" s="4" t="s">
        <v>160</v>
      </c>
      <c r="O42" s="4" t="s">
        <v>454</v>
      </c>
      <c r="P42" s="4" t="s">
        <v>455</v>
      </c>
    </row>
    <row r="43" spans="1:16" ht="15">
      <c r="A43" s="4" t="s">
        <v>456</v>
      </c>
      <c r="B43" s="30">
        <v>39924</v>
      </c>
      <c r="C43" s="4"/>
      <c r="D43" s="4" t="s">
        <v>4182</v>
      </c>
      <c r="E43" s="4" t="s">
        <v>170</v>
      </c>
      <c r="F43" s="4" t="s">
        <v>155</v>
      </c>
      <c r="G43" s="4"/>
      <c r="H43" s="4"/>
      <c r="I43" s="4" t="s">
        <v>139</v>
      </c>
      <c r="J43" s="4" t="s">
        <v>179</v>
      </c>
      <c r="K43" s="4" t="s">
        <v>147</v>
      </c>
      <c r="L43" s="4" t="s">
        <v>4181</v>
      </c>
      <c r="M43" s="4" t="s">
        <v>173</v>
      </c>
      <c r="N43" s="4" t="s">
        <v>161</v>
      </c>
      <c r="O43" s="4" t="s">
        <v>457</v>
      </c>
      <c r="P43" s="4"/>
    </row>
    <row r="44" spans="1:16" ht="15">
      <c r="A44" s="4" t="s">
        <v>458</v>
      </c>
      <c r="B44" s="30">
        <v>39930</v>
      </c>
      <c r="C44" s="4"/>
      <c r="D44" s="4" t="s">
        <v>4178</v>
      </c>
      <c r="E44" s="4" t="s">
        <v>170</v>
      </c>
      <c r="F44" s="4" t="s">
        <v>155</v>
      </c>
      <c r="G44" s="4"/>
      <c r="H44" s="4"/>
      <c r="I44" s="4" t="s">
        <v>139</v>
      </c>
      <c r="J44" s="4" t="s">
        <v>182</v>
      </c>
      <c r="K44" s="4" t="s">
        <v>142</v>
      </c>
      <c r="L44" s="4" t="s">
        <v>162</v>
      </c>
      <c r="M44" s="4" t="s">
        <v>459</v>
      </c>
      <c r="N44" s="4" t="s">
        <v>155</v>
      </c>
      <c r="O44" s="4" t="s">
        <v>130</v>
      </c>
      <c r="P44" s="4"/>
    </row>
    <row r="45" spans="1:16" ht="15">
      <c r="A45" s="4" t="s">
        <v>460</v>
      </c>
      <c r="B45" s="30">
        <v>39945</v>
      </c>
      <c r="C45" s="4"/>
      <c r="D45" s="4" t="s">
        <v>195</v>
      </c>
      <c r="E45" s="4" t="s">
        <v>170</v>
      </c>
      <c r="F45" s="4" t="s">
        <v>155</v>
      </c>
      <c r="G45" s="4"/>
      <c r="H45" s="4"/>
      <c r="I45" s="4" t="s">
        <v>139</v>
      </c>
      <c r="J45" s="4" t="s">
        <v>186</v>
      </c>
      <c r="K45" s="4" t="s">
        <v>143</v>
      </c>
      <c r="L45" s="4" t="s">
        <v>4176</v>
      </c>
      <c r="M45" s="4" t="s">
        <v>461</v>
      </c>
      <c r="N45" s="4" t="s">
        <v>156</v>
      </c>
      <c r="O45" s="4" t="s">
        <v>120</v>
      </c>
      <c r="P45" s="4" t="s">
        <v>462</v>
      </c>
    </row>
    <row r="46" spans="1:16" ht="15">
      <c r="A46" s="4" t="s">
        <v>463</v>
      </c>
      <c r="B46" s="30">
        <v>39982</v>
      </c>
      <c r="C46" s="4" t="s">
        <v>9</v>
      </c>
      <c r="D46" s="4" t="s">
        <v>193</v>
      </c>
      <c r="E46" s="4" t="s">
        <v>170</v>
      </c>
      <c r="F46" s="4" t="s">
        <v>155</v>
      </c>
      <c r="G46" s="4"/>
      <c r="H46" s="4"/>
      <c r="I46" s="4" t="s">
        <v>140</v>
      </c>
      <c r="J46" s="4" t="s">
        <v>186</v>
      </c>
      <c r="K46" s="4" t="s">
        <v>150</v>
      </c>
      <c r="L46" s="4" t="s">
        <v>4181</v>
      </c>
      <c r="M46" s="4" t="s">
        <v>464</v>
      </c>
      <c r="N46" s="4" t="s">
        <v>161</v>
      </c>
      <c r="O46" s="4" t="s">
        <v>465</v>
      </c>
      <c r="P46" s="4"/>
    </row>
    <row r="47" spans="1:16" ht="15">
      <c r="A47" s="4" t="s">
        <v>466</v>
      </c>
      <c r="B47" s="30">
        <v>39982</v>
      </c>
      <c r="C47" s="4" t="s">
        <v>9</v>
      </c>
      <c r="D47" s="4" t="s">
        <v>193</v>
      </c>
      <c r="E47" s="4" t="s">
        <v>170</v>
      </c>
      <c r="F47" s="4" t="s">
        <v>155</v>
      </c>
      <c r="G47" s="4"/>
      <c r="H47" s="4"/>
      <c r="I47" s="4" t="s">
        <v>140</v>
      </c>
      <c r="J47" s="4" t="s">
        <v>179</v>
      </c>
      <c r="K47" s="4" t="s">
        <v>143</v>
      </c>
      <c r="L47" s="4" t="s">
        <v>4181</v>
      </c>
      <c r="M47" s="4"/>
      <c r="N47" s="4" t="s">
        <v>155</v>
      </c>
      <c r="O47" s="4" t="s">
        <v>467</v>
      </c>
      <c r="P47" s="4"/>
    </row>
    <row r="48" spans="1:16" ht="15">
      <c r="A48" s="4" t="s">
        <v>468</v>
      </c>
      <c r="B48" s="30">
        <v>39927</v>
      </c>
      <c r="C48" s="4"/>
      <c r="D48" s="4" t="s">
        <v>4177</v>
      </c>
      <c r="E48" s="4" t="s">
        <v>170</v>
      </c>
      <c r="F48" s="4" t="s">
        <v>155</v>
      </c>
      <c r="G48" s="4"/>
      <c r="H48" s="4"/>
      <c r="I48" s="4" t="s">
        <v>139</v>
      </c>
      <c r="J48" s="4" t="s">
        <v>179</v>
      </c>
      <c r="K48" s="4" t="s">
        <v>147</v>
      </c>
      <c r="L48" s="4" t="s">
        <v>162</v>
      </c>
      <c r="M48" s="4" t="s">
        <v>459</v>
      </c>
      <c r="N48" s="4" t="s">
        <v>155</v>
      </c>
      <c r="O48" s="4" t="s">
        <v>130</v>
      </c>
      <c r="P48" s="4"/>
    </row>
    <row r="49" spans="1:16" ht="15">
      <c r="A49" s="4" t="s">
        <v>469</v>
      </c>
      <c r="B49" s="30">
        <v>39973</v>
      </c>
      <c r="C49" s="4" t="s">
        <v>9</v>
      </c>
      <c r="D49" s="4" t="s">
        <v>193</v>
      </c>
      <c r="E49" s="4" t="s">
        <v>170</v>
      </c>
      <c r="F49" s="4" t="s">
        <v>155</v>
      </c>
      <c r="G49" s="4"/>
      <c r="H49" s="4"/>
      <c r="I49" s="4" t="s">
        <v>140</v>
      </c>
      <c r="J49" s="4" t="s">
        <v>188</v>
      </c>
      <c r="K49" s="4" t="s">
        <v>144</v>
      </c>
      <c r="L49" s="4" t="s">
        <v>4176</v>
      </c>
      <c r="M49" s="4" t="s">
        <v>174</v>
      </c>
      <c r="N49" s="4" t="s">
        <v>156</v>
      </c>
      <c r="O49" s="4" t="s">
        <v>120</v>
      </c>
      <c r="P49" s="4" t="s">
        <v>470</v>
      </c>
    </row>
    <row r="50" spans="1:16" ht="15">
      <c r="A50" s="4" t="s">
        <v>471</v>
      </c>
      <c r="B50" s="30">
        <v>39949</v>
      </c>
      <c r="C50" s="4"/>
      <c r="D50" s="4" t="s">
        <v>193</v>
      </c>
      <c r="E50" s="4" t="s">
        <v>170</v>
      </c>
      <c r="F50" s="4" t="s">
        <v>155</v>
      </c>
      <c r="G50" s="4"/>
      <c r="H50" s="4"/>
      <c r="I50" s="4" t="s">
        <v>140</v>
      </c>
      <c r="J50" s="4" t="s">
        <v>188</v>
      </c>
      <c r="K50" s="4" t="s">
        <v>143</v>
      </c>
      <c r="L50" s="4" t="s">
        <v>4176</v>
      </c>
      <c r="M50" s="4" t="s">
        <v>174</v>
      </c>
      <c r="N50" s="4" t="s">
        <v>156</v>
      </c>
      <c r="O50" s="4" t="s">
        <v>120</v>
      </c>
      <c r="P50" s="4" t="s">
        <v>472</v>
      </c>
    </row>
    <row r="51" spans="1:16" ht="15">
      <c r="A51" s="4" t="s">
        <v>473</v>
      </c>
      <c r="B51" s="30">
        <v>40017</v>
      </c>
      <c r="C51" s="4"/>
      <c r="D51" s="4" t="s">
        <v>195</v>
      </c>
      <c r="E51" s="4" t="s">
        <v>170</v>
      </c>
      <c r="F51" s="4" t="s">
        <v>155</v>
      </c>
      <c r="G51" s="4">
        <v>3</v>
      </c>
      <c r="H51" s="4">
        <v>3</v>
      </c>
      <c r="I51" s="4" t="s">
        <v>139</v>
      </c>
      <c r="J51" s="4" t="s">
        <v>384</v>
      </c>
      <c r="K51" s="4" t="s">
        <v>146</v>
      </c>
      <c r="L51" s="4" t="s">
        <v>162</v>
      </c>
      <c r="M51" s="4" t="s">
        <v>175</v>
      </c>
      <c r="N51" s="4" t="s">
        <v>155</v>
      </c>
      <c r="O51" s="4" t="s">
        <v>130</v>
      </c>
      <c r="P51" s="4"/>
    </row>
    <row r="52" spans="1:16" ht="15">
      <c r="A52" s="4" t="s">
        <v>474</v>
      </c>
      <c r="B52" s="30">
        <v>39943</v>
      </c>
      <c r="C52" s="4"/>
      <c r="D52" s="4" t="s">
        <v>193</v>
      </c>
      <c r="E52" s="4" t="s">
        <v>170</v>
      </c>
      <c r="F52" s="4" t="s">
        <v>155</v>
      </c>
      <c r="G52" s="4"/>
      <c r="H52" s="4"/>
      <c r="I52" s="4" t="s">
        <v>140</v>
      </c>
      <c r="J52" s="4" t="s">
        <v>178</v>
      </c>
      <c r="K52" s="4" t="s">
        <v>148</v>
      </c>
      <c r="L52" s="4" t="s">
        <v>4181</v>
      </c>
      <c r="M52" s="4" t="s">
        <v>415</v>
      </c>
      <c r="N52" s="4" t="s">
        <v>155</v>
      </c>
      <c r="O52" s="4" t="s">
        <v>125</v>
      </c>
      <c r="P52" s="4"/>
    </row>
    <row r="53" spans="1:16" ht="15">
      <c r="A53" s="4" t="s">
        <v>475</v>
      </c>
      <c r="B53" s="30">
        <v>39944</v>
      </c>
      <c r="C53" s="4"/>
      <c r="D53" s="4" t="s">
        <v>194</v>
      </c>
      <c r="E53" s="4" t="s">
        <v>170</v>
      </c>
      <c r="F53" s="4" t="s">
        <v>155</v>
      </c>
      <c r="G53" s="4"/>
      <c r="H53" s="4"/>
      <c r="I53" s="4" t="s">
        <v>139</v>
      </c>
      <c r="J53" s="4" t="s">
        <v>186</v>
      </c>
      <c r="K53" s="4" t="s">
        <v>145</v>
      </c>
      <c r="L53" s="4" t="s">
        <v>162</v>
      </c>
      <c r="M53" s="4" t="s">
        <v>176</v>
      </c>
      <c r="N53" s="4" t="s">
        <v>155</v>
      </c>
      <c r="O53" s="4" t="s">
        <v>130</v>
      </c>
      <c r="P53" s="4"/>
    </row>
    <row r="54" spans="1:16" ht="15">
      <c r="A54" s="4" t="s">
        <v>476</v>
      </c>
      <c r="B54" s="30">
        <v>40042</v>
      </c>
      <c r="C54" s="4"/>
      <c r="D54" s="4" t="s">
        <v>196</v>
      </c>
      <c r="E54" s="4" t="s">
        <v>170</v>
      </c>
      <c r="F54" s="4" t="s">
        <v>155</v>
      </c>
      <c r="G54" s="4">
        <v>1</v>
      </c>
      <c r="H54" s="4">
        <v>3</v>
      </c>
      <c r="I54" s="4" t="s">
        <v>139</v>
      </c>
      <c r="J54" s="4" t="s">
        <v>376</v>
      </c>
      <c r="K54" s="4" t="s">
        <v>144</v>
      </c>
      <c r="L54" s="4" t="s">
        <v>162</v>
      </c>
      <c r="M54" s="4" t="s">
        <v>477</v>
      </c>
      <c r="N54" s="4" t="s">
        <v>155</v>
      </c>
      <c r="O54" s="4" t="s">
        <v>129</v>
      </c>
      <c r="P54" s="4"/>
    </row>
    <row r="55" spans="1:16" ht="15">
      <c r="A55" s="4" t="s">
        <v>478</v>
      </c>
      <c r="B55" s="30">
        <v>39987</v>
      </c>
      <c r="C55" s="4"/>
      <c r="D55" s="4" t="s">
        <v>193</v>
      </c>
      <c r="E55" s="4" t="s">
        <v>170</v>
      </c>
      <c r="F55" s="4" t="s">
        <v>155</v>
      </c>
      <c r="G55" s="4"/>
      <c r="H55" s="4"/>
      <c r="I55" s="4" t="s">
        <v>140</v>
      </c>
      <c r="J55" s="4" t="s">
        <v>479</v>
      </c>
      <c r="K55" s="4" t="s">
        <v>143</v>
      </c>
      <c r="L55" s="4" t="s">
        <v>162</v>
      </c>
      <c r="M55" s="4" t="s">
        <v>175</v>
      </c>
      <c r="N55" s="4" t="s">
        <v>161</v>
      </c>
      <c r="O55" s="4" t="s">
        <v>387</v>
      </c>
      <c r="P55" s="4"/>
    </row>
    <row r="56" spans="1:16" ht="15">
      <c r="A56" s="4" t="s">
        <v>480</v>
      </c>
      <c r="B56" s="30">
        <v>39980</v>
      </c>
      <c r="C56" s="4"/>
      <c r="D56" s="4" t="s">
        <v>193</v>
      </c>
      <c r="E56" s="4" t="s">
        <v>170</v>
      </c>
      <c r="F56" s="4" t="s">
        <v>155</v>
      </c>
      <c r="G56" s="4"/>
      <c r="H56" s="4"/>
      <c r="I56" s="4" t="s">
        <v>140</v>
      </c>
      <c r="J56" s="4" t="s">
        <v>181</v>
      </c>
      <c r="K56" s="4" t="s">
        <v>142</v>
      </c>
      <c r="L56" s="4" t="s">
        <v>162</v>
      </c>
      <c r="M56" s="4" t="s">
        <v>175</v>
      </c>
      <c r="N56" s="4" t="s">
        <v>155</v>
      </c>
      <c r="O56" s="4" t="s">
        <v>129</v>
      </c>
      <c r="P56" s="4"/>
    </row>
    <row r="57" spans="1:16" ht="15">
      <c r="A57" s="4" t="s">
        <v>481</v>
      </c>
      <c r="B57" s="30">
        <v>39948</v>
      </c>
      <c r="C57" s="4" t="s">
        <v>380</v>
      </c>
      <c r="D57" s="4" t="s">
        <v>194</v>
      </c>
      <c r="E57" s="4" t="s">
        <v>170</v>
      </c>
      <c r="F57" s="4" t="s">
        <v>155</v>
      </c>
      <c r="G57" s="4"/>
      <c r="H57" s="4"/>
      <c r="I57" s="4" t="s">
        <v>139</v>
      </c>
      <c r="J57" s="4" t="s">
        <v>186</v>
      </c>
      <c r="K57" s="4" t="s">
        <v>143</v>
      </c>
      <c r="L57" s="4" t="s">
        <v>4181</v>
      </c>
      <c r="M57" s="4" t="s">
        <v>482</v>
      </c>
      <c r="N57" s="4" t="s">
        <v>155</v>
      </c>
      <c r="O57" s="4" t="s">
        <v>454</v>
      </c>
      <c r="P57" s="4"/>
    </row>
    <row r="58" spans="1:16" ht="15">
      <c r="A58" s="4" t="s">
        <v>483</v>
      </c>
      <c r="B58" s="30">
        <v>40059</v>
      </c>
      <c r="C58" s="4" t="s">
        <v>383</v>
      </c>
      <c r="D58" s="4" t="s">
        <v>193</v>
      </c>
      <c r="E58" s="4" t="s">
        <v>170</v>
      </c>
      <c r="F58" s="4" t="s">
        <v>155</v>
      </c>
      <c r="G58" s="4">
        <v>5</v>
      </c>
      <c r="H58" s="4">
        <v>3</v>
      </c>
      <c r="I58" s="4" t="s">
        <v>140</v>
      </c>
      <c r="J58" s="4" t="s">
        <v>182</v>
      </c>
      <c r="K58" s="4" t="s">
        <v>146</v>
      </c>
      <c r="L58" s="4" t="s">
        <v>4181</v>
      </c>
      <c r="M58" s="4" t="s">
        <v>173</v>
      </c>
      <c r="N58" s="4" t="s">
        <v>155</v>
      </c>
      <c r="O58" s="4" t="s">
        <v>484</v>
      </c>
      <c r="P58" s="4"/>
    </row>
    <row r="59" spans="1:16" ht="15">
      <c r="A59" s="4" t="s">
        <v>485</v>
      </c>
      <c r="B59" s="30">
        <v>39964</v>
      </c>
      <c r="C59" s="4" t="s">
        <v>486</v>
      </c>
      <c r="D59" s="4" t="s">
        <v>193</v>
      </c>
      <c r="E59" s="4" t="s">
        <v>170</v>
      </c>
      <c r="F59" s="4" t="s">
        <v>155</v>
      </c>
      <c r="G59" s="4"/>
      <c r="H59" s="4"/>
      <c r="I59" s="4" t="s">
        <v>140</v>
      </c>
      <c r="J59" s="4" t="s">
        <v>183</v>
      </c>
      <c r="K59" s="4" t="s">
        <v>143</v>
      </c>
      <c r="L59" s="4" t="s">
        <v>4181</v>
      </c>
      <c r="M59" s="4" t="s">
        <v>173</v>
      </c>
      <c r="N59" s="4" t="s">
        <v>155</v>
      </c>
      <c r="O59" s="4" t="s">
        <v>124</v>
      </c>
      <c r="P59" s="4"/>
    </row>
    <row r="60" spans="1:16" ht="15">
      <c r="A60" s="4" t="s">
        <v>487</v>
      </c>
      <c r="B60" s="30">
        <v>39938</v>
      </c>
      <c r="C60" s="4"/>
      <c r="D60" s="4" t="s">
        <v>4180</v>
      </c>
      <c r="E60" s="4" t="s">
        <v>170</v>
      </c>
      <c r="F60" s="4" t="s">
        <v>155</v>
      </c>
      <c r="G60" s="4"/>
      <c r="H60" s="4"/>
      <c r="I60" s="4" t="s">
        <v>139</v>
      </c>
      <c r="J60" s="4" t="s">
        <v>186</v>
      </c>
      <c r="K60" s="4" t="s">
        <v>143</v>
      </c>
      <c r="L60" s="4" t="s">
        <v>4176</v>
      </c>
      <c r="M60" s="4" t="s">
        <v>174</v>
      </c>
      <c r="N60" s="4" t="s">
        <v>156</v>
      </c>
      <c r="O60" s="4" t="s">
        <v>120</v>
      </c>
      <c r="P60" s="4" t="s">
        <v>488</v>
      </c>
    </row>
    <row r="61" spans="1:16" ht="15">
      <c r="A61" s="4" t="s">
        <v>489</v>
      </c>
      <c r="B61" s="30">
        <v>40081</v>
      </c>
      <c r="C61" s="4"/>
      <c r="D61" s="4" t="s">
        <v>193</v>
      </c>
      <c r="E61" s="4" t="s">
        <v>170</v>
      </c>
      <c r="F61" s="4" t="s">
        <v>155</v>
      </c>
      <c r="G61" s="4">
        <v>5</v>
      </c>
      <c r="H61" s="4">
        <v>5</v>
      </c>
      <c r="I61" s="4" t="s">
        <v>140</v>
      </c>
      <c r="J61" s="4" t="s">
        <v>182</v>
      </c>
      <c r="K61" s="4" t="s">
        <v>144</v>
      </c>
      <c r="L61" s="4" t="s">
        <v>4181</v>
      </c>
      <c r="M61" s="4" t="s">
        <v>173</v>
      </c>
      <c r="N61" s="4" t="s">
        <v>155</v>
      </c>
      <c r="O61" s="4" t="s">
        <v>406</v>
      </c>
      <c r="P61" s="4"/>
    </row>
    <row r="62" spans="1:16" ht="15">
      <c r="A62" s="4" t="s">
        <v>490</v>
      </c>
      <c r="B62" s="30">
        <v>40077</v>
      </c>
      <c r="C62" s="4"/>
      <c r="D62" s="4" t="s">
        <v>196</v>
      </c>
      <c r="E62" s="4" t="s">
        <v>170</v>
      </c>
      <c r="F62" s="4" t="s">
        <v>155</v>
      </c>
      <c r="G62" s="4">
        <v>5</v>
      </c>
      <c r="H62" s="4">
        <v>3</v>
      </c>
      <c r="I62" s="4" t="s">
        <v>139</v>
      </c>
      <c r="J62" s="4" t="s">
        <v>181</v>
      </c>
      <c r="K62" s="4" t="s">
        <v>146</v>
      </c>
      <c r="L62" s="4" t="s">
        <v>4176</v>
      </c>
      <c r="M62" s="4" t="s">
        <v>174</v>
      </c>
      <c r="N62" s="4" t="s">
        <v>159</v>
      </c>
      <c r="O62" s="4" t="s">
        <v>123</v>
      </c>
      <c r="P62" s="4" t="s">
        <v>123</v>
      </c>
    </row>
    <row r="63" spans="1:16" ht="15">
      <c r="A63" s="4" t="s">
        <v>491</v>
      </c>
      <c r="B63" s="30">
        <v>39919</v>
      </c>
      <c r="C63" s="4" t="s">
        <v>9</v>
      </c>
      <c r="D63" s="4" t="s">
        <v>4178</v>
      </c>
      <c r="E63" s="4" t="s">
        <v>170</v>
      </c>
      <c r="F63" s="4" t="s">
        <v>155</v>
      </c>
      <c r="G63" s="4"/>
      <c r="H63" s="4"/>
      <c r="I63" s="4" t="s">
        <v>139</v>
      </c>
      <c r="J63" s="4" t="s">
        <v>178</v>
      </c>
      <c r="K63" s="4" t="s">
        <v>143</v>
      </c>
      <c r="L63" s="4" t="s">
        <v>4176</v>
      </c>
      <c r="M63" s="4" t="s">
        <v>174</v>
      </c>
      <c r="N63" s="4" t="s">
        <v>156</v>
      </c>
      <c r="O63" s="4" t="s">
        <v>120</v>
      </c>
      <c r="P63" s="4" t="s">
        <v>492</v>
      </c>
    </row>
    <row r="64" spans="1:16" ht="15">
      <c r="A64" s="4" t="s">
        <v>493</v>
      </c>
      <c r="B64" s="30">
        <v>39954</v>
      </c>
      <c r="C64" s="4"/>
      <c r="D64" s="4" t="s">
        <v>194</v>
      </c>
      <c r="E64" s="4" t="s">
        <v>170</v>
      </c>
      <c r="F64" s="4" t="s">
        <v>155</v>
      </c>
      <c r="G64" s="4"/>
      <c r="H64" s="4"/>
      <c r="I64" s="4" t="s">
        <v>139</v>
      </c>
      <c r="J64" s="4" t="s">
        <v>178</v>
      </c>
      <c r="K64" s="4" t="s">
        <v>142</v>
      </c>
      <c r="L64" s="4" t="s">
        <v>4181</v>
      </c>
      <c r="M64" s="4" t="s">
        <v>173</v>
      </c>
      <c r="N64" s="4" t="s">
        <v>155</v>
      </c>
      <c r="O64" s="4" t="s">
        <v>406</v>
      </c>
      <c r="P64" s="4"/>
    </row>
    <row r="65" spans="1:16" ht="15">
      <c r="A65" s="4" t="s">
        <v>494</v>
      </c>
      <c r="B65" s="30">
        <v>39953</v>
      </c>
      <c r="C65" s="4"/>
      <c r="D65" s="4" t="s">
        <v>195</v>
      </c>
      <c r="E65" s="4" t="s">
        <v>170</v>
      </c>
      <c r="F65" s="4" t="s">
        <v>155</v>
      </c>
      <c r="G65" s="4"/>
      <c r="H65" s="4"/>
      <c r="I65" s="4" t="s">
        <v>139</v>
      </c>
      <c r="J65" s="4" t="s">
        <v>186</v>
      </c>
      <c r="K65" s="4" t="s">
        <v>143</v>
      </c>
      <c r="L65" s="4" t="s">
        <v>4176</v>
      </c>
      <c r="M65" s="4" t="s">
        <v>174</v>
      </c>
      <c r="N65" s="4" t="s">
        <v>157</v>
      </c>
      <c r="O65" s="4" t="s">
        <v>130</v>
      </c>
      <c r="P65" s="4" t="s">
        <v>437</v>
      </c>
    </row>
    <row r="66" spans="1:16" ht="15">
      <c r="A66" s="4" t="s">
        <v>495</v>
      </c>
      <c r="B66" s="30">
        <v>40028</v>
      </c>
      <c r="C66" s="4" t="s">
        <v>496</v>
      </c>
      <c r="D66" s="4" t="s">
        <v>195</v>
      </c>
      <c r="E66" s="4" t="s">
        <v>170</v>
      </c>
      <c r="F66" s="4" t="s">
        <v>155</v>
      </c>
      <c r="G66" s="4">
        <v>5</v>
      </c>
      <c r="H66" s="4">
        <v>3</v>
      </c>
      <c r="I66" s="4" t="s">
        <v>139</v>
      </c>
      <c r="J66" s="4" t="s">
        <v>183</v>
      </c>
      <c r="K66" s="4" t="s">
        <v>143</v>
      </c>
      <c r="L66" s="4" t="s">
        <v>162</v>
      </c>
      <c r="M66" s="4" t="s">
        <v>175</v>
      </c>
      <c r="N66" s="4" t="s">
        <v>155</v>
      </c>
      <c r="O66" s="4" t="s">
        <v>129</v>
      </c>
      <c r="P66" s="4"/>
    </row>
    <row r="67" spans="1:16" ht="15">
      <c r="A67" s="4" t="s">
        <v>497</v>
      </c>
      <c r="B67" s="30">
        <v>39933</v>
      </c>
      <c r="C67" s="4"/>
      <c r="D67" s="4" t="s">
        <v>4179</v>
      </c>
      <c r="E67" s="4" t="s">
        <v>170</v>
      </c>
      <c r="F67" s="4" t="s">
        <v>155</v>
      </c>
      <c r="G67" s="4"/>
      <c r="H67" s="4"/>
      <c r="I67" s="4" t="s">
        <v>139</v>
      </c>
      <c r="J67" s="4" t="s">
        <v>191</v>
      </c>
      <c r="K67" s="4" t="s">
        <v>151</v>
      </c>
      <c r="L67" s="4" t="s">
        <v>162</v>
      </c>
      <c r="M67" s="4" t="s">
        <v>498</v>
      </c>
      <c r="N67" s="4" t="s">
        <v>155</v>
      </c>
      <c r="O67" s="4" t="s">
        <v>129</v>
      </c>
      <c r="P67" s="4"/>
    </row>
    <row r="68" spans="1:16" ht="15">
      <c r="A68" s="4" t="s">
        <v>499</v>
      </c>
      <c r="B68" s="30">
        <v>39919</v>
      </c>
      <c r="C68" s="4"/>
      <c r="D68" s="4" t="s">
        <v>4184</v>
      </c>
      <c r="E68" s="4" t="s">
        <v>170</v>
      </c>
      <c r="F68" s="4" t="s">
        <v>155</v>
      </c>
      <c r="G68" s="4"/>
      <c r="H68" s="4"/>
      <c r="I68" s="4" t="s">
        <v>140</v>
      </c>
      <c r="J68" s="4" t="s">
        <v>183</v>
      </c>
      <c r="K68" s="4" t="s">
        <v>147</v>
      </c>
      <c r="L68" s="4" t="s">
        <v>4181</v>
      </c>
      <c r="M68" s="4" t="s">
        <v>500</v>
      </c>
      <c r="N68" s="4" t="s">
        <v>155</v>
      </c>
      <c r="O68" s="4" t="s">
        <v>501</v>
      </c>
      <c r="P68" s="4"/>
    </row>
    <row r="69" spans="1:16" ht="15">
      <c r="A69" s="4" t="s">
        <v>502</v>
      </c>
      <c r="B69" s="30">
        <v>39923</v>
      </c>
      <c r="C69" s="4"/>
      <c r="D69" s="4" t="s">
        <v>4180</v>
      </c>
      <c r="E69" s="4" t="s">
        <v>170</v>
      </c>
      <c r="F69" s="4" t="s">
        <v>155</v>
      </c>
      <c r="G69" s="4"/>
      <c r="H69" s="4"/>
      <c r="I69" s="4" t="s">
        <v>139</v>
      </c>
      <c r="J69" s="4" t="s">
        <v>183</v>
      </c>
      <c r="K69" s="4" t="s">
        <v>142</v>
      </c>
      <c r="L69" s="4" t="s">
        <v>165</v>
      </c>
      <c r="M69" s="4" t="s">
        <v>503</v>
      </c>
      <c r="N69" s="4" t="s">
        <v>158</v>
      </c>
      <c r="O69" s="4" t="s">
        <v>122</v>
      </c>
      <c r="P69" s="4"/>
    </row>
    <row r="70" spans="1:16" ht="15">
      <c r="A70" s="4" t="s">
        <v>504</v>
      </c>
      <c r="B70" s="30">
        <v>40039</v>
      </c>
      <c r="C70" s="4" t="s">
        <v>9</v>
      </c>
      <c r="D70" s="4" t="s">
        <v>197</v>
      </c>
      <c r="E70" s="4" t="s">
        <v>170</v>
      </c>
      <c r="F70" s="4" t="s">
        <v>155</v>
      </c>
      <c r="G70" s="4">
        <v>5</v>
      </c>
      <c r="H70" s="4">
        <v>3</v>
      </c>
      <c r="I70" s="4" t="s">
        <v>139</v>
      </c>
      <c r="J70" s="4" t="s">
        <v>180</v>
      </c>
      <c r="K70" s="4" t="s">
        <v>146</v>
      </c>
      <c r="L70" s="4" t="s">
        <v>4176</v>
      </c>
      <c r="M70" s="4" t="s">
        <v>174</v>
      </c>
      <c r="N70" s="4" t="s">
        <v>156</v>
      </c>
      <c r="O70" s="4" t="s">
        <v>120</v>
      </c>
      <c r="P70" s="4" t="s">
        <v>425</v>
      </c>
    </row>
    <row r="71" spans="1:16" ht="15">
      <c r="A71" s="4" t="s">
        <v>505</v>
      </c>
      <c r="B71" s="30">
        <v>40070</v>
      </c>
      <c r="C71" s="4"/>
      <c r="D71" s="4" t="s">
        <v>193</v>
      </c>
      <c r="E71" s="4" t="s">
        <v>170</v>
      </c>
      <c r="F71" s="4" t="s">
        <v>155</v>
      </c>
      <c r="G71" s="4">
        <v>5</v>
      </c>
      <c r="H71" s="4">
        <v>5</v>
      </c>
      <c r="I71" s="4" t="s">
        <v>140</v>
      </c>
      <c r="J71" s="4" t="s">
        <v>183</v>
      </c>
      <c r="K71" s="4" t="s">
        <v>142</v>
      </c>
      <c r="L71" s="4" t="s">
        <v>4176</v>
      </c>
      <c r="M71" s="4" t="s">
        <v>506</v>
      </c>
      <c r="N71" s="4" t="s">
        <v>159</v>
      </c>
      <c r="O71" s="4" t="s">
        <v>123</v>
      </c>
      <c r="P71" s="4" t="s">
        <v>123</v>
      </c>
    </row>
    <row r="72" spans="1:16" ht="15">
      <c r="A72" s="4" t="s">
        <v>507</v>
      </c>
      <c r="B72" s="30">
        <v>39926</v>
      </c>
      <c r="C72" s="4"/>
      <c r="D72" s="4" t="s">
        <v>4177</v>
      </c>
      <c r="E72" s="4" t="s">
        <v>170</v>
      </c>
      <c r="F72" s="4" t="s">
        <v>155</v>
      </c>
      <c r="G72" s="4"/>
      <c r="H72" s="4"/>
      <c r="I72" s="4" t="s">
        <v>139</v>
      </c>
      <c r="J72" s="4" t="s">
        <v>179</v>
      </c>
      <c r="K72" s="4" t="s">
        <v>147</v>
      </c>
      <c r="L72" s="4" t="s">
        <v>4181</v>
      </c>
      <c r="M72" s="4" t="s">
        <v>173</v>
      </c>
      <c r="N72" s="4" t="s">
        <v>155</v>
      </c>
      <c r="O72" s="4" t="s">
        <v>127</v>
      </c>
      <c r="P72" s="4"/>
    </row>
    <row r="73" spans="1:16" ht="15">
      <c r="A73" s="4" t="s">
        <v>508</v>
      </c>
      <c r="B73" s="30">
        <v>40041</v>
      </c>
      <c r="C73" s="4"/>
      <c r="D73" s="4" t="s">
        <v>193</v>
      </c>
      <c r="E73" s="4" t="s">
        <v>170</v>
      </c>
      <c r="F73" s="4" t="s">
        <v>155</v>
      </c>
      <c r="G73" s="4">
        <v>3</v>
      </c>
      <c r="H73" s="4">
        <v>4</v>
      </c>
      <c r="I73" s="4" t="s">
        <v>140</v>
      </c>
      <c r="J73" s="4" t="s">
        <v>509</v>
      </c>
      <c r="K73" s="4" t="s">
        <v>145</v>
      </c>
      <c r="L73" s="4" t="s">
        <v>4181</v>
      </c>
      <c r="M73" s="4"/>
      <c r="N73" s="4" t="s">
        <v>155</v>
      </c>
      <c r="O73" s="4" t="s">
        <v>510</v>
      </c>
      <c r="P73" s="4"/>
    </row>
    <row r="74" spans="1:16" ht="15">
      <c r="A74" s="4" t="s">
        <v>511</v>
      </c>
      <c r="B74" s="30">
        <v>40075</v>
      </c>
      <c r="C74" s="4"/>
      <c r="D74" s="4" t="s">
        <v>193</v>
      </c>
      <c r="E74" s="4" t="s">
        <v>170</v>
      </c>
      <c r="F74" s="4" t="s">
        <v>155</v>
      </c>
      <c r="G74" s="4">
        <v>5</v>
      </c>
      <c r="H74" s="4">
        <v>3</v>
      </c>
      <c r="I74" s="4" t="s">
        <v>140</v>
      </c>
      <c r="J74" s="4" t="s">
        <v>433</v>
      </c>
      <c r="K74" s="4" t="s">
        <v>151</v>
      </c>
      <c r="L74" s="4" t="s">
        <v>162</v>
      </c>
      <c r="M74" s="4" t="s">
        <v>176</v>
      </c>
      <c r="N74" s="4" t="s">
        <v>155</v>
      </c>
      <c r="O74" s="4" t="s">
        <v>454</v>
      </c>
      <c r="P74" s="4"/>
    </row>
    <row r="75" spans="1:16" ht="15">
      <c r="A75" s="4" t="s">
        <v>512</v>
      </c>
      <c r="B75" s="30">
        <v>39975</v>
      </c>
      <c r="C75" s="4"/>
      <c r="D75" s="4" t="s">
        <v>193</v>
      </c>
      <c r="E75" s="4" t="s">
        <v>170</v>
      </c>
      <c r="F75" s="4" t="s">
        <v>155</v>
      </c>
      <c r="G75" s="4"/>
      <c r="H75" s="4"/>
      <c r="I75" s="4" t="s">
        <v>140</v>
      </c>
      <c r="J75" s="4" t="s">
        <v>178</v>
      </c>
      <c r="K75" s="4" t="s">
        <v>143</v>
      </c>
      <c r="L75" s="4" t="s">
        <v>4181</v>
      </c>
      <c r="M75" s="4" t="s">
        <v>173</v>
      </c>
      <c r="N75" s="4" t="s">
        <v>155</v>
      </c>
      <c r="O75" s="4" t="s">
        <v>125</v>
      </c>
      <c r="P75" s="4"/>
    </row>
    <row r="76" spans="1:16" ht="15">
      <c r="A76" s="4" t="s">
        <v>513</v>
      </c>
      <c r="B76" s="30">
        <v>39912</v>
      </c>
      <c r="C76" s="4"/>
      <c r="D76" s="4" t="s">
        <v>4177</v>
      </c>
      <c r="E76" s="4" t="s">
        <v>170</v>
      </c>
      <c r="F76" s="4" t="s">
        <v>155</v>
      </c>
      <c r="G76" s="4"/>
      <c r="H76" s="4"/>
      <c r="I76" s="4" t="s">
        <v>139</v>
      </c>
      <c r="J76" s="4" t="s">
        <v>182</v>
      </c>
      <c r="K76" s="4" t="s">
        <v>143</v>
      </c>
      <c r="L76" s="4" t="s">
        <v>162</v>
      </c>
      <c r="M76" s="4" t="s">
        <v>175</v>
      </c>
      <c r="N76" s="4" t="s">
        <v>155</v>
      </c>
      <c r="O76" s="4" t="s">
        <v>130</v>
      </c>
      <c r="P76" s="4"/>
    </row>
    <row r="77" spans="1:16" ht="15">
      <c r="A77" s="4" t="s">
        <v>514</v>
      </c>
      <c r="B77" s="30">
        <v>39983</v>
      </c>
      <c r="C77" s="4"/>
      <c r="D77" s="4" t="s">
        <v>193</v>
      </c>
      <c r="E77" s="4" t="s">
        <v>170</v>
      </c>
      <c r="F77" s="4" t="s">
        <v>155</v>
      </c>
      <c r="G77" s="4"/>
      <c r="H77" s="4"/>
      <c r="I77" s="4" t="s">
        <v>140</v>
      </c>
      <c r="J77" s="4" t="s">
        <v>181</v>
      </c>
      <c r="K77" s="4" t="s">
        <v>144</v>
      </c>
      <c r="L77" s="4" t="s">
        <v>4181</v>
      </c>
      <c r="M77" s="4" t="s">
        <v>173</v>
      </c>
      <c r="N77" s="4" t="s">
        <v>155</v>
      </c>
      <c r="O77" s="4" t="s">
        <v>127</v>
      </c>
      <c r="P77" s="4"/>
    </row>
    <row r="78" spans="1:16" ht="15">
      <c r="A78" s="4" t="s">
        <v>515</v>
      </c>
      <c r="B78" s="30">
        <v>39981</v>
      </c>
      <c r="C78" s="4"/>
      <c r="D78" s="4" t="s">
        <v>193</v>
      </c>
      <c r="E78" s="4" t="s">
        <v>170</v>
      </c>
      <c r="F78" s="4" t="s">
        <v>155</v>
      </c>
      <c r="G78" s="4"/>
      <c r="H78" s="4"/>
      <c r="I78" s="4" t="s">
        <v>140</v>
      </c>
      <c r="J78" s="4" t="s">
        <v>181</v>
      </c>
      <c r="K78" s="4" t="s">
        <v>144</v>
      </c>
      <c r="L78" s="4" t="s">
        <v>162</v>
      </c>
      <c r="M78" s="4" t="s">
        <v>176</v>
      </c>
      <c r="N78" s="4" t="s">
        <v>155</v>
      </c>
      <c r="O78" s="4" t="s">
        <v>129</v>
      </c>
      <c r="P78" s="4"/>
    </row>
    <row r="79" spans="1:16" ht="15">
      <c r="A79" s="4" t="s">
        <v>516</v>
      </c>
      <c r="B79" s="30">
        <v>39990</v>
      </c>
      <c r="C79" s="4"/>
      <c r="D79" s="4" t="s">
        <v>194</v>
      </c>
      <c r="E79" s="4" t="s">
        <v>170</v>
      </c>
      <c r="F79" s="4" t="s">
        <v>155</v>
      </c>
      <c r="G79" s="4"/>
      <c r="H79" s="4">
        <v>5</v>
      </c>
      <c r="I79" s="4" t="s">
        <v>139</v>
      </c>
      <c r="J79" s="4" t="s">
        <v>179</v>
      </c>
      <c r="K79" s="4" t="s">
        <v>142</v>
      </c>
      <c r="L79" s="4" t="s">
        <v>4176</v>
      </c>
      <c r="M79" s="4" t="s">
        <v>175</v>
      </c>
      <c r="N79" s="4" t="s">
        <v>517</v>
      </c>
      <c r="O79" s="4" t="s">
        <v>518</v>
      </c>
      <c r="P79" s="4" t="s">
        <v>519</v>
      </c>
    </row>
    <row r="80" spans="1:16" ht="15">
      <c r="A80" s="4" t="s">
        <v>520</v>
      </c>
      <c r="B80" s="30">
        <v>40037</v>
      </c>
      <c r="C80" s="4"/>
      <c r="D80" s="4" t="s">
        <v>196</v>
      </c>
      <c r="E80" s="4" t="s">
        <v>170</v>
      </c>
      <c r="F80" s="4" t="s">
        <v>155</v>
      </c>
      <c r="G80" s="4">
        <v>5</v>
      </c>
      <c r="H80" s="4">
        <v>3</v>
      </c>
      <c r="I80" s="4" t="s">
        <v>139</v>
      </c>
      <c r="J80" s="4" t="s">
        <v>186</v>
      </c>
      <c r="K80" s="4" t="s">
        <v>148</v>
      </c>
      <c r="L80" s="4" t="s">
        <v>4176</v>
      </c>
      <c r="M80" s="4" t="s">
        <v>174</v>
      </c>
      <c r="N80" s="4" t="s">
        <v>159</v>
      </c>
      <c r="O80" s="4" t="s">
        <v>123</v>
      </c>
      <c r="P80" s="4" t="s">
        <v>123</v>
      </c>
    </row>
    <row r="81" spans="1:16" ht="15">
      <c r="A81" s="4" t="s">
        <v>521</v>
      </c>
      <c r="B81" s="30">
        <v>39933</v>
      </c>
      <c r="C81" s="4"/>
      <c r="D81" s="4" t="s">
        <v>4179</v>
      </c>
      <c r="E81" s="4" t="s">
        <v>170</v>
      </c>
      <c r="F81" s="4" t="s">
        <v>155</v>
      </c>
      <c r="G81" s="4"/>
      <c r="H81" s="4"/>
      <c r="I81" s="4" t="s">
        <v>139</v>
      </c>
      <c r="J81" s="4" t="s">
        <v>479</v>
      </c>
      <c r="K81" s="4" t="s">
        <v>145</v>
      </c>
      <c r="L81" s="4" t="s">
        <v>162</v>
      </c>
      <c r="M81" s="4" t="s">
        <v>522</v>
      </c>
      <c r="N81" s="4" t="s">
        <v>155</v>
      </c>
      <c r="O81" s="4" t="s">
        <v>129</v>
      </c>
      <c r="P81" s="4"/>
    </row>
    <row r="82" spans="1:16" ht="15">
      <c r="A82" s="4" t="s">
        <v>523</v>
      </c>
      <c r="B82" s="30">
        <v>40050</v>
      </c>
      <c r="C82" s="4"/>
      <c r="D82" s="4" t="s">
        <v>196</v>
      </c>
      <c r="E82" s="4" t="s">
        <v>170</v>
      </c>
      <c r="F82" s="4" t="s">
        <v>155</v>
      </c>
      <c r="G82" s="4">
        <v>5</v>
      </c>
      <c r="H82" s="4">
        <v>3</v>
      </c>
      <c r="I82" s="4" t="s">
        <v>139</v>
      </c>
      <c r="J82" s="4" t="s">
        <v>178</v>
      </c>
      <c r="K82" s="4" t="s">
        <v>151</v>
      </c>
      <c r="L82" s="4" t="s">
        <v>4176</v>
      </c>
      <c r="M82" s="4" t="s">
        <v>174</v>
      </c>
      <c r="N82" s="4" t="s">
        <v>157</v>
      </c>
      <c r="O82" s="4" t="s">
        <v>127</v>
      </c>
      <c r="P82" s="4" t="s">
        <v>153</v>
      </c>
    </row>
    <row r="83" spans="1:16" ht="15">
      <c r="A83" s="4" t="s">
        <v>524</v>
      </c>
      <c r="B83" s="30">
        <v>40032</v>
      </c>
      <c r="C83" s="4" t="s">
        <v>525</v>
      </c>
      <c r="D83" s="4" t="s">
        <v>197</v>
      </c>
      <c r="E83" s="4" t="s">
        <v>170</v>
      </c>
      <c r="F83" s="4" t="s">
        <v>155</v>
      </c>
      <c r="G83" s="4">
        <v>1</v>
      </c>
      <c r="H83" s="4">
        <v>2</v>
      </c>
      <c r="I83" s="4" t="s">
        <v>139</v>
      </c>
      <c r="J83" s="4" t="s">
        <v>184</v>
      </c>
      <c r="K83" s="4" t="s">
        <v>146</v>
      </c>
      <c r="L83" s="4" t="s">
        <v>4181</v>
      </c>
      <c r="M83" s="4" t="s">
        <v>173</v>
      </c>
      <c r="N83" s="4" t="s">
        <v>161</v>
      </c>
      <c r="O83" s="4" t="s">
        <v>526</v>
      </c>
      <c r="P83" s="4"/>
    </row>
    <row r="84" spans="1:16" ht="15">
      <c r="A84" s="4" t="s">
        <v>527</v>
      </c>
      <c r="B84" s="30">
        <v>40071</v>
      </c>
      <c r="C84" s="4" t="s">
        <v>383</v>
      </c>
      <c r="D84" s="4" t="s">
        <v>197</v>
      </c>
      <c r="E84" s="4" t="s">
        <v>170</v>
      </c>
      <c r="F84" s="4" t="s">
        <v>155</v>
      </c>
      <c r="G84" s="4">
        <v>5</v>
      </c>
      <c r="H84" s="4">
        <v>5</v>
      </c>
      <c r="I84" s="4" t="s">
        <v>139</v>
      </c>
      <c r="J84" s="4" t="s">
        <v>528</v>
      </c>
      <c r="K84" s="4" t="s">
        <v>142</v>
      </c>
      <c r="L84" s="4" t="s">
        <v>4176</v>
      </c>
      <c r="M84" s="4" t="s">
        <v>174</v>
      </c>
      <c r="N84" s="4" t="s">
        <v>157</v>
      </c>
      <c r="O84" s="4" t="s">
        <v>434</v>
      </c>
      <c r="P84" s="4" t="s">
        <v>435</v>
      </c>
    </row>
    <row r="85" spans="1:16" ht="15">
      <c r="A85" s="4" t="s">
        <v>529</v>
      </c>
      <c r="B85" s="30">
        <v>39946</v>
      </c>
      <c r="C85" s="4"/>
      <c r="D85" s="4" t="s">
        <v>194</v>
      </c>
      <c r="E85" s="4" t="s">
        <v>170</v>
      </c>
      <c r="F85" s="4" t="s">
        <v>155</v>
      </c>
      <c r="G85" s="4"/>
      <c r="H85" s="4"/>
      <c r="I85" s="4" t="s">
        <v>139</v>
      </c>
      <c r="J85" s="4" t="s">
        <v>447</v>
      </c>
      <c r="K85" s="4" t="s">
        <v>151</v>
      </c>
      <c r="L85" s="4" t="s">
        <v>4181</v>
      </c>
      <c r="M85" s="4" t="s">
        <v>415</v>
      </c>
      <c r="N85" s="4" t="s">
        <v>155</v>
      </c>
      <c r="O85" s="4" t="s">
        <v>125</v>
      </c>
      <c r="P85" s="4"/>
    </row>
    <row r="86" spans="1:16" ht="15">
      <c r="A86" s="4" t="s">
        <v>530</v>
      </c>
      <c r="B86" s="30">
        <v>40049</v>
      </c>
      <c r="C86" s="4"/>
      <c r="D86" s="4" t="s">
        <v>197</v>
      </c>
      <c r="E86" s="4" t="s">
        <v>170</v>
      </c>
      <c r="F86" s="4" t="s">
        <v>155</v>
      </c>
      <c r="G86" s="4">
        <v>3</v>
      </c>
      <c r="H86" s="4">
        <v>4</v>
      </c>
      <c r="I86" s="4" t="s">
        <v>139</v>
      </c>
      <c r="J86" s="4" t="s">
        <v>186</v>
      </c>
      <c r="K86" s="4" t="s">
        <v>145</v>
      </c>
      <c r="L86" s="4" t="s">
        <v>162</v>
      </c>
      <c r="M86" s="4" t="s">
        <v>531</v>
      </c>
      <c r="N86" s="4" t="s">
        <v>155</v>
      </c>
      <c r="O86" s="4" t="s">
        <v>129</v>
      </c>
      <c r="P86" s="4"/>
    </row>
    <row r="87" spans="1:16" ht="15">
      <c r="A87" s="4" t="s">
        <v>532</v>
      </c>
      <c r="B87" s="30">
        <v>39943</v>
      </c>
      <c r="C87" s="4"/>
      <c r="D87" s="4" t="s">
        <v>193</v>
      </c>
      <c r="E87" s="4" t="s">
        <v>170</v>
      </c>
      <c r="F87" s="4" t="s">
        <v>155</v>
      </c>
      <c r="G87" s="4"/>
      <c r="H87" s="4"/>
      <c r="I87" s="4" t="s">
        <v>140</v>
      </c>
      <c r="J87" s="4" t="s">
        <v>433</v>
      </c>
      <c r="K87" s="4" t="s">
        <v>143</v>
      </c>
      <c r="L87" s="4" t="s">
        <v>4181</v>
      </c>
      <c r="M87" s="4" t="s">
        <v>173</v>
      </c>
      <c r="N87" s="4" t="s">
        <v>155</v>
      </c>
      <c r="O87" s="4" t="s">
        <v>484</v>
      </c>
      <c r="P87" s="4"/>
    </row>
    <row r="88" spans="1:16" ht="15">
      <c r="A88" s="4" t="s">
        <v>533</v>
      </c>
      <c r="B88" s="30">
        <v>40024</v>
      </c>
      <c r="C88" s="4"/>
      <c r="D88" s="4" t="s">
        <v>193</v>
      </c>
      <c r="E88" s="4" t="s">
        <v>170</v>
      </c>
      <c r="F88" s="4" t="s">
        <v>155</v>
      </c>
      <c r="G88" s="4">
        <v>1</v>
      </c>
      <c r="H88" s="4">
        <v>5</v>
      </c>
      <c r="I88" s="4" t="s">
        <v>140</v>
      </c>
      <c r="J88" s="4" t="s">
        <v>534</v>
      </c>
      <c r="K88" s="4" t="s">
        <v>144</v>
      </c>
      <c r="L88" s="4" t="s">
        <v>4181</v>
      </c>
      <c r="M88" s="4" t="s">
        <v>173</v>
      </c>
      <c r="N88" s="4" t="s">
        <v>155</v>
      </c>
      <c r="O88" s="4" t="s">
        <v>124</v>
      </c>
      <c r="P88" s="4"/>
    </row>
    <row r="89" spans="1:16" ht="15">
      <c r="A89" s="4" t="s">
        <v>535</v>
      </c>
      <c r="B89" s="30">
        <v>39942</v>
      </c>
      <c r="C89" s="4"/>
      <c r="D89" s="4" t="s">
        <v>195</v>
      </c>
      <c r="E89" s="4" t="s">
        <v>170</v>
      </c>
      <c r="F89" s="4" t="s">
        <v>155</v>
      </c>
      <c r="G89" s="4"/>
      <c r="H89" s="4"/>
      <c r="I89" s="4" t="s">
        <v>139</v>
      </c>
      <c r="J89" s="4" t="s">
        <v>534</v>
      </c>
      <c r="K89" s="4" t="s">
        <v>142</v>
      </c>
      <c r="L89" s="4" t="s">
        <v>4176</v>
      </c>
      <c r="M89" s="4" t="s">
        <v>174</v>
      </c>
      <c r="N89" s="4" t="s">
        <v>157</v>
      </c>
      <c r="O89" s="4" t="s">
        <v>130</v>
      </c>
      <c r="P89" s="4" t="s">
        <v>437</v>
      </c>
    </row>
    <row r="90" spans="1:16" ht="15">
      <c r="A90" s="4" t="s">
        <v>536</v>
      </c>
      <c r="B90" s="30">
        <v>39953</v>
      </c>
      <c r="C90" s="4" t="s">
        <v>525</v>
      </c>
      <c r="D90" s="4" t="s">
        <v>193</v>
      </c>
      <c r="E90" s="4" t="s">
        <v>170</v>
      </c>
      <c r="F90" s="4" t="s">
        <v>155</v>
      </c>
      <c r="G90" s="4"/>
      <c r="H90" s="4"/>
      <c r="I90" s="4" t="s">
        <v>140</v>
      </c>
      <c r="J90" s="4" t="s">
        <v>537</v>
      </c>
      <c r="K90" s="4" t="s">
        <v>148</v>
      </c>
      <c r="L90" s="4" t="s">
        <v>162</v>
      </c>
      <c r="M90" s="4" t="s">
        <v>459</v>
      </c>
      <c r="N90" s="4" t="s">
        <v>155</v>
      </c>
      <c r="O90" s="4" t="s">
        <v>130</v>
      </c>
      <c r="P90" s="4"/>
    </row>
    <row r="91" spans="1:16" ht="15">
      <c r="A91" s="4" t="s">
        <v>538</v>
      </c>
      <c r="B91" s="30">
        <v>40007</v>
      </c>
      <c r="C91" s="4"/>
      <c r="D91" s="4" t="s">
        <v>194</v>
      </c>
      <c r="E91" s="4" t="s">
        <v>170</v>
      </c>
      <c r="F91" s="4" t="s">
        <v>155</v>
      </c>
      <c r="G91" s="4">
        <v>5</v>
      </c>
      <c r="H91" s="4">
        <v>5</v>
      </c>
      <c r="I91" s="4" t="s">
        <v>139</v>
      </c>
      <c r="J91" s="4" t="s">
        <v>185</v>
      </c>
      <c r="K91" s="4" t="s">
        <v>144</v>
      </c>
      <c r="L91" s="4" t="s">
        <v>162</v>
      </c>
      <c r="M91" s="4"/>
      <c r="N91" s="4" t="s">
        <v>155</v>
      </c>
      <c r="O91" s="4" t="s">
        <v>130</v>
      </c>
      <c r="P91" s="4"/>
    </row>
    <row r="92" spans="1:16" ht="15">
      <c r="A92" s="4" t="s">
        <v>539</v>
      </c>
      <c r="B92" s="30">
        <v>39995</v>
      </c>
      <c r="C92" s="4"/>
      <c r="D92" s="4" t="s">
        <v>193</v>
      </c>
      <c r="E92" s="4" t="s">
        <v>170</v>
      </c>
      <c r="F92" s="4" t="s">
        <v>155</v>
      </c>
      <c r="G92" s="4"/>
      <c r="H92" s="4">
        <v>5</v>
      </c>
      <c r="I92" s="4" t="s">
        <v>140</v>
      </c>
      <c r="J92" s="4" t="s">
        <v>409</v>
      </c>
      <c r="K92" s="4" t="s">
        <v>144</v>
      </c>
      <c r="L92" s="4" t="s">
        <v>4176</v>
      </c>
      <c r="M92" s="4" t="s">
        <v>429</v>
      </c>
      <c r="N92" s="4" t="s">
        <v>540</v>
      </c>
      <c r="O92" s="4" t="s">
        <v>123</v>
      </c>
      <c r="P92" s="4" t="s">
        <v>123</v>
      </c>
    </row>
    <row r="93" spans="1:16" ht="15">
      <c r="A93" s="4" t="s">
        <v>541</v>
      </c>
      <c r="B93" s="30">
        <v>39936</v>
      </c>
      <c r="C93" s="4"/>
      <c r="D93" s="4" t="s">
        <v>4177</v>
      </c>
      <c r="E93" s="4" t="s">
        <v>170</v>
      </c>
      <c r="F93" s="4" t="s">
        <v>155</v>
      </c>
      <c r="G93" s="4"/>
      <c r="H93" s="4"/>
      <c r="I93" s="4" t="s">
        <v>139</v>
      </c>
      <c r="J93" s="4" t="s">
        <v>179</v>
      </c>
      <c r="K93" s="4" t="s">
        <v>147</v>
      </c>
      <c r="L93" s="4" t="s">
        <v>162</v>
      </c>
      <c r="M93" s="4" t="s">
        <v>459</v>
      </c>
      <c r="N93" s="4" t="s">
        <v>155</v>
      </c>
      <c r="O93" s="4" t="s">
        <v>130</v>
      </c>
      <c r="P93" s="4"/>
    </row>
    <row r="94" spans="1:16" ht="15">
      <c r="A94" s="4" t="s">
        <v>542</v>
      </c>
      <c r="B94" s="30">
        <v>39947</v>
      </c>
      <c r="C94" s="4"/>
      <c r="D94" s="4" t="s">
        <v>194</v>
      </c>
      <c r="E94" s="4" t="s">
        <v>170</v>
      </c>
      <c r="F94" s="4" t="s">
        <v>155</v>
      </c>
      <c r="G94" s="4"/>
      <c r="H94" s="4"/>
      <c r="I94" s="4" t="s">
        <v>139</v>
      </c>
      <c r="J94" s="4" t="s">
        <v>190</v>
      </c>
      <c r="K94" s="4" t="s">
        <v>143</v>
      </c>
      <c r="L94" s="4" t="s">
        <v>4181</v>
      </c>
      <c r="M94" s="4" t="s">
        <v>415</v>
      </c>
      <c r="N94" s="4" t="s">
        <v>155</v>
      </c>
      <c r="O94" s="4" t="s">
        <v>125</v>
      </c>
      <c r="P94" s="4"/>
    </row>
    <row r="95" spans="1:16" ht="15">
      <c r="A95" s="4" t="s">
        <v>543</v>
      </c>
      <c r="B95" s="30">
        <v>40072</v>
      </c>
      <c r="C95" s="4"/>
      <c r="D95" s="4" t="s">
        <v>544</v>
      </c>
      <c r="E95" s="4" t="s">
        <v>170</v>
      </c>
      <c r="F95" s="4" t="s">
        <v>155</v>
      </c>
      <c r="G95" s="4">
        <v>5</v>
      </c>
      <c r="H95" s="4">
        <v>3</v>
      </c>
      <c r="I95" s="4" t="s">
        <v>139</v>
      </c>
      <c r="J95" s="4" t="s">
        <v>180</v>
      </c>
      <c r="K95" s="4" t="s">
        <v>146</v>
      </c>
      <c r="L95" s="4" t="s">
        <v>4181</v>
      </c>
      <c r="M95" s="4" t="s">
        <v>546</v>
      </c>
      <c r="N95" s="4" t="s">
        <v>155</v>
      </c>
      <c r="O95" s="4" t="s">
        <v>128</v>
      </c>
      <c r="P95" s="4"/>
    </row>
    <row r="96" spans="1:16" ht="15">
      <c r="A96" s="4" t="s">
        <v>547</v>
      </c>
      <c r="B96" s="30">
        <v>39913</v>
      </c>
      <c r="C96" s="4" t="s">
        <v>9</v>
      </c>
      <c r="D96" s="4" t="s">
        <v>4183</v>
      </c>
      <c r="E96" s="4" t="s">
        <v>170</v>
      </c>
      <c r="F96" s="4" t="s">
        <v>155</v>
      </c>
      <c r="G96" s="4"/>
      <c r="H96" s="4"/>
      <c r="I96" s="4" t="s">
        <v>140</v>
      </c>
      <c r="J96" s="4" t="s">
        <v>178</v>
      </c>
      <c r="K96" s="4" t="s">
        <v>145</v>
      </c>
      <c r="L96" s="4" t="s">
        <v>165</v>
      </c>
      <c r="M96" s="4" t="s">
        <v>548</v>
      </c>
      <c r="N96" s="4" t="s">
        <v>158</v>
      </c>
      <c r="O96" s="4" t="s">
        <v>122</v>
      </c>
      <c r="P96" s="4"/>
    </row>
    <row r="97" spans="1:16" ht="15">
      <c r="A97" s="4" t="s">
        <v>549</v>
      </c>
      <c r="B97" s="30">
        <v>40015</v>
      </c>
      <c r="C97" s="4"/>
      <c r="D97" s="4" t="s">
        <v>193</v>
      </c>
      <c r="E97" s="4" t="s">
        <v>170</v>
      </c>
      <c r="F97" s="4" t="s">
        <v>155</v>
      </c>
      <c r="G97" s="4">
        <v>1</v>
      </c>
      <c r="H97" s="4">
        <v>3</v>
      </c>
      <c r="I97" s="4" t="s">
        <v>140</v>
      </c>
      <c r="J97" s="4" t="s">
        <v>188</v>
      </c>
      <c r="K97" s="4" t="s">
        <v>143</v>
      </c>
      <c r="L97" s="4" t="s">
        <v>4176</v>
      </c>
      <c r="M97" s="4" t="s">
        <v>550</v>
      </c>
      <c r="N97" s="4" t="s">
        <v>160</v>
      </c>
      <c r="O97" s="4" t="s">
        <v>126</v>
      </c>
      <c r="P97" s="4" t="s">
        <v>551</v>
      </c>
    </row>
    <row r="98" spans="1:16" ht="15">
      <c r="A98" s="4" t="s">
        <v>552</v>
      </c>
      <c r="B98" s="30">
        <v>40008</v>
      </c>
      <c r="C98" s="4" t="s">
        <v>383</v>
      </c>
      <c r="D98" s="4" t="s">
        <v>196</v>
      </c>
      <c r="E98" s="4" t="s">
        <v>170</v>
      </c>
      <c r="F98" s="4" t="s">
        <v>155</v>
      </c>
      <c r="G98" s="4"/>
      <c r="H98" s="4"/>
      <c r="I98" s="4" t="s">
        <v>139</v>
      </c>
      <c r="J98" s="4" t="s">
        <v>186</v>
      </c>
      <c r="K98" s="4" t="s">
        <v>151</v>
      </c>
      <c r="L98" s="4" t="s">
        <v>162</v>
      </c>
      <c r="M98" s="4"/>
      <c r="N98" s="4" t="s">
        <v>155</v>
      </c>
      <c r="O98" s="4" t="s">
        <v>130</v>
      </c>
      <c r="P98" s="4"/>
    </row>
    <row r="99" spans="1:16" ht="15">
      <c r="A99" s="4" t="s">
        <v>553</v>
      </c>
      <c r="B99" s="30">
        <v>39911</v>
      </c>
      <c r="C99" s="4"/>
      <c r="D99" s="4" t="s">
        <v>4183</v>
      </c>
      <c r="E99" s="4" t="s">
        <v>170</v>
      </c>
      <c r="F99" s="4" t="s">
        <v>155</v>
      </c>
      <c r="G99" s="4"/>
      <c r="H99" s="4"/>
      <c r="I99" s="4" t="s">
        <v>140</v>
      </c>
      <c r="J99" s="4" t="s">
        <v>181</v>
      </c>
      <c r="K99" s="4" t="s">
        <v>143</v>
      </c>
      <c r="L99" s="4" t="s">
        <v>4181</v>
      </c>
      <c r="M99" s="4" t="s">
        <v>554</v>
      </c>
      <c r="N99" s="4" t="s">
        <v>155</v>
      </c>
      <c r="O99" s="4" t="s">
        <v>387</v>
      </c>
      <c r="P99" s="4"/>
    </row>
    <row r="100" spans="1:16" ht="15">
      <c r="A100" s="4" t="s">
        <v>555</v>
      </c>
      <c r="B100" s="30">
        <v>40025</v>
      </c>
      <c r="C100" s="4"/>
      <c r="D100" s="4" t="s">
        <v>193</v>
      </c>
      <c r="E100" s="4" t="s">
        <v>170</v>
      </c>
      <c r="F100" s="4" t="s">
        <v>155</v>
      </c>
      <c r="G100" s="4">
        <v>4</v>
      </c>
      <c r="H100" s="4">
        <v>4</v>
      </c>
      <c r="I100" s="4" t="s">
        <v>140</v>
      </c>
      <c r="J100" s="4" t="s">
        <v>447</v>
      </c>
      <c r="K100" s="4" t="s">
        <v>142</v>
      </c>
      <c r="L100" s="4" t="s">
        <v>162</v>
      </c>
      <c r="M100" s="4" t="s">
        <v>531</v>
      </c>
      <c r="N100" s="4" t="s">
        <v>155</v>
      </c>
      <c r="O100" s="4" t="s">
        <v>129</v>
      </c>
      <c r="P100" s="4"/>
    </row>
    <row r="101" spans="1:16" ht="15">
      <c r="A101" s="4" t="s">
        <v>556</v>
      </c>
      <c r="B101" s="30">
        <v>40023</v>
      </c>
      <c r="C101" s="4"/>
      <c r="D101" s="4" t="s">
        <v>193</v>
      </c>
      <c r="E101" s="4" t="s">
        <v>170</v>
      </c>
      <c r="F101" s="4" t="s">
        <v>155</v>
      </c>
      <c r="G101" s="4">
        <v>5</v>
      </c>
      <c r="H101" s="4">
        <v>3</v>
      </c>
      <c r="I101" s="4" t="s">
        <v>140</v>
      </c>
      <c r="J101" s="4" t="s">
        <v>186</v>
      </c>
      <c r="K101" s="4" t="s">
        <v>142</v>
      </c>
      <c r="L101" s="4" t="s">
        <v>4176</v>
      </c>
      <c r="M101" s="4" t="s">
        <v>174</v>
      </c>
      <c r="N101" s="4" t="s">
        <v>156</v>
      </c>
      <c r="O101" s="4" t="s">
        <v>120</v>
      </c>
      <c r="P101" s="4" t="s">
        <v>557</v>
      </c>
    </row>
    <row r="102" spans="1:16" ht="15">
      <c r="A102" s="4" t="s">
        <v>558</v>
      </c>
      <c r="B102" s="30">
        <v>39918</v>
      </c>
      <c r="C102" s="4"/>
      <c r="D102" s="4" t="s">
        <v>4178</v>
      </c>
      <c r="E102" s="4" t="s">
        <v>170</v>
      </c>
      <c r="F102" s="4" t="s">
        <v>155</v>
      </c>
      <c r="G102" s="4"/>
      <c r="H102" s="4"/>
      <c r="I102" s="4" t="s">
        <v>139</v>
      </c>
      <c r="J102" s="4" t="s">
        <v>178</v>
      </c>
      <c r="K102" s="4" t="s">
        <v>145</v>
      </c>
      <c r="L102" s="4" t="s">
        <v>4181</v>
      </c>
      <c r="M102" s="4" t="s">
        <v>173</v>
      </c>
      <c r="N102" s="4" t="s">
        <v>161</v>
      </c>
      <c r="O102" s="4" t="s">
        <v>420</v>
      </c>
      <c r="P102" s="4"/>
    </row>
    <row r="103" spans="1:16" ht="15">
      <c r="A103" s="4" t="s">
        <v>559</v>
      </c>
      <c r="B103" s="30">
        <v>39947</v>
      </c>
      <c r="C103" s="4"/>
      <c r="D103" s="4" t="s">
        <v>194</v>
      </c>
      <c r="E103" s="4" t="s">
        <v>170</v>
      </c>
      <c r="F103" s="4" t="s">
        <v>155</v>
      </c>
      <c r="G103" s="4"/>
      <c r="H103" s="4"/>
      <c r="I103" s="4" t="s">
        <v>139</v>
      </c>
      <c r="J103" s="4" t="s">
        <v>179</v>
      </c>
      <c r="K103" s="4" t="s">
        <v>147</v>
      </c>
      <c r="L103" s="4" t="s">
        <v>165</v>
      </c>
      <c r="M103" s="4"/>
      <c r="N103" s="4" t="s">
        <v>158</v>
      </c>
      <c r="O103" s="4" t="s">
        <v>122</v>
      </c>
      <c r="P103" s="4"/>
    </row>
    <row r="104" spans="1:16" ht="15">
      <c r="A104" s="4" t="s">
        <v>560</v>
      </c>
      <c r="B104" s="30">
        <v>40021</v>
      </c>
      <c r="C104" s="4"/>
      <c r="D104" s="4" t="s">
        <v>193</v>
      </c>
      <c r="E104" s="4" t="s">
        <v>170</v>
      </c>
      <c r="F104" s="4" t="s">
        <v>155</v>
      </c>
      <c r="G104" s="4">
        <v>3</v>
      </c>
      <c r="H104" s="4">
        <v>2</v>
      </c>
      <c r="I104" s="4" t="s">
        <v>140</v>
      </c>
      <c r="J104" s="4" t="s">
        <v>178</v>
      </c>
      <c r="K104" s="4" t="s">
        <v>144</v>
      </c>
      <c r="L104" s="4" t="s">
        <v>4176</v>
      </c>
      <c r="M104" s="4" t="s">
        <v>174</v>
      </c>
      <c r="N104" s="4" t="s">
        <v>157</v>
      </c>
      <c r="O104" s="4" t="s">
        <v>439</v>
      </c>
      <c r="P104" s="4" t="s">
        <v>561</v>
      </c>
    </row>
    <row r="105" spans="1:16" ht="15">
      <c r="A105" s="4" t="s">
        <v>562</v>
      </c>
      <c r="B105" s="30">
        <v>40036</v>
      </c>
      <c r="C105" s="4"/>
      <c r="D105" s="4" t="s">
        <v>197</v>
      </c>
      <c r="E105" s="4" t="s">
        <v>170</v>
      </c>
      <c r="F105" s="4" t="s">
        <v>155</v>
      </c>
      <c r="G105" s="4">
        <v>5</v>
      </c>
      <c r="H105" s="4">
        <v>5</v>
      </c>
      <c r="I105" s="4" t="s">
        <v>139</v>
      </c>
      <c r="J105" s="4" t="s">
        <v>178</v>
      </c>
      <c r="K105" s="4" t="s">
        <v>142</v>
      </c>
      <c r="L105" s="4" t="s">
        <v>4176</v>
      </c>
      <c r="M105" s="4" t="s">
        <v>174</v>
      </c>
      <c r="N105" s="4" t="s">
        <v>157</v>
      </c>
      <c r="O105" s="4" t="s">
        <v>127</v>
      </c>
      <c r="P105" s="4" t="s">
        <v>153</v>
      </c>
    </row>
    <row r="106" spans="1:16" ht="15">
      <c r="A106" s="4" t="s">
        <v>563</v>
      </c>
      <c r="B106" s="30">
        <v>39950</v>
      </c>
      <c r="C106" s="4"/>
      <c r="D106" s="4" t="s">
        <v>195</v>
      </c>
      <c r="E106" s="4" t="s">
        <v>170</v>
      </c>
      <c r="F106" s="4" t="s">
        <v>155</v>
      </c>
      <c r="G106" s="4"/>
      <c r="H106" s="4"/>
      <c r="I106" s="4" t="s">
        <v>139</v>
      </c>
      <c r="J106" s="4" t="s">
        <v>178</v>
      </c>
      <c r="K106" s="4" t="s">
        <v>147</v>
      </c>
      <c r="L106" s="4" t="s">
        <v>4176</v>
      </c>
      <c r="M106" s="4" t="s">
        <v>174</v>
      </c>
      <c r="N106" s="4" t="s">
        <v>157</v>
      </c>
      <c r="O106" s="4" t="s">
        <v>130</v>
      </c>
      <c r="P106" s="4" t="s">
        <v>437</v>
      </c>
    </row>
    <row r="107" spans="1:16" ht="15">
      <c r="A107" s="4" t="s">
        <v>564</v>
      </c>
      <c r="B107" s="30">
        <v>39948</v>
      </c>
      <c r="C107" s="4" t="s">
        <v>525</v>
      </c>
      <c r="D107" s="4" t="s">
        <v>195</v>
      </c>
      <c r="E107" s="4" t="s">
        <v>170</v>
      </c>
      <c r="F107" s="4" t="s">
        <v>155</v>
      </c>
      <c r="G107" s="4"/>
      <c r="H107" s="4"/>
      <c r="I107" s="4" t="s">
        <v>139</v>
      </c>
      <c r="J107" s="4" t="s">
        <v>178</v>
      </c>
      <c r="K107" s="4" t="s">
        <v>143</v>
      </c>
      <c r="L107" s="4" t="s">
        <v>4176</v>
      </c>
      <c r="M107" s="4" t="s">
        <v>174</v>
      </c>
      <c r="N107" s="4" t="s">
        <v>156</v>
      </c>
      <c r="O107" s="4" t="s">
        <v>120</v>
      </c>
      <c r="P107" s="4" t="s">
        <v>565</v>
      </c>
    </row>
    <row r="108" spans="1:16" ht="15">
      <c r="A108" s="4" t="s">
        <v>566</v>
      </c>
      <c r="B108" s="30">
        <v>40017</v>
      </c>
      <c r="C108" s="4" t="s">
        <v>383</v>
      </c>
      <c r="D108" s="4" t="s">
        <v>193</v>
      </c>
      <c r="E108" s="4" t="s">
        <v>170</v>
      </c>
      <c r="F108" s="4" t="s">
        <v>155</v>
      </c>
      <c r="G108" s="4">
        <v>5</v>
      </c>
      <c r="H108" s="4">
        <v>5</v>
      </c>
      <c r="I108" s="4" t="s">
        <v>140</v>
      </c>
      <c r="J108" s="4" t="s">
        <v>178</v>
      </c>
      <c r="K108" s="4" t="s">
        <v>146</v>
      </c>
      <c r="L108" s="4" t="s">
        <v>162</v>
      </c>
      <c r="M108" s="4" t="s">
        <v>567</v>
      </c>
      <c r="N108" s="4" t="s">
        <v>155</v>
      </c>
      <c r="O108" s="4" t="s">
        <v>130</v>
      </c>
      <c r="P108" s="4"/>
    </row>
    <row r="109" spans="1:16" ht="15">
      <c r="A109" s="4" t="s">
        <v>568</v>
      </c>
      <c r="B109" s="30">
        <v>39914</v>
      </c>
      <c r="C109" s="4"/>
      <c r="D109" s="4" t="s">
        <v>4182</v>
      </c>
      <c r="E109" s="4" t="s">
        <v>170</v>
      </c>
      <c r="F109" s="4" t="s">
        <v>155</v>
      </c>
      <c r="G109" s="4"/>
      <c r="H109" s="4"/>
      <c r="I109" s="4" t="s">
        <v>139</v>
      </c>
      <c r="J109" s="4" t="s">
        <v>178</v>
      </c>
      <c r="K109" s="4" t="s">
        <v>143</v>
      </c>
      <c r="L109" s="4" t="s">
        <v>4176</v>
      </c>
      <c r="M109" s="4" t="s">
        <v>174</v>
      </c>
      <c r="N109" s="4" t="s">
        <v>160</v>
      </c>
      <c r="O109" s="4" t="s">
        <v>126</v>
      </c>
      <c r="P109" s="4" t="s">
        <v>551</v>
      </c>
    </row>
    <row r="110" spans="1:16" ht="15">
      <c r="A110" s="4" t="s">
        <v>569</v>
      </c>
      <c r="B110" s="30">
        <v>39965</v>
      </c>
      <c r="C110" s="4" t="s">
        <v>570</v>
      </c>
      <c r="D110" s="4" t="s">
        <v>193</v>
      </c>
      <c r="E110" s="4" t="s">
        <v>170</v>
      </c>
      <c r="F110" s="4" t="s">
        <v>155</v>
      </c>
      <c r="G110" s="4"/>
      <c r="H110" s="4"/>
      <c r="I110" s="4" t="s">
        <v>140</v>
      </c>
      <c r="J110" s="4" t="s">
        <v>178</v>
      </c>
      <c r="K110" s="4" t="s">
        <v>143</v>
      </c>
      <c r="L110" s="4" t="s">
        <v>4181</v>
      </c>
      <c r="M110" s="4" t="s">
        <v>173</v>
      </c>
      <c r="N110" s="4" t="s">
        <v>155</v>
      </c>
      <c r="O110" s="4" t="s">
        <v>571</v>
      </c>
      <c r="P110" s="4"/>
    </row>
    <row r="111" spans="1:16" ht="15">
      <c r="A111" s="4" t="s">
        <v>572</v>
      </c>
      <c r="B111" s="30">
        <v>40046</v>
      </c>
      <c r="C111" s="4"/>
      <c r="D111" s="4" t="s">
        <v>195</v>
      </c>
      <c r="E111" s="4" t="s">
        <v>170</v>
      </c>
      <c r="F111" s="4" t="s">
        <v>155</v>
      </c>
      <c r="G111" s="4">
        <v>5</v>
      </c>
      <c r="H111" s="4">
        <v>3</v>
      </c>
      <c r="I111" s="4" t="s">
        <v>139</v>
      </c>
      <c r="J111" s="4" t="s">
        <v>178</v>
      </c>
      <c r="K111" s="4" t="s">
        <v>142</v>
      </c>
      <c r="L111" s="4" t="s">
        <v>162</v>
      </c>
      <c r="M111" s="4" t="s">
        <v>573</v>
      </c>
      <c r="N111" s="4" t="s">
        <v>155</v>
      </c>
      <c r="O111" s="4" t="s">
        <v>129</v>
      </c>
      <c r="P111" s="4"/>
    </row>
    <row r="112" spans="1:16" ht="15">
      <c r="A112" s="4" t="s">
        <v>574</v>
      </c>
      <c r="B112" s="30">
        <v>40063</v>
      </c>
      <c r="C112" s="4"/>
      <c r="D112" s="4" t="s">
        <v>196</v>
      </c>
      <c r="E112" s="4" t="s">
        <v>170</v>
      </c>
      <c r="F112" s="4" t="s">
        <v>155</v>
      </c>
      <c r="G112" s="4">
        <v>1</v>
      </c>
      <c r="H112" s="4">
        <v>2</v>
      </c>
      <c r="I112" s="4" t="s">
        <v>139</v>
      </c>
      <c r="J112" s="4" t="s">
        <v>178</v>
      </c>
      <c r="K112" s="4" t="s">
        <v>149</v>
      </c>
      <c r="L112" s="4" t="s">
        <v>4176</v>
      </c>
      <c r="M112" s="4" t="s">
        <v>174</v>
      </c>
      <c r="N112" s="4" t="s">
        <v>156</v>
      </c>
      <c r="O112" s="4" t="s">
        <v>120</v>
      </c>
      <c r="P112" s="4" t="s">
        <v>470</v>
      </c>
    </row>
    <row r="113" spans="1:16" ht="15">
      <c r="A113" s="4" t="s">
        <v>575</v>
      </c>
      <c r="B113" s="30">
        <v>39961</v>
      </c>
      <c r="C113" s="4"/>
      <c r="D113" s="4" t="s">
        <v>195</v>
      </c>
      <c r="E113" s="4" t="s">
        <v>170</v>
      </c>
      <c r="F113" s="4" t="s">
        <v>155</v>
      </c>
      <c r="G113" s="4"/>
      <c r="H113" s="4"/>
      <c r="I113" s="4" t="s">
        <v>139</v>
      </c>
      <c r="J113" s="4" t="s">
        <v>576</v>
      </c>
      <c r="K113" s="4" t="s">
        <v>142</v>
      </c>
      <c r="L113" s="4" t="s">
        <v>162</v>
      </c>
      <c r="M113" s="4" t="s">
        <v>175</v>
      </c>
      <c r="N113" s="4" t="s">
        <v>155</v>
      </c>
      <c r="O113" s="4" t="s">
        <v>129</v>
      </c>
      <c r="P113" s="4"/>
    </row>
    <row r="114" spans="1:16" ht="15">
      <c r="A114" s="4" t="s">
        <v>577</v>
      </c>
      <c r="B114" s="30">
        <v>39921</v>
      </c>
      <c r="C114" s="4"/>
      <c r="D114" s="4" t="s">
        <v>4183</v>
      </c>
      <c r="E114" s="4" t="s">
        <v>170</v>
      </c>
      <c r="F114" s="4" t="s">
        <v>155</v>
      </c>
      <c r="G114" s="4"/>
      <c r="H114" s="4"/>
      <c r="I114" s="4" t="s">
        <v>140</v>
      </c>
      <c r="J114" s="4" t="s">
        <v>179</v>
      </c>
      <c r="K114" s="4" t="s">
        <v>147</v>
      </c>
      <c r="L114" s="4" t="s">
        <v>4176</v>
      </c>
      <c r="M114" s="4" t="s">
        <v>578</v>
      </c>
      <c r="N114" s="4" t="s">
        <v>157</v>
      </c>
      <c r="O114" s="4" t="s">
        <v>130</v>
      </c>
      <c r="P114" s="4" t="s">
        <v>437</v>
      </c>
    </row>
    <row r="115" spans="1:16" ht="15">
      <c r="A115" s="4" t="s">
        <v>579</v>
      </c>
      <c r="B115" s="30">
        <v>39966</v>
      </c>
      <c r="C115" s="4"/>
      <c r="D115" s="4" t="s">
        <v>193</v>
      </c>
      <c r="E115" s="4" t="s">
        <v>170</v>
      </c>
      <c r="F115" s="4" t="s">
        <v>155</v>
      </c>
      <c r="G115" s="4"/>
      <c r="H115" s="4"/>
      <c r="I115" s="4" t="s">
        <v>140</v>
      </c>
      <c r="J115" s="4" t="s">
        <v>181</v>
      </c>
      <c r="K115" s="4" t="s">
        <v>144</v>
      </c>
      <c r="L115" s="4" t="s">
        <v>4181</v>
      </c>
      <c r="M115" s="4" t="s">
        <v>173</v>
      </c>
      <c r="N115" s="4" t="s">
        <v>155</v>
      </c>
      <c r="O115" s="4" t="s">
        <v>130</v>
      </c>
      <c r="P115" s="4"/>
    </row>
    <row r="116" spans="1:16" ht="15">
      <c r="A116" s="4" t="s">
        <v>580</v>
      </c>
      <c r="B116" s="30">
        <v>39951</v>
      </c>
      <c r="C116" s="4"/>
      <c r="D116" s="4" t="s">
        <v>193</v>
      </c>
      <c r="E116" s="4" t="s">
        <v>170</v>
      </c>
      <c r="F116" s="4" t="s">
        <v>155</v>
      </c>
      <c r="G116" s="4"/>
      <c r="H116" s="4"/>
      <c r="I116" s="4" t="s">
        <v>140</v>
      </c>
      <c r="J116" s="4" t="s">
        <v>479</v>
      </c>
      <c r="K116" s="4" t="s">
        <v>145</v>
      </c>
      <c r="L116" s="4" t="s">
        <v>162</v>
      </c>
      <c r="M116" s="4" t="s">
        <v>581</v>
      </c>
      <c r="N116" s="4" t="s">
        <v>155</v>
      </c>
      <c r="O116" s="4" t="s">
        <v>129</v>
      </c>
      <c r="P116" s="4"/>
    </row>
    <row r="117" spans="1:16" ht="15">
      <c r="A117" s="4" t="s">
        <v>582</v>
      </c>
      <c r="B117" s="30">
        <v>39907</v>
      </c>
      <c r="C117" s="4"/>
      <c r="D117" s="4" t="s">
        <v>4185</v>
      </c>
      <c r="E117" s="4" t="s">
        <v>170</v>
      </c>
      <c r="F117" s="4" t="s">
        <v>155</v>
      </c>
      <c r="G117" s="4"/>
      <c r="H117" s="4"/>
      <c r="I117" s="4" t="s">
        <v>139</v>
      </c>
      <c r="J117" s="4" t="s">
        <v>191</v>
      </c>
      <c r="K117" s="4" t="s">
        <v>147</v>
      </c>
      <c r="L117" s="4" t="s">
        <v>165</v>
      </c>
      <c r="M117" s="4" t="s">
        <v>583</v>
      </c>
      <c r="N117" s="4" t="s">
        <v>158</v>
      </c>
      <c r="O117" s="4" t="s">
        <v>122</v>
      </c>
      <c r="P117" s="4"/>
    </row>
    <row r="118" spans="1:16" ht="15">
      <c r="A118" s="4" t="s">
        <v>584</v>
      </c>
      <c r="B118" s="30">
        <v>39927</v>
      </c>
      <c r="C118" s="4"/>
      <c r="D118" s="4" t="s">
        <v>4180</v>
      </c>
      <c r="E118" s="4" t="s">
        <v>170</v>
      </c>
      <c r="F118" s="4" t="s">
        <v>155</v>
      </c>
      <c r="G118" s="4"/>
      <c r="H118" s="4"/>
      <c r="I118" s="4" t="s">
        <v>139</v>
      </c>
      <c r="J118" s="4" t="s">
        <v>183</v>
      </c>
      <c r="K118" s="4" t="s">
        <v>142</v>
      </c>
      <c r="L118" s="4" t="s">
        <v>4181</v>
      </c>
      <c r="M118" s="4" t="s">
        <v>585</v>
      </c>
      <c r="N118" s="4" t="s">
        <v>161</v>
      </c>
      <c r="O118" s="4" t="s">
        <v>586</v>
      </c>
      <c r="P118" s="4"/>
    </row>
    <row r="119" spans="1:16" ht="15">
      <c r="A119" s="4" t="s">
        <v>587</v>
      </c>
      <c r="B119" s="30">
        <v>40048</v>
      </c>
      <c r="C119" s="4"/>
      <c r="D119" s="4" t="s">
        <v>193</v>
      </c>
      <c r="E119" s="4" t="s">
        <v>170</v>
      </c>
      <c r="F119" s="4" t="s">
        <v>155</v>
      </c>
      <c r="G119" s="4">
        <v>1</v>
      </c>
      <c r="H119" s="4">
        <v>2</v>
      </c>
      <c r="I119" s="4" t="s">
        <v>140</v>
      </c>
      <c r="J119" s="4" t="s">
        <v>447</v>
      </c>
      <c r="K119" s="4" t="s">
        <v>144</v>
      </c>
      <c r="L119" s="4" t="s">
        <v>162</v>
      </c>
      <c r="M119" s="4" t="s">
        <v>175</v>
      </c>
      <c r="N119" s="4" t="s">
        <v>155</v>
      </c>
      <c r="O119" s="4" t="s">
        <v>387</v>
      </c>
      <c r="P119" s="4"/>
    </row>
    <row r="120" spans="1:16" ht="15">
      <c r="A120" s="4" t="s">
        <v>588</v>
      </c>
      <c r="B120" s="30">
        <v>39973</v>
      </c>
      <c r="C120" s="4" t="s">
        <v>380</v>
      </c>
      <c r="D120" s="4" t="s">
        <v>193</v>
      </c>
      <c r="E120" s="4" t="s">
        <v>170</v>
      </c>
      <c r="F120" s="4" t="s">
        <v>155</v>
      </c>
      <c r="G120" s="4"/>
      <c r="H120" s="4"/>
      <c r="I120" s="4" t="s">
        <v>140</v>
      </c>
      <c r="J120" s="4" t="s">
        <v>181</v>
      </c>
      <c r="K120" s="4" t="s">
        <v>144</v>
      </c>
      <c r="L120" s="4" t="s">
        <v>165</v>
      </c>
      <c r="M120" s="4" t="s">
        <v>589</v>
      </c>
      <c r="N120" s="4" t="s">
        <v>158</v>
      </c>
      <c r="O120" s="4" t="s">
        <v>122</v>
      </c>
      <c r="P120" s="4"/>
    </row>
    <row r="121" spans="1:16" ht="15">
      <c r="A121" s="4" t="s">
        <v>590</v>
      </c>
      <c r="B121" s="30">
        <v>39951</v>
      </c>
      <c r="C121" s="4"/>
      <c r="D121" s="4" t="s">
        <v>193</v>
      </c>
      <c r="E121" s="4" t="s">
        <v>170</v>
      </c>
      <c r="F121" s="4" t="s">
        <v>155</v>
      </c>
      <c r="G121" s="4"/>
      <c r="H121" s="4"/>
      <c r="I121" s="4" t="s">
        <v>140</v>
      </c>
      <c r="J121" s="4" t="s">
        <v>591</v>
      </c>
      <c r="K121" s="4" t="s">
        <v>145</v>
      </c>
      <c r="L121" s="4" t="s">
        <v>162</v>
      </c>
      <c r="M121" s="4" t="s">
        <v>176</v>
      </c>
      <c r="N121" s="4" t="s">
        <v>155</v>
      </c>
      <c r="O121" s="4" t="s">
        <v>129</v>
      </c>
      <c r="P121" s="4"/>
    </row>
    <row r="122" spans="1:16" ht="15">
      <c r="A122" s="4" t="s">
        <v>592</v>
      </c>
      <c r="B122" s="30">
        <v>39974</v>
      </c>
      <c r="C122" s="4" t="s">
        <v>496</v>
      </c>
      <c r="D122" s="4" t="s">
        <v>193</v>
      </c>
      <c r="E122" s="4" t="s">
        <v>170</v>
      </c>
      <c r="F122" s="4" t="s">
        <v>155</v>
      </c>
      <c r="G122" s="4"/>
      <c r="H122" s="4"/>
      <c r="I122" s="4" t="s">
        <v>140</v>
      </c>
      <c r="J122" s="4" t="s">
        <v>178</v>
      </c>
      <c r="K122" s="4" t="s">
        <v>145</v>
      </c>
      <c r="L122" s="4" t="s">
        <v>162</v>
      </c>
      <c r="M122" s="4" t="s">
        <v>175</v>
      </c>
      <c r="N122" s="4" t="s">
        <v>155</v>
      </c>
      <c r="O122" s="4" t="s">
        <v>129</v>
      </c>
      <c r="P122" s="4"/>
    </row>
    <row r="123" spans="1:16" ht="15">
      <c r="A123" s="4" t="s">
        <v>593</v>
      </c>
      <c r="B123" s="30">
        <v>39935</v>
      </c>
      <c r="C123" s="4"/>
      <c r="D123" s="4" t="s">
        <v>4179</v>
      </c>
      <c r="E123" s="4" t="s">
        <v>170</v>
      </c>
      <c r="F123" s="4" t="s">
        <v>155</v>
      </c>
      <c r="G123" s="4"/>
      <c r="H123" s="4"/>
      <c r="I123" s="4" t="s">
        <v>139</v>
      </c>
      <c r="J123" s="4" t="s">
        <v>509</v>
      </c>
      <c r="K123" s="4" t="s">
        <v>149</v>
      </c>
      <c r="L123" s="4" t="s">
        <v>4181</v>
      </c>
      <c r="M123" s="4" t="s">
        <v>173</v>
      </c>
      <c r="N123" s="4" t="s">
        <v>161</v>
      </c>
      <c r="O123" s="4" t="s">
        <v>420</v>
      </c>
      <c r="P123" s="4"/>
    </row>
    <row r="124" spans="1:16" ht="15">
      <c r="A124" s="4" t="s">
        <v>594</v>
      </c>
      <c r="B124" s="30">
        <v>39965</v>
      </c>
      <c r="C124" s="4" t="s">
        <v>9</v>
      </c>
      <c r="D124" s="4" t="s">
        <v>194</v>
      </c>
      <c r="E124" s="4" t="s">
        <v>170</v>
      </c>
      <c r="F124" s="4" t="s">
        <v>155</v>
      </c>
      <c r="G124" s="4"/>
      <c r="H124" s="4"/>
      <c r="I124" s="4" t="s">
        <v>139</v>
      </c>
      <c r="J124" s="4" t="s">
        <v>178</v>
      </c>
      <c r="K124" s="4" t="s">
        <v>143</v>
      </c>
      <c r="L124" s="4" t="s">
        <v>4176</v>
      </c>
      <c r="M124" s="4" t="s">
        <v>174</v>
      </c>
      <c r="N124" s="4" t="s">
        <v>159</v>
      </c>
      <c r="O124" s="4" t="s">
        <v>123</v>
      </c>
      <c r="P124" s="4" t="s">
        <v>123</v>
      </c>
    </row>
    <row r="125" spans="1:16" ht="15">
      <c r="A125" s="4" t="s">
        <v>595</v>
      </c>
      <c r="B125" s="30">
        <v>40006</v>
      </c>
      <c r="C125" s="4"/>
      <c r="D125" s="4" t="s">
        <v>194</v>
      </c>
      <c r="E125" s="4" t="s">
        <v>170</v>
      </c>
      <c r="F125" s="4" t="s">
        <v>155</v>
      </c>
      <c r="G125" s="4">
        <v>5</v>
      </c>
      <c r="H125" s="4">
        <v>5</v>
      </c>
      <c r="I125" s="4" t="s">
        <v>139</v>
      </c>
      <c r="J125" s="4" t="s">
        <v>189</v>
      </c>
      <c r="K125" s="4" t="s">
        <v>145</v>
      </c>
      <c r="L125" s="4" t="s">
        <v>4181</v>
      </c>
      <c r="M125" s="4" t="s">
        <v>173</v>
      </c>
      <c r="N125" s="4" t="s">
        <v>155</v>
      </c>
      <c r="O125" s="4" t="s">
        <v>128</v>
      </c>
      <c r="P125" s="4"/>
    </row>
    <row r="126" spans="1:16" ht="15">
      <c r="A126" s="4" t="s">
        <v>596</v>
      </c>
      <c r="B126" s="30">
        <v>40047</v>
      </c>
      <c r="C126" s="4"/>
      <c r="D126" s="4" t="s">
        <v>193</v>
      </c>
      <c r="E126" s="4" t="s">
        <v>170</v>
      </c>
      <c r="F126" s="4" t="s">
        <v>155</v>
      </c>
      <c r="G126" s="4">
        <v>5</v>
      </c>
      <c r="H126" s="4">
        <v>3</v>
      </c>
      <c r="I126" s="4" t="s">
        <v>140</v>
      </c>
      <c r="J126" s="4" t="s">
        <v>182</v>
      </c>
      <c r="K126" s="4" t="s">
        <v>150</v>
      </c>
      <c r="L126" s="4" t="s">
        <v>162</v>
      </c>
      <c r="M126" s="4" t="s">
        <v>597</v>
      </c>
      <c r="N126" s="4" t="s">
        <v>161</v>
      </c>
      <c r="O126" s="4" t="s">
        <v>571</v>
      </c>
      <c r="P126" s="4"/>
    </row>
    <row r="127" spans="1:16" ht="15">
      <c r="A127" s="4" t="s">
        <v>598</v>
      </c>
      <c r="B127" s="30">
        <v>40054</v>
      </c>
      <c r="C127" s="4" t="s">
        <v>525</v>
      </c>
      <c r="D127" s="4" t="s">
        <v>193</v>
      </c>
      <c r="E127" s="4" t="s">
        <v>170</v>
      </c>
      <c r="F127" s="4" t="s">
        <v>155</v>
      </c>
      <c r="G127" s="4">
        <v>3</v>
      </c>
      <c r="H127" s="4">
        <v>4</v>
      </c>
      <c r="I127" s="4" t="s">
        <v>140</v>
      </c>
      <c r="J127" s="4" t="s">
        <v>180</v>
      </c>
      <c r="K127" s="4" t="s">
        <v>144</v>
      </c>
      <c r="L127" s="4" t="s">
        <v>165</v>
      </c>
      <c r="M127" s="4"/>
      <c r="N127" s="4" t="s">
        <v>158</v>
      </c>
      <c r="O127" s="4" t="s">
        <v>122</v>
      </c>
      <c r="P127" s="4"/>
    </row>
    <row r="128" spans="1:16" ht="15">
      <c r="A128" s="4" t="s">
        <v>599</v>
      </c>
      <c r="B128" s="30">
        <v>40018</v>
      </c>
      <c r="C128" s="4"/>
      <c r="D128" s="4" t="s">
        <v>193</v>
      </c>
      <c r="E128" s="4" t="s">
        <v>170</v>
      </c>
      <c r="F128" s="4" t="s">
        <v>155</v>
      </c>
      <c r="G128" s="4">
        <v>5</v>
      </c>
      <c r="H128" s="4">
        <v>5</v>
      </c>
      <c r="I128" s="4" t="s">
        <v>140</v>
      </c>
      <c r="J128" s="4" t="s">
        <v>181</v>
      </c>
      <c r="K128" s="4" t="s">
        <v>142</v>
      </c>
      <c r="L128" s="4" t="s">
        <v>162</v>
      </c>
      <c r="M128" s="4"/>
      <c r="N128" s="4" t="s">
        <v>155</v>
      </c>
      <c r="O128" s="4" t="s">
        <v>127</v>
      </c>
      <c r="P128" s="4"/>
    </row>
    <row r="129" spans="1:16" ht="15">
      <c r="A129" s="4" t="s">
        <v>600</v>
      </c>
      <c r="B129" s="30">
        <v>40023</v>
      </c>
      <c r="C129" s="4"/>
      <c r="D129" s="4" t="s">
        <v>195</v>
      </c>
      <c r="E129" s="4" t="s">
        <v>170</v>
      </c>
      <c r="F129" s="4" t="s">
        <v>155</v>
      </c>
      <c r="G129" s="4">
        <v>5</v>
      </c>
      <c r="H129" s="4">
        <v>3</v>
      </c>
      <c r="I129" s="4" t="s">
        <v>139</v>
      </c>
      <c r="J129" s="4" t="s">
        <v>537</v>
      </c>
      <c r="K129" s="4" t="s">
        <v>144</v>
      </c>
      <c r="L129" s="4" t="s">
        <v>4176</v>
      </c>
      <c r="M129" s="4" t="s">
        <v>175</v>
      </c>
      <c r="N129" s="4" t="s">
        <v>159</v>
      </c>
      <c r="O129" s="4" t="s">
        <v>126</v>
      </c>
      <c r="P129" s="4" t="s">
        <v>601</v>
      </c>
    </row>
    <row r="130" spans="1:16" ht="15">
      <c r="A130" s="4" t="s">
        <v>602</v>
      </c>
      <c r="B130" s="30">
        <v>40032</v>
      </c>
      <c r="C130" s="4"/>
      <c r="D130" s="4" t="s">
        <v>193</v>
      </c>
      <c r="E130" s="4" t="s">
        <v>170</v>
      </c>
      <c r="F130" s="4" t="s">
        <v>155</v>
      </c>
      <c r="G130" s="4">
        <v>5</v>
      </c>
      <c r="H130" s="4">
        <v>2</v>
      </c>
      <c r="I130" s="4" t="s">
        <v>140</v>
      </c>
      <c r="J130" s="4" t="s">
        <v>603</v>
      </c>
      <c r="K130" s="4" t="s">
        <v>146</v>
      </c>
      <c r="L130" s="4" t="s">
        <v>4176</v>
      </c>
      <c r="M130" s="4" t="s">
        <v>174</v>
      </c>
      <c r="N130" s="4" t="s">
        <v>159</v>
      </c>
      <c r="O130" s="4" t="s">
        <v>123</v>
      </c>
      <c r="P130" s="4" t="s">
        <v>123</v>
      </c>
    </row>
    <row r="131" spans="1:16" ht="15">
      <c r="A131" s="4" t="s">
        <v>604</v>
      </c>
      <c r="B131" s="30">
        <v>40011</v>
      </c>
      <c r="C131" s="4"/>
      <c r="D131" s="4" t="s">
        <v>194</v>
      </c>
      <c r="E131" s="4" t="s">
        <v>170</v>
      </c>
      <c r="F131" s="4" t="s">
        <v>155</v>
      </c>
      <c r="G131" s="4">
        <v>5</v>
      </c>
      <c r="H131" s="4">
        <v>5</v>
      </c>
      <c r="I131" s="4" t="s">
        <v>139</v>
      </c>
      <c r="J131" s="4" t="s">
        <v>182</v>
      </c>
      <c r="K131" s="4" t="s">
        <v>143</v>
      </c>
      <c r="L131" s="4" t="s">
        <v>162</v>
      </c>
      <c r="M131" s="4" t="s">
        <v>175</v>
      </c>
      <c r="N131" s="4" t="s">
        <v>155</v>
      </c>
      <c r="O131" s="4" t="s">
        <v>130</v>
      </c>
      <c r="P131" s="4"/>
    </row>
    <row r="132" spans="1:16" ht="15">
      <c r="A132" s="4" t="s">
        <v>605</v>
      </c>
      <c r="B132" s="30">
        <v>40051</v>
      </c>
      <c r="C132" s="4"/>
      <c r="D132" s="4" t="s">
        <v>197</v>
      </c>
      <c r="E132" s="4" t="s">
        <v>170</v>
      </c>
      <c r="F132" s="4" t="s">
        <v>155</v>
      </c>
      <c r="G132" s="4">
        <v>5</v>
      </c>
      <c r="H132" s="4">
        <v>2</v>
      </c>
      <c r="I132" s="4" t="s">
        <v>139</v>
      </c>
      <c r="J132" s="4" t="s">
        <v>191</v>
      </c>
      <c r="K132" s="4" t="s">
        <v>142</v>
      </c>
      <c r="L132" s="4" t="s">
        <v>162</v>
      </c>
      <c r="M132" s="4" t="s">
        <v>459</v>
      </c>
      <c r="N132" s="4" t="s">
        <v>155</v>
      </c>
      <c r="O132" s="4" t="s">
        <v>129</v>
      </c>
      <c r="P132" s="4"/>
    </row>
    <row r="133" spans="1:16" ht="15">
      <c r="A133" s="4" t="s">
        <v>606</v>
      </c>
      <c r="B133" s="30">
        <v>40022</v>
      </c>
      <c r="C133" s="4"/>
      <c r="D133" s="4" t="s">
        <v>196</v>
      </c>
      <c r="E133" s="4" t="s">
        <v>170</v>
      </c>
      <c r="F133" s="4" t="s">
        <v>155</v>
      </c>
      <c r="G133" s="4">
        <v>5</v>
      </c>
      <c r="H133" s="4">
        <v>5</v>
      </c>
      <c r="I133" s="4" t="s">
        <v>139</v>
      </c>
      <c r="J133" s="4" t="s">
        <v>190</v>
      </c>
      <c r="K133" s="4" t="s">
        <v>146</v>
      </c>
      <c r="L133" s="4" t="s">
        <v>162</v>
      </c>
      <c r="M133" s="4" t="s">
        <v>176</v>
      </c>
      <c r="N133" s="4" t="s">
        <v>155</v>
      </c>
      <c r="O133" s="4" t="s">
        <v>129</v>
      </c>
      <c r="P133" s="4"/>
    </row>
    <row r="134" spans="1:16" ht="15">
      <c r="A134" s="4" t="s">
        <v>607</v>
      </c>
      <c r="B134" s="30">
        <v>40012</v>
      </c>
      <c r="C134" s="4" t="s">
        <v>383</v>
      </c>
      <c r="D134" s="4" t="s">
        <v>193</v>
      </c>
      <c r="E134" s="4" t="s">
        <v>170</v>
      </c>
      <c r="F134" s="4" t="s">
        <v>155</v>
      </c>
      <c r="G134" s="4">
        <v>3</v>
      </c>
      <c r="H134" s="4">
        <v>3</v>
      </c>
      <c r="I134" s="4" t="s">
        <v>140</v>
      </c>
      <c r="J134" s="4" t="s">
        <v>178</v>
      </c>
      <c r="K134" s="4" t="s">
        <v>144</v>
      </c>
      <c r="L134" s="4" t="s">
        <v>165</v>
      </c>
      <c r="M134" s="4"/>
      <c r="N134" s="4" t="s">
        <v>158</v>
      </c>
      <c r="O134" s="4" t="s">
        <v>122</v>
      </c>
      <c r="P134" s="4"/>
    </row>
    <row r="135" spans="1:16" ht="15">
      <c r="A135" s="4" t="s">
        <v>608</v>
      </c>
      <c r="B135" s="30">
        <v>40059</v>
      </c>
      <c r="C135" s="4"/>
      <c r="D135" s="4" t="s">
        <v>196</v>
      </c>
      <c r="E135" s="4" t="s">
        <v>170</v>
      </c>
      <c r="F135" s="4" t="s">
        <v>155</v>
      </c>
      <c r="G135" s="4">
        <v>3</v>
      </c>
      <c r="H135" s="4">
        <v>4</v>
      </c>
      <c r="I135" s="4" t="s">
        <v>139</v>
      </c>
      <c r="J135" s="4" t="s">
        <v>178</v>
      </c>
      <c r="K135" s="4" t="s">
        <v>148</v>
      </c>
      <c r="L135" s="4" t="s">
        <v>4176</v>
      </c>
      <c r="M135" s="4" t="s">
        <v>174</v>
      </c>
      <c r="N135" s="4" t="s">
        <v>156</v>
      </c>
      <c r="O135" s="4" t="s">
        <v>120</v>
      </c>
      <c r="P135" s="4" t="s">
        <v>609</v>
      </c>
    </row>
    <row r="136" spans="1:16" ht="15">
      <c r="A136" s="4" t="s">
        <v>610</v>
      </c>
      <c r="B136" s="30">
        <v>40040</v>
      </c>
      <c r="C136" s="4"/>
      <c r="D136" s="4" t="s">
        <v>196</v>
      </c>
      <c r="E136" s="4" t="s">
        <v>170</v>
      </c>
      <c r="F136" s="4" t="s">
        <v>155</v>
      </c>
      <c r="G136" s="4">
        <v>5</v>
      </c>
      <c r="H136" s="4">
        <v>2</v>
      </c>
      <c r="I136" s="4" t="s">
        <v>139</v>
      </c>
      <c r="J136" s="4" t="s">
        <v>179</v>
      </c>
      <c r="K136" s="4" t="s">
        <v>148</v>
      </c>
      <c r="L136" s="4" t="s">
        <v>4176</v>
      </c>
      <c r="M136" s="4" t="s">
        <v>174</v>
      </c>
      <c r="N136" s="4" t="s">
        <v>157</v>
      </c>
      <c r="O136" s="4" t="s">
        <v>387</v>
      </c>
      <c r="P136" s="4" t="s">
        <v>611</v>
      </c>
    </row>
    <row r="137" spans="1:16" ht="15">
      <c r="A137" s="4" t="s">
        <v>612</v>
      </c>
      <c r="B137" s="30">
        <v>40001</v>
      </c>
      <c r="C137" s="4"/>
      <c r="D137" s="4" t="s">
        <v>196</v>
      </c>
      <c r="E137" s="4" t="s">
        <v>170</v>
      </c>
      <c r="F137" s="4" t="s">
        <v>155</v>
      </c>
      <c r="G137" s="4"/>
      <c r="H137" s="4">
        <v>2</v>
      </c>
      <c r="I137" s="4" t="s">
        <v>139</v>
      </c>
      <c r="J137" s="4" t="s">
        <v>181</v>
      </c>
      <c r="K137" s="4" t="s">
        <v>146</v>
      </c>
      <c r="L137" s="4" t="s">
        <v>162</v>
      </c>
      <c r="M137" s="4" t="s">
        <v>459</v>
      </c>
      <c r="N137" s="4" t="s">
        <v>155</v>
      </c>
      <c r="O137" s="4" t="s">
        <v>129</v>
      </c>
      <c r="P137" s="4"/>
    </row>
    <row r="138" spans="1:16" ht="15">
      <c r="A138" s="4" t="s">
        <v>613</v>
      </c>
      <c r="B138" s="30">
        <v>39948</v>
      </c>
      <c r="C138" s="4"/>
      <c r="D138" s="4" t="s">
        <v>195</v>
      </c>
      <c r="E138" s="4" t="s">
        <v>170</v>
      </c>
      <c r="F138" s="4" t="s">
        <v>155</v>
      </c>
      <c r="G138" s="4"/>
      <c r="H138" s="4"/>
      <c r="I138" s="4" t="s">
        <v>139</v>
      </c>
      <c r="J138" s="4" t="s">
        <v>181</v>
      </c>
      <c r="K138" s="4" t="s">
        <v>143</v>
      </c>
      <c r="L138" s="4" t="s">
        <v>165</v>
      </c>
      <c r="M138" s="4" t="s">
        <v>614</v>
      </c>
      <c r="N138" s="4" t="s">
        <v>158</v>
      </c>
      <c r="O138" s="4" t="s">
        <v>122</v>
      </c>
      <c r="P138" s="4"/>
    </row>
    <row r="139" spans="1:16" ht="15">
      <c r="A139" s="4" t="s">
        <v>615</v>
      </c>
      <c r="B139" s="30">
        <v>39910</v>
      </c>
      <c r="C139" s="4"/>
      <c r="D139" s="4" t="s">
        <v>4182</v>
      </c>
      <c r="E139" s="4" t="s">
        <v>170</v>
      </c>
      <c r="F139" s="4" t="s">
        <v>155</v>
      </c>
      <c r="G139" s="4"/>
      <c r="H139" s="4"/>
      <c r="I139" s="4" t="s">
        <v>139</v>
      </c>
      <c r="J139" s="4" t="s">
        <v>179</v>
      </c>
      <c r="K139" s="4" t="s">
        <v>143</v>
      </c>
      <c r="L139" s="4" t="s">
        <v>4181</v>
      </c>
      <c r="M139" s="4" t="s">
        <v>173</v>
      </c>
      <c r="N139" s="4" t="s">
        <v>161</v>
      </c>
      <c r="O139" s="4" t="s">
        <v>616</v>
      </c>
      <c r="P139" s="4"/>
    </row>
    <row r="140" spans="1:16" ht="15">
      <c r="A140" s="4" t="s">
        <v>617</v>
      </c>
      <c r="B140" s="30">
        <v>40009</v>
      </c>
      <c r="C140" s="4"/>
      <c r="D140" s="4" t="s">
        <v>193</v>
      </c>
      <c r="E140" s="4" t="s">
        <v>170</v>
      </c>
      <c r="F140" s="4" t="s">
        <v>155</v>
      </c>
      <c r="G140" s="4">
        <v>5</v>
      </c>
      <c r="H140" s="4">
        <v>5</v>
      </c>
      <c r="I140" s="4" t="s">
        <v>140</v>
      </c>
      <c r="J140" s="4" t="s">
        <v>183</v>
      </c>
      <c r="K140" s="4" t="s">
        <v>145</v>
      </c>
      <c r="L140" s="4" t="s">
        <v>162</v>
      </c>
      <c r="M140" s="4" t="s">
        <v>581</v>
      </c>
      <c r="N140" s="4" t="s">
        <v>155</v>
      </c>
      <c r="O140" s="4" t="s">
        <v>130</v>
      </c>
      <c r="P140" s="4"/>
    </row>
    <row r="141" spans="1:16" ht="15">
      <c r="A141" s="4" t="s">
        <v>618</v>
      </c>
      <c r="B141" s="30">
        <v>40014</v>
      </c>
      <c r="C141" s="4"/>
      <c r="D141" s="4" t="s">
        <v>196</v>
      </c>
      <c r="E141" s="4" t="s">
        <v>170</v>
      </c>
      <c r="F141" s="4" t="s">
        <v>155</v>
      </c>
      <c r="G141" s="4">
        <v>5</v>
      </c>
      <c r="H141" s="4">
        <v>5</v>
      </c>
      <c r="I141" s="4" t="s">
        <v>139</v>
      </c>
      <c r="J141" s="4" t="s">
        <v>180</v>
      </c>
      <c r="K141" s="4" t="s">
        <v>142</v>
      </c>
      <c r="L141" s="4" t="s">
        <v>4176</v>
      </c>
      <c r="M141" s="4" t="s">
        <v>619</v>
      </c>
      <c r="N141" s="4" t="s">
        <v>156</v>
      </c>
      <c r="O141" s="4" t="s">
        <v>120</v>
      </c>
      <c r="P141" s="4" t="s">
        <v>620</v>
      </c>
    </row>
    <row r="142" spans="1:16" ht="15">
      <c r="A142" s="4" t="s">
        <v>621</v>
      </c>
      <c r="B142" s="30">
        <v>39993</v>
      </c>
      <c r="C142" s="4"/>
      <c r="D142" s="4" t="s">
        <v>194</v>
      </c>
      <c r="E142" s="4" t="s">
        <v>170</v>
      </c>
      <c r="F142" s="4" t="s">
        <v>155</v>
      </c>
      <c r="G142" s="4"/>
      <c r="H142" s="4">
        <v>2</v>
      </c>
      <c r="I142" s="4" t="s">
        <v>139</v>
      </c>
      <c r="J142" s="4" t="s">
        <v>189</v>
      </c>
      <c r="K142" s="4" t="s">
        <v>149</v>
      </c>
      <c r="L142" s="4" t="s">
        <v>162</v>
      </c>
      <c r="M142" s="4" t="s">
        <v>622</v>
      </c>
      <c r="N142" s="4" t="s">
        <v>155</v>
      </c>
      <c r="O142" s="4" t="s">
        <v>130</v>
      </c>
      <c r="P142" s="4"/>
    </row>
    <row r="143" spans="1:16" ht="15">
      <c r="A143" s="4" t="s">
        <v>623</v>
      </c>
      <c r="B143" s="30">
        <v>39953</v>
      </c>
      <c r="C143" s="4"/>
      <c r="D143" s="4" t="s">
        <v>193</v>
      </c>
      <c r="E143" s="4" t="s">
        <v>170</v>
      </c>
      <c r="F143" s="4" t="s">
        <v>155</v>
      </c>
      <c r="G143" s="4"/>
      <c r="H143" s="4"/>
      <c r="I143" s="4" t="s">
        <v>140</v>
      </c>
      <c r="J143" s="4" t="s">
        <v>179</v>
      </c>
      <c r="K143" s="4" t="s">
        <v>147</v>
      </c>
      <c r="L143" s="4" t="s">
        <v>4181</v>
      </c>
      <c r="M143" s="4" t="s">
        <v>173</v>
      </c>
      <c r="N143" s="4" t="s">
        <v>155</v>
      </c>
      <c r="O143" s="4" t="s">
        <v>454</v>
      </c>
      <c r="P143" s="4"/>
    </row>
    <row r="144" spans="1:16" ht="15">
      <c r="A144" s="4" t="s">
        <v>624</v>
      </c>
      <c r="B144" s="30">
        <v>39960</v>
      </c>
      <c r="C144" s="4"/>
      <c r="D144" s="4" t="s">
        <v>195</v>
      </c>
      <c r="E144" s="4" t="s">
        <v>170</v>
      </c>
      <c r="F144" s="4" t="s">
        <v>155</v>
      </c>
      <c r="G144" s="4"/>
      <c r="H144" s="4"/>
      <c r="I144" s="4" t="s">
        <v>139</v>
      </c>
      <c r="J144" s="4" t="s">
        <v>181</v>
      </c>
      <c r="K144" s="4" t="s">
        <v>151</v>
      </c>
      <c r="L144" s="4" t="s">
        <v>162</v>
      </c>
      <c r="M144" s="4" t="s">
        <v>459</v>
      </c>
      <c r="N144" s="4" t="s">
        <v>155</v>
      </c>
      <c r="O144" s="4" t="s">
        <v>130</v>
      </c>
      <c r="P144" s="4"/>
    </row>
    <row r="145" spans="1:16" ht="15">
      <c r="A145" s="4" t="s">
        <v>625</v>
      </c>
      <c r="B145" s="30">
        <v>39924</v>
      </c>
      <c r="C145" s="4"/>
      <c r="D145" s="4" t="s">
        <v>4180</v>
      </c>
      <c r="E145" s="4" t="s">
        <v>170</v>
      </c>
      <c r="F145" s="4" t="s">
        <v>155</v>
      </c>
      <c r="G145" s="4"/>
      <c r="H145" s="4"/>
      <c r="I145" s="4" t="s">
        <v>139</v>
      </c>
      <c r="J145" s="4" t="s">
        <v>433</v>
      </c>
      <c r="K145" s="4" t="s">
        <v>147</v>
      </c>
      <c r="L145" s="4" t="s">
        <v>4176</v>
      </c>
      <c r="M145" s="4" t="s">
        <v>174</v>
      </c>
      <c r="N145" s="4" t="s">
        <v>156</v>
      </c>
      <c r="O145" s="4" t="s">
        <v>120</v>
      </c>
      <c r="P145" s="4" t="s">
        <v>626</v>
      </c>
    </row>
    <row r="146" spans="1:16" ht="15">
      <c r="A146" s="4" t="s">
        <v>627</v>
      </c>
      <c r="B146" s="30">
        <v>40042</v>
      </c>
      <c r="C146" s="4" t="s">
        <v>383</v>
      </c>
      <c r="D146" s="4" t="s">
        <v>197</v>
      </c>
      <c r="E146" s="4" t="s">
        <v>170</v>
      </c>
      <c r="F146" s="4" t="s">
        <v>155</v>
      </c>
      <c r="G146" s="4">
        <v>5</v>
      </c>
      <c r="H146" s="4">
        <v>5</v>
      </c>
      <c r="I146" s="4" t="s">
        <v>139</v>
      </c>
      <c r="J146" s="4" t="s">
        <v>186</v>
      </c>
      <c r="K146" s="4" t="s">
        <v>145</v>
      </c>
      <c r="L146" s="4" t="s">
        <v>4176</v>
      </c>
      <c r="M146" s="4" t="s">
        <v>176</v>
      </c>
      <c r="N146" s="4" t="s">
        <v>125</v>
      </c>
      <c r="O146" s="4" t="s">
        <v>628</v>
      </c>
      <c r="P146" s="4" t="s">
        <v>629</v>
      </c>
    </row>
    <row r="147" spans="1:16" ht="15">
      <c r="A147" s="4" t="s">
        <v>630</v>
      </c>
      <c r="B147" s="30">
        <v>39995</v>
      </c>
      <c r="C147" s="4"/>
      <c r="D147" s="4" t="s">
        <v>193</v>
      </c>
      <c r="E147" s="4" t="s">
        <v>170</v>
      </c>
      <c r="F147" s="4" t="s">
        <v>155</v>
      </c>
      <c r="G147" s="4"/>
      <c r="H147" s="4">
        <v>3</v>
      </c>
      <c r="I147" s="4" t="s">
        <v>140</v>
      </c>
      <c r="J147" s="4" t="s">
        <v>178</v>
      </c>
      <c r="K147" s="4" t="s">
        <v>149</v>
      </c>
      <c r="L147" s="4" t="s">
        <v>4176</v>
      </c>
      <c r="M147" s="4" t="s">
        <v>174</v>
      </c>
      <c r="N147" s="4" t="s">
        <v>156</v>
      </c>
      <c r="O147" s="4" t="s">
        <v>120</v>
      </c>
      <c r="P147" s="4" t="s">
        <v>631</v>
      </c>
    </row>
    <row r="148" spans="1:16" ht="15">
      <c r="A148" s="4" t="s">
        <v>632</v>
      </c>
      <c r="B148" s="30">
        <v>39951</v>
      </c>
      <c r="C148" s="4"/>
      <c r="D148" s="4" t="s">
        <v>194</v>
      </c>
      <c r="E148" s="4" t="s">
        <v>170</v>
      </c>
      <c r="F148" s="4" t="s">
        <v>155</v>
      </c>
      <c r="G148" s="4"/>
      <c r="H148" s="4"/>
      <c r="I148" s="4" t="s">
        <v>139</v>
      </c>
      <c r="J148" s="4" t="s">
        <v>178</v>
      </c>
      <c r="K148" s="4" t="s">
        <v>145</v>
      </c>
      <c r="L148" s="4" t="s">
        <v>4176</v>
      </c>
      <c r="M148" s="4" t="s">
        <v>174</v>
      </c>
      <c r="N148" s="4" t="s">
        <v>156</v>
      </c>
      <c r="O148" s="4" t="s">
        <v>120</v>
      </c>
      <c r="P148" s="4" t="s">
        <v>631</v>
      </c>
    </row>
    <row r="149" spans="1:16" ht="15">
      <c r="A149" s="4" t="s">
        <v>633</v>
      </c>
      <c r="B149" s="30">
        <v>40063</v>
      </c>
      <c r="C149" s="4"/>
      <c r="D149" s="4" t="s">
        <v>193</v>
      </c>
      <c r="E149" s="4" t="s">
        <v>170</v>
      </c>
      <c r="F149" s="4" t="s">
        <v>155</v>
      </c>
      <c r="G149" s="4">
        <v>1</v>
      </c>
      <c r="H149" s="4">
        <v>5</v>
      </c>
      <c r="I149" s="4" t="s">
        <v>140</v>
      </c>
      <c r="J149" s="4" t="s">
        <v>185</v>
      </c>
      <c r="K149" s="4" t="s">
        <v>150</v>
      </c>
      <c r="L149" s="4" t="s">
        <v>4176</v>
      </c>
      <c r="M149" s="4" t="s">
        <v>174</v>
      </c>
      <c r="N149" s="4" t="s">
        <v>156</v>
      </c>
      <c r="O149" s="4" t="s">
        <v>120</v>
      </c>
      <c r="P149" s="4" t="s">
        <v>425</v>
      </c>
    </row>
    <row r="150" spans="1:16" ht="15">
      <c r="A150" s="4" t="s">
        <v>634</v>
      </c>
      <c r="B150" s="30">
        <v>40058</v>
      </c>
      <c r="C150" s="4"/>
      <c r="D150" s="4" t="s">
        <v>196</v>
      </c>
      <c r="E150" s="4" t="s">
        <v>170</v>
      </c>
      <c r="F150" s="4" t="s">
        <v>155</v>
      </c>
      <c r="G150" s="4">
        <v>1</v>
      </c>
      <c r="H150" s="4">
        <v>4</v>
      </c>
      <c r="I150" s="4" t="s">
        <v>139</v>
      </c>
      <c r="J150" s="4" t="s">
        <v>534</v>
      </c>
      <c r="K150" s="4" t="s">
        <v>151</v>
      </c>
      <c r="L150" s="4" t="s">
        <v>162</v>
      </c>
      <c r="M150" s="4" t="s">
        <v>573</v>
      </c>
      <c r="N150" s="4" t="s">
        <v>155</v>
      </c>
      <c r="O150" s="4" t="s">
        <v>129</v>
      </c>
      <c r="P150" s="4"/>
    </row>
    <row r="151" spans="1:16" ht="15">
      <c r="A151" s="4" t="s">
        <v>635</v>
      </c>
      <c r="B151" s="30">
        <v>39952</v>
      </c>
      <c r="C151" s="4" t="s">
        <v>380</v>
      </c>
      <c r="D151" s="4" t="s">
        <v>193</v>
      </c>
      <c r="E151" s="4" t="s">
        <v>170</v>
      </c>
      <c r="F151" s="4" t="s">
        <v>155</v>
      </c>
      <c r="G151" s="4"/>
      <c r="H151" s="4"/>
      <c r="I151" s="4" t="s">
        <v>140</v>
      </c>
      <c r="J151" s="4" t="s">
        <v>433</v>
      </c>
      <c r="K151" s="4" t="s">
        <v>145</v>
      </c>
      <c r="L151" s="4" t="s">
        <v>4176</v>
      </c>
      <c r="M151" s="4" t="s">
        <v>174</v>
      </c>
      <c r="N151" s="4" t="s">
        <v>157</v>
      </c>
      <c r="O151" s="4" t="s">
        <v>571</v>
      </c>
      <c r="P151" s="4" t="s">
        <v>636</v>
      </c>
    </row>
    <row r="152" spans="1:16" ht="15">
      <c r="A152" s="4" t="s">
        <v>637</v>
      </c>
      <c r="B152" s="30">
        <v>39919</v>
      </c>
      <c r="C152" s="4"/>
      <c r="D152" s="4" t="s">
        <v>4182</v>
      </c>
      <c r="E152" s="4" t="s">
        <v>170</v>
      </c>
      <c r="F152" s="4" t="s">
        <v>155</v>
      </c>
      <c r="G152" s="4"/>
      <c r="H152" s="4"/>
      <c r="I152" s="4" t="s">
        <v>139</v>
      </c>
      <c r="J152" s="4" t="s">
        <v>183</v>
      </c>
      <c r="K152" s="4" t="s">
        <v>150</v>
      </c>
      <c r="L152" s="4" t="s">
        <v>4181</v>
      </c>
      <c r="M152" s="4" t="s">
        <v>173</v>
      </c>
      <c r="N152" s="4" t="s">
        <v>161</v>
      </c>
      <c r="O152" s="4" t="s">
        <v>638</v>
      </c>
      <c r="P152" s="4"/>
    </row>
    <row r="153" spans="1:16" ht="15">
      <c r="A153" s="4" t="s">
        <v>639</v>
      </c>
      <c r="B153" s="30">
        <v>40041</v>
      </c>
      <c r="C153" s="4" t="s">
        <v>496</v>
      </c>
      <c r="D153" s="4" t="s">
        <v>196</v>
      </c>
      <c r="E153" s="4" t="s">
        <v>170</v>
      </c>
      <c r="F153" s="4" t="s">
        <v>155</v>
      </c>
      <c r="G153" s="4">
        <v>5</v>
      </c>
      <c r="H153" s="4">
        <v>5</v>
      </c>
      <c r="I153" s="4" t="s">
        <v>139</v>
      </c>
      <c r="J153" s="4" t="s">
        <v>183</v>
      </c>
      <c r="K153" s="4" t="s">
        <v>146</v>
      </c>
      <c r="L153" s="4" t="s">
        <v>4176</v>
      </c>
      <c r="M153" s="4" t="s">
        <v>174</v>
      </c>
      <c r="N153" s="4" t="s">
        <v>159</v>
      </c>
      <c r="O153" s="4" t="s">
        <v>123</v>
      </c>
      <c r="P153" s="4" t="s">
        <v>123</v>
      </c>
    </row>
    <row r="154" spans="1:16" ht="15">
      <c r="A154" s="4" t="s">
        <v>640</v>
      </c>
      <c r="B154" s="30">
        <v>39924</v>
      </c>
      <c r="C154" s="4"/>
      <c r="D154" s="4" t="s">
        <v>4178</v>
      </c>
      <c r="E154" s="4" t="s">
        <v>170</v>
      </c>
      <c r="F154" s="4" t="s">
        <v>155</v>
      </c>
      <c r="G154" s="4"/>
      <c r="H154" s="4"/>
      <c r="I154" s="4" t="s">
        <v>139</v>
      </c>
      <c r="J154" s="4" t="s">
        <v>447</v>
      </c>
      <c r="K154" s="4" t="s">
        <v>143</v>
      </c>
      <c r="L154" s="4" t="s">
        <v>4176</v>
      </c>
      <c r="M154" s="4" t="s">
        <v>550</v>
      </c>
      <c r="N154" s="4" t="s">
        <v>157</v>
      </c>
      <c r="O154" s="4" t="s">
        <v>571</v>
      </c>
      <c r="P154" s="4" t="s">
        <v>641</v>
      </c>
    </row>
    <row r="155" spans="1:16" ht="15">
      <c r="A155" s="4" t="s">
        <v>642</v>
      </c>
      <c r="B155" s="30">
        <v>39910</v>
      </c>
      <c r="C155" s="4"/>
      <c r="D155" s="4" t="s">
        <v>4179</v>
      </c>
      <c r="E155" s="4" t="s">
        <v>170</v>
      </c>
      <c r="F155" s="4" t="s">
        <v>155</v>
      </c>
      <c r="G155" s="4"/>
      <c r="H155" s="4"/>
      <c r="I155" s="4" t="s">
        <v>139</v>
      </c>
      <c r="J155" s="4" t="s">
        <v>433</v>
      </c>
      <c r="K155" s="4" t="s">
        <v>143</v>
      </c>
      <c r="L155" s="4" t="s">
        <v>4176</v>
      </c>
      <c r="M155" s="4" t="s">
        <v>643</v>
      </c>
      <c r="N155" s="4" t="s">
        <v>160</v>
      </c>
      <c r="O155" s="4" t="s">
        <v>392</v>
      </c>
      <c r="P155" s="4" t="s">
        <v>393</v>
      </c>
    </row>
    <row r="156" spans="1:16" ht="15">
      <c r="A156" s="4" t="s">
        <v>644</v>
      </c>
      <c r="B156" s="30">
        <v>39906</v>
      </c>
      <c r="C156" s="4"/>
      <c r="D156" s="4" t="s">
        <v>4183</v>
      </c>
      <c r="E156" s="4" t="s">
        <v>170</v>
      </c>
      <c r="F156" s="4" t="s">
        <v>155</v>
      </c>
      <c r="G156" s="4"/>
      <c r="H156" s="4"/>
      <c r="I156" s="4" t="s">
        <v>140</v>
      </c>
      <c r="J156" s="4" t="s">
        <v>179</v>
      </c>
      <c r="K156" s="4" t="s">
        <v>145</v>
      </c>
      <c r="L156" s="4" t="s">
        <v>165</v>
      </c>
      <c r="M156" s="4"/>
      <c r="N156" s="4" t="s">
        <v>158</v>
      </c>
      <c r="O156" s="4" t="s">
        <v>122</v>
      </c>
      <c r="P156" s="4"/>
    </row>
    <row r="157" spans="1:16" ht="15">
      <c r="A157" s="4" t="s">
        <v>645</v>
      </c>
      <c r="B157" s="30">
        <v>39991</v>
      </c>
      <c r="C157" s="4" t="s">
        <v>383</v>
      </c>
      <c r="D157" s="4" t="s">
        <v>193</v>
      </c>
      <c r="E157" s="4" t="s">
        <v>170</v>
      </c>
      <c r="F157" s="4" t="s">
        <v>155</v>
      </c>
      <c r="G157" s="4"/>
      <c r="H157" s="4">
        <v>5</v>
      </c>
      <c r="I157" s="4" t="s">
        <v>140</v>
      </c>
      <c r="J157" s="4" t="s">
        <v>188</v>
      </c>
      <c r="K157" s="4" t="s">
        <v>142</v>
      </c>
      <c r="L157" s="4" t="s">
        <v>4176</v>
      </c>
      <c r="M157" s="4" t="s">
        <v>619</v>
      </c>
      <c r="N157" s="4" t="s">
        <v>157</v>
      </c>
      <c r="O157" s="4" t="s">
        <v>646</v>
      </c>
      <c r="P157" s="4" t="s">
        <v>647</v>
      </c>
    </row>
    <row r="158" spans="1:16" ht="15">
      <c r="A158" s="4" t="s">
        <v>648</v>
      </c>
      <c r="B158" s="30">
        <v>39952</v>
      </c>
      <c r="C158" s="4" t="s">
        <v>9</v>
      </c>
      <c r="D158" s="4" t="s">
        <v>193</v>
      </c>
      <c r="E158" s="4" t="s">
        <v>170</v>
      </c>
      <c r="F158" s="4" t="s">
        <v>155</v>
      </c>
      <c r="G158" s="4"/>
      <c r="H158" s="4"/>
      <c r="I158" s="4" t="s">
        <v>140</v>
      </c>
      <c r="J158" s="4" t="s">
        <v>183</v>
      </c>
      <c r="K158" s="4" t="s">
        <v>142</v>
      </c>
      <c r="L158" s="4" t="s">
        <v>4176</v>
      </c>
      <c r="M158" s="4" t="s">
        <v>174</v>
      </c>
      <c r="N158" s="4" t="s">
        <v>156</v>
      </c>
      <c r="O158" s="4" t="s">
        <v>120</v>
      </c>
      <c r="P158" s="4" t="s">
        <v>649</v>
      </c>
    </row>
    <row r="159" spans="1:16" ht="15">
      <c r="A159" s="4" t="s">
        <v>650</v>
      </c>
      <c r="B159" s="30">
        <v>39977</v>
      </c>
      <c r="C159" s="4" t="s">
        <v>496</v>
      </c>
      <c r="D159" s="4" t="s">
        <v>193</v>
      </c>
      <c r="E159" s="4" t="s">
        <v>170</v>
      </c>
      <c r="F159" s="4" t="s">
        <v>155</v>
      </c>
      <c r="G159" s="4"/>
      <c r="H159" s="4"/>
      <c r="I159" s="4" t="s">
        <v>140</v>
      </c>
      <c r="J159" s="4" t="s">
        <v>447</v>
      </c>
      <c r="K159" s="4" t="s">
        <v>146</v>
      </c>
      <c r="L159" s="4" t="s">
        <v>4181</v>
      </c>
      <c r="M159" s="4" t="s">
        <v>173</v>
      </c>
      <c r="N159" s="4" t="s">
        <v>155</v>
      </c>
      <c r="O159" s="4" t="s">
        <v>125</v>
      </c>
      <c r="P159" s="4"/>
    </row>
    <row r="160" spans="1:16" ht="15">
      <c r="A160" s="4" t="s">
        <v>651</v>
      </c>
      <c r="B160" s="30">
        <v>39991</v>
      </c>
      <c r="C160" s="4"/>
      <c r="D160" s="4" t="s">
        <v>193</v>
      </c>
      <c r="E160" s="4" t="s">
        <v>170</v>
      </c>
      <c r="F160" s="4" t="s">
        <v>155</v>
      </c>
      <c r="G160" s="4"/>
      <c r="H160" s="4">
        <v>2</v>
      </c>
      <c r="I160" s="4" t="s">
        <v>140</v>
      </c>
      <c r="J160" s="4" t="s">
        <v>182</v>
      </c>
      <c r="K160" s="4" t="s">
        <v>146</v>
      </c>
      <c r="L160" s="4" t="s">
        <v>162</v>
      </c>
      <c r="M160" s="4" t="s">
        <v>175</v>
      </c>
      <c r="N160" s="4" t="s">
        <v>155</v>
      </c>
      <c r="O160" s="4" t="s">
        <v>130</v>
      </c>
      <c r="P160" s="4"/>
    </row>
    <row r="161" spans="1:16" ht="15">
      <c r="A161" s="4" t="s">
        <v>652</v>
      </c>
      <c r="B161" s="30">
        <v>39994</v>
      </c>
      <c r="C161" s="4"/>
      <c r="D161" s="4" t="s">
        <v>193</v>
      </c>
      <c r="E161" s="4" t="s">
        <v>170</v>
      </c>
      <c r="F161" s="4" t="s">
        <v>155</v>
      </c>
      <c r="G161" s="4"/>
      <c r="H161" s="4">
        <v>5</v>
      </c>
      <c r="I161" s="4" t="s">
        <v>140</v>
      </c>
      <c r="J161" s="4" t="s">
        <v>184</v>
      </c>
      <c r="K161" s="4" t="s">
        <v>150</v>
      </c>
      <c r="L161" s="4" t="s">
        <v>162</v>
      </c>
      <c r="M161" s="4" t="s">
        <v>175</v>
      </c>
      <c r="N161" s="4" t="s">
        <v>155</v>
      </c>
      <c r="O161" s="4" t="s">
        <v>130</v>
      </c>
      <c r="P161" s="4"/>
    </row>
    <row r="162" spans="1:16" ht="15">
      <c r="A162" s="4" t="s">
        <v>653</v>
      </c>
      <c r="B162" s="30">
        <v>40015</v>
      </c>
      <c r="C162" s="4" t="s">
        <v>383</v>
      </c>
      <c r="D162" s="4" t="s">
        <v>195</v>
      </c>
      <c r="E162" s="4" t="s">
        <v>170</v>
      </c>
      <c r="F162" s="4" t="s">
        <v>155</v>
      </c>
      <c r="G162" s="4">
        <v>5</v>
      </c>
      <c r="H162" s="4">
        <v>5</v>
      </c>
      <c r="I162" s="4" t="s">
        <v>139</v>
      </c>
      <c r="J162" s="4" t="s">
        <v>187</v>
      </c>
      <c r="K162" s="4" t="s">
        <v>142</v>
      </c>
      <c r="L162" s="4" t="s">
        <v>4176</v>
      </c>
      <c r="M162" s="4" t="s">
        <v>654</v>
      </c>
      <c r="N162" s="4" t="s">
        <v>159</v>
      </c>
      <c r="O162" s="4" t="s">
        <v>123</v>
      </c>
      <c r="P162" s="4" t="s">
        <v>123</v>
      </c>
    </row>
    <row r="163" spans="1:16" ht="15">
      <c r="A163" s="4" t="s">
        <v>655</v>
      </c>
      <c r="B163" s="30">
        <v>40080</v>
      </c>
      <c r="C163" s="4" t="s">
        <v>380</v>
      </c>
      <c r="D163" s="4" t="s">
        <v>196</v>
      </c>
      <c r="E163" s="4" t="s">
        <v>170</v>
      </c>
      <c r="F163" s="4" t="s">
        <v>155</v>
      </c>
      <c r="G163" s="4">
        <v>2</v>
      </c>
      <c r="H163" s="4">
        <v>2</v>
      </c>
      <c r="I163" s="4" t="s">
        <v>139</v>
      </c>
      <c r="J163" s="4" t="s">
        <v>384</v>
      </c>
      <c r="K163" s="4" t="s">
        <v>150</v>
      </c>
      <c r="L163" s="4" t="s">
        <v>162</v>
      </c>
      <c r="M163" s="4" t="s">
        <v>176</v>
      </c>
      <c r="N163" s="4" t="s">
        <v>155</v>
      </c>
      <c r="O163" s="4" t="s">
        <v>129</v>
      </c>
      <c r="P163" s="4"/>
    </row>
    <row r="164" spans="1:16" ht="15">
      <c r="A164" s="4" t="s">
        <v>656</v>
      </c>
      <c r="B164" s="30">
        <v>40071</v>
      </c>
      <c r="C164" s="4"/>
      <c r="D164" s="4" t="s">
        <v>193</v>
      </c>
      <c r="E164" s="4" t="s">
        <v>170</v>
      </c>
      <c r="F164" s="4" t="s">
        <v>155</v>
      </c>
      <c r="G164" s="4"/>
      <c r="H164" s="4"/>
      <c r="I164" s="4" t="s">
        <v>140</v>
      </c>
      <c r="J164" s="4" t="s">
        <v>184</v>
      </c>
      <c r="K164" s="4" t="s">
        <v>144</v>
      </c>
      <c r="L164" s="4" t="s">
        <v>4176</v>
      </c>
      <c r="M164" s="4" t="s">
        <v>174</v>
      </c>
      <c r="N164" s="4" t="s">
        <v>157</v>
      </c>
      <c r="O164" s="4" t="s">
        <v>434</v>
      </c>
      <c r="P164" s="4" t="s">
        <v>435</v>
      </c>
    </row>
    <row r="165" spans="1:16" ht="15">
      <c r="A165" s="4" t="s">
        <v>657</v>
      </c>
      <c r="B165" s="30">
        <v>40015</v>
      </c>
      <c r="C165" s="4"/>
      <c r="D165" s="4" t="s">
        <v>196</v>
      </c>
      <c r="E165" s="4" t="s">
        <v>170</v>
      </c>
      <c r="F165" s="4" t="s">
        <v>155</v>
      </c>
      <c r="G165" s="4">
        <v>5</v>
      </c>
      <c r="H165" s="4">
        <v>3</v>
      </c>
      <c r="I165" s="4" t="s">
        <v>139</v>
      </c>
      <c r="J165" s="4" t="s">
        <v>179</v>
      </c>
      <c r="K165" s="4" t="s">
        <v>151</v>
      </c>
      <c r="L165" s="4" t="s">
        <v>162</v>
      </c>
      <c r="M165" s="4" t="s">
        <v>175</v>
      </c>
      <c r="N165" s="4" t="s">
        <v>155</v>
      </c>
      <c r="O165" s="4" t="s">
        <v>130</v>
      </c>
      <c r="P165" s="4"/>
    </row>
    <row r="166" spans="1:16" ht="15">
      <c r="A166" s="4" t="s">
        <v>658</v>
      </c>
      <c r="B166" s="30">
        <v>40043</v>
      </c>
      <c r="C166" s="4" t="s">
        <v>383</v>
      </c>
      <c r="D166" s="4" t="s">
        <v>193</v>
      </c>
      <c r="E166" s="4" t="s">
        <v>170</v>
      </c>
      <c r="F166" s="4" t="s">
        <v>155</v>
      </c>
      <c r="G166" s="4">
        <v>5</v>
      </c>
      <c r="H166" s="4">
        <v>4</v>
      </c>
      <c r="I166" s="4" t="s">
        <v>140</v>
      </c>
      <c r="J166" s="4" t="s">
        <v>187</v>
      </c>
      <c r="K166" s="4" t="s">
        <v>144</v>
      </c>
      <c r="L166" s="4" t="s">
        <v>4176</v>
      </c>
      <c r="M166" s="4" t="s">
        <v>659</v>
      </c>
      <c r="N166" s="4" t="s">
        <v>156</v>
      </c>
      <c r="O166" s="4" t="s">
        <v>120</v>
      </c>
      <c r="P166" s="4" t="s">
        <v>660</v>
      </c>
    </row>
    <row r="167" spans="1:16" ht="15">
      <c r="A167" s="4" t="s">
        <v>661</v>
      </c>
      <c r="B167" s="30">
        <v>39927</v>
      </c>
      <c r="C167" s="4"/>
      <c r="D167" s="4" t="s">
        <v>4183</v>
      </c>
      <c r="E167" s="4" t="s">
        <v>170</v>
      </c>
      <c r="F167" s="4" t="s">
        <v>155</v>
      </c>
      <c r="G167" s="4"/>
      <c r="H167" s="4"/>
      <c r="I167" s="4" t="s">
        <v>140</v>
      </c>
      <c r="J167" s="4" t="s">
        <v>187</v>
      </c>
      <c r="K167" s="4" t="s">
        <v>148</v>
      </c>
      <c r="L167" s="4" t="s">
        <v>4176</v>
      </c>
      <c r="M167" s="4" t="s">
        <v>550</v>
      </c>
      <c r="N167" s="4" t="s">
        <v>156</v>
      </c>
      <c r="O167" s="4" t="s">
        <v>120</v>
      </c>
      <c r="P167" s="4" t="s">
        <v>662</v>
      </c>
    </row>
    <row r="168" spans="1:16" ht="15">
      <c r="A168" s="4" t="s">
        <v>663</v>
      </c>
      <c r="B168" s="30">
        <v>40024</v>
      </c>
      <c r="C168" s="4"/>
      <c r="D168" s="4" t="s">
        <v>193</v>
      </c>
      <c r="E168" s="4" t="s">
        <v>170</v>
      </c>
      <c r="F168" s="4" t="s">
        <v>155</v>
      </c>
      <c r="G168" s="4">
        <v>5</v>
      </c>
      <c r="H168" s="4">
        <v>5</v>
      </c>
      <c r="I168" s="4" t="s">
        <v>140</v>
      </c>
      <c r="J168" s="4" t="s">
        <v>181</v>
      </c>
      <c r="K168" s="4" t="s">
        <v>150</v>
      </c>
      <c r="L168" s="4" t="s">
        <v>162</v>
      </c>
      <c r="M168" s="4" t="s">
        <v>175</v>
      </c>
      <c r="N168" s="4" t="s">
        <v>155</v>
      </c>
      <c r="O168" s="4" t="s">
        <v>129</v>
      </c>
      <c r="P168" s="4"/>
    </row>
    <row r="169" spans="1:16" ht="15">
      <c r="A169" s="4" t="s">
        <v>664</v>
      </c>
      <c r="B169" s="30">
        <v>39964</v>
      </c>
      <c r="C169" s="4"/>
      <c r="D169" s="4" t="s">
        <v>193</v>
      </c>
      <c r="E169" s="4" t="s">
        <v>170</v>
      </c>
      <c r="F169" s="4" t="s">
        <v>155</v>
      </c>
      <c r="G169" s="4"/>
      <c r="H169" s="4"/>
      <c r="I169" s="4" t="s">
        <v>140</v>
      </c>
      <c r="J169" s="4" t="s">
        <v>181</v>
      </c>
      <c r="K169" s="4" t="s">
        <v>144</v>
      </c>
      <c r="L169" s="4" t="s">
        <v>4176</v>
      </c>
      <c r="M169" s="4" t="s">
        <v>597</v>
      </c>
      <c r="N169" s="4" t="s">
        <v>160</v>
      </c>
      <c r="O169" s="4" t="s">
        <v>126</v>
      </c>
      <c r="P169" s="4" t="s">
        <v>665</v>
      </c>
    </row>
    <row r="170" spans="1:16" ht="15">
      <c r="A170" s="4" t="s">
        <v>666</v>
      </c>
      <c r="B170" s="30">
        <v>40027</v>
      </c>
      <c r="C170" s="4"/>
      <c r="D170" s="4" t="s">
        <v>196</v>
      </c>
      <c r="E170" s="4" t="s">
        <v>170</v>
      </c>
      <c r="F170" s="4" t="s">
        <v>155</v>
      </c>
      <c r="G170" s="4">
        <v>5</v>
      </c>
      <c r="H170" s="4">
        <v>5</v>
      </c>
      <c r="I170" s="4" t="s">
        <v>139</v>
      </c>
      <c r="J170" s="4" t="s">
        <v>187</v>
      </c>
      <c r="K170" s="4" t="s">
        <v>144</v>
      </c>
      <c r="L170" s="4" t="s">
        <v>4176</v>
      </c>
      <c r="M170" s="4"/>
      <c r="N170" s="4" t="s">
        <v>160</v>
      </c>
      <c r="O170" s="4" t="s">
        <v>484</v>
      </c>
      <c r="P170" s="4" t="s">
        <v>667</v>
      </c>
    </row>
    <row r="171" spans="1:16" ht="15">
      <c r="A171" s="4" t="s">
        <v>668</v>
      </c>
      <c r="B171" s="30">
        <v>39977</v>
      </c>
      <c r="C171" s="4" t="s">
        <v>383</v>
      </c>
      <c r="D171" s="4" t="s">
        <v>195</v>
      </c>
      <c r="E171" s="4" t="s">
        <v>170</v>
      </c>
      <c r="F171" s="4" t="s">
        <v>155</v>
      </c>
      <c r="G171" s="4"/>
      <c r="H171" s="4"/>
      <c r="I171" s="4" t="s">
        <v>139</v>
      </c>
      <c r="J171" s="4" t="s">
        <v>181</v>
      </c>
      <c r="K171" s="4" t="s">
        <v>145</v>
      </c>
      <c r="L171" s="4" t="s">
        <v>162</v>
      </c>
      <c r="M171" s="4" t="s">
        <v>176</v>
      </c>
      <c r="N171" s="4" t="s">
        <v>155</v>
      </c>
      <c r="O171" s="4" t="s">
        <v>130</v>
      </c>
      <c r="P171" s="4"/>
    </row>
    <row r="172" spans="1:16" ht="15">
      <c r="A172" s="4" t="s">
        <v>669</v>
      </c>
      <c r="B172" s="30">
        <v>39996</v>
      </c>
      <c r="C172" s="4"/>
      <c r="D172" s="4" t="s">
        <v>197</v>
      </c>
      <c r="E172" s="4" t="s">
        <v>170</v>
      </c>
      <c r="F172" s="4" t="s">
        <v>155</v>
      </c>
      <c r="G172" s="4"/>
      <c r="H172" s="4">
        <v>5</v>
      </c>
      <c r="I172" s="4" t="s">
        <v>139</v>
      </c>
      <c r="J172" s="4" t="s">
        <v>187</v>
      </c>
      <c r="K172" s="4" t="s">
        <v>142</v>
      </c>
      <c r="L172" s="4" t="s">
        <v>4176</v>
      </c>
      <c r="M172" s="4" t="s">
        <v>175</v>
      </c>
      <c r="N172" s="4" t="s">
        <v>125</v>
      </c>
      <c r="O172" s="4" t="s">
        <v>670</v>
      </c>
      <c r="P172" s="4" t="s">
        <v>671</v>
      </c>
    </row>
    <row r="173" spans="1:16" ht="15">
      <c r="A173" s="4" t="s">
        <v>672</v>
      </c>
      <c r="B173" s="30">
        <v>39986</v>
      </c>
      <c r="C173" s="4"/>
      <c r="D173" s="4" t="s">
        <v>196</v>
      </c>
      <c r="E173" s="4" t="s">
        <v>170</v>
      </c>
      <c r="F173" s="4" t="s">
        <v>155</v>
      </c>
      <c r="G173" s="4"/>
      <c r="H173" s="4"/>
      <c r="I173" s="4" t="s">
        <v>139</v>
      </c>
      <c r="J173" s="4" t="s">
        <v>189</v>
      </c>
      <c r="K173" s="4" t="s">
        <v>148</v>
      </c>
      <c r="L173" s="4" t="s">
        <v>162</v>
      </c>
      <c r="M173" s="4" t="s">
        <v>459</v>
      </c>
      <c r="N173" s="4" t="s">
        <v>155</v>
      </c>
      <c r="O173" s="4" t="s">
        <v>130</v>
      </c>
      <c r="P173" s="4"/>
    </row>
    <row r="174" spans="1:16" ht="15">
      <c r="A174" s="4" t="s">
        <v>673</v>
      </c>
      <c r="B174" s="30">
        <v>39907</v>
      </c>
      <c r="C174" s="4"/>
      <c r="D174" s="4" t="s">
        <v>4177</v>
      </c>
      <c r="E174" s="4" t="s">
        <v>170</v>
      </c>
      <c r="F174" s="4" t="s">
        <v>155</v>
      </c>
      <c r="G174" s="4"/>
      <c r="H174" s="4"/>
      <c r="I174" s="4" t="s">
        <v>139</v>
      </c>
      <c r="J174" s="4" t="s">
        <v>189</v>
      </c>
      <c r="K174" s="4" t="s">
        <v>151</v>
      </c>
      <c r="L174" s="4" t="s">
        <v>165</v>
      </c>
      <c r="M174" s="4" t="s">
        <v>674</v>
      </c>
      <c r="N174" s="4" t="s">
        <v>158</v>
      </c>
      <c r="O174" s="4" t="s">
        <v>122</v>
      </c>
      <c r="P174" s="4"/>
    </row>
    <row r="175" spans="1:16" ht="15">
      <c r="A175" s="4" t="s">
        <v>675</v>
      </c>
      <c r="B175" s="30">
        <v>40070</v>
      </c>
      <c r="C175" s="4"/>
      <c r="D175" s="4" t="s">
        <v>193</v>
      </c>
      <c r="E175" s="4" t="s">
        <v>170</v>
      </c>
      <c r="F175" s="4" t="s">
        <v>155</v>
      </c>
      <c r="G175" s="4">
        <v>5</v>
      </c>
      <c r="H175" s="4">
        <v>2</v>
      </c>
      <c r="I175" s="4" t="s">
        <v>140</v>
      </c>
      <c r="J175" s="4" t="s">
        <v>180</v>
      </c>
      <c r="K175" s="4" t="s">
        <v>146</v>
      </c>
      <c r="L175" s="4" t="s">
        <v>4176</v>
      </c>
      <c r="M175" s="4" t="s">
        <v>174</v>
      </c>
      <c r="N175" s="4" t="s">
        <v>156</v>
      </c>
      <c r="O175" s="4" t="s">
        <v>120</v>
      </c>
      <c r="P175" s="4" t="s">
        <v>676</v>
      </c>
    </row>
    <row r="176" spans="1:16" ht="15">
      <c r="A176" s="4" t="s">
        <v>677</v>
      </c>
      <c r="B176" s="30">
        <v>39917</v>
      </c>
      <c r="C176" s="4"/>
      <c r="D176" s="4" t="s">
        <v>4179</v>
      </c>
      <c r="E176" s="4" t="s">
        <v>170</v>
      </c>
      <c r="F176" s="4" t="s">
        <v>155</v>
      </c>
      <c r="G176" s="4"/>
      <c r="H176" s="4"/>
      <c r="I176" s="4" t="s">
        <v>139</v>
      </c>
      <c r="J176" s="4" t="s">
        <v>180</v>
      </c>
      <c r="K176" s="4" t="s">
        <v>143</v>
      </c>
      <c r="L176" s="4" t="s">
        <v>4176</v>
      </c>
      <c r="M176" s="4" t="s">
        <v>174</v>
      </c>
      <c r="N176" s="4" t="s">
        <v>160</v>
      </c>
      <c r="O176" s="4" t="s">
        <v>392</v>
      </c>
      <c r="P176" s="4" t="s">
        <v>393</v>
      </c>
    </row>
    <row r="177" spans="1:16" ht="15">
      <c r="A177" s="4" t="s">
        <v>678</v>
      </c>
      <c r="B177" s="30">
        <v>39996</v>
      </c>
      <c r="C177" s="4"/>
      <c r="D177" s="4" t="s">
        <v>195</v>
      </c>
      <c r="E177" s="4" t="s">
        <v>170</v>
      </c>
      <c r="F177" s="4" t="s">
        <v>155</v>
      </c>
      <c r="G177" s="4"/>
      <c r="H177" s="4">
        <v>3</v>
      </c>
      <c r="I177" s="4" t="s">
        <v>139</v>
      </c>
      <c r="J177" s="4" t="s">
        <v>180</v>
      </c>
      <c r="K177" s="4" t="s">
        <v>142</v>
      </c>
      <c r="L177" s="4" t="s">
        <v>162</v>
      </c>
      <c r="M177" s="4"/>
      <c r="N177" s="4" t="s">
        <v>155</v>
      </c>
      <c r="O177" s="4" t="s">
        <v>130</v>
      </c>
      <c r="P177" s="4"/>
    </row>
    <row r="178" spans="1:16" ht="15">
      <c r="A178" s="4" t="s">
        <v>679</v>
      </c>
      <c r="B178" s="30">
        <v>39989</v>
      </c>
      <c r="C178" s="4"/>
      <c r="D178" s="4" t="s">
        <v>194</v>
      </c>
      <c r="E178" s="4" t="s">
        <v>170</v>
      </c>
      <c r="F178" s="4" t="s">
        <v>155</v>
      </c>
      <c r="G178" s="4"/>
      <c r="H178" s="4"/>
      <c r="I178" s="4" t="s">
        <v>139</v>
      </c>
      <c r="J178" s="4" t="s">
        <v>182</v>
      </c>
      <c r="K178" s="4" t="s">
        <v>148</v>
      </c>
      <c r="L178" s="4" t="s">
        <v>4176</v>
      </c>
      <c r="M178" s="4" t="s">
        <v>578</v>
      </c>
      <c r="N178" s="4" t="s">
        <v>157</v>
      </c>
      <c r="O178" s="4" t="s">
        <v>130</v>
      </c>
      <c r="P178" s="4" t="s">
        <v>437</v>
      </c>
    </row>
    <row r="179" spans="1:16" ht="15">
      <c r="A179" s="4" t="s">
        <v>680</v>
      </c>
      <c r="B179" s="30">
        <v>39982</v>
      </c>
      <c r="C179" s="4"/>
      <c r="D179" s="4" t="s">
        <v>193</v>
      </c>
      <c r="E179" s="4" t="s">
        <v>170</v>
      </c>
      <c r="F179" s="4" t="s">
        <v>155</v>
      </c>
      <c r="G179" s="4"/>
      <c r="H179" s="4"/>
      <c r="I179" s="4" t="s">
        <v>140</v>
      </c>
      <c r="J179" s="4" t="s">
        <v>391</v>
      </c>
      <c r="K179" s="4" t="s">
        <v>143</v>
      </c>
      <c r="L179" s="4" t="s">
        <v>162</v>
      </c>
      <c r="M179" s="4" t="s">
        <v>175</v>
      </c>
      <c r="N179" s="4" t="s">
        <v>155</v>
      </c>
      <c r="O179" s="4" t="s">
        <v>129</v>
      </c>
      <c r="P179" s="4"/>
    </row>
    <row r="180" spans="1:16" ht="15">
      <c r="A180" s="4" t="s">
        <v>681</v>
      </c>
      <c r="B180" s="30">
        <v>40002</v>
      </c>
      <c r="C180" s="4" t="s">
        <v>383</v>
      </c>
      <c r="D180" s="4" t="s">
        <v>196</v>
      </c>
      <c r="E180" s="4" t="s">
        <v>170</v>
      </c>
      <c r="F180" s="4" t="s">
        <v>155</v>
      </c>
      <c r="G180" s="4"/>
      <c r="H180" s="4">
        <v>4</v>
      </c>
      <c r="I180" s="4" t="s">
        <v>139</v>
      </c>
      <c r="J180" s="4" t="s">
        <v>181</v>
      </c>
      <c r="K180" s="4" t="s">
        <v>144</v>
      </c>
      <c r="L180" s="4" t="s">
        <v>4176</v>
      </c>
      <c r="M180" s="4" t="s">
        <v>578</v>
      </c>
      <c r="N180" s="4" t="s">
        <v>157</v>
      </c>
      <c r="O180" s="4" t="s">
        <v>130</v>
      </c>
      <c r="P180" s="4" t="s">
        <v>437</v>
      </c>
    </row>
    <row r="181" spans="1:16" ht="15">
      <c r="A181" s="4" t="s">
        <v>682</v>
      </c>
      <c r="B181" s="30">
        <v>39980</v>
      </c>
      <c r="C181" s="4"/>
      <c r="D181" s="4" t="s">
        <v>193</v>
      </c>
      <c r="E181" s="4" t="s">
        <v>170</v>
      </c>
      <c r="F181" s="4" t="s">
        <v>155</v>
      </c>
      <c r="G181" s="4"/>
      <c r="H181" s="4"/>
      <c r="I181" s="4" t="s">
        <v>140</v>
      </c>
      <c r="J181" s="4" t="s">
        <v>182</v>
      </c>
      <c r="K181" s="4" t="s">
        <v>149</v>
      </c>
      <c r="L181" s="4" t="s">
        <v>4181</v>
      </c>
      <c r="M181" s="4" t="s">
        <v>173</v>
      </c>
      <c r="N181" s="4" t="s">
        <v>155</v>
      </c>
      <c r="O181" s="4" t="s">
        <v>124</v>
      </c>
      <c r="P181" s="4"/>
    </row>
    <row r="182" spans="1:16" ht="15">
      <c r="A182" s="4" t="s">
        <v>683</v>
      </c>
      <c r="B182" s="30">
        <v>39943</v>
      </c>
      <c r="C182" s="4"/>
      <c r="D182" s="4" t="s">
        <v>195</v>
      </c>
      <c r="E182" s="4" t="s">
        <v>170</v>
      </c>
      <c r="F182" s="4" t="s">
        <v>155</v>
      </c>
      <c r="G182" s="4"/>
      <c r="H182" s="4"/>
      <c r="I182" s="4" t="s">
        <v>139</v>
      </c>
      <c r="J182" s="4" t="s">
        <v>391</v>
      </c>
      <c r="K182" s="4" t="s">
        <v>142</v>
      </c>
      <c r="L182" s="4" t="s">
        <v>4176</v>
      </c>
      <c r="M182" s="4" t="s">
        <v>684</v>
      </c>
      <c r="N182" s="4" t="s">
        <v>160</v>
      </c>
      <c r="O182" s="4" t="s">
        <v>126</v>
      </c>
      <c r="P182" s="4" t="s">
        <v>685</v>
      </c>
    </row>
    <row r="183" spans="1:16" ht="15">
      <c r="A183" s="4" t="s">
        <v>686</v>
      </c>
      <c r="B183" s="30">
        <v>40044</v>
      </c>
      <c r="C183" s="4"/>
      <c r="D183" s="4" t="s">
        <v>196</v>
      </c>
      <c r="E183" s="4" t="s">
        <v>170</v>
      </c>
      <c r="F183" s="4" t="s">
        <v>155</v>
      </c>
      <c r="G183" s="4">
        <v>5</v>
      </c>
      <c r="H183" s="4">
        <v>5</v>
      </c>
      <c r="I183" s="4" t="s">
        <v>139</v>
      </c>
      <c r="J183" s="4" t="s">
        <v>182</v>
      </c>
      <c r="K183" s="4" t="s">
        <v>146</v>
      </c>
      <c r="L183" s="4" t="s">
        <v>4181</v>
      </c>
      <c r="M183" s="4" t="s">
        <v>687</v>
      </c>
      <c r="N183" s="4" t="s">
        <v>155</v>
      </c>
      <c r="O183" s="4" t="s">
        <v>125</v>
      </c>
      <c r="P183" s="4"/>
    </row>
    <row r="184" spans="1:16" ht="15">
      <c r="A184" s="4" t="s">
        <v>688</v>
      </c>
      <c r="B184" s="30">
        <v>39977</v>
      </c>
      <c r="C184" s="4"/>
      <c r="D184" s="4" t="s">
        <v>193</v>
      </c>
      <c r="E184" s="4" t="s">
        <v>170</v>
      </c>
      <c r="F184" s="4" t="s">
        <v>155</v>
      </c>
      <c r="G184" s="4"/>
      <c r="H184" s="4"/>
      <c r="I184" s="4" t="s">
        <v>140</v>
      </c>
      <c r="J184" s="4" t="s">
        <v>182</v>
      </c>
      <c r="K184" s="4" t="s">
        <v>143</v>
      </c>
      <c r="L184" s="4" t="s">
        <v>4181</v>
      </c>
      <c r="M184" s="4" t="s">
        <v>689</v>
      </c>
      <c r="N184" s="4" t="s">
        <v>155</v>
      </c>
      <c r="O184" s="4" t="s">
        <v>467</v>
      </c>
      <c r="P184" s="4"/>
    </row>
    <row r="185" spans="1:16" ht="15">
      <c r="A185" s="4" t="s">
        <v>690</v>
      </c>
      <c r="B185" s="30">
        <v>39953</v>
      </c>
      <c r="C185" s="4"/>
      <c r="D185" s="4" t="s">
        <v>193</v>
      </c>
      <c r="E185" s="4" t="s">
        <v>170</v>
      </c>
      <c r="F185" s="4" t="s">
        <v>155</v>
      </c>
      <c r="G185" s="4"/>
      <c r="H185" s="4"/>
      <c r="I185" s="4" t="s">
        <v>140</v>
      </c>
      <c r="J185" s="4" t="s">
        <v>187</v>
      </c>
      <c r="K185" s="4" t="s">
        <v>145</v>
      </c>
      <c r="L185" s="4" t="s">
        <v>4181</v>
      </c>
      <c r="M185" s="4" t="s">
        <v>173</v>
      </c>
      <c r="N185" s="4" t="s">
        <v>155</v>
      </c>
      <c r="O185" s="4" t="s">
        <v>127</v>
      </c>
      <c r="P185" s="4"/>
    </row>
    <row r="186" spans="1:16" ht="15">
      <c r="A186" s="4" t="s">
        <v>691</v>
      </c>
      <c r="B186" s="30">
        <v>39937</v>
      </c>
      <c r="C186" s="4"/>
      <c r="D186" s="4" t="s">
        <v>4180</v>
      </c>
      <c r="E186" s="4" t="s">
        <v>170</v>
      </c>
      <c r="F186" s="4" t="s">
        <v>155</v>
      </c>
      <c r="G186" s="4"/>
      <c r="H186" s="4"/>
      <c r="I186" s="4" t="s">
        <v>139</v>
      </c>
      <c r="J186" s="4" t="s">
        <v>391</v>
      </c>
      <c r="K186" s="4" t="s">
        <v>147</v>
      </c>
      <c r="L186" s="4" t="s">
        <v>4181</v>
      </c>
      <c r="M186" s="4" t="s">
        <v>173</v>
      </c>
      <c r="N186" s="4" t="s">
        <v>155</v>
      </c>
      <c r="O186" s="4" t="s">
        <v>692</v>
      </c>
      <c r="P186" s="4"/>
    </row>
    <row r="187" spans="1:16" ht="15">
      <c r="A187" s="4" t="s">
        <v>693</v>
      </c>
      <c r="B187" s="30">
        <v>39971</v>
      </c>
      <c r="C187" s="4"/>
      <c r="D187" s="4" t="s">
        <v>193</v>
      </c>
      <c r="E187" s="4" t="s">
        <v>170</v>
      </c>
      <c r="F187" s="4" t="s">
        <v>155</v>
      </c>
      <c r="G187" s="4"/>
      <c r="H187" s="4"/>
      <c r="I187" s="4" t="s">
        <v>140</v>
      </c>
      <c r="J187" s="4" t="s">
        <v>182</v>
      </c>
      <c r="K187" s="4" t="s">
        <v>142</v>
      </c>
      <c r="L187" s="4" t="s">
        <v>4176</v>
      </c>
      <c r="M187" s="4" t="s">
        <v>174</v>
      </c>
      <c r="N187" s="4" t="s">
        <v>156</v>
      </c>
      <c r="O187" s="4" t="s">
        <v>120</v>
      </c>
      <c r="P187" s="4" t="s">
        <v>694</v>
      </c>
    </row>
    <row r="188" spans="1:16" ht="15">
      <c r="A188" s="4" t="s">
        <v>695</v>
      </c>
      <c r="B188" s="30">
        <v>39956</v>
      </c>
      <c r="C188" s="4"/>
      <c r="D188" s="4" t="s">
        <v>195</v>
      </c>
      <c r="E188" s="4" t="s">
        <v>170</v>
      </c>
      <c r="F188" s="4" t="s">
        <v>155</v>
      </c>
      <c r="G188" s="4"/>
      <c r="H188" s="4"/>
      <c r="I188" s="4" t="s">
        <v>139</v>
      </c>
      <c r="J188" s="4" t="s">
        <v>391</v>
      </c>
      <c r="K188" s="4" t="s">
        <v>142</v>
      </c>
      <c r="L188" s="4" t="s">
        <v>4176</v>
      </c>
      <c r="M188" s="4" t="s">
        <v>174</v>
      </c>
      <c r="N188" s="4" t="s">
        <v>157</v>
      </c>
      <c r="O188" s="4" t="s">
        <v>130</v>
      </c>
      <c r="P188" s="4" t="s">
        <v>437</v>
      </c>
    </row>
    <row r="189" spans="1:16" ht="15">
      <c r="A189" s="4" t="s">
        <v>696</v>
      </c>
      <c r="B189" s="30">
        <v>39986</v>
      </c>
      <c r="C189" s="4"/>
      <c r="D189" s="4" t="s">
        <v>196</v>
      </c>
      <c r="E189" s="4" t="s">
        <v>170</v>
      </c>
      <c r="F189" s="4" t="s">
        <v>155</v>
      </c>
      <c r="G189" s="4"/>
      <c r="H189" s="4"/>
      <c r="I189" s="4" t="s">
        <v>139</v>
      </c>
      <c r="J189" s="4" t="s">
        <v>391</v>
      </c>
      <c r="K189" s="4" t="s">
        <v>146</v>
      </c>
      <c r="L189" s="4" t="s">
        <v>4176</v>
      </c>
      <c r="M189" s="4" t="s">
        <v>619</v>
      </c>
      <c r="N189" s="4" t="s">
        <v>160</v>
      </c>
      <c r="O189" s="4" t="s">
        <v>697</v>
      </c>
      <c r="P189" s="4" t="s">
        <v>698</v>
      </c>
    </row>
    <row r="190" spans="1:16" ht="15">
      <c r="A190" s="4" t="s">
        <v>699</v>
      </c>
      <c r="B190" s="30">
        <v>39982</v>
      </c>
      <c r="C190" s="4"/>
      <c r="D190" s="4" t="s">
        <v>193</v>
      </c>
      <c r="E190" s="4" t="s">
        <v>170</v>
      </c>
      <c r="F190" s="4" t="s">
        <v>155</v>
      </c>
      <c r="G190" s="4"/>
      <c r="H190" s="4"/>
      <c r="I190" s="4" t="s">
        <v>140</v>
      </c>
      <c r="J190" s="4" t="s">
        <v>391</v>
      </c>
      <c r="K190" s="4" t="s">
        <v>144</v>
      </c>
      <c r="L190" s="4" t="s">
        <v>4181</v>
      </c>
      <c r="M190" s="4" t="s">
        <v>700</v>
      </c>
      <c r="N190" s="4" t="s">
        <v>155</v>
      </c>
      <c r="O190" s="4" t="s">
        <v>454</v>
      </c>
      <c r="P190" s="4"/>
    </row>
    <row r="191" spans="1:16" ht="15">
      <c r="A191" s="4" t="s">
        <v>701</v>
      </c>
      <c r="B191" s="30">
        <v>40021</v>
      </c>
      <c r="C191" s="4" t="s">
        <v>383</v>
      </c>
      <c r="D191" s="4" t="s">
        <v>196</v>
      </c>
      <c r="E191" s="4" t="s">
        <v>170</v>
      </c>
      <c r="F191" s="4" t="s">
        <v>155</v>
      </c>
      <c r="G191" s="4">
        <v>3</v>
      </c>
      <c r="H191" s="4">
        <v>4</v>
      </c>
      <c r="I191" s="4" t="s">
        <v>139</v>
      </c>
      <c r="J191" s="4" t="s">
        <v>179</v>
      </c>
      <c r="K191" s="4" t="s">
        <v>143</v>
      </c>
      <c r="L191" s="4" t="s">
        <v>162</v>
      </c>
      <c r="M191" s="4"/>
      <c r="N191" s="4" t="s">
        <v>155</v>
      </c>
      <c r="O191" s="4" t="s">
        <v>130</v>
      </c>
      <c r="P191" s="4"/>
    </row>
    <row r="192" spans="1:16" ht="15">
      <c r="A192" s="4" t="s">
        <v>702</v>
      </c>
      <c r="B192" s="30">
        <v>39975</v>
      </c>
      <c r="C192" s="4" t="s">
        <v>380</v>
      </c>
      <c r="D192" s="4" t="s">
        <v>193</v>
      </c>
      <c r="E192" s="4" t="s">
        <v>170</v>
      </c>
      <c r="F192" s="4" t="s">
        <v>155</v>
      </c>
      <c r="G192" s="4"/>
      <c r="H192" s="4"/>
      <c r="I192" s="4" t="s">
        <v>140</v>
      </c>
      <c r="J192" s="4" t="s">
        <v>433</v>
      </c>
      <c r="K192" s="4" t="s">
        <v>149</v>
      </c>
      <c r="L192" s="4" t="s">
        <v>4176</v>
      </c>
      <c r="M192" s="4"/>
      <c r="N192" s="4" t="s">
        <v>159</v>
      </c>
      <c r="O192" s="4" t="s">
        <v>126</v>
      </c>
      <c r="P192" s="4" t="s">
        <v>601</v>
      </c>
    </row>
    <row r="193" spans="1:16" ht="15">
      <c r="A193" s="4" t="s">
        <v>703</v>
      </c>
      <c r="B193" s="30">
        <v>40020</v>
      </c>
      <c r="C193" s="4"/>
      <c r="D193" s="4" t="s">
        <v>193</v>
      </c>
      <c r="E193" s="4" t="s">
        <v>170</v>
      </c>
      <c r="F193" s="4" t="s">
        <v>155</v>
      </c>
      <c r="G193" s="4">
        <v>5</v>
      </c>
      <c r="H193" s="4">
        <v>5</v>
      </c>
      <c r="I193" s="4" t="s">
        <v>140</v>
      </c>
      <c r="J193" s="4" t="s">
        <v>191</v>
      </c>
      <c r="K193" s="4" t="s">
        <v>142</v>
      </c>
      <c r="L193" s="4" t="s">
        <v>4176</v>
      </c>
      <c r="M193" s="4" t="s">
        <v>659</v>
      </c>
      <c r="N193" s="4" t="s">
        <v>157</v>
      </c>
      <c r="O193" s="4" t="s">
        <v>704</v>
      </c>
      <c r="P193" s="4" t="s">
        <v>705</v>
      </c>
    </row>
    <row r="194" spans="1:16" ht="15">
      <c r="A194" s="4" t="s">
        <v>706</v>
      </c>
      <c r="B194" s="30">
        <v>39947</v>
      </c>
      <c r="C194" s="4" t="s">
        <v>9</v>
      </c>
      <c r="D194" s="4" t="s">
        <v>194</v>
      </c>
      <c r="E194" s="4" t="s">
        <v>170</v>
      </c>
      <c r="F194" s="4" t="s">
        <v>155</v>
      </c>
      <c r="G194" s="4"/>
      <c r="H194" s="4"/>
      <c r="I194" s="4" t="s">
        <v>139</v>
      </c>
      <c r="J194" s="4" t="s">
        <v>178</v>
      </c>
      <c r="K194" s="4" t="s">
        <v>147</v>
      </c>
      <c r="L194" s="4" t="s">
        <v>165</v>
      </c>
      <c r="M194" s="4"/>
      <c r="N194" s="4" t="s">
        <v>158</v>
      </c>
      <c r="O194" s="4" t="s">
        <v>122</v>
      </c>
      <c r="P194" s="4"/>
    </row>
    <row r="195" spans="1:16" ht="15">
      <c r="A195" s="4" t="s">
        <v>707</v>
      </c>
      <c r="B195" s="30">
        <v>39979</v>
      </c>
      <c r="C195" s="4"/>
      <c r="D195" s="4" t="s">
        <v>194</v>
      </c>
      <c r="E195" s="4" t="s">
        <v>170</v>
      </c>
      <c r="F195" s="4" t="s">
        <v>155</v>
      </c>
      <c r="G195" s="4"/>
      <c r="H195" s="4"/>
      <c r="I195" s="4" t="s">
        <v>139</v>
      </c>
      <c r="J195" s="4" t="s">
        <v>178</v>
      </c>
      <c r="K195" s="4" t="s">
        <v>148</v>
      </c>
      <c r="L195" s="4" t="s">
        <v>162</v>
      </c>
      <c r="M195" s="4" t="s">
        <v>175</v>
      </c>
      <c r="N195" s="4" t="s">
        <v>155</v>
      </c>
      <c r="O195" s="4" t="s">
        <v>130</v>
      </c>
      <c r="P195" s="4"/>
    </row>
    <row r="196" spans="1:16" ht="15">
      <c r="A196" s="4" t="s">
        <v>708</v>
      </c>
      <c r="B196" s="30">
        <v>39990</v>
      </c>
      <c r="C196" s="4" t="s">
        <v>380</v>
      </c>
      <c r="D196" s="4" t="s">
        <v>193</v>
      </c>
      <c r="E196" s="4" t="s">
        <v>170</v>
      </c>
      <c r="F196" s="4" t="s">
        <v>155</v>
      </c>
      <c r="G196" s="4"/>
      <c r="H196" s="4">
        <v>5</v>
      </c>
      <c r="I196" s="4" t="s">
        <v>140</v>
      </c>
      <c r="J196" s="4" t="s">
        <v>178</v>
      </c>
      <c r="K196" s="4" t="s">
        <v>146</v>
      </c>
      <c r="L196" s="4" t="s">
        <v>4176</v>
      </c>
      <c r="M196" s="4"/>
      <c r="N196" s="4" t="s">
        <v>160</v>
      </c>
      <c r="O196" s="4" t="s">
        <v>126</v>
      </c>
      <c r="P196" s="4" t="s">
        <v>709</v>
      </c>
    </row>
    <row r="197" spans="1:16" ht="15">
      <c r="A197" s="4" t="s">
        <v>710</v>
      </c>
      <c r="B197" s="30">
        <v>39932</v>
      </c>
      <c r="C197" s="4" t="s">
        <v>525</v>
      </c>
      <c r="D197" s="4" t="s">
        <v>4179</v>
      </c>
      <c r="E197" s="4" t="s">
        <v>170</v>
      </c>
      <c r="F197" s="4" t="s">
        <v>155</v>
      </c>
      <c r="G197" s="4"/>
      <c r="H197" s="4"/>
      <c r="I197" s="4" t="s">
        <v>139</v>
      </c>
      <c r="J197" s="4" t="s">
        <v>180</v>
      </c>
      <c r="K197" s="4" t="s">
        <v>142</v>
      </c>
      <c r="L197" s="4" t="s">
        <v>162</v>
      </c>
      <c r="M197" s="4" t="s">
        <v>431</v>
      </c>
      <c r="N197" s="4" t="s">
        <v>155</v>
      </c>
      <c r="O197" s="4" t="s">
        <v>130</v>
      </c>
      <c r="P197" s="4"/>
    </row>
    <row r="198" spans="1:16" ht="15">
      <c r="A198" s="4" t="s">
        <v>711</v>
      </c>
      <c r="B198" s="30">
        <v>39973</v>
      </c>
      <c r="C198" s="4" t="s">
        <v>9</v>
      </c>
      <c r="D198" s="4" t="s">
        <v>193</v>
      </c>
      <c r="E198" s="4" t="s">
        <v>170</v>
      </c>
      <c r="F198" s="4" t="s">
        <v>155</v>
      </c>
      <c r="G198" s="4"/>
      <c r="H198" s="4"/>
      <c r="I198" s="4" t="s">
        <v>140</v>
      </c>
      <c r="J198" s="4" t="s">
        <v>183</v>
      </c>
      <c r="K198" s="4" t="s">
        <v>142</v>
      </c>
      <c r="L198" s="4" t="s">
        <v>4181</v>
      </c>
      <c r="M198" s="4" t="s">
        <v>173</v>
      </c>
      <c r="N198" s="4" t="s">
        <v>161</v>
      </c>
      <c r="O198" s="4" t="s">
        <v>465</v>
      </c>
      <c r="P198" s="4"/>
    </row>
    <row r="199" spans="1:16" ht="15">
      <c r="A199" s="4" t="s">
        <v>712</v>
      </c>
      <c r="B199" s="30">
        <v>40055</v>
      </c>
      <c r="C199" s="4"/>
      <c r="D199" s="4" t="s">
        <v>193</v>
      </c>
      <c r="E199" s="4" t="s">
        <v>170</v>
      </c>
      <c r="F199" s="4" t="s">
        <v>155</v>
      </c>
      <c r="G199" s="4">
        <v>5</v>
      </c>
      <c r="H199" s="4">
        <v>5</v>
      </c>
      <c r="I199" s="4" t="s">
        <v>140</v>
      </c>
      <c r="J199" s="4" t="s">
        <v>180</v>
      </c>
      <c r="K199" s="4" t="s">
        <v>142</v>
      </c>
      <c r="L199" s="4" t="s">
        <v>162</v>
      </c>
      <c r="M199" s="4" t="s">
        <v>713</v>
      </c>
      <c r="N199" s="4" t="s">
        <v>155</v>
      </c>
      <c r="O199" s="4" t="s">
        <v>129</v>
      </c>
      <c r="P199" s="4"/>
    </row>
    <row r="200" spans="1:16" ht="15">
      <c r="A200" s="4" t="s">
        <v>714</v>
      </c>
      <c r="B200" s="30">
        <v>39952</v>
      </c>
      <c r="C200" s="4" t="s">
        <v>496</v>
      </c>
      <c r="D200" s="4" t="s">
        <v>193</v>
      </c>
      <c r="E200" s="4" t="s">
        <v>170</v>
      </c>
      <c r="F200" s="4" t="s">
        <v>155</v>
      </c>
      <c r="G200" s="4"/>
      <c r="H200" s="4"/>
      <c r="I200" s="4" t="s">
        <v>140</v>
      </c>
      <c r="J200" s="4" t="s">
        <v>179</v>
      </c>
      <c r="K200" s="4" t="s">
        <v>142</v>
      </c>
      <c r="L200" s="4" t="s">
        <v>4176</v>
      </c>
      <c r="M200" s="4" t="s">
        <v>174</v>
      </c>
      <c r="N200" s="4" t="s">
        <v>156</v>
      </c>
      <c r="O200" s="4" t="s">
        <v>120</v>
      </c>
      <c r="P200" s="4" t="s">
        <v>715</v>
      </c>
    </row>
    <row r="201" spans="1:16" ht="15">
      <c r="A201" s="4" t="s">
        <v>716</v>
      </c>
      <c r="B201" s="30">
        <v>40004</v>
      </c>
      <c r="C201" s="4" t="s">
        <v>9</v>
      </c>
      <c r="D201" s="4" t="s">
        <v>196</v>
      </c>
      <c r="E201" s="4" t="s">
        <v>170</v>
      </c>
      <c r="F201" s="4" t="s">
        <v>155</v>
      </c>
      <c r="G201" s="4">
        <v>5</v>
      </c>
      <c r="H201" s="4">
        <v>3</v>
      </c>
      <c r="I201" s="4" t="s">
        <v>139</v>
      </c>
      <c r="J201" s="4" t="s">
        <v>179</v>
      </c>
      <c r="K201" s="4" t="s">
        <v>145</v>
      </c>
      <c r="L201" s="4" t="s">
        <v>4176</v>
      </c>
      <c r="M201" s="4" t="s">
        <v>174</v>
      </c>
      <c r="N201" s="4" t="s">
        <v>156</v>
      </c>
      <c r="O201" s="4" t="s">
        <v>120</v>
      </c>
      <c r="P201" s="4" t="s">
        <v>717</v>
      </c>
    </row>
    <row r="202" spans="1:16" ht="15">
      <c r="A202" s="4" t="s">
        <v>718</v>
      </c>
      <c r="B202" s="30">
        <v>40071</v>
      </c>
      <c r="C202" s="4" t="s">
        <v>570</v>
      </c>
      <c r="D202" s="4" t="s">
        <v>193</v>
      </c>
      <c r="E202" s="4" t="s">
        <v>170</v>
      </c>
      <c r="F202" s="4" t="s">
        <v>155</v>
      </c>
      <c r="G202" s="4">
        <v>5</v>
      </c>
      <c r="H202" s="4">
        <v>3</v>
      </c>
      <c r="I202" s="4" t="s">
        <v>140</v>
      </c>
      <c r="J202" s="4" t="s">
        <v>178</v>
      </c>
      <c r="K202" s="4" t="s">
        <v>146</v>
      </c>
      <c r="L202" s="4" t="s">
        <v>4181</v>
      </c>
      <c r="M202" s="4" t="s">
        <v>500</v>
      </c>
      <c r="N202" s="4" t="s">
        <v>155</v>
      </c>
      <c r="O202" s="4" t="s">
        <v>128</v>
      </c>
      <c r="P202" s="4"/>
    </row>
    <row r="203" spans="1:16" ht="15">
      <c r="A203" s="4" t="s">
        <v>719</v>
      </c>
      <c r="B203" s="30">
        <v>39964</v>
      </c>
      <c r="C203" s="4"/>
      <c r="D203" s="4" t="s">
        <v>193</v>
      </c>
      <c r="E203" s="4" t="s">
        <v>170</v>
      </c>
      <c r="F203" s="4" t="s">
        <v>155</v>
      </c>
      <c r="G203" s="4"/>
      <c r="H203" s="4"/>
      <c r="I203" s="4" t="s">
        <v>140</v>
      </c>
      <c r="J203" s="4" t="s">
        <v>178</v>
      </c>
      <c r="K203" s="4" t="s">
        <v>144</v>
      </c>
      <c r="L203" s="4" t="s">
        <v>4176</v>
      </c>
      <c r="M203" s="4" t="s">
        <v>174</v>
      </c>
      <c r="N203" s="4" t="s">
        <v>157</v>
      </c>
      <c r="O203" s="4" t="s">
        <v>127</v>
      </c>
      <c r="P203" s="4" t="s">
        <v>153</v>
      </c>
    </row>
    <row r="204" spans="1:16" ht="15">
      <c r="A204" s="4" t="s">
        <v>720</v>
      </c>
      <c r="B204" s="30">
        <v>39973</v>
      </c>
      <c r="C204" s="4"/>
      <c r="D204" s="4" t="s">
        <v>194</v>
      </c>
      <c r="E204" s="4" t="s">
        <v>170</v>
      </c>
      <c r="F204" s="4" t="s">
        <v>155</v>
      </c>
      <c r="G204" s="4"/>
      <c r="H204" s="4"/>
      <c r="I204" s="4" t="s">
        <v>139</v>
      </c>
      <c r="J204" s="4" t="s">
        <v>178</v>
      </c>
      <c r="K204" s="4" t="s">
        <v>148</v>
      </c>
      <c r="L204" s="4" t="s">
        <v>4181</v>
      </c>
      <c r="M204" s="4" t="s">
        <v>173</v>
      </c>
      <c r="N204" s="4" t="s">
        <v>161</v>
      </c>
      <c r="O204" s="4" t="s">
        <v>465</v>
      </c>
      <c r="P204" s="4"/>
    </row>
    <row r="205" spans="1:16" ht="15">
      <c r="A205" s="4" t="s">
        <v>721</v>
      </c>
      <c r="B205" s="30">
        <v>40011</v>
      </c>
      <c r="C205" s="4" t="s">
        <v>380</v>
      </c>
      <c r="D205" s="4" t="s">
        <v>196</v>
      </c>
      <c r="E205" s="4" t="s">
        <v>170</v>
      </c>
      <c r="F205" s="4" t="s">
        <v>155</v>
      </c>
      <c r="G205" s="4">
        <v>2</v>
      </c>
      <c r="H205" s="4">
        <v>4</v>
      </c>
      <c r="I205" s="4" t="s">
        <v>139</v>
      </c>
      <c r="J205" s="4" t="s">
        <v>186</v>
      </c>
      <c r="K205" s="4" t="s">
        <v>146</v>
      </c>
      <c r="L205" s="4" t="s">
        <v>4181</v>
      </c>
      <c r="M205" s="4" t="s">
        <v>173</v>
      </c>
      <c r="N205" s="4" t="s">
        <v>155</v>
      </c>
      <c r="O205" s="4" t="s">
        <v>670</v>
      </c>
      <c r="P205" s="4"/>
    </row>
    <row r="206" spans="1:16" ht="15">
      <c r="A206" s="4" t="s">
        <v>722</v>
      </c>
      <c r="B206" s="30">
        <v>39950</v>
      </c>
      <c r="C206" s="4"/>
      <c r="D206" s="4" t="s">
        <v>195</v>
      </c>
      <c r="E206" s="4" t="s">
        <v>170</v>
      </c>
      <c r="F206" s="4" t="s">
        <v>155</v>
      </c>
      <c r="G206" s="4"/>
      <c r="H206" s="4"/>
      <c r="I206" s="4" t="s">
        <v>139</v>
      </c>
      <c r="J206" s="4" t="s">
        <v>181</v>
      </c>
      <c r="K206" s="4" t="s">
        <v>149</v>
      </c>
      <c r="L206" s="4" t="s">
        <v>4176</v>
      </c>
      <c r="M206" s="4" t="s">
        <v>174</v>
      </c>
      <c r="N206" s="4" t="s">
        <v>156</v>
      </c>
      <c r="O206" s="4" t="s">
        <v>120</v>
      </c>
      <c r="P206" s="4" t="s">
        <v>723</v>
      </c>
    </row>
    <row r="207" spans="1:16" ht="15">
      <c r="A207" s="4" t="s">
        <v>724</v>
      </c>
      <c r="B207" s="30">
        <v>40063</v>
      </c>
      <c r="C207" s="4" t="s">
        <v>9</v>
      </c>
      <c r="D207" s="4" t="s">
        <v>544</v>
      </c>
      <c r="E207" s="4" t="s">
        <v>170</v>
      </c>
      <c r="F207" s="4" t="s">
        <v>155</v>
      </c>
      <c r="G207" s="4">
        <v>5</v>
      </c>
      <c r="H207" s="4">
        <v>3</v>
      </c>
      <c r="I207" s="4" t="s">
        <v>139</v>
      </c>
      <c r="J207" s="4" t="s">
        <v>181</v>
      </c>
      <c r="K207" s="4" t="s">
        <v>145</v>
      </c>
      <c r="L207" s="4" t="s">
        <v>4181</v>
      </c>
      <c r="M207" s="4" t="s">
        <v>173</v>
      </c>
      <c r="N207" s="4" t="s">
        <v>155</v>
      </c>
      <c r="O207" s="4" t="s">
        <v>125</v>
      </c>
      <c r="P207" s="4"/>
    </row>
    <row r="208" spans="1:16" ht="15">
      <c r="A208" s="4" t="s">
        <v>725</v>
      </c>
      <c r="B208" s="30">
        <v>39930</v>
      </c>
      <c r="C208" s="4"/>
      <c r="D208" s="4" t="s">
        <v>4179</v>
      </c>
      <c r="E208" s="4" t="s">
        <v>170</v>
      </c>
      <c r="F208" s="4" t="s">
        <v>155</v>
      </c>
      <c r="G208" s="4"/>
      <c r="H208" s="4"/>
      <c r="I208" s="4" t="s">
        <v>139</v>
      </c>
      <c r="J208" s="4" t="s">
        <v>186</v>
      </c>
      <c r="K208" s="4" t="s">
        <v>142</v>
      </c>
      <c r="L208" s="4" t="s">
        <v>4176</v>
      </c>
      <c r="M208" s="4" t="s">
        <v>174</v>
      </c>
      <c r="N208" s="4" t="s">
        <v>160</v>
      </c>
      <c r="O208" s="4" t="s">
        <v>726</v>
      </c>
      <c r="P208" s="4" t="s">
        <v>727</v>
      </c>
    </row>
    <row r="209" spans="1:16" ht="15">
      <c r="A209" s="4" t="s">
        <v>728</v>
      </c>
      <c r="B209" s="30">
        <v>40069</v>
      </c>
      <c r="C209" s="4"/>
      <c r="D209" s="4" t="s">
        <v>195</v>
      </c>
      <c r="E209" s="4" t="s">
        <v>170</v>
      </c>
      <c r="F209" s="4" t="s">
        <v>155</v>
      </c>
      <c r="G209" s="4">
        <v>5</v>
      </c>
      <c r="H209" s="4">
        <v>5</v>
      </c>
      <c r="I209" s="4" t="s">
        <v>139</v>
      </c>
      <c r="J209" s="4" t="s">
        <v>186</v>
      </c>
      <c r="K209" s="4" t="s">
        <v>144</v>
      </c>
      <c r="L209" s="4" t="s">
        <v>162</v>
      </c>
      <c r="M209" s="4"/>
      <c r="N209" s="4" t="s">
        <v>155</v>
      </c>
      <c r="O209" s="4" t="s">
        <v>454</v>
      </c>
      <c r="P209" s="4"/>
    </row>
    <row r="210" spans="1:16" ht="15">
      <c r="A210" s="4" t="s">
        <v>729</v>
      </c>
      <c r="B210" s="30">
        <v>39925</v>
      </c>
      <c r="C210" s="4" t="s">
        <v>9</v>
      </c>
      <c r="D210" s="4" t="s">
        <v>4184</v>
      </c>
      <c r="E210" s="4" t="s">
        <v>170</v>
      </c>
      <c r="F210" s="4" t="s">
        <v>155</v>
      </c>
      <c r="G210" s="4"/>
      <c r="H210" s="4"/>
      <c r="I210" s="4" t="s">
        <v>140</v>
      </c>
      <c r="J210" s="4" t="s">
        <v>183</v>
      </c>
      <c r="K210" s="4" t="s">
        <v>149</v>
      </c>
      <c r="L210" s="4" t="s">
        <v>4181</v>
      </c>
      <c r="M210" s="4" t="s">
        <v>173</v>
      </c>
      <c r="N210" s="4" t="s">
        <v>155</v>
      </c>
      <c r="O210" s="4" t="s">
        <v>484</v>
      </c>
      <c r="P210" s="4"/>
    </row>
    <row r="211" spans="1:16" ht="15">
      <c r="A211" s="4" t="s">
        <v>730</v>
      </c>
      <c r="B211" s="30">
        <v>39914</v>
      </c>
      <c r="C211" s="4" t="s">
        <v>380</v>
      </c>
      <c r="D211" s="4" t="s">
        <v>4183</v>
      </c>
      <c r="E211" s="4" t="s">
        <v>170</v>
      </c>
      <c r="F211" s="4" t="s">
        <v>155</v>
      </c>
      <c r="G211" s="4"/>
      <c r="H211" s="4"/>
      <c r="I211" s="4" t="s">
        <v>140</v>
      </c>
      <c r="J211" s="4" t="s">
        <v>537</v>
      </c>
      <c r="K211" s="4" t="s">
        <v>142</v>
      </c>
      <c r="L211" s="4" t="s">
        <v>4176</v>
      </c>
      <c r="M211" s="4" t="s">
        <v>174</v>
      </c>
      <c r="N211" s="4" t="s">
        <v>160</v>
      </c>
      <c r="O211" s="4" t="s">
        <v>392</v>
      </c>
      <c r="P211" s="4" t="s">
        <v>393</v>
      </c>
    </row>
    <row r="212" spans="1:16" ht="15">
      <c r="A212" s="4" t="s">
        <v>731</v>
      </c>
      <c r="B212" s="30">
        <v>40069</v>
      </c>
      <c r="C212" s="4"/>
      <c r="D212" s="4" t="s">
        <v>193</v>
      </c>
      <c r="E212" s="4" t="s">
        <v>170</v>
      </c>
      <c r="F212" s="4" t="s">
        <v>155</v>
      </c>
      <c r="G212" s="4">
        <v>5</v>
      </c>
      <c r="H212" s="4">
        <v>5</v>
      </c>
      <c r="I212" s="4" t="s">
        <v>140</v>
      </c>
      <c r="J212" s="4" t="s">
        <v>186</v>
      </c>
      <c r="K212" s="4" t="s">
        <v>149</v>
      </c>
      <c r="L212" s="4" t="s">
        <v>4176</v>
      </c>
      <c r="M212" s="4" t="s">
        <v>732</v>
      </c>
      <c r="N212" s="4" t="s">
        <v>159</v>
      </c>
      <c r="O212" s="4" t="s">
        <v>123</v>
      </c>
      <c r="P212" s="4" t="s">
        <v>123</v>
      </c>
    </row>
    <row r="213" spans="1:16" ht="15">
      <c r="A213" s="4" t="s">
        <v>733</v>
      </c>
      <c r="B213" s="30">
        <v>39972</v>
      </c>
      <c r="C213" s="4"/>
      <c r="D213" s="4" t="s">
        <v>193</v>
      </c>
      <c r="E213" s="4" t="s">
        <v>170</v>
      </c>
      <c r="F213" s="4" t="s">
        <v>155</v>
      </c>
      <c r="G213" s="4"/>
      <c r="H213" s="4"/>
      <c r="I213" s="4" t="s">
        <v>140</v>
      </c>
      <c r="J213" s="4" t="s">
        <v>186</v>
      </c>
      <c r="K213" s="4" t="s">
        <v>148</v>
      </c>
      <c r="L213" s="4" t="s">
        <v>4181</v>
      </c>
      <c r="M213" s="4" t="s">
        <v>173</v>
      </c>
      <c r="N213" s="4" t="s">
        <v>155</v>
      </c>
      <c r="O213" s="4" t="s">
        <v>734</v>
      </c>
      <c r="P213" s="4"/>
    </row>
    <row r="214" spans="1:16" ht="15">
      <c r="A214" s="4" t="s">
        <v>735</v>
      </c>
      <c r="B214" s="30">
        <v>39975</v>
      </c>
      <c r="C214" s="4"/>
      <c r="D214" s="4" t="s">
        <v>193</v>
      </c>
      <c r="E214" s="4" t="s">
        <v>170</v>
      </c>
      <c r="F214" s="4" t="s">
        <v>155</v>
      </c>
      <c r="G214" s="4"/>
      <c r="H214" s="4"/>
      <c r="I214" s="4" t="s">
        <v>140</v>
      </c>
      <c r="J214" s="4" t="s">
        <v>186</v>
      </c>
      <c r="K214" s="4" t="s">
        <v>146</v>
      </c>
      <c r="L214" s="4" t="s">
        <v>162</v>
      </c>
      <c r="M214" s="4" t="s">
        <v>175</v>
      </c>
      <c r="N214" s="4" t="s">
        <v>155</v>
      </c>
      <c r="O214" s="4" t="s">
        <v>129</v>
      </c>
      <c r="P214" s="4"/>
    </row>
    <row r="215" spans="1:16" ht="15">
      <c r="A215" s="4" t="s">
        <v>736</v>
      </c>
      <c r="B215" s="30">
        <v>39913</v>
      </c>
      <c r="C215" s="4"/>
      <c r="D215" s="4" t="s">
        <v>4182</v>
      </c>
      <c r="E215" s="4" t="s">
        <v>170</v>
      </c>
      <c r="F215" s="4" t="s">
        <v>155</v>
      </c>
      <c r="G215" s="4"/>
      <c r="H215" s="4"/>
      <c r="I215" s="4" t="s">
        <v>139</v>
      </c>
      <c r="J215" s="4" t="s">
        <v>180</v>
      </c>
      <c r="K215" s="4" t="s">
        <v>147</v>
      </c>
      <c r="L215" s="4" t="s">
        <v>4181</v>
      </c>
      <c r="M215" s="4" t="s">
        <v>173</v>
      </c>
      <c r="N215" s="4" t="s">
        <v>155</v>
      </c>
      <c r="O215" s="4" t="s">
        <v>124</v>
      </c>
      <c r="P215" s="4"/>
    </row>
    <row r="216" spans="1:16" ht="15">
      <c r="A216" s="4" t="s">
        <v>737</v>
      </c>
      <c r="B216" s="30">
        <v>40016</v>
      </c>
      <c r="C216" s="4"/>
      <c r="D216" s="4" t="s">
        <v>193</v>
      </c>
      <c r="E216" s="4" t="s">
        <v>170</v>
      </c>
      <c r="F216" s="4" t="s">
        <v>155</v>
      </c>
      <c r="G216" s="4">
        <v>5</v>
      </c>
      <c r="H216" s="4">
        <v>3</v>
      </c>
      <c r="I216" s="4" t="s">
        <v>140</v>
      </c>
      <c r="J216" s="4" t="s">
        <v>191</v>
      </c>
      <c r="K216" s="4" t="s">
        <v>143</v>
      </c>
      <c r="L216" s="4" t="s">
        <v>162</v>
      </c>
      <c r="M216" s="4" t="s">
        <v>176</v>
      </c>
      <c r="N216" s="4" t="s">
        <v>155</v>
      </c>
      <c r="O216" s="4" t="s">
        <v>129</v>
      </c>
      <c r="P216" s="4"/>
    </row>
    <row r="217" spans="1:16" ht="15">
      <c r="A217" s="4" t="s">
        <v>738</v>
      </c>
      <c r="B217" s="30">
        <v>40011</v>
      </c>
      <c r="C217" s="4"/>
      <c r="D217" s="4" t="s">
        <v>194</v>
      </c>
      <c r="E217" s="4" t="s">
        <v>170</v>
      </c>
      <c r="F217" s="4" t="s">
        <v>155</v>
      </c>
      <c r="G217" s="4">
        <v>5</v>
      </c>
      <c r="H217" s="4">
        <v>3</v>
      </c>
      <c r="I217" s="4" t="s">
        <v>139</v>
      </c>
      <c r="J217" s="4" t="s">
        <v>186</v>
      </c>
      <c r="K217" s="4" t="s">
        <v>146</v>
      </c>
      <c r="L217" s="4" t="s">
        <v>4176</v>
      </c>
      <c r="M217" s="4" t="s">
        <v>174</v>
      </c>
      <c r="N217" s="4" t="s">
        <v>156</v>
      </c>
      <c r="O217" s="4" t="s">
        <v>120</v>
      </c>
      <c r="P217" s="4" t="s">
        <v>425</v>
      </c>
    </row>
    <row r="218" spans="1:16" ht="15">
      <c r="A218" s="4" t="s">
        <v>739</v>
      </c>
      <c r="B218" s="30">
        <v>40020</v>
      </c>
      <c r="C218" s="4"/>
      <c r="D218" s="4" t="s">
        <v>193</v>
      </c>
      <c r="E218" s="4" t="s">
        <v>170</v>
      </c>
      <c r="F218" s="4" t="s">
        <v>155</v>
      </c>
      <c r="G218" s="4">
        <v>5</v>
      </c>
      <c r="H218" s="4">
        <v>3</v>
      </c>
      <c r="I218" s="4" t="s">
        <v>140</v>
      </c>
      <c r="J218" s="4" t="s">
        <v>183</v>
      </c>
      <c r="K218" s="4" t="s">
        <v>144</v>
      </c>
      <c r="L218" s="4" t="s">
        <v>4181</v>
      </c>
      <c r="M218" s="4" t="s">
        <v>173</v>
      </c>
      <c r="N218" s="4" t="s">
        <v>155</v>
      </c>
      <c r="O218" s="4" t="s">
        <v>124</v>
      </c>
      <c r="P218" s="4"/>
    </row>
    <row r="219" spans="1:16" ht="15">
      <c r="A219" s="4" t="s">
        <v>740</v>
      </c>
      <c r="B219" s="30">
        <v>39930</v>
      </c>
      <c r="C219" s="4"/>
      <c r="D219" s="4" t="s">
        <v>4177</v>
      </c>
      <c r="E219" s="4" t="s">
        <v>170</v>
      </c>
      <c r="F219" s="4" t="s">
        <v>155</v>
      </c>
      <c r="G219" s="4"/>
      <c r="H219" s="4"/>
      <c r="I219" s="4" t="s">
        <v>139</v>
      </c>
      <c r="J219" s="4" t="s">
        <v>183</v>
      </c>
      <c r="K219" s="4" t="s">
        <v>151</v>
      </c>
      <c r="L219" s="4" t="s">
        <v>4176</v>
      </c>
      <c r="M219" s="4" t="s">
        <v>174</v>
      </c>
      <c r="N219" s="4" t="s">
        <v>156</v>
      </c>
      <c r="O219" s="4" t="s">
        <v>120</v>
      </c>
      <c r="P219" s="4" t="s">
        <v>741</v>
      </c>
    </row>
    <row r="220" spans="1:16" ht="15">
      <c r="A220" s="4" t="s">
        <v>742</v>
      </c>
      <c r="B220" s="30">
        <v>39974</v>
      </c>
      <c r="C220" s="4"/>
      <c r="D220" s="4" t="s">
        <v>194</v>
      </c>
      <c r="E220" s="4" t="s">
        <v>170</v>
      </c>
      <c r="F220" s="4" t="s">
        <v>155</v>
      </c>
      <c r="G220" s="4"/>
      <c r="H220" s="4"/>
      <c r="I220" s="4" t="s">
        <v>139</v>
      </c>
      <c r="J220" s="4" t="s">
        <v>183</v>
      </c>
      <c r="K220" s="4" t="s">
        <v>148</v>
      </c>
      <c r="L220" s="4" t="s">
        <v>4181</v>
      </c>
      <c r="M220" s="4" t="s">
        <v>173</v>
      </c>
      <c r="N220" s="4" t="s">
        <v>155</v>
      </c>
      <c r="O220" s="4" t="s">
        <v>692</v>
      </c>
      <c r="P220" s="4"/>
    </row>
    <row r="221" spans="1:16" ht="15">
      <c r="A221" s="4" t="s">
        <v>743</v>
      </c>
      <c r="B221" s="30">
        <v>39972</v>
      </c>
      <c r="C221" s="4"/>
      <c r="D221" s="4" t="s">
        <v>194</v>
      </c>
      <c r="E221" s="4" t="s">
        <v>170</v>
      </c>
      <c r="F221" s="4" t="s">
        <v>155</v>
      </c>
      <c r="G221" s="4"/>
      <c r="H221" s="4"/>
      <c r="I221" s="4" t="s">
        <v>139</v>
      </c>
      <c r="J221" s="4" t="s">
        <v>180</v>
      </c>
      <c r="K221" s="4" t="s">
        <v>144</v>
      </c>
      <c r="L221" s="4" t="s">
        <v>4176</v>
      </c>
      <c r="M221" s="4" t="s">
        <v>175</v>
      </c>
      <c r="N221" s="4" t="s">
        <v>159</v>
      </c>
      <c r="O221" s="4" t="s">
        <v>126</v>
      </c>
      <c r="P221" s="4" t="s">
        <v>601</v>
      </c>
    </row>
    <row r="222" spans="1:16" ht="15">
      <c r="A222" s="4" t="s">
        <v>744</v>
      </c>
      <c r="B222" s="30">
        <v>40042</v>
      </c>
      <c r="C222" s="4"/>
      <c r="D222" s="4" t="s">
        <v>193</v>
      </c>
      <c r="E222" s="4" t="s">
        <v>170</v>
      </c>
      <c r="F222" s="4" t="s">
        <v>155</v>
      </c>
      <c r="G222" s="4">
        <v>1</v>
      </c>
      <c r="H222" s="4">
        <v>3</v>
      </c>
      <c r="I222" s="4" t="s">
        <v>140</v>
      </c>
      <c r="J222" s="4" t="s">
        <v>181</v>
      </c>
      <c r="K222" s="4" t="s">
        <v>149</v>
      </c>
      <c r="L222" s="4" t="s">
        <v>4181</v>
      </c>
      <c r="M222" s="4" t="s">
        <v>745</v>
      </c>
      <c r="N222" s="4" t="s">
        <v>155</v>
      </c>
      <c r="O222" s="4" t="s">
        <v>746</v>
      </c>
      <c r="P222" s="4"/>
    </row>
    <row r="223" spans="1:16" ht="15">
      <c r="A223" s="4" t="s">
        <v>747</v>
      </c>
      <c r="B223" s="30">
        <v>40052</v>
      </c>
      <c r="C223" s="4" t="s">
        <v>9</v>
      </c>
      <c r="D223" s="4" t="s">
        <v>193</v>
      </c>
      <c r="E223" s="4" t="s">
        <v>170</v>
      </c>
      <c r="F223" s="4" t="s">
        <v>155</v>
      </c>
      <c r="G223" s="4">
        <v>5</v>
      </c>
      <c r="H223" s="4">
        <v>5</v>
      </c>
      <c r="I223" s="4" t="s">
        <v>140</v>
      </c>
      <c r="J223" s="4" t="s">
        <v>181</v>
      </c>
      <c r="K223" s="4" t="s">
        <v>148</v>
      </c>
      <c r="L223" s="4" t="s">
        <v>4176</v>
      </c>
      <c r="M223" s="4" t="s">
        <v>174</v>
      </c>
      <c r="N223" s="4" t="s">
        <v>156</v>
      </c>
      <c r="O223" s="4" t="s">
        <v>120</v>
      </c>
      <c r="P223" s="4" t="s">
        <v>748</v>
      </c>
    </row>
    <row r="224" spans="1:16" ht="15">
      <c r="A224" s="4" t="s">
        <v>749</v>
      </c>
      <c r="B224" s="30">
        <v>39957</v>
      </c>
      <c r="C224" s="4"/>
      <c r="D224" s="4" t="s">
        <v>194</v>
      </c>
      <c r="E224" s="4" t="s">
        <v>170</v>
      </c>
      <c r="F224" s="4" t="s">
        <v>155</v>
      </c>
      <c r="G224" s="4"/>
      <c r="H224" s="4"/>
      <c r="I224" s="4" t="s">
        <v>139</v>
      </c>
      <c r="J224" s="4" t="s">
        <v>184</v>
      </c>
      <c r="K224" s="4" t="s">
        <v>148</v>
      </c>
      <c r="L224" s="4" t="s">
        <v>162</v>
      </c>
      <c r="M224" s="4" t="s">
        <v>176</v>
      </c>
      <c r="N224" s="4" t="s">
        <v>155</v>
      </c>
      <c r="O224" s="4" t="s">
        <v>130</v>
      </c>
      <c r="P224" s="4"/>
    </row>
    <row r="225" spans="1:16" ht="15">
      <c r="A225" s="4" t="s">
        <v>750</v>
      </c>
      <c r="B225" s="30">
        <v>40026</v>
      </c>
      <c r="C225" s="4"/>
      <c r="D225" s="4" t="s">
        <v>197</v>
      </c>
      <c r="E225" s="4" t="s">
        <v>170</v>
      </c>
      <c r="F225" s="4" t="s">
        <v>155</v>
      </c>
      <c r="G225" s="4">
        <v>5</v>
      </c>
      <c r="H225" s="4">
        <v>5</v>
      </c>
      <c r="I225" s="4" t="s">
        <v>139</v>
      </c>
      <c r="J225" s="4" t="s">
        <v>186</v>
      </c>
      <c r="K225" s="4" t="s">
        <v>142</v>
      </c>
      <c r="L225" s="4" t="s">
        <v>4181</v>
      </c>
      <c r="M225" s="4" t="s">
        <v>173</v>
      </c>
      <c r="N225" s="4" t="s">
        <v>155</v>
      </c>
      <c r="O225" s="4" t="s">
        <v>751</v>
      </c>
      <c r="P225" s="4"/>
    </row>
    <row r="226" spans="1:16" ht="15">
      <c r="A226" s="4" t="s">
        <v>752</v>
      </c>
      <c r="B226" s="30">
        <v>40026</v>
      </c>
      <c r="C226" s="4"/>
      <c r="D226" s="4" t="s">
        <v>197</v>
      </c>
      <c r="E226" s="4" t="s">
        <v>170</v>
      </c>
      <c r="F226" s="4" t="s">
        <v>155</v>
      </c>
      <c r="G226" s="4">
        <v>5</v>
      </c>
      <c r="H226" s="4">
        <v>4</v>
      </c>
      <c r="I226" s="4" t="s">
        <v>139</v>
      </c>
      <c r="J226" s="4" t="s">
        <v>186</v>
      </c>
      <c r="K226" s="4" t="s">
        <v>144</v>
      </c>
      <c r="L226" s="4" t="s">
        <v>162</v>
      </c>
      <c r="M226" s="4" t="s">
        <v>175</v>
      </c>
      <c r="N226" s="4" t="s">
        <v>155</v>
      </c>
      <c r="O226" s="4" t="s">
        <v>129</v>
      </c>
      <c r="P226" s="4"/>
    </row>
    <row r="227" spans="1:16" ht="15">
      <c r="A227" s="4" t="s">
        <v>753</v>
      </c>
      <c r="B227" s="30">
        <v>40030</v>
      </c>
      <c r="C227" s="4" t="s">
        <v>496</v>
      </c>
      <c r="D227" s="4" t="s">
        <v>193</v>
      </c>
      <c r="E227" s="4" t="s">
        <v>170</v>
      </c>
      <c r="F227" s="4" t="s">
        <v>155</v>
      </c>
      <c r="G227" s="4">
        <v>5</v>
      </c>
      <c r="H227" s="4">
        <v>4</v>
      </c>
      <c r="I227" s="4" t="s">
        <v>140</v>
      </c>
      <c r="J227" s="4" t="s">
        <v>528</v>
      </c>
      <c r="K227" s="4" t="s">
        <v>142</v>
      </c>
      <c r="L227" s="4" t="s">
        <v>162</v>
      </c>
      <c r="M227" s="4" t="s">
        <v>175</v>
      </c>
      <c r="N227" s="4" t="s">
        <v>155</v>
      </c>
      <c r="O227" s="4" t="s">
        <v>129</v>
      </c>
      <c r="P227" s="4"/>
    </row>
    <row r="228" spans="1:16" ht="15">
      <c r="A228" s="4" t="s">
        <v>754</v>
      </c>
      <c r="B228" s="30">
        <v>39933</v>
      </c>
      <c r="C228" s="4"/>
      <c r="D228" s="4" t="s">
        <v>4183</v>
      </c>
      <c r="E228" s="4" t="s">
        <v>170</v>
      </c>
      <c r="F228" s="4" t="s">
        <v>155</v>
      </c>
      <c r="G228" s="4"/>
      <c r="H228" s="4"/>
      <c r="I228" s="4" t="s">
        <v>140</v>
      </c>
      <c r="J228" s="4" t="s">
        <v>534</v>
      </c>
      <c r="K228" s="4" t="s">
        <v>147</v>
      </c>
      <c r="L228" s="4" t="s">
        <v>4176</v>
      </c>
      <c r="M228" s="4" t="s">
        <v>174</v>
      </c>
      <c r="N228" s="4" t="s">
        <v>157</v>
      </c>
      <c r="O228" s="4" t="s">
        <v>130</v>
      </c>
      <c r="P228" s="4" t="s">
        <v>423</v>
      </c>
    </row>
    <row r="229" spans="1:16" ht="15">
      <c r="A229" s="4" t="s">
        <v>755</v>
      </c>
      <c r="B229" s="30">
        <v>40070</v>
      </c>
      <c r="C229" s="4" t="s">
        <v>496</v>
      </c>
      <c r="D229" s="4" t="s">
        <v>544</v>
      </c>
      <c r="E229" s="4" t="s">
        <v>170</v>
      </c>
      <c r="F229" s="4" t="s">
        <v>155</v>
      </c>
      <c r="G229" s="4">
        <v>1</v>
      </c>
      <c r="H229" s="4">
        <v>2</v>
      </c>
      <c r="I229" s="4" t="s">
        <v>139</v>
      </c>
      <c r="J229" s="4" t="s">
        <v>534</v>
      </c>
      <c r="K229" s="4" t="s">
        <v>144</v>
      </c>
      <c r="L229" s="4" t="s">
        <v>4176</v>
      </c>
      <c r="M229" s="4" t="s">
        <v>176</v>
      </c>
      <c r="N229" s="4" t="s">
        <v>125</v>
      </c>
      <c r="O229" s="4" t="s">
        <v>628</v>
      </c>
      <c r="P229" s="4" t="s">
        <v>756</v>
      </c>
    </row>
    <row r="230" spans="1:16" ht="15">
      <c r="A230" s="4" t="s">
        <v>757</v>
      </c>
      <c r="B230" s="30">
        <v>40050</v>
      </c>
      <c r="C230" s="4" t="s">
        <v>9</v>
      </c>
      <c r="D230" s="4" t="s">
        <v>193</v>
      </c>
      <c r="E230" s="4" t="s">
        <v>170</v>
      </c>
      <c r="F230" s="4" t="s">
        <v>155</v>
      </c>
      <c r="G230" s="4">
        <v>5</v>
      </c>
      <c r="H230" s="4">
        <v>5</v>
      </c>
      <c r="I230" s="4" t="s">
        <v>140</v>
      </c>
      <c r="J230" s="4" t="s">
        <v>534</v>
      </c>
      <c r="K230" s="4" t="s">
        <v>146</v>
      </c>
      <c r="L230" s="4" t="s">
        <v>165</v>
      </c>
      <c r="M230" s="4" t="s">
        <v>758</v>
      </c>
      <c r="N230" s="4" t="s">
        <v>158</v>
      </c>
      <c r="O230" s="4" t="s">
        <v>122</v>
      </c>
      <c r="P230" s="4"/>
    </row>
    <row r="231" spans="1:16" ht="15">
      <c r="A231" s="4" t="s">
        <v>759</v>
      </c>
      <c r="B231" s="30">
        <v>40028</v>
      </c>
      <c r="C231" s="4" t="s">
        <v>9</v>
      </c>
      <c r="D231" s="4" t="s">
        <v>193</v>
      </c>
      <c r="E231" s="4" t="s">
        <v>170</v>
      </c>
      <c r="F231" s="4" t="s">
        <v>155</v>
      </c>
      <c r="G231" s="4">
        <v>3</v>
      </c>
      <c r="H231" s="4">
        <v>3</v>
      </c>
      <c r="I231" s="4" t="s">
        <v>140</v>
      </c>
      <c r="J231" s="4" t="s">
        <v>534</v>
      </c>
      <c r="K231" s="4" t="s">
        <v>146</v>
      </c>
      <c r="L231" s="4" t="s">
        <v>4176</v>
      </c>
      <c r="M231" s="4" t="s">
        <v>760</v>
      </c>
      <c r="N231" s="4" t="s">
        <v>156</v>
      </c>
      <c r="O231" s="4" t="s">
        <v>120</v>
      </c>
      <c r="P231" s="4" t="s">
        <v>761</v>
      </c>
    </row>
    <row r="232" spans="1:16" ht="15">
      <c r="A232" s="4" t="s">
        <v>762</v>
      </c>
      <c r="B232" s="30">
        <v>40022</v>
      </c>
      <c r="C232" s="4"/>
      <c r="D232" s="4" t="s">
        <v>193</v>
      </c>
      <c r="E232" s="4" t="s">
        <v>170</v>
      </c>
      <c r="F232" s="4" t="s">
        <v>155</v>
      </c>
      <c r="G232" s="4">
        <v>1</v>
      </c>
      <c r="H232" s="4">
        <v>4</v>
      </c>
      <c r="I232" s="4" t="s">
        <v>140</v>
      </c>
      <c r="J232" s="4" t="s">
        <v>534</v>
      </c>
      <c r="K232" s="4" t="s">
        <v>146</v>
      </c>
      <c r="L232" s="4" t="s">
        <v>4181</v>
      </c>
      <c r="M232" s="4" t="s">
        <v>173</v>
      </c>
      <c r="N232" s="4" t="s">
        <v>155</v>
      </c>
      <c r="O232" s="4" t="s">
        <v>763</v>
      </c>
      <c r="P232" s="4"/>
    </row>
    <row r="233" spans="1:16" ht="15">
      <c r="A233" s="4" t="s">
        <v>764</v>
      </c>
      <c r="B233" s="30">
        <v>40046</v>
      </c>
      <c r="C233" s="4"/>
      <c r="D233" s="4" t="s">
        <v>193</v>
      </c>
      <c r="E233" s="4" t="s">
        <v>170</v>
      </c>
      <c r="F233" s="4" t="s">
        <v>155</v>
      </c>
      <c r="G233" s="4">
        <v>5</v>
      </c>
      <c r="H233" s="4">
        <v>5</v>
      </c>
      <c r="I233" s="4" t="s">
        <v>140</v>
      </c>
      <c r="J233" s="4" t="s">
        <v>534</v>
      </c>
      <c r="K233" s="4" t="s">
        <v>144</v>
      </c>
      <c r="L233" s="4" t="s">
        <v>4181</v>
      </c>
      <c r="M233" s="4" t="s">
        <v>173</v>
      </c>
      <c r="N233" s="4" t="s">
        <v>155</v>
      </c>
      <c r="O233" s="4" t="s">
        <v>128</v>
      </c>
      <c r="P233" s="4"/>
    </row>
    <row r="234" spans="1:16" ht="15">
      <c r="A234" s="4" t="s">
        <v>765</v>
      </c>
      <c r="B234" s="30">
        <v>40033</v>
      </c>
      <c r="C234" s="4"/>
      <c r="D234" s="4" t="s">
        <v>197</v>
      </c>
      <c r="E234" s="4" t="s">
        <v>170</v>
      </c>
      <c r="F234" s="4" t="s">
        <v>155</v>
      </c>
      <c r="G234" s="4">
        <v>5</v>
      </c>
      <c r="H234" s="4">
        <v>3</v>
      </c>
      <c r="I234" s="4" t="s">
        <v>139</v>
      </c>
      <c r="J234" s="4" t="s">
        <v>534</v>
      </c>
      <c r="K234" s="4" t="s">
        <v>142</v>
      </c>
      <c r="L234" s="4" t="s">
        <v>4176</v>
      </c>
      <c r="M234" s="4" t="s">
        <v>766</v>
      </c>
      <c r="N234" s="4" t="s">
        <v>160</v>
      </c>
      <c r="O234" s="4" t="s">
        <v>392</v>
      </c>
      <c r="P234" s="4" t="s">
        <v>393</v>
      </c>
    </row>
    <row r="235" spans="1:16" ht="15">
      <c r="A235" s="4" t="s">
        <v>767</v>
      </c>
      <c r="B235" s="30">
        <v>39971</v>
      </c>
      <c r="C235" s="4"/>
      <c r="D235" s="4" t="s">
        <v>194</v>
      </c>
      <c r="E235" s="4" t="s">
        <v>170</v>
      </c>
      <c r="F235" s="4" t="s">
        <v>155</v>
      </c>
      <c r="G235" s="4"/>
      <c r="H235" s="4"/>
      <c r="I235" s="4" t="s">
        <v>139</v>
      </c>
      <c r="J235" s="4" t="s">
        <v>534</v>
      </c>
      <c r="K235" s="4" t="s">
        <v>145</v>
      </c>
      <c r="L235" s="4" t="s">
        <v>4176</v>
      </c>
      <c r="M235" s="4" t="s">
        <v>768</v>
      </c>
      <c r="N235" s="4" t="s">
        <v>156</v>
      </c>
      <c r="O235" s="4" t="s">
        <v>120</v>
      </c>
      <c r="P235" s="4" t="s">
        <v>769</v>
      </c>
    </row>
    <row r="236" spans="1:16" ht="15">
      <c r="A236" s="4" t="s">
        <v>770</v>
      </c>
      <c r="B236" s="30">
        <v>40049</v>
      </c>
      <c r="C236" s="4" t="s">
        <v>9</v>
      </c>
      <c r="D236" s="4" t="s">
        <v>197</v>
      </c>
      <c r="E236" s="4" t="s">
        <v>170</v>
      </c>
      <c r="F236" s="4" t="s">
        <v>155</v>
      </c>
      <c r="G236" s="4">
        <v>1</v>
      </c>
      <c r="H236" s="4">
        <v>5</v>
      </c>
      <c r="I236" s="4" t="s">
        <v>139</v>
      </c>
      <c r="J236" s="4" t="s">
        <v>534</v>
      </c>
      <c r="K236" s="4" t="s">
        <v>146</v>
      </c>
      <c r="L236" s="4" t="s">
        <v>4176</v>
      </c>
      <c r="M236" s="4"/>
      <c r="N236" s="4" t="s">
        <v>160</v>
      </c>
      <c r="O236" s="4" t="s">
        <v>771</v>
      </c>
      <c r="P236" s="4" t="s">
        <v>772</v>
      </c>
    </row>
    <row r="237" spans="1:16" ht="15">
      <c r="A237" s="4" t="s">
        <v>773</v>
      </c>
      <c r="B237" s="30">
        <v>40046</v>
      </c>
      <c r="C237" s="4"/>
      <c r="D237" s="4" t="s">
        <v>193</v>
      </c>
      <c r="E237" s="4" t="s">
        <v>170</v>
      </c>
      <c r="F237" s="4" t="s">
        <v>155</v>
      </c>
      <c r="G237" s="4">
        <v>3</v>
      </c>
      <c r="H237" s="4">
        <v>4</v>
      </c>
      <c r="I237" s="4" t="s">
        <v>140</v>
      </c>
      <c r="J237" s="4" t="s">
        <v>534</v>
      </c>
      <c r="K237" s="4" t="s">
        <v>144</v>
      </c>
      <c r="L237" s="4" t="s">
        <v>4176</v>
      </c>
      <c r="M237" s="4" t="s">
        <v>774</v>
      </c>
      <c r="N237" s="4" t="s">
        <v>159</v>
      </c>
      <c r="O237" s="4" t="s">
        <v>123</v>
      </c>
      <c r="P237" s="4" t="s">
        <v>123</v>
      </c>
    </row>
    <row r="238" spans="1:16" ht="15">
      <c r="A238" s="4" t="s">
        <v>775</v>
      </c>
      <c r="B238" s="30">
        <v>40053</v>
      </c>
      <c r="C238" s="4" t="s">
        <v>380</v>
      </c>
      <c r="D238" s="4" t="s">
        <v>195</v>
      </c>
      <c r="E238" s="4" t="s">
        <v>170</v>
      </c>
      <c r="F238" s="4" t="s">
        <v>155</v>
      </c>
      <c r="G238" s="4">
        <v>5</v>
      </c>
      <c r="H238" s="4">
        <v>5</v>
      </c>
      <c r="I238" s="4" t="s">
        <v>139</v>
      </c>
      <c r="J238" s="4" t="s">
        <v>534</v>
      </c>
      <c r="K238" s="4" t="s">
        <v>142</v>
      </c>
      <c r="L238" s="4" t="s">
        <v>4176</v>
      </c>
      <c r="M238" s="4"/>
      <c r="N238" s="4" t="s">
        <v>160</v>
      </c>
      <c r="O238" s="4" t="s">
        <v>726</v>
      </c>
      <c r="P238" s="4" t="s">
        <v>776</v>
      </c>
    </row>
    <row r="239" spans="1:16" ht="15">
      <c r="A239" s="4" t="s">
        <v>777</v>
      </c>
      <c r="B239" s="30">
        <v>40086</v>
      </c>
      <c r="C239" s="4"/>
      <c r="D239" s="4" t="s">
        <v>193</v>
      </c>
      <c r="E239" s="4" t="s">
        <v>170</v>
      </c>
      <c r="F239" s="4" t="s">
        <v>155</v>
      </c>
      <c r="G239" s="4">
        <v>4</v>
      </c>
      <c r="H239" s="4">
        <v>5</v>
      </c>
      <c r="I239" s="4" t="s">
        <v>140</v>
      </c>
      <c r="J239" s="4" t="s">
        <v>534</v>
      </c>
      <c r="K239" s="4" t="s">
        <v>144</v>
      </c>
      <c r="L239" s="4" t="s">
        <v>4181</v>
      </c>
      <c r="M239" s="4" t="s">
        <v>173</v>
      </c>
      <c r="N239" s="4" t="s">
        <v>155</v>
      </c>
      <c r="O239" s="4" t="s">
        <v>128</v>
      </c>
      <c r="P239" s="4"/>
    </row>
    <row r="240" spans="1:16" ht="15">
      <c r="A240" s="4" t="s">
        <v>778</v>
      </c>
      <c r="B240" s="30">
        <v>40069</v>
      </c>
      <c r="C240" s="4" t="s">
        <v>496</v>
      </c>
      <c r="D240" s="4" t="s">
        <v>544</v>
      </c>
      <c r="E240" s="4" t="s">
        <v>170</v>
      </c>
      <c r="F240" s="4" t="s">
        <v>155</v>
      </c>
      <c r="G240" s="4">
        <v>3</v>
      </c>
      <c r="H240" s="4">
        <v>3</v>
      </c>
      <c r="I240" s="4" t="s">
        <v>139</v>
      </c>
      <c r="J240" s="4" t="s">
        <v>534</v>
      </c>
      <c r="K240" s="4" t="s">
        <v>146</v>
      </c>
      <c r="L240" s="4" t="s">
        <v>4176</v>
      </c>
      <c r="M240" s="4" t="s">
        <v>779</v>
      </c>
      <c r="N240" s="4" t="s">
        <v>125</v>
      </c>
      <c r="O240" s="4" t="s">
        <v>628</v>
      </c>
      <c r="P240" s="4" t="s">
        <v>780</v>
      </c>
    </row>
    <row r="241" spans="1:16" ht="15">
      <c r="A241" s="4" t="s">
        <v>781</v>
      </c>
      <c r="B241" s="30">
        <v>40036</v>
      </c>
      <c r="C241" s="4"/>
      <c r="D241" s="4" t="s">
        <v>196</v>
      </c>
      <c r="E241" s="4" t="s">
        <v>170</v>
      </c>
      <c r="F241" s="4" t="s">
        <v>155</v>
      </c>
      <c r="G241" s="4">
        <v>5</v>
      </c>
      <c r="H241" s="4">
        <v>5</v>
      </c>
      <c r="I241" s="4" t="s">
        <v>139</v>
      </c>
      <c r="J241" s="4" t="s">
        <v>534</v>
      </c>
      <c r="K241" s="4" t="s">
        <v>148</v>
      </c>
      <c r="L241" s="4" t="s">
        <v>4181</v>
      </c>
      <c r="M241" s="4" t="s">
        <v>173</v>
      </c>
      <c r="N241" s="4" t="s">
        <v>155</v>
      </c>
      <c r="O241" s="4" t="s">
        <v>125</v>
      </c>
      <c r="P241" s="4"/>
    </row>
    <row r="242" spans="1:16" ht="15">
      <c r="A242" s="4" t="s">
        <v>782</v>
      </c>
      <c r="B242" s="30">
        <v>40018</v>
      </c>
      <c r="C242" s="4" t="s">
        <v>383</v>
      </c>
      <c r="D242" s="4" t="s">
        <v>193</v>
      </c>
      <c r="E242" s="4" t="s">
        <v>170</v>
      </c>
      <c r="F242" s="4" t="s">
        <v>155</v>
      </c>
      <c r="G242" s="4">
        <v>5</v>
      </c>
      <c r="H242" s="4">
        <v>3</v>
      </c>
      <c r="I242" s="4" t="s">
        <v>140</v>
      </c>
      <c r="J242" s="4" t="s">
        <v>534</v>
      </c>
      <c r="K242" s="4" t="s">
        <v>145</v>
      </c>
      <c r="L242" s="4" t="s">
        <v>162</v>
      </c>
      <c r="M242" s="4" t="s">
        <v>175</v>
      </c>
      <c r="N242" s="4" t="s">
        <v>155</v>
      </c>
      <c r="O242" s="4" t="s">
        <v>130</v>
      </c>
      <c r="P242" s="4"/>
    </row>
    <row r="243" spans="1:16" ht="15">
      <c r="A243" s="4" t="s">
        <v>783</v>
      </c>
      <c r="B243" s="30">
        <v>40067</v>
      </c>
      <c r="C243" s="4"/>
      <c r="D243" s="4" t="s">
        <v>193</v>
      </c>
      <c r="E243" s="4" t="s">
        <v>170</v>
      </c>
      <c r="F243" s="4" t="s">
        <v>155</v>
      </c>
      <c r="G243" s="4">
        <v>5</v>
      </c>
      <c r="H243" s="4">
        <v>5</v>
      </c>
      <c r="I243" s="4" t="s">
        <v>140</v>
      </c>
      <c r="J243" s="4" t="s">
        <v>534</v>
      </c>
      <c r="K243" s="4" t="s">
        <v>146</v>
      </c>
      <c r="L243" s="4" t="s">
        <v>4176</v>
      </c>
      <c r="M243" s="4" t="s">
        <v>578</v>
      </c>
      <c r="N243" s="4" t="s">
        <v>157</v>
      </c>
      <c r="O243" s="4" t="s">
        <v>127</v>
      </c>
      <c r="P243" s="4" t="s">
        <v>153</v>
      </c>
    </row>
    <row r="244" spans="1:16" ht="15">
      <c r="A244" s="4" t="s">
        <v>784</v>
      </c>
      <c r="B244" s="30">
        <v>40038</v>
      </c>
      <c r="C244" s="4"/>
      <c r="D244" s="4" t="s">
        <v>196</v>
      </c>
      <c r="E244" s="4" t="s">
        <v>170</v>
      </c>
      <c r="F244" s="4" t="s">
        <v>155</v>
      </c>
      <c r="G244" s="4">
        <v>1</v>
      </c>
      <c r="H244" s="4">
        <v>3</v>
      </c>
      <c r="I244" s="4" t="s">
        <v>139</v>
      </c>
      <c r="J244" s="4" t="s">
        <v>534</v>
      </c>
      <c r="K244" s="4" t="s">
        <v>143</v>
      </c>
      <c r="L244" s="4" t="s">
        <v>162</v>
      </c>
      <c r="M244" s="4" t="s">
        <v>176</v>
      </c>
      <c r="N244" s="4" t="s">
        <v>155</v>
      </c>
      <c r="O244" s="4" t="s">
        <v>129</v>
      </c>
      <c r="P244" s="4"/>
    </row>
    <row r="245" spans="1:16" ht="15">
      <c r="A245" s="4" t="s">
        <v>785</v>
      </c>
      <c r="B245" s="30">
        <v>39975</v>
      </c>
      <c r="C245" s="4"/>
      <c r="D245" s="4" t="s">
        <v>193</v>
      </c>
      <c r="E245" s="4" t="s">
        <v>170</v>
      </c>
      <c r="F245" s="4" t="s">
        <v>155</v>
      </c>
      <c r="G245" s="4"/>
      <c r="H245" s="4"/>
      <c r="I245" s="4" t="s">
        <v>140</v>
      </c>
      <c r="J245" s="4" t="s">
        <v>433</v>
      </c>
      <c r="K245" s="4" t="s">
        <v>142</v>
      </c>
      <c r="L245" s="4" t="s">
        <v>4181</v>
      </c>
      <c r="M245" s="4" t="s">
        <v>173</v>
      </c>
      <c r="N245" s="4" t="s">
        <v>155</v>
      </c>
      <c r="O245" s="4" t="s">
        <v>454</v>
      </c>
      <c r="P245" s="4"/>
    </row>
    <row r="246" spans="1:16" ht="15">
      <c r="A246" s="4" t="s">
        <v>786</v>
      </c>
      <c r="B246" s="30">
        <v>39983</v>
      </c>
      <c r="C246" s="4"/>
      <c r="D246" s="4" t="s">
        <v>193</v>
      </c>
      <c r="E246" s="4" t="s">
        <v>170</v>
      </c>
      <c r="F246" s="4" t="s">
        <v>155</v>
      </c>
      <c r="G246" s="4"/>
      <c r="H246" s="4"/>
      <c r="I246" s="4" t="s">
        <v>140</v>
      </c>
      <c r="J246" s="4" t="s">
        <v>179</v>
      </c>
      <c r="K246" s="4" t="s">
        <v>149</v>
      </c>
      <c r="L246" s="4" t="s">
        <v>4181</v>
      </c>
      <c r="M246" s="4" t="s">
        <v>787</v>
      </c>
      <c r="N246" s="4" t="s">
        <v>788</v>
      </c>
      <c r="O246" s="4" t="s">
        <v>789</v>
      </c>
      <c r="P246" s="4"/>
    </row>
    <row r="247" spans="1:16" ht="15">
      <c r="A247" s="4" t="s">
        <v>790</v>
      </c>
      <c r="B247" s="30">
        <v>39941</v>
      </c>
      <c r="C247" s="4"/>
      <c r="D247" s="4" t="s">
        <v>195</v>
      </c>
      <c r="E247" s="4" t="s">
        <v>170</v>
      </c>
      <c r="F247" s="4" t="s">
        <v>155</v>
      </c>
      <c r="G247" s="4"/>
      <c r="H247" s="4"/>
      <c r="I247" s="4" t="s">
        <v>139</v>
      </c>
      <c r="J247" s="4" t="s">
        <v>179</v>
      </c>
      <c r="K247" s="4" t="s">
        <v>147</v>
      </c>
      <c r="L247" s="4" t="s">
        <v>4181</v>
      </c>
      <c r="M247" s="4" t="s">
        <v>173</v>
      </c>
      <c r="N247" s="4" t="s">
        <v>155</v>
      </c>
      <c r="O247" s="4" t="s">
        <v>124</v>
      </c>
      <c r="P247" s="4"/>
    </row>
    <row r="248" spans="1:16" ht="15">
      <c r="A248" s="4" t="s">
        <v>791</v>
      </c>
      <c r="B248" s="30">
        <v>39974</v>
      </c>
      <c r="C248" s="4"/>
      <c r="D248" s="4" t="s">
        <v>193</v>
      </c>
      <c r="E248" s="4" t="s">
        <v>170</v>
      </c>
      <c r="F248" s="4" t="s">
        <v>155</v>
      </c>
      <c r="G248" s="4"/>
      <c r="H248" s="4"/>
      <c r="I248" s="4" t="s">
        <v>140</v>
      </c>
      <c r="J248" s="4" t="s">
        <v>184</v>
      </c>
      <c r="K248" s="4" t="s">
        <v>146</v>
      </c>
      <c r="L248" s="4" t="s">
        <v>4181</v>
      </c>
      <c r="M248" s="4" t="s">
        <v>173</v>
      </c>
      <c r="N248" s="4" t="s">
        <v>155</v>
      </c>
      <c r="O248" s="4" t="s">
        <v>792</v>
      </c>
      <c r="P248" s="4"/>
    </row>
    <row r="249" spans="1:16" ht="15">
      <c r="A249" s="4" t="s">
        <v>793</v>
      </c>
      <c r="B249" s="30">
        <v>40042</v>
      </c>
      <c r="C249" s="4" t="s">
        <v>383</v>
      </c>
      <c r="D249" s="4" t="s">
        <v>195</v>
      </c>
      <c r="E249" s="4" t="s">
        <v>170</v>
      </c>
      <c r="F249" s="4" t="s">
        <v>155</v>
      </c>
      <c r="G249" s="4">
        <v>4</v>
      </c>
      <c r="H249" s="4">
        <v>3</v>
      </c>
      <c r="I249" s="4" t="s">
        <v>139</v>
      </c>
      <c r="J249" s="4" t="s">
        <v>185</v>
      </c>
      <c r="K249" s="4" t="s">
        <v>144</v>
      </c>
      <c r="L249" s="4" t="s">
        <v>4176</v>
      </c>
      <c r="M249" s="4" t="s">
        <v>174</v>
      </c>
      <c r="N249" s="4" t="s">
        <v>156</v>
      </c>
      <c r="O249" s="4" t="s">
        <v>120</v>
      </c>
      <c r="P249" s="4" t="s">
        <v>794</v>
      </c>
    </row>
    <row r="250" spans="1:16" ht="15">
      <c r="A250" s="4" t="s">
        <v>795</v>
      </c>
      <c r="B250" s="30">
        <v>39948</v>
      </c>
      <c r="C250" s="4"/>
      <c r="D250" s="4" t="s">
        <v>193</v>
      </c>
      <c r="E250" s="4" t="s">
        <v>170</v>
      </c>
      <c r="F250" s="4" t="s">
        <v>155</v>
      </c>
      <c r="G250" s="4"/>
      <c r="H250" s="4"/>
      <c r="I250" s="4" t="s">
        <v>140</v>
      </c>
      <c r="J250" s="4" t="s">
        <v>185</v>
      </c>
      <c r="K250" s="4" t="s">
        <v>147</v>
      </c>
      <c r="L250" s="4" t="s">
        <v>4181</v>
      </c>
      <c r="M250" s="4"/>
      <c r="N250" s="4" t="s">
        <v>161</v>
      </c>
      <c r="O250" s="4" t="s">
        <v>616</v>
      </c>
      <c r="P250" s="4"/>
    </row>
    <row r="251" spans="1:16" ht="15">
      <c r="A251" s="4" t="s">
        <v>796</v>
      </c>
      <c r="B251" s="30">
        <v>40084</v>
      </c>
      <c r="C251" s="4"/>
      <c r="D251" s="4" t="s">
        <v>195</v>
      </c>
      <c r="E251" s="4" t="s">
        <v>170</v>
      </c>
      <c r="F251" s="4" t="s">
        <v>155</v>
      </c>
      <c r="G251" s="4">
        <v>4</v>
      </c>
      <c r="H251" s="4">
        <v>3</v>
      </c>
      <c r="I251" s="4" t="s">
        <v>139</v>
      </c>
      <c r="J251" s="4" t="s">
        <v>188</v>
      </c>
      <c r="K251" s="4" t="s">
        <v>143</v>
      </c>
      <c r="L251" s="4" t="s">
        <v>4181</v>
      </c>
      <c r="M251" s="4" t="s">
        <v>797</v>
      </c>
      <c r="N251" s="4" t="s">
        <v>155</v>
      </c>
      <c r="O251" s="4" t="s">
        <v>798</v>
      </c>
      <c r="P251" s="4"/>
    </row>
    <row r="252" spans="1:16" ht="15">
      <c r="A252" s="4" t="s">
        <v>799</v>
      </c>
      <c r="B252" s="30">
        <v>40038</v>
      </c>
      <c r="C252" s="4" t="s">
        <v>383</v>
      </c>
      <c r="D252" s="4" t="s">
        <v>193</v>
      </c>
      <c r="E252" s="4" t="s">
        <v>170</v>
      </c>
      <c r="F252" s="4" t="s">
        <v>155</v>
      </c>
      <c r="G252" s="4">
        <v>3</v>
      </c>
      <c r="H252" s="4">
        <v>2</v>
      </c>
      <c r="I252" s="4" t="s">
        <v>140</v>
      </c>
      <c r="J252" s="4" t="s">
        <v>188</v>
      </c>
      <c r="K252" s="4" t="s">
        <v>144</v>
      </c>
      <c r="L252" s="4" t="s">
        <v>4181</v>
      </c>
      <c r="M252" s="4" t="s">
        <v>800</v>
      </c>
      <c r="N252" s="4" t="s">
        <v>155</v>
      </c>
      <c r="O252" s="4" t="s">
        <v>406</v>
      </c>
      <c r="P252" s="4"/>
    </row>
    <row r="253" spans="1:16" ht="15">
      <c r="A253" s="4" t="s">
        <v>801</v>
      </c>
      <c r="B253" s="30">
        <v>39959</v>
      </c>
      <c r="C253" s="4"/>
      <c r="D253" s="4" t="s">
        <v>194</v>
      </c>
      <c r="E253" s="4" t="s">
        <v>170</v>
      </c>
      <c r="F253" s="4" t="s">
        <v>155</v>
      </c>
      <c r="G253" s="4"/>
      <c r="H253" s="4"/>
      <c r="I253" s="4" t="s">
        <v>139</v>
      </c>
      <c r="J253" s="4" t="s">
        <v>188</v>
      </c>
      <c r="K253" s="4" t="s">
        <v>144</v>
      </c>
      <c r="L253" s="4" t="s">
        <v>162</v>
      </c>
      <c r="M253" s="4" t="s">
        <v>802</v>
      </c>
      <c r="N253" s="4" t="s">
        <v>155</v>
      </c>
      <c r="O253" s="4" t="s">
        <v>129</v>
      </c>
      <c r="P253" s="4"/>
    </row>
    <row r="254" spans="1:16" ht="15">
      <c r="A254" s="4" t="s">
        <v>803</v>
      </c>
      <c r="B254" s="30">
        <v>40062</v>
      </c>
      <c r="C254" s="4"/>
      <c r="D254" s="4" t="s">
        <v>544</v>
      </c>
      <c r="E254" s="4" t="s">
        <v>170</v>
      </c>
      <c r="F254" s="4" t="s">
        <v>155</v>
      </c>
      <c r="G254" s="4">
        <v>1</v>
      </c>
      <c r="H254" s="4">
        <v>4</v>
      </c>
      <c r="I254" s="4" t="s">
        <v>139</v>
      </c>
      <c r="J254" s="4" t="s">
        <v>188</v>
      </c>
      <c r="K254" s="4" t="s">
        <v>144</v>
      </c>
      <c r="L254" s="4" t="s">
        <v>162</v>
      </c>
      <c r="M254" s="4" t="s">
        <v>175</v>
      </c>
      <c r="N254" s="4" t="s">
        <v>155</v>
      </c>
      <c r="O254" s="4" t="s">
        <v>127</v>
      </c>
      <c r="P254" s="4"/>
    </row>
    <row r="255" spans="1:16" ht="15">
      <c r="A255" s="4" t="s">
        <v>804</v>
      </c>
      <c r="B255" s="30">
        <v>40009</v>
      </c>
      <c r="C255" s="4" t="s">
        <v>380</v>
      </c>
      <c r="D255" s="4" t="s">
        <v>193</v>
      </c>
      <c r="E255" s="4" t="s">
        <v>170</v>
      </c>
      <c r="F255" s="4" t="s">
        <v>155</v>
      </c>
      <c r="G255" s="4">
        <v>1</v>
      </c>
      <c r="H255" s="4">
        <v>2</v>
      </c>
      <c r="I255" s="4" t="s">
        <v>140</v>
      </c>
      <c r="J255" s="4" t="s">
        <v>191</v>
      </c>
      <c r="K255" s="4" t="s">
        <v>142</v>
      </c>
      <c r="L255" s="4" t="s">
        <v>162</v>
      </c>
      <c r="M255" s="4"/>
      <c r="N255" s="4" t="s">
        <v>155</v>
      </c>
      <c r="O255" s="4" t="s">
        <v>130</v>
      </c>
      <c r="P255" s="4"/>
    </row>
    <row r="256" spans="1:16" ht="15">
      <c r="A256" s="4" t="s">
        <v>805</v>
      </c>
      <c r="B256" s="30">
        <v>39936</v>
      </c>
      <c r="C256" s="4"/>
      <c r="D256" s="4" t="s">
        <v>4178</v>
      </c>
      <c r="E256" s="4" t="s">
        <v>170</v>
      </c>
      <c r="F256" s="4" t="s">
        <v>155</v>
      </c>
      <c r="G256" s="4"/>
      <c r="H256" s="4"/>
      <c r="I256" s="4" t="s">
        <v>139</v>
      </c>
      <c r="J256" s="4" t="s">
        <v>184</v>
      </c>
      <c r="K256" s="4" t="s">
        <v>143</v>
      </c>
      <c r="L256" s="4" t="s">
        <v>4176</v>
      </c>
      <c r="M256" s="4" t="s">
        <v>174</v>
      </c>
      <c r="N256" s="4" t="s">
        <v>160</v>
      </c>
      <c r="O256" s="4" t="s">
        <v>726</v>
      </c>
      <c r="P256" s="4" t="s">
        <v>806</v>
      </c>
    </row>
    <row r="257" spans="1:16" ht="15">
      <c r="A257" s="4" t="s">
        <v>807</v>
      </c>
      <c r="B257" s="30">
        <v>40047</v>
      </c>
      <c r="C257" s="4"/>
      <c r="D257" s="4" t="s">
        <v>193</v>
      </c>
      <c r="E257" s="4" t="s">
        <v>170</v>
      </c>
      <c r="F257" s="4" t="s">
        <v>155</v>
      </c>
      <c r="G257" s="4">
        <v>5</v>
      </c>
      <c r="H257" s="4">
        <v>5</v>
      </c>
      <c r="I257" s="4" t="s">
        <v>140</v>
      </c>
      <c r="J257" s="4" t="s">
        <v>181</v>
      </c>
      <c r="K257" s="4" t="s">
        <v>149</v>
      </c>
      <c r="L257" s="4" t="s">
        <v>4176</v>
      </c>
      <c r="M257" s="4" t="s">
        <v>174</v>
      </c>
      <c r="N257" s="4" t="s">
        <v>157</v>
      </c>
      <c r="O257" s="4" t="s">
        <v>127</v>
      </c>
      <c r="P257" s="4" t="s">
        <v>808</v>
      </c>
    </row>
    <row r="258" spans="1:16" ht="15">
      <c r="A258" s="4" t="s">
        <v>809</v>
      </c>
      <c r="B258" s="30">
        <v>39997</v>
      </c>
      <c r="C258" s="4"/>
      <c r="D258" s="4" t="s">
        <v>197</v>
      </c>
      <c r="E258" s="4" t="s">
        <v>170</v>
      </c>
      <c r="F258" s="4" t="s">
        <v>155</v>
      </c>
      <c r="G258" s="4"/>
      <c r="H258" s="4">
        <v>3</v>
      </c>
      <c r="I258" s="4" t="s">
        <v>139</v>
      </c>
      <c r="J258" s="4" t="s">
        <v>810</v>
      </c>
      <c r="K258" s="4" t="s">
        <v>145</v>
      </c>
      <c r="L258" s="4" t="s">
        <v>162</v>
      </c>
      <c r="M258" s="4"/>
      <c r="N258" s="4" t="s">
        <v>155</v>
      </c>
      <c r="O258" s="4" t="s">
        <v>130</v>
      </c>
      <c r="P258" s="4"/>
    </row>
    <row r="259" spans="1:16" ht="15">
      <c r="A259" s="4" t="s">
        <v>811</v>
      </c>
      <c r="B259" s="30">
        <v>39972</v>
      </c>
      <c r="C259" s="4"/>
      <c r="D259" s="4" t="s">
        <v>193</v>
      </c>
      <c r="E259" s="4" t="s">
        <v>170</v>
      </c>
      <c r="F259" s="4" t="s">
        <v>155</v>
      </c>
      <c r="G259" s="4"/>
      <c r="H259" s="4"/>
      <c r="I259" s="4" t="s">
        <v>140</v>
      </c>
      <c r="J259" s="4" t="s">
        <v>184</v>
      </c>
      <c r="K259" s="4" t="s">
        <v>143</v>
      </c>
      <c r="L259" s="4" t="s">
        <v>162</v>
      </c>
      <c r="M259" s="4"/>
      <c r="N259" s="4" t="s">
        <v>155</v>
      </c>
      <c r="O259" s="4" t="s">
        <v>130</v>
      </c>
      <c r="P259" s="4"/>
    </row>
    <row r="260" spans="1:16" ht="15">
      <c r="A260" s="4" t="s">
        <v>812</v>
      </c>
      <c r="B260" s="30">
        <v>39930</v>
      </c>
      <c r="C260" s="4"/>
      <c r="D260" s="4" t="s">
        <v>4184</v>
      </c>
      <c r="E260" s="4" t="s">
        <v>170</v>
      </c>
      <c r="F260" s="4" t="s">
        <v>155</v>
      </c>
      <c r="G260" s="4"/>
      <c r="H260" s="4"/>
      <c r="I260" s="4" t="s">
        <v>140</v>
      </c>
      <c r="J260" s="4" t="s">
        <v>179</v>
      </c>
      <c r="K260" s="4" t="s">
        <v>147</v>
      </c>
      <c r="L260" s="4" t="s">
        <v>4176</v>
      </c>
      <c r="M260" s="4" t="s">
        <v>174</v>
      </c>
      <c r="N260" s="4" t="s">
        <v>156</v>
      </c>
      <c r="O260" s="4" t="s">
        <v>120</v>
      </c>
      <c r="P260" s="4" t="s">
        <v>741</v>
      </c>
    </row>
    <row r="261" spans="1:16" ht="15">
      <c r="A261" s="4" t="s">
        <v>813</v>
      </c>
      <c r="B261" s="30">
        <v>39937</v>
      </c>
      <c r="C261" s="4"/>
      <c r="D261" s="4" t="s">
        <v>4178</v>
      </c>
      <c r="E261" s="4" t="s">
        <v>170</v>
      </c>
      <c r="F261" s="4" t="s">
        <v>155</v>
      </c>
      <c r="G261" s="4"/>
      <c r="H261" s="4"/>
      <c r="I261" s="4" t="s">
        <v>139</v>
      </c>
      <c r="J261" s="4" t="s">
        <v>576</v>
      </c>
      <c r="K261" s="4" t="s">
        <v>142</v>
      </c>
      <c r="L261" s="4" t="s">
        <v>4176</v>
      </c>
      <c r="M261" s="4" t="s">
        <v>174</v>
      </c>
      <c r="N261" s="4" t="s">
        <v>157</v>
      </c>
      <c r="O261" s="4" t="s">
        <v>130</v>
      </c>
      <c r="P261" s="4" t="s">
        <v>423</v>
      </c>
    </row>
    <row r="262" spans="1:16" ht="15">
      <c r="A262" s="4" t="s">
        <v>814</v>
      </c>
      <c r="B262" s="30">
        <v>40010</v>
      </c>
      <c r="C262" s="4"/>
      <c r="D262" s="4" t="s">
        <v>193</v>
      </c>
      <c r="E262" s="4" t="s">
        <v>170</v>
      </c>
      <c r="F262" s="4" t="s">
        <v>155</v>
      </c>
      <c r="G262" s="4">
        <v>5</v>
      </c>
      <c r="H262" s="4">
        <v>3</v>
      </c>
      <c r="I262" s="4" t="s">
        <v>140</v>
      </c>
      <c r="J262" s="4" t="s">
        <v>179</v>
      </c>
      <c r="K262" s="4" t="s">
        <v>143</v>
      </c>
      <c r="L262" s="4" t="s">
        <v>162</v>
      </c>
      <c r="M262" s="4" t="s">
        <v>175</v>
      </c>
      <c r="N262" s="4" t="s">
        <v>155</v>
      </c>
      <c r="O262" s="4" t="s">
        <v>130</v>
      </c>
      <c r="P262" s="4"/>
    </row>
    <row r="263" spans="1:16" ht="15">
      <c r="A263" s="4" t="s">
        <v>815</v>
      </c>
      <c r="B263" s="30">
        <v>40012</v>
      </c>
      <c r="C263" s="4"/>
      <c r="D263" s="4" t="s">
        <v>193</v>
      </c>
      <c r="E263" s="4" t="s">
        <v>170</v>
      </c>
      <c r="F263" s="4" t="s">
        <v>155</v>
      </c>
      <c r="G263" s="4">
        <v>5</v>
      </c>
      <c r="H263" s="4">
        <v>3</v>
      </c>
      <c r="I263" s="4" t="s">
        <v>140</v>
      </c>
      <c r="J263" s="4" t="s">
        <v>189</v>
      </c>
      <c r="K263" s="4" t="s">
        <v>146</v>
      </c>
      <c r="L263" s="4" t="s">
        <v>4176</v>
      </c>
      <c r="M263" s="4" t="s">
        <v>175</v>
      </c>
      <c r="N263" s="4" t="s">
        <v>517</v>
      </c>
      <c r="O263" s="4" t="s">
        <v>399</v>
      </c>
      <c r="P263" s="4" t="s">
        <v>816</v>
      </c>
    </row>
    <row r="264" spans="1:16" ht="15">
      <c r="A264" s="4" t="s">
        <v>817</v>
      </c>
      <c r="B264" s="30">
        <v>40007</v>
      </c>
      <c r="C264" s="4" t="s">
        <v>383</v>
      </c>
      <c r="D264" s="4" t="s">
        <v>193</v>
      </c>
      <c r="E264" s="4" t="s">
        <v>170</v>
      </c>
      <c r="F264" s="4" t="s">
        <v>155</v>
      </c>
      <c r="G264" s="4">
        <v>1</v>
      </c>
      <c r="H264" s="4">
        <v>2</v>
      </c>
      <c r="I264" s="4" t="s">
        <v>140</v>
      </c>
      <c r="J264" s="4" t="s">
        <v>178</v>
      </c>
      <c r="K264" s="4" t="s">
        <v>151</v>
      </c>
      <c r="L264" s="4" t="s">
        <v>162</v>
      </c>
      <c r="M264" s="4" t="s">
        <v>175</v>
      </c>
      <c r="N264" s="4" t="s">
        <v>155</v>
      </c>
      <c r="O264" s="4" t="s">
        <v>130</v>
      </c>
      <c r="P264" s="4"/>
    </row>
    <row r="265" spans="1:16" ht="15">
      <c r="A265" s="4" t="s">
        <v>818</v>
      </c>
      <c r="B265" s="30">
        <v>39948</v>
      </c>
      <c r="C265" s="4"/>
      <c r="D265" s="4" t="s">
        <v>195</v>
      </c>
      <c r="E265" s="4" t="s">
        <v>170</v>
      </c>
      <c r="F265" s="4" t="s">
        <v>155</v>
      </c>
      <c r="G265" s="4"/>
      <c r="H265" s="4"/>
      <c r="I265" s="4" t="s">
        <v>139</v>
      </c>
      <c r="J265" s="4" t="s">
        <v>182</v>
      </c>
      <c r="K265" s="4" t="s">
        <v>147</v>
      </c>
      <c r="L265" s="4" t="s">
        <v>165</v>
      </c>
      <c r="M265" s="4" t="s">
        <v>819</v>
      </c>
      <c r="N265" s="4" t="s">
        <v>158</v>
      </c>
      <c r="O265" s="4" t="s">
        <v>122</v>
      </c>
      <c r="P265" s="4"/>
    </row>
    <row r="266" spans="1:16" ht="15">
      <c r="A266" s="4" t="s">
        <v>820</v>
      </c>
      <c r="B266" s="30">
        <v>39980</v>
      </c>
      <c r="C266" s="4" t="s">
        <v>383</v>
      </c>
      <c r="D266" s="4" t="s">
        <v>193</v>
      </c>
      <c r="E266" s="4" t="s">
        <v>170</v>
      </c>
      <c r="F266" s="4" t="s">
        <v>155</v>
      </c>
      <c r="G266" s="4"/>
      <c r="H266" s="4"/>
      <c r="I266" s="4" t="s">
        <v>140</v>
      </c>
      <c r="J266" s="4" t="s">
        <v>479</v>
      </c>
      <c r="K266" s="4" t="s">
        <v>146</v>
      </c>
      <c r="L266" s="4" t="s">
        <v>4181</v>
      </c>
      <c r="M266" s="4" t="s">
        <v>173</v>
      </c>
      <c r="N266" s="4" t="s">
        <v>155</v>
      </c>
      <c r="O266" s="4" t="s">
        <v>130</v>
      </c>
      <c r="P266" s="4"/>
    </row>
    <row r="267" spans="1:16" ht="15">
      <c r="A267" s="4" t="s">
        <v>821</v>
      </c>
      <c r="B267" s="30">
        <v>39967</v>
      </c>
      <c r="C267" s="4"/>
      <c r="D267" s="4" t="s">
        <v>193</v>
      </c>
      <c r="E267" s="4" t="s">
        <v>170</v>
      </c>
      <c r="F267" s="4" t="s">
        <v>155</v>
      </c>
      <c r="G267" s="4"/>
      <c r="H267" s="4"/>
      <c r="I267" s="4" t="s">
        <v>140</v>
      </c>
      <c r="J267" s="4" t="s">
        <v>185</v>
      </c>
      <c r="K267" s="4" t="s">
        <v>146</v>
      </c>
      <c r="L267" s="4" t="s">
        <v>4176</v>
      </c>
      <c r="M267" s="4" t="s">
        <v>550</v>
      </c>
      <c r="N267" s="4" t="s">
        <v>157</v>
      </c>
      <c r="O267" s="4" t="s">
        <v>127</v>
      </c>
      <c r="P267" s="4" t="s">
        <v>822</v>
      </c>
    </row>
    <row r="268" spans="1:16" ht="15">
      <c r="A268" s="4" t="s">
        <v>823</v>
      </c>
      <c r="B268" s="30">
        <v>40003</v>
      </c>
      <c r="C268" s="4"/>
      <c r="D268" s="4" t="s">
        <v>196</v>
      </c>
      <c r="E268" s="4" t="s">
        <v>170</v>
      </c>
      <c r="F268" s="4" t="s">
        <v>155</v>
      </c>
      <c r="G268" s="4"/>
      <c r="H268" s="4">
        <v>5</v>
      </c>
      <c r="I268" s="4" t="s">
        <v>139</v>
      </c>
      <c r="J268" s="4" t="s">
        <v>433</v>
      </c>
      <c r="K268" s="4" t="s">
        <v>144</v>
      </c>
      <c r="L268" s="4" t="s">
        <v>4176</v>
      </c>
      <c r="M268" s="4" t="s">
        <v>824</v>
      </c>
      <c r="N268" s="4" t="s">
        <v>157</v>
      </c>
      <c r="O268" s="4" t="s">
        <v>127</v>
      </c>
      <c r="P268" s="4" t="s">
        <v>153</v>
      </c>
    </row>
    <row r="269" spans="1:16" ht="15">
      <c r="A269" s="4" t="s">
        <v>825</v>
      </c>
      <c r="B269" s="30">
        <v>39923</v>
      </c>
      <c r="C269" s="4"/>
      <c r="D269" s="4" t="s">
        <v>4184</v>
      </c>
      <c r="E269" s="4" t="s">
        <v>170</v>
      </c>
      <c r="F269" s="4" t="s">
        <v>155</v>
      </c>
      <c r="G269" s="4"/>
      <c r="H269" s="4"/>
      <c r="I269" s="4" t="s">
        <v>140</v>
      </c>
      <c r="J269" s="4" t="s">
        <v>178</v>
      </c>
      <c r="K269" s="4" t="s">
        <v>151</v>
      </c>
      <c r="L269" s="4" t="s">
        <v>162</v>
      </c>
      <c r="M269" s="4" t="s">
        <v>175</v>
      </c>
      <c r="N269" s="4" t="s">
        <v>155</v>
      </c>
      <c r="O269" s="4" t="s">
        <v>392</v>
      </c>
      <c r="P269" s="4"/>
    </row>
    <row r="270" spans="1:16" ht="15">
      <c r="A270" s="4" t="s">
        <v>826</v>
      </c>
      <c r="B270" s="30">
        <v>39996</v>
      </c>
      <c r="C270" s="4"/>
      <c r="D270" s="4" t="s">
        <v>194</v>
      </c>
      <c r="E270" s="4" t="s">
        <v>170</v>
      </c>
      <c r="F270" s="4" t="s">
        <v>155</v>
      </c>
      <c r="G270" s="4"/>
      <c r="H270" s="4">
        <v>5</v>
      </c>
      <c r="I270" s="4" t="s">
        <v>139</v>
      </c>
      <c r="J270" s="4" t="s">
        <v>181</v>
      </c>
      <c r="K270" s="4" t="s">
        <v>146</v>
      </c>
      <c r="L270" s="4" t="s">
        <v>4176</v>
      </c>
      <c r="M270" s="4" t="s">
        <v>174</v>
      </c>
      <c r="N270" s="4" t="s">
        <v>156</v>
      </c>
      <c r="O270" s="4" t="s">
        <v>120</v>
      </c>
      <c r="P270" s="4" t="s">
        <v>827</v>
      </c>
    </row>
    <row r="271" spans="1:16" ht="15">
      <c r="A271" s="4" t="s">
        <v>828</v>
      </c>
      <c r="B271" s="30">
        <v>40003</v>
      </c>
      <c r="C271" s="4"/>
      <c r="D271" s="4" t="s">
        <v>194</v>
      </c>
      <c r="E271" s="4" t="s">
        <v>170</v>
      </c>
      <c r="F271" s="4" t="s">
        <v>155</v>
      </c>
      <c r="G271" s="4"/>
      <c r="H271" s="4">
        <v>3</v>
      </c>
      <c r="I271" s="4" t="s">
        <v>139</v>
      </c>
      <c r="J271" s="4" t="s">
        <v>178</v>
      </c>
      <c r="K271" s="4" t="s">
        <v>142</v>
      </c>
      <c r="L271" s="4" t="s">
        <v>4176</v>
      </c>
      <c r="M271" s="4" t="s">
        <v>174</v>
      </c>
      <c r="N271" s="4" t="s">
        <v>156</v>
      </c>
      <c r="O271" s="4" t="s">
        <v>120</v>
      </c>
      <c r="P271" s="4" t="s">
        <v>748</v>
      </c>
    </row>
    <row r="272" spans="1:16" ht="15">
      <c r="A272" s="4" t="s">
        <v>829</v>
      </c>
      <c r="B272" s="30">
        <v>40079</v>
      </c>
      <c r="C272" s="4"/>
      <c r="D272" s="4" t="s">
        <v>544</v>
      </c>
      <c r="E272" s="4" t="s">
        <v>170</v>
      </c>
      <c r="F272" s="4" t="s">
        <v>155</v>
      </c>
      <c r="G272" s="4">
        <v>5</v>
      </c>
      <c r="H272" s="4">
        <v>2</v>
      </c>
      <c r="I272" s="4" t="s">
        <v>139</v>
      </c>
      <c r="J272" s="4" t="s">
        <v>384</v>
      </c>
      <c r="K272" s="4" t="s">
        <v>144</v>
      </c>
      <c r="L272" s="4" t="s">
        <v>162</v>
      </c>
      <c r="M272" s="4" t="s">
        <v>176</v>
      </c>
      <c r="N272" s="4" t="s">
        <v>155</v>
      </c>
      <c r="O272" s="4" t="s">
        <v>830</v>
      </c>
      <c r="P272" s="4"/>
    </row>
    <row r="273" spans="1:16" ht="15">
      <c r="A273" s="4" t="s">
        <v>831</v>
      </c>
      <c r="B273" s="30">
        <v>40022</v>
      </c>
      <c r="C273" s="4" t="s">
        <v>9</v>
      </c>
      <c r="D273" s="4" t="s">
        <v>193</v>
      </c>
      <c r="E273" s="4" t="s">
        <v>170</v>
      </c>
      <c r="F273" s="4" t="s">
        <v>155</v>
      </c>
      <c r="G273" s="4">
        <v>5</v>
      </c>
      <c r="H273" s="4">
        <v>5</v>
      </c>
      <c r="I273" s="4" t="s">
        <v>140</v>
      </c>
      <c r="J273" s="4" t="s">
        <v>185</v>
      </c>
      <c r="K273" s="4" t="s">
        <v>143</v>
      </c>
      <c r="L273" s="4" t="s">
        <v>4176</v>
      </c>
      <c r="M273" s="4" t="s">
        <v>174</v>
      </c>
      <c r="N273" s="4" t="s">
        <v>156</v>
      </c>
      <c r="O273" s="4" t="s">
        <v>120</v>
      </c>
      <c r="P273" s="4" t="s">
        <v>832</v>
      </c>
    </row>
    <row r="274" spans="1:16" ht="15">
      <c r="A274" s="4" t="s">
        <v>833</v>
      </c>
      <c r="B274" s="30">
        <v>39969</v>
      </c>
      <c r="C274" s="4"/>
      <c r="D274" s="4" t="s">
        <v>193</v>
      </c>
      <c r="E274" s="4" t="s">
        <v>170</v>
      </c>
      <c r="F274" s="4" t="s">
        <v>155</v>
      </c>
      <c r="G274" s="4"/>
      <c r="H274" s="4"/>
      <c r="I274" s="4" t="s">
        <v>140</v>
      </c>
      <c r="J274" s="4" t="s">
        <v>183</v>
      </c>
      <c r="K274" s="4" t="s">
        <v>144</v>
      </c>
      <c r="L274" s="4" t="s">
        <v>4181</v>
      </c>
      <c r="M274" s="4" t="s">
        <v>173</v>
      </c>
      <c r="N274" s="4" t="s">
        <v>155</v>
      </c>
      <c r="O274" s="4" t="s">
        <v>124</v>
      </c>
      <c r="P274" s="4"/>
    </row>
    <row r="275" spans="1:16" ht="15">
      <c r="A275" s="4" t="s">
        <v>834</v>
      </c>
      <c r="B275" s="30">
        <v>40022</v>
      </c>
      <c r="C275" s="4"/>
      <c r="D275" s="4" t="s">
        <v>196</v>
      </c>
      <c r="E275" s="4" t="s">
        <v>170</v>
      </c>
      <c r="F275" s="4" t="s">
        <v>155</v>
      </c>
      <c r="G275" s="4">
        <v>5</v>
      </c>
      <c r="H275" s="4">
        <v>3</v>
      </c>
      <c r="I275" s="4" t="s">
        <v>139</v>
      </c>
      <c r="J275" s="4" t="s">
        <v>179</v>
      </c>
      <c r="K275" s="4" t="s">
        <v>146</v>
      </c>
      <c r="L275" s="4" t="s">
        <v>4181</v>
      </c>
      <c r="M275" s="4" t="s">
        <v>835</v>
      </c>
      <c r="N275" s="4" t="s">
        <v>155</v>
      </c>
      <c r="O275" s="4" t="s">
        <v>125</v>
      </c>
      <c r="P275" s="4"/>
    </row>
    <row r="276" spans="1:16" ht="15">
      <c r="A276" s="4" t="s">
        <v>836</v>
      </c>
      <c r="B276" s="30">
        <v>39906</v>
      </c>
      <c r="C276" s="4"/>
      <c r="D276" s="4" t="s">
        <v>4177</v>
      </c>
      <c r="E276" s="4" t="s">
        <v>170</v>
      </c>
      <c r="F276" s="4" t="s">
        <v>155</v>
      </c>
      <c r="G276" s="4"/>
      <c r="H276" s="4"/>
      <c r="I276" s="4" t="s">
        <v>139</v>
      </c>
      <c r="J276" s="4" t="s">
        <v>183</v>
      </c>
      <c r="K276" s="4" t="s">
        <v>142</v>
      </c>
      <c r="L276" s="4" t="s">
        <v>165</v>
      </c>
      <c r="M276" s="4" t="s">
        <v>837</v>
      </c>
      <c r="N276" s="4" t="s">
        <v>158</v>
      </c>
      <c r="O276" s="4" t="s">
        <v>122</v>
      </c>
      <c r="P276" s="4"/>
    </row>
    <row r="277" spans="1:16" ht="15">
      <c r="A277" s="4" t="s">
        <v>838</v>
      </c>
      <c r="B277" s="30">
        <v>40000</v>
      </c>
      <c r="C277" s="4" t="s">
        <v>383</v>
      </c>
      <c r="D277" s="4" t="s">
        <v>193</v>
      </c>
      <c r="E277" s="4" t="s">
        <v>170</v>
      </c>
      <c r="F277" s="4" t="s">
        <v>155</v>
      </c>
      <c r="G277" s="4"/>
      <c r="H277" s="4">
        <v>3</v>
      </c>
      <c r="I277" s="4" t="s">
        <v>140</v>
      </c>
      <c r="J277" s="4" t="s">
        <v>181</v>
      </c>
      <c r="K277" s="4" t="s">
        <v>144</v>
      </c>
      <c r="L277" s="4" t="s">
        <v>162</v>
      </c>
      <c r="M277" s="4" t="s">
        <v>175</v>
      </c>
      <c r="N277" s="4" t="s">
        <v>155</v>
      </c>
      <c r="O277" s="4" t="s">
        <v>129</v>
      </c>
      <c r="P277" s="4"/>
    </row>
    <row r="278" spans="1:16" ht="15">
      <c r="A278" s="4" t="s">
        <v>839</v>
      </c>
      <c r="B278" s="30">
        <v>39954</v>
      </c>
      <c r="C278" s="4" t="s">
        <v>525</v>
      </c>
      <c r="D278" s="4" t="s">
        <v>193</v>
      </c>
      <c r="E278" s="4" t="s">
        <v>170</v>
      </c>
      <c r="F278" s="4" t="s">
        <v>155</v>
      </c>
      <c r="G278" s="4"/>
      <c r="H278" s="4"/>
      <c r="I278" s="4" t="s">
        <v>140</v>
      </c>
      <c r="J278" s="4" t="s">
        <v>186</v>
      </c>
      <c r="K278" s="4" t="s">
        <v>144</v>
      </c>
      <c r="L278" s="4" t="s">
        <v>4176</v>
      </c>
      <c r="M278" s="4" t="s">
        <v>176</v>
      </c>
      <c r="N278" s="4" t="s">
        <v>159</v>
      </c>
      <c r="O278" s="4" t="s">
        <v>126</v>
      </c>
      <c r="P278" s="4" t="s">
        <v>601</v>
      </c>
    </row>
    <row r="279" spans="1:16" ht="15">
      <c r="A279" s="4" t="s">
        <v>840</v>
      </c>
      <c r="B279" s="30">
        <v>40023</v>
      </c>
      <c r="C279" s="4"/>
      <c r="D279" s="4" t="s">
        <v>196</v>
      </c>
      <c r="E279" s="4" t="s">
        <v>170</v>
      </c>
      <c r="F279" s="4" t="s">
        <v>155</v>
      </c>
      <c r="G279" s="4">
        <v>5</v>
      </c>
      <c r="H279" s="4">
        <v>5</v>
      </c>
      <c r="I279" s="4" t="s">
        <v>139</v>
      </c>
      <c r="J279" s="4" t="s">
        <v>187</v>
      </c>
      <c r="K279" s="4" t="s">
        <v>143</v>
      </c>
      <c r="L279" s="4" t="s">
        <v>162</v>
      </c>
      <c r="M279" s="4" t="s">
        <v>175</v>
      </c>
      <c r="N279" s="4" t="s">
        <v>155</v>
      </c>
      <c r="O279" s="4" t="s">
        <v>571</v>
      </c>
      <c r="P279" s="4"/>
    </row>
    <row r="280" spans="1:16" ht="15">
      <c r="A280" s="4" t="s">
        <v>841</v>
      </c>
      <c r="B280" s="30">
        <v>39938</v>
      </c>
      <c r="C280" s="4"/>
      <c r="D280" s="4" t="s">
        <v>4178</v>
      </c>
      <c r="E280" s="4" t="s">
        <v>170</v>
      </c>
      <c r="F280" s="4" t="s">
        <v>155</v>
      </c>
      <c r="G280" s="4"/>
      <c r="H280" s="4"/>
      <c r="I280" s="4" t="s">
        <v>139</v>
      </c>
      <c r="J280" s="4" t="s">
        <v>187</v>
      </c>
      <c r="K280" s="4" t="s">
        <v>149</v>
      </c>
      <c r="L280" s="4" t="s">
        <v>162</v>
      </c>
      <c r="M280" s="4" t="s">
        <v>175</v>
      </c>
      <c r="N280" s="4" t="s">
        <v>155</v>
      </c>
      <c r="O280" s="4" t="s">
        <v>130</v>
      </c>
      <c r="P280" s="4"/>
    </row>
    <row r="281" spans="1:16" ht="15">
      <c r="A281" s="4" t="s">
        <v>842</v>
      </c>
      <c r="B281" s="30">
        <v>39981</v>
      </c>
      <c r="C281" s="4"/>
      <c r="D281" s="4" t="s">
        <v>193</v>
      </c>
      <c r="E281" s="4" t="s">
        <v>170</v>
      </c>
      <c r="F281" s="4" t="s">
        <v>155</v>
      </c>
      <c r="G281" s="4"/>
      <c r="H281" s="4"/>
      <c r="I281" s="4" t="s">
        <v>140</v>
      </c>
      <c r="J281" s="4" t="s">
        <v>187</v>
      </c>
      <c r="K281" s="4" t="s">
        <v>150</v>
      </c>
      <c r="L281" s="4" t="s">
        <v>4181</v>
      </c>
      <c r="M281" s="4" t="s">
        <v>643</v>
      </c>
      <c r="N281" s="4" t="s">
        <v>155</v>
      </c>
      <c r="O281" s="4" t="s">
        <v>125</v>
      </c>
      <c r="P281" s="4"/>
    </row>
    <row r="282" spans="1:16" ht="15">
      <c r="A282" s="4" t="s">
        <v>843</v>
      </c>
      <c r="B282" s="30">
        <v>39947</v>
      </c>
      <c r="C282" s="4" t="s">
        <v>9</v>
      </c>
      <c r="D282" s="4" t="s">
        <v>194</v>
      </c>
      <c r="E282" s="4" t="s">
        <v>170</v>
      </c>
      <c r="F282" s="4" t="s">
        <v>155</v>
      </c>
      <c r="G282" s="4"/>
      <c r="H282" s="4"/>
      <c r="I282" s="4" t="s">
        <v>139</v>
      </c>
      <c r="J282" s="4" t="s">
        <v>479</v>
      </c>
      <c r="K282" s="4" t="s">
        <v>150</v>
      </c>
      <c r="L282" s="4" t="s">
        <v>165</v>
      </c>
      <c r="M282" s="4"/>
      <c r="N282" s="4" t="s">
        <v>158</v>
      </c>
      <c r="O282" s="4" t="s">
        <v>122</v>
      </c>
      <c r="P282" s="4"/>
    </row>
    <row r="283" spans="1:16" ht="15">
      <c r="A283" s="4" t="s">
        <v>844</v>
      </c>
      <c r="B283" s="30">
        <v>39910</v>
      </c>
      <c r="C283" s="4"/>
      <c r="D283" s="4" t="s">
        <v>4180</v>
      </c>
      <c r="E283" s="4" t="s">
        <v>170</v>
      </c>
      <c r="F283" s="4" t="s">
        <v>155</v>
      </c>
      <c r="G283" s="4"/>
      <c r="H283" s="4"/>
      <c r="I283" s="4" t="s">
        <v>139</v>
      </c>
      <c r="J283" s="4" t="s">
        <v>190</v>
      </c>
      <c r="K283" s="4" t="s">
        <v>145</v>
      </c>
      <c r="L283" s="4" t="s">
        <v>4176</v>
      </c>
      <c r="M283" s="4" t="s">
        <v>174</v>
      </c>
      <c r="N283" s="4" t="s">
        <v>156</v>
      </c>
      <c r="O283" s="4" t="s">
        <v>120</v>
      </c>
      <c r="P283" s="4" t="s">
        <v>845</v>
      </c>
    </row>
    <row r="284" spans="1:16" ht="15">
      <c r="A284" s="4" t="s">
        <v>846</v>
      </c>
      <c r="B284" s="30">
        <v>40004</v>
      </c>
      <c r="C284" s="4"/>
      <c r="D284" s="4" t="s">
        <v>193</v>
      </c>
      <c r="E284" s="4" t="s">
        <v>170</v>
      </c>
      <c r="F284" s="4" t="s">
        <v>155</v>
      </c>
      <c r="G284" s="4"/>
      <c r="H284" s="4">
        <v>3</v>
      </c>
      <c r="I284" s="4" t="s">
        <v>140</v>
      </c>
      <c r="J284" s="4" t="s">
        <v>190</v>
      </c>
      <c r="K284" s="4" t="s">
        <v>144</v>
      </c>
      <c r="L284" s="4" t="s">
        <v>165</v>
      </c>
      <c r="M284" s="4" t="s">
        <v>847</v>
      </c>
      <c r="N284" s="4" t="s">
        <v>158</v>
      </c>
      <c r="O284" s="4" t="s">
        <v>122</v>
      </c>
      <c r="P284" s="4"/>
    </row>
    <row r="285" spans="1:16" ht="15">
      <c r="A285" s="4" t="s">
        <v>848</v>
      </c>
      <c r="B285" s="30">
        <v>39954</v>
      </c>
      <c r="C285" s="4" t="s">
        <v>9</v>
      </c>
      <c r="D285" s="4" t="s">
        <v>193</v>
      </c>
      <c r="E285" s="4" t="s">
        <v>170</v>
      </c>
      <c r="F285" s="4" t="s">
        <v>155</v>
      </c>
      <c r="G285" s="4"/>
      <c r="H285" s="4"/>
      <c r="I285" s="4" t="s">
        <v>140</v>
      </c>
      <c r="J285" s="4" t="s">
        <v>603</v>
      </c>
      <c r="K285" s="4" t="s">
        <v>150</v>
      </c>
      <c r="L285" s="4" t="s">
        <v>4181</v>
      </c>
      <c r="M285" s="4" t="s">
        <v>173</v>
      </c>
      <c r="N285" s="4" t="s">
        <v>155</v>
      </c>
      <c r="O285" s="4" t="s">
        <v>124</v>
      </c>
      <c r="P285" s="4"/>
    </row>
    <row r="286" spans="1:16" ht="15">
      <c r="A286" s="4" t="s">
        <v>849</v>
      </c>
      <c r="B286" s="30">
        <v>39933</v>
      </c>
      <c r="C286" s="4"/>
      <c r="D286" s="4" t="s">
        <v>4184</v>
      </c>
      <c r="E286" s="4" t="s">
        <v>170</v>
      </c>
      <c r="F286" s="4" t="s">
        <v>155</v>
      </c>
      <c r="G286" s="4"/>
      <c r="H286" s="4"/>
      <c r="I286" s="4" t="s">
        <v>140</v>
      </c>
      <c r="J286" s="4" t="s">
        <v>181</v>
      </c>
      <c r="K286" s="4" t="s">
        <v>143</v>
      </c>
      <c r="L286" s="4" t="s">
        <v>4176</v>
      </c>
      <c r="M286" s="4" t="s">
        <v>174</v>
      </c>
      <c r="N286" s="4" t="s">
        <v>159</v>
      </c>
      <c r="O286" s="4" t="s">
        <v>123</v>
      </c>
      <c r="P286" s="4" t="s">
        <v>123</v>
      </c>
    </row>
    <row r="287" spans="1:16" ht="15">
      <c r="A287" s="4" t="s">
        <v>850</v>
      </c>
      <c r="B287" s="30">
        <v>39978</v>
      </c>
      <c r="C287" s="4"/>
      <c r="D287" s="4" t="s">
        <v>193</v>
      </c>
      <c r="E287" s="4" t="s">
        <v>170</v>
      </c>
      <c r="F287" s="4" t="s">
        <v>155</v>
      </c>
      <c r="G287" s="4"/>
      <c r="H287" s="4"/>
      <c r="I287" s="4" t="s">
        <v>140</v>
      </c>
      <c r="J287" s="4" t="s">
        <v>183</v>
      </c>
      <c r="K287" s="4" t="s">
        <v>144</v>
      </c>
      <c r="L287" s="4" t="s">
        <v>4176</v>
      </c>
      <c r="M287" s="4" t="s">
        <v>174</v>
      </c>
      <c r="N287" s="4" t="s">
        <v>156</v>
      </c>
      <c r="O287" s="4" t="s">
        <v>120</v>
      </c>
      <c r="P287" s="4" t="s">
        <v>851</v>
      </c>
    </row>
    <row r="288" spans="1:16" ht="15">
      <c r="A288" s="4" t="s">
        <v>852</v>
      </c>
      <c r="B288" s="30">
        <v>40072</v>
      </c>
      <c r="C288" s="4" t="s">
        <v>496</v>
      </c>
      <c r="D288" s="4" t="s">
        <v>195</v>
      </c>
      <c r="E288" s="4" t="s">
        <v>170</v>
      </c>
      <c r="F288" s="4" t="s">
        <v>155</v>
      </c>
      <c r="G288" s="4">
        <v>5</v>
      </c>
      <c r="H288" s="4">
        <v>5</v>
      </c>
      <c r="I288" s="4" t="s">
        <v>139</v>
      </c>
      <c r="J288" s="4" t="s">
        <v>591</v>
      </c>
      <c r="K288" s="4" t="s">
        <v>142</v>
      </c>
      <c r="L288" s="4" t="s">
        <v>4176</v>
      </c>
      <c r="M288" s="4" t="s">
        <v>176</v>
      </c>
      <c r="N288" s="4" t="s">
        <v>159</v>
      </c>
      <c r="O288" s="4" t="s">
        <v>126</v>
      </c>
      <c r="P288" s="4" t="s">
        <v>601</v>
      </c>
    </row>
    <row r="289" spans="1:16" ht="15">
      <c r="A289" s="4" t="s">
        <v>853</v>
      </c>
      <c r="B289" s="30">
        <v>40019</v>
      </c>
      <c r="C289" s="4" t="s">
        <v>9</v>
      </c>
      <c r="D289" s="4" t="s">
        <v>195</v>
      </c>
      <c r="E289" s="4" t="s">
        <v>170</v>
      </c>
      <c r="F289" s="4" t="s">
        <v>155</v>
      </c>
      <c r="G289" s="4">
        <v>5</v>
      </c>
      <c r="H289" s="4">
        <v>3</v>
      </c>
      <c r="I289" s="4" t="s">
        <v>139</v>
      </c>
      <c r="J289" s="4" t="s">
        <v>179</v>
      </c>
      <c r="K289" s="4" t="s">
        <v>144</v>
      </c>
      <c r="L289" s="4" t="s">
        <v>162</v>
      </c>
      <c r="M289" s="4" t="s">
        <v>175</v>
      </c>
      <c r="N289" s="4" t="s">
        <v>155</v>
      </c>
      <c r="O289" s="4" t="s">
        <v>129</v>
      </c>
      <c r="P289" s="4"/>
    </row>
    <row r="290" spans="1:16" ht="15">
      <c r="A290" s="4" t="s">
        <v>854</v>
      </c>
      <c r="B290" s="30">
        <v>40008</v>
      </c>
      <c r="C290" s="4"/>
      <c r="D290" s="4" t="s">
        <v>195</v>
      </c>
      <c r="E290" s="4" t="s">
        <v>170</v>
      </c>
      <c r="F290" s="4" t="s">
        <v>155</v>
      </c>
      <c r="G290" s="4">
        <v>5</v>
      </c>
      <c r="H290" s="4">
        <v>5</v>
      </c>
      <c r="I290" s="4" t="s">
        <v>139</v>
      </c>
      <c r="J290" s="4" t="s">
        <v>181</v>
      </c>
      <c r="K290" s="4" t="s">
        <v>150</v>
      </c>
      <c r="L290" s="4" t="s">
        <v>162</v>
      </c>
      <c r="M290" s="4" t="s">
        <v>176</v>
      </c>
      <c r="N290" s="4" t="s">
        <v>155</v>
      </c>
      <c r="O290" s="4" t="s">
        <v>130</v>
      </c>
      <c r="P290" s="4"/>
    </row>
    <row r="291" spans="1:16" ht="15">
      <c r="A291" s="4" t="s">
        <v>855</v>
      </c>
      <c r="B291" s="30">
        <v>39927</v>
      </c>
      <c r="C291" s="4"/>
      <c r="D291" s="4" t="s">
        <v>4183</v>
      </c>
      <c r="E291" s="4" t="s">
        <v>170</v>
      </c>
      <c r="F291" s="4" t="s">
        <v>155</v>
      </c>
      <c r="G291" s="4"/>
      <c r="H291" s="4"/>
      <c r="I291" s="4" t="s">
        <v>140</v>
      </c>
      <c r="J291" s="4" t="s">
        <v>189</v>
      </c>
      <c r="K291" s="4" t="s">
        <v>145</v>
      </c>
      <c r="L291" s="4" t="s">
        <v>4181</v>
      </c>
      <c r="M291" s="4" t="s">
        <v>173</v>
      </c>
      <c r="N291" s="4" t="s">
        <v>155</v>
      </c>
      <c r="O291" s="4" t="s">
        <v>792</v>
      </c>
      <c r="P291" s="4"/>
    </row>
    <row r="292" spans="1:16" ht="15">
      <c r="A292" s="4" t="s">
        <v>856</v>
      </c>
      <c r="B292" s="30">
        <v>40004</v>
      </c>
      <c r="C292" s="4"/>
      <c r="D292" s="4" t="s">
        <v>193</v>
      </c>
      <c r="E292" s="4" t="s">
        <v>170</v>
      </c>
      <c r="F292" s="4" t="s">
        <v>155</v>
      </c>
      <c r="G292" s="4"/>
      <c r="H292" s="4">
        <v>5</v>
      </c>
      <c r="I292" s="4" t="s">
        <v>140</v>
      </c>
      <c r="J292" s="4" t="s">
        <v>181</v>
      </c>
      <c r="K292" s="4" t="s">
        <v>142</v>
      </c>
      <c r="L292" s="4" t="s">
        <v>4176</v>
      </c>
      <c r="M292" s="4" t="s">
        <v>174</v>
      </c>
      <c r="N292" s="4" t="s">
        <v>156</v>
      </c>
      <c r="O292" s="4" t="s">
        <v>120</v>
      </c>
      <c r="P292" s="4" t="s">
        <v>857</v>
      </c>
    </row>
    <row r="293" spans="1:16" ht="15">
      <c r="A293" s="4" t="s">
        <v>858</v>
      </c>
      <c r="B293" s="30">
        <v>40005</v>
      </c>
      <c r="C293" s="4"/>
      <c r="D293" s="4" t="s">
        <v>195</v>
      </c>
      <c r="E293" s="4" t="s">
        <v>170</v>
      </c>
      <c r="F293" s="4" t="s">
        <v>155</v>
      </c>
      <c r="G293" s="4">
        <v>1</v>
      </c>
      <c r="H293" s="4">
        <v>2</v>
      </c>
      <c r="I293" s="4" t="s">
        <v>139</v>
      </c>
      <c r="J293" s="4" t="s">
        <v>179</v>
      </c>
      <c r="K293" s="4" t="s">
        <v>149</v>
      </c>
      <c r="L293" s="4" t="s">
        <v>162</v>
      </c>
      <c r="M293" s="4" t="s">
        <v>459</v>
      </c>
      <c r="N293" s="4" t="s">
        <v>155</v>
      </c>
      <c r="O293" s="4" t="s">
        <v>130</v>
      </c>
      <c r="P293" s="4"/>
    </row>
    <row r="294" spans="1:16" ht="15">
      <c r="A294" s="4" t="s">
        <v>859</v>
      </c>
      <c r="B294" s="30">
        <v>40009</v>
      </c>
      <c r="C294" s="4" t="s">
        <v>496</v>
      </c>
      <c r="D294" s="4" t="s">
        <v>194</v>
      </c>
      <c r="E294" s="4" t="s">
        <v>170</v>
      </c>
      <c r="F294" s="4" t="s">
        <v>155</v>
      </c>
      <c r="G294" s="4">
        <v>5</v>
      </c>
      <c r="H294" s="4">
        <v>5</v>
      </c>
      <c r="I294" s="4" t="s">
        <v>139</v>
      </c>
      <c r="J294" s="4" t="s">
        <v>182</v>
      </c>
      <c r="K294" s="4" t="s">
        <v>149</v>
      </c>
      <c r="L294" s="4" t="s">
        <v>162</v>
      </c>
      <c r="M294" s="4" t="s">
        <v>175</v>
      </c>
      <c r="N294" s="4" t="s">
        <v>155</v>
      </c>
      <c r="O294" s="4" t="s">
        <v>130</v>
      </c>
      <c r="P294" s="4"/>
    </row>
    <row r="295" spans="1:16" ht="15">
      <c r="A295" s="4" t="s">
        <v>860</v>
      </c>
      <c r="B295" s="30">
        <v>39994</v>
      </c>
      <c r="C295" s="4"/>
      <c r="D295" s="4" t="s">
        <v>193</v>
      </c>
      <c r="E295" s="4" t="s">
        <v>170</v>
      </c>
      <c r="F295" s="4" t="s">
        <v>155</v>
      </c>
      <c r="G295" s="4"/>
      <c r="H295" s="4">
        <v>3</v>
      </c>
      <c r="I295" s="4" t="s">
        <v>140</v>
      </c>
      <c r="J295" s="4" t="s">
        <v>181</v>
      </c>
      <c r="K295" s="4" t="s">
        <v>149</v>
      </c>
      <c r="L295" s="4" t="s">
        <v>162</v>
      </c>
      <c r="M295" s="4"/>
      <c r="N295" s="4" t="s">
        <v>155</v>
      </c>
      <c r="O295" s="4" t="s">
        <v>130</v>
      </c>
      <c r="P295" s="4"/>
    </row>
    <row r="296" spans="1:16" ht="15">
      <c r="A296" s="4" t="s">
        <v>861</v>
      </c>
      <c r="B296" s="30">
        <v>40021</v>
      </c>
      <c r="C296" s="4"/>
      <c r="D296" s="4" t="s">
        <v>195</v>
      </c>
      <c r="E296" s="4" t="s">
        <v>170</v>
      </c>
      <c r="F296" s="4" t="s">
        <v>155</v>
      </c>
      <c r="G296" s="4">
        <v>5</v>
      </c>
      <c r="H296" s="4">
        <v>5</v>
      </c>
      <c r="I296" s="4" t="s">
        <v>139</v>
      </c>
      <c r="J296" s="4" t="s">
        <v>576</v>
      </c>
      <c r="K296" s="4" t="s">
        <v>142</v>
      </c>
      <c r="L296" s="4" t="s">
        <v>4176</v>
      </c>
      <c r="M296" s="4" t="s">
        <v>174</v>
      </c>
      <c r="N296" s="4" t="s">
        <v>157</v>
      </c>
      <c r="O296" s="4" t="s">
        <v>130</v>
      </c>
      <c r="P296" s="4" t="s">
        <v>437</v>
      </c>
    </row>
    <row r="297" spans="1:16" ht="15">
      <c r="A297" s="4" t="s">
        <v>862</v>
      </c>
      <c r="B297" s="30">
        <v>40045</v>
      </c>
      <c r="C297" s="4"/>
      <c r="D297" s="4" t="s">
        <v>195</v>
      </c>
      <c r="E297" s="4" t="s">
        <v>170</v>
      </c>
      <c r="F297" s="4" t="s">
        <v>155</v>
      </c>
      <c r="G297" s="4">
        <v>5</v>
      </c>
      <c r="H297" s="4">
        <v>5</v>
      </c>
      <c r="I297" s="4" t="s">
        <v>139</v>
      </c>
      <c r="J297" s="4" t="s">
        <v>179</v>
      </c>
      <c r="K297" s="4" t="s">
        <v>144</v>
      </c>
      <c r="L297" s="4" t="s">
        <v>162</v>
      </c>
      <c r="M297" s="4" t="s">
        <v>863</v>
      </c>
      <c r="N297" s="4" t="s">
        <v>155</v>
      </c>
      <c r="O297" s="4" t="s">
        <v>129</v>
      </c>
      <c r="P297" s="4"/>
    </row>
    <row r="298" spans="1:16" ht="15">
      <c r="A298" s="4" t="s">
        <v>864</v>
      </c>
      <c r="B298" s="30">
        <v>39961</v>
      </c>
      <c r="C298" s="4"/>
      <c r="D298" s="4" t="s">
        <v>193</v>
      </c>
      <c r="E298" s="4" t="s">
        <v>170</v>
      </c>
      <c r="F298" s="4" t="s">
        <v>155</v>
      </c>
      <c r="G298" s="4"/>
      <c r="H298" s="4"/>
      <c r="I298" s="4" t="s">
        <v>140</v>
      </c>
      <c r="J298" s="4" t="s">
        <v>181</v>
      </c>
      <c r="K298" s="4" t="s">
        <v>149</v>
      </c>
      <c r="L298" s="4" t="s">
        <v>165</v>
      </c>
      <c r="M298" s="4"/>
      <c r="N298" s="4" t="s">
        <v>158</v>
      </c>
      <c r="O298" s="4" t="s">
        <v>122</v>
      </c>
      <c r="P298" s="4"/>
    </row>
    <row r="299" spans="1:16" ht="15">
      <c r="A299" s="4" t="s">
        <v>865</v>
      </c>
      <c r="B299" s="30">
        <v>40037</v>
      </c>
      <c r="C299" s="4"/>
      <c r="D299" s="4" t="s">
        <v>193</v>
      </c>
      <c r="E299" s="4" t="s">
        <v>170</v>
      </c>
      <c r="F299" s="4" t="s">
        <v>155</v>
      </c>
      <c r="G299" s="4">
        <v>5</v>
      </c>
      <c r="H299" s="4">
        <v>5</v>
      </c>
      <c r="I299" s="4" t="s">
        <v>140</v>
      </c>
      <c r="J299" s="4" t="s">
        <v>180</v>
      </c>
      <c r="K299" s="4" t="s">
        <v>151</v>
      </c>
      <c r="L299" s="4" t="s">
        <v>162</v>
      </c>
      <c r="M299" s="4" t="s">
        <v>578</v>
      </c>
      <c r="N299" s="4" t="s">
        <v>155</v>
      </c>
      <c r="O299" s="4" t="s">
        <v>129</v>
      </c>
      <c r="P299" s="4"/>
    </row>
    <row r="300" spans="1:16" ht="15">
      <c r="A300" s="4" t="s">
        <v>866</v>
      </c>
      <c r="B300" s="30">
        <v>39970</v>
      </c>
      <c r="C300" s="4"/>
      <c r="D300" s="4" t="s">
        <v>193</v>
      </c>
      <c r="E300" s="4" t="s">
        <v>170</v>
      </c>
      <c r="F300" s="4" t="s">
        <v>155</v>
      </c>
      <c r="G300" s="4"/>
      <c r="H300" s="4"/>
      <c r="I300" s="4" t="s">
        <v>140</v>
      </c>
      <c r="J300" s="4" t="s">
        <v>810</v>
      </c>
      <c r="K300" s="4" t="s">
        <v>145</v>
      </c>
      <c r="L300" s="4" t="s">
        <v>4176</v>
      </c>
      <c r="M300" s="4" t="s">
        <v>867</v>
      </c>
      <c r="N300" s="4" t="s">
        <v>156</v>
      </c>
      <c r="O300" s="4" t="s">
        <v>120</v>
      </c>
      <c r="P300" s="4" t="s">
        <v>868</v>
      </c>
    </row>
    <row r="301" spans="1:16" ht="15">
      <c r="A301" s="4" t="s">
        <v>869</v>
      </c>
      <c r="B301" s="30">
        <v>39924</v>
      </c>
      <c r="C301" s="4" t="s">
        <v>9</v>
      </c>
      <c r="D301" s="4" t="s">
        <v>4184</v>
      </c>
      <c r="E301" s="4" t="s">
        <v>170</v>
      </c>
      <c r="F301" s="4" t="s">
        <v>155</v>
      </c>
      <c r="G301" s="4"/>
      <c r="H301" s="4"/>
      <c r="I301" s="4" t="s">
        <v>140</v>
      </c>
      <c r="J301" s="4" t="s">
        <v>187</v>
      </c>
      <c r="K301" s="4" t="s">
        <v>147</v>
      </c>
      <c r="L301" s="4" t="s">
        <v>4181</v>
      </c>
      <c r="M301" s="4" t="s">
        <v>870</v>
      </c>
      <c r="N301" s="4" t="s">
        <v>155</v>
      </c>
      <c r="O301" s="4" t="s">
        <v>392</v>
      </c>
      <c r="P301" s="4"/>
    </row>
    <row r="302" spans="1:16" ht="15">
      <c r="A302" s="4" t="s">
        <v>871</v>
      </c>
      <c r="B302" s="30">
        <v>40017</v>
      </c>
      <c r="C302" s="4"/>
      <c r="D302" s="4" t="s">
        <v>193</v>
      </c>
      <c r="E302" s="4" t="s">
        <v>170</v>
      </c>
      <c r="F302" s="4" t="s">
        <v>155</v>
      </c>
      <c r="G302" s="4">
        <v>4</v>
      </c>
      <c r="H302" s="4">
        <v>3</v>
      </c>
      <c r="I302" s="4" t="s">
        <v>140</v>
      </c>
      <c r="J302" s="4" t="s">
        <v>179</v>
      </c>
      <c r="K302" s="4" t="s">
        <v>146</v>
      </c>
      <c r="L302" s="4" t="s">
        <v>162</v>
      </c>
      <c r="M302" s="4" t="s">
        <v>567</v>
      </c>
      <c r="N302" s="4" t="s">
        <v>155</v>
      </c>
      <c r="O302" s="4" t="s">
        <v>130</v>
      </c>
      <c r="P302" s="4"/>
    </row>
    <row r="303" spans="1:16" ht="15">
      <c r="A303" s="4" t="s">
        <v>872</v>
      </c>
      <c r="B303" s="30">
        <v>40045</v>
      </c>
      <c r="C303" s="4"/>
      <c r="D303" s="4" t="s">
        <v>193</v>
      </c>
      <c r="E303" s="4" t="s">
        <v>170</v>
      </c>
      <c r="F303" s="4" t="s">
        <v>155</v>
      </c>
      <c r="G303" s="4">
        <v>5</v>
      </c>
      <c r="H303" s="4">
        <v>2</v>
      </c>
      <c r="I303" s="4" t="s">
        <v>140</v>
      </c>
      <c r="J303" s="4" t="s">
        <v>185</v>
      </c>
      <c r="K303" s="4" t="s">
        <v>142</v>
      </c>
      <c r="L303" s="4" t="s">
        <v>4176</v>
      </c>
      <c r="M303" s="4" t="s">
        <v>174</v>
      </c>
      <c r="N303" s="4" t="s">
        <v>157</v>
      </c>
      <c r="O303" s="4" t="s">
        <v>127</v>
      </c>
      <c r="P303" s="4" t="s">
        <v>153</v>
      </c>
    </row>
    <row r="304" spans="1:16" ht="15">
      <c r="A304" s="4" t="s">
        <v>873</v>
      </c>
      <c r="B304" s="30">
        <v>40032</v>
      </c>
      <c r="C304" s="4" t="s">
        <v>9</v>
      </c>
      <c r="D304" s="4" t="s">
        <v>195</v>
      </c>
      <c r="E304" s="4" t="s">
        <v>170</v>
      </c>
      <c r="F304" s="4" t="s">
        <v>155</v>
      </c>
      <c r="G304" s="4">
        <v>5</v>
      </c>
      <c r="H304" s="4">
        <v>5</v>
      </c>
      <c r="I304" s="4" t="s">
        <v>139</v>
      </c>
      <c r="J304" s="4" t="s">
        <v>180</v>
      </c>
      <c r="K304" s="4" t="s">
        <v>145</v>
      </c>
      <c r="L304" s="4" t="s">
        <v>4176</v>
      </c>
      <c r="M304" s="4" t="s">
        <v>863</v>
      </c>
      <c r="N304" s="4" t="s">
        <v>157</v>
      </c>
      <c r="O304" s="4" t="s">
        <v>124</v>
      </c>
      <c r="P304" s="4" t="s">
        <v>874</v>
      </c>
    </row>
    <row r="305" spans="1:16" ht="15">
      <c r="A305" s="4" t="s">
        <v>875</v>
      </c>
      <c r="B305" s="30">
        <v>40010</v>
      </c>
      <c r="C305" s="4" t="s">
        <v>496</v>
      </c>
      <c r="D305" s="4" t="s">
        <v>193</v>
      </c>
      <c r="E305" s="4" t="s">
        <v>170</v>
      </c>
      <c r="F305" s="4" t="s">
        <v>155</v>
      </c>
      <c r="G305" s="4">
        <v>5</v>
      </c>
      <c r="H305" s="4">
        <v>5</v>
      </c>
      <c r="I305" s="4" t="s">
        <v>140</v>
      </c>
      <c r="J305" s="4" t="s">
        <v>184</v>
      </c>
      <c r="K305" s="4" t="s">
        <v>146</v>
      </c>
      <c r="L305" s="4" t="s">
        <v>165</v>
      </c>
      <c r="M305" s="4"/>
      <c r="N305" s="4" t="s">
        <v>158</v>
      </c>
      <c r="O305" s="4" t="s">
        <v>122</v>
      </c>
      <c r="P305" s="4"/>
    </row>
    <row r="306" spans="1:16" ht="15">
      <c r="A306" s="4" t="s">
        <v>876</v>
      </c>
      <c r="B306" s="30">
        <v>39971</v>
      </c>
      <c r="C306" s="4"/>
      <c r="D306" s="4" t="s">
        <v>195</v>
      </c>
      <c r="E306" s="4" t="s">
        <v>170</v>
      </c>
      <c r="F306" s="4" t="s">
        <v>155</v>
      </c>
      <c r="G306" s="4"/>
      <c r="H306" s="4"/>
      <c r="I306" s="4" t="s">
        <v>139</v>
      </c>
      <c r="J306" s="4" t="s">
        <v>180</v>
      </c>
      <c r="K306" s="4" t="s">
        <v>142</v>
      </c>
      <c r="L306" s="4" t="s">
        <v>165</v>
      </c>
      <c r="M306" s="4"/>
      <c r="N306" s="4" t="s">
        <v>158</v>
      </c>
      <c r="O306" s="4" t="s">
        <v>122</v>
      </c>
      <c r="P306" s="4"/>
    </row>
    <row r="307" spans="1:16" ht="15">
      <c r="A307" s="4" t="s">
        <v>877</v>
      </c>
      <c r="B307" s="30">
        <v>40044</v>
      </c>
      <c r="C307" s="4"/>
      <c r="D307" s="4" t="s">
        <v>193</v>
      </c>
      <c r="E307" s="4" t="s">
        <v>170</v>
      </c>
      <c r="F307" s="4" t="s">
        <v>155</v>
      </c>
      <c r="G307" s="4">
        <v>5</v>
      </c>
      <c r="H307" s="4">
        <v>2</v>
      </c>
      <c r="I307" s="4" t="s">
        <v>140</v>
      </c>
      <c r="J307" s="4" t="s">
        <v>181</v>
      </c>
      <c r="K307" s="4" t="s">
        <v>143</v>
      </c>
      <c r="L307" s="4" t="s">
        <v>165</v>
      </c>
      <c r="M307" s="4"/>
      <c r="N307" s="4" t="s">
        <v>158</v>
      </c>
      <c r="O307" s="4" t="s">
        <v>122</v>
      </c>
      <c r="P307" s="4"/>
    </row>
    <row r="308" spans="1:16" ht="15">
      <c r="A308" s="4" t="s">
        <v>878</v>
      </c>
      <c r="B308" s="30">
        <v>40033</v>
      </c>
      <c r="C308" s="4"/>
      <c r="D308" s="4" t="s">
        <v>196</v>
      </c>
      <c r="E308" s="4" t="s">
        <v>170</v>
      </c>
      <c r="F308" s="4" t="s">
        <v>155</v>
      </c>
      <c r="G308" s="4">
        <v>5</v>
      </c>
      <c r="H308" s="4">
        <v>5</v>
      </c>
      <c r="I308" s="4" t="s">
        <v>139</v>
      </c>
      <c r="J308" s="4" t="s">
        <v>180</v>
      </c>
      <c r="K308" s="4" t="s">
        <v>146</v>
      </c>
      <c r="L308" s="4" t="s">
        <v>4176</v>
      </c>
      <c r="M308" s="4" t="s">
        <v>619</v>
      </c>
      <c r="N308" s="4" t="s">
        <v>159</v>
      </c>
      <c r="O308" s="4" t="s">
        <v>123</v>
      </c>
      <c r="P308" s="4" t="s">
        <v>123</v>
      </c>
    </row>
    <row r="309" spans="1:16" ht="15">
      <c r="A309" s="4" t="s">
        <v>879</v>
      </c>
      <c r="B309" s="30">
        <v>40054</v>
      </c>
      <c r="C309" s="4"/>
      <c r="D309" s="4" t="s">
        <v>196</v>
      </c>
      <c r="E309" s="4" t="s">
        <v>170</v>
      </c>
      <c r="F309" s="4" t="s">
        <v>155</v>
      </c>
      <c r="G309" s="4">
        <v>2</v>
      </c>
      <c r="H309" s="4">
        <v>3</v>
      </c>
      <c r="I309" s="4" t="s">
        <v>139</v>
      </c>
      <c r="J309" s="4" t="s">
        <v>180</v>
      </c>
      <c r="K309" s="4" t="s">
        <v>145</v>
      </c>
      <c r="L309" s="4" t="s">
        <v>4176</v>
      </c>
      <c r="M309" s="4" t="s">
        <v>880</v>
      </c>
      <c r="N309" s="4" t="s">
        <v>157</v>
      </c>
      <c r="O309" s="4" t="s">
        <v>501</v>
      </c>
      <c r="P309" s="4" t="s">
        <v>881</v>
      </c>
    </row>
    <row r="310" spans="1:16" ht="15">
      <c r="A310" s="4" t="s">
        <v>882</v>
      </c>
      <c r="B310" s="30">
        <v>40016</v>
      </c>
      <c r="C310" s="4"/>
      <c r="D310" s="4" t="s">
        <v>195</v>
      </c>
      <c r="E310" s="4" t="s">
        <v>170</v>
      </c>
      <c r="F310" s="4" t="s">
        <v>155</v>
      </c>
      <c r="G310" s="4">
        <v>1</v>
      </c>
      <c r="H310" s="4">
        <v>5</v>
      </c>
      <c r="I310" s="4" t="s">
        <v>139</v>
      </c>
      <c r="J310" s="4" t="s">
        <v>181</v>
      </c>
      <c r="K310" s="4" t="s">
        <v>143</v>
      </c>
      <c r="L310" s="4" t="s">
        <v>165</v>
      </c>
      <c r="M310" s="4"/>
      <c r="N310" s="4" t="s">
        <v>158</v>
      </c>
      <c r="O310" s="4" t="s">
        <v>122</v>
      </c>
      <c r="P310" s="4"/>
    </row>
    <row r="311" spans="1:16" ht="15">
      <c r="A311" s="4" t="s">
        <v>883</v>
      </c>
      <c r="B311" s="30">
        <v>39966</v>
      </c>
      <c r="C311" s="4"/>
      <c r="D311" s="4" t="s">
        <v>193</v>
      </c>
      <c r="E311" s="4" t="s">
        <v>170</v>
      </c>
      <c r="F311" s="4" t="s">
        <v>155</v>
      </c>
      <c r="G311" s="4"/>
      <c r="H311" s="4"/>
      <c r="I311" s="4" t="s">
        <v>140</v>
      </c>
      <c r="J311" s="4" t="s">
        <v>181</v>
      </c>
      <c r="K311" s="4" t="s">
        <v>143</v>
      </c>
      <c r="L311" s="4" t="s">
        <v>162</v>
      </c>
      <c r="M311" s="4" t="s">
        <v>567</v>
      </c>
      <c r="N311" s="4" t="s">
        <v>155</v>
      </c>
      <c r="O311" s="4" t="s">
        <v>130</v>
      </c>
      <c r="P311" s="4"/>
    </row>
    <row r="312" spans="1:16" ht="15">
      <c r="A312" s="4" t="s">
        <v>884</v>
      </c>
      <c r="B312" s="30">
        <v>39915</v>
      </c>
      <c r="C312" s="4" t="s">
        <v>9</v>
      </c>
      <c r="D312" s="4" t="s">
        <v>4178</v>
      </c>
      <c r="E312" s="4" t="s">
        <v>170</v>
      </c>
      <c r="F312" s="4" t="s">
        <v>155</v>
      </c>
      <c r="G312" s="4"/>
      <c r="H312" s="4"/>
      <c r="I312" s="4" t="s">
        <v>139</v>
      </c>
      <c r="J312" s="4" t="s">
        <v>603</v>
      </c>
      <c r="K312" s="4" t="s">
        <v>147</v>
      </c>
      <c r="L312" s="4" t="s">
        <v>4176</v>
      </c>
      <c r="M312" s="4" t="s">
        <v>619</v>
      </c>
      <c r="N312" s="4" t="s">
        <v>157</v>
      </c>
      <c r="O312" s="4" t="s">
        <v>124</v>
      </c>
      <c r="P312" s="4" t="s">
        <v>885</v>
      </c>
    </row>
    <row r="313" spans="1:16" ht="15">
      <c r="A313" s="4" t="s">
        <v>886</v>
      </c>
      <c r="B313" s="30">
        <v>39915</v>
      </c>
      <c r="C313" s="4"/>
      <c r="D313" s="4" t="s">
        <v>4177</v>
      </c>
      <c r="E313" s="4" t="s">
        <v>170</v>
      </c>
      <c r="F313" s="4" t="s">
        <v>155</v>
      </c>
      <c r="G313" s="4"/>
      <c r="H313" s="4"/>
      <c r="I313" s="4" t="s">
        <v>139</v>
      </c>
      <c r="J313" s="4" t="s">
        <v>180</v>
      </c>
      <c r="K313" s="4" t="s">
        <v>145</v>
      </c>
      <c r="L313" s="4" t="s">
        <v>162</v>
      </c>
      <c r="M313" s="4"/>
      <c r="N313" s="4" t="s">
        <v>155</v>
      </c>
      <c r="O313" s="4" t="s">
        <v>439</v>
      </c>
      <c r="P313" s="4"/>
    </row>
    <row r="314" spans="1:16" ht="15">
      <c r="A314" s="4" t="s">
        <v>887</v>
      </c>
      <c r="B314" s="30">
        <v>39915</v>
      </c>
      <c r="C314" s="4"/>
      <c r="D314" s="4" t="s">
        <v>4183</v>
      </c>
      <c r="E314" s="4" t="s">
        <v>170</v>
      </c>
      <c r="F314" s="4" t="s">
        <v>155</v>
      </c>
      <c r="G314" s="4"/>
      <c r="H314" s="4"/>
      <c r="I314" s="4" t="s">
        <v>140</v>
      </c>
      <c r="J314" s="4" t="s">
        <v>603</v>
      </c>
      <c r="K314" s="4" t="s">
        <v>147</v>
      </c>
      <c r="L314" s="4" t="s">
        <v>4176</v>
      </c>
      <c r="M314" s="4" t="s">
        <v>619</v>
      </c>
      <c r="N314" s="4" t="s">
        <v>157</v>
      </c>
      <c r="O314" s="4" t="s">
        <v>124</v>
      </c>
      <c r="P314" s="4" t="s">
        <v>885</v>
      </c>
    </row>
    <row r="315" spans="1:16" ht="15">
      <c r="A315" s="4" t="s">
        <v>888</v>
      </c>
      <c r="B315" s="30">
        <v>39919</v>
      </c>
      <c r="C315" s="4"/>
      <c r="D315" s="4" t="s">
        <v>4180</v>
      </c>
      <c r="E315" s="4" t="s">
        <v>170</v>
      </c>
      <c r="F315" s="4" t="s">
        <v>155</v>
      </c>
      <c r="G315" s="4"/>
      <c r="H315" s="4"/>
      <c r="I315" s="4" t="s">
        <v>139</v>
      </c>
      <c r="J315" s="4" t="s">
        <v>180</v>
      </c>
      <c r="K315" s="4" t="s">
        <v>151</v>
      </c>
      <c r="L315" s="4" t="s">
        <v>4176</v>
      </c>
      <c r="M315" s="4" t="s">
        <v>619</v>
      </c>
      <c r="N315" s="4" t="s">
        <v>156</v>
      </c>
      <c r="O315" s="4" t="s">
        <v>120</v>
      </c>
      <c r="P315" s="4" t="s">
        <v>868</v>
      </c>
    </row>
    <row r="316" spans="1:16" ht="15">
      <c r="A316" s="4" t="s">
        <v>889</v>
      </c>
      <c r="B316" s="30">
        <v>39922</v>
      </c>
      <c r="C316" s="4"/>
      <c r="D316" s="4" t="s">
        <v>4183</v>
      </c>
      <c r="E316" s="4" t="s">
        <v>170</v>
      </c>
      <c r="F316" s="4" t="s">
        <v>155</v>
      </c>
      <c r="G316" s="4"/>
      <c r="H316" s="4"/>
      <c r="I316" s="4" t="s">
        <v>140</v>
      </c>
      <c r="J316" s="4" t="s">
        <v>189</v>
      </c>
      <c r="K316" s="4" t="s">
        <v>147</v>
      </c>
      <c r="L316" s="4" t="s">
        <v>4176</v>
      </c>
      <c r="M316" s="4" t="s">
        <v>890</v>
      </c>
      <c r="N316" s="4" t="s">
        <v>157</v>
      </c>
      <c r="O316" s="4" t="s">
        <v>406</v>
      </c>
      <c r="P316" s="4" t="s">
        <v>891</v>
      </c>
    </row>
    <row r="317" spans="1:16" ht="15">
      <c r="A317" s="4" t="s">
        <v>892</v>
      </c>
      <c r="B317" s="30">
        <v>39928</v>
      </c>
      <c r="C317" s="4"/>
      <c r="D317" s="4" t="s">
        <v>4184</v>
      </c>
      <c r="E317" s="4" t="s">
        <v>170</v>
      </c>
      <c r="F317" s="4" t="s">
        <v>155</v>
      </c>
      <c r="G317" s="4"/>
      <c r="H317" s="4"/>
      <c r="I317" s="4" t="s">
        <v>140</v>
      </c>
      <c r="J317" s="4" t="s">
        <v>191</v>
      </c>
      <c r="K317" s="4" t="s">
        <v>145</v>
      </c>
      <c r="L317" s="4" t="s">
        <v>165</v>
      </c>
      <c r="M317" s="4"/>
      <c r="N317" s="4" t="s">
        <v>158</v>
      </c>
      <c r="O317" s="4" t="s">
        <v>122</v>
      </c>
      <c r="P317" s="4"/>
    </row>
    <row r="318" spans="1:16" ht="15">
      <c r="A318" s="4" t="s">
        <v>893</v>
      </c>
      <c r="B318" s="30">
        <v>39957</v>
      </c>
      <c r="C318" s="4"/>
      <c r="D318" s="4" t="s">
        <v>195</v>
      </c>
      <c r="E318" s="4" t="s">
        <v>170</v>
      </c>
      <c r="F318" s="4" t="s">
        <v>155</v>
      </c>
      <c r="G318" s="4"/>
      <c r="H318" s="4"/>
      <c r="I318" s="4" t="s">
        <v>139</v>
      </c>
      <c r="J318" s="4" t="s">
        <v>191</v>
      </c>
      <c r="K318" s="4" t="s">
        <v>146</v>
      </c>
      <c r="L318" s="4" t="s">
        <v>4176</v>
      </c>
      <c r="M318" s="4" t="s">
        <v>174</v>
      </c>
      <c r="N318" s="4" t="s">
        <v>156</v>
      </c>
      <c r="O318" s="4" t="s">
        <v>120</v>
      </c>
      <c r="P318" s="4" t="s">
        <v>741</v>
      </c>
    </row>
    <row r="319" spans="1:16" ht="15">
      <c r="A319" s="4" t="s">
        <v>894</v>
      </c>
      <c r="B319" s="30">
        <v>40004</v>
      </c>
      <c r="C319" s="4" t="s">
        <v>9</v>
      </c>
      <c r="D319" s="4" t="s">
        <v>193</v>
      </c>
      <c r="E319" s="4" t="s">
        <v>170</v>
      </c>
      <c r="F319" s="4" t="s">
        <v>155</v>
      </c>
      <c r="G319" s="4"/>
      <c r="H319" s="4">
        <v>3</v>
      </c>
      <c r="I319" s="4" t="s">
        <v>140</v>
      </c>
      <c r="J319" s="4" t="s">
        <v>179</v>
      </c>
      <c r="K319" s="4" t="s">
        <v>143</v>
      </c>
      <c r="L319" s="4" t="s">
        <v>4176</v>
      </c>
      <c r="M319" s="4" t="s">
        <v>619</v>
      </c>
      <c r="N319" s="4" t="s">
        <v>156</v>
      </c>
      <c r="O319" s="4" t="s">
        <v>120</v>
      </c>
      <c r="P319" s="4" t="s">
        <v>895</v>
      </c>
    </row>
    <row r="320" spans="1:16" ht="15">
      <c r="A320" s="4" t="s">
        <v>896</v>
      </c>
      <c r="B320" s="30">
        <v>40050</v>
      </c>
      <c r="C320" s="4"/>
      <c r="D320" s="4" t="s">
        <v>196</v>
      </c>
      <c r="E320" s="4" t="s">
        <v>170</v>
      </c>
      <c r="F320" s="4" t="s">
        <v>155</v>
      </c>
      <c r="G320" s="4">
        <v>1</v>
      </c>
      <c r="H320" s="4">
        <v>5</v>
      </c>
      <c r="I320" s="4" t="s">
        <v>139</v>
      </c>
      <c r="J320" s="4" t="s">
        <v>180</v>
      </c>
      <c r="K320" s="4" t="s">
        <v>144</v>
      </c>
      <c r="L320" s="4" t="s">
        <v>162</v>
      </c>
      <c r="M320" s="4"/>
      <c r="N320" s="4" t="s">
        <v>155</v>
      </c>
      <c r="O320" s="4" t="s">
        <v>127</v>
      </c>
      <c r="P320" s="4"/>
    </row>
    <row r="321" spans="1:16" ht="15">
      <c r="A321" s="4" t="s">
        <v>897</v>
      </c>
      <c r="B321" s="30">
        <v>40065</v>
      </c>
      <c r="C321" s="4"/>
      <c r="D321" s="4" t="s">
        <v>193</v>
      </c>
      <c r="E321" s="4" t="s">
        <v>170</v>
      </c>
      <c r="F321" s="4" t="s">
        <v>155</v>
      </c>
      <c r="G321" s="4">
        <v>5</v>
      </c>
      <c r="H321" s="4">
        <v>3</v>
      </c>
      <c r="I321" s="4" t="s">
        <v>140</v>
      </c>
      <c r="J321" s="4" t="s">
        <v>509</v>
      </c>
      <c r="K321" s="4" t="s">
        <v>143</v>
      </c>
      <c r="L321" s="4" t="s">
        <v>4176</v>
      </c>
      <c r="M321" s="4" t="s">
        <v>550</v>
      </c>
      <c r="N321" s="4" t="s">
        <v>157</v>
      </c>
      <c r="O321" s="4" t="s">
        <v>439</v>
      </c>
      <c r="P321" s="4" t="s">
        <v>898</v>
      </c>
    </row>
    <row r="322" spans="1:16" ht="15">
      <c r="A322" s="4" t="s">
        <v>899</v>
      </c>
      <c r="B322" s="30">
        <v>40041</v>
      </c>
      <c r="C322" s="4"/>
      <c r="D322" s="4" t="s">
        <v>193</v>
      </c>
      <c r="E322" s="4" t="s">
        <v>170</v>
      </c>
      <c r="F322" s="4" t="s">
        <v>155</v>
      </c>
      <c r="G322" s="4">
        <v>5</v>
      </c>
      <c r="H322" s="4">
        <v>3</v>
      </c>
      <c r="I322" s="4" t="s">
        <v>140</v>
      </c>
      <c r="J322" s="4" t="s">
        <v>181</v>
      </c>
      <c r="K322" s="4" t="s">
        <v>142</v>
      </c>
      <c r="L322" s="4" t="s">
        <v>4176</v>
      </c>
      <c r="M322" s="4" t="s">
        <v>174</v>
      </c>
      <c r="N322" s="4" t="s">
        <v>160</v>
      </c>
      <c r="O322" s="4" t="s">
        <v>126</v>
      </c>
      <c r="P322" s="4" t="s">
        <v>900</v>
      </c>
    </row>
    <row r="323" spans="1:16" ht="15">
      <c r="A323" s="4" t="s">
        <v>901</v>
      </c>
      <c r="B323" s="30">
        <v>39984</v>
      </c>
      <c r="C323" s="4" t="s">
        <v>525</v>
      </c>
      <c r="D323" s="4" t="s">
        <v>196</v>
      </c>
      <c r="E323" s="4" t="s">
        <v>170</v>
      </c>
      <c r="F323" s="4" t="s">
        <v>155</v>
      </c>
      <c r="G323" s="4"/>
      <c r="H323" s="4"/>
      <c r="I323" s="4" t="s">
        <v>139</v>
      </c>
      <c r="J323" s="4" t="s">
        <v>810</v>
      </c>
      <c r="K323" s="4" t="s">
        <v>142</v>
      </c>
      <c r="L323" s="4" t="s">
        <v>4181</v>
      </c>
      <c r="M323" s="4" t="s">
        <v>902</v>
      </c>
      <c r="N323" s="4" t="s">
        <v>788</v>
      </c>
      <c r="O323" s="4" t="s">
        <v>903</v>
      </c>
      <c r="P323" s="4"/>
    </row>
    <row r="324" spans="1:16" ht="15">
      <c r="A324" s="4" t="s">
        <v>904</v>
      </c>
      <c r="B324" s="30">
        <v>39995</v>
      </c>
      <c r="C324" s="4" t="s">
        <v>383</v>
      </c>
      <c r="D324" s="4" t="s">
        <v>196</v>
      </c>
      <c r="E324" s="4" t="s">
        <v>170</v>
      </c>
      <c r="F324" s="4" t="s">
        <v>155</v>
      </c>
      <c r="G324" s="4"/>
      <c r="H324" s="4">
        <v>2</v>
      </c>
      <c r="I324" s="4" t="s">
        <v>139</v>
      </c>
      <c r="J324" s="4" t="s">
        <v>179</v>
      </c>
      <c r="K324" s="4" t="s">
        <v>142</v>
      </c>
      <c r="L324" s="4" t="s">
        <v>162</v>
      </c>
      <c r="M324" s="4" t="s">
        <v>175</v>
      </c>
      <c r="N324" s="4" t="s">
        <v>155</v>
      </c>
      <c r="O324" s="4" t="s">
        <v>130</v>
      </c>
      <c r="P324" s="4"/>
    </row>
    <row r="325" spans="1:16" ht="15">
      <c r="A325" s="4" t="s">
        <v>905</v>
      </c>
      <c r="B325" s="30">
        <v>39992</v>
      </c>
      <c r="C325" s="4"/>
      <c r="D325" s="4" t="s">
        <v>193</v>
      </c>
      <c r="E325" s="4" t="s">
        <v>170</v>
      </c>
      <c r="F325" s="4" t="s">
        <v>155</v>
      </c>
      <c r="G325" s="4"/>
      <c r="H325" s="4">
        <v>5</v>
      </c>
      <c r="I325" s="4" t="s">
        <v>140</v>
      </c>
      <c r="J325" s="4" t="s">
        <v>447</v>
      </c>
      <c r="K325" s="4" t="s">
        <v>146</v>
      </c>
      <c r="L325" s="4" t="s">
        <v>4176</v>
      </c>
      <c r="M325" s="4" t="s">
        <v>906</v>
      </c>
      <c r="N325" s="4" t="s">
        <v>156</v>
      </c>
      <c r="O325" s="4" t="s">
        <v>120</v>
      </c>
      <c r="P325" s="4" t="s">
        <v>907</v>
      </c>
    </row>
    <row r="326" spans="1:16" ht="15">
      <c r="A326" s="4" t="s">
        <v>908</v>
      </c>
      <c r="B326" s="30">
        <v>40011</v>
      </c>
      <c r="C326" s="4" t="s">
        <v>383</v>
      </c>
      <c r="D326" s="4" t="s">
        <v>196</v>
      </c>
      <c r="E326" s="4" t="s">
        <v>170</v>
      </c>
      <c r="F326" s="4" t="s">
        <v>155</v>
      </c>
      <c r="G326" s="4">
        <v>5</v>
      </c>
      <c r="H326" s="4">
        <v>5</v>
      </c>
      <c r="I326" s="4" t="s">
        <v>139</v>
      </c>
      <c r="J326" s="4" t="s">
        <v>181</v>
      </c>
      <c r="K326" s="4" t="s">
        <v>144</v>
      </c>
      <c r="L326" s="4" t="s">
        <v>4176</v>
      </c>
      <c r="M326" s="4" t="s">
        <v>174</v>
      </c>
      <c r="N326" s="4" t="s">
        <v>159</v>
      </c>
      <c r="O326" s="4" t="s">
        <v>123</v>
      </c>
      <c r="P326" s="4" t="s">
        <v>123</v>
      </c>
    </row>
    <row r="327" spans="1:16" ht="15">
      <c r="A327" s="4" t="s">
        <v>909</v>
      </c>
      <c r="B327" s="30">
        <v>39984</v>
      </c>
      <c r="C327" s="4"/>
      <c r="D327" s="4" t="s">
        <v>196</v>
      </c>
      <c r="E327" s="4" t="s">
        <v>170</v>
      </c>
      <c r="F327" s="4" t="s">
        <v>155</v>
      </c>
      <c r="G327" s="4"/>
      <c r="H327" s="4"/>
      <c r="I327" s="4" t="s">
        <v>139</v>
      </c>
      <c r="J327" s="4" t="s">
        <v>179</v>
      </c>
      <c r="K327" s="4" t="s">
        <v>149</v>
      </c>
      <c r="L327" s="4" t="s">
        <v>4176</v>
      </c>
      <c r="M327" s="4" t="s">
        <v>910</v>
      </c>
      <c r="N327" s="4" t="s">
        <v>157</v>
      </c>
      <c r="O327" s="4" t="s">
        <v>130</v>
      </c>
      <c r="P327" s="4" t="s">
        <v>437</v>
      </c>
    </row>
    <row r="328" spans="1:16" ht="15">
      <c r="A328" s="4" t="s">
        <v>911</v>
      </c>
      <c r="B328" s="30">
        <v>39997</v>
      </c>
      <c r="C328" s="4"/>
      <c r="D328" s="4" t="s">
        <v>193</v>
      </c>
      <c r="E328" s="4" t="s">
        <v>170</v>
      </c>
      <c r="F328" s="4" t="s">
        <v>155</v>
      </c>
      <c r="G328" s="4"/>
      <c r="H328" s="4">
        <v>3</v>
      </c>
      <c r="I328" s="4" t="s">
        <v>140</v>
      </c>
      <c r="J328" s="4" t="s">
        <v>180</v>
      </c>
      <c r="K328" s="4" t="s">
        <v>143</v>
      </c>
      <c r="L328" s="4" t="s">
        <v>4176</v>
      </c>
      <c r="M328" s="4"/>
      <c r="N328" s="4" t="s">
        <v>160</v>
      </c>
      <c r="O328" s="4" t="s">
        <v>726</v>
      </c>
      <c r="P328" s="4" t="s">
        <v>912</v>
      </c>
    </row>
    <row r="329" spans="1:16" ht="15">
      <c r="A329" s="4" t="s">
        <v>913</v>
      </c>
      <c r="B329" s="30">
        <v>39992</v>
      </c>
      <c r="C329" s="4"/>
      <c r="D329" s="4" t="s">
        <v>194</v>
      </c>
      <c r="E329" s="4" t="s">
        <v>170</v>
      </c>
      <c r="F329" s="4" t="s">
        <v>155</v>
      </c>
      <c r="G329" s="4"/>
      <c r="H329" s="4">
        <v>3</v>
      </c>
      <c r="I329" s="4" t="s">
        <v>139</v>
      </c>
      <c r="J329" s="4" t="s">
        <v>179</v>
      </c>
      <c r="K329" s="4" t="s">
        <v>145</v>
      </c>
      <c r="L329" s="4" t="s">
        <v>162</v>
      </c>
      <c r="M329" s="4" t="s">
        <v>459</v>
      </c>
      <c r="N329" s="4" t="s">
        <v>155</v>
      </c>
      <c r="O329" s="4" t="s">
        <v>129</v>
      </c>
      <c r="P329" s="4"/>
    </row>
    <row r="330" spans="1:16" ht="15">
      <c r="A330" s="4" t="s">
        <v>914</v>
      </c>
      <c r="B330" s="30">
        <v>40054</v>
      </c>
      <c r="C330" s="4" t="s">
        <v>383</v>
      </c>
      <c r="D330" s="4" t="s">
        <v>196</v>
      </c>
      <c r="E330" s="4" t="s">
        <v>170</v>
      </c>
      <c r="F330" s="4" t="s">
        <v>155</v>
      </c>
      <c r="G330" s="4">
        <v>5</v>
      </c>
      <c r="H330" s="4">
        <v>5</v>
      </c>
      <c r="I330" s="4" t="s">
        <v>139</v>
      </c>
      <c r="J330" s="4" t="s">
        <v>179</v>
      </c>
      <c r="K330" s="4" t="s">
        <v>145</v>
      </c>
      <c r="L330" s="4" t="s">
        <v>4176</v>
      </c>
      <c r="M330" s="4" t="s">
        <v>619</v>
      </c>
      <c r="N330" s="4" t="s">
        <v>157</v>
      </c>
      <c r="O330" s="4" t="s">
        <v>127</v>
      </c>
      <c r="P330" s="4" t="s">
        <v>153</v>
      </c>
    </row>
    <row r="331" spans="1:16" ht="15">
      <c r="A331" s="4" t="s">
        <v>915</v>
      </c>
      <c r="B331" s="30">
        <v>39962</v>
      </c>
      <c r="C331" s="4" t="s">
        <v>380</v>
      </c>
      <c r="D331" s="4" t="s">
        <v>193</v>
      </c>
      <c r="E331" s="4" t="s">
        <v>170</v>
      </c>
      <c r="F331" s="4" t="s">
        <v>155</v>
      </c>
      <c r="G331" s="4"/>
      <c r="H331" s="4"/>
      <c r="I331" s="4" t="s">
        <v>140</v>
      </c>
      <c r="J331" s="4" t="s">
        <v>180</v>
      </c>
      <c r="K331" s="4" t="s">
        <v>146</v>
      </c>
      <c r="L331" s="4" t="s">
        <v>4176</v>
      </c>
      <c r="M331" s="4" t="s">
        <v>619</v>
      </c>
      <c r="N331" s="4" t="s">
        <v>157</v>
      </c>
      <c r="O331" s="4" t="s">
        <v>830</v>
      </c>
      <c r="P331" s="4" t="s">
        <v>916</v>
      </c>
    </row>
    <row r="332" spans="1:16" ht="15">
      <c r="A332" s="4" t="s">
        <v>917</v>
      </c>
      <c r="B332" s="30">
        <v>40033</v>
      </c>
      <c r="C332" s="4"/>
      <c r="D332" s="4" t="s">
        <v>197</v>
      </c>
      <c r="E332" s="4" t="s">
        <v>170</v>
      </c>
      <c r="F332" s="4" t="s">
        <v>155</v>
      </c>
      <c r="G332" s="4">
        <v>5</v>
      </c>
      <c r="H332" s="4">
        <v>3</v>
      </c>
      <c r="I332" s="4" t="s">
        <v>139</v>
      </c>
      <c r="J332" s="4" t="s">
        <v>184</v>
      </c>
      <c r="K332" s="4" t="s">
        <v>144</v>
      </c>
      <c r="L332" s="4" t="s">
        <v>162</v>
      </c>
      <c r="M332" s="4" t="s">
        <v>176</v>
      </c>
      <c r="N332" s="4" t="s">
        <v>155</v>
      </c>
      <c r="O332" s="4" t="s">
        <v>129</v>
      </c>
      <c r="P332" s="4"/>
    </row>
    <row r="333" spans="1:16" ht="15">
      <c r="A333" s="4" t="s">
        <v>918</v>
      </c>
      <c r="B333" s="30">
        <v>39982</v>
      </c>
      <c r="C333" s="4"/>
      <c r="D333" s="4" t="s">
        <v>193</v>
      </c>
      <c r="E333" s="4" t="s">
        <v>170</v>
      </c>
      <c r="F333" s="4" t="s">
        <v>155</v>
      </c>
      <c r="G333" s="4"/>
      <c r="H333" s="4"/>
      <c r="I333" s="4" t="s">
        <v>140</v>
      </c>
      <c r="J333" s="4" t="s">
        <v>179</v>
      </c>
      <c r="K333" s="4" t="s">
        <v>150</v>
      </c>
      <c r="L333" s="4" t="s">
        <v>4176</v>
      </c>
      <c r="M333" s="4" t="s">
        <v>174</v>
      </c>
      <c r="N333" s="4" t="s">
        <v>157</v>
      </c>
      <c r="O333" s="4" t="s">
        <v>830</v>
      </c>
      <c r="P333" s="4" t="s">
        <v>919</v>
      </c>
    </row>
    <row r="334" spans="1:16" ht="15">
      <c r="A334" s="4" t="s">
        <v>920</v>
      </c>
      <c r="B334" s="30">
        <v>39975</v>
      </c>
      <c r="C334" s="4"/>
      <c r="D334" s="4" t="s">
        <v>193</v>
      </c>
      <c r="E334" s="4" t="s">
        <v>170</v>
      </c>
      <c r="F334" s="4" t="s">
        <v>155</v>
      </c>
      <c r="G334" s="4"/>
      <c r="H334" s="4"/>
      <c r="I334" s="4" t="s">
        <v>140</v>
      </c>
      <c r="J334" s="4" t="s">
        <v>179</v>
      </c>
      <c r="K334" s="4" t="s">
        <v>148</v>
      </c>
      <c r="L334" s="4" t="s">
        <v>4176</v>
      </c>
      <c r="M334" s="4" t="s">
        <v>921</v>
      </c>
      <c r="N334" s="4" t="s">
        <v>157</v>
      </c>
      <c r="O334" s="4" t="s">
        <v>406</v>
      </c>
      <c r="P334" s="4" t="s">
        <v>922</v>
      </c>
    </row>
    <row r="335" spans="1:16" ht="15">
      <c r="A335" s="4" t="s">
        <v>923</v>
      </c>
      <c r="B335" s="30">
        <v>39933</v>
      </c>
      <c r="C335" s="4"/>
      <c r="D335" s="4" t="s">
        <v>4179</v>
      </c>
      <c r="E335" s="4" t="s">
        <v>170</v>
      </c>
      <c r="F335" s="4" t="s">
        <v>155</v>
      </c>
      <c r="G335" s="4"/>
      <c r="H335" s="4"/>
      <c r="I335" s="4" t="s">
        <v>139</v>
      </c>
      <c r="J335" s="4" t="s">
        <v>182</v>
      </c>
      <c r="K335" s="4" t="s">
        <v>147</v>
      </c>
      <c r="L335" s="4" t="s">
        <v>4176</v>
      </c>
      <c r="M335" s="4" t="s">
        <v>619</v>
      </c>
      <c r="N335" s="4" t="s">
        <v>160</v>
      </c>
      <c r="O335" s="4" t="s">
        <v>484</v>
      </c>
      <c r="P335" s="4" t="s">
        <v>924</v>
      </c>
    </row>
    <row r="336" spans="1:16" ht="15">
      <c r="A336" s="4" t="s">
        <v>925</v>
      </c>
      <c r="B336" s="30">
        <v>40029</v>
      </c>
      <c r="C336" s="4"/>
      <c r="D336" s="4" t="s">
        <v>193</v>
      </c>
      <c r="E336" s="4" t="s">
        <v>170</v>
      </c>
      <c r="F336" s="4" t="s">
        <v>155</v>
      </c>
      <c r="G336" s="4">
        <v>5</v>
      </c>
      <c r="H336" s="4">
        <v>5</v>
      </c>
      <c r="I336" s="4" t="s">
        <v>140</v>
      </c>
      <c r="J336" s="4" t="s">
        <v>191</v>
      </c>
      <c r="K336" s="4" t="s">
        <v>150</v>
      </c>
      <c r="L336" s="4" t="s">
        <v>4176</v>
      </c>
      <c r="M336" s="4" t="s">
        <v>926</v>
      </c>
      <c r="N336" s="4" t="s">
        <v>156</v>
      </c>
      <c r="O336" s="4" t="s">
        <v>120</v>
      </c>
      <c r="P336" s="4" t="s">
        <v>649</v>
      </c>
    </row>
    <row r="337" spans="1:16" ht="15">
      <c r="A337" s="4" t="s">
        <v>927</v>
      </c>
      <c r="B337" s="30">
        <v>39934</v>
      </c>
      <c r="C337" s="4"/>
      <c r="D337" s="4" t="s">
        <v>4184</v>
      </c>
      <c r="E337" s="4" t="s">
        <v>170</v>
      </c>
      <c r="F337" s="4" t="s">
        <v>155</v>
      </c>
      <c r="G337" s="4"/>
      <c r="H337" s="4"/>
      <c r="I337" s="4" t="s">
        <v>140</v>
      </c>
      <c r="J337" s="4" t="s">
        <v>180</v>
      </c>
      <c r="K337" s="4" t="s">
        <v>142</v>
      </c>
      <c r="L337" s="4" t="s">
        <v>162</v>
      </c>
      <c r="M337" s="4" t="s">
        <v>176</v>
      </c>
      <c r="N337" s="4" t="s">
        <v>155</v>
      </c>
      <c r="O337" s="4" t="s">
        <v>130</v>
      </c>
      <c r="P337" s="4"/>
    </row>
    <row r="338" spans="1:16" ht="15">
      <c r="A338" s="4" t="s">
        <v>928</v>
      </c>
      <c r="B338" s="30">
        <v>40075</v>
      </c>
      <c r="C338" s="4" t="s">
        <v>496</v>
      </c>
      <c r="D338" s="4" t="s">
        <v>193</v>
      </c>
      <c r="E338" s="4" t="s">
        <v>170</v>
      </c>
      <c r="F338" s="4" t="s">
        <v>155</v>
      </c>
      <c r="G338" s="4">
        <v>5</v>
      </c>
      <c r="H338" s="4">
        <v>2</v>
      </c>
      <c r="I338" s="4" t="s">
        <v>140</v>
      </c>
      <c r="J338" s="4" t="s">
        <v>180</v>
      </c>
      <c r="K338" s="4" t="s">
        <v>148</v>
      </c>
      <c r="L338" s="4" t="s">
        <v>4176</v>
      </c>
      <c r="M338" s="4" t="s">
        <v>619</v>
      </c>
      <c r="N338" s="4" t="s">
        <v>156</v>
      </c>
      <c r="O338" s="4" t="s">
        <v>120</v>
      </c>
      <c r="P338" s="4" t="s">
        <v>929</v>
      </c>
    </row>
    <row r="339" spans="1:16" ht="15">
      <c r="A339" s="4" t="s">
        <v>930</v>
      </c>
      <c r="B339" s="30">
        <v>39926</v>
      </c>
      <c r="C339" s="4"/>
      <c r="D339" s="4" t="s">
        <v>4180</v>
      </c>
      <c r="E339" s="4" t="s">
        <v>170</v>
      </c>
      <c r="F339" s="4" t="s">
        <v>155</v>
      </c>
      <c r="G339" s="4"/>
      <c r="H339" s="4"/>
      <c r="I339" s="4" t="s">
        <v>139</v>
      </c>
      <c r="J339" s="4" t="s">
        <v>181</v>
      </c>
      <c r="K339" s="4" t="s">
        <v>147</v>
      </c>
      <c r="L339" s="4" t="s">
        <v>165</v>
      </c>
      <c r="M339" s="4" t="s">
        <v>931</v>
      </c>
      <c r="N339" s="4" t="s">
        <v>158</v>
      </c>
      <c r="O339" s="4" t="s">
        <v>122</v>
      </c>
      <c r="P339" s="4"/>
    </row>
    <row r="340" spans="1:16" ht="15">
      <c r="A340" s="4" t="s">
        <v>932</v>
      </c>
      <c r="B340" s="30">
        <v>40018</v>
      </c>
      <c r="C340" s="4" t="s">
        <v>9</v>
      </c>
      <c r="D340" s="4" t="s">
        <v>195</v>
      </c>
      <c r="E340" s="4" t="s">
        <v>170</v>
      </c>
      <c r="F340" s="4" t="s">
        <v>155</v>
      </c>
      <c r="G340" s="4">
        <v>5</v>
      </c>
      <c r="H340" s="4">
        <v>5</v>
      </c>
      <c r="I340" s="4" t="s">
        <v>139</v>
      </c>
      <c r="J340" s="4" t="s">
        <v>509</v>
      </c>
      <c r="K340" s="4" t="s">
        <v>145</v>
      </c>
      <c r="L340" s="4" t="s">
        <v>162</v>
      </c>
      <c r="M340" s="4" t="s">
        <v>933</v>
      </c>
      <c r="N340" s="4" t="s">
        <v>155</v>
      </c>
      <c r="O340" s="4" t="s">
        <v>129</v>
      </c>
      <c r="P340" s="4"/>
    </row>
    <row r="341" spans="1:16" ht="15">
      <c r="A341" s="4" t="s">
        <v>934</v>
      </c>
      <c r="B341" s="30">
        <v>39925</v>
      </c>
      <c r="C341" s="4"/>
      <c r="D341" s="4" t="s">
        <v>4179</v>
      </c>
      <c r="E341" s="4" t="s">
        <v>170</v>
      </c>
      <c r="F341" s="4" t="s">
        <v>155</v>
      </c>
      <c r="G341" s="4"/>
      <c r="H341" s="4"/>
      <c r="I341" s="4" t="s">
        <v>139</v>
      </c>
      <c r="J341" s="4" t="s">
        <v>183</v>
      </c>
      <c r="K341" s="4" t="s">
        <v>142</v>
      </c>
      <c r="L341" s="4" t="s">
        <v>162</v>
      </c>
      <c r="M341" s="4" t="s">
        <v>935</v>
      </c>
      <c r="N341" s="4" t="s">
        <v>155</v>
      </c>
      <c r="O341" s="4" t="s">
        <v>127</v>
      </c>
      <c r="P341" s="4"/>
    </row>
    <row r="342" spans="1:16" ht="15">
      <c r="A342" s="4" t="s">
        <v>936</v>
      </c>
      <c r="B342" s="30">
        <v>39967</v>
      </c>
      <c r="C342" s="4"/>
      <c r="D342" s="4" t="s">
        <v>195</v>
      </c>
      <c r="E342" s="4" t="s">
        <v>170</v>
      </c>
      <c r="F342" s="4" t="s">
        <v>155</v>
      </c>
      <c r="G342" s="4"/>
      <c r="H342" s="4"/>
      <c r="I342" s="4" t="s">
        <v>139</v>
      </c>
      <c r="J342" s="4" t="s">
        <v>937</v>
      </c>
      <c r="K342" s="4" t="s">
        <v>148</v>
      </c>
      <c r="L342" s="4" t="s">
        <v>4181</v>
      </c>
      <c r="M342" s="4" t="s">
        <v>173</v>
      </c>
      <c r="N342" s="4" t="s">
        <v>155</v>
      </c>
      <c r="O342" s="4" t="s">
        <v>434</v>
      </c>
      <c r="P342" s="4"/>
    </row>
    <row r="343" spans="1:16" ht="15">
      <c r="A343" s="4" t="s">
        <v>938</v>
      </c>
      <c r="B343" s="30">
        <v>39943</v>
      </c>
      <c r="C343" s="4"/>
      <c r="D343" s="4" t="s">
        <v>193</v>
      </c>
      <c r="E343" s="4" t="s">
        <v>170</v>
      </c>
      <c r="F343" s="4" t="s">
        <v>155</v>
      </c>
      <c r="G343" s="4"/>
      <c r="H343" s="4"/>
      <c r="I343" s="4" t="s">
        <v>140</v>
      </c>
      <c r="J343" s="4" t="s">
        <v>937</v>
      </c>
      <c r="K343" s="4" t="s">
        <v>142</v>
      </c>
      <c r="L343" s="4" t="s">
        <v>4181</v>
      </c>
      <c r="M343" s="4" t="s">
        <v>173</v>
      </c>
      <c r="N343" s="4" t="s">
        <v>161</v>
      </c>
      <c r="O343" s="4" t="s">
        <v>939</v>
      </c>
      <c r="P343" s="4"/>
    </row>
    <row r="344" spans="1:16" ht="15">
      <c r="A344" s="4" t="s">
        <v>940</v>
      </c>
      <c r="B344" s="30">
        <v>39968</v>
      </c>
      <c r="C344" s="4" t="s">
        <v>496</v>
      </c>
      <c r="D344" s="4" t="s">
        <v>194</v>
      </c>
      <c r="E344" s="4" t="s">
        <v>170</v>
      </c>
      <c r="F344" s="4" t="s">
        <v>155</v>
      </c>
      <c r="G344" s="4"/>
      <c r="H344" s="4"/>
      <c r="I344" s="4" t="s">
        <v>139</v>
      </c>
      <c r="J344" s="4" t="s">
        <v>179</v>
      </c>
      <c r="K344" s="4" t="s">
        <v>142</v>
      </c>
      <c r="L344" s="4" t="s">
        <v>4181</v>
      </c>
      <c r="M344" s="4" t="s">
        <v>173</v>
      </c>
      <c r="N344" s="4" t="s">
        <v>155</v>
      </c>
      <c r="O344" s="4" t="s">
        <v>125</v>
      </c>
      <c r="P344" s="4"/>
    </row>
    <row r="345" spans="1:16" ht="15">
      <c r="A345" s="4" t="s">
        <v>941</v>
      </c>
      <c r="B345" s="30">
        <v>39945</v>
      </c>
      <c r="C345" s="4"/>
      <c r="D345" s="4" t="s">
        <v>195</v>
      </c>
      <c r="E345" s="4" t="s">
        <v>170</v>
      </c>
      <c r="F345" s="4" t="s">
        <v>155</v>
      </c>
      <c r="G345" s="4"/>
      <c r="H345" s="4"/>
      <c r="I345" s="4" t="s">
        <v>139</v>
      </c>
      <c r="J345" s="4" t="s">
        <v>591</v>
      </c>
      <c r="K345" s="4" t="s">
        <v>148</v>
      </c>
      <c r="L345" s="4" t="s">
        <v>4176</v>
      </c>
      <c r="M345" s="4" t="s">
        <v>174</v>
      </c>
      <c r="N345" s="4" t="s">
        <v>156</v>
      </c>
      <c r="O345" s="4" t="s">
        <v>120</v>
      </c>
      <c r="P345" s="4" t="s">
        <v>942</v>
      </c>
    </row>
    <row r="346" spans="1:16" ht="15">
      <c r="A346" s="4" t="s">
        <v>943</v>
      </c>
      <c r="B346" s="30">
        <v>39951</v>
      </c>
      <c r="C346" s="4"/>
      <c r="D346" s="4" t="s">
        <v>194</v>
      </c>
      <c r="E346" s="4" t="s">
        <v>170</v>
      </c>
      <c r="F346" s="4" t="s">
        <v>155</v>
      </c>
      <c r="G346" s="4"/>
      <c r="H346" s="4"/>
      <c r="I346" s="4" t="s">
        <v>139</v>
      </c>
      <c r="J346" s="4" t="s">
        <v>182</v>
      </c>
      <c r="K346" s="4" t="s">
        <v>142</v>
      </c>
      <c r="L346" s="4" t="s">
        <v>162</v>
      </c>
      <c r="M346" s="4" t="s">
        <v>622</v>
      </c>
      <c r="N346" s="4" t="s">
        <v>155</v>
      </c>
      <c r="O346" s="4" t="s">
        <v>130</v>
      </c>
      <c r="P346" s="4"/>
    </row>
    <row r="347" spans="1:16" ht="15">
      <c r="A347" s="4" t="s">
        <v>944</v>
      </c>
      <c r="B347" s="30">
        <v>40075</v>
      </c>
      <c r="C347" s="4"/>
      <c r="D347" s="4" t="s">
        <v>197</v>
      </c>
      <c r="E347" s="4" t="s">
        <v>170</v>
      </c>
      <c r="F347" s="4" t="s">
        <v>155</v>
      </c>
      <c r="G347" s="4">
        <v>3</v>
      </c>
      <c r="H347" s="4">
        <v>4</v>
      </c>
      <c r="I347" s="4" t="s">
        <v>139</v>
      </c>
      <c r="J347" s="4" t="s">
        <v>178</v>
      </c>
      <c r="K347" s="4" t="s">
        <v>146</v>
      </c>
      <c r="L347" s="4" t="s">
        <v>4181</v>
      </c>
      <c r="M347" s="4" t="s">
        <v>945</v>
      </c>
      <c r="N347" s="4" t="s">
        <v>155</v>
      </c>
      <c r="O347" s="4" t="s">
        <v>128</v>
      </c>
      <c r="P347" s="4"/>
    </row>
    <row r="348" spans="1:16" ht="15">
      <c r="A348" s="4" t="s">
        <v>946</v>
      </c>
      <c r="B348" s="30">
        <v>39945</v>
      </c>
      <c r="C348" s="4"/>
      <c r="D348" s="4" t="s">
        <v>194</v>
      </c>
      <c r="E348" s="4" t="s">
        <v>170</v>
      </c>
      <c r="F348" s="4" t="s">
        <v>155</v>
      </c>
      <c r="G348" s="4"/>
      <c r="H348" s="4"/>
      <c r="I348" s="4" t="s">
        <v>139</v>
      </c>
      <c r="J348" s="4" t="s">
        <v>188</v>
      </c>
      <c r="K348" s="4" t="s">
        <v>145</v>
      </c>
      <c r="L348" s="4" t="s">
        <v>4176</v>
      </c>
      <c r="M348" s="4" t="s">
        <v>174</v>
      </c>
      <c r="N348" s="4" t="s">
        <v>157</v>
      </c>
      <c r="O348" s="4" t="s">
        <v>434</v>
      </c>
      <c r="P348" s="4" t="s">
        <v>435</v>
      </c>
    </row>
    <row r="349" spans="1:16" ht="15">
      <c r="A349" s="4" t="s">
        <v>947</v>
      </c>
      <c r="B349" s="30">
        <v>40058</v>
      </c>
      <c r="C349" s="4"/>
      <c r="D349" s="4" t="s">
        <v>193</v>
      </c>
      <c r="E349" s="4" t="s">
        <v>170</v>
      </c>
      <c r="F349" s="4" t="s">
        <v>155</v>
      </c>
      <c r="G349" s="4">
        <v>5</v>
      </c>
      <c r="H349" s="4">
        <v>5</v>
      </c>
      <c r="I349" s="4" t="s">
        <v>140</v>
      </c>
      <c r="J349" s="4" t="s">
        <v>179</v>
      </c>
      <c r="K349" s="4" t="s">
        <v>145</v>
      </c>
      <c r="L349" s="4" t="s">
        <v>165</v>
      </c>
      <c r="M349" s="4" t="s">
        <v>948</v>
      </c>
      <c r="N349" s="4" t="s">
        <v>158</v>
      </c>
      <c r="O349" s="4" t="s">
        <v>122</v>
      </c>
      <c r="P349" s="4"/>
    </row>
    <row r="350" spans="1:16" ht="15">
      <c r="A350" s="4" t="s">
        <v>949</v>
      </c>
      <c r="B350" s="30">
        <v>39938</v>
      </c>
      <c r="C350" s="4"/>
      <c r="D350" s="4" t="s">
        <v>4179</v>
      </c>
      <c r="E350" s="4" t="s">
        <v>170</v>
      </c>
      <c r="F350" s="4" t="s">
        <v>155</v>
      </c>
      <c r="G350" s="4"/>
      <c r="H350" s="4"/>
      <c r="I350" s="4" t="s">
        <v>139</v>
      </c>
      <c r="J350" s="4" t="s">
        <v>413</v>
      </c>
      <c r="K350" s="4" t="s">
        <v>148</v>
      </c>
      <c r="L350" s="4" t="s">
        <v>4176</v>
      </c>
      <c r="M350" s="4" t="s">
        <v>174</v>
      </c>
      <c r="N350" s="4" t="s">
        <v>157</v>
      </c>
      <c r="O350" s="4" t="s">
        <v>130</v>
      </c>
      <c r="P350" s="4" t="s">
        <v>437</v>
      </c>
    </row>
    <row r="351" spans="1:16" ht="15">
      <c r="A351" s="4" t="s">
        <v>950</v>
      </c>
      <c r="B351" s="30">
        <v>40008</v>
      </c>
      <c r="C351" s="4" t="s">
        <v>383</v>
      </c>
      <c r="D351" s="4" t="s">
        <v>193</v>
      </c>
      <c r="E351" s="4" t="s">
        <v>170</v>
      </c>
      <c r="F351" s="4" t="s">
        <v>155</v>
      </c>
      <c r="G351" s="4">
        <v>4</v>
      </c>
      <c r="H351" s="4">
        <v>3</v>
      </c>
      <c r="I351" s="4" t="s">
        <v>140</v>
      </c>
      <c r="J351" s="4" t="s">
        <v>603</v>
      </c>
      <c r="K351" s="4" t="s">
        <v>150</v>
      </c>
      <c r="L351" s="4" t="s">
        <v>4176</v>
      </c>
      <c r="M351" s="4" t="s">
        <v>174</v>
      </c>
      <c r="N351" s="4" t="s">
        <v>157</v>
      </c>
      <c r="O351" s="4" t="s">
        <v>434</v>
      </c>
      <c r="P351" s="4" t="s">
        <v>435</v>
      </c>
    </row>
    <row r="352" spans="1:16" ht="15">
      <c r="A352" s="4" t="s">
        <v>951</v>
      </c>
      <c r="B352" s="30">
        <v>40008</v>
      </c>
      <c r="C352" s="4"/>
      <c r="D352" s="4" t="s">
        <v>193</v>
      </c>
      <c r="E352" s="4" t="s">
        <v>170</v>
      </c>
      <c r="F352" s="4" t="s">
        <v>155</v>
      </c>
      <c r="G352" s="4">
        <v>5</v>
      </c>
      <c r="H352" s="4">
        <v>2</v>
      </c>
      <c r="I352" s="4" t="s">
        <v>140</v>
      </c>
      <c r="J352" s="4" t="s">
        <v>185</v>
      </c>
      <c r="K352" s="4" t="s">
        <v>143</v>
      </c>
      <c r="L352" s="4" t="s">
        <v>162</v>
      </c>
      <c r="M352" s="4" t="s">
        <v>952</v>
      </c>
      <c r="N352" s="4" t="s">
        <v>155</v>
      </c>
      <c r="O352" s="4" t="s">
        <v>130</v>
      </c>
      <c r="P352" s="4"/>
    </row>
    <row r="353" spans="1:16" ht="15">
      <c r="A353" s="4" t="s">
        <v>953</v>
      </c>
      <c r="B353" s="30">
        <v>39973</v>
      </c>
      <c r="C353" s="4"/>
      <c r="D353" s="4" t="s">
        <v>195</v>
      </c>
      <c r="E353" s="4" t="s">
        <v>170</v>
      </c>
      <c r="F353" s="4" t="s">
        <v>155</v>
      </c>
      <c r="G353" s="4"/>
      <c r="H353" s="4"/>
      <c r="I353" s="4" t="s">
        <v>139</v>
      </c>
      <c r="J353" s="4" t="s">
        <v>178</v>
      </c>
      <c r="K353" s="4" t="s">
        <v>143</v>
      </c>
      <c r="L353" s="4" t="s">
        <v>4176</v>
      </c>
      <c r="M353" s="4" t="s">
        <v>174</v>
      </c>
      <c r="N353" s="4" t="s">
        <v>160</v>
      </c>
      <c r="O353" s="4" t="s">
        <v>126</v>
      </c>
      <c r="P353" s="4" t="s">
        <v>665</v>
      </c>
    </row>
    <row r="354" spans="1:16" ht="15">
      <c r="A354" s="4" t="s">
        <v>954</v>
      </c>
      <c r="B354" s="30">
        <v>39942</v>
      </c>
      <c r="C354" s="4" t="s">
        <v>380</v>
      </c>
      <c r="D354" s="4" t="s">
        <v>194</v>
      </c>
      <c r="E354" s="4" t="s">
        <v>170</v>
      </c>
      <c r="F354" s="4" t="s">
        <v>155</v>
      </c>
      <c r="G354" s="4"/>
      <c r="H354" s="4"/>
      <c r="I354" s="4" t="s">
        <v>139</v>
      </c>
      <c r="J354" s="4" t="s">
        <v>178</v>
      </c>
      <c r="K354" s="4" t="s">
        <v>142</v>
      </c>
      <c r="L354" s="4" t="s">
        <v>4181</v>
      </c>
      <c r="M354" s="4" t="s">
        <v>173</v>
      </c>
      <c r="N354" s="4" t="s">
        <v>155</v>
      </c>
      <c r="O354" s="4" t="s">
        <v>454</v>
      </c>
      <c r="P354" s="4"/>
    </row>
    <row r="355" spans="1:16" ht="15">
      <c r="A355" s="4" t="s">
        <v>955</v>
      </c>
      <c r="B355" s="30">
        <v>40017</v>
      </c>
      <c r="C355" s="4"/>
      <c r="D355" s="4" t="s">
        <v>196</v>
      </c>
      <c r="E355" s="4" t="s">
        <v>170</v>
      </c>
      <c r="F355" s="4" t="s">
        <v>155</v>
      </c>
      <c r="G355" s="4">
        <v>2</v>
      </c>
      <c r="H355" s="4">
        <v>2</v>
      </c>
      <c r="I355" s="4" t="s">
        <v>139</v>
      </c>
      <c r="J355" s="4" t="s">
        <v>178</v>
      </c>
      <c r="K355" s="4" t="s">
        <v>144</v>
      </c>
      <c r="L355" s="4" t="s">
        <v>4181</v>
      </c>
      <c r="M355" s="4" t="s">
        <v>173</v>
      </c>
      <c r="N355" s="4" t="s">
        <v>155</v>
      </c>
      <c r="O355" s="4" t="s">
        <v>956</v>
      </c>
      <c r="P355" s="4"/>
    </row>
    <row r="356" spans="1:16" ht="15">
      <c r="A356" s="4" t="s">
        <v>957</v>
      </c>
      <c r="B356" s="30">
        <v>40014</v>
      </c>
      <c r="C356" s="4"/>
      <c r="D356" s="4" t="s">
        <v>193</v>
      </c>
      <c r="E356" s="4" t="s">
        <v>170</v>
      </c>
      <c r="F356" s="4" t="s">
        <v>155</v>
      </c>
      <c r="G356" s="4">
        <v>5</v>
      </c>
      <c r="H356" s="4">
        <v>5</v>
      </c>
      <c r="I356" s="4" t="s">
        <v>140</v>
      </c>
      <c r="J356" s="4" t="s">
        <v>188</v>
      </c>
      <c r="K356" s="4" t="s">
        <v>145</v>
      </c>
      <c r="L356" s="4" t="s">
        <v>4176</v>
      </c>
      <c r="M356" s="4" t="s">
        <v>174</v>
      </c>
      <c r="N356" s="4" t="s">
        <v>156</v>
      </c>
      <c r="O356" s="4" t="s">
        <v>120</v>
      </c>
      <c r="P356" s="4" t="s">
        <v>958</v>
      </c>
    </row>
    <row r="357" spans="1:16" ht="15">
      <c r="A357" s="4" t="s">
        <v>959</v>
      </c>
      <c r="B357" s="30">
        <v>40058</v>
      </c>
      <c r="C357" s="4"/>
      <c r="D357" s="4" t="s">
        <v>193</v>
      </c>
      <c r="E357" s="4" t="s">
        <v>170</v>
      </c>
      <c r="F357" s="4" t="s">
        <v>155</v>
      </c>
      <c r="G357" s="4">
        <v>5</v>
      </c>
      <c r="H357" s="4">
        <v>4</v>
      </c>
      <c r="I357" s="4" t="s">
        <v>140</v>
      </c>
      <c r="J357" s="4" t="s">
        <v>189</v>
      </c>
      <c r="K357" s="4" t="s">
        <v>142</v>
      </c>
      <c r="L357" s="4" t="s">
        <v>4176</v>
      </c>
      <c r="M357" s="4" t="s">
        <v>174</v>
      </c>
      <c r="N357" s="4" t="s">
        <v>159</v>
      </c>
      <c r="O357" s="4" t="s">
        <v>123</v>
      </c>
      <c r="P357" s="4" t="s">
        <v>123</v>
      </c>
    </row>
    <row r="358" spans="1:16" ht="15">
      <c r="A358" s="4" t="s">
        <v>960</v>
      </c>
      <c r="B358" s="30">
        <v>39926</v>
      </c>
      <c r="C358" s="4"/>
      <c r="D358" s="4" t="s">
        <v>4180</v>
      </c>
      <c r="E358" s="4" t="s">
        <v>170</v>
      </c>
      <c r="F358" s="4" t="s">
        <v>155</v>
      </c>
      <c r="G358" s="4"/>
      <c r="H358" s="4"/>
      <c r="I358" s="4" t="s">
        <v>139</v>
      </c>
      <c r="J358" s="4" t="s">
        <v>189</v>
      </c>
      <c r="K358" s="4" t="s">
        <v>149</v>
      </c>
      <c r="L358" s="4" t="s">
        <v>4181</v>
      </c>
      <c r="M358" s="4"/>
      <c r="N358" s="4" t="s">
        <v>155</v>
      </c>
      <c r="O358" s="4" t="s">
        <v>467</v>
      </c>
      <c r="P358" s="4"/>
    </row>
    <row r="359" spans="1:16" ht="15">
      <c r="A359" s="4" t="s">
        <v>961</v>
      </c>
      <c r="B359" s="30">
        <v>39924</v>
      </c>
      <c r="C359" s="4" t="s">
        <v>9</v>
      </c>
      <c r="D359" s="4" t="s">
        <v>4183</v>
      </c>
      <c r="E359" s="4" t="s">
        <v>170</v>
      </c>
      <c r="F359" s="4" t="s">
        <v>155</v>
      </c>
      <c r="G359" s="4"/>
      <c r="H359" s="4"/>
      <c r="I359" s="4" t="s">
        <v>140</v>
      </c>
      <c r="J359" s="4" t="s">
        <v>509</v>
      </c>
      <c r="K359" s="4" t="s">
        <v>145</v>
      </c>
      <c r="L359" s="4" t="s">
        <v>4181</v>
      </c>
      <c r="M359" s="4" t="s">
        <v>173</v>
      </c>
      <c r="N359" s="4" t="s">
        <v>155</v>
      </c>
      <c r="O359" s="4" t="s">
        <v>962</v>
      </c>
      <c r="P359" s="4"/>
    </row>
    <row r="360" spans="1:16" ht="15">
      <c r="A360" s="4" t="s">
        <v>963</v>
      </c>
      <c r="B360" s="30">
        <v>40076</v>
      </c>
      <c r="C360" s="4"/>
      <c r="D360" s="4" t="s">
        <v>193</v>
      </c>
      <c r="E360" s="4" t="s">
        <v>170</v>
      </c>
      <c r="F360" s="4" t="s">
        <v>155</v>
      </c>
      <c r="G360" s="4">
        <v>5</v>
      </c>
      <c r="H360" s="4">
        <v>5</v>
      </c>
      <c r="I360" s="4" t="s">
        <v>140</v>
      </c>
      <c r="J360" s="4" t="s">
        <v>509</v>
      </c>
      <c r="K360" s="4" t="s">
        <v>145</v>
      </c>
      <c r="L360" s="4" t="s">
        <v>4181</v>
      </c>
      <c r="M360" s="4"/>
      <c r="N360" s="4" t="s">
        <v>155</v>
      </c>
      <c r="O360" s="4" t="s">
        <v>125</v>
      </c>
      <c r="P360" s="4"/>
    </row>
    <row r="361" spans="1:16" ht="15">
      <c r="A361" s="4" t="s">
        <v>964</v>
      </c>
      <c r="B361" s="30">
        <v>40080</v>
      </c>
      <c r="C361" s="4"/>
      <c r="D361" s="4" t="s">
        <v>544</v>
      </c>
      <c r="E361" s="4" t="s">
        <v>170</v>
      </c>
      <c r="F361" s="4" t="s">
        <v>155</v>
      </c>
      <c r="G361" s="4">
        <v>5</v>
      </c>
      <c r="H361" s="4">
        <v>5</v>
      </c>
      <c r="I361" s="4" t="s">
        <v>139</v>
      </c>
      <c r="J361" s="4" t="s">
        <v>509</v>
      </c>
      <c r="K361" s="4" t="s">
        <v>145</v>
      </c>
      <c r="L361" s="4" t="s">
        <v>4181</v>
      </c>
      <c r="M361" s="4" t="s">
        <v>965</v>
      </c>
      <c r="N361" s="4" t="s">
        <v>155</v>
      </c>
      <c r="O361" s="4" t="s">
        <v>128</v>
      </c>
      <c r="P361" s="4"/>
    </row>
    <row r="362" spans="1:16" ht="15">
      <c r="A362" s="4" t="s">
        <v>966</v>
      </c>
      <c r="B362" s="30">
        <v>40058</v>
      </c>
      <c r="C362" s="4"/>
      <c r="D362" s="4" t="s">
        <v>544</v>
      </c>
      <c r="E362" s="4" t="s">
        <v>170</v>
      </c>
      <c r="F362" s="4" t="s">
        <v>155</v>
      </c>
      <c r="G362" s="4">
        <v>5</v>
      </c>
      <c r="H362" s="4">
        <v>5</v>
      </c>
      <c r="I362" s="4" t="s">
        <v>139</v>
      </c>
      <c r="J362" s="4" t="s">
        <v>447</v>
      </c>
      <c r="K362" s="4" t="s">
        <v>144</v>
      </c>
      <c r="L362" s="4" t="s">
        <v>4176</v>
      </c>
      <c r="M362" s="4" t="s">
        <v>550</v>
      </c>
      <c r="N362" s="4" t="s">
        <v>156</v>
      </c>
      <c r="O362" s="4" t="s">
        <v>120</v>
      </c>
      <c r="P362" s="4" t="s">
        <v>967</v>
      </c>
    </row>
    <row r="363" spans="1:16" ht="15">
      <c r="A363" s="4" t="s">
        <v>968</v>
      </c>
      <c r="B363" s="30">
        <v>39953</v>
      </c>
      <c r="C363" s="4"/>
      <c r="D363" s="4" t="s">
        <v>194</v>
      </c>
      <c r="E363" s="4" t="s">
        <v>170</v>
      </c>
      <c r="F363" s="4" t="s">
        <v>155</v>
      </c>
      <c r="G363" s="4"/>
      <c r="H363" s="4"/>
      <c r="I363" s="4" t="s">
        <v>139</v>
      </c>
      <c r="J363" s="4" t="s">
        <v>178</v>
      </c>
      <c r="K363" s="4" t="s">
        <v>149</v>
      </c>
      <c r="L363" s="4" t="s">
        <v>4176</v>
      </c>
      <c r="M363" s="4" t="s">
        <v>174</v>
      </c>
      <c r="N363" s="4" t="s">
        <v>156</v>
      </c>
      <c r="O363" s="4" t="s">
        <v>120</v>
      </c>
      <c r="P363" s="4" t="s">
        <v>969</v>
      </c>
    </row>
    <row r="364" spans="1:16" ht="15">
      <c r="A364" s="4" t="s">
        <v>970</v>
      </c>
      <c r="B364" s="30">
        <v>40081</v>
      </c>
      <c r="C364" s="4"/>
      <c r="D364" s="4" t="s">
        <v>197</v>
      </c>
      <c r="E364" s="4" t="s">
        <v>170</v>
      </c>
      <c r="F364" s="4" t="s">
        <v>155</v>
      </c>
      <c r="G364" s="4">
        <v>3</v>
      </c>
      <c r="H364" s="4">
        <v>4</v>
      </c>
      <c r="I364" s="4" t="s">
        <v>139</v>
      </c>
      <c r="J364" s="4" t="s">
        <v>185</v>
      </c>
      <c r="K364" s="4" t="s">
        <v>143</v>
      </c>
      <c r="L364" s="4" t="s">
        <v>4181</v>
      </c>
      <c r="M364" s="4" t="s">
        <v>902</v>
      </c>
      <c r="N364" s="4" t="s">
        <v>155</v>
      </c>
      <c r="O364" s="4" t="s">
        <v>125</v>
      </c>
      <c r="P364" s="4"/>
    </row>
    <row r="365" spans="1:16" ht="15">
      <c r="A365" s="4" t="s">
        <v>971</v>
      </c>
      <c r="B365" s="30">
        <v>40019</v>
      </c>
      <c r="C365" s="4"/>
      <c r="D365" s="4" t="s">
        <v>197</v>
      </c>
      <c r="E365" s="4" t="s">
        <v>170</v>
      </c>
      <c r="F365" s="4" t="s">
        <v>155</v>
      </c>
      <c r="G365" s="4">
        <v>1</v>
      </c>
      <c r="H365" s="4">
        <v>2</v>
      </c>
      <c r="I365" s="4" t="s">
        <v>139</v>
      </c>
      <c r="J365" s="4" t="s">
        <v>185</v>
      </c>
      <c r="K365" s="4" t="s">
        <v>143</v>
      </c>
      <c r="L365" s="4" t="s">
        <v>4176</v>
      </c>
      <c r="M365" s="4" t="s">
        <v>550</v>
      </c>
      <c r="N365" s="4" t="s">
        <v>160</v>
      </c>
      <c r="O365" s="4" t="s">
        <v>126</v>
      </c>
      <c r="P365" s="4" t="s">
        <v>685</v>
      </c>
    </row>
    <row r="366" spans="1:16" ht="15">
      <c r="A366" s="4" t="s">
        <v>972</v>
      </c>
      <c r="B366" s="30">
        <v>39970</v>
      </c>
      <c r="C366" s="4" t="s">
        <v>9</v>
      </c>
      <c r="D366" s="4" t="s">
        <v>193</v>
      </c>
      <c r="E366" s="4" t="s">
        <v>170</v>
      </c>
      <c r="F366" s="4" t="s">
        <v>155</v>
      </c>
      <c r="G366" s="4"/>
      <c r="H366" s="4"/>
      <c r="I366" s="4" t="s">
        <v>140</v>
      </c>
      <c r="J366" s="4" t="s">
        <v>182</v>
      </c>
      <c r="K366" s="4" t="s">
        <v>146</v>
      </c>
      <c r="L366" s="4" t="s">
        <v>4176</v>
      </c>
      <c r="M366" s="4" t="s">
        <v>174</v>
      </c>
      <c r="N366" s="4" t="s">
        <v>157</v>
      </c>
      <c r="O366" s="4" t="s">
        <v>127</v>
      </c>
      <c r="P366" s="4" t="s">
        <v>153</v>
      </c>
    </row>
    <row r="367" spans="1:16" ht="15">
      <c r="A367" s="4" t="s">
        <v>973</v>
      </c>
      <c r="B367" s="30">
        <v>40015</v>
      </c>
      <c r="C367" s="4"/>
      <c r="D367" s="4" t="s">
        <v>193</v>
      </c>
      <c r="E367" s="4" t="s">
        <v>170</v>
      </c>
      <c r="F367" s="4" t="s">
        <v>155</v>
      </c>
      <c r="G367" s="4">
        <v>5</v>
      </c>
      <c r="H367" s="4">
        <v>5</v>
      </c>
      <c r="I367" s="4" t="s">
        <v>140</v>
      </c>
      <c r="J367" s="4" t="s">
        <v>178</v>
      </c>
      <c r="K367" s="4" t="s">
        <v>148</v>
      </c>
      <c r="L367" s="4" t="s">
        <v>4181</v>
      </c>
      <c r="M367" s="4" t="s">
        <v>974</v>
      </c>
      <c r="N367" s="4" t="s">
        <v>155</v>
      </c>
      <c r="O367" s="4" t="s">
        <v>125</v>
      </c>
      <c r="P367" s="4"/>
    </row>
    <row r="368" spans="1:16" ht="15">
      <c r="A368" s="4" t="s">
        <v>975</v>
      </c>
      <c r="B368" s="30">
        <v>39945</v>
      </c>
      <c r="C368" s="4" t="s">
        <v>9</v>
      </c>
      <c r="D368" s="4" t="s">
        <v>195</v>
      </c>
      <c r="E368" s="4" t="s">
        <v>170</v>
      </c>
      <c r="F368" s="4" t="s">
        <v>155</v>
      </c>
      <c r="G368" s="4"/>
      <c r="H368" s="4"/>
      <c r="I368" s="4" t="s">
        <v>139</v>
      </c>
      <c r="J368" s="4" t="s">
        <v>178</v>
      </c>
      <c r="K368" s="4" t="s">
        <v>143</v>
      </c>
      <c r="L368" s="4" t="s">
        <v>4176</v>
      </c>
      <c r="M368" s="4" t="s">
        <v>498</v>
      </c>
      <c r="N368" s="4" t="s">
        <v>160</v>
      </c>
      <c r="O368" s="4" t="s">
        <v>126</v>
      </c>
      <c r="P368" s="4" t="s">
        <v>976</v>
      </c>
    </row>
    <row r="369" spans="1:16" ht="15">
      <c r="A369" s="4" t="s">
        <v>977</v>
      </c>
      <c r="B369" s="30">
        <v>39950</v>
      </c>
      <c r="C369" s="4"/>
      <c r="D369" s="4" t="s">
        <v>193</v>
      </c>
      <c r="E369" s="4" t="s">
        <v>170</v>
      </c>
      <c r="F369" s="4" t="s">
        <v>155</v>
      </c>
      <c r="G369" s="4"/>
      <c r="H369" s="4"/>
      <c r="I369" s="4" t="s">
        <v>140</v>
      </c>
      <c r="J369" s="4" t="s">
        <v>178</v>
      </c>
      <c r="K369" s="4" t="s">
        <v>149</v>
      </c>
      <c r="L369" s="4" t="s">
        <v>4176</v>
      </c>
      <c r="M369" s="4" t="s">
        <v>978</v>
      </c>
      <c r="N369" s="4" t="s">
        <v>156</v>
      </c>
      <c r="O369" s="4" t="s">
        <v>120</v>
      </c>
      <c r="P369" s="4" t="s">
        <v>979</v>
      </c>
    </row>
    <row r="370" spans="1:16" ht="15">
      <c r="A370" s="4" t="s">
        <v>980</v>
      </c>
      <c r="B370" s="30">
        <v>40019</v>
      </c>
      <c r="C370" s="4" t="s">
        <v>9</v>
      </c>
      <c r="D370" s="4" t="s">
        <v>197</v>
      </c>
      <c r="E370" s="4" t="s">
        <v>170</v>
      </c>
      <c r="F370" s="4" t="s">
        <v>155</v>
      </c>
      <c r="G370" s="4">
        <v>5</v>
      </c>
      <c r="H370" s="4">
        <v>5</v>
      </c>
      <c r="I370" s="4" t="s">
        <v>139</v>
      </c>
      <c r="J370" s="4" t="s">
        <v>409</v>
      </c>
      <c r="K370" s="4" t="s">
        <v>144</v>
      </c>
      <c r="L370" s="4" t="s">
        <v>4176</v>
      </c>
      <c r="M370" s="4" t="s">
        <v>619</v>
      </c>
      <c r="N370" s="4" t="s">
        <v>157</v>
      </c>
      <c r="O370" s="4" t="s">
        <v>127</v>
      </c>
      <c r="P370" s="4" t="s">
        <v>153</v>
      </c>
    </row>
    <row r="371" spans="1:16" ht="15">
      <c r="A371" s="4" t="s">
        <v>981</v>
      </c>
      <c r="B371" s="30">
        <v>40044</v>
      </c>
      <c r="C371" s="4"/>
      <c r="D371" s="4" t="s">
        <v>193</v>
      </c>
      <c r="E371" s="4" t="s">
        <v>170</v>
      </c>
      <c r="F371" s="4" t="s">
        <v>155</v>
      </c>
      <c r="G371" s="4">
        <v>1</v>
      </c>
      <c r="H371" s="4">
        <v>3</v>
      </c>
      <c r="I371" s="4" t="s">
        <v>140</v>
      </c>
      <c r="J371" s="4" t="s">
        <v>178</v>
      </c>
      <c r="K371" s="4" t="s">
        <v>148</v>
      </c>
      <c r="L371" s="4" t="s">
        <v>4176</v>
      </c>
      <c r="M371" s="4" t="s">
        <v>619</v>
      </c>
      <c r="N371" s="4" t="s">
        <v>159</v>
      </c>
      <c r="O371" s="4" t="s">
        <v>123</v>
      </c>
      <c r="P371" s="4" t="s">
        <v>123</v>
      </c>
    </row>
    <row r="372" spans="1:16" ht="15">
      <c r="A372" s="4" t="s">
        <v>982</v>
      </c>
      <c r="B372" s="30">
        <v>39906</v>
      </c>
      <c r="C372" s="4"/>
      <c r="D372" s="4" t="s">
        <v>4178</v>
      </c>
      <c r="E372" s="4" t="s">
        <v>170</v>
      </c>
      <c r="F372" s="4" t="s">
        <v>155</v>
      </c>
      <c r="G372" s="4"/>
      <c r="H372" s="4"/>
      <c r="I372" s="4" t="s">
        <v>139</v>
      </c>
      <c r="J372" s="4" t="s">
        <v>188</v>
      </c>
      <c r="K372" s="4" t="s">
        <v>142</v>
      </c>
      <c r="L372" s="4" t="s">
        <v>165</v>
      </c>
      <c r="M372" s="4"/>
      <c r="N372" s="4" t="s">
        <v>158</v>
      </c>
      <c r="O372" s="4" t="s">
        <v>122</v>
      </c>
      <c r="P372" s="4"/>
    </row>
    <row r="373" spans="1:16" ht="15">
      <c r="A373" s="4" t="s">
        <v>983</v>
      </c>
      <c r="B373" s="30">
        <v>39909</v>
      </c>
      <c r="C373" s="4"/>
      <c r="D373" s="4" t="s">
        <v>4182</v>
      </c>
      <c r="E373" s="4" t="s">
        <v>170</v>
      </c>
      <c r="F373" s="4" t="s">
        <v>155</v>
      </c>
      <c r="G373" s="4"/>
      <c r="H373" s="4"/>
      <c r="I373" s="4" t="s">
        <v>139</v>
      </c>
      <c r="J373" s="4" t="s">
        <v>376</v>
      </c>
      <c r="K373" s="4" t="s">
        <v>145</v>
      </c>
      <c r="L373" s="4" t="s">
        <v>165</v>
      </c>
      <c r="M373" s="4"/>
      <c r="N373" s="4" t="s">
        <v>158</v>
      </c>
      <c r="O373" s="4" t="s">
        <v>122</v>
      </c>
      <c r="P373" s="4"/>
    </row>
    <row r="374" spans="1:16" ht="15">
      <c r="A374" s="4" t="s">
        <v>984</v>
      </c>
      <c r="B374" s="30">
        <v>39911</v>
      </c>
      <c r="C374" s="4" t="s">
        <v>380</v>
      </c>
      <c r="D374" s="4" t="s">
        <v>4182</v>
      </c>
      <c r="E374" s="4" t="s">
        <v>170</v>
      </c>
      <c r="F374" s="4" t="s">
        <v>155</v>
      </c>
      <c r="G374" s="4"/>
      <c r="H374" s="4"/>
      <c r="I374" s="4" t="s">
        <v>139</v>
      </c>
      <c r="J374" s="4" t="s">
        <v>179</v>
      </c>
      <c r="K374" s="4" t="s">
        <v>151</v>
      </c>
      <c r="L374" s="4" t="s">
        <v>4176</v>
      </c>
      <c r="M374" s="4" t="s">
        <v>985</v>
      </c>
      <c r="N374" s="4" t="s">
        <v>157</v>
      </c>
      <c r="O374" s="4" t="s">
        <v>434</v>
      </c>
      <c r="P374" s="4" t="s">
        <v>986</v>
      </c>
    </row>
    <row r="375" spans="1:16" ht="15">
      <c r="A375" s="4" t="s">
        <v>987</v>
      </c>
      <c r="B375" s="30">
        <v>39915</v>
      </c>
      <c r="C375" s="4"/>
      <c r="D375" s="4" t="s">
        <v>4178</v>
      </c>
      <c r="E375" s="4" t="s">
        <v>170</v>
      </c>
      <c r="F375" s="4" t="s">
        <v>155</v>
      </c>
      <c r="G375" s="4"/>
      <c r="H375" s="4"/>
      <c r="I375" s="4" t="s">
        <v>139</v>
      </c>
      <c r="J375" s="4" t="s">
        <v>185</v>
      </c>
      <c r="K375" s="4" t="s">
        <v>142</v>
      </c>
      <c r="L375" s="4" t="s">
        <v>4176</v>
      </c>
      <c r="M375" s="4" t="s">
        <v>619</v>
      </c>
      <c r="N375" s="4" t="s">
        <v>156</v>
      </c>
      <c r="O375" s="4" t="s">
        <v>120</v>
      </c>
      <c r="P375" s="4" t="s">
        <v>988</v>
      </c>
    </row>
    <row r="376" spans="1:16" ht="15">
      <c r="A376" s="4" t="s">
        <v>989</v>
      </c>
      <c r="B376" s="30">
        <v>39916</v>
      </c>
      <c r="C376" s="4"/>
      <c r="D376" s="4" t="s">
        <v>4179</v>
      </c>
      <c r="E376" s="4" t="s">
        <v>170</v>
      </c>
      <c r="F376" s="4" t="s">
        <v>155</v>
      </c>
      <c r="G376" s="4"/>
      <c r="H376" s="4"/>
      <c r="I376" s="4" t="s">
        <v>139</v>
      </c>
      <c r="J376" s="4" t="s">
        <v>178</v>
      </c>
      <c r="K376" s="4" t="s">
        <v>148</v>
      </c>
      <c r="L376" s="4" t="s">
        <v>4176</v>
      </c>
      <c r="M376" s="4" t="s">
        <v>619</v>
      </c>
      <c r="N376" s="4" t="s">
        <v>157</v>
      </c>
      <c r="O376" s="4" t="s">
        <v>439</v>
      </c>
      <c r="P376" s="4" t="s">
        <v>898</v>
      </c>
    </row>
    <row r="377" spans="1:16" ht="15">
      <c r="A377" s="4" t="s">
        <v>990</v>
      </c>
      <c r="B377" s="30">
        <v>40074</v>
      </c>
      <c r="C377" s="4"/>
      <c r="D377" s="4" t="s">
        <v>193</v>
      </c>
      <c r="E377" s="4" t="s">
        <v>170</v>
      </c>
      <c r="F377" s="4" t="s">
        <v>155</v>
      </c>
      <c r="G377" s="4">
        <v>5</v>
      </c>
      <c r="H377" s="4">
        <v>3</v>
      </c>
      <c r="I377" s="4" t="s">
        <v>140</v>
      </c>
      <c r="J377" s="4" t="s">
        <v>178</v>
      </c>
      <c r="K377" s="4" t="s">
        <v>144</v>
      </c>
      <c r="L377" s="4" t="s">
        <v>4176</v>
      </c>
      <c r="M377" s="4" t="s">
        <v>550</v>
      </c>
      <c r="N377" s="4" t="s">
        <v>156</v>
      </c>
      <c r="O377" s="4" t="s">
        <v>120</v>
      </c>
      <c r="P377" s="4" t="s">
        <v>991</v>
      </c>
    </row>
    <row r="378" spans="1:16" ht="15">
      <c r="A378" s="4" t="s">
        <v>992</v>
      </c>
      <c r="B378" s="30">
        <v>40077</v>
      </c>
      <c r="C378" s="4"/>
      <c r="D378" s="4" t="s">
        <v>195</v>
      </c>
      <c r="E378" s="4" t="s">
        <v>170</v>
      </c>
      <c r="F378" s="4" t="s">
        <v>155</v>
      </c>
      <c r="G378" s="4">
        <v>5</v>
      </c>
      <c r="H378" s="4">
        <v>5</v>
      </c>
      <c r="I378" s="4" t="s">
        <v>139</v>
      </c>
      <c r="J378" s="4" t="s">
        <v>178</v>
      </c>
      <c r="K378" s="4" t="s">
        <v>145</v>
      </c>
      <c r="L378" s="4" t="s">
        <v>162</v>
      </c>
      <c r="M378" s="4" t="s">
        <v>175</v>
      </c>
      <c r="N378" s="4" t="s">
        <v>155</v>
      </c>
      <c r="O378" s="4" t="s">
        <v>129</v>
      </c>
      <c r="P378" s="4"/>
    </row>
    <row r="379" spans="1:16" ht="15">
      <c r="A379" s="4" t="s">
        <v>993</v>
      </c>
      <c r="B379" s="30">
        <v>40001</v>
      </c>
      <c r="C379" s="4" t="s">
        <v>9</v>
      </c>
      <c r="D379" s="4" t="s">
        <v>193</v>
      </c>
      <c r="E379" s="4" t="s">
        <v>170</v>
      </c>
      <c r="F379" s="4" t="s">
        <v>155</v>
      </c>
      <c r="G379" s="4"/>
      <c r="H379" s="4">
        <v>5</v>
      </c>
      <c r="I379" s="4" t="s">
        <v>140</v>
      </c>
      <c r="J379" s="4" t="s">
        <v>178</v>
      </c>
      <c r="K379" s="4" t="s">
        <v>146</v>
      </c>
      <c r="L379" s="4" t="s">
        <v>165</v>
      </c>
      <c r="M379" s="4"/>
      <c r="N379" s="4" t="s">
        <v>158</v>
      </c>
      <c r="O379" s="4" t="s">
        <v>122</v>
      </c>
      <c r="P379" s="4"/>
    </row>
    <row r="380" spans="1:16" ht="15">
      <c r="A380" s="4" t="s">
        <v>994</v>
      </c>
      <c r="B380" s="30">
        <v>40018</v>
      </c>
      <c r="C380" s="4"/>
      <c r="D380" s="4" t="s">
        <v>195</v>
      </c>
      <c r="E380" s="4" t="s">
        <v>170</v>
      </c>
      <c r="F380" s="4" t="s">
        <v>155</v>
      </c>
      <c r="G380" s="4">
        <v>5</v>
      </c>
      <c r="H380" s="4">
        <v>2</v>
      </c>
      <c r="I380" s="4" t="s">
        <v>139</v>
      </c>
      <c r="J380" s="4" t="s">
        <v>185</v>
      </c>
      <c r="K380" s="4" t="s">
        <v>150</v>
      </c>
      <c r="L380" s="4" t="s">
        <v>4176</v>
      </c>
      <c r="M380" s="4" t="s">
        <v>174</v>
      </c>
      <c r="N380" s="4" t="s">
        <v>156</v>
      </c>
      <c r="O380" s="4" t="s">
        <v>120</v>
      </c>
      <c r="P380" s="4" t="s">
        <v>995</v>
      </c>
    </row>
    <row r="381" spans="1:16" ht="15">
      <c r="A381" s="4" t="s">
        <v>996</v>
      </c>
      <c r="B381" s="30">
        <v>39953</v>
      </c>
      <c r="C381" s="4"/>
      <c r="D381" s="4" t="s">
        <v>194</v>
      </c>
      <c r="E381" s="4" t="s">
        <v>170</v>
      </c>
      <c r="F381" s="4" t="s">
        <v>155</v>
      </c>
      <c r="G381" s="4"/>
      <c r="H381" s="4"/>
      <c r="I381" s="4" t="s">
        <v>139</v>
      </c>
      <c r="J381" s="4" t="s">
        <v>178</v>
      </c>
      <c r="K381" s="4" t="s">
        <v>145</v>
      </c>
      <c r="L381" s="4" t="s">
        <v>4176</v>
      </c>
      <c r="M381" s="4" t="s">
        <v>522</v>
      </c>
      <c r="N381" s="4" t="s">
        <v>159</v>
      </c>
      <c r="O381" s="4" t="s">
        <v>126</v>
      </c>
      <c r="P381" s="4" t="s">
        <v>601</v>
      </c>
    </row>
    <row r="382" spans="1:16" ht="15">
      <c r="A382" s="4" t="s">
        <v>997</v>
      </c>
      <c r="B382" s="30">
        <v>40013</v>
      </c>
      <c r="C382" s="4"/>
      <c r="D382" s="4" t="s">
        <v>193</v>
      </c>
      <c r="E382" s="4" t="s">
        <v>170</v>
      </c>
      <c r="F382" s="4" t="s">
        <v>155</v>
      </c>
      <c r="G382" s="4">
        <v>5</v>
      </c>
      <c r="H382" s="4">
        <v>3</v>
      </c>
      <c r="I382" s="4" t="s">
        <v>140</v>
      </c>
      <c r="J382" s="4" t="s">
        <v>178</v>
      </c>
      <c r="K382" s="4" t="s">
        <v>142</v>
      </c>
      <c r="L382" s="4" t="s">
        <v>4176</v>
      </c>
      <c r="M382" s="4" t="s">
        <v>921</v>
      </c>
      <c r="N382" s="4" t="s">
        <v>156</v>
      </c>
      <c r="O382" s="4" t="s">
        <v>120</v>
      </c>
      <c r="P382" s="4" t="s">
        <v>998</v>
      </c>
    </row>
    <row r="383" spans="1:16" ht="15">
      <c r="A383" s="4" t="s">
        <v>999</v>
      </c>
      <c r="B383" s="30">
        <v>40031</v>
      </c>
      <c r="C383" s="4" t="s">
        <v>496</v>
      </c>
      <c r="D383" s="4" t="s">
        <v>195</v>
      </c>
      <c r="E383" s="4" t="s">
        <v>170</v>
      </c>
      <c r="F383" s="4" t="s">
        <v>155</v>
      </c>
      <c r="G383" s="4">
        <v>5</v>
      </c>
      <c r="H383" s="4">
        <v>3</v>
      </c>
      <c r="I383" s="4" t="s">
        <v>139</v>
      </c>
      <c r="J383" s="4" t="s">
        <v>409</v>
      </c>
      <c r="K383" s="4" t="s">
        <v>148</v>
      </c>
      <c r="L383" s="4" t="s">
        <v>4176</v>
      </c>
      <c r="M383" s="4" t="s">
        <v>619</v>
      </c>
      <c r="N383" s="4" t="s">
        <v>156</v>
      </c>
      <c r="O383" s="4" t="s">
        <v>120</v>
      </c>
      <c r="P383" s="4" t="s">
        <v>660</v>
      </c>
    </row>
    <row r="384" spans="1:16" ht="15">
      <c r="A384" s="4" t="s">
        <v>1000</v>
      </c>
      <c r="B384" s="30">
        <v>40076</v>
      </c>
      <c r="C384" s="4"/>
      <c r="D384" s="4" t="s">
        <v>197</v>
      </c>
      <c r="E384" s="4" t="s">
        <v>170</v>
      </c>
      <c r="F384" s="4" t="s">
        <v>155</v>
      </c>
      <c r="G384" s="4">
        <v>4</v>
      </c>
      <c r="H384" s="4">
        <v>4</v>
      </c>
      <c r="I384" s="4" t="s">
        <v>139</v>
      </c>
      <c r="J384" s="4" t="s">
        <v>178</v>
      </c>
      <c r="K384" s="4" t="s">
        <v>144</v>
      </c>
      <c r="L384" s="4" t="s">
        <v>4176</v>
      </c>
      <c r="M384" s="4" t="s">
        <v>174</v>
      </c>
      <c r="N384" s="4" t="s">
        <v>156</v>
      </c>
      <c r="O384" s="4" t="s">
        <v>120</v>
      </c>
      <c r="P384" s="4" t="s">
        <v>1001</v>
      </c>
    </row>
    <row r="385" spans="1:16" ht="15">
      <c r="A385" s="4" t="s">
        <v>1002</v>
      </c>
      <c r="B385" s="30">
        <v>40042</v>
      </c>
      <c r="C385" s="4"/>
      <c r="D385" s="4" t="s">
        <v>195</v>
      </c>
      <c r="E385" s="4" t="s">
        <v>170</v>
      </c>
      <c r="F385" s="4" t="s">
        <v>155</v>
      </c>
      <c r="G385" s="4">
        <v>5</v>
      </c>
      <c r="H385" s="4">
        <v>4</v>
      </c>
      <c r="I385" s="4" t="s">
        <v>139</v>
      </c>
      <c r="J385" s="4" t="s">
        <v>178</v>
      </c>
      <c r="K385" s="4" t="s">
        <v>146</v>
      </c>
      <c r="L385" s="4" t="s">
        <v>4176</v>
      </c>
      <c r="M385" s="4" t="s">
        <v>1003</v>
      </c>
      <c r="N385" s="4" t="s">
        <v>157</v>
      </c>
      <c r="O385" s="4" t="s">
        <v>127</v>
      </c>
      <c r="P385" s="4" t="s">
        <v>153</v>
      </c>
    </row>
    <row r="386" spans="1:16" ht="15">
      <c r="A386" s="4" t="s">
        <v>1004</v>
      </c>
      <c r="B386" s="30">
        <v>40023</v>
      </c>
      <c r="C386" s="4" t="s">
        <v>383</v>
      </c>
      <c r="D386" s="4" t="s">
        <v>196</v>
      </c>
      <c r="E386" s="4" t="s">
        <v>170</v>
      </c>
      <c r="F386" s="4" t="s">
        <v>155</v>
      </c>
      <c r="G386" s="4">
        <v>5</v>
      </c>
      <c r="H386" s="4">
        <v>5</v>
      </c>
      <c r="I386" s="4" t="s">
        <v>139</v>
      </c>
      <c r="J386" s="4" t="s">
        <v>576</v>
      </c>
      <c r="K386" s="4" t="s">
        <v>144</v>
      </c>
      <c r="L386" s="4" t="s">
        <v>4176</v>
      </c>
      <c r="M386" s="4" t="s">
        <v>550</v>
      </c>
      <c r="N386" s="4" t="s">
        <v>157</v>
      </c>
      <c r="O386" s="4" t="s">
        <v>127</v>
      </c>
      <c r="P386" s="4" t="s">
        <v>1005</v>
      </c>
    </row>
    <row r="387" spans="1:16" ht="15">
      <c r="A387" s="4" t="s">
        <v>1006</v>
      </c>
      <c r="B387" s="30">
        <v>40061</v>
      </c>
      <c r="C387" s="4"/>
      <c r="D387" s="4" t="s">
        <v>196</v>
      </c>
      <c r="E387" s="4" t="s">
        <v>170</v>
      </c>
      <c r="F387" s="4" t="s">
        <v>155</v>
      </c>
      <c r="G387" s="4">
        <v>5</v>
      </c>
      <c r="H387" s="4">
        <v>2</v>
      </c>
      <c r="I387" s="4" t="s">
        <v>139</v>
      </c>
      <c r="J387" s="4" t="s">
        <v>576</v>
      </c>
      <c r="K387" s="4" t="s">
        <v>144</v>
      </c>
      <c r="L387" s="4" t="s">
        <v>162</v>
      </c>
      <c r="M387" s="4" t="s">
        <v>1007</v>
      </c>
      <c r="N387" s="4" t="s">
        <v>155</v>
      </c>
      <c r="O387" s="4" t="s">
        <v>127</v>
      </c>
      <c r="P387" s="4"/>
    </row>
    <row r="388" spans="1:16" ht="15">
      <c r="A388" s="4" t="s">
        <v>1008</v>
      </c>
      <c r="B388" s="30">
        <v>39925</v>
      </c>
      <c r="C388" s="4"/>
      <c r="D388" s="4" t="s">
        <v>4179</v>
      </c>
      <c r="E388" s="4" t="s">
        <v>170</v>
      </c>
      <c r="F388" s="4" t="s">
        <v>155</v>
      </c>
      <c r="G388" s="4"/>
      <c r="H388" s="4"/>
      <c r="I388" s="4" t="s">
        <v>139</v>
      </c>
      <c r="J388" s="4" t="s">
        <v>179</v>
      </c>
      <c r="K388" s="4" t="s">
        <v>147</v>
      </c>
      <c r="L388" s="4" t="s">
        <v>162</v>
      </c>
      <c r="M388" s="4" t="s">
        <v>175</v>
      </c>
      <c r="N388" s="4" t="s">
        <v>155</v>
      </c>
      <c r="O388" s="4" t="s">
        <v>129</v>
      </c>
      <c r="P388" s="4"/>
    </row>
    <row r="389" spans="1:16" ht="15">
      <c r="A389" s="4" t="s">
        <v>1009</v>
      </c>
      <c r="B389" s="30">
        <v>39926</v>
      </c>
      <c r="C389" s="4"/>
      <c r="D389" s="4" t="s">
        <v>4184</v>
      </c>
      <c r="E389" s="4" t="s">
        <v>170</v>
      </c>
      <c r="F389" s="4" t="s">
        <v>155</v>
      </c>
      <c r="G389" s="4"/>
      <c r="H389" s="4"/>
      <c r="I389" s="4" t="s">
        <v>140</v>
      </c>
      <c r="J389" s="4" t="s">
        <v>182</v>
      </c>
      <c r="K389" s="4" t="s">
        <v>145</v>
      </c>
      <c r="L389" s="4" t="s">
        <v>4176</v>
      </c>
      <c r="M389" s="4" t="s">
        <v>1010</v>
      </c>
      <c r="N389" s="4" t="s">
        <v>156</v>
      </c>
      <c r="O389" s="4" t="s">
        <v>120</v>
      </c>
      <c r="P389" s="4" t="s">
        <v>1011</v>
      </c>
    </row>
    <row r="390" spans="1:16" ht="15">
      <c r="A390" s="4" t="s">
        <v>1012</v>
      </c>
      <c r="B390" s="30">
        <v>40009</v>
      </c>
      <c r="C390" s="4"/>
      <c r="D390" s="4" t="s">
        <v>193</v>
      </c>
      <c r="E390" s="4" t="s">
        <v>170</v>
      </c>
      <c r="F390" s="4" t="s">
        <v>155</v>
      </c>
      <c r="G390" s="4">
        <v>5</v>
      </c>
      <c r="H390" s="4">
        <v>3</v>
      </c>
      <c r="I390" s="4" t="s">
        <v>140</v>
      </c>
      <c r="J390" s="4" t="s">
        <v>179</v>
      </c>
      <c r="K390" s="4" t="s">
        <v>146</v>
      </c>
      <c r="L390" s="4" t="s">
        <v>4181</v>
      </c>
      <c r="M390" s="4" t="s">
        <v>173</v>
      </c>
      <c r="N390" s="4" t="s">
        <v>155</v>
      </c>
      <c r="O390" s="4" t="s">
        <v>124</v>
      </c>
      <c r="P390" s="4"/>
    </row>
    <row r="391" spans="1:16" ht="15">
      <c r="A391" s="4" t="s">
        <v>1013</v>
      </c>
      <c r="B391" s="30">
        <v>39991</v>
      </c>
      <c r="C391" s="4"/>
      <c r="D391" s="4" t="s">
        <v>196</v>
      </c>
      <c r="E391" s="4" t="s">
        <v>170</v>
      </c>
      <c r="F391" s="4" t="s">
        <v>155</v>
      </c>
      <c r="G391" s="4"/>
      <c r="H391" s="4">
        <v>3</v>
      </c>
      <c r="I391" s="4" t="s">
        <v>139</v>
      </c>
      <c r="J391" s="4" t="s">
        <v>179</v>
      </c>
      <c r="K391" s="4" t="s">
        <v>146</v>
      </c>
      <c r="L391" s="4" t="s">
        <v>162</v>
      </c>
      <c r="M391" s="4" t="s">
        <v>175</v>
      </c>
      <c r="N391" s="4" t="s">
        <v>155</v>
      </c>
      <c r="O391" s="4" t="s">
        <v>130</v>
      </c>
      <c r="P391" s="4"/>
    </row>
    <row r="392" spans="1:16" ht="15">
      <c r="A392" s="4" t="s">
        <v>1014</v>
      </c>
      <c r="B392" s="30">
        <v>39934</v>
      </c>
      <c r="C392" s="4" t="s">
        <v>496</v>
      </c>
      <c r="D392" s="4" t="s">
        <v>4184</v>
      </c>
      <c r="E392" s="4" t="s">
        <v>170</v>
      </c>
      <c r="F392" s="4" t="s">
        <v>155</v>
      </c>
      <c r="G392" s="4"/>
      <c r="H392" s="4"/>
      <c r="I392" s="4" t="s">
        <v>140</v>
      </c>
      <c r="J392" s="4" t="s">
        <v>186</v>
      </c>
      <c r="K392" s="4" t="s">
        <v>145</v>
      </c>
      <c r="L392" s="4" t="s">
        <v>4181</v>
      </c>
      <c r="M392" s="4" t="s">
        <v>173</v>
      </c>
      <c r="N392" s="4" t="s">
        <v>155</v>
      </c>
      <c r="O392" s="4" t="s">
        <v>124</v>
      </c>
      <c r="P392" s="4"/>
    </row>
    <row r="393" spans="1:16" ht="15">
      <c r="A393" s="4" t="s">
        <v>1015</v>
      </c>
      <c r="B393" s="30">
        <v>39999</v>
      </c>
      <c r="C393" s="4"/>
      <c r="D393" s="4" t="s">
        <v>193</v>
      </c>
      <c r="E393" s="4" t="s">
        <v>170</v>
      </c>
      <c r="F393" s="4" t="s">
        <v>155</v>
      </c>
      <c r="G393" s="4"/>
      <c r="H393" s="4">
        <v>5</v>
      </c>
      <c r="I393" s="4" t="s">
        <v>140</v>
      </c>
      <c r="J393" s="4" t="s">
        <v>534</v>
      </c>
      <c r="K393" s="4" t="s">
        <v>143</v>
      </c>
      <c r="L393" s="4" t="s">
        <v>4181</v>
      </c>
      <c r="M393" s="4" t="s">
        <v>173</v>
      </c>
      <c r="N393" s="4" t="s">
        <v>155</v>
      </c>
      <c r="O393" s="4" t="s">
        <v>406</v>
      </c>
      <c r="P393" s="4"/>
    </row>
    <row r="394" spans="1:16" ht="15">
      <c r="A394" s="4" t="s">
        <v>1016</v>
      </c>
      <c r="B394" s="30">
        <v>39957</v>
      </c>
      <c r="C394" s="4"/>
      <c r="D394" s="4" t="s">
        <v>195</v>
      </c>
      <c r="E394" s="4" t="s">
        <v>170</v>
      </c>
      <c r="F394" s="4" t="s">
        <v>155</v>
      </c>
      <c r="G394" s="4"/>
      <c r="H394" s="4"/>
      <c r="I394" s="4" t="s">
        <v>139</v>
      </c>
      <c r="J394" s="4" t="s">
        <v>186</v>
      </c>
      <c r="K394" s="4" t="s">
        <v>142</v>
      </c>
      <c r="L394" s="4" t="s">
        <v>165</v>
      </c>
      <c r="M394" s="4" t="s">
        <v>1017</v>
      </c>
      <c r="N394" s="4" t="s">
        <v>158</v>
      </c>
      <c r="O394" s="4" t="s">
        <v>122</v>
      </c>
      <c r="P394" s="4"/>
    </row>
    <row r="395" spans="1:16" ht="15">
      <c r="A395" s="4" t="s">
        <v>1018</v>
      </c>
      <c r="B395" s="30">
        <v>39965</v>
      </c>
      <c r="C395" s="4"/>
      <c r="D395" s="4" t="s">
        <v>194</v>
      </c>
      <c r="E395" s="4" t="s">
        <v>170</v>
      </c>
      <c r="F395" s="4" t="s">
        <v>155</v>
      </c>
      <c r="G395" s="4"/>
      <c r="H395" s="4"/>
      <c r="I395" s="4" t="s">
        <v>139</v>
      </c>
      <c r="J395" s="4" t="s">
        <v>191</v>
      </c>
      <c r="K395" s="4" t="s">
        <v>143</v>
      </c>
      <c r="L395" s="4" t="s">
        <v>4181</v>
      </c>
      <c r="M395" s="4" t="s">
        <v>1019</v>
      </c>
      <c r="N395" s="4" t="s">
        <v>155</v>
      </c>
      <c r="O395" s="4" t="s">
        <v>125</v>
      </c>
      <c r="P395" s="4"/>
    </row>
    <row r="396" spans="1:16" ht="15">
      <c r="A396" s="4" t="s">
        <v>1020</v>
      </c>
      <c r="B396" s="30">
        <v>39984</v>
      </c>
      <c r="C396" s="4"/>
      <c r="D396" s="4" t="s">
        <v>194</v>
      </c>
      <c r="E396" s="4" t="s">
        <v>170</v>
      </c>
      <c r="F396" s="4" t="s">
        <v>155</v>
      </c>
      <c r="G396" s="4"/>
      <c r="H396" s="4"/>
      <c r="I396" s="4" t="s">
        <v>139</v>
      </c>
      <c r="J396" s="4" t="s">
        <v>178</v>
      </c>
      <c r="K396" s="4" t="s">
        <v>142</v>
      </c>
      <c r="L396" s="4" t="s">
        <v>4181</v>
      </c>
      <c r="M396" s="4"/>
      <c r="N396" s="4" t="s">
        <v>788</v>
      </c>
      <c r="O396" s="4" t="s">
        <v>1021</v>
      </c>
      <c r="P396" s="4"/>
    </row>
    <row r="397" spans="1:16" ht="15">
      <c r="A397" s="4" t="s">
        <v>1022</v>
      </c>
      <c r="B397" s="30">
        <v>39967</v>
      </c>
      <c r="C397" s="4"/>
      <c r="D397" s="4" t="s">
        <v>194</v>
      </c>
      <c r="E397" s="4" t="s">
        <v>170</v>
      </c>
      <c r="F397" s="4" t="s">
        <v>155</v>
      </c>
      <c r="G397" s="4"/>
      <c r="H397" s="4"/>
      <c r="I397" s="4" t="s">
        <v>139</v>
      </c>
      <c r="J397" s="4" t="s">
        <v>182</v>
      </c>
      <c r="K397" s="4" t="s">
        <v>143</v>
      </c>
      <c r="L397" s="4" t="s">
        <v>165</v>
      </c>
      <c r="M397" s="4" t="s">
        <v>1023</v>
      </c>
      <c r="N397" s="4" t="s">
        <v>158</v>
      </c>
      <c r="O397" s="4" t="s">
        <v>122</v>
      </c>
      <c r="P397" s="4"/>
    </row>
    <row r="398" spans="1:16" ht="15">
      <c r="A398" s="4" t="s">
        <v>1024</v>
      </c>
      <c r="B398" s="30">
        <v>39965</v>
      </c>
      <c r="C398" s="4"/>
      <c r="D398" s="4" t="s">
        <v>193</v>
      </c>
      <c r="E398" s="4" t="s">
        <v>170</v>
      </c>
      <c r="F398" s="4" t="s">
        <v>155</v>
      </c>
      <c r="G398" s="4"/>
      <c r="H398" s="4"/>
      <c r="I398" s="4" t="s">
        <v>140</v>
      </c>
      <c r="J398" s="4" t="s">
        <v>182</v>
      </c>
      <c r="K398" s="4" t="s">
        <v>143</v>
      </c>
      <c r="L398" s="4" t="s">
        <v>4176</v>
      </c>
      <c r="M398" s="4" t="s">
        <v>174</v>
      </c>
      <c r="N398" s="4" t="s">
        <v>157</v>
      </c>
      <c r="O398" s="4" t="s">
        <v>127</v>
      </c>
      <c r="P398" s="4" t="s">
        <v>153</v>
      </c>
    </row>
    <row r="399" spans="1:16" ht="15">
      <c r="A399" s="4" t="s">
        <v>1025</v>
      </c>
      <c r="B399" s="30">
        <v>39960</v>
      </c>
      <c r="C399" s="4"/>
      <c r="D399" s="4" t="s">
        <v>195</v>
      </c>
      <c r="E399" s="4" t="s">
        <v>170</v>
      </c>
      <c r="F399" s="4" t="s">
        <v>155</v>
      </c>
      <c r="G399" s="4"/>
      <c r="H399" s="4"/>
      <c r="I399" s="4" t="s">
        <v>139</v>
      </c>
      <c r="J399" s="4" t="s">
        <v>185</v>
      </c>
      <c r="K399" s="4" t="s">
        <v>150</v>
      </c>
      <c r="L399" s="4" t="s">
        <v>4176</v>
      </c>
      <c r="M399" s="4" t="s">
        <v>1026</v>
      </c>
      <c r="N399" s="4" t="s">
        <v>156</v>
      </c>
      <c r="O399" s="4" t="s">
        <v>120</v>
      </c>
      <c r="P399" s="4" t="s">
        <v>1027</v>
      </c>
    </row>
    <row r="400" spans="1:16" ht="15">
      <c r="A400" s="4" t="s">
        <v>1028</v>
      </c>
      <c r="B400" s="30">
        <v>39974</v>
      </c>
      <c r="C400" s="4"/>
      <c r="D400" s="4" t="s">
        <v>195</v>
      </c>
      <c r="E400" s="4" t="s">
        <v>170</v>
      </c>
      <c r="F400" s="4" t="s">
        <v>155</v>
      </c>
      <c r="G400" s="4"/>
      <c r="H400" s="4"/>
      <c r="I400" s="4" t="s">
        <v>139</v>
      </c>
      <c r="J400" s="4" t="s">
        <v>528</v>
      </c>
      <c r="K400" s="4" t="s">
        <v>149</v>
      </c>
      <c r="L400" s="4" t="s">
        <v>4176</v>
      </c>
      <c r="M400" s="4" t="s">
        <v>506</v>
      </c>
      <c r="N400" s="4" t="s">
        <v>156</v>
      </c>
      <c r="O400" s="4" t="s">
        <v>120</v>
      </c>
      <c r="P400" s="4" t="s">
        <v>1029</v>
      </c>
    </row>
    <row r="401" spans="1:16" ht="15">
      <c r="A401" s="4" t="s">
        <v>1030</v>
      </c>
      <c r="B401" s="30">
        <v>39962</v>
      </c>
      <c r="C401" s="4"/>
      <c r="D401" s="4" t="s">
        <v>194</v>
      </c>
      <c r="E401" s="4" t="s">
        <v>170</v>
      </c>
      <c r="F401" s="4" t="s">
        <v>155</v>
      </c>
      <c r="G401" s="4"/>
      <c r="H401" s="4"/>
      <c r="I401" s="4" t="s">
        <v>139</v>
      </c>
      <c r="J401" s="4" t="s">
        <v>509</v>
      </c>
      <c r="K401" s="4" t="s">
        <v>145</v>
      </c>
      <c r="L401" s="4" t="s">
        <v>4181</v>
      </c>
      <c r="M401" s="4" t="s">
        <v>173</v>
      </c>
      <c r="N401" s="4" t="s">
        <v>155</v>
      </c>
      <c r="O401" s="4" t="s">
        <v>704</v>
      </c>
      <c r="P401" s="4"/>
    </row>
    <row r="402" spans="1:16" ht="15">
      <c r="A402" s="4" t="s">
        <v>1031</v>
      </c>
      <c r="B402" s="30">
        <v>40064</v>
      </c>
      <c r="C402" s="4" t="s">
        <v>383</v>
      </c>
      <c r="D402" s="4" t="s">
        <v>193</v>
      </c>
      <c r="E402" s="4" t="s">
        <v>170</v>
      </c>
      <c r="F402" s="4" t="s">
        <v>155</v>
      </c>
      <c r="G402" s="4">
        <v>5</v>
      </c>
      <c r="H402" s="4">
        <v>4</v>
      </c>
      <c r="I402" s="4" t="s">
        <v>140</v>
      </c>
      <c r="J402" s="4" t="s">
        <v>528</v>
      </c>
      <c r="K402" s="4" t="s">
        <v>146</v>
      </c>
      <c r="L402" s="4" t="s">
        <v>4181</v>
      </c>
      <c r="M402" s="4" t="s">
        <v>1032</v>
      </c>
      <c r="N402" s="4" t="s">
        <v>155</v>
      </c>
      <c r="O402" s="4" t="s">
        <v>510</v>
      </c>
      <c r="P402" s="4"/>
    </row>
    <row r="403" spans="1:16" ht="15">
      <c r="A403" s="4" t="s">
        <v>1033</v>
      </c>
      <c r="B403" s="30">
        <v>40063</v>
      </c>
      <c r="C403" s="4" t="s">
        <v>383</v>
      </c>
      <c r="D403" s="4" t="s">
        <v>195</v>
      </c>
      <c r="E403" s="4" t="s">
        <v>170</v>
      </c>
      <c r="F403" s="4" t="s">
        <v>155</v>
      </c>
      <c r="G403" s="4">
        <v>1</v>
      </c>
      <c r="H403" s="4">
        <v>3</v>
      </c>
      <c r="I403" s="4" t="s">
        <v>139</v>
      </c>
      <c r="J403" s="4" t="s">
        <v>1034</v>
      </c>
      <c r="K403" s="4" t="s">
        <v>142</v>
      </c>
      <c r="L403" s="4" t="s">
        <v>4176</v>
      </c>
      <c r="M403" s="4" t="s">
        <v>175</v>
      </c>
      <c r="N403" s="4" t="s">
        <v>125</v>
      </c>
      <c r="O403" s="4" t="s">
        <v>628</v>
      </c>
      <c r="P403" s="4" t="s">
        <v>629</v>
      </c>
    </row>
    <row r="404" spans="1:16" ht="15">
      <c r="A404" s="4" t="s">
        <v>1035</v>
      </c>
      <c r="B404" s="30">
        <v>39988</v>
      </c>
      <c r="C404" s="4" t="s">
        <v>383</v>
      </c>
      <c r="D404" s="4" t="s">
        <v>193</v>
      </c>
      <c r="E404" s="4" t="s">
        <v>170</v>
      </c>
      <c r="F404" s="4" t="s">
        <v>155</v>
      </c>
      <c r="G404" s="4"/>
      <c r="H404" s="4"/>
      <c r="I404" s="4" t="s">
        <v>140</v>
      </c>
      <c r="J404" s="4" t="s">
        <v>1034</v>
      </c>
      <c r="K404" s="4" t="s">
        <v>142</v>
      </c>
      <c r="L404" s="4" t="s">
        <v>162</v>
      </c>
      <c r="M404" s="4" t="s">
        <v>175</v>
      </c>
      <c r="N404" s="4" t="s">
        <v>155</v>
      </c>
      <c r="O404" s="4" t="s">
        <v>130</v>
      </c>
      <c r="P404" s="4"/>
    </row>
    <row r="405" spans="1:16" ht="15">
      <c r="A405" s="4" t="s">
        <v>1036</v>
      </c>
      <c r="B405" s="30">
        <v>40077</v>
      </c>
      <c r="C405" s="4"/>
      <c r="D405" s="4" t="s">
        <v>193</v>
      </c>
      <c r="E405" s="4" t="s">
        <v>170</v>
      </c>
      <c r="F405" s="4" t="s">
        <v>155</v>
      </c>
      <c r="G405" s="4">
        <v>5</v>
      </c>
      <c r="H405" s="4">
        <v>2</v>
      </c>
      <c r="I405" s="4" t="s">
        <v>140</v>
      </c>
      <c r="J405" s="4" t="s">
        <v>179</v>
      </c>
      <c r="K405" s="4" t="s">
        <v>143</v>
      </c>
      <c r="L405" s="4" t="s">
        <v>162</v>
      </c>
      <c r="M405" s="4" t="s">
        <v>175</v>
      </c>
      <c r="N405" s="4" t="s">
        <v>155</v>
      </c>
      <c r="O405" s="4" t="s">
        <v>129</v>
      </c>
      <c r="P405" s="4"/>
    </row>
    <row r="406" spans="1:16" ht="15">
      <c r="A406" s="4" t="s">
        <v>1037</v>
      </c>
      <c r="B406" s="30">
        <v>40000</v>
      </c>
      <c r="C406" s="4"/>
      <c r="D406" s="4" t="s">
        <v>193</v>
      </c>
      <c r="E406" s="4" t="s">
        <v>170</v>
      </c>
      <c r="F406" s="4" t="s">
        <v>155</v>
      </c>
      <c r="G406" s="4"/>
      <c r="H406" s="4">
        <v>5</v>
      </c>
      <c r="I406" s="4" t="s">
        <v>140</v>
      </c>
      <c r="J406" s="4" t="s">
        <v>180</v>
      </c>
      <c r="K406" s="4" t="s">
        <v>144</v>
      </c>
      <c r="L406" s="4" t="s">
        <v>162</v>
      </c>
      <c r="M406" s="4" t="s">
        <v>175</v>
      </c>
      <c r="N406" s="4" t="s">
        <v>155</v>
      </c>
      <c r="O406" s="4" t="s">
        <v>130</v>
      </c>
      <c r="P406" s="4"/>
    </row>
    <row r="407" spans="1:16" ht="15">
      <c r="A407" s="4" t="s">
        <v>1038</v>
      </c>
      <c r="B407" s="30">
        <v>40067</v>
      </c>
      <c r="C407" s="4"/>
      <c r="D407" s="4" t="s">
        <v>197</v>
      </c>
      <c r="E407" s="4" t="s">
        <v>170</v>
      </c>
      <c r="F407" s="4" t="s">
        <v>155</v>
      </c>
      <c r="G407" s="4">
        <v>1</v>
      </c>
      <c r="H407" s="4">
        <v>4</v>
      </c>
      <c r="I407" s="4" t="s">
        <v>139</v>
      </c>
      <c r="J407" s="4" t="s">
        <v>180</v>
      </c>
      <c r="K407" s="4" t="s">
        <v>150</v>
      </c>
      <c r="L407" s="4" t="s">
        <v>4176</v>
      </c>
      <c r="M407" s="4" t="s">
        <v>174</v>
      </c>
      <c r="N407" s="4" t="s">
        <v>159</v>
      </c>
      <c r="O407" s="4" t="s">
        <v>123</v>
      </c>
      <c r="P407" s="4" t="s">
        <v>123</v>
      </c>
    </row>
    <row r="408" spans="1:16" ht="15">
      <c r="A408" s="4" t="s">
        <v>1039</v>
      </c>
      <c r="B408" s="30">
        <v>39945</v>
      </c>
      <c r="C408" s="4"/>
      <c r="D408" s="4" t="s">
        <v>193</v>
      </c>
      <c r="E408" s="4" t="s">
        <v>170</v>
      </c>
      <c r="F408" s="4" t="s">
        <v>155</v>
      </c>
      <c r="G408" s="4"/>
      <c r="H408" s="4"/>
      <c r="I408" s="4" t="s">
        <v>140</v>
      </c>
      <c r="J408" s="4" t="s">
        <v>182</v>
      </c>
      <c r="K408" s="4" t="s">
        <v>149</v>
      </c>
      <c r="L408" s="4" t="s">
        <v>4181</v>
      </c>
      <c r="M408" s="4" t="s">
        <v>173</v>
      </c>
      <c r="N408" s="4" t="s">
        <v>155</v>
      </c>
      <c r="O408" s="4" t="s">
        <v>125</v>
      </c>
      <c r="P408" s="4"/>
    </row>
    <row r="409" spans="1:16" ht="15">
      <c r="A409" s="4" t="s">
        <v>1040</v>
      </c>
      <c r="B409" s="30">
        <v>39911</v>
      </c>
      <c r="C409" s="4"/>
      <c r="D409" s="4" t="s">
        <v>4182</v>
      </c>
      <c r="E409" s="4" t="s">
        <v>170</v>
      </c>
      <c r="F409" s="4" t="s">
        <v>155</v>
      </c>
      <c r="G409" s="4"/>
      <c r="H409" s="4"/>
      <c r="I409" s="4" t="s">
        <v>139</v>
      </c>
      <c r="J409" s="4" t="s">
        <v>180</v>
      </c>
      <c r="K409" s="4" t="s">
        <v>145</v>
      </c>
      <c r="L409" s="4" t="s">
        <v>4176</v>
      </c>
      <c r="M409" s="4" t="s">
        <v>174</v>
      </c>
      <c r="N409" s="4" t="s">
        <v>156</v>
      </c>
      <c r="O409" s="4" t="s">
        <v>120</v>
      </c>
      <c r="P409" s="4" t="s">
        <v>851</v>
      </c>
    </row>
    <row r="410" spans="1:16" ht="15">
      <c r="A410" s="4" t="s">
        <v>1041</v>
      </c>
      <c r="B410" s="30">
        <v>39980</v>
      </c>
      <c r="C410" s="4"/>
      <c r="D410" s="4" t="s">
        <v>193</v>
      </c>
      <c r="E410" s="4" t="s">
        <v>170</v>
      </c>
      <c r="F410" s="4" t="s">
        <v>155</v>
      </c>
      <c r="G410" s="4"/>
      <c r="H410" s="4"/>
      <c r="I410" s="4" t="s">
        <v>140</v>
      </c>
      <c r="J410" s="4" t="s">
        <v>391</v>
      </c>
      <c r="K410" s="4" t="s">
        <v>142</v>
      </c>
      <c r="L410" s="4" t="s">
        <v>4181</v>
      </c>
      <c r="M410" s="4" t="s">
        <v>1042</v>
      </c>
      <c r="N410" s="4" t="s">
        <v>155</v>
      </c>
      <c r="O410" s="4" t="s">
        <v>501</v>
      </c>
      <c r="P410" s="4"/>
    </row>
    <row r="411" spans="1:16" ht="15">
      <c r="A411" s="4" t="s">
        <v>1043</v>
      </c>
      <c r="B411" s="30">
        <v>40032</v>
      </c>
      <c r="C411" s="4"/>
      <c r="D411" s="4" t="s">
        <v>195</v>
      </c>
      <c r="E411" s="4" t="s">
        <v>170</v>
      </c>
      <c r="F411" s="4" t="s">
        <v>155</v>
      </c>
      <c r="G411" s="4">
        <v>1</v>
      </c>
      <c r="H411" s="4">
        <v>4</v>
      </c>
      <c r="I411" s="4" t="s">
        <v>139</v>
      </c>
      <c r="J411" s="4" t="s">
        <v>528</v>
      </c>
      <c r="K411" s="4" t="s">
        <v>142</v>
      </c>
      <c r="L411" s="4" t="s">
        <v>165</v>
      </c>
      <c r="M411" s="4" t="s">
        <v>1044</v>
      </c>
      <c r="N411" s="4" t="s">
        <v>158</v>
      </c>
      <c r="O411" s="4" t="s">
        <v>122</v>
      </c>
      <c r="P411" s="4"/>
    </row>
    <row r="412" spans="1:16" ht="15">
      <c r="A412" s="4" t="s">
        <v>1045</v>
      </c>
      <c r="B412" s="30">
        <v>39933</v>
      </c>
      <c r="C412" s="4"/>
      <c r="D412" s="4" t="s">
        <v>4184</v>
      </c>
      <c r="E412" s="4" t="s">
        <v>170</v>
      </c>
      <c r="F412" s="4" t="s">
        <v>155</v>
      </c>
      <c r="G412" s="4"/>
      <c r="H412" s="4"/>
      <c r="I412" s="4" t="s">
        <v>140</v>
      </c>
      <c r="J412" s="4" t="s">
        <v>534</v>
      </c>
      <c r="K412" s="4" t="s">
        <v>145</v>
      </c>
      <c r="L412" s="4" t="s">
        <v>4176</v>
      </c>
      <c r="M412" s="4" t="s">
        <v>175</v>
      </c>
      <c r="N412" s="4" t="s">
        <v>159</v>
      </c>
      <c r="O412" s="4" t="s">
        <v>126</v>
      </c>
      <c r="P412" s="4" t="s">
        <v>601</v>
      </c>
    </row>
    <row r="413" spans="1:16" ht="15">
      <c r="A413" s="4" t="s">
        <v>1046</v>
      </c>
      <c r="B413" s="30">
        <v>40082</v>
      </c>
      <c r="C413" s="4"/>
      <c r="D413" s="4" t="s">
        <v>195</v>
      </c>
      <c r="E413" s="4" t="s">
        <v>170</v>
      </c>
      <c r="F413" s="4" t="s">
        <v>155</v>
      </c>
      <c r="G413" s="4">
        <v>5</v>
      </c>
      <c r="H413" s="4">
        <v>3</v>
      </c>
      <c r="I413" s="4" t="s">
        <v>139</v>
      </c>
      <c r="J413" s="4" t="s">
        <v>179</v>
      </c>
      <c r="K413" s="4" t="s">
        <v>148</v>
      </c>
      <c r="L413" s="4" t="s">
        <v>4176</v>
      </c>
      <c r="M413" s="4" t="s">
        <v>174</v>
      </c>
      <c r="N413" s="4" t="s">
        <v>157</v>
      </c>
      <c r="O413" s="4" t="s">
        <v>1047</v>
      </c>
      <c r="P413" s="4" t="s">
        <v>1048</v>
      </c>
    </row>
    <row r="414" spans="1:16" ht="15">
      <c r="A414" s="4" t="s">
        <v>1049</v>
      </c>
      <c r="B414" s="30">
        <v>39922</v>
      </c>
      <c r="C414" s="4"/>
      <c r="D414" s="4" t="s">
        <v>4179</v>
      </c>
      <c r="E414" s="4" t="s">
        <v>170</v>
      </c>
      <c r="F414" s="4" t="s">
        <v>155</v>
      </c>
      <c r="G414" s="4"/>
      <c r="H414" s="4"/>
      <c r="I414" s="4" t="s">
        <v>139</v>
      </c>
      <c r="J414" s="4" t="s">
        <v>447</v>
      </c>
      <c r="K414" s="4" t="s">
        <v>147</v>
      </c>
      <c r="L414" s="4" t="s">
        <v>4176</v>
      </c>
      <c r="M414" s="4" t="s">
        <v>174</v>
      </c>
      <c r="N414" s="4" t="s">
        <v>156</v>
      </c>
      <c r="O414" s="4" t="s">
        <v>120</v>
      </c>
      <c r="P414" s="4" t="s">
        <v>427</v>
      </c>
    </row>
    <row r="415" spans="1:16" ht="15">
      <c r="A415" s="4" t="s">
        <v>1050</v>
      </c>
      <c r="B415" s="30">
        <v>39980</v>
      </c>
      <c r="C415" s="4"/>
      <c r="D415" s="4" t="s">
        <v>195</v>
      </c>
      <c r="E415" s="4" t="s">
        <v>170</v>
      </c>
      <c r="F415" s="4" t="s">
        <v>155</v>
      </c>
      <c r="G415" s="4"/>
      <c r="H415" s="4"/>
      <c r="I415" s="4" t="s">
        <v>139</v>
      </c>
      <c r="J415" s="4" t="s">
        <v>186</v>
      </c>
      <c r="K415" s="4" t="s">
        <v>148</v>
      </c>
      <c r="L415" s="4" t="s">
        <v>4181</v>
      </c>
      <c r="M415" s="4" t="s">
        <v>173</v>
      </c>
      <c r="N415" s="4" t="s">
        <v>155</v>
      </c>
      <c r="O415" s="4" t="s">
        <v>130</v>
      </c>
      <c r="P415" s="4"/>
    </row>
    <row r="416" spans="1:16" ht="15">
      <c r="A416" s="4" t="s">
        <v>1051</v>
      </c>
      <c r="B416" s="30">
        <v>39980</v>
      </c>
      <c r="C416" s="4" t="s">
        <v>383</v>
      </c>
      <c r="D416" s="4" t="s">
        <v>195</v>
      </c>
      <c r="E416" s="4" t="s">
        <v>170</v>
      </c>
      <c r="F416" s="4" t="s">
        <v>155</v>
      </c>
      <c r="G416" s="4"/>
      <c r="H416" s="4"/>
      <c r="I416" s="4" t="s">
        <v>139</v>
      </c>
      <c r="J416" s="4" t="s">
        <v>182</v>
      </c>
      <c r="K416" s="4" t="s">
        <v>143</v>
      </c>
      <c r="L416" s="4" t="s">
        <v>4181</v>
      </c>
      <c r="M416" s="4" t="s">
        <v>173</v>
      </c>
      <c r="N416" s="4" t="s">
        <v>155</v>
      </c>
      <c r="O416" s="4" t="s">
        <v>130</v>
      </c>
      <c r="P416" s="4"/>
    </row>
    <row r="417" spans="1:16" ht="15">
      <c r="A417" s="4" t="s">
        <v>1052</v>
      </c>
      <c r="B417" s="30">
        <v>39972</v>
      </c>
      <c r="C417" s="4"/>
      <c r="D417" s="4" t="s">
        <v>193</v>
      </c>
      <c r="E417" s="4" t="s">
        <v>170</v>
      </c>
      <c r="F417" s="4" t="s">
        <v>155</v>
      </c>
      <c r="G417" s="4"/>
      <c r="H417" s="4"/>
      <c r="I417" s="4" t="s">
        <v>140</v>
      </c>
      <c r="J417" s="4" t="s">
        <v>178</v>
      </c>
      <c r="K417" s="4" t="s">
        <v>143</v>
      </c>
      <c r="L417" s="4" t="s">
        <v>165</v>
      </c>
      <c r="M417" s="4" t="s">
        <v>589</v>
      </c>
      <c r="N417" s="4" t="s">
        <v>158</v>
      </c>
      <c r="O417" s="4" t="s">
        <v>122</v>
      </c>
      <c r="P417" s="4"/>
    </row>
    <row r="418" spans="1:16" ht="15">
      <c r="A418" s="4" t="s">
        <v>1053</v>
      </c>
      <c r="B418" s="30">
        <v>40039</v>
      </c>
      <c r="C418" s="4" t="s">
        <v>496</v>
      </c>
      <c r="D418" s="4" t="s">
        <v>195</v>
      </c>
      <c r="E418" s="4" t="s">
        <v>170</v>
      </c>
      <c r="F418" s="4" t="s">
        <v>155</v>
      </c>
      <c r="G418" s="4">
        <v>5</v>
      </c>
      <c r="H418" s="4">
        <v>5</v>
      </c>
      <c r="I418" s="4" t="s">
        <v>139</v>
      </c>
      <c r="J418" s="4" t="s">
        <v>376</v>
      </c>
      <c r="K418" s="4" t="s">
        <v>145</v>
      </c>
      <c r="L418" s="4" t="s">
        <v>162</v>
      </c>
      <c r="M418" s="4" t="s">
        <v>175</v>
      </c>
      <c r="N418" s="4" t="s">
        <v>155</v>
      </c>
      <c r="O418" s="4" t="s">
        <v>129</v>
      </c>
      <c r="P418" s="4"/>
    </row>
    <row r="419" spans="1:16" ht="15">
      <c r="A419" s="4" t="s">
        <v>1054</v>
      </c>
      <c r="B419" s="30">
        <v>40082</v>
      </c>
      <c r="C419" s="4"/>
      <c r="D419" s="4" t="s">
        <v>193</v>
      </c>
      <c r="E419" s="4" t="s">
        <v>170</v>
      </c>
      <c r="F419" s="4" t="s">
        <v>155</v>
      </c>
      <c r="G419" s="4">
        <v>5</v>
      </c>
      <c r="H419" s="4">
        <v>3</v>
      </c>
      <c r="I419" s="4" t="s">
        <v>140</v>
      </c>
      <c r="J419" s="4" t="s">
        <v>184</v>
      </c>
      <c r="K419" s="4" t="s">
        <v>149</v>
      </c>
      <c r="L419" s="4" t="s">
        <v>4176</v>
      </c>
      <c r="M419" s="4" t="s">
        <v>174</v>
      </c>
      <c r="N419" s="4" t="s">
        <v>1055</v>
      </c>
      <c r="O419" s="4" t="s">
        <v>1056</v>
      </c>
      <c r="P419" s="4" t="s">
        <v>1057</v>
      </c>
    </row>
    <row r="420" spans="1:16" ht="15">
      <c r="A420" s="4" t="s">
        <v>1058</v>
      </c>
      <c r="B420" s="30">
        <v>40022</v>
      </c>
      <c r="C420" s="4"/>
      <c r="D420" s="4" t="s">
        <v>193</v>
      </c>
      <c r="E420" s="4" t="s">
        <v>170</v>
      </c>
      <c r="F420" s="4" t="s">
        <v>155</v>
      </c>
      <c r="G420" s="4">
        <v>5</v>
      </c>
      <c r="H420" s="4">
        <v>2</v>
      </c>
      <c r="I420" s="4" t="s">
        <v>140</v>
      </c>
      <c r="J420" s="4" t="s">
        <v>576</v>
      </c>
      <c r="K420" s="4" t="s">
        <v>143</v>
      </c>
      <c r="L420" s="4" t="s">
        <v>4176</v>
      </c>
      <c r="M420" s="4" t="s">
        <v>175</v>
      </c>
      <c r="N420" s="4" t="s">
        <v>125</v>
      </c>
      <c r="O420" s="4" t="s">
        <v>962</v>
      </c>
      <c r="P420" s="4" t="s">
        <v>1059</v>
      </c>
    </row>
    <row r="421" spans="1:16" ht="15">
      <c r="A421" s="4" t="s">
        <v>1060</v>
      </c>
      <c r="B421" s="30">
        <v>39974</v>
      </c>
      <c r="C421" s="4" t="s">
        <v>383</v>
      </c>
      <c r="D421" s="4" t="s">
        <v>193</v>
      </c>
      <c r="E421" s="4" t="s">
        <v>170</v>
      </c>
      <c r="F421" s="4" t="s">
        <v>155</v>
      </c>
      <c r="G421" s="4"/>
      <c r="H421" s="4"/>
      <c r="I421" s="4" t="s">
        <v>140</v>
      </c>
      <c r="J421" s="4" t="s">
        <v>184</v>
      </c>
      <c r="K421" s="4" t="s">
        <v>144</v>
      </c>
      <c r="L421" s="4" t="s">
        <v>4181</v>
      </c>
      <c r="M421" s="4" t="s">
        <v>173</v>
      </c>
      <c r="N421" s="4" t="s">
        <v>155</v>
      </c>
      <c r="O421" s="4" t="s">
        <v>124</v>
      </c>
      <c r="P421" s="4"/>
    </row>
    <row r="422" spans="1:16" ht="15">
      <c r="A422" s="4" t="s">
        <v>1061</v>
      </c>
      <c r="B422" s="30">
        <v>40076</v>
      </c>
      <c r="C422" s="4"/>
      <c r="D422" s="4" t="s">
        <v>195</v>
      </c>
      <c r="E422" s="4" t="s">
        <v>170</v>
      </c>
      <c r="F422" s="4" t="s">
        <v>155</v>
      </c>
      <c r="G422" s="4">
        <v>3</v>
      </c>
      <c r="H422" s="4">
        <v>3</v>
      </c>
      <c r="I422" s="4" t="s">
        <v>139</v>
      </c>
      <c r="J422" s="4" t="s">
        <v>179</v>
      </c>
      <c r="K422" s="4" t="s">
        <v>143</v>
      </c>
      <c r="L422" s="4" t="s">
        <v>162</v>
      </c>
      <c r="M422" s="4" t="s">
        <v>175</v>
      </c>
      <c r="N422" s="4" t="s">
        <v>155</v>
      </c>
      <c r="O422" s="4" t="s">
        <v>129</v>
      </c>
      <c r="P422" s="4"/>
    </row>
    <row r="423" spans="1:16" ht="15">
      <c r="A423" s="4" t="s">
        <v>1062</v>
      </c>
      <c r="B423" s="30">
        <v>39934</v>
      </c>
      <c r="C423" s="4"/>
      <c r="D423" s="4" t="s">
        <v>4178</v>
      </c>
      <c r="E423" s="4" t="s">
        <v>170</v>
      </c>
      <c r="F423" s="4" t="s">
        <v>155</v>
      </c>
      <c r="G423" s="4"/>
      <c r="H423" s="4"/>
      <c r="I423" s="4" t="s">
        <v>139</v>
      </c>
      <c r="J423" s="4" t="s">
        <v>179</v>
      </c>
      <c r="K423" s="4" t="s">
        <v>143</v>
      </c>
      <c r="L423" s="4" t="s">
        <v>162</v>
      </c>
      <c r="M423" s="4" t="s">
        <v>459</v>
      </c>
      <c r="N423" s="4" t="s">
        <v>155</v>
      </c>
      <c r="O423" s="4" t="s">
        <v>130</v>
      </c>
      <c r="P423" s="4"/>
    </row>
    <row r="424" spans="1:16" ht="15">
      <c r="A424" s="4" t="s">
        <v>1063</v>
      </c>
      <c r="B424" s="30">
        <v>39959</v>
      </c>
      <c r="C424" s="4"/>
      <c r="D424" s="4" t="s">
        <v>193</v>
      </c>
      <c r="E424" s="4" t="s">
        <v>170</v>
      </c>
      <c r="F424" s="4" t="s">
        <v>155</v>
      </c>
      <c r="G424" s="4"/>
      <c r="H424" s="4"/>
      <c r="I424" s="4" t="s">
        <v>140</v>
      </c>
      <c r="J424" s="4" t="s">
        <v>179</v>
      </c>
      <c r="K424" s="4" t="s">
        <v>150</v>
      </c>
      <c r="L424" s="4" t="s">
        <v>162</v>
      </c>
      <c r="M424" s="4" t="s">
        <v>573</v>
      </c>
      <c r="N424" s="4" t="s">
        <v>155</v>
      </c>
      <c r="O424" s="4" t="s">
        <v>129</v>
      </c>
      <c r="P424" s="4"/>
    </row>
    <row r="425" spans="1:16" ht="15">
      <c r="A425" s="4" t="s">
        <v>1064</v>
      </c>
      <c r="B425" s="30">
        <v>39982</v>
      </c>
      <c r="C425" s="4" t="s">
        <v>383</v>
      </c>
      <c r="D425" s="4" t="s">
        <v>193</v>
      </c>
      <c r="E425" s="4" t="s">
        <v>170</v>
      </c>
      <c r="F425" s="4" t="s">
        <v>155</v>
      </c>
      <c r="G425" s="4"/>
      <c r="H425" s="4"/>
      <c r="I425" s="4" t="s">
        <v>140</v>
      </c>
      <c r="J425" s="4" t="s">
        <v>181</v>
      </c>
      <c r="K425" s="4" t="s">
        <v>148</v>
      </c>
      <c r="L425" s="4" t="s">
        <v>4181</v>
      </c>
      <c r="M425" s="4" t="s">
        <v>173</v>
      </c>
      <c r="N425" s="4" t="s">
        <v>155</v>
      </c>
      <c r="O425" s="4" t="s">
        <v>130</v>
      </c>
      <c r="P425" s="4"/>
    </row>
    <row r="426" spans="1:16" ht="15">
      <c r="A426" s="4" t="s">
        <v>1065</v>
      </c>
      <c r="B426" s="30">
        <v>39916</v>
      </c>
      <c r="C426" s="4" t="s">
        <v>496</v>
      </c>
      <c r="D426" s="4" t="s">
        <v>4177</v>
      </c>
      <c r="E426" s="4" t="s">
        <v>170</v>
      </c>
      <c r="F426" s="4" t="s">
        <v>155</v>
      </c>
      <c r="G426" s="4"/>
      <c r="H426" s="4"/>
      <c r="I426" s="4" t="s">
        <v>139</v>
      </c>
      <c r="J426" s="4" t="s">
        <v>178</v>
      </c>
      <c r="K426" s="4" t="s">
        <v>147</v>
      </c>
      <c r="L426" s="4" t="s">
        <v>165</v>
      </c>
      <c r="M426" s="4" t="s">
        <v>614</v>
      </c>
      <c r="N426" s="4" t="s">
        <v>158</v>
      </c>
      <c r="O426" s="4" t="s">
        <v>122</v>
      </c>
      <c r="P426" s="4"/>
    </row>
    <row r="427" spans="1:16" ht="15">
      <c r="A427" s="4" t="s">
        <v>1066</v>
      </c>
      <c r="B427" s="30">
        <v>39965</v>
      </c>
      <c r="C427" s="4"/>
      <c r="D427" s="4" t="s">
        <v>194</v>
      </c>
      <c r="E427" s="4" t="s">
        <v>170</v>
      </c>
      <c r="F427" s="4" t="s">
        <v>155</v>
      </c>
      <c r="G427" s="4"/>
      <c r="H427" s="4"/>
      <c r="I427" s="4" t="s">
        <v>139</v>
      </c>
      <c r="J427" s="4" t="s">
        <v>187</v>
      </c>
      <c r="K427" s="4" t="s">
        <v>145</v>
      </c>
      <c r="L427" s="4" t="s">
        <v>165</v>
      </c>
      <c r="M427" s="4" t="s">
        <v>1067</v>
      </c>
      <c r="N427" s="4" t="s">
        <v>158</v>
      </c>
      <c r="O427" s="4" t="s">
        <v>122</v>
      </c>
      <c r="P427" s="4"/>
    </row>
    <row r="428" spans="1:16" ht="15">
      <c r="A428" s="4" t="s">
        <v>1068</v>
      </c>
      <c r="B428" s="30">
        <v>39994</v>
      </c>
      <c r="C428" s="4"/>
      <c r="D428" s="4" t="s">
        <v>197</v>
      </c>
      <c r="E428" s="4" t="s">
        <v>170</v>
      </c>
      <c r="F428" s="4" t="s">
        <v>155</v>
      </c>
      <c r="G428" s="4"/>
      <c r="H428" s="4">
        <v>5</v>
      </c>
      <c r="I428" s="4" t="s">
        <v>139</v>
      </c>
      <c r="J428" s="4" t="s">
        <v>184</v>
      </c>
      <c r="K428" s="4" t="s">
        <v>144</v>
      </c>
      <c r="L428" s="4" t="s">
        <v>4181</v>
      </c>
      <c r="M428" s="4" t="s">
        <v>415</v>
      </c>
      <c r="N428" s="4" t="s">
        <v>155</v>
      </c>
      <c r="O428" s="4" t="s">
        <v>125</v>
      </c>
      <c r="P428" s="4"/>
    </row>
    <row r="429" spans="1:16" ht="15">
      <c r="A429" s="4" t="s">
        <v>1069</v>
      </c>
      <c r="B429" s="30">
        <v>40036</v>
      </c>
      <c r="C429" s="4"/>
      <c r="D429" s="4" t="s">
        <v>193</v>
      </c>
      <c r="E429" s="4" t="s">
        <v>170</v>
      </c>
      <c r="F429" s="4" t="s">
        <v>155</v>
      </c>
      <c r="G429" s="4">
        <v>5</v>
      </c>
      <c r="H429" s="4">
        <v>3</v>
      </c>
      <c r="I429" s="4" t="s">
        <v>140</v>
      </c>
      <c r="J429" s="4" t="s">
        <v>178</v>
      </c>
      <c r="K429" s="4" t="s">
        <v>143</v>
      </c>
      <c r="L429" s="4" t="s">
        <v>4176</v>
      </c>
      <c r="M429" s="4" t="s">
        <v>174</v>
      </c>
      <c r="N429" s="4" t="s">
        <v>159</v>
      </c>
      <c r="O429" s="4" t="s">
        <v>123</v>
      </c>
      <c r="P429" s="4" t="s">
        <v>123</v>
      </c>
    </row>
    <row r="430" spans="1:16" ht="15">
      <c r="A430" s="4" t="s">
        <v>1070</v>
      </c>
      <c r="B430" s="30">
        <v>40051</v>
      </c>
      <c r="C430" s="4" t="s">
        <v>9</v>
      </c>
      <c r="D430" s="4" t="s">
        <v>197</v>
      </c>
      <c r="E430" s="4" t="s">
        <v>170</v>
      </c>
      <c r="F430" s="4" t="s">
        <v>155</v>
      </c>
      <c r="G430" s="4">
        <v>3</v>
      </c>
      <c r="H430" s="4">
        <v>4</v>
      </c>
      <c r="I430" s="4" t="s">
        <v>139</v>
      </c>
      <c r="J430" s="4" t="s">
        <v>384</v>
      </c>
      <c r="K430" s="4" t="s">
        <v>146</v>
      </c>
      <c r="L430" s="4" t="s">
        <v>4176</v>
      </c>
      <c r="M430" s="4" t="s">
        <v>174</v>
      </c>
      <c r="N430" s="4" t="s">
        <v>160</v>
      </c>
      <c r="O430" s="4" t="s">
        <v>126</v>
      </c>
      <c r="P430" s="4" t="s">
        <v>1071</v>
      </c>
    </row>
    <row r="431" spans="1:16" ht="15">
      <c r="A431" s="4" t="s">
        <v>1072</v>
      </c>
      <c r="B431" s="30">
        <v>39961</v>
      </c>
      <c r="C431" s="4"/>
      <c r="D431" s="4" t="s">
        <v>194</v>
      </c>
      <c r="E431" s="4" t="s">
        <v>170</v>
      </c>
      <c r="F431" s="4" t="s">
        <v>155</v>
      </c>
      <c r="G431" s="4"/>
      <c r="H431" s="4"/>
      <c r="I431" s="4" t="s">
        <v>139</v>
      </c>
      <c r="J431" s="4" t="s">
        <v>178</v>
      </c>
      <c r="K431" s="4" t="s">
        <v>142</v>
      </c>
      <c r="L431" s="4" t="s">
        <v>162</v>
      </c>
      <c r="M431" s="4" t="s">
        <v>1073</v>
      </c>
      <c r="N431" s="4" t="s">
        <v>155</v>
      </c>
      <c r="O431" s="4" t="s">
        <v>129</v>
      </c>
      <c r="P431" s="4"/>
    </row>
    <row r="432" spans="1:16" ht="15">
      <c r="A432" s="4" t="s">
        <v>1074</v>
      </c>
      <c r="B432" s="30">
        <v>40075</v>
      </c>
      <c r="C432" s="4" t="s">
        <v>496</v>
      </c>
      <c r="D432" s="4" t="s">
        <v>193</v>
      </c>
      <c r="E432" s="4" t="s">
        <v>170</v>
      </c>
      <c r="F432" s="4" t="s">
        <v>155</v>
      </c>
      <c r="G432" s="4">
        <v>5</v>
      </c>
      <c r="H432" s="4">
        <v>5</v>
      </c>
      <c r="I432" s="4" t="s">
        <v>140</v>
      </c>
      <c r="J432" s="4" t="s">
        <v>179</v>
      </c>
      <c r="K432" s="4" t="s">
        <v>148</v>
      </c>
      <c r="L432" s="4" t="s">
        <v>4176</v>
      </c>
      <c r="M432" s="4" t="s">
        <v>174</v>
      </c>
      <c r="N432" s="4" t="s">
        <v>157</v>
      </c>
      <c r="O432" s="4" t="s">
        <v>1075</v>
      </c>
      <c r="P432" s="4" t="s">
        <v>1076</v>
      </c>
    </row>
    <row r="433" spans="1:16" ht="15">
      <c r="A433" s="4" t="s">
        <v>1077</v>
      </c>
      <c r="B433" s="30">
        <v>39906</v>
      </c>
      <c r="C433" s="4"/>
      <c r="D433" s="4" t="s">
        <v>4185</v>
      </c>
      <c r="E433" s="4" t="s">
        <v>170</v>
      </c>
      <c r="F433" s="4" t="s">
        <v>155</v>
      </c>
      <c r="G433" s="4"/>
      <c r="H433" s="4"/>
      <c r="I433" s="4" t="s">
        <v>139</v>
      </c>
      <c r="J433" s="4" t="s">
        <v>183</v>
      </c>
      <c r="K433" s="4" t="s">
        <v>150</v>
      </c>
      <c r="L433" s="4" t="s">
        <v>4176</v>
      </c>
      <c r="M433" s="4" t="s">
        <v>1078</v>
      </c>
      <c r="N433" s="4" t="s">
        <v>125</v>
      </c>
      <c r="O433" s="4" t="s">
        <v>416</v>
      </c>
      <c r="P433" s="4" t="s">
        <v>1079</v>
      </c>
    </row>
    <row r="434" spans="1:16" ht="15">
      <c r="A434" s="4" t="s">
        <v>1080</v>
      </c>
      <c r="B434" s="30">
        <v>39973</v>
      </c>
      <c r="C434" s="4"/>
      <c r="D434" s="4" t="s">
        <v>194</v>
      </c>
      <c r="E434" s="4" t="s">
        <v>170</v>
      </c>
      <c r="F434" s="4" t="s">
        <v>155</v>
      </c>
      <c r="G434" s="4"/>
      <c r="H434" s="4"/>
      <c r="I434" s="4" t="s">
        <v>139</v>
      </c>
      <c r="J434" s="4" t="s">
        <v>409</v>
      </c>
      <c r="K434" s="4" t="s">
        <v>145</v>
      </c>
      <c r="L434" s="4" t="s">
        <v>4181</v>
      </c>
      <c r="M434" s="4" t="s">
        <v>173</v>
      </c>
      <c r="N434" s="4" t="s">
        <v>155</v>
      </c>
      <c r="O434" s="4" t="s">
        <v>125</v>
      </c>
      <c r="P434" s="4"/>
    </row>
    <row r="435" spans="1:16" ht="15">
      <c r="A435" s="4" t="s">
        <v>1081</v>
      </c>
      <c r="B435" s="30">
        <v>40069</v>
      </c>
      <c r="C435" s="4" t="s">
        <v>383</v>
      </c>
      <c r="D435" s="4" t="s">
        <v>195</v>
      </c>
      <c r="E435" s="4" t="s">
        <v>170</v>
      </c>
      <c r="F435" s="4" t="s">
        <v>155</v>
      </c>
      <c r="G435" s="4">
        <v>5</v>
      </c>
      <c r="H435" s="4">
        <v>3</v>
      </c>
      <c r="I435" s="4" t="s">
        <v>139</v>
      </c>
      <c r="J435" s="4" t="s">
        <v>181</v>
      </c>
      <c r="K435" s="4" t="s">
        <v>146</v>
      </c>
      <c r="L435" s="4" t="s">
        <v>4181</v>
      </c>
      <c r="M435" s="4" t="s">
        <v>173</v>
      </c>
      <c r="N435" s="4" t="s">
        <v>155</v>
      </c>
      <c r="O435" s="4" t="s">
        <v>406</v>
      </c>
      <c r="P435" s="4"/>
    </row>
    <row r="436" spans="1:16" ht="15">
      <c r="A436" s="4" t="s">
        <v>1082</v>
      </c>
      <c r="B436" s="30">
        <v>39909</v>
      </c>
      <c r="C436" s="4"/>
      <c r="D436" s="4" t="s">
        <v>4178</v>
      </c>
      <c r="E436" s="4" t="s">
        <v>170</v>
      </c>
      <c r="F436" s="4" t="s">
        <v>155</v>
      </c>
      <c r="G436" s="4"/>
      <c r="H436" s="4"/>
      <c r="I436" s="4" t="s">
        <v>139</v>
      </c>
      <c r="J436" s="4" t="s">
        <v>189</v>
      </c>
      <c r="K436" s="4" t="s">
        <v>142</v>
      </c>
      <c r="L436" s="4" t="s">
        <v>165</v>
      </c>
      <c r="M436" s="4" t="s">
        <v>1083</v>
      </c>
      <c r="N436" s="4" t="s">
        <v>158</v>
      </c>
      <c r="O436" s="4" t="s">
        <v>122</v>
      </c>
      <c r="P436" s="4"/>
    </row>
    <row r="437" spans="1:16" ht="15">
      <c r="A437" s="4" t="s">
        <v>1084</v>
      </c>
      <c r="B437" s="30">
        <v>39909</v>
      </c>
      <c r="C437" s="4"/>
      <c r="D437" s="4" t="s">
        <v>4177</v>
      </c>
      <c r="E437" s="4" t="s">
        <v>170</v>
      </c>
      <c r="F437" s="4" t="s">
        <v>155</v>
      </c>
      <c r="G437" s="4"/>
      <c r="H437" s="4"/>
      <c r="I437" s="4" t="s">
        <v>139</v>
      </c>
      <c r="J437" s="4" t="s">
        <v>186</v>
      </c>
      <c r="K437" s="4" t="s">
        <v>147</v>
      </c>
      <c r="L437" s="4" t="s">
        <v>165</v>
      </c>
      <c r="M437" s="4" t="s">
        <v>1085</v>
      </c>
      <c r="N437" s="4" t="s">
        <v>158</v>
      </c>
      <c r="O437" s="4" t="s">
        <v>122</v>
      </c>
      <c r="P437" s="4"/>
    </row>
    <row r="438" spans="1:16" ht="15">
      <c r="A438" s="4" t="s">
        <v>1086</v>
      </c>
      <c r="B438" s="30">
        <v>40015</v>
      </c>
      <c r="C438" s="4"/>
      <c r="D438" s="4" t="s">
        <v>193</v>
      </c>
      <c r="E438" s="4" t="s">
        <v>170</v>
      </c>
      <c r="F438" s="4" t="s">
        <v>155</v>
      </c>
      <c r="G438" s="4">
        <v>1</v>
      </c>
      <c r="H438" s="4">
        <v>2</v>
      </c>
      <c r="I438" s="4" t="s">
        <v>140</v>
      </c>
      <c r="J438" s="4" t="s">
        <v>413</v>
      </c>
      <c r="K438" s="4" t="s">
        <v>143</v>
      </c>
      <c r="L438" s="4" t="s">
        <v>4176</v>
      </c>
      <c r="M438" s="4" t="s">
        <v>174</v>
      </c>
      <c r="N438" s="4" t="s">
        <v>156</v>
      </c>
      <c r="O438" s="4" t="s">
        <v>120</v>
      </c>
      <c r="P438" s="4" t="s">
        <v>1087</v>
      </c>
    </row>
    <row r="439" spans="1:16" ht="15">
      <c r="A439" s="4" t="s">
        <v>1088</v>
      </c>
      <c r="B439" s="30">
        <v>40059</v>
      </c>
      <c r="C439" s="4"/>
      <c r="D439" s="4" t="s">
        <v>193</v>
      </c>
      <c r="E439" s="4" t="s">
        <v>170</v>
      </c>
      <c r="F439" s="4" t="s">
        <v>155</v>
      </c>
      <c r="G439" s="4">
        <v>5</v>
      </c>
      <c r="H439" s="4">
        <v>5</v>
      </c>
      <c r="I439" s="4" t="s">
        <v>140</v>
      </c>
      <c r="J439" s="4" t="s">
        <v>190</v>
      </c>
      <c r="K439" s="4" t="s">
        <v>142</v>
      </c>
      <c r="L439" s="4" t="s">
        <v>165</v>
      </c>
      <c r="M439" s="4" t="s">
        <v>1089</v>
      </c>
      <c r="N439" s="4" t="s">
        <v>158</v>
      </c>
      <c r="O439" s="4" t="s">
        <v>122</v>
      </c>
      <c r="P439" s="4"/>
    </row>
    <row r="440" spans="1:16" ht="15">
      <c r="A440" s="4" t="s">
        <v>1090</v>
      </c>
      <c r="B440" s="30">
        <v>39924</v>
      </c>
      <c r="C440" s="4"/>
      <c r="D440" s="4" t="s">
        <v>4184</v>
      </c>
      <c r="E440" s="4" t="s">
        <v>170</v>
      </c>
      <c r="F440" s="4" t="s">
        <v>155</v>
      </c>
      <c r="G440" s="4"/>
      <c r="H440" s="4"/>
      <c r="I440" s="4" t="s">
        <v>140</v>
      </c>
      <c r="J440" s="4" t="s">
        <v>528</v>
      </c>
      <c r="K440" s="4" t="s">
        <v>145</v>
      </c>
      <c r="L440" s="4" t="s">
        <v>162</v>
      </c>
      <c r="M440" s="4" t="s">
        <v>175</v>
      </c>
      <c r="N440" s="4" t="s">
        <v>155</v>
      </c>
      <c r="O440" s="4" t="s">
        <v>439</v>
      </c>
      <c r="P440" s="4"/>
    </row>
    <row r="441" spans="1:16" ht="15">
      <c r="A441" s="4" t="s">
        <v>1091</v>
      </c>
      <c r="B441" s="30">
        <v>39925</v>
      </c>
      <c r="C441" s="4" t="s">
        <v>380</v>
      </c>
      <c r="D441" s="4" t="s">
        <v>4182</v>
      </c>
      <c r="E441" s="4" t="s">
        <v>170</v>
      </c>
      <c r="F441" s="4" t="s">
        <v>155</v>
      </c>
      <c r="G441" s="4"/>
      <c r="H441" s="4"/>
      <c r="I441" s="4" t="s">
        <v>139</v>
      </c>
      <c r="J441" s="4" t="s">
        <v>591</v>
      </c>
      <c r="K441" s="4" t="s">
        <v>143</v>
      </c>
      <c r="L441" s="4" t="s">
        <v>4176</v>
      </c>
      <c r="M441" s="4" t="s">
        <v>174</v>
      </c>
      <c r="N441" s="4" t="s">
        <v>157</v>
      </c>
      <c r="O441" s="4" t="s">
        <v>130</v>
      </c>
      <c r="P441" s="4" t="s">
        <v>423</v>
      </c>
    </row>
    <row r="442" spans="1:16" ht="15">
      <c r="A442" s="4" t="s">
        <v>1092</v>
      </c>
      <c r="B442" s="30">
        <v>39928</v>
      </c>
      <c r="C442" s="4"/>
      <c r="D442" s="4" t="s">
        <v>4178</v>
      </c>
      <c r="E442" s="4" t="s">
        <v>170</v>
      </c>
      <c r="F442" s="4" t="s">
        <v>155</v>
      </c>
      <c r="G442" s="4"/>
      <c r="H442" s="4"/>
      <c r="I442" s="4" t="s">
        <v>139</v>
      </c>
      <c r="J442" s="4" t="s">
        <v>937</v>
      </c>
      <c r="K442" s="4" t="s">
        <v>142</v>
      </c>
      <c r="L442" s="4" t="s">
        <v>162</v>
      </c>
      <c r="M442" s="4" t="s">
        <v>175</v>
      </c>
      <c r="N442" s="4" t="s">
        <v>155</v>
      </c>
      <c r="O442" s="4" t="s">
        <v>406</v>
      </c>
      <c r="P442" s="4"/>
    </row>
    <row r="443" spans="1:16" ht="15">
      <c r="A443" s="4" t="s">
        <v>1093</v>
      </c>
      <c r="B443" s="30">
        <v>40010</v>
      </c>
      <c r="C443" s="4" t="s">
        <v>383</v>
      </c>
      <c r="D443" s="4" t="s">
        <v>196</v>
      </c>
      <c r="E443" s="4" t="s">
        <v>170</v>
      </c>
      <c r="F443" s="4" t="s">
        <v>155</v>
      </c>
      <c r="G443" s="4">
        <v>5</v>
      </c>
      <c r="H443" s="4">
        <v>3</v>
      </c>
      <c r="I443" s="4" t="s">
        <v>139</v>
      </c>
      <c r="J443" s="4" t="s">
        <v>528</v>
      </c>
      <c r="K443" s="4" t="s">
        <v>142</v>
      </c>
      <c r="L443" s="4" t="s">
        <v>4176</v>
      </c>
      <c r="M443" s="4" t="s">
        <v>174</v>
      </c>
      <c r="N443" s="4" t="s">
        <v>157</v>
      </c>
      <c r="O443" s="4" t="s">
        <v>434</v>
      </c>
      <c r="P443" s="4" t="s">
        <v>435</v>
      </c>
    </row>
    <row r="444" spans="1:16" ht="15">
      <c r="A444" s="4" t="s">
        <v>1094</v>
      </c>
      <c r="B444" s="30">
        <v>39952</v>
      </c>
      <c r="C444" s="4"/>
      <c r="D444" s="4" t="s">
        <v>193</v>
      </c>
      <c r="E444" s="4" t="s">
        <v>170</v>
      </c>
      <c r="F444" s="4" t="s">
        <v>155</v>
      </c>
      <c r="G444" s="4"/>
      <c r="H444" s="4"/>
      <c r="I444" s="4" t="s">
        <v>140</v>
      </c>
      <c r="J444" s="4" t="s">
        <v>179</v>
      </c>
      <c r="K444" s="4" t="s">
        <v>147</v>
      </c>
      <c r="L444" s="4" t="s">
        <v>4181</v>
      </c>
      <c r="M444" s="4" t="s">
        <v>173</v>
      </c>
      <c r="N444" s="4" t="s">
        <v>155</v>
      </c>
      <c r="O444" s="4" t="s">
        <v>454</v>
      </c>
      <c r="P444" s="4"/>
    </row>
    <row r="445" spans="1:16" ht="15">
      <c r="A445" s="4" t="s">
        <v>1095</v>
      </c>
      <c r="B445" s="30">
        <v>39946</v>
      </c>
      <c r="C445" s="4"/>
      <c r="D445" s="4" t="s">
        <v>195</v>
      </c>
      <c r="E445" s="4" t="s">
        <v>170</v>
      </c>
      <c r="F445" s="4" t="s">
        <v>155</v>
      </c>
      <c r="G445" s="4"/>
      <c r="H445" s="4"/>
      <c r="I445" s="4" t="s">
        <v>139</v>
      </c>
      <c r="J445" s="4" t="s">
        <v>182</v>
      </c>
      <c r="K445" s="4" t="s">
        <v>143</v>
      </c>
      <c r="L445" s="4" t="s">
        <v>4181</v>
      </c>
      <c r="M445" s="4" t="s">
        <v>173</v>
      </c>
      <c r="N445" s="4" t="s">
        <v>155</v>
      </c>
      <c r="O445" s="4" t="s">
        <v>692</v>
      </c>
      <c r="P445" s="4"/>
    </row>
    <row r="446" spans="1:16" ht="15">
      <c r="A446" s="4" t="s">
        <v>1096</v>
      </c>
      <c r="B446" s="30">
        <v>40053</v>
      </c>
      <c r="C446" s="4"/>
      <c r="D446" s="4" t="s">
        <v>195</v>
      </c>
      <c r="E446" s="4" t="s">
        <v>170</v>
      </c>
      <c r="F446" s="4" t="s">
        <v>155</v>
      </c>
      <c r="G446" s="4">
        <v>5</v>
      </c>
      <c r="H446" s="4">
        <v>5</v>
      </c>
      <c r="I446" s="4" t="s">
        <v>139</v>
      </c>
      <c r="J446" s="4" t="s">
        <v>603</v>
      </c>
      <c r="K446" s="4" t="s">
        <v>149</v>
      </c>
      <c r="L446" s="4" t="s">
        <v>4176</v>
      </c>
      <c r="M446" s="4" t="s">
        <v>174</v>
      </c>
      <c r="N446" s="4" t="s">
        <v>157</v>
      </c>
      <c r="O446" s="4" t="s">
        <v>434</v>
      </c>
      <c r="P446" s="4" t="s">
        <v>449</v>
      </c>
    </row>
    <row r="447" spans="1:16" ht="15">
      <c r="A447" s="4" t="s">
        <v>1097</v>
      </c>
      <c r="B447" s="30">
        <v>40032</v>
      </c>
      <c r="C447" s="4"/>
      <c r="D447" s="4" t="s">
        <v>193</v>
      </c>
      <c r="E447" s="4" t="s">
        <v>170</v>
      </c>
      <c r="F447" s="4" t="s">
        <v>155</v>
      </c>
      <c r="G447" s="4">
        <v>5</v>
      </c>
      <c r="H447" s="4">
        <v>5</v>
      </c>
      <c r="I447" s="4" t="s">
        <v>140</v>
      </c>
      <c r="J447" s="4" t="s">
        <v>1034</v>
      </c>
      <c r="K447" s="4" t="s">
        <v>142</v>
      </c>
      <c r="L447" s="4" t="s">
        <v>4181</v>
      </c>
      <c r="M447" s="4" t="s">
        <v>173</v>
      </c>
      <c r="N447" s="4" t="s">
        <v>155</v>
      </c>
      <c r="O447" s="4" t="s">
        <v>746</v>
      </c>
      <c r="P447" s="4"/>
    </row>
    <row r="448" spans="1:16" ht="15">
      <c r="A448" s="4" t="s">
        <v>1098</v>
      </c>
      <c r="B448" s="30">
        <v>39946</v>
      </c>
      <c r="C448" s="4"/>
      <c r="D448" s="4" t="s">
        <v>194</v>
      </c>
      <c r="E448" s="4" t="s">
        <v>170</v>
      </c>
      <c r="F448" s="4" t="s">
        <v>155</v>
      </c>
      <c r="G448" s="4"/>
      <c r="H448" s="4"/>
      <c r="I448" s="4" t="s">
        <v>139</v>
      </c>
      <c r="J448" s="4" t="s">
        <v>479</v>
      </c>
      <c r="K448" s="4" t="s">
        <v>147</v>
      </c>
      <c r="L448" s="4" t="s">
        <v>4181</v>
      </c>
      <c r="M448" s="4"/>
      <c r="N448" s="4" t="s">
        <v>155</v>
      </c>
      <c r="O448" s="4" t="s">
        <v>124</v>
      </c>
      <c r="P448" s="4"/>
    </row>
    <row r="449" spans="1:16" ht="15">
      <c r="A449" s="4" t="s">
        <v>1099</v>
      </c>
      <c r="B449" s="30">
        <v>39980</v>
      </c>
      <c r="C449" s="4"/>
      <c r="D449" s="4" t="s">
        <v>195</v>
      </c>
      <c r="E449" s="4" t="s">
        <v>170</v>
      </c>
      <c r="F449" s="4" t="s">
        <v>155</v>
      </c>
      <c r="G449" s="4"/>
      <c r="H449" s="4"/>
      <c r="I449" s="4" t="s">
        <v>139</v>
      </c>
      <c r="J449" s="4" t="s">
        <v>179</v>
      </c>
      <c r="K449" s="4" t="s">
        <v>146</v>
      </c>
      <c r="L449" s="4" t="s">
        <v>4176</v>
      </c>
      <c r="M449" s="4" t="s">
        <v>578</v>
      </c>
      <c r="N449" s="4" t="s">
        <v>157</v>
      </c>
      <c r="O449" s="4" t="s">
        <v>130</v>
      </c>
      <c r="P449" s="4" t="s">
        <v>437</v>
      </c>
    </row>
    <row r="450" spans="1:16" ht="15">
      <c r="A450" s="4" t="s">
        <v>1100</v>
      </c>
      <c r="B450" s="30">
        <v>40010</v>
      </c>
      <c r="C450" s="4"/>
      <c r="D450" s="4" t="s">
        <v>194</v>
      </c>
      <c r="E450" s="4" t="s">
        <v>170</v>
      </c>
      <c r="F450" s="4" t="s">
        <v>155</v>
      </c>
      <c r="G450" s="4">
        <v>2</v>
      </c>
      <c r="H450" s="4">
        <v>5</v>
      </c>
      <c r="I450" s="4" t="s">
        <v>139</v>
      </c>
      <c r="J450" s="4" t="s">
        <v>433</v>
      </c>
      <c r="K450" s="4" t="s">
        <v>145</v>
      </c>
      <c r="L450" s="4" t="s">
        <v>162</v>
      </c>
      <c r="M450" s="4" t="s">
        <v>459</v>
      </c>
      <c r="N450" s="4" t="s">
        <v>155</v>
      </c>
      <c r="O450" s="4" t="s">
        <v>129</v>
      </c>
      <c r="P450" s="4"/>
    </row>
    <row r="451" spans="1:16" ht="15">
      <c r="A451" s="4" t="s">
        <v>1101</v>
      </c>
      <c r="B451" s="30">
        <v>39982</v>
      </c>
      <c r="C451" s="4" t="s">
        <v>383</v>
      </c>
      <c r="D451" s="4" t="s">
        <v>193</v>
      </c>
      <c r="E451" s="4" t="s">
        <v>170</v>
      </c>
      <c r="F451" s="4" t="s">
        <v>155</v>
      </c>
      <c r="G451" s="4"/>
      <c r="H451" s="4"/>
      <c r="I451" s="4" t="s">
        <v>140</v>
      </c>
      <c r="J451" s="4" t="s">
        <v>180</v>
      </c>
      <c r="K451" s="4" t="s">
        <v>144</v>
      </c>
      <c r="L451" s="4" t="s">
        <v>4181</v>
      </c>
      <c r="M451" s="4" t="s">
        <v>173</v>
      </c>
      <c r="N451" s="4" t="s">
        <v>155</v>
      </c>
      <c r="O451" s="4" t="s">
        <v>127</v>
      </c>
      <c r="P451" s="4"/>
    </row>
    <row r="452" spans="1:16" ht="15">
      <c r="A452" s="4" t="s">
        <v>1102</v>
      </c>
      <c r="B452" s="30">
        <v>39917</v>
      </c>
      <c r="C452" s="4" t="s">
        <v>380</v>
      </c>
      <c r="D452" s="4" t="s">
        <v>4177</v>
      </c>
      <c r="E452" s="4" t="s">
        <v>170</v>
      </c>
      <c r="F452" s="4" t="s">
        <v>155</v>
      </c>
      <c r="G452" s="4"/>
      <c r="H452" s="4"/>
      <c r="I452" s="4" t="s">
        <v>139</v>
      </c>
      <c r="J452" s="4" t="s">
        <v>528</v>
      </c>
      <c r="K452" s="4" t="s">
        <v>142</v>
      </c>
      <c r="L452" s="4" t="s">
        <v>4181</v>
      </c>
      <c r="M452" s="4" t="s">
        <v>173</v>
      </c>
      <c r="N452" s="4" t="s">
        <v>155</v>
      </c>
      <c r="O452" s="4" t="s">
        <v>704</v>
      </c>
      <c r="P452" s="4"/>
    </row>
    <row r="453" spans="1:16" ht="15">
      <c r="A453" s="4" t="s">
        <v>1103</v>
      </c>
      <c r="B453" s="30">
        <v>40080</v>
      </c>
      <c r="C453" s="4"/>
      <c r="D453" s="4" t="s">
        <v>195</v>
      </c>
      <c r="E453" s="4" t="s">
        <v>170</v>
      </c>
      <c r="F453" s="4" t="s">
        <v>155</v>
      </c>
      <c r="G453" s="4">
        <v>5</v>
      </c>
      <c r="H453" s="4">
        <v>4</v>
      </c>
      <c r="I453" s="4" t="s">
        <v>139</v>
      </c>
      <c r="J453" s="4" t="s">
        <v>191</v>
      </c>
      <c r="K453" s="4" t="s">
        <v>150</v>
      </c>
      <c r="L453" s="4" t="s">
        <v>4176</v>
      </c>
      <c r="M453" s="4" t="s">
        <v>174</v>
      </c>
      <c r="N453" s="4" t="s">
        <v>157</v>
      </c>
      <c r="O453" s="4" t="s">
        <v>434</v>
      </c>
      <c r="P453" s="4" t="s">
        <v>435</v>
      </c>
    </row>
    <row r="454" spans="1:16" ht="15">
      <c r="A454" s="4" t="s">
        <v>1104</v>
      </c>
      <c r="B454" s="30">
        <v>40007</v>
      </c>
      <c r="C454" s="4" t="s">
        <v>525</v>
      </c>
      <c r="D454" s="4" t="s">
        <v>194</v>
      </c>
      <c r="E454" s="4" t="s">
        <v>170</v>
      </c>
      <c r="F454" s="4" t="s">
        <v>155</v>
      </c>
      <c r="G454" s="4">
        <v>5</v>
      </c>
      <c r="H454" s="4">
        <v>5</v>
      </c>
      <c r="I454" s="4" t="s">
        <v>139</v>
      </c>
      <c r="J454" s="4" t="s">
        <v>180</v>
      </c>
      <c r="K454" s="4" t="s">
        <v>144</v>
      </c>
      <c r="L454" s="4" t="s">
        <v>162</v>
      </c>
      <c r="M454" s="4" t="s">
        <v>1105</v>
      </c>
      <c r="N454" s="4" t="s">
        <v>155</v>
      </c>
      <c r="O454" s="4" t="s">
        <v>130</v>
      </c>
      <c r="P454" s="4"/>
    </row>
    <row r="455" spans="1:16" ht="15">
      <c r="A455" s="4" t="s">
        <v>1106</v>
      </c>
      <c r="B455" s="30">
        <v>39937</v>
      </c>
      <c r="C455" s="4"/>
      <c r="D455" s="4" t="s">
        <v>4180</v>
      </c>
      <c r="E455" s="4" t="s">
        <v>170</v>
      </c>
      <c r="F455" s="4" t="s">
        <v>155</v>
      </c>
      <c r="G455" s="4"/>
      <c r="H455" s="4"/>
      <c r="I455" s="4" t="s">
        <v>139</v>
      </c>
      <c r="J455" s="4" t="s">
        <v>178</v>
      </c>
      <c r="K455" s="4" t="s">
        <v>145</v>
      </c>
      <c r="L455" s="4" t="s">
        <v>4181</v>
      </c>
      <c r="M455" s="4" t="s">
        <v>173</v>
      </c>
      <c r="N455" s="4" t="s">
        <v>155</v>
      </c>
      <c r="O455" s="4" t="s">
        <v>406</v>
      </c>
      <c r="P455" s="4"/>
    </row>
    <row r="456" spans="1:16" ht="15">
      <c r="A456" s="4" t="s">
        <v>1107</v>
      </c>
      <c r="B456" s="30">
        <v>40056</v>
      </c>
      <c r="C456" s="4"/>
      <c r="D456" s="4" t="s">
        <v>195</v>
      </c>
      <c r="E456" s="4" t="s">
        <v>170</v>
      </c>
      <c r="F456" s="4" t="s">
        <v>155</v>
      </c>
      <c r="G456" s="4">
        <v>5</v>
      </c>
      <c r="H456" s="4">
        <v>5</v>
      </c>
      <c r="I456" s="4" t="s">
        <v>139</v>
      </c>
      <c r="J456" s="4" t="s">
        <v>528</v>
      </c>
      <c r="K456" s="4" t="s">
        <v>148</v>
      </c>
      <c r="L456" s="4" t="s">
        <v>4176</v>
      </c>
      <c r="M456" s="4" t="s">
        <v>174</v>
      </c>
      <c r="N456" s="4" t="s">
        <v>159</v>
      </c>
      <c r="O456" s="4" t="s">
        <v>123</v>
      </c>
      <c r="P456" s="4" t="s">
        <v>123</v>
      </c>
    </row>
    <row r="457" spans="1:16" ht="15">
      <c r="A457" s="4" t="s">
        <v>1108</v>
      </c>
      <c r="B457" s="30">
        <v>40002</v>
      </c>
      <c r="C457" s="4"/>
      <c r="D457" s="4" t="s">
        <v>196</v>
      </c>
      <c r="E457" s="4" t="s">
        <v>170</v>
      </c>
      <c r="F457" s="4" t="s">
        <v>155</v>
      </c>
      <c r="G457" s="4"/>
      <c r="H457" s="4">
        <v>3</v>
      </c>
      <c r="I457" s="4" t="s">
        <v>139</v>
      </c>
      <c r="J457" s="4" t="s">
        <v>184</v>
      </c>
      <c r="K457" s="4" t="s">
        <v>151</v>
      </c>
      <c r="L457" s="4" t="s">
        <v>162</v>
      </c>
      <c r="M457" s="4" t="s">
        <v>175</v>
      </c>
      <c r="N457" s="4" t="s">
        <v>155</v>
      </c>
      <c r="O457" s="4" t="s">
        <v>130</v>
      </c>
      <c r="P457" s="4"/>
    </row>
    <row r="458" spans="1:16" ht="15">
      <c r="A458" s="4" t="s">
        <v>1109</v>
      </c>
      <c r="B458" s="30">
        <v>39994</v>
      </c>
      <c r="C458" s="4"/>
      <c r="D458" s="4" t="s">
        <v>193</v>
      </c>
      <c r="E458" s="4" t="s">
        <v>170</v>
      </c>
      <c r="F458" s="4" t="s">
        <v>155</v>
      </c>
      <c r="G458" s="4"/>
      <c r="H458" s="4">
        <v>3</v>
      </c>
      <c r="I458" s="4" t="s">
        <v>140</v>
      </c>
      <c r="J458" s="4" t="s">
        <v>179</v>
      </c>
      <c r="K458" s="4" t="s">
        <v>142</v>
      </c>
      <c r="L458" s="4" t="s">
        <v>162</v>
      </c>
      <c r="M458" s="4" t="s">
        <v>622</v>
      </c>
      <c r="N458" s="4" t="s">
        <v>155</v>
      </c>
      <c r="O458" s="4" t="s">
        <v>130</v>
      </c>
      <c r="P458" s="4"/>
    </row>
    <row r="459" spans="1:16" ht="15">
      <c r="A459" s="4" t="s">
        <v>1110</v>
      </c>
      <c r="B459" s="30">
        <v>39944</v>
      </c>
      <c r="C459" s="4"/>
      <c r="D459" s="4" t="s">
        <v>195</v>
      </c>
      <c r="E459" s="4" t="s">
        <v>170</v>
      </c>
      <c r="F459" s="4" t="s">
        <v>155</v>
      </c>
      <c r="G459" s="4"/>
      <c r="H459" s="4"/>
      <c r="I459" s="4" t="s">
        <v>139</v>
      </c>
      <c r="J459" s="4" t="s">
        <v>190</v>
      </c>
      <c r="K459" s="4" t="s">
        <v>147</v>
      </c>
      <c r="L459" s="4" t="s">
        <v>4181</v>
      </c>
      <c r="M459" s="4" t="s">
        <v>173</v>
      </c>
      <c r="N459" s="4" t="s">
        <v>155</v>
      </c>
      <c r="O459" s="4" t="s">
        <v>1075</v>
      </c>
      <c r="P459" s="4"/>
    </row>
    <row r="460" spans="1:16" ht="15">
      <c r="A460" s="4" t="s">
        <v>1111</v>
      </c>
      <c r="B460" s="30">
        <v>39914</v>
      </c>
      <c r="C460" s="4"/>
      <c r="D460" s="4" t="s">
        <v>4179</v>
      </c>
      <c r="E460" s="4" t="s">
        <v>170</v>
      </c>
      <c r="F460" s="4" t="s">
        <v>155</v>
      </c>
      <c r="G460" s="4"/>
      <c r="H460" s="4"/>
      <c r="I460" s="4" t="s">
        <v>139</v>
      </c>
      <c r="J460" s="4" t="s">
        <v>433</v>
      </c>
      <c r="K460" s="4" t="s">
        <v>148</v>
      </c>
      <c r="L460" s="4" t="s">
        <v>4176</v>
      </c>
      <c r="M460" s="4" t="s">
        <v>1112</v>
      </c>
      <c r="N460" s="4" t="s">
        <v>157</v>
      </c>
      <c r="O460" s="4" t="s">
        <v>1113</v>
      </c>
      <c r="P460" s="4" t="s">
        <v>1114</v>
      </c>
    </row>
    <row r="461" spans="1:16" ht="15">
      <c r="A461" s="4" t="s">
        <v>1115</v>
      </c>
      <c r="B461" s="30">
        <v>40015</v>
      </c>
      <c r="C461" s="4"/>
      <c r="D461" s="4" t="s">
        <v>193</v>
      </c>
      <c r="E461" s="4" t="s">
        <v>170</v>
      </c>
      <c r="F461" s="4" t="s">
        <v>155</v>
      </c>
      <c r="G461" s="4">
        <v>5</v>
      </c>
      <c r="H461" s="4">
        <v>2</v>
      </c>
      <c r="I461" s="4" t="s">
        <v>140</v>
      </c>
      <c r="J461" s="4" t="s">
        <v>180</v>
      </c>
      <c r="K461" s="4" t="s">
        <v>146</v>
      </c>
      <c r="L461" s="4" t="s">
        <v>162</v>
      </c>
      <c r="M461" s="4" t="s">
        <v>175</v>
      </c>
      <c r="N461" s="4" t="s">
        <v>155</v>
      </c>
      <c r="O461" s="4" t="s">
        <v>387</v>
      </c>
      <c r="P461" s="4"/>
    </row>
    <row r="462" spans="1:16" ht="15">
      <c r="A462" s="4" t="s">
        <v>1116</v>
      </c>
      <c r="B462" s="30">
        <v>40055</v>
      </c>
      <c r="C462" s="4" t="s">
        <v>525</v>
      </c>
      <c r="D462" s="4" t="s">
        <v>193</v>
      </c>
      <c r="E462" s="4" t="s">
        <v>170</v>
      </c>
      <c r="F462" s="4" t="s">
        <v>155</v>
      </c>
      <c r="G462" s="4">
        <v>5</v>
      </c>
      <c r="H462" s="4">
        <v>2</v>
      </c>
      <c r="I462" s="4" t="s">
        <v>140</v>
      </c>
      <c r="J462" s="4" t="s">
        <v>179</v>
      </c>
      <c r="K462" s="4" t="s">
        <v>143</v>
      </c>
      <c r="L462" s="4" t="s">
        <v>162</v>
      </c>
      <c r="M462" s="4" t="s">
        <v>175</v>
      </c>
      <c r="N462" s="4" t="s">
        <v>155</v>
      </c>
      <c r="O462" s="4" t="s">
        <v>129</v>
      </c>
      <c r="P462" s="4"/>
    </row>
    <row r="463" spans="1:16" ht="15">
      <c r="A463" s="4" t="s">
        <v>1117</v>
      </c>
      <c r="B463" s="30">
        <v>39966</v>
      </c>
      <c r="C463" s="4"/>
      <c r="D463" s="4" t="s">
        <v>193</v>
      </c>
      <c r="E463" s="4" t="s">
        <v>170</v>
      </c>
      <c r="F463" s="4" t="s">
        <v>155</v>
      </c>
      <c r="G463" s="4"/>
      <c r="H463" s="4"/>
      <c r="I463" s="4" t="s">
        <v>140</v>
      </c>
      <c r="J463" s="4" t="s">
        <v>189</v>
      </c>
      <c r="K463" s="4" t="s">
        <v>143</v>
      </c>
      <c r="L463" s="4" t="s">
        <v>4176</v>
      </c>
      <c r="M463" s="4" t="s">
        <v>174</v>
      </c>
      <c r="N463" s="4" t="s">
        <v>156</v>
      </c>
      <c r="O463" s="4" t="s">
        <v>120</v>
      </c>
      <c r="P463" s="4" t="s">
        <v>715</v>
      </c>
    </row>
    <row r="464" spans="1:16" ht="15">
      <c r="A464" s="4" t="s">
        <v>1118</v>
      </c>
      <c r="B464" s="30">
        <v>40019</v>
      </c>
      <c r="C464" s="4"/>
      <c r="D464" s="4" t="s">
        <v>196</v>
      </c>
      <c r="E464" s="4" t="s">
        <v>170</v>
      </c>
      <c r="F464" s="4" t="s">
        <v>155</v>
      </c>
      <c r="G464" s="4">
        <v>1</v>
      </c>
      <c r="H464" s="4">
        <v>5</v>
      </c>
      <c r="I464" s="4" t="s">
        <v>139</v>
      </c>
      <c r="J464" s="4" t="s">
        <v>183</v>
      </c>
      <c r="K464" s="4" t="s">
        <v>146</v>
      </c>
      <c r="L464" s="4" t="s">
        <v>4181</v>
      </c>
      <c r="M464" s="4" t="s">
        <v>482</v>
      </c>
      <c r="N464" s="4" t="s">
        <v>155</v>
      </c>
      <c r="O464" s="4" t="s">
        <v>454</v>
      </c>
      <c r="P464" s="4"/>
    </row>
    <row r="465" spans="1:16" ht="15">
      <c r="A465" s="4" t="s">
        <v>1119</v>
      </c>
      <c r="B465" s="30">
        <v>40057</v>
      </c>
      <c r="C465" s="4" t="s">
        <v>496</v>
      </c>
      <c r="D465" s="4" t="s">
        <v>193</v>
      </c>
      <c r="E465" s="4" t="s">
        <v>170</v>
      </c>
      <c r="F465" s="4" t="s">
        <v>155</v>
      </c>
      <c r="G465" s="4">
        <v>1</v>
      </c>
      <c r="H465" s="4">
        <v>3</v>
      </c>
      <c r="I465" s="4" t="s">
        <v>140</v>
      </c>
      <c r="J465" s="4" t="s">
        <v>509</v>
      </c>
      <c r="K465" s="4" t="s">
        <v>146</v>
      </c>
      <c r="L465" s="4" t="s">
        <v>4181</v>
      </c>
      <c r="M465" s="4" t="s">
        <v>902</v>
      </c>
      <c r="N465" s="4" t="s">
        <v>155</v>
      </c>
      <c r="O465" s="4" t="s">
        <v>124</v>
      </c>
      <c r="P465" s="4"/>
    </row>
    <row r="466" spans="1:16" ht="15">
      <c r="A466" s="4" t="s">
        <v>1120</v>
      </c>
      <c r="B466" s="30">
        <v>40019</v>
      </c>
      <c r="C466" s="4"/>
      <c r="D466" s="4" t="s">
        <v>197</v>
      </c>
      <c r="E466" s="4" t="s">
        <v>170</v>
      </c>
      <c r="F466" s="4" t="s">
        <v>155</v>
      </c>
      <c r="G466" s="4">
        <v>5</v>
      </c>
      <c r="H466" s="4">
        <v>5</v>
      </c>
      <c r="I466" s="4" t="s">
        <v>139</v>
      </c>
      <c r="J466" s="4" t="s">
        <v>509</v>
      </c>
      <c r="K466" s="4" t="s">
        <v>144</v>
      </c>
      <c r="L466" s="4" t="s">
        <v>4176</v>
      </c>
      <c r="M466" s="4" t="s">
        <v>174</v>
      </c>
      <c r="N466" s="4" t="s">
        <v>156</v>
      </c>
      <c r="O466" s="4" t="s">
        <v>120</v>
      </c>
      <c r="P466" s="4" t="s">
        <v>1121</v>
      </c>
    </row>
    <row r="467" spans="1:16" ht="15">
      <c r="A467" s="4" t="s">
        <v>1122</v>
      </c>
      <c r="B467" s="30">
        <v>40039</v>
      </c>
      <c r="C467" s="4"/>
      <c r="D467" s="4" t="s">
        <v>193</v>
      </c>
      <c r="E467" s="4" t="s">
        <v>170</v>
      </c>
      <c r="F467" s="4" t="s">
        <v>155</v>
      </c>
      <c r="G467" s="4">
        <v>5</v>
      </c>
      <c r="H467" s="4">
        <v>5</v>
      </c>
      <c r="I467" s="4" t="s">
        <v>140</v>
      </c>
      <c r="J467" s="4" t="s">
        <v>189</v>
      </c>
      <c r="K467" s="4" t="s">
        <v>142</v>
      </c>
      <c r="L467" s="4" t="s">
        <v>4176</v>
      </c>
      <c r="M467" s="4" t="s">
        <v>1123</v>
      </c>
      <c r="N467" s="4" t="s">
        <v>156</v>
      </c>
      <c r="O467" s="4" t="s">
        <v>120</v>
      </c>
      <c r="P467" s="4" t="s">
        <v>620</v>
      </c>
    </row>
    <row r="468" spans="1:16" ht="15">
      <c r="A468" s="4" t="s">
        <v>1124</v>
      </c>
      <c r="B468" s="30">
        <v>39954</v>
      </c>
      <c r="C468" s="4"/>
      <c r="D468" s="4" t="s">
        <v>193</v>
      </c>
      <c r="E468" s="4" t="s">
        <v>170</v>
      </c>
      <c r="F468" s="4" t="s">
        <v>155</v>
      </c>
      <c r="G468" s="4"/>
      <c r="H468" s="4"/>
      <c r="I468" s="4" t="s">
        <v>140</v>
      </c>
      <c r="J468" s="4" t="s">
        <v>189</v>
      </c>
      <c r="K468" s="4" t="s">
        <v>148</v>
      </c>
      <c r="L468" s="4" t="s">
        <v>4181</v>
      </c>
      <c r="M468" s="4" t="s">
        <v>173</v>
      </c>
      <c r="N468" s="4" t="s">
        <v>155</v>
      </c>
      <c r="O468" s="4" t="s">
        <v>792</v>
      </c>
      <c r="P468" s="4"/>
    </row>
    <row r="469" spans="1:16" ht="15">
      <c r="A469" s="4" t="s">
        <v>1125</v>
      </c>
      <c r="B469" s="30">
        <v>40024</v>
      </c>
      <c r="C469" s="4"/>
      <c r="D469" s="4" t="s">
        <v>197</v>
      </c>
      <c r="E469" s="4" t="s">
        <v>170</v>
      </c>
      <c r="F469" s="4" t="s">
        <v>155</v>
      </c>
      <c r="G469" s="4">
        <v>5</v>
      </c>
      <c r="H469" s="4">
        <v>5</v>
      </c>
      <c r="I469" s="4" t="s">
        <v>139</v>
      </c>
      <c r="J469" s="4" t="s">
        <v>189</v>
      </c>
      <c r="K469" s="4" t="s">
        <v>143</v>
      </c>
      <c r="L469" s="4" t="s">
        <v>4176</v>
      </c>
      <c r="M469" s="4" t="s">
        <v>176</v>
      </c>
      <c r="N469" s="4" t="s">
        <v>159</v>
      </c>
      <c r="O469" s="4" t="s">
        <v>126</v>
      </c>
      <c r="P469" s="4" t="s">
        <v>601</v>
      </c>
    </row>
    <row r="470" spans="1:16" ht="15">
      <c r="A470" s="4" t="s">
        <v>1126</v>
      </c>
      <c r="B470" s="30">
        <v>39994</v>
      </c>
      <c r="C470" s="4"/>
      <c r="D470" s="4" t="s">
        <v>196</v>
      </c>
      <c r="E470" s="4" t="s">
        <v>170</v>
      </c>
      <c r="F470" s="4" t="s">
        <v>155</v>
      </c>
      <c r="G470" s="4"/>
      <c r="H470" s="4">
        <v>5</v>
      </c>
      <c r="I470" s="4" t="s">
        <v>139</v>
      </c>
      <c r="J470" s="4" t="s">
        <v>189</v>
      </c>
      <c r="K470" s="4" t="s">
        <v>143</v>
      </c>
      <c r="L470" s="4" t="s">
        <v>162</v>
      </c>
      <c r="M470" s="4" t="s">
        <v>176</v>
      </c>
      <c r="N470" s="4" t="s">
        <v>155</v>
      </c>
      <c r="O470" s="4" t="s">
        <v>130</v>
      </c>
      <c r="P470" s="4"/>
    </row>
    <row r="471" spans="1:16" ht="15">
      <c r="A471" s="4" t="s">
        <v>1127</v>
      </c>
      <c r="B471" s="30">
        <v>39993</v>
      </c>
      <c r="C471" s="4" t="s">
        <v>380</v>
      </c>
      <c r="D471" s="4" t="s">
        <v>193</v>
      </c>
      <c r="E471" s="4" t="s">
        <v>170</v>
      </c>
      <c r="F471" s="4" t="s">
        <v>155</v>
      </c>
      <c r="G471" s="4"/>
      <c r="H471" s="4">
        <v>2</v>
      </c>
      <c r="I471" s="4" t="s">
        <v>140</v>
      </c>
      <c r="J471" s="4" t="s">
        <v>576</v>
      </c>
      <c r="K471" s="4" t="s">
        <v>145</v>
      </c>
      <c r="L471" s="4" t="s">
        <v>162</v>
      </c>
      <c r="M471" s="4" t="s">
        <v>459</v>
      </c>
      <c r="N471" s="4" t="s">
        <v>155</v>
      </c>
      <c r="O471" s="4" t="s">
        <v>129</v>
      </c>
      <c r="P471" s="4"/>
    </row>
    <row r="472" spans="1:16" ht="15">
      <c r="A472" s="4" t="s">
        <v>1128</v>
      </c>
      <c r="B472" s="30">
        <v>39967</v>
      </c>
      <c r="C472" s="4"/>
      <c r="D472" s="4" t="s">
        <v>195</v>
      </c>
      <c r="E472" s="4" t="s">
        <v>170</v>
      </c>
      <c r="F472" s="4" t="s">
        <v>155</v>
      </c>
      <c r="G472" s="4"/>
      <c r="H472" s="4"/>
      <c r="I472" s="4" t="s">
        <v>139</v>
      </c>
      <c r="J472" s="4" t="s">
        <v>391</v>
      </c>
      <c r="K472" s="4" t="s">
        <v>144</v>
      </c>
      <c r="L472" s="4" t="s">
        <v>4176</v>
      </c>
      <c r="M472" s="4" t="s">
        <v>174</v>
      </c>
      <c r="N472" s="4" t="s">
        <v>157</v>
      </c>
      <c r="O472" s="4" t="s">
        <v>130</v>
      </c>
      <c r="P472" s="4" t="s">
        <v>423</v>
      </c>
    </row>
    <row r="473" spans="1:16" ht="15">
      <c r="A473" s="4" t="s">
        <v>1129</v>
      </c>
      <c r="B473" s="30">
        <v>39947</v>
      </c>
      <c r="C473" s="4"/>
      <c r="D473" s="4" t="s">
        <v>195</v>
      </c>
      <c r="E473" s="4" t="s">
        <v>170</v>
      </c>
      <c r="F473" s="4" t="s">
        <v>155</v>
      </c>
      <c r="G473" s="4"/>
      <c r="H473" s="4"/>
      <c r="I473" s="4" t="s">
        <v>139</v>
      </c>
      <c r="J473" s="4" t="s">
        <v>391</v>
      </c>
      <c r="K473" s="4" t="s">
        <v>143</v>
      </c>
      <c r="L473" s="4" t="s">
        <v>165</v>
      </c>
      <c r="M473" s="4" t="s">
        <v>1130</v>
      </c>
      <c r="N473" s="4" t="s">
        <v>158</v>
      </c>
      <c r="O473" s="4" t="s">
        <v>122</v>
      </c>
      <c r="P473" s="4"/>
    </row>
    <row r="474" spans="1:16" ht="15">
      <c r="A474" s="4" t="s">
        <v>1131</v>
      </c>
      <c r="B474" s="30">
        <v>40035</v>
      </c>
      <c r="C474" s="4"/>
      <c r="D474" s="4" t="s">
        <v>197</v>
      </c>
      <c r="E474" s="4" t="s">
        <v>170</v>
      </c>
      <c r="F474" s="4" t="s">
        <v>155</v>
      </c>
      <c r="G474" s="4">
        <v>5</v>
      </c>
      <c r="H474" s="4">
        <v>2</v>
      </c>
      <c r="I474" s="4" t="s">
        <v>139</v>
      </c>
      <c r="J474" s="4" t="s">
        <v>191</v>
      </c>
      <c r="K474" s="4" t="s">
        <v>145</v>
      </c>
      <c r="L474" s="4" t="s">
        <v>4176</v>
      </c>
      <c r="M474" s="4" t="s">
        <v>174</v>
      </c>
      <c r="N474" s="4" t="s">
        <v>156</v>
      </c>
      <c r="O474" s="4" t="s">
        <v>120</v>
      </c>
      <c r="P474" s="4" t="s">
        <v>827</v>
      </c>
    </row>
    <row r="475" spans="1:16" ht="15">
      <c r="A475" s="4" t="s">
        <v>1132</v>
      </c>
      <c r="B475" s="30">
        <v>39959</v>
      </c>
      <c r="C475" s="4"/>
      <c r="D475" s="4" t="s">
        <v>195</v>
      </c>
      <c r="E475" s="4" t="s">
        <v>170</v>
      </c>
      <c r="F475" s="4" t="s">
        <v>155</v>
      </c>
      <c r="G475" s="4"/>
      <c r="H475" s="4"/>
      <c r="I475" s="4" t="s">
        <v>139</v>
      </c>
      <c r="J475" s="4" t="s">
        <v>178</v>
      </c>
      <c r="K475" s="4" t="s">
        <v>149</v>
      </c>
      <c r="L475" s="4" t="s">
        <v>4181</v>
      </c>
      <c r="M475" s="4" t="s">
        <v>173</v>
      </c>
      <c r="N475" s="4" t="s">
        <v>155</v>
      </c>
      <c r="O475" s="4" t="s">
        <v>1133</v>
      </c>
      <c r="P475" s="4"/>
    </row>
    <row r="476" spans="1:16" ht="15">
      <c r="A476" s="4" t="s">
        <v>1134</v>
      </c>
      <c r="B476" s="30">
        <v>40082</v>
      </c>
      <c r="C476" s="4"/>
      <c r="D476" s="4" t="s">
        <v>193</v>
      </c>
      <c r="E476" s="4" t="s">
        <v>170</v>
      </c>
      <c r="F476" s="4" t="s">
        <v>155</v>
      </c>
      <c r="G476" s="4">
        <v>3</v>
      </c>
      <c r="H476" s="4">
        <v>3</v>
      </c>
      <c r="I476" s="4" t="s">
        <v>140</v>
      </c>
      <c r="J476" s="4" t="s">
        <v>185</v>
      </c>
      <c r="K476" s="4" t="s">
        <v>144</v>
      </c>
      <c r="L476" s="4" t="s">
        <v>4181</v>
      </c>
      <c r="M476" s="4" t="s">
        <v>173</v>
      </c>
      <c r="N476" s="4" t="s">
        <v>155</v>
      </c>
      <c r="O476" s="4" t="s">
        <v>128</v>
      </c>
      <c r="P476" s="4"/>
    </row>
    <row r="477" spans="1:16" ht="15">
      <c r="A477" s="4" t="s">
        <v>1135</v>
      </c>
      <c r="B477" s="30">
        <v>39939</v>
      </c>
      <c r="C477" s="4"/>
      <c r="D477" s="4" t="s">
        <v>4180</v>
      </c>
      <c r="E477" s="4" t="s">
        <v>170</v>
      </c>
      <c r="F477" s="4" t="s">
        <v>155</v>
      </c>
      <c r="G477" s="4"/>
      <c r="H477" s="4"/>
      <c r="I477" s="4" t="s">
        <v>139</v>
      </c>
      <c r="J477" s="4" t="s">
        <v>179</v>
      </c>
      <c r="K477" s="4" t="s">
        <v>147</v>
      </c>
      <c r="L477" s="4" t="s">
        <v>4181</v>
      </c>
      <c r="M477" s="4" t="s">
        <v>173</v>
      </c>
      <c r="N477" s="4" t="s">
        <v>155</v>
      </c>
      <c r="O477" s="4" t="s">
        <v>434</v>
      </c>
      <c r="P477" s="4"/>
    </row>
    <row r="478" spans="1:16" ht="15">
      <c r="A478" s="4" t="s">
        <v>1136</v>
      </c>
      <c r="B478" s="30">
        <v>39988</v>
      </c>
      <c r="C478" s="4"/>
      <c r="D478" s="4" t="s">
        <v>195</v>
      </c>
      <c r="E478" s="4" t="s">
        <v>170</v>
      </c>
      <c r="F478" s="4" t="s">
        <v>155</v>
      </c>
      <c r="G478" s="4"/>
      <c r="H478" s="4"/>
      <c r="I478" s="4" t="s">
        <v>139</v>
      </c>
      <c r="J478" s="4" t="s">
        <v>188</v>
      </c>
      <c r="K478" s="4" t="s">
        <v>149</v>
      </c>
      <c r="L478" s="4" t="s">
        <v>162</v>
      </c>
      <c r="M478" s="4" t="s">
        <v>459</v>
      </c>
      <c r="N478" s="4" t="s">
        <v>155</v>
      </c>
      <c r="O478" s="4" t="s">
        <v>129</v>
      </c>
      <c r="P478" s="4"/>
    </row>
    <row r="479" spans="1:16" ht="15">
      <c r="A479" s="4" t="s">
        <v>1137</v>
      </c>
      <c r="B479" s="30">
        <v>40029</v>
      </c>
      <c r="C479" s="4" t="s">
        <v>9</v>
      </c>
      <c r="D479" s="4" t="s">
        <v>193</v>
      </c>
      <c r="E479" s="4" t="s">
        <v>170</v>
      </c>
      <c r="F479" s="4" t="s">
        <v>155</v>
      </c>
      <c r="G479" s="4">
        <v>3</v>
      </c>
      <c r="H479" s="4">
        <v>2</v>
      </c>
      <c r="I479" s="4" t="s">
        <v>140</v>
      </c>
      <c r="J479" s="4" t="s">
        <v>187</v>
      </c>
      <c r="K479" s="4" t="s">
        <v>148</v>
      </c>
      <c r="L479" s="4" t="s">
        <v>4176</v>
      </c>
      <c r="M479" s="4" t="s">
        <v>174</v>
      </c>
      <c r="N479" s="4" t="s">
        <v>156</v>
      </c>
      <c r="O479" s="4" t="s">
        <v>120</v>
      </c>
      <c r="P479" s="4" t="s">
        <v>1138</v>
      </c>
    </row>
    <row r="480" spans="1:16" ht="15">
      <c r="A480" s="4" t="s">
        <v>1139</v>
      </c>
      <c r="B480" s="30">
        <v>39914</v>
      </c>
      <c r="C480" s="4"/>
      <c r="D480" s="4" t="s">
        <v>4182</v>
      </c>
      <c r="E480" s="4" t="s">
        <v>170</v>
      </c>
      <c r="F480" s="4" t="s">
        <v>155</v>
      </c>
      <c r="G480" s="4"/>
      <c r="H480" s="4"/>
      <c r="I480" s="4" t="s">
        <v>139</v>
      </c>
      <c r="J480" s="4" t="s">
        <v>603</v>
      </c>
      <c r="K480" s="4" t="s">
        <v>147</v>
      </c>
      <c r="L480" s="4" t="s">
        <v>4181</v>
      </c>
      <c r="M480" s="4" t="s">
        <v>173</v>
      </c>
      <c r="N480" s="4" t="s">
        <v>155</v>
      </c>
      <c r="O480" s="4" t="s">
        <v>406</v>
      </c>
      <c r="P480" s="4"/>
    </row>
    <row r="481" spans="1:16" ht="15">
      <c r="A481" s="4" t="s">
        <v>1140</v>
      </c>
      <c r="B481" s="30">
        <v>40011</v>
      </c>
      <c r="C481" s="4"/>
      <c r="D481" s="4" t="s">
        <v>193</v>
      </c>
      <c r="E481" s="4" t="s">
        <v>170</v>
      </c>
      <c r="F481" s="4" t="s">
        <v>155</v>
      </c>
      <c r="G481" s="4">
        <v>5</v>
      </c>
      <c r="H481" s="4">
        <v>5</v>
      </c>
      <c r="I481" s="4" t="s">
        <v>140</v>
      </c>
      <c r="J481" s="4" t="s">
        <v>187</v>
      </c>
      <c r="K481" s="4" t="s">
        <v>142</v>
      </c>
      <c r="L481" s="4" t="s">
        <v>4176</v>
      </c>
      <c r="M481" s="4" t="s">
        <v>174</v>
      </c>
      <c r="N481" s="4" t="s">
        <v>156</v>
      </c>
      <c r="O481" s="4" t="s">
        <v>120</v>
      </c>
      <c r="P481" s="4" t="s">
        <v>1141</v>
      </c>
    </row>
    <row r="482" spans="1:16" ht="15">
      <c r="A482" s="4" t="s">
        <v>1142</v>
      </c>
      <c r="B482" s="30">
        <v>39969</v>
      </c>
      <c r="C482" s="4" t="s">
        <v>380</v>
      </c>
      <c r="D482" s="4" t="s">
        <v>195</v>
      </c>
      <c r="E482" s="4" t="s">
        <v>170</v>
      </c>
      <c r="F482" s="4" t="s">
        <v>155</v>
      </c>
      <c r="G482" s="4"/>
      <c r="H482" s="4"/>
      <c r="I482" s="4" t="s">
        <v>139</v>
      </c>
      <c r="J482" s="4" t="s">
        <v>187</v>
      </c>
      <c r="K482" s="4" t="s">
        <v>149</v>
      </c>
      <c r="L482" s="4" t="s">
        <v>162</v>
      </c>
      <c r="M482" s="4" t="s">
        <v>175</v>
      </c>
      <c r="N482" s="4" t="s">
        <v>155</v>
      </c>
      <c r="O482" s="4" t="s">
        <v>130</v>
      </c>
      <c r="P482" s="4"/>
    </row>
    <row r="483" spans="1:16" ht="15">
      <c r="A483" s="4" t="s">
        <v>1143</v>
      </c>
      <c r="B483" s="30">
        <v>40019</v>
      </c>
      <c r="C483" s="4"/>
      <c r="D483" s="4" t="s">
        <v>197</v>
      </c>
      <c r="E483" s="4" t="s">
        <v>170</v>
      </c>
      <c r="F483" s="4" t="s">
        <v>155</v>
      </c>
      <c r="G483" s="4">
        <v>1</v>
      </c>
      <c r="H483" s="4">
        <v>3</v>
      </c>
      <c r="I483" s="4" t="s">
        <v>139</v>
      </c>
      <c r="J483" s="4" t="s">
        <v>384</v>
      </c>
      <c r="K483" s="4" t="s">
        <v>145</v>
      </c>
      <c r="L483" s="4" t="s">
        <v>162</v>
      </c>
      <c r="M483" s="4"/>
      <c r="N483" s="4" t="s">
        <v>155</v>
      </c>
      <c r="O483" s="4" t="s">
        <v>130</v>
      </c>
      <c r="P483" s="4"/>
    </row>
    <row r="484" spans="1:16" ht="15">
      <c r="A484" s="4" t="s">
        <v>1144</v>
      </c>
      <c r="B484" s="30">
        <v>39975</v>
      </c>
      <c r="C484" s="4"/>
      <c r="D484" s="4" t="s">
        <v>195</v>
      </c>
      <c r="E484" s="4" t="s">
        <v>170</v>
      </c>
      <c r="F484" s="4" t="s">
        <v>155</v>
      </c>
      <c r="G484" s="4"/>
      <c r="H484" s="4"/>
      <c r="I484" s="4" t="s">
        <v>139</v>
      </c>
      <c r="J484" s="4" t="s">
        <v>179</v>
      </c>
      <c r="K484" s="4" t="s">
        <v>150</v>
      </c>
      <c r="L484" s="4" t="s">
        <v>162</v>
      </c>
      <c r="M484" s="4" t="s">
        <v>567</v>
      </c>
      <c r="N484" s="4" t="s">
        <v>155</v>
      </c>
      <c r="O484" s="4" t="s">
        <v>130</v>
      </c>
      <c r="P484" s="4"/>
    </row>
    <row r="485" spans="1:16" ht="15">
      <c r="A485" s="4" t="s">
        <v>1145</v>
      </c>
      <c r="B485" s="30">
        <v>39980</v>
      </c>
      <c r="C485" s="4" t="s">
        <v>9</v>
      </c>
      <c r="D485" s="4" t="s">
        <v>194</v>
      </c>
      <c r="E485" s="4" t="s">
        <v>170</v>
      </c>
      <c r="F485" s="4" t="s">
        <v>155</v>
      </c>
      <c r="G485" s="4"/>
      <c r="H485" s="4"/>
      <c r="I485" s="4" t="s">
        <v>139</v>
      </c>
      <c r="J485" s="4" t="s">
        <v>182</v>
      </c>
      <c r="K485" s="4" t="s">
        <v>146</v>
      </c>
      <c r="L485" s="4" t="s">
        <v>4181</v>
      </c>
      <c r="M485" s="4" t="s">
        <v>173</v>
      </c>
      <c r="N485" s="4" t="s">
        <v>155</v>
      </c>
      <c r="O485" s="4" t="s">
        <v>454</v>
      </c>
      <c r="P485" s="4"/>
    </row>
    <row r="486" spans="1:16" ht="15">
      <c r="A486" s="4" t="s">
        <v>1146</v>
      </c>
      <c r="B486" s="30">
        <v>39979</v>
      </c>
      <c r="C486" s="4"/>
      <c r="D486" s="4" t="s">
        <v>193</v>
      </c>
      <c r="E486" s="4" t="s">
        <v>170</v>
      </c>
      <c r="F486" s="4" t="s">
        <v>155</v>
      </c>
      <c r="G486" s="4"/>
      <c r="H486" s="4"/>
      <c r="I486" s="4" t="s">
        <v>140</v>
      </c>
      <c r="J486" s="4" t="s">
        <v>187</v>
      </c>
      <c r="K486" s="4" t="s">
        <v>143</v>
      </c>
      <c r="L486" s="4" t="s">
        <v>4176</v>
      </c>
      <c r="M486" s="4" t="s">
        <v>597</v>
      </c>
      <c r="N486" s="4" t="s">
        <v>160</v>
      </c>
      <c r="O486" s="4" t="s">
        <v>726</v>
      </c>
      <c r="P486" s="4" t="s">
        <v>1147</v>
      </c>
    </row>
    <row r="487" spans="1:16" ht="15">
      <c r="A487" s="4" t="s">
        <v>1148</v>
      </c>
      <c r="B487" s="30">
        <v>39981</v>
      </c>
      <c r="C487" s="4" t="s">
        <v>383</v>
      </c>
      <c r="D487" s="4" t="s">
        <v>196</v>
      </c>
      <c r="E487" s="4" t="s">
        <v>170</v>
      </c>
      <c r="F487" s="4" t="s">
        <v>155</v>
      </c>
      <c r="G487" s="4"/>
      <c r="H487" s="4"/>
      <c r="I487" s="4" t="s">
        <v>139</v>
      </c>
      <c r="J487" s="4" t="s">
        <v>184</v>
      </c>
      <c r="K487" s="4" t="s">
        <v>144</v>
      </c>
      <c r="L487" s="4" t="s">
        <v>4176</v>
      </c>
      <c r="M487" s="4" t="s">
        <v>1149</v>
      </c>
      <c r="N487" s="4" t="s">
        <v>157</v>
      </c>
      <c r="O487" s="4" t="s">
        <v>130</v>
      </c>
      <c r="P487" s="4" t="s">
        <v>437</v>
      </c>
    </row>
    <row r="488" spans="1:16" ht="15">
      <c r="A488" s="4" t="s">
        <v>1150</v>
      </c>
      <c r="B488" s="30">
        <v>40047</v>
      </c>
      <c r="C488" s="4"/>
      <c r="D488" s="4" t="s">
        <v>193</v>
      </c>
      <c r="E488" s="4" t="s">
        <v>170</v>
      </c>
      <c r="F488" s="4" t="s">
        <v>155</v>
      </c>
      <c r="G488" s="4">
        <v>5</v>
      </c>
      <c r="H488" s="4">
        <v>5</v>
      </c>
      <c r="I488" s="4" t="s">
        <v>140</v>
      </c>
      <c r="J488" s="4" t="s">
        <v>181</v>
      </c>
      <c r="K488" s="4" t="s">
        <v>145</v>
      </c>
      <c r="L488" s="4" t="s">
        <v>4181</v>
      </c>
      <c r="M488" s="4" t="s">
        <v>173</v>
      </c>
      <c r="N488" s="4" t="s">
        <v>155</v>
      </c>
      <c r="O488" s="4" t="s">
        <v>128</v>
      </c>
      <c r="P488" s="4"/>
    </row>
    <row r="489" spans="1:16" ht="15">
      <c r="A489" s="4" t="s">
        <v>1151</v>
      </c>
      <c r="B489" s="30">
        <v>40050</v>
      </c>
      <c r="C489" s="4"/>
      <c r="D489" s="4" t="s">
        <v>196</v>
      </c>
      <c r="E489" s="4" t="s">
        <v>170</v>
      </c>
      <c r="F489" s="4" t="s">
        <v>155</v>
      </c>
      <c r="G489" s="4">
        <v>3</v>
      </c>
      <c r="H489" s="4">
        <v>3</v>
      </c>
      <c r="I489" s="4" t="s">
        <v>139</v>
      </c>
      <c r="J489" s="4" t="s">
        <v>179</v>
      </c>
      <c r="K489" s="4" t="s">
        <v>142</v>
      </c>
      <c r="L489" s="4" t="s">
        <v>4176</v>
      </c>
      <c r="M489" s="4"/>
      <c r="N489" s="4" t="s">
        <v>160</v>
      </c>
      <c r="O489" s="4" t="s">
        <v>126</v>
      </c>
      <c r="P489" s="4" t="s">
        <v>551</v>
      </c>
    </row>
    <row r="490" spans="1:16" ht="15">
      <c r="A490" s="4" t="s">
        <v>1152</v>
      </c>
      <c r="B490" s="30">
        <v>39915</v>
      </c>
      <c r="C490" s="4"/>
      <c r="D490" s="4" t="s">
        <v>4177</v>
      </c>
      <c r="E490" s="4" t="s">
        <v>170</v>
      </c>
      <c r="F490" s="4" t="s">
        <v>155</v>
      </c>
      <c r="G490" s="4"/>
      <c r="H490" s="4"/>
      <c r="I490" s="4" t="s">
        <v>139</v>
      </c>
      <c r="J490" s="4" t="s">
        <v>186</v>
      </c>
      <c r="K490" s="4" t="s">
        <v>148</v>
      </c>
      <c r="L490" s="4" t="s">
        <v>4181</v>
      </c>
      <c r="M490" s="4"/>
      <c r="N490" s="4" t="s">
        <v>155</v>
      </c>
      <c r="O490" s="4" t="s">
        <v>387</v>
      </c>
      <c r="P490" s="4"/>
    </row>
    <row r="491" spans="1:16" ht="15">
      <c r="A491" s="4" t="s">
        <v>1153</v>
      </c>
      <c r="B491" s="30">
        <v>39935</v>
      </c>
      <c r="C491" s="4"/>
      <c r="D491" s="4" t="s">
        <v>4177</v>
      </c>
      <c r="E491" s="4" t="s">
        <v>170</v>
      </c>
      <c r="F491" s="4" t="s">
        <v>155</v>
      </c>
      <c r="G491" s="4"/>
      <c r="H491" s="4"/>
      <c r="I491" s="4" t="s">
        <v>139</v>
      </c>
      <c r="J491" s="4" t="s">
        <v>187</v>
      </c>
      <c r="K491" s="4" t="s">
        <v>147</v>
      </c>
      <c r="L491" s="4" t="s">
        <v>4181</v>
      </c>
      <c r="M491" s="4" t="s">
        <v>1154</v>
      </c>
      <c r="N491" s="4" t="s">
        <v>155</v>
      </c>
      <c r="O491" s="4" t="s">
        <v>125</v>
      </c>
      <c r="P491" s="4"/>
    </row>
    <row r="492" spans="1:16" ht="15">
      <c r="A492" s="4" t="s">
        <v>1155</v>
      </c>
      <c r="B492" s="30">
        <v>39964</v>
      </c>
      <c r="C492" s="4"/>
      <c r="D492" s="4" t="s">
        <v>193</v>
      </c>
      <c r="E492" s="4" t="s">
        <v>170</v>
      </c>
      <c r="F492" s="4" t="s">
        <v>155</v>
      </c>
      <c r="G492" s="4"/>
      <c r="H492" s="4"/>
      <c r="I492" s="4" t="s">
        <v>140</v>
      </c>
      <c r="J492" s="4" t="s">
        <v>413</v>
      </c>
      <c r="K492" s="4" t="s">
        <v>142</v>
      </c>
      <c r="L492" s="4" t="s">
        <v>4181</v>
      </c>
      <c r="M492" s="4" t="s">
        <v>173</v>
      </c>
      <c r="N492" s="4" t="s">
        <v>155</v>
      </c>
      <c r="O492" s="4" t="s">
        <v>454</v>
      </c>
      <c r="P492" s="4"/>
    </row>
    <row r="493" spans="1:16" ht="15">
      <c r="A493" s="4" t="s">
        <v>1156</v>
      </c>
      <c r="B493" s="30">
        <v>39916</v>
      </c>
      <c r="C493" s="4" t="s">
        <v>9</v>
      </c>
      <c r="D493" s="4" t="s">
        <v>4178</v>
      </c>
      <c r="E493" s="4" t="s">
        <v>170</v>
      </c>
      <c r="F493" s="4" t="s">
        <v>155</v>
      </c>
      <c r="G493" s="4"/>
      <c r="H493" s="4"/>
      <c r="I493" s="4" t="s">
        <v>139</v>
      </c>
      <c r="J493" s="4" t="s">
        <v>413</v>
      </c>
      <c r="K493" s="4" t="s">
        <v>148</v>
      </c>
      <c r="L493" s="4" t="s">
        <v>4181</v>
      </c>
      <c r="M493" s="4" t="s">
        <v>173</v>
      </c>
      <c r="N493" s="4" t="s">
        <v>161</v>
      </c>
      <c r="O493" s="4" t="s">
        <v>465</v>
      </c>
      <c r="P493" s="4"/>
    </row>
    <row r="494" spans="1:16" ht="15">
      <c r="A494" s="4" t="s">
        <v>1157</v>
      </c>
      <c r="B494" s="30">
        <v>39963</v>
      </c>
      <c r="C494" s="4"/>
      <c r="D494" s="4" t="s">
        <v>193</v>
      </c>
      <c r="E494" s="4" t="s">
        <v>170</v>
      </c>
      <c r="F494" s="4" t="s">
        <v>155</v>
      </c>
      <c r="G494" s="4"/>
      <c r="H494" s="4"/>
      <c r="I494" s="4" t="s">
        <v>140</v>
      </c>
      <c r="J494" s="4" t="s">
        <v>179</v>
      </c>
      <c r="K494" s="4" t="s">
        <v>144</v>
      </c>
      <c r="L494" s="4" t="s">
        <v>4181</v>
      </c>
      <c r="M494" s="4" t="s">
        <v>173</v>
      </c>
      <c r="N494" s="4" t="s">
        <v>155</v>
      </c>
      <c r="O494" s="4" t="s">
        <v>962</v>
      </c>
      <c r="P494" s="4"/>
    </row>
    <row r="495" spans="1:16" ht="15">
      <c r="A495" s="4" t="s">
        <v>1158</v>
      </c>
      <c r="B495" s="30">
        <v>39972</v>
      </c>
      <c r="C495" s="4"/>
      <c r="D495" s="4" t="s">
        <v>195</v>
      </c>
      <c r="E495" s="4" t="s">
        <v>170</v>
      </c>
      <c r="F495" s="4" t="s">
        <v>155</v>
      </c>
      <c r="G495" s="4"/>
      <c r="H495" s="4"/>
      <c r="I495" s="4" t="s">
        <v>139</v>
      </c>
      <c r="J495" s="4" t="s">
        <v>183</v>
      </c>
      <c r="K495" s="4" t="s">
        <v>143</v>
      </c>
      <c r="L495" s="4" t="s">
        <v>4181</v>
      </c>
      <c r="M495" s="4" t="s">
        <v>1159</v>
      </c>
      <c r="N495" s="4" t="s">
        <v>155</v>
      </c>
      <c r="O495" s="4" t="s">
        <v>129</v>
      </c>
      <c r="P495" s="4"/>
    </row>
    <row r="496" spans="1:16" ht="15">
      <c r="A496" s="4" t="s">
        <v>1160</v>
      </c>
      <c r="B496" s="30">
        <v>39982</v>
      </c>
      <c r="C496" s="4" t="s">
        <v>383</v>
      </c>
      <c r="D496" s="4" t="s">
        <v>193</v>
      </c>
      <c r="E496" s="4" t="s">
        <v>170</v>
      </c>
      <c r="F496" s="4" t="s">
        <v>155</v>
      </c>
      <c r="G496" s="4"/>
      <c r="H496" s="4"/>
      <c r="I496" s="4" t="s">
        <v>140</v>
      </c>
      <c r="J496" s="4" t="s">
        <v>433</v>
      </c>
      <c r="K496" s="4" t="s">
        <v>142</v>
      </c>
      <c r="L496" s="4" t="s">
        <v>4181</v>
      </c>
      <c r="M496" s="4"/>
      <c r="N496" s="4" t="s">
        <v>155</v>
      </c>
      <c r="O496" s="4" t="s">
        <v>130</v>
      </c>
      <c r="P496" s="4"/>
    </row>
    <row r="497" spans="1:16" ht="15">
      <c r="A497" s="4" t="s">
        <v>1161</v>
      </c>
      <c r="B497" s="30">
        <v>39944</v>
      </c>
      <c r="C497" s="4" t="s">
        <v>9</v>
      </c>
      <c r="D497" s="4" t="s">
        <v>194</v>
      </c>
      <c r="E497" s="4" t="s">
        <v>170</v>
      </c>
      <c r="F497" s="4" t="s">
        <v>155</v>
      </c>
      <c r="G497" s="4"/>
      <c r="H497" s="4"/>
      <c r="I497" s="4" t="s">
        <v>139</v>
      </c>
      <c r="J497" s="4" t="s">
        <v>178</v>
      </c>
      <c r="K497" s="4" t="s">
        <v>142</v>
      </c>
      <c r="L497" s="4" t="s">
        <v>4181</v>
      </c>
      <c r="M497" s="4" t="s">
        <v>173</v>
      </c>
      <c r="N497" s="4" t="s">
        <v>155</v>
      </c>
      <c r="O497" s="4" t="s">
        <v>124</v>
      </c>
      <c r="P497" s="4"/>
    </row>
    <row r="498" spans="1:16" ht="15">
      <c r="A498" s="4" t="s">
        <v>1162</v>
      </c>
      <c r="B498" s="30">
        <v>39978</v>
      </c>
      <c r="C498" s="4"/>
      <c r="D498" s="4" t="s">
        <v>194</v>
      </c>
      <c r="E498" s="4" t="s">
        <v>170</v>
      </c>
      <c r="F498" s="4" t="s">
        <v>155</v>
      </c>
      <c r="G498" s="4"/>
      <c r="H498" s="4"/>
      <c r="I498" s="4" t="s">
        <v>139</v>
      </c>
      <c r="J498" s="4" t="s">
        <v>937</v>
      </c>
      <c r="K498" s="4" t="s">
        <v>143</v>
      </c>
      <c r="L498" s="4" t="s">
        <v>4181</v>
      </c>
      <c r="M498" s="4" t="s">
        <v>173</v>
      </c>
      <c r="N498" s="4" t="s">
        <v>155</v>
      </c>
      <c r="O498" s="4" t="s">
        <v>387</v>
      </c>
      <c r="P498" s="4"/>
    </row>
    <row r="499" spans="1:16" ht="15">
      <c r="A499" s="4" t="s">
        <v>1163</v>
      </c>
      <c r="B499" s="30">
        <v>40024</v>
      </c>
      <c r="C499" s="4"/>
      <c r="D499" s="4" t="s">
        <v>193</v>
      </c>
      <c r="E499" s="4" t="s">
        <v>170</v>
      </c>
      <c r="F499" s="4" t="s">
        <v>155</v>
      </c>
      <c r="G499" s="4">
        <v>5</v>
      </c>
      <c r="H499" s="4">
        <v>3</v>
      </c>
      <c r="I499" s="4" t="s">
        <v>140</v>
      </c>
      <c r="J499" s="4" t="s">
        <v>810</v>
      </c>
      <c r="K499" s="4" t="s">
        <v>145</v>
      </c>
      <c r="L499" s="4" t="s">
        <v>162</v>
      </c>
      <c r="M499" s="4" t="s">
        <v>175</v>
      </c>
      <c r="N499" s="4" t="s">
        <v>155</v>
      </c>
      <c r="O499" s="4" t="s">
        <v>129</v>
      </c>
      <c r="P499" s="4"/>
    </row>
    <row r="500" spans="1:16" ht="15">
      <c r="A500" s="4" t="s">
        <v>1164</v>
      </c>
      <c r="B500" s="30">
        <v>40009</v>
      </c>
      <c r="C500" s="4"/>
      <c r="D500" s="4" t="s">
        <v>193</v>
      </c>
      <c r="E500" s="4" t="s">
        <v>170</v>
      </c>
      <c r="F500" s="4" t="s">
        <v>155</v>
      </c>
      <c r="G500" s="4">
        <v>5</v>
      </c>
      <c r="H500" s="4">
        <v>3</v>
      </c>
      <c r="I500" s="4" t="s">
        <v>140</v>
      </c>
      <c r="J500" s="4" t="s">
        <v>184</v>
      </c>
      <c r="K500" s="4" t="s">
        <v>142</v>
      </c>
      <c r="L500" s="4" t="s">
        <v>162</v>
      </c>
      <c r="M500" s="4" t="s">
        <v>175</v>
      </c>
      <c r="N500" s="4" t="s">
        <v>155</v>
      </c>
      <c r="O500" s="4" t="s">
        <v>129</v>
      </c>
      <c r="P500" s="4"/>
    </row>
    <row r="501" spans="1:16" ht="15">
      <c r="A501" s="4" t="s">
        <v>1165</v>
      </c>
      <c r="B501" s="30">
        <v>40034</v>
      </c>
      <c r="C501" s="4"/>
      <c r="D501" s="4" t="s">
        <v>193</v>
      </c>
      <c r="E501" s="4" t="s">
        <v>170</v>
      </c>
      <c r="F501" s="4" t="s">
        <v>155</v>
      </c>
      <c r="G501" s="4">
        <v>5</v>
      </c>
      <c r="H501" s="4">
        <v>2</v>
      </c>
      <c r="I501" s="4" t="s">
        <v>140</v>
      </c>
      <c r="J501" s="4" t="s">
        <v>181</v>
      </c>
      <c r="K501" s="4" t="s">
        <v>146</v>
      </c>
      <c r="L501" s="4" t="s">
        <v>4176</v>
      </c>
      <c r="M501" s="4" t="s">
        <v>659</v>
      </c>
      <c r="N501" s="4" t="s">
        <v>157</v>
      </c>
      <c r="O501" s="4" t="s">
        <v>501</v>
      </c>
      <c r="P501" s="4" t="s">
        <v>881</v>
      </c>
    </row>
    <row r="502" spans="1:16" ht="15">
      <c r="A502" s="4" t="s">
        <v>1166</v>
      </c>
      <c r="B502" s="30">
        <v>39916</v>
      </c>
      <c r="C502" s="4"/>
      <c r="D502" s="4" t="s">
        <v>4184</v>
      </c>
      <c r="E502" s="4" t="s">
        <v>170</v>
      </c>
      <c r="F502" s="4" t="s">
        <v>155</v>
      </c>
      <c r="G502" s="4"/>
      <c r="H502" s="4"/>
      <c r="I502" s="4" t="s">
        <v>140</v>
      </c>
      <c r="J502" s="4" t="s">
        <v>188</v>
      </c>
      <c r="K502" s="4" t="s">
        <v>142</v>
      </c>
      <c r="L502" s="4" t="s">
        <v>4181</v>
      </c>
      <c r="M502" s="4"/>
      <c r="N502" s="4" t="s">
        <v>155</v>
      </c>
      <c r="O502" s="4" t="s">
        <v>127</v>
      </c>
      <c r="P502" s="4"/>
    </row>
    <row r="503" spans="1:16" ht="15">
      <c r="A503" s="4" t="s">
        <v>1167</v>
      </c>
      <c r="B503" s="30">
        <v>40005</v>
      </c>
      <c r="C503" s="4"/>
      <c r="D503" s="4" t="s">
        <v>195</v>
      </c>
      <c r="E503" s="4" t="s">
        <v>170</v>
      </c>
      <c r="F503" s="4" t="s">
        <v>155</v>
      </c>
      <c r="G503" s="4">
        <v>4</v>
      </c>
      <c r="H503" s="4">
        <v>3</v>
      </c>
      <c r="I503" s="4" t="s">
        <v>139</v>
      </c>
      <c r="J503" s="4" t="s">
        <v>182</v>
      </c>
      <c r="K503" s="4" t="s">
        <v>144</v>
      </c>
      <c r="L503" s="4" t="s">
        <v>162</v>
      </c>
      <c r="M503" s="4" t="s">
        <v>1168</v>
      </c>
      <c r="N503" s="4" t="s">
        <v>155</v>
      </c>
      <c r="O503" s="4" t="s">
        <v>127</v>
      </c>
      <c r="P503" s="4"/>
    </row>
    <row r="504" spans="1:16" ht="15">
      <c r="A504" s="4" t="s">
        <v>1169</v>
      </c>
      <c r="B504" s="30">
        <v>39947</v>
      </c>
      <c r="C504" s="4" t="s">
        <v>9</v>
      </c>
      <c r="D504" s="4" t="s">
        <v>194</v>
      </c>
      <c r="E504" s="4" t="s">
        <v>170</v>
      </c>
      <c r="F504" s="4" t="s">
        <v>155</v>
      </c>
      <c r="G504" s="4"/>
      <c r="H504" s="4"/>
      <c r="I504" s="4" t="s">
        <v>139</v>
      </c>
      <c r="J504" s="4" t="s">
        <v>191</v>
      </c>
      <c r="K504" s="4" t="s">
        <v>148</v>
      </c>
      <c r="L504" s="4" t="s">
        <v>165</v>
      </c>
      <c r="M504" s="4"/>
      <c r="N504" s="4" t="s">
        <v>158</v>
      </c>
      <c r="O504" s="4" t="s">
        <v>122</v>
      </c>
      <c r="P504" s="4"/>
    </row>
    <row r="505" spans="1:16" ht="15">
      <c r="A505" s="4" t="s">
        <v>1170</v>
      </c>
      <c r="B505" s="30">
        <v>40075</v>
      </c>
      <c r="C505" s="4"/>
      <c r="D505" s="4" t="s">
        <v>193</v>
      </c>
      <c r="E505" s="4" t="s">
        <v>170</v>
      </c>
      <c r="F505" s="4" t="s">
        <v>155</v>
      </c>
      <c r="G505" s="4">
        <v>5</v>
      </c>
      <c r="H505" s="4">
        <v>5</v>
      </c>
      <c r="I505" s="4" t="s">
        <v>140</v>
      </c>
      <c r="J505" s="4" t="s">
        <v>189</v>
      </c>
      <c r="K505" s="4" t="s">
        <v>145</v>
      </c>
      <c r="L505" s="4" t="s">
        <v>4181</v>
      </c>
      <c r="M505" s="4" t="s">
        <v>173</v>
      </c>
      <c r="N505" s="4" t="s">
        <v>155</v>
      </c>
      <c r="O505" s="4" t="s">
        <v>454</v>
      </c>
      <c r="P505" s="4"/>
    </row>
    <row r="506" spans="1:16" ht="15">
      <c r="A506" s="4" t="s">
        <v>1171</v>
      </c>
      <c r="B506" s="30">
        <v>40035</v>
      </c>
      <c r="C506" s="4"/>
      <c r="D506" s="4" t="s">
        <v>196</v>
      </c>
      <c r="E506" s="4" t="s">
        <v>170</v>
      </c>
      <c r="F506" s="4" t="s">
        <v>155</v>
      </c>
      <c r="G506" s="4">
        <v>5</v>
      </c>
      <c r="H506" s="4">
        <v>4</v>
      </c>
      <c r="I506" s="4" t="s">
        <v>139</v>
      </c>
      <c r="J506" s="4" t="s">
        <v>184</v>
      </c>
      <c r="K506" s="4" t="s">
        <v>145</v>
      </c>
      <c r="L506" s="4" t="s">
        <v>162</v>
      </c>
      <c r="M506" s="4" t="s">
        <v>175</v>
      </c>
      <c r="N506" s="4" t="s">
        <v>155</v>
      </c>
      <c r="O506" s="4" t="s">
        <v>129</v>
      </c>
      <c r="P506" s="4"/>
    </row>
    <row r="507" spans="1:16" ht="15">
      <c r="A507" s="4" t="s">
        <v>1172</v>
      </c>
      <c r="B507" s="30">
        <v>40081</v>
      </c>
      <c r="C507" s="4"/>
      <c r="D507" s="4" t="s">
        <v>197</v>
      </c>
      <c r="E507" s="4" t="s">
        <v>170</v>
      </c>
      <c r="F507" s="4" t="s">
        <v>155</v>
      </c>
      <c r="G507" s="4">
        <v>5</v>
      </c>
      <c r="H507" s="4">
        <v>5</v>
      </c>
      <c r="I507" s="4" t="s">
        <v>139</v>
      </c>
      <c r="J507" s="4" t="s">
        <v>184</v>
      </c>
      <c r="K507" s="4" t="s">
        <v>143</v>
      </c>
      <c r="L507" s="4" t="s">
        <v>4181</v>
      </c>
      <c r="M507" s="4" t="s">
        <v>1173</v>
      </c>
      <c r="N507" s="4" t="s">
        <v>155</v>
      </c>
      <c r="O507" s="4" t="s">
        <v>128</v>
      </c>
      <c r="P507" s="4"/>
    </row>
    <row r="508" spans="1:16" ht="15">
      <c r="A508" s="4" t="s">
        <v>1174</v>
      </c>
      <c r="B508" s="30">
        <v>40000</v>
      </c>
      <c r="C508" s="4"/>
      <c r="D508" s="4" t="s">
        <v>194</v>
      </c>
      <c r="E508" s="4" t="s">
        <v>170</v>
      </c>
      <c r="F508" s="4" t="s">
        <v>155</v>
      </c>
      <c r="G508" s="4"/>
      <c r="H508" s="4">
        <v>3</v>
      </c>
      <c r="I508" s="4" t="s">
        <v>139</v>
      </c>
      <c r="J508" s="4" t="s">
        <v>184</v>
      </c>
      <c r="K508" s="4" t="s">
        <v>144</v>
      </c>
      <c r="L508" s="4" t="s">
        <v>162</v>
      </c>
      <c r="M508" s="4"/>
      <c r="N508" s="4" t="s">
        <v>155</v>
      </c>
      <c r="O508" s="4" t="s">
        <v>127</v>
      </c>
      <c r="P508" s="4"/>
    </row>
    <row r="509" spans="1:16" ht="15">
      <c r="A509" s="4" t="s">
        <v>1175</v>
      </c>
      <c r="B509" s="30">
        <v>40046</v>
      </c>
      <c r="C509" s="4"/>
      <c r="D509" s="4" t="s">
        <v>193</v>
      </c>
      <c r="E509" s="4" t="s">
        <v>170</v>
      </c>
      <c r="F509" s="4" t="s">
        <v>155</v>
      </c>
      <c r="G509" s="4">
        <v>5</v>
      </c>
      <c r="H509" s="4">
        <v>3</v>
      </c>
      <c r="I509" s="4" t="s">
        <v>140</v>
      </c>
      <c r="J509" s="4" t="s">
        <v>810</v>
      </c>
      <c r="K509" s="4" t="s">
        <v>142</v>
      </c>
      <c r="L509" s="4" t="s">
        <v>4176</v>
      </c>
      <c r="M509" s="4" t="s">
        <v>174</v>
      </c>
      <c r="N509" s="4" t="s">
        <v>159</v>
      </c>
      <c r="O509" s="4" t="s">
        <v>123</v>
      </c>
      <c r="P509" s="4" t="s">
        <v>123</v>
      </c>
    </row>
    <row r="510" spans="1:16" ht="15">
      <c r="A510" s="4" t="s">
        <v>1176</v>
      </c>
      <c r="B510" s="30">
        <v>40070</v>
      </c>
      <c r="C510" s="4" t="s">
        <v>380</v>
      </c>
      <c r="D510" s="4" t="s">
        <v>193</v>
      </c>
      <c r="E510" s="4" t="s">
        <v>170</v>
      </c>
      <c r="F510" s="4" t="s">
        <v>155</v>
      </c>
      <c r="G510" s="4">
        <v>1</v>
      </c>
      <c r="H510" s="4">
        <v>4</v>
      </c>
      <c r="I510" s="4" t="s">
        <v>140</v>
      </c>
      <c r="J510" s="4" t="s">
        <v>179</v>
      </c>
      <c r="K510" s="4" t="s">
        <v>143</v>
      </c>
      <c r="L510" s="4" t="s">
        <v>4181</v>
      </c>
      <c r="M510" s="4" t="s">
        <v>1042</v>
      </c>
      <c r="N510" s="4" t="s">
        <v>155</v>
      </c>
      <c r="O510" s="4" t="s">
        <v>128</v>
      </c>
      <c r="P510" s="4"/>
    </row>
    <row r="511" spans="1:16" ht="15">
      <c r="A511" s="4" t="s">
        <v>1177</v>
      </c>
      <c r="B511" s="30">
        <v>39962</v>
      </c>
      <c r="C511" s="4" t="s">
        <v>380</v>
      </c>
      <c r="D511" s="4" t="s">
        <v>193</v>
      </c>
      <c r="E511" s="4" t="s">
        <v>170</v>
      </c>
      <c r="F511" s="4" t="s">
        <v>155</v>
      </c>
      <c r="G511" s="4"/>
      <c r="H511" s="4"/>
      <c r="I511" s="4" t="s">
        <v>140</v>
      </c>
      <c r="J511" s="4" t="s">
        <v>187</v>
      </c>
      <c r="K511" s="4" t="s">
        <v>146</v>
      </c>
      <c r="L511" s="4" t="s">
        <v>4176</v>
      </c>
      <c r="M511" s="4" t="s">
        <v>175</v>
      </c>
      <c r="N511" s="4" t="s">
        <v>159</v>
      </c>
      <c r="O511" s="4" t="s">
        <v>126</v>
      </c>
      <c r="P511" s="4" t="s">
        <v>601</v>
      </c>
    </row>
    <row r="512" spans="1:16" ht="15">
      <c r="A512" s="4" t="s">
        <v>1178</v>
      </c>
      <c r="B512" s="30">
        <v>39919</v>
      </c>
      <c r="C512" s="4"/>
      <c r="D512" s="4" t="s">
        <v>4183</v>
      </c>
      <c r="E512" s="4" t="s">
        <v>170</v>
      </c>
      <c r="F512" s="4" t="s">
        <v>155</v>
      </c>
      <c r="G512" s="4"/>
      <c r="H512" s="4"/>
      <c r="I512" s="4" t="s">
        <v>140</v>
      </c>
      <c r="J512" s="4" t="s">
        <v>810</v>
      </c>
      <c r="K512" s="4" t="s">
        <v>147</v>
      </c>
      <c r="L512" s="4" t="s">
        <v>165</v>
      </c>
      <c r="M512" s="4"/>
      <c r="N512" s="4" t="s">
        <v>158</v>
      </c>
      <c r="O512" s="4" t="s">
        <v>122</v>
      </c>
      <c r="P512" s="4"/>
    </row>
    <row r="513" spans="1:16" ht="15">
      <c r="A513" s="4" t="s">
        <v>1179</v>
      </c>
      <c r="B513" s="30">
        <v>39955</v>
      </c>
      <c r="C513" s="4"/>
      <c r="D513" s="4" t="s">
        <v>195</v>
      </c>
      <c r="E513" s="4" t="s">
        <v>170</v>
      </c>
      <c r="F513" s="4" t="s">
        <v>155</v>
      </c>
      <c r="G513" s="4"/>
      <c r="H513" s="4"/>
      <c r="I513" s="4" t="s">
        <v>139</v>
      </c>
      <c r="J513" s="4" t="s">
        <v>182</v>
      </c>
      <c r="K513" s="4" t="s">
        <v>142</v>
      </c>
      <c r="L513" s="4" t="s">
        <v>162</v>
      </c>
      <c r="M513" s="4"/>
      <c r="N513" s="4" t="s">
        <v>155</v>
      </c>
      <c r="O513" s="4" t="s">
        <v>130</v>
      </c>
      <c r="P513" s="4"/>
    </row>
    <row r="514" spans="1:16" ht="15">
      <c r="A514" s="4" t="s">
        <v>1180</v>
      </c>
      <c r="B514" s="30">
        <v>40038</v>
      </c>
      <c r="C514" s="4"/>
      <c r="D514" s="4" t="s">
        <v>197</v>
      </c>
      <c r="E514" s="4" t="s">
        <v>170</v>
      </c>
      <c r="F514" s="4" t="s">
        <v>155</v>
      </c>
      <c r="G514" s="4">
        <v>3</v>
      </c>
      <c r="H514" s="4">
        <v>3</v>
      </c>
      <c r="I514" s="4" t="s">
        <v>139</v>
      </c>
      <c r="J514" s="4" t="s">
        <v>182</v>
      </c>
      <c r="K514" s="4" t="s">
        <v>143</v>
      </c>
      <c r="L514" s="4" t="s">
        <v>4181</v>
      </c>
      <c r="M514" s="4" t="s">
        <v>173</v>
      </c>
      <c r="N514" s="4" t="s">
        <v>155</v>
      </c>
      <c r="O514" s="4" t="s">
        <v>751</v>
      </c>
      <c r="P514" s="4"/>
    </row>
    <row r="515" spans="1:16" ht="15">
      <c r="A515" s="4" t="s">
        <v>1181</v>
      </c>
      <c r="B515" s="30">
        <v>39976</v>
      </c>
      <c r="C515" s="4" t="s">
        <v>383</v>
      </c>
      <c r="D515" s="4" t="s">
        <v>193</v>
      </c>
      <c r="E515" s="4" t="s">
        <v>170</v>
      </c>
      <c r="F515" s="4" t="s">
        <v>155</v>
      </c>
      <c r="G515" s="4"/>
      <c r="H515" s="4"/>
      <c r="I515" s="4" t="s">
        <v>140</v>
      </c>
      <c r="J515" s="4" t="s">
        <v>182</v>
      </c>
      <c r="K515" s="4" t="s">
        <v>144</v>
      </c>
      <c r="L515" s="4" t="s">
        <v>4181</v>
      </c>
      <c r="M515" s="4" t="s">
        <v>1182</v>
      </c>
      <c r="N515" s="4" t="s">
        <v>155</v>
      </c>
      <c r="O515" s="4" t="s">
        <v>501</v>
      </c>
      <c r="P515" s="4"/>
    </row>
    <row r="516" spans="1:16" ht="15">
      <c r="A516" s="4" t="s">
        <v>1183</v>
      </c>
      <c r="B516" s="30">
        <v>40010</v>
      </c>
      <c r="C516" s="4"/>
      <c r="D516" s="4" t="s">
        <v>195</v>
      </c>
      <c r="E516" s="4" t="s">
        <v>170</v>
      </c>
      <c r="F516" s="4" t="s">
        <v>155</v>
      </c>
      <c r="G516" s="4">
        <v>5</v>
      </c>
      <c r="H516" s="4">
        <v>3</v>
      </c>
      <c r="I516" s="4" t="s">
        <v>139</v>
      </c>
      <c r="J516" s="4" t="s">
        <v>189</v>
      </c>
      <c r="K516" s="4" t="s">
        <v>144</v>
      </c>
      <c r="L516" s="4" t="s">
        <v>4181</v>
      </c>
      <c r="M516" s="4" t="s">
        <v>1184</v>
      </c>
      <c r="N516" s="4" t="s">
        <v>155</v>
      </c>
      <c r="O516" s="4" t="s">
        <v>124</v>
      </c>
      <c r="P516" s="4"/>
    </row>
    <row r="517" spans="1:16" ht="15">
      <c r="A517" s="4" t="s">
        <v>1185</v>
      </c>
      <c r="B517" s="30">
        <v>39918</v>
      </c>
      <c r="C517" s="4"/>
      <c r="D517" s="4" t="s">
        <v>4184</v>
      </c>
      <c r="E517" s="4" t="s">
        <v>170</v>
      </c>
      <c r="F517" s="4" t="s">
        <v>155</v>
      </c>
      <c r="G517" s="4"/>
      <c r="H517" s="4"/>
      <c r="I517" s="4" t="s">
        <v>140</v>
      </c>
      <c r="J517" s="4" t="s">
        <v>188</v>
      </c>
      <c r="K517" s="4" t="s">
        <v>142</v>
      </c>
      <c r="L517" s="4" t="s">
        <v>4181</v>
      </c>
      <c r="M517" s="4" t="s">
        <v>415</v>
      </c>
      <c r="N517" s="4" t="s">
        <v>155</v>
      </c>
      <c r="O517" s="4" t="s">
        <v>1186</v>
      </c>
      <c r="P517" s="4"/>
    </row>
    <row r="518" spans="1:16" ht="15">
      <c r="A518" s="4" t="s">
        <v>1187</v>
      </c>
      <c r="B518" s="30">
        <v>39985</v>
      </c>
      <c r="C518" s="4" t="s">
        <v>525</v>
      </c>
      <c r="D518" s="4" t="s">
        <v>193</v>
      </c>
      <c r="E518" s="4" t="s">
        <v>170</v>
      </c>
      <c r="F518" s="4" t="s">
        <v>155</v>
      </c>
      <c r="G518" s="4"/>
      <c r="H518" s="4"/>
      <c r="I518" s="4" t="s">
        <v>140</v>
      </c>
      <c r="J518" s="4" t="s">
        <v>188</v>
      </c>
      <c r="K518" s="4" t="s">
        <v>148</v>
      </c>
      <c r="L518" s="4" t="s">
        <v>162</v>
      </c>
      <c r="M518" s="4" t="s">
        <v>175</v>
      </c>
      <c r="N518" s="4" t="s">
        <v>155</v>
      </c>
      <c r="O518" s="4" t="s">
        <v>130</v>
      </c>
      <c r="P518" s="4"/>
    </row>
    <row r="519" spans="1:16" ht="15">
      <c r="A519" s="4" t="s">
        <v>1188</v>
      </c>
      <c r="B519" s="30">
        <v>40061</v>
      </c>
      <c r="C519" s="4" t="s">
        <v>496</v>
      </c>
      <c r="D519" s="4" t="s">
        <v>193</v>
      </c>
      <c r="E519" s="4" t="s">
        <v>170</v>
      </c>
      <c r="F519" s="4" t="s">
        <v>155</v>
      </c>
      <c r="G519" s="4">
        <v>4</v>
      </c>
      <c r="H519" s="4">
        <v>4</v>
      </c>
      <c r="I519" s="4" t="s">
        <v>140</v>
      </c>
      <c r="J519" s="4" t="s">
        <v>188</v>
      </c>
      <c r="K519" s="4" t="s">
        <v>150</v>
      </c>
      <c r="L519" s="4" t="s">
        <v>4181</v>
      </c>
      <c r="M519" s="4" t="s">
        <v>173</v>
      </c>
      <c r="N519" s="4" t="s">
        <v>155</v>
      </c>
      <c r="O519" s="4" t="s">
        <v>128</v>
      </c>
      <c r="P519" s="4"/>
    </row>
    <row r="520" spans="1:16" ht="15">
      <c r="A520" s="4" t="s">
        <v>1189</v>
      </c>
      <c r="B520" s="30">
        <v>39994</v>
      </c>
      <c r="C520" s="4" t="s">
        <v>9</v>
      </c>
      <c r="D520" s="4" t="s">
        <v>193</v>
      </c>
      <c r="E520" s="4" t="s">
        <v>170</v>
      </c>
      <c r="F520" s="4" t="s">
        <v>155</v>
      </c>
      <c r="G520" s="4"/>
      <c r="H520" s="4">
        <v>5</v>
      </c>
      <c r="I520" s="4" t="s">
        <v>140</v>
      </c>
      <c r="J520" s="4" t="s">
        <v>183</v>
      </c>
      <c r="K520" s="4" t="s">
        <v>143</v>
      </c>
      <c r="L520" s="4" t="s">
        <v>4181</v>
      </c>
      <c r="M520" s="4" t="s">
        <v>415</v>
      </c>
      <c r="N520" s="4" t="s">
        <v>155</v>
      </c>
      <c r="O520" s="4" t="s">
        <v>125</v>
      </c>
      <c r="P520" s="4"/>
    </row>
    <row r="521" spans="1:16" ht="15">
      <c r="A521" s="4" t="s">
        <v>1190</v>
      </c>
      <c r="B521" s="30">
        <v>39956</v>
      </c>
      <c r="C521" s="4" t="s">
        <v>525</v>
      </c>
      <c r="D521" s="4" t="s">
        <v>193</v>
      </c>
      <c r="E521" s="4" t="s">
        <v>170</v>
      </c>
      <c r="F521" s="4" t="s">
        <v>155</v>
      </c>
      <c r="G521" s="4"/>
      <c r="H521" s="4"/>
      <c r="I521" s="4" t="s">
        <v>140</v>
      </c>
      <c r="J521" s="4" t="s">
        <v>183</v>
      </c>
      <c r="K521" s="4" t="s">
        <v>144</v>
      </c>
      <c r="L521" s="4" t="s">
        <v>4181</v>
      </c>
      <c r="M521" s="4" t="s">
        <v>1191</v>
      </c>
      <c r="N521" s="4" t="s">
        <v>155</v>
      </c>
      <c r="O521" s="4" t="s">
        <v>392</v>
      </c>
      <c r="P521" s="4"/>
    </row>
    <row r="522" spans="1:16" ht="15">
      <c r="A522" s="4" t="s">
        <v>1192</v>
      </c>
      <c r="B522" s="30">
        <v>40073</v>
      </c>
      <c r="C522" s="4"/>
      <c r="D522" s="4" t="s">
        <v>193</v>
      </c>
      <c r="E522" s="4" t="s">
        <v>170</v>
      </c>
      <c r="F522" s="4" t="s">
        <v>155</v>
      </c>
      <c r="G522" s="4">
        <v>5</v>
      </c>
      <c r="H522" s="4">
        <v>4</v>
      </c>
      <c r="I522" s="4" t="s">
        <v>140</v>
      </c>
      <c r="J522" s="4" t="s">
        <v>183</v>
      </c>
      <c r="K522" s="4" t="s">
        <v>142</v>
      </c>
      <c r="L522" s="4" t="s">
        <v>162</v>
      </c>
      <c r="M522" s="4" t="s">
        <v>175</v>
      </c>
      <c r="N522" s="4" t="s">
        <v>155</v>
      </c>
      <c r="O522" s="4" t="s">
        <v>129</v>
      </c>
      <c r="P522" s="4"/>
    </row>
    <row r="523" spans="1:16" ht="15">
      <c r="A523" s="4" t="s">
        <v>1193</v>
      </c>
      <c r="B523" s="30">
        <v>40019</v>
      </c>
      <c r="C523" s="4"/>
      <c r="D523" s="4" t="s">
        <v>195</v>
      </c>
      <c r="E523" s="4" t="s">
        <v>170</v>
      </c>
      <c r="F523" s="4" t="s">
        <v>155</v>
      </c>
      <c r="G523" s="4">
        <v>5</v>
      </c>
      <c r="H523" s="4">
        <v>5</v>
      </c>
      <c r="I523" s="4" t="s">
        <v>139</v>
      </c>
      <c r="J523" s="4" t="s">
        <v>183</v>
      </c>
      <c r="K523" s="4" t="s">
        <v>151</v>
      </c>
      <c r="L523" s="4" t="s">
        <v>162</v>
      </c>
      <c r="M523" s="4" t="s">
        <v>498</v>
      </c>
      <c r="N523" s="4" t="s">
        <v>155</v>
      </c>
      <c r="O523" s="4" t="s">
        <v>129</v>
      </c>
      <c r="P523" s="4"/>
    </row>
    <row r="524" spans="1:16" ht="15">
      <c r="A524" s="4" t="s">
        <v>1194</v>
      </c>
      <c r="B524" s="30">
        <v>39942</v>
      </c>
      <c r="C524" s="4"/>
      <c r="D524" s="4" t="s">
        <v>195</v>
      </c>
      <c r="E524" s="4" t="s">
        <v>170</v>
      </c>
      <c r="F524" s="4" t="s">
        <v>155</v>
      </c>
      <c r="G524" s="4"/>
      <c r="H524" s="4"/>
      <c r="I524" s="4" t="s">
        <v>139</v>
      </c>
      <c r="J524" s="4" t="s">
        <v>534</v>
      </c>
      <c r="K524" s="4" t="s">
        <v>147</v>
      </c>
      <c r="L524" s="4" t="s">
        <v>162</v>
      </c>
      <c r="M524" s="4" t="s">
        <v>175</v>
      </c>
      <c r="N524" s="4" t="s">
        <v>155</v>
      </c>
      <c r="O524" s="4" t="s">
        <v>129</v>
      </c>
      <c r="P524" s="4"/>
    </row>
    <row r="525" spans="1:16" ht="15">
      <c r="A525" s="4" t="s">
        <v>1195</v>
      </c>
      <c r="B525" s="30">
        <v>40002</v>
      </c>
      <c r="C525" s="4"/>
      <c r="D525" s="4" t="s">
        <v>193</v>
      </c>
      <c r="E525" s="4" t="s">
        <v>170</v>
      </c>
      <c r="F525" s="4" t="s">
        <v>155</v>
      </c>
      <c r="G525" s="4"/>
      <c r="H525" s="4">
        <v>5</v>
      </c>
      <c r="I525" s="4" t="s">
        <v>140</v>
      </c>
      <c r="J525" s="4" t="s">
        <v>183</v>
      </c>
      <c r="K525" s="4" t="s">
        <v>144</v>
      </c>
      <c r="L525" s="4" t="s">
        <v>162</v>
      </c>
      <c r="M525" s="4" t="s">
        <v>1196</v>
      </c>
      <c r="N525" s="4" t="s">
        <v>155</v>
      </c>
      <c r="O525" s="4" t="s">
        <v>130</v>
      </c>
      <c r="P525" s="4"/>
    </row>
    <row r="526" spans="1:16" ht="15">
      <c r="A526" s="4" t="s">
        <v>1197</v>
      </c>
      <c r="B526" s="30">
        <v>39949</v>
      </c>
      <c r="C526" s="4"/>
      <c r="D526" s="4" t="s">
        <v>194</v>
      </c>
      <c r="E526" s="4" t="s">
        <v>170</v>
      </c>
      <c r="F526" s="4" t="s">
        <v>155</v>
      </c>
      <c r="G526" s="4"/>
      <c r="H526" s="4"/>
      <c r="I526" s="4" t="s">
        <v>139</v>
      </c>
      <c r="J526" s="4" t="s">
        <v>182</v>
      </c>
      <c r="K526" s="4" t="s">
        <v>147</v>
      </c>
      <c r="L526" s="4" t="s">
        <v>4176</v>
      </c>
      <c r="M526" s="4" t="s">
        <v>867</v>
      </c>
      <c r="N526" s="4" t="s">
        <v>157</v>
      </c>
      <c r="O526" s="4" t="s">
        <v>127</v>
      </c>
      <c r="P526" s="4" t="s">
        <v>153</v>
      </c>
    </row>
    <row r="527" spans="1:16" ht="15">
      <c r="A527" s="4" t="s">
        <v>1198</v>
      </c>
      <c r="B527" s="30">
        <v>40023</v>
      </c>
      <c r="C527" s="4" t="s">
        <v>383</v>
      </c>
      <c r="D527" s="4" t="s">
        <v>195</v>
      </c>
      <c r="E527" s="4" t="s">
        <v>170</v>
      </c>
      <c r="F527" s="4" t="s">
        <v>155</v>
      </c>
      <c r="G527" s="4">
        <v>4</v>
      </c>
      <c r="H527" s="4">
        <v>2</v>
      </c>
      <c r="I527" s="4" t="s">
        <v>139</v>
      </c>
      <c r="J527" s="4" t="s">
        <v>178</v>
      </c>
      <c r="K527" s="4" t="s">
        <v>143</v>
      </c>
      <c r="L527" s="4" t="s">
        <v>4176</v>
      </c>
      <c r="M527" s="4" t="s">
        <v>175</v>
      </c>
      <c r="N527" s="4" t="s">
        <v>125</v>
      </c>
      <c r="O527" s="4" t="s">
        <v>628</v>
      </c>
      <c r="P527" s="4" t="s">
        <v>1199</v>
      </c>
    </row>
    <row r="528" spans="1:16" ht="15">
      <c r="A528" s="4" t="s">
        <v>1200</v>
      </c>
      <c r="B528" s="30">
        <v>40004</v>
      </c>
      <c r="C528" s="4" t="s">
        <v>380</v>
      </c>
      <c r="D528" s="4" t="s">
        <v>195</v>
      </c>
      <c r="E528" s="4" t="s">
        <v>170</v>
      </c>
      <c r="F528" s="4" t="s">
        <v>155</v>
      </c>
      <c r="G528" s="4"/>
      <c r="H528" s="4">
        <v>3</v>
      </c>
      <c r="I528" s="4" t="s">
        <v>139</v>
      </c>
      <c r="J528" s="4" t="s">
        <v>191</v>
      </c>
      <c r="K528" s="4" t="s">
        <v>148</v>
      </c>
      <c r="L528" s="4" t="s">
        <v>4181</v>
      </c>
      <c r="M528" s="4" t="s">
        <v>173</v>
      </c>
      <c r="N528" s="4" t="s">
        <v>155</v>
      </c>
      <c r="O528" s="4" t="s">
        <v>124</v>
      </c>
      <c r="P528" s="4"/>
    </row>
    <row r="529" spans="1:16" ht="15">
      <c r="A529" s="4" t="s">
        <v>1201</v>
      </c>
      <c r="B529" s="30">
        <v>39975</v>
      </c>
      <c r="C529" s="4"/>
      <c r="D529" s="4" t="s">
        <v>193</v>
      </c>
      <c r="E529" s="4" t="s">
        <v>170</v>
      </c>
      <c r="F529" s="4" t="s">
        <v>155</v>
      </c>
      <c r="G529" s="4"/>
      <c r="H529" s="4"/>
      <c r="I529" s="4" t="s">
        <v>140</v>
      </c>
      <c r="J529" s="4" t="s">
        <v>182</v>
      </c>
      <c r="K529" s="4" t="s">
        <v>145</v>
      </c>
      <c r="L529" s="4" t="s">
        <v>4176</v>
      </c>
      <c r="M529" s="4" t="s">
        <v>174</v>
      </c>
      <c r="N529" s="4" t="s">
        <v>160</v>
      </c>
      <c r="O529" s="4" t="s">
        <v>126</v>
      </c>
      <c r="P529" s="4" t="s">
        <v>900</v>
      </c>
    </row>
    <row r="530" spans="1:16" ht="15">
      <c r="A530" s="4" t="s">
        <v>1202</v>
      </c>
      <c r="B530" s="30">
        <v>40030</v>
      </c>
      <c r="C530" s="4" t="s">
        <v>525</v>
      </c>
      <c r="D530" s="4" t="s">
        <v>195</v>
      </c>
      <c r="E530" s="4" t="s">
        <v>170</v>
      </c>
      <c r="F530" s="4" t="s">
        <v>155</v>
      </c>
      <c r="G530" s="4">
        <v>5</v>
      </c>
      <c r="H530" s="4">
        <v>5</v>
      </c>
      <c r="I530" s="4" t="s">
        <v>139</v>
      </c>
      <c r="J530" s="4" t="s">
        <v>189</v>
      </c>
      <c r="K530" s="4" t="s">
        <v>144</v>
      </c>
      <c r="L530" s="4" t="s">
        <v>4176</v>
      </c>
      <c r="M530" s="4" t="s">
        <v>550</v>
      </c>
      <c r="N530" s="4" t="s">
        <v>160</v>
      </c>
      <c r="O530" s="4" t="s">
        <v>126</v>
      </c>
      <c r="P530" s="4" t="s">
        <v>1203</v>
      </c>
    </row>
    <row r="531" spans="1:16" ht="15">
      <c r="A531" s="4" t="s">
        <v>1204</v>
      </c>
      <c r="B531" s="30">
        <v>40041</v>
      </c>
      <c r="C531" s="4"/>
      <c r="D531" s="4" t="s">
        <v>197</v>
      </c>
      <c r="E531" s="4" t="s">
        <v>170</v>
      </c>
      <c r="F531" s="4" t="s">
        <v>155</v>
      </c>
      <c r="G531" s="4">
        <v>5</v>
      </c>
      <c r="H531" s="4">
        <v>3</v>
      </c>
      <c r="I531" s="4" t="s">
        <v>139</v>
      </c>
      <c r="J531" s="4" t="s">
        <v>189</v>
      </c>
      <c r="K531" s="4" t="s">
        <v>146</v>
      </c>
      <c r="L531" s="4" t="s">
        <v>4181</v>
      </c>
      <c r="M531" s="4" t="s">
        <v>173</v>
      </c>
      <c r="N531" s="4" t="s">
        <v>161</v>
      </c>
      <c r="O531" s="4" t="s">
        <v>416</v>
      </c>
      <c r="P531" s="4"/>
    </row>
    <row r="532" spans="1:16" ht="15">
      <c r="A532" s="4" t="s">
        <v>1205</v>
      </c>
      <c r="B532" s="30">
        <v>39944</v>
      </c>
      <c r="C532" s="4"/>
      <c r="D532" s="4" t="s">
        <v>195</v>
      </c>
      <c r="E532" s="4" t="s">
        <v>170</v>
      </c>
      <c r="F532" s="4" t="s">
        <v>155</v>
      </c>
      <c r="G532" s="4"/>
      <c r="H532" s="4"/>
      <c r="I532" s="4" t="s">
        <v>139</v>
      </c>
      <c r="J532" s="4" t="s">
        <v>189</v>
      </c>
      <c r="K532" s="4" t="s">
        <v>142</v>
      </c>
      <c r="L532" s="4" t="s">
        <v>4181</v>
      </c>
      <c r="M532" s="4" t="s">
        <v>1206</v>
      </c>
      <c r="N532" s="4" t="s">
        <v>155</v>
      </c>
      <c r="O532" s="4" t="s">
        <v>692</v>
      </c>
      <c r="P532" s="4"/>
    </row>
    <row r="533" spans="1:16" ht="15">
      <c r="A533" s="4" t="s">
        <v>1207</v>
      </c>
      <c r="B533" s="30">
        <v>40031</v>
      </c>
      <c r="C533" s="4"/>
      <c r="D533" s="4" t="s">
        <v>193</v>
      </c>
      <c r="E533" s="4" t="s">
        <v>170</v>
      </c>
      <c r="F533" s="4" t="s">
        <v>155</v>
      </c>
      <c r="G533" s="4">
        <v>3</v>
      </c>
      <c r="H533" s="4">
        <v>3</v>
      </c>
      <c r="I533" s="4" t="s">
        <v>140</v>
      </c>
      <c r="J533" s="4" t="s">
        <v>603</v>
      </c>
      <c r="K533" s="4" t="s">
        <v>142</v>
      </c>
      <c r="L533" s="4" t="s">
        <v>4181</v>
      </c>
      <c r="M533" s="4" t="s">
        <v>173</v>
      </c>
      <c r="N533" s="4" t="s">
        <v>155</v>
      </c>
      <c r="O533" s="4" t="s">
        <v>387</v>
      </c>
      <c r="P533" s="4"/>
    </row>
    <row r="534" spans="1:16" ht="15">
      <c r="A534" s="4" t="s">
        <v>1208</v>
      </c>
      <c r="B534" s="30">
        <v>40075</v>
      </c>
      <c r="C534" s="4"/>
      <c r="D534" s="4" t="s">
        <v>193</v>
      </c>
      <c r="E534" s="4" t="s">
        <v>170</v>
      </c>
      <c r="F534" s="4" t="s">
        <v>155</v>
      </c>
      <c r="G534" s="4">
        <v>5</v>
      </c>
      <c r="H534" s="4">
        <v>5</v>
      </c>
      <c r="I534" s="4" t="s">
        <v>140</v>
      </c>
      <c r="J534" s="4" t="s">
        <v>182</v>
      </c>
      <c r="K534" s="4" t="s">
        <v>149</v>
      </c>
      <c r="L534" s="4" t="s">
        <v>4176</v>
      </c>
      <c r="M534" s="4" t="s">
        <v>459</v>
      </c>
      <c r="N534" s="4" t="s">
        <v>125</v>
      </c>
      <c r="O534" s="4" t="s">
        <v>628</v>
      </c>
      <c r="P534" s="4" t="s">
        <v>1209</v>
      </c>
    </row>
    <row r="535" spans="1:16" ht="15">
      <c r="A535" s="4" t="s">
        <v>1210</v>
      </c>
      <c r="B535" s="30">
        <v>39966</v>
      </c>
      <c r="C535" s="4"/>
      <c r="D535" s="4" t="s">
        <v>193</v>
      </c>
      <c r="E535" s="4" t="s">
        <v>170</v>
      </c>
      <c r="F535" s="4" t="s">
        <v>155</v>
      </c>
      <c r="G535" s="4"/>
      <c r="H535" s="4"/>
      <c r="I535" s="4" t="s">
        <v>140</v>
      </c>
      <c r="J535" s="4" t="s">
        <v>191</v>
      </c>
      <c r="K535" s="4" t="s">
        <v>144</v>
      </c>
      <c r="L535" s="4" t="s">
        <v>162</v>
      </c>
      <c r="M535" s="4" t="s">
        <v>175</v>
      </c>
      <c r="N535" s="4" t="s">
        <v>155</v>
      </c>
      <c r="O535" s="4" t="s">
        <v>129</v>
      </c>
      <c r="P535" s="4"/>
    </row>
    <row r="536" spans="1:16" ht="15">
      <c r="A536" s="4" t="s">
        <v>1211</v>
      </c>
      <c r="B536" s="30">
        <v>39913</v>
      </c>
      <c r="C536" s="4"/>
      <c r="D536" s="4" t="s">
        <v>4184</v>
      </c>
      <c r="E536" s="4" t="s">
        <v>170</v>
      </c>
      <c r="F536" s="4" t="s">
        <v>155</v>
      </c>
      <c r="G536" s="4"/>
      <c r="H536" s="4"/>
      <c r="I536" s="4" t="s">
        <v>140</v>
      </c>
      <c r="J536" s="4" t="s">
        <v>433</v>
      </c>
      <c r="K536" s="4" t="s">
        <v>143</v>
      </c>
      <c r="L536" s="4" t="s">
        <v>162</v>
      </c>
      <c r="M536" s="4" t="s">
        <v>863</v>
      </c>
      <c r="N536" s="4" t="s">
        <v>155</v>
      </c>
      <c r="O536" s="4" t="s">
        <v>129</v>
      </c>
      <c r="P536" s="4"/>
    </row>
    <row r="537" spans="1:16" ht="15">
      <c r="A537" s="4" t="s">
        <v>1212</v>
      </c>
      <c r="B537" s="30">
        <v>39950</v>
      </c>
      <c r="C537" s="4"/>
      <c r="D537" s="4" t="s">
        <v>193</v>
      </c>
      <c r="E537" s="4" t="s">
        <v>170</v>
      </c>
      <c r="F537" s="4" t="s">
        <v>155</v>
      </c>
      <c r="G537" s="4"/>
      <c r="H537" s="4"/>
      <c r="I537" s="4" t="s">
        <v>140</v>
      </c>
      <c r="J537" s="4" t="s">
        <v>433</v>
      </c>
      <c r="K537" s="4" t="s">
        <v>143</v>
      </c>
      <c r="L537" s="4" t="s">
        <v>4181</v>
      </c>
      <c r="M537" s="4"/>
      <c r="N537" s="4" t="s">
        <v>155</v>
      </c>
      <c r="O537" s="4" t="s">
        <v>454</v>
      </c>
      <c r="P537" s="4"/>
    </row>
    <row r="538" spans="1:16" ht="15">
      <c r="A538" s="4" t="s">
        <v>1213</v>
      </c>
      <c r="B538" s="30">
        <v>40049</v>
      </c>
      <c r="C538" s="4"/>
      <c r="D538" s="4" t="s">
        <v>196</v>
      </c>
      <c r="E538" s="4" t="s">
        <v>170</v>
      </c>
      <c r="F538" s="4" t="s">
        <v>155</v>
      </c>
      <c r="G538" s="4">
        <v>5</v>
      </c>
      <c r="H538" s="4">
        <v>5</v>
      </c>
      <c r="I538" s="4" t="s">
        <v>139</v>
      </c>
      <c r="J538" s="4" t="s">
        <v>180</v>
      </c>
      <c r="K538" s="4" t="s">
        <v>149</v>
      </c>
      <c r="L538" s="4" t="s">
        <v>4181</v>
      </c>
      <c r="M538" s="4" t="s">
        <v>173</v>
      </c>
      <c r="N538" s="4" t="s">
        <v>155</v>
      </c>
      <c r="O538" s="4" t="s">
        <v>387</v>
      </c>
      <c r="P538" s="4"/>
    </row>
    <row r="539" spans="1:16" ht="15">
      <c r="A539" s="4" t="s">
        <v>1214</v>
      </c>
      <c r="B539" s="30">
        <v>40036</v>
      </c>
      <c r="C539" s="4"/>
      <c r="D539" s="4" t="s">
        <v>196</v>
      </c>
      <c r="E539" s="4" t="s">
        <v>170</v>
      </c>
      <c r="F539" s="4" t="s">
        <v>155</v>
      </c>
      <c r="G539" s="4">
        <v>5</v>
      </c>
      <c r="H539" s="4">
        <v>4</v>
      </c>
      <c r="I539" s="4" t="s">
        <v>139</v>
      </c>
      <c r="J539" s="4" t="s">
        <v>182</v>
      </c>
      <c r="K539" s="4" t="s">
        <v>144</v>
      </c>
      <c r="L539" s="4" t="s">
        <v>162</v>
      </c>
      <c r="M539" s="4" t="s">
        <v>175</v>
      </c>
      <c r="N539" s="4" t="s">
        <v>155</v>
      </c>
      <c r="O539" s="4" t="s">
        <v>127</v>
      </c>
      <c r="P539" s="4"/>
    </row>
    <row r="540" spans="1:16" ht="15">
      <c r="A540" s="4" t="s">
        <v>1215</v>
      </c>
      <c r="B540" s="30">
        <v>39957</v>
      </c>
      <c r="C540" s="4"/>
      <c r="D540" s="4" t="s">
        <v>193</v>
      </c>
      <c r="E540" s="4" t="s">
        <v>170</v>
      </c>
      <c r="F540" s="4" t="s">
        <v>155</v>
      </c>
      <c r="G540" s="4"/>
      <c r="H540" s="4"/>
      <c r="I540" s="4" t="s">
        <v>140</v>
      </c>
      <c r="J540" s="4" t="s">
        <v>183</v>
      </c>
      <c r="K540" s="4" t="s">
        <v>145</v>
      </c>
      <c r="L540" s="4" t="s">
        <v>4181</v>
      </c>
      <c r="M540" s="4" t="s">
        <v>173</v>
      </c>
      <c r="N540" s="4" t="s">
        <v>161</v>
      </c>
      <c r="O540" s="4" t="s">
        <v>1216</v>
      </c>
      <c r="P540" s="4"/>
    </row>
    <row r="541" spans="1:16" ht="15">
      <c r="A541" s="4" t="s">
        <v>1217</v>
      </c>
      <c r="B541" s="30">
        <v>40063</v>
      </c>
      <c r="C541" s="4"/>
      <c r="D541" s="4" t="s">
        <v>544</v>
      </c>
      <c r="E541" s="4" t="s">
        <v>170</v>
      </c>
      <c r="F541" s="4" t="s">
        <v>155</v>
      </c>
      <c r="G541" s="4">
        <v>1</v>
      </c>
      <c r="H541" s="4">
        <v>5</v>
      </c>
      <c r="I541" s="4" t="s">
        <v>139</v>
      </c>
      <c r="J541" s="4" t="s">
        <v>183</v>
      </c>
      <c r="K541" s="4" t="s">
        <v>146</v>
      </c>
      <c r="L541" s="4" t="s">
        <v>4176</v>
      </c>
      <c r="M541" s="4" t="s">
        <v>1218</v>
      </c>
      <c r="N541" s="4" t="s">
        <v>156</v>
      </c>
      <c r="O541" s="4" t="s">
        <v>120</v>
      </c>
      <c r="P541" s="4" t="s">
        <v>662</v>
      </c>
    </row>
    <row r="542" spans="1:16" ht="15">
      <c r="A542" s="4" t="s">
        <v>1219</v>
      </c>
      <c r="B542" s="30">
        <v>40018</v>
      </c>
      <c r="C542" s="4"/>
      <c r="D542" s="4" t="s">
        <v>193</v>
      </c>
      <c r="E542" s="4" t="s">
        <v>170</v>
      </c>
      <c r="F542" s="4" t="s">
        <v>155</v>
      </c>
      <c r="G542" s="4">
        <v>1</v>
      </c>
      <c r="H542" s="4">
        <v>2</v>
      </c>
      <c r="I542" s="4" t="s">
        <v>140</v>
      </c>
      <c r="J542" s="4" t="s">
        <v>182</v>
      </c>
      <c r="K542" s="4" t="s">
        <v>143</v>
      </c>
      <c r="L542" s="4" t="s">
        <v>4181</v>
      </c>
      <c r="M542" s="4" t="s">
        <v>1220</v>
      </c>
      <c r="N542" s="4"/>
      <c r="O542" s="4"/>
      <c r="P542" s="4"/>
    </row>
    <row r="543" spans="1:16" ht="15">
      <c r="A543" s="4" t="s">
        <v>1221</v>
      </c>
      <c r="B543" s="30">
        <v>40024</v>
      </c>
      <c r="C543" s="4"/>
      <c r="D543" s="4" t="s">
        <v>193</v>
      </c>
      <c r="E543" s="4" t="s">
        <v>170</v>
      </c>
      <c r="F543" s="4" t="s">
        <v>155</v>
      </c>
      <c r="G543" s="4">
        <v>5</v>
      </c>
      <c r="H543" s="4">
        <v>5</v>
      </c>
      <c r="I543" s="4" t="s">
        <v>140</v>
      </c>
      <c r="J543" s="4" t="s">
        <v>182</v>
      </c>
      <c r="K543" s="4" t="s">
        <v>146</v>
      </c>
      <c r="L543" s="4" t="s">
        <v>4176</v>
      </c>
      <c r="M543" s="4" t="s">
        <v>1218</v>
      </c>
      <c r="N543" s="4" t="s">
        <v>157</v>
      </c>
      <c r="O543" s="4" t="s">
        <v>571</v>
      </c>
      <c r="P543" s="4" t="s">
        <v>1222</v>
      </c>
    </row>
    <row r="544" spans="1:16" ht="15">
      <c r="A544" s="4" t="s">
        <v>1223</v>
      </c>
      <c r="B544" s="30">
        <v>39986</v>
      </c>
      <c r="C544" s="4"/>
      <c r="D544" s="4" t="s">
        <v>193</v>
      </c>
      <c r="E544" s="4" t="s">
        <v>170</v>
      </c>
      <c r="F544" s="4" t="s">
        <v>155</v>
      </c>
      <c r="G544" s="4"/>
      <c r="H544" s="4"/>
      <c r="I544" s="4" t="s">
        <v>140</v>
      </c>
      <c r="J544" s="4" t="s">
        <v>178</v>
      </c>
      <c r="K544" s="4" t="s">
        <v>144</v>
      </c>
      <c r="L544" s="4" t="s">
        <v>4181</v>
      </c>
      <c r="M544" s="4" t="s">
        <v>1224</v>
      </c>
      <c r="N544" s="4" t="s">
        <v>788</v>
      </c>
      <c r="O544" s="4" t="s">
        <v>1225</v>
      </c>
      <c r="P544" s="4"/>
    </row>
    <row r="545" spans="1:16" ht="15">
      <c r="A545" s="4" t="s">
        <v>1226</v>
      </c>
      <c r="B545" s="30">
        <v>39968</v>
      </c>
      <c r="C545" s="4"/>
      <c r="D545" s="4" t="s">
        <v>193</v>
      </c>
      <c r="E545" s="4" t="s">
        <v>170</v>
      </c>
      <c r="F545" s="4" t="s">
        <v>155</v>
      </c>
      <c r="G545" s="4"/>
      <c r="H545" s="4"/>
      <c r="I545" s="4" t="s">
        <v>140</v>
      </c>
      <c r="J545" s="4" t="s">
        <v>179</v>
      </c>
      <c r="K545" s="4" t="s">
        <v>146</v>
      </c>
      <c r="L545" s="4" t="s">
        <v>4181</v>
      </c>
      <c r="M545" s="4"/>
      <c r="N545" s="4" t="s">
        <v>155</v>
      </c>
      <c r="O545" s="4" t="s">
        <v>387</v>
      </c>
      <c r="P545" s="4"/>
    </row>
    <row r="546" spans="1:16" ht="15">
      <c r="A546" s="4" t="s">
        <v>1227</v>
      </c>
      <c r="B546" s="30">
        <v>39993</v>
      </c>
      <c r="C546" s="4" t="s">
        <v>496</v>
      </c>
      <c r="D546" s="4" t="s">
        <v>196</v>
      </c>
      <c r="E546" s="4" t="s">
        <v>170</v>
      </c>
      <c r="F546" s="4" t="s">
        <v>155</v>
      </c>
      <c r="G546" s="4"/>
      <c r="H546" s="4">
        <v>5</v>
      </c>
      <c r="I546" s="4" t="s">
        <v>139</v>
      </c>
      <c r="J546" s="4" t="s">
        <v>181</v>
      </c>
      <c r="K546" s="4" t="s">
        <v>142</v>
      </c>
      <c r="L546" s="4" t="s">
        <v>4181</v>
      </c>
      <c r="M546" s="4" t="s">
        <v>1228</v>
      </c>
      <c r="N546" s="4" t="s">
        <v>155</v>
      </c>
      <c r="O546" s="4" t="s">
        <v>125</v>
      </c>
      <c r="P546" s="4"/>
    </row>
    <row r="547" spans="1:16" ht="15">
      <c r="A547" s="4" t="s">
        <v>1229</v>
      </c>
      <c r="B547" s="30">
        <v>39998</v>
      </c>
      <c r="C547" s="4"/>
      <c r="D547" s="4" t="s">
        <v>194</v>
      </c>
      <c r="E547" s="4" t="s">
        <v>170</v>
      </c>
      <c r="F547" s="4" t="s">
        <v>155</v>
      </c>
      <c r="G547" s="4"/>
      <c r="H547" s="4">
        <v>2</v>
      </c>
      <c r="I547" s="4" t="s">
        <v>139</v>
      </c>
      <c r="J547" s="4" t="s">
        <v>180</v>
      </c>
      <c r="K547" s="4" t="s">
        <v>145</v>
      </c>
      <c r="L547" s="4" t="s">
        <v>4181</v>
      </c>
      <c r="M547" s="4"/>
      <c r="N547" s="4" t="s">
        <v>155</v>
      </c>
      <c r="O547" s="4" t="s">
        <v>125</v>
      </c>
      <c r="P547" s="4"/>
    </row>
    <row r="548" spans="1:16" ht="15">
      <c r="A548" s="4" t="s">
        <v>1230</v>
      </c>
      <c r="B548" s="30">
        <v>40007</v>
      </c>
      <c r="C548" s="4" t="s">
        <v>525</v>
      </c>
      <c r="D548" s="4" t="s">
        <v>193</v>
      </c>
      <c r="E548" s="4" t="s">
        <v>170</v>
      </c>
      <c r="F548" s="4" t="s">
        <v>155</v>
      </c>
      <c r="G548" s="4">
        <v>3</v>
      </c>
      <c r="H548" s="4">
        <v>4</v>
      </c>
      <c r="I548" s="4" t="s">
        <v>140</v>
      </c>
      <c r="J548" s="4" t="s">
        <v>178</v>
      </c>
      <c r="K548" s="4" t="s">
        <v>144</v>
      </c>
      <c r="L548" s="4" t="s">
        <v>162</v>
      </c>
      <c r="M548" s="4" t="s">
        <v>1231</v>
      </c>
      <c r="N548" s="4" t="s">
        <v>155</v>
      </c>
      <c r="O548" s="4" t="s">
        <v>130</v>
      </c>
      <c r="P548" s="4"/>
    </row>
    <row r="549" spans="1:16" ht="15">
      <c r="A549" s="4" t="s">
        <v>1232</v>
      </c>
      <c r="B549" s="30">
        <v>40084</v>
      </c>
      <c r="C549" s="4" t="s">
        <v>496</v>
      </c>
      <c r="D549" s="4" t="s">
        <v>544</v>
      </c>
      <c r="E549" s="4" t="s">
        <v>170</v>
      </c>
      <c r="F549" s="4" t="s">
        <v>155</v>
      </c>
      <c r="G549" s="4">
        <v>5</v>
      </c>
      <c r="H549" s="4">
        <v>5</v>
      </c>
      <c r="I549" s="4" t="s">
        <v>139</v>
      </c>
      <c r="J549" s="4" t="s">
        <v>180</v>
      </c>
      <c r="K549" s="4" t="s">
        <v>150</v>
      </c>
      <c r="L549" s="4" t="s">
        <v>4181</v>
      </c>
      <c r="M549" s="4" t="s">
        <v>173</v>
      </c>
      <c r="N549" s="4" t="s">
        <v>155</v>
      </c>
      <c r="O549" s="4" t="s">
        <v>128</v>
      </c>
      <c r="P549" s="4"/>
    </row>
    <row r="550" spans="1:16" ht="15">
      <c r="A550" s="4" t="s">
        <v>1233</v>
      </c>
      <c r="B550" s="30">
        <v>39938</v>
      </c>
      <c r="C550" s="4" t="s">
        <v>525</v>
      </c>
      <c r="D550" s="4" t="s">
        <v>4182</v>
      </c>
      <c r="E550" s="4" t="s">
        <v>170</v>
      </c>
      <c r="F550" s="4" t="s">
        <v>155</v>
      </c>
      <c r="G550" s="4"/>
      <c r="H550" s="4"/>
      <c r="I550" s="4" t="s">
        <v>139</v>
      </c>
      <c r="J550" s="4" t="s">
        <v>179</v>
      </c>
      <c r="K550" s="4" t="s">
        <v>147</v>
      </c>
      <c r="L550" s="4" t="s">
        <v>4176</v>
      </c>
      <c r="M550" s="4" t="s">
        <v>459</v>
      </c>
      <c r="N550" s="4" t="s">
        <v>517</v>
      </c>
      <c r="O550" s="4" t="s">
        <v>123</v>
      </c>
      <c r="P550" s="4" t="s">
        <v>123</v>
      </c>
    </row>
    <row r="551" spans="1:16" ht="15">
      <c r="A551" s="4" t="s">
        <v>1234</v>
      </c>
      <c r="B551" s="30">
        <v>39983</v>
      </c>
      <c r="C551" s="4"/>
      <c r="D551" s="4" t="s">
        <v>193</v>
      </c>
      <c r="E551" s="4" t="s">
        <v>170</v>
      </c>
      <c r="F551" s="4" t="s">
        <v>155</v>
      </c>
      <c r="G551" s="4"/>
      <c r="H551" s="4"/>
      <c r="I551" s="4" t="s">
        <v>140</v>
      </c>
      <c r="J551" s="4" t="s">
        <v>180</v>
      </c>
      <c r="K551" s="4" t="s">
        <v>143</v>
      </c>
      <c r="L551" s="4" t="s">
        <v>4181</v>
      </c>
      <c r="M551" s="4" t="s">
        <v>700</v>
      </c>
      <c r="N551" s="4" t="s">
        <v>155</v>
      </c>
      <c r="O551" s="4" t="s">
        <v>406</v>
      </c>
      <c r="P551" s="4"/>
    </row>
    <row r="552" spans="1:16" ht="15">
      <c r="A552" s="4" t="s">
        <v>1235</v>
      </c>
      <c r="B552" s="30">
        <v>40025</v>
      </c>
      <c r="C552" s="4"/>
      <c r="D552" s="4" t="s">
        <v>195</v>
      </c>
      <c r="E552" s="4" t="s">
        <v>170</v>
      </c>
      <c r="F552" s="4" t="s">
        <v>155</v>
      </c>
      <c r="G552" s="4">
        <v>5</v>
      </c>
      <c r="H552" s="4">
        <v>5</v>
      </c>
      <c r="I552" s="4" t="s">
        <v>139</v>
      </c>
      <c r="J552" s="4" t="s">
        <v>181</v>
      </c>
      <c r="K552" s="4" t="s">
        <v>144</v>
      </c>
      <c r="L552" s="4" t="s">
        <v>162</v>
      </c>
      <c r="M552" s="4" t="s">
        <v>175</v>
      </c>
      <c r="N552" s="4" t="s">
        <v>155</v>
      </c>
      <c r="O552" s="4" t="s">
        <v>129</v>
      </c>
      <c r="P552" s="4"/>
    </row>
    <row r="553" spans="1:16" ht="15">
      <c r="A553" s="4" t="s">
        <v>1236</v>
      </c>
      <c r="B553" s="30">
        <v>40080</v>
      </c>
      <c r="C553" s="4" t="s">
        <v>9</v>
      </c>
      <c r="D553" s="4" t="s">
        <v>193</v>
      </c>
      <c r="E553" s="4" t="s">
        <v>170</v>
      </c>
      <c r="F553" s="4" t="s">
        <v>155</v>
      </c>
      <c r="G553" s="4">
        <v>3</v>
      </c>
      <c r="H553" s="4">
        <v>3</v>
      </c>
      <c r="I553" s="4" t="s">
        <v>140</v>
      </c>
      <c r="J553" s="4" t="s">
        <v>376</v>
      </c>
      <c r="K553" s="4" t="s">
        <v>144</v>
      </c>
      <c r="L553" s="4" t="s">
        <v>162</v>
      </c>
      <c r="M553" s="4" t="s">
        <v>175</v>
      </c>
      <c r="N553" s="4" t="s">
        <v>155</v>
      </c>
      <c r="O553" s="4" t="s">
        <v>129</v>
      </c>
      <c r="P553" s="4"/>
    </row>
    <row r="554" spans="1:16" ht="15">
      <c r="A554" s="4" t="s">
        <v>1237</v>
      </c>
      <c r="B554" s="30">
        <v>39945</v>
      </c>
      <c r="C554" s="4" t="s">
        <v>9</v>
      </c>
      <c r="D554" s="4" t="s">
        <v>193</v>
      </c>
      <c r="E554" s="4" t="s">
        <v>170</v>
      </c>
      <c r="F554" s="4" t="s">
        <v>155</v>
      </c>
      <c r="G554" s="4"/>
      <c r="H554" s="4"/>
      <c r="I554" s="4" t="s">
        <v>140</v>
      </c>
      <c r="J554" s="4" t="s">
        <v>180</v>
      </c>
      <c r="K554" s="4" t="s">
        <v>147</v>
      </c>
      <c r="L554" s="4" t="s">
        <v>165</v>
      </c>
      <c r="M554" s="4" t="s">
        <v>1238</v>
      </c>
      <c r="N554" s="4" t="s">
        <v>158</v>
      </c>
      <c r="O554" s="4" t="s">
        <v>122</v>
      </c>
      <c r="P554" s="4"/>
    </row>
    <row r="555" spans="1:16" ht="15">
      <c r="A555" s="4" t="s">
        <v>1239</v>
      </c>
      <c r="B555" s="30">
        <v>40041</v>
      </c>
      <c r="C555" s="4"/>
      <c r="D555" s="4" t="s">
        <v>195</v>
      </c>
      <c r="E555" s="4" t="s">
        <v>170</v>
      </c>
      <c r="F555" s="4" t="s">
        <v>155</v>
      </c>
      <c r="G555" s="4">
        <v>5</v>
      </c>
      <c r="H555" s="4">
        <v>3</v>
      </c>
      <c r="I555" s="4" t="s">
        <v>139</v>
      </c>
      <c r="J555" s="4" t="s">
        <v>180</v>
      </c>
      <c r="K555" s="4" t="s">
        <v>145</v>
      </c>
      <c r="L555" s="4" t="s">
        <v>162</v>
      </c>
      <c r="M555" s="4" t="s">
        <v>175</v>
      </c>
      <c r="N555" s="4" t="s">
        <v>155</v>
      </c>
      <c r="O555" s="4" t="s">
        <v>129</v>
      </c>
      <c r="P555" s="4"/>
    </row>
    <row r="556" spans="1:16" ht="15">
      <c r="A556" s="4" t="s">
        <v>1240</v>
      </c>
      <c r="B556" s="30">
        <v>40038</v>
      </c>
      <c r="C556" s="4"/>
      <c r="D556" s="4" t="s">
        <v>197</v>
      </c>
      <c r="E556" s="4" t="s">
        <v>170</v>
      </c>
      <c r="F556" s="4" t="s">
        <v>155</v>
      </c>
      <c r="G556" s="4">
        <v>5</v>
      </c>
      <c r="H556" s="4">
        <v>5</v>
      </c>
      <c r="I556" s="4" t="s">
        <v>139</v>
      </c>
      <c r="J556" s="4" t="s">
        <v>384</v>
      </c>
      <c r="K556" s="4" t="s">
        <v>145</v>
      </c>
      <c r="L556" s="4" t="s">
        <v>4176</v>
      </c>
      <c r="M556" s="4" t="s">
        <v>1241</v>
      </c>
      <c r="N556" s="4" t="s">
        <v>157</v>
      </c>
      <c r="O556" s="4" t="s">
        <v>571</v>
      </c>
      <c r="P556" s="4" t="s">
        <v>636</v>
      </c>
    </row>
    <row r="557" spans="1:16" ht="15">
      <c r="A557" s="4" t="s">
        <v>1242</v>
      </c>
      <c r="B557" s="30">
        <v>40050</v>
      </c>
      <c r="C557" s="4"/>
      <c r="D557" s="4" t="s">
        <v>195</v>
      </c>
      <c r="E557" s="4" t="s">
        <v>170</v>
      </c>
      <c r="F557" s="4" t="s">
        <v>155</v>
      </c>
      <c r="G557" s="4">
        <v>5</v>
      </c>
      <c r="H557" s="4">
        <v>3</v>
      </c>
      <c r="I557" s="4" t="s">
        <v>139</v>
      </c>
      <c r="J557" s="4" t="s">
        <v>384</v>
      </c>
      <c r="K557" s="4" t="s">
        <v>145</v>
      </c>
      <c r="L557" s="4" t="s">
        <v>4176</v>
      </c>
      <c r="M557" s="4" t="s">
        <v>1241</v>
      </c>
      <c r="N557" s="4" t="s">
        <v>157</v>
      </c>
      <c r="O557" s="4" t="s">
        <v>571</v>
      </c>
      <c r="P557" s="4" t="s">
        <v>636</v>
      </c>
    </row>
    <row r="558" spans="1:16" ht="15">
      <c r="A558" s="4" t="s">
        <v>1243</v>
      </c>
      <c r="B558" s="30">
        <v>40054</v>
      </c>
      <c r="C558" s="4"/>
      <c r="D558" s="4" t="s">
        <v>193</v>
      </c>
      <c r="E558" s="4" t="s">
        <v>170</v>
      </c>
      <c r="F558" s="4" t="s">
        <v>155</v>
      </c>
      <c r="G558" s="4">
        <v>2</v>
      </c>
      <c r="H558" s="4">
        <v>3</v>
      </c>
      <c r="I558" s="4" t="s">
        <v>140</v>
      </c>
      <c r="J558" s="4" t="s">
        <v>384</v>
      </c>
      <c r="K558" s="4" t="s">
        <v>143</v>
      </c>
      <c r="L558" s="4" t="s">
        <v>162</v>
      </c>
      <c r="M558" s="4" t="s">
        <v>175</v>
      </c>
      <c r="N558" s="4" t="s">
        <v>155</v>
      </c>
      <c r="O558" s="4" t="s">
        <v>129</v>
      </c>
      <c r="P558" s="4"/>
    </row>
    <row r="559" spans="1:16" ht="15">
      <c r="A559" s="4" t="s">
        <v>1244</v>
      </c>
      <c r="B559" s="30">
        <v>40059</v>
      </c>
      <c r="C559" s="4" t="s">
        <v>525</v>
      </c>
      <c r="D559" s="4" t="s">
        <v>193</v>
      </c>
      <c r="E559" s="4" t="s">
        <v>170</v>
      </c>
      <c r="F559" s="4" t="s">
        <v>155</v>
      </c>
      <c r="G559" s="4">
        <v>5</v>
      </c>
      <c r="H559" s="4">
        <v>5</v>
      </c>
      <c r="I559" s="4" t="s">
        <v>140</v>
      </c>
      <c r="J559" s="4" t="s">
        <v>179</v>
      </c>
      <c r="K559" s="4" t="s">
        <v>144</v>
      </c>
      <c r="L559" s="4" t="s">
        <v>162</v>
      </c>
      <c r="M559" s="4"/>
      <c r="N559" s="4" t="s">
        <v>155</v>
      </c>
      <c r="O559" s="4" t="s">
        <v>127</v>
      </c>
      <c r="P559" s="4"/>
    </row>
    <row r="560" spans="1:16" ht="15">
      <c r="A560" s="4" t="s">
        <v>1245</v>
      </c>
      <c r="B560" s="30">
        <v>39935</v>
      </c>
      <c r="C560" s="4"/>
      <c r="D560" s="4" t="s">
        <v>4184</v>
      </c>
      <c r="E560" s="4" t="s">
        <v>170</v>
      </c>
      <c r="F560" s="4" t="s">
        <v>155</v>
      </c>
      <c r="G560" s="4"/>
      <c r="H560" s="4"/>
      <c r="I560" s="4" t="s">
        <v>140</v>
      </c>
      <c r="J560" s="4" t="s">
        <v>179</v>
      </c>
      <c r="K560" s="4" t="s">
        <v>145</v>
      </c>
      <c r="L560" s="4" t="s">
        <v>4181</v>
      </c>
      <c r="M560" s="4" t="s">
        <v>173</v>
      </c>
      <c r="N560" s="4" t="s">
        <v>155</v>
      </c>
      <c r="O560" s="4" t="s">
        <v>125</v>
      </c>
      <c r="P560" s="4"/>
    </row>
    <row r="561" spans="1:16" ht="15">
      <c r="A561" s="4" t="s">
        <v>1246</v>
      </c>
      <c r="B561" s="30">
        <v>39952</v>
      </c>
      <c r="C561" s="4"/>
      <c r="D561" s="4" t="s">
        <v>195</v>
      </c>
      <c r="E561" s="4" t="s">
        <v>170</v>
      </c>
      <c r="F561" s="4" t="s">
        <v>155</v>
      </c>
      <c r="G561" s="4"/>
      <c r="H561" s="4"/>
      <c r="I561" s="4" t="s">
        <v>139</v>
      </c>
      <c r="J561" s="4" t="s">
        <v>187</v>
      </c>
      <c r="K561" s="4" t="s">
        <v>142</v>
      </c>
      <c r="L561" s="4" t="s">
        <v>162</v>
      </c>
      <c r="M561" s="4" t="s">
        <v>175</v>
      </c>
      <c r="N561" s="4" t="s">
        <v>155</v>
      </c>
      <c r="O561" s="4" t="s">
        <v>129</v>
      </c>
      <c r="P561" s="4"/>
    </row>
    <row r="562" spans="1:16" ht="15">
      <c r="A562" s="4" t="s">
        <v>1247</v>
      </c>
      <c r="B562" s="30">
        <v>39911</v>
      </c>
      <c r="C562" s="4"/>
      <c r="D562" s="4" t="s">
        <v>4177</v>
      </c>
      <c r="E562" s="4" t="s">
        <v>170</v>
      </c>
      <c r="F562" s="4" t="s">
        <v>155</v>
      </c>
      <c r="G562" s="4"/>
      <c r="H562" s="4"/>
      <c r="I562" s="4" t="s">
        <v>139</v>
      </c>
      <c r="J562" s="4" t="s">
        <v>179</v>
      </c>
      <c r="K562" s="4" t="s">
        <v>149</v>
      </c>
      <c r="L562" s="4" t="s">
        <v>4181</v>
      </c>
      <c r="M562" s="4" t="s">
        <v>173</v>
      </c>
      <c r="N562" s="4" t="s">
        <v>155</v>
      </c>
      <c r="O562" s="4" t="s">
        <v>501</v>
      </c>
      <c r="P562" s="4"/>
    </row>
    <row r="563" spans="1:16" ht="15">
      <c r="A563" s="4" t="s">
        <v>1248</v>
      </c>
      <c r="B563" s="30">
        <v>40010</v>
      </c>
      <c r="C563" s="4"/>
      <c r="D563" s="4" t="s">
        <v>195</v>
      </c>
      <c r="E563" s="4" t="s">
        <v>170</v>
      </c>
      <c r="F563" s="4" t="s">
        <v>155</v>
      </c>
      <c r="G563" s="4">
        <v>4</v>
      </c>
      <c r="H563" s="4">
        <v>3</v>
      </c>
      <c r="I563" s="4" t="s">
        <v>139</v>
      </c>
      <c r="J563" s="4" t="s">
        <v>179</v>
      </c>
      <c r="K563" s="4" t="s">
        <v>151</v>
      </c>
      <c r="L563" s="4" t="s">
        <v>162</v>
      </c>
      <c r="M563" s="4" t="s">
        <v>622</v>
      </c>
      <c r="N563" s="4" t="s">
        <v>155</v>
      </c>
      <c r="O563" s="4" t="s">
        <v>130</v>
      </c>
      <c r="P563" s="4"/>
    </row>
    <row r="564" spans="1:16" ht="15">
      <c r="A564" s="4" t="s">
        <v>1249</v>
      </c>
      <c r="B564" s="30">
        <v>39912</v>
      </c>
      <c r="C564" s="4" t="s">
        <v>380</v>
      </c>
      <c r="D564" s="4" t="s">
        <v>4179</v>
      </c>
      <c r="E564" s="4" t="s">
        <v>170</v>
      </c>
      <c r="F564" s="4" t="s">
        <v>155</v>
      </c>
      <c r="G564" s="4"/>
      <c r="H564" s="4"/>
      <c r="I564" s="4" t="s">
        <v>139</v>
      </c>
      <c r="J564" s="4" t="s">
        <v>179</v>
      </c>
      <c r="K564" s="4" t="s">
        <v>147</v>
      </c>
      <c r="L564" s="4" t="s">
        <v>162</v>
      </c>
      <c r="M564" s="4" t="s">
        <v>175</v>
      </c>
      <c r="N564" s="4" t="s">
        <v>155</v>
      </c>
      <c r="O564" s="4" t="s">
        <v>439</v>
      </c>
      <c r="P564" s="4"/>
    </row>
    <row r="565" spans="1:16" ht="15">
      <c r="A565" s="4" t="s">
        <v>1250</v>
      </c>
      <c r="B565" s="30">
        <v>39970</v>
      </c>
      <c r="C565" s="4" t="s">
        <v>9</v>
      </c>
      <c r="D565" s="4" t="s">
        <v>194</v>
      </c>
      <c r="E565" s="4" t="s">
        <v>170</v>
      </c>
      <c r="F565" s="4" t="s">
        <v>155</v>
      </c>
      <c r="G565" s="4"/>
      <c r="H565" s="4"/>
      <c r="I565" s="4" t="s">
        <v>139</v>
      </c>
      <c r="J565" s="4" t="s">
        <v>179</v>
      </c>
      <c r="K565" s="4" t="s">
        <v>142</v>
      </c>
      <c r="L565" s="4" t="s">
        <v>4176</v>
      </c>
      <c r="M565" s="4" t="s">
        <v>174</v>
      </c>
      <c r="N565" s="4" t="s">
        <v>156</v>
      </c>
      <c r="O565" s="4" t="s">
        <v>120</v>
      </c>
      <c r="P565" s="4" t="s">
        <v>929</v>
      </c>
    </row>
    <row r="566" spans="1:16" ht="15">
      <c r="A566" s="4" t="s">
        <v>1251</v>
      </c>
      <c r="B566" s="30">
        <v>39927</v>
      </c>
      <c r="C566" s="4" t="s">
        <v>496</v>
      </c>
      <c r="D566" s="4" t="s">
        <v>4184</v>
      </c>
      <c r="E566" s="4" t="s">
        <v>170</v>
      </c>
      <c r="F566" s="4" t="s">
        <v>155</v>
      </c>
      <c r="G566" s="4"/>
      <c r="H566" s="4"/>
      <c r="I566" s="4" t="s">
        <v>140</v>
      </c>
      <c r="J566" s="4" t="s">
        <v>179</v>
      </c>
      <c r="K566" s="4" t="s">
        <v>142</v>
      </c>
      <c r="L566" s="4" t="s">
        <v>4181</v>
      </c>
      <c r="M566" s="4" t="s">
        <v>173</v>
      </c>
      <c r="N566" s="4" t="s">
        <v>155</v>
      </c>
      <c r="O566" s="4" t="s">
        <v>704</v>
      </c>
      <c r="P566" s="4"/>
    </row>
    <row r="567" spans="1:16" ht="15">
      <c r="A567" s="4" t="s">
        <v>1252</v>
      </c>
      <c r="B567" s="30">
        <v>39934</v>
      </c>
      <c r="C567" s="4"/>
      <c r="D567" s="4" t="s">
        <v>4177</v>
      </c>
      <c r="E567" s="4" t="s">
        <v>170</v>
      </c>
      <c r="F567" s="4" t="s">
        <v>155</v>
      </c>
      <c r="G567" s="4"/>
      <c r="H567" s="4"/>
      <c r="I567" s="4" t="s">
        <v>139</v>
      </c>
      <c r="J567" s="4" t="s">
        <v>179</v>
      </c>
      <c r="K567" s="4" t="s">
        <v>145</v>
      </c>
      <c r="L567" s="4" t="s">
        <v>4181</v>
      </c>
      <c r="M567" s="4" t="s">
        <v>173</v>
      </c>
      <c r="N567" s="4" t="s">
        <v>161</v>
      </c>
      <c r="O567" s="4" t="s">
        <v>1253</v>
      </c>
      <c r="P567" s="4"/>
    </row>
    <row r="568" spans="1:16" ht="15">
      <c r="A568" s="4" t="s">
        <v>1254</v>
      </c>
      <c r="B568" s="30">
        <v>39928</v>
      </c>
      <c r="C568" s="4"/>
      <c r="D568" s="4" t="s">
        <v>4180</v>
      </c>
      <c r="E568" s="4" t="s">
        <v>170</v>
      </c>
      <c r="F568" s="4" t="s">
        <v>155</v>
      </c>
      <c r="G568" s="4"/>
      <c r="H568" s="4"/>
      <c r="I568" s="4" t="s">
        <v>139</v>
      </c>
      <c r="J568" s="4" t="s">
        <v>179</v>
      </c>
      <c r="K568" s="4" t="s">
        <v>147</v>
      </c>
      <c r="L568" s="4" t="s">
        <v>162</v>
      </c>
      <c r="M568" s="4" t="s">
        <v>175</v>
      </c>
      <c r="N568" s="4" t="s">
        <v>155</v>
      </c>
      <c r="O568" s="4" t="s">
        <v>130</v>
      </c>
      <c r="P568" s="4"/>
    </row>
    <row r="569" spans="1:16" ht="15">
      <c r="A569" s="4" t="s">
        <v>1255</v>
      </c>
      <c r="B569" s="30">
        <v>40053</v>
      </c>
      <c r="C569" s="4" t="s">
        <v>380</v>
      </c>
      <c r="D569" s="4" t="s">
        <v>193</v>
      </c>
      <c r="E569" s="4" t="s">
        <v>170</v>
      </c>
      <c r="F569" s="4" t="s">
        <v>155</v>
      </c>
      <c r="G569" s="4">
        <v>5</v>
      </c>
      <c r="H569" s="4">
        <v>5</v>
      </c>
      <c r="I569" s="4" t="s">
        <v>140</v>
      </c>
      <c r="J569" s="4" t="s">
        <v>178</v>
      </c>
      <c r="K569" s="4" t="s">
        <v>145</v>
      </c>
      <c r="L569" s="4" t="s">
        <v>4181</v>
      </c>
      <c r="M569" s="4" t="s">
        <v>1256</v>
      </c>
      <c r="N569" s="4" t="s">
        <v>155</v>
      </c>
      <c r="O569" s="4" t="s">
        <v>128</v>
      </c>
      <c r="P569" s="4"/>
    </row>
    <row r="570" spans="1:16" ht="15">
      <c r="A570" s="4" t="s">
        <v>1257</v>
      </c>
      <c r="B570" s="30">
        <v>39950</v>
      </c>
      <c r="C570" s="4"/>
      <c r="D570" s="4" t="s">
        <v>194</v>
      </c>
      <c r="E570" s="4" t="s">
        <v>170</v>
      </c>
      <c r="F570" s="4" t="s">
        <v>155</v>
      </c>
      <c r="G570" s="4"/>
      <c r="H570" s="4"/>
      <c r="I570" s="4" t="s">
        <v>139</v>
      </c>
      <c r="J570" s="4" t="s">
        <v>409</v>
      </c>
      <c r="K570" s="4" t="s">
        <v>148</v>
      </c>
      <c r="L570" s="4" t="s">
        <v>4181</v>
      </c>
      <c r="M570" s="4" t="s">
        <v>415</v>
      </c>
      <c r="N570" s="4" t="s">
        <v>155</v>
      </c>
      <c r="O570" s="4" t="s">
        <v>125</v>
      </c>
      <c r="P570" s="4"/>
    </row>
    <row r="571" spans="1:16" ht="15">
      <c r="A571" s="4" t="s">
        <v>1258</v>
      </c>
      <c r="B571" s="30">
        <v>39959</v>
      </c>
      <c r="C571" s="4"/>
      <c r="D571" s="4" t="s">
        <v>194</v>
      </c>
      <c r="E571" s="4" t="s">
        <v>170</v>
      </c>
      <c r="F571" s="4" t="s">
        <v>155</v>
      </c>
      <c r="G571" s="4"/>
      <c r="H571" s="4"/>
      <c r="I571" s="4" t="s">
        <v>139</v>
      </c>
      <c r="J571" s="4" t="s">
        <v>182</v>
      </c>
      <c r="K571" s="4" t="s">
        <v>144</v>
      </c>
      <c r="L571" s="4" t="s">
        <v>4181</v>
      </c>
      <c r="M571" s="4" t="s">
        <v>173</v>
      </c>
      <c r="N571" s="4" t="s">
        <v>155</v>
      </c>
      <c r="O571" s="4" t="s">
        <v>124</v>
      </c>
      <c r="P571" s="4"/>
    </row>
    <row r="572" spans="1:16" ht="15">
      <c r="A572" s="4" t="s">
        <v>1259</v>
      </c>
      <c r="B572" s="30">
        <v>39978</v>
      </c>
      <c r="C572" s="4"/>
      <c r="D572" s="4" t="s">
        <v>193</v>
      </c>
      <c r="E572" s="4" t="s">
        <v>170</v>
      </c>
      <c r="F572" s="4" t="s">
        <v>155</v>
      </c>
      <c r="G572" s="4"/>
      <c r="H572" s="4"/>
      <c r="I572" s="4" t="s">
        <v>140</v>
      </c>
      <c r="J572" s="4" t="s">
        <v>187</v>
      </c>
      <c r="K572" s="4" t="s">
        <v>144</v>
      </c>
      <c r="L572" s="4" t="s">
        <v>4181</v>
      </c>
      <c r="M572" s="4"/>
      <c r="N572" s="4" t="s">
        <v>155</v>
      </c>
      <c r="O572" s="4" t="s">
        <v>124</v>
      </c>
      <c r="P572" s="4"/>
    </row>
    <row r="573" spans="1:16" ht="15">
      <c r="A573" s="4" t="s">
        <v>1260</v>
      </c>
      <c r="B573" s="30">
        <v>40048</v>
      </c>
      <c r="C573" s="4"/>
      <c r="D573" s="4" t="s">
        <v>193</v>
      </c>
      <c r="E573" s="4" t="s">
        <v>170</v>
      </c>
      <c r="F573" s="4" t="s">
        <v>155</v>
      </c>
      <c r="G573" s="4">
        <v>5</v>
      </c>
      <c r="H573" s="4">
        <v>5</v>
      </c>
      <c r="I573" s="4" t="s">
        <v>140</v>
      </c>
      <c r="J573" s="4" t="s">
        <v>184</v>
      </c>
      <c r="K573" s="4" t="s">
        <v>144</v>
      </c>
      <c r="L573" s="4" t="s">
        <v>165</v>
      </c>
      <c r="M573" s="4"/>
      <c r="N573" s="4" t="s">
        <v>158</v>
      </c>
      <c r="O573" s="4" t="s">
        <v>122</v>
      </c>
      <c r="P573" s="4"/>
    </row>
    <row r="574" spans="1:16" ht="15">
      <c r="A574" s="4" t="s">
        <v>1261</v>
      </c>
      <c r="B574" s="30">
        <v>39974</v>
      </c>
      <c r="C574" s="4" t="s">
        <v>496</v>
      </c>
      <c r="D574" s="4" t="s">
        <v>194</v>
      </c>
      <c r="E574" s="4" t="s">
        <v>170</v>
      </c>
      <c r="F574" s="4" t="s">
        <v>155</v>
      </c>
      <c r="G574" s="4"/>
      <c r="H574" s="4"/>
      <c r="I574" s="4" t="s">
        <v>139</v>
      </c>
      <c r="J574" s="4" t="s">
        <v>178</v>
      </c>
      <c r="K574" s="4" t="s">
        <v>145</v>
      </c>
      <c r="L574" s="4" t="s">
        <v>4181</v>
      </c>
      <c r="M574" s="4" t="s">
        <v>173</v>
      </c>
      <c r="N574" s="4" t="s">
        <v>155</v>
      </c>
      <c r="O574" s="4" t="s">
        <v>1262</v>
      </c>
      <c r="P574" s="4"/>
    </row>
    <row r="575" spans="1:16" ht="15">
      <c r="A575" s="4" t="s">
        <v>1263</v>
      </c>
      <c r="B575" s="30">
        <v>40001</v>
      </c>
      <c r="C575" s="4"/>
      <c r="D575" s="4" t="s">
        <v>193</v>
      </c>
      <c r="E575" s="4" t="s">
        <v>170</v>
      </c>
      <c r="F575" s="4" t="s">
        <v>155</v>
      </c>
      <c r="G575" s="4"/>
      <c r="H575" s="4">
        <v>4</v>
      </c>
      <c r="I575" s="4" t="s">
        <v>140</v>
      </c>
      <c r="J575" s="4" t="s">
        <v>409</v>
      </c>
      <c r="K575" s="4" t="s">
        <v>144</v>
      </c>
      <c r="L575" s="4" t="s">
        <v>4181</v>
      </c>
      <c r="M575" s="4" t="s">
        <v>173</v>
      </c>
      <c r="N575" s="4" t="s">
        <v>155</v>
      </c>
      <c r="O575" s="4" t="s">
        <v>439</v>
      </c>
      <c r="P575" s="4"/>
    </row>
    <row r="576" spans="1:16" ht="15">
      <c r="A576" s="4" t="s">
        <v>1264</v>
      </c>
      <c r="B576" s="30">
        <v>40077</v>
      </c>
      <c r="C576" s="4"/>
      <c r="D576" s="4" t="s">
        <v>193</v>
      </c>
      <c r="E576" s="4" t="s">
        <v>170</v>
      </c>
      <c r="F576" s="4" t="s">
        <v>155</v>
      </c>
      <c r="G576" s="4">
        <v>4</v>
      </c>
      <c r="H576" s="4">
        <v>3</v>
      </c>
      <c r="I576" s="4" t="s">
        <v>140</v>
      </c>
      <c r="J576" s="4" t="s">
        <v>181</v>
      </c>
      <c r="K576" s="4" t="s">
        <v>142</v>
      </c>
      <c r="L576" s="4" t="s">
        <v>4176</v>
      </c>
      <c r="M576" s="4" t="s">
        <v>174</v>
      </c>
      <c r="N576" s="4" t="s">
        <v>156</v>
      </c>
      <c r="O576" s="4" t="s">
        <v>120</v>
      </c>
      <c r="P576" s="4" t="s">
        <v>715</v>
      </c>
    </row>
    <row r="577" spans="1:16" ht="15">
      <c r="A577" s="4" t="s">
        <v>1265</v>
      </c>
      <c r="B577" s="30">
        <v>40017</v>
      </c>
      <c r="C577" s="4"/>
      <c r="D577" s="4" t="s">
        <v>193</v>
      </c>
      <c r="E577" s="4" t="s">
        <v>170</v>
      </c>
      <c r="F577" s="4" t="s">
        <v>155</v>
      </c>
      <c r="G577" s="4">
        <v>5</v>
      </c>
      <c r="H577" s="4">
        <v>3</v>
      </c>
      <c r="I577" s="4" t="s">
        <v>140</v>
      </c>
      <c r="J577" s="4" t="s">
        <v>187</v>
      </c>
      <c r="K577" s="4" t="s">
        <v>145</v>
      </c>
      <c r="L577" s="4" t="s">
        <v>162</v>
      </c>
      <c r="M577" s="4" t="s">
        <v>175</v>
      </c>
      <c r="N577" s="4" t="s">
        <v>155</v>
      </c>
      <c r="O577" s="4" t="s">
        <v>129</v>
      </c>
      <c r="P577" s="4"/>
    </row>
    <row r="578" spans="1:16" ht="15">
      <c r="A578" s="4" t="s">
        <v>1266</v>
      </c>
      <c r="B578" s="30">
        <v>40006</v>
      </c>
      <c r="C578" s="4" t="s">
        <v>525</v>
      </c>
      <c r="D578" s="4" t="s">
        <v>193</v>
      </c>
      <c r="E578" s="4" t="s">
        <v>170</v>
      </c>
      <c r="F578" s="4" t="s">
        <v>155</v>
      </c>
      <c r="G578" s="4">
        <v>5</v>
      </c>
      <c r="H578" s="4">
        <v>5</v>
      </c>
      <c r="I578" s="4" t="s">
        <v>140</v>
      </c>
      <c r="J578" s="4" t="s">
        <v>180</v>
      </c>
      <c r="K578" s="4" t="s">
        <v>146</v>
      </c>
      <c r="L578" s="4" t="s">
        <v>4176</v>
      </c>
      <c r="M578" s="4" t="s">
        <v>933</v>
      </c>
      <c r="N578" s="4" t="s">
        <v>156</v>
      </c>
      <c r="O578" s="4" t="s">
        <v>120</v>
      </c>
      <c r="P578" s="4" t="s">
        <v>1267</v>
      </c>
    </row>
    <row r="579" spans="1:16" ht="15">
      <c r="A579" s="4" t="s">
        <v>1268</v>
      </c>
      <c r="B579" s="30">
        <v>39965</v>
      </c>
      <c r="C579" s="4" t="s">
        <v>383</v>
      </c>
      <c r="D579" s="4" t="s">
        <v>193</v>
      </c>
      <c r="E579" s="4" t="s">
        <v>170</v>
      </c>
      <c r="F579" s="4" t="s">
        <v>155</v>
      </c>
      <c r="G579" s="4"/>
      <c r="H579" s="4"/>
      <c r="I579" s="4" t="s">
        <v>140</v>
      </c>
      <c r="J579" s="4" t="s">
        <v>180</v>
      </c>
      <c r="K579" s="4" t="s">
        <v>143</v>
      </c>
      <c r="L579" s="4" t="s">
        <v>162</v>
      </c>
      <c r="M579" s="4" t="s">
        <v>459</v>
      </c>
      <c r="N579" s="4" t="s">
        <v>155</v>
      </c>
      <c r="O579" s="4" t="s">
        <v>130</v>
      </c>
      <c r="P579" s="4"/>
    </row>
    <row r="580" spans="1:16" ht="15">
      <c r="A580" s="4" t="s">
        <v>1269</v>
      </c>
      <c r="B580" s="30">
        <v>39964</v>
      </c>
      <c r="C580" s="4"/>
      <c r="D580" s="4" t="s">
        <v>193</v>
      </c>
      <c r="E580" s="4" t="s">
        <v>170</v>
      </c>
      <c r="F580" s="4" t="s">
        <v>155</v>
      </c>
      <c r="G580" s="4"/>
      <c r="H580" s="4"/>
      <c r="I580" s="4" t="s">
        <v>140</v>
      </c>
      <c r="J580" s="4" t="s">
        <v>180</v>
      </c>
      <c r="K580" s="4" t="s">
        <v>144</v>
      </c>
      <c r="L580" s="4" t="s">
        <v>4181</v>
      </c>
      <c r="M580" s="4" t="s">
        <v>173</v>
      </c>
      <c r="N580" s="4" t="s">
        <v>155</v>
      </c>
      <c r="O580" s="4" t="s">
        <v>704</v>
      </c>
      <c r="P580" s="4"/>
    </row>
    <row r="581" spans="1:16" ht="15">
      <c r="A581" s="4" t="s">
        <v>1270</v>
      </c>
      <c r="B581" s="30">
        <v>39937</v>
      </c>
      <c r="C581" s="4"/>
      <c r="D581" s="4" t="s">
        <v>4184</v>
      </c>
      <c r="E581" s="4" t="s">
        <v>170</v>
      </c>
      <c r="F581" s="4" t="s">
        <v>155</v>
      </c>
      <c r="G581" s="4"/>
      <c r="H581" s="4"/>
      <c r="I581" s="4" t="s">
        <v>140</v>
      </c>
      <c r="J581" s="4" t="s">
        <v>180</v>
      </c>
      <c r="K581" s="4" t="s">
        <v>148</v>
      </c>
      <c r="L581" s="4" t="s">
        <v>4176</v>
      </c>
      <c r="M581" s="4" t="s">
        <v>175</v>
      </c>
      <c r="N581" s="4" t="s">
        <v>159</v>
      </c>
      <c r="O581" s="4" t="s">
        <v>126</v>
      </c>
      <c r="P581" s="4" t="s">
        <v>601</v>
      </c>
    </row>
    <row r="582" spans="1:16" ht="15">
      <c r="A582" s="4" t="s">
        <v>1271</v>
      </c>
      <c r="B582" s="30">
        <v>39970</v>
      </c>
      <c r="C582" s="4"/>
      <c r="D582" s="4" t="s">
        <v>193</v>
      </c>
      <c r="E582" s="4" t="s">
        <v>170</v>
      </c>
      <c r="F582" s="4" t="s">
        <v>155</v>
      </c>
      <c r="G582" s="4"/>
      <c r="H582" s="4"/>
      <c r="I582" s="4" t="s">
        <v>140</v>
      </c>
      <c r="J582" s="4" t="s">
        <v>180</v>
      </c>
      <c r="K582" s="4" t="s">
        <v>151</v>
      </c>
      <c r="L582" s="4" t="s">
        <v>4176</v>
      </c>
      <c r="M582" s="4" t="s">
        <v>1272</v>
      </c>
      <c r="N582" s="4" t="s">
        <v>156</v>
      </c>
      <c r="O582" s="4" t="s">
        <v>120</v>
      </c>
      <c r="P582" s="4" t="s">
        <v>1273</v>
      </c>
    </row>
    <row r="583" spans="1:16" ht="15">
      <c r="A583" s="4" t="s">
        <v>1274</v>
      </c>
      <c r="B583" s="30">
        <v>39985</v>
      </c>
      <c r="C583" s="4"/>
      <c r="D583" s="4" t="s">
        <v>196</v>
      </c>
      <c r="E583" s="4" t="s">
        <v>170</v>
      </c>
      <c r="F583" s="4" t="s">
        <v>155</v>
      </c>
      <c r="G583" s="4"/>
      <c r="H583" s="4"/>
      <c r="I583" s="4" t="s">
        <v>139</v>
      </c>
      <c r="J583" s="4" t="s">
        <v>180</v>
      </c>
      <c r="K583" s="4" t="s">
        <v>144</v>
      </c>
      <c r="L583" s="4" t="s">
        <v>162</v>
      </c>
      <c r="M583" s="4" t="s">
        <v>1275</v>
      </c>
      <c r="N583" s="4" t="s">
        <v>155</v>
      </c>
      <c r="O583" s="4" t="s">
        <v>130</v>
      </c>
      <c r="P583" s="4"/>
    </row>
    <row r="584" spans="1:16" ht="15">
      <c r="A584" s="4" t="s">
        <v>1276</v>
      </c>
      <c r="B584" s="30">
        <v>40053</v>
      </c>
      <c r="C584" s="4"/>
      <c r="D584" s="4" t="s">
        <v>196</v>
      </c>
      <c r="E584" s="4" t="s">
        <v>170</v>
      </c>
      <c r="F584" s="4" t="s">
        <v>155</v>
      </c>
      <c r="G584" s="4">
        <v>5</v>
      </c>
      <c r="H584" s="4">
        <v>3</v>
      </c>
      <c r="I584" s="4" t="s">
        <v>139</v>
      </c>
      <c r="J584" s="4" t="s">
        <v>180</v>
      </c>
      <c r="K584" s="4" t="s">
        <v>146</v>
      </c>
      <c r="L584" s="4" t="s">
        <v>162</v>
      </c>
      <c r="M584" s="4" t="s">
        <v>176</v>
      </c>
      <c r="N584" s="4" t="s">
        <v>155</v>
      </c>
      <c r="O584" s="4" t="s">
        <v>129</v>
      </c>
      <c r="P584" s="4"/>
    </row>
    <row r="585" spans="1:16" ht="15">
      <c r="A585" s="4" t="s">
        <v>1277</v>
      </c>
      <c r="B585" s="30">
        <v>39945</v>
      </c>
      <c r="C585" s="4" t="s">
        <v>525</v>
      </c>
      <c r="D585" s="4" t="s">
        <v>193</v>
      </c>
      <c r="E585" s="4" t="s">
        <v>170</v>
      </c>
      <c r="F585" s="4" t="s">
        <v>155</v>
      </c>
      <c r="G585" s="4"/>
      <c r="H585" s="4"/>
      <c r="I585" s="4" t="s">
        <v>140</v>
      </c>
      <c r="J585" s="4" t="s">
        <v>180</v>
      </c>
      <c r="K585" s="4" t="s">
        <v>143</v>
      </c>
      <c r="L585" s="4" t="s">
        <v>162</v>
      </c>
      <c r="M585" s="4" t="s">
        <v>573</v>
      </c>
      <c r="N585" s="4" t="s">
        <v>155</v>
      </c>
      <c r="O585" s="4" t="s">
        <v>1113</v>
      </c>
      <c r="P585" s="4"/>
    </row>
    <row r="586" spans="1:16" ht="15">
      <c r="A586" s="4" t="s">
        <v>1278</v>
      </c>
      <c r="B586" s="30">
        <v>40008</v>
      </c>
      <c r="C586" s="4" t="s">
        <v>383</v>
      </c>
      <c r="D586" s="4" t="s">
        <v>193</v>
      </c>
      <c r="E586" s="4" t="s">
        <v>170</v>
      </c>
      <c r="F586" s="4" t="s">
        <v>155</v>
      </c>
      <c r="G586" s="4">
        <v>5</v>
      </c>
      <c r="H586" s="4">
        <v>3</v>
      </c>
      <c r="I586" s="4" t="s">
        <v>140</v>
      </c>
      <c r="J586" s="4" t="s">
        <v>180</v>
      </c>
      <c r="K586" s="4" t="s">
        <v>148</v>
      </c>
      <c r="L586" s="4" t="s">
        <v>4181</v>
      </c>
      <c r="M586" s="4" t="s">
        <v>173</v>
      </c>
      <c r="N586" s="4" t="s">
        <v>155</v>
      </c>
      <c r="O586" s="4" t="s">
        <v>510</v>
      </c>
      <c r="P586" s="4"/>
    </row>
    <row r="587" spans="1:16" ht="15">
      <c r="A587" s="4" t="s">
        <v>1279</v>
      </c>
      <c r="B587" s="30">
        <v>39934</v>
      </c>
      <c r="C587" s="4"/>
      <c r="D587" s="4" t="s">
        <v>4182</v>
      </c>
      <c r="E587" s="4" t="s">
        <v>170</v>
      </c>
      <c r="F587" s="4" t="s">
        <v>155</v>
      </c>
      <c r="G587" s="4"/>
      <c r="H587" s="4"/>
      <c r="I587" s="4" t="s">
        <v>139</v>
      </c>
      <c r="J587" s="4" t="s">
        <v>180</v>
      </c>
      <c r="K587" s="4" t="s">
        <v>142</v>
      </c>
      <c r="L587" s="4" t="s">
        <v>4181</v>
      </c>
      <c r="M587" s="4" t="s">
        <v>173</v>
      </c>
      <c r="N587" s="4" t="s">
        <v>155</v>
      </c>
      <c r="O587" s="4" t="s">
        <v>125</v>
      </c>
      <c r="P587" s="4"/>
    </row>
    <row r="588" spans="1:16" ht="15">
      <c r="A588" s="4" t="s">
        <v>1280</v>
      </c>
      <c r="B588" s="30">
        <v>39967</v>
      </c>
      <c r="C588" s="4" t="s">
        <v>9</v>
      </c>
      <c r="D588" s="4" t="s">
        <v>195</v>
      </c>
      <c r="E588" s="4" t="s">
        <v>170</v>
      </c>
      <c r="F588" s="4" t="s">
        <v>155</v>
      </c>
      <c r="G588" s="4"/>
      <c r="H588" s="4"/>
      <c r="I588" s="4" t="s">
        <v>139</v>
      </c>
      <c r="J588" s="4" t="s">
        <v>180</v>
      </c>
      <c r="K588" s="4" t="s">
        <v>146</v>
      </c>
      <c r="L588" s="4" t="s">
        <v>4181</v>
      </c>
      <c r="M588" s="4" t="s">
        <v>415</v>
      </c>
      <c r="N588" s="4" t="s">
        <v>155</v>
      </c>
      <c r="O588" s="4" t="s">
        <v>125</v>
      </c>
      <c r="P588" s="4"/>
    </row>
    <row r="589" spans="1:16" ht="15">
      <c r="A589" s="4" t="s">
        <v>1281</v>
      </c>
      <c r="B589" s="30">
        <v>39932</v>
      </c>
      <c r="C589" s="4"/>
      <c r="D589" s="4" t="s">
        <v>4183</v>
      </c>
      <c r="E589" s="4" t="s">
        <v>170</v>
      </c>
      <c r="F589" s="4" t="s">
        <v>155</v>
      </c>
      <c r="G589" s="4"/>
      <c r="H589" s="4"/>
      <c r="I589" s="4" t="s">
        <v>140</v>
      </c>
      <c r="J589" s="4" t="s">
        <v>180</v>
      </c>
      <c r="K589" s="4" t="s">
        <v>147</v>
      </c>
      <c r="L589" s="4" t="s">
        <v>4181</v>
      </c>
      <c r="M589" s="4" t="s">
        <v>173</v>
      </c>
      <c r="N589" s="4" t="s">
        <v>155</v>
      </c>
      <c r="O589" s="4" t="s">
        <v>124</v>
      </c>
      <c r="P589" s="4"/>
    </row>
    <row r="590" spans="1:16" ht="15">
      <c r="A590" s="4" t="s">
        <v>1282</v>
      </c>
      <c r="B590" s="30">
        <v>40012</v>
      </c>
      <c r="C590" s="4"/>
      <c r="D590" s="4" t="s">
        <v>196</v>
      </c>
      <c r="E590" s="4" t="s">
        <v>170</v>
      </c>
      <c r="F590" s="4" t="s">
        <v>155</v>
      </c>
      <c r="G590" s="4">
        <v>5</v>
      </c>
      <c r="H590" s="4">
        <v>3</v>
      </c>
      <c r="I590" s="4" t="s">
        <v>139</v>
      </c>
      <c r="J590" s="4" t="s">
        <v>576</v>
      </c>
      <c r="K590" s="4" t="s">
        <v>149</v>
      </c>
      <c r="L590" s="4" t="s">
        <v>162</v>
      </c>
      <c r="M590" s="4"/>
      <c r="N590" s="4" t="s">
        <v>155</v>
      </c>
      <c r="O590" s="4" t="s">
        <v>130</v>
      </c>
      <c r="P590" s="4"/>
    </row>
    <row r="591" spans="1:16" ht="15">
      <c r="A591" s="4" t="s">
        <v>1283</v>
      </c>
      <c r="B591" s="30">
        <v>39917</v>
      </c>
      <c r="C591" s="4"/>
      <c r="D591" s="4" t="s">
        <v>4183</v>
      </c>
      <c r="E591" s="4" t="s">
        <v>170</v>
      </c>
      <c r="F591" s="4" t="s">
        <v>155</v>
      </c>
      <c r="G591" s="4"/>
      <c r="H591" s="4"/>
      <c r="I591" s="4" t="s">
        <v>140</v>
      </c>
      <c r="J591" s="4" t="s">
        <v>180</v>
      </c>
      <c r="K591" s="4" t="s">
        <v>147</v>
      </c>
      <c r="L591" s="4" t="s">
        <v>4176</v>
      </c>
      <c r="M591" s="4" t="s">
        <v>498</v>
      </c>
      <c r="N591" s="4" t="s">
        <v>156</v>
      </c>
      <c r="O591" s="4" t="s">
        <v>120</v>
      </c>
      <c r="P591" s="4" t="s">
        <v>470</v>
      </c>
    </row>
    <row r="592" spans="1:16" ht="15">
      <c r="A592" s="4" t="s">
        <v>1284</v>
      </c>
      <c r="B592" s="30">
        <v>40031</v>
      </c>
      <c r="C592" s="4"/>
      <c r="D592" s="4" t="s">
        <v>195</v>
      </c>
      <c r="E592" s="4" t="s">
        <v>170</v>
      </c>
      <c r="F592" s="4" t="s">
        <v>155</v>
      </c>
      <c r="G592" s="4">
        <v>5</v>
      </c>
      <c r="H592" s="4">
        <v>3</v>
      </c>
      <c r="I592" s="4" t="s">
        <v>139</v>
      </c>
      <c r="J592" s="4" t="s">
        <v>180</v>
      </c>
      <c r="K592" s="4" t="s">
        <v>143</v>
      </c>
      <c r="L592" s="4" t="s">
        <v>162</v>
      </c>
      <c r="M592" s="4" t="s">
        <v>498</v>
      </c>
      <c r="N592" s="4" t="s">
        <v>155</v>
      </c>
      <c r="O592" s="4" t="s">
        <v>129</v>
      </c>
      <c r="P592" s="4"/>
    </row>
    <row r="593" spans="1:16" ht="15">
      <c r="A593" s="4" t="s">
        <v>1285</v>
      </c>
      <c r="B593" s="30">
        <v>40030</v>
      </c>
      <c r="C593" s="4" t="s">
        <v>383</v>
      </c>
      <c r="D593" s="4" t="s">
        <v>544</v>
      </c>
      <c r="E593" s="4" t="s">
        <v>170</v>
      </c>
      <c r="F593" s="4" t="s">
        <v>155</v>
      </c>
      <c r="G593" s="4">
        <v>5</v>
      </c>
      <c r="H593" s="4">
        <v>2</v>
      </c>
      <c r="I593" s="4" t="s">
        <v>139</v>
      </c>
      <c r="J593" s="4" t="s">
        <v>180</v>
      </c>
      <c r="K593" s="4" t="s">
        <v>150</v>
      </c>
      <c r="L593" s="4" t="s">
        <v>4176</v>
      </c>
      <c r="M593" s="4" t="s">
        <v>174</v>
      </c>
      <c r="N593" s="4" t="s">
        <v>157</v>
      </c>
      <c r="O593" s="4" t="s">
        <v>434</v>
      </c>
      <c r="P593" s="4" t="s">
        <v>435</v>
      </c>
    </row>
    <row r="594" spans="1:16" ht="15">
      <c r="A594" s="4" t="s">
        <v>1286</v>
      </c>
      <c r="B594" s="30">
        <v>39969</v>
      </c>
      <c r="C594" s="4"/>
      <c r="D594" s="4" t="s">
        <v>195</v>
      </c>
      <c r="E594" s="4" t="s">
        <v>170</v>
      </c>
      <c r="F594" s="4" t="s">
        <v>155</v>
      </c>
      <c r="G594" s="4"/>
      <c r="H594" s="4"/>
      <c r="I594" s="4" t="s">
        <v>139</v>
      </c>
      <c r="J594" s="4" t="s">
        <v>180</v>
      </c>
      <c r="K594" s="4" t="s">
        <v>149</v>
      </c>
      <c r="L594" s="4" t="s">
        <v>4176</v>
      </c>
      <c r="M594" s="4" t="s">
        <v>175</v>
      </c>
      <c r="N594" s="4" t="s">
        <v>159</v>
      </c>
      <c r="O594" s="4" t="s">
        <v>126</v>
      </c>
      <c r="P594" s="4" t="s">
        <v>601</v>
      </c>
    </row>
    <row r="595" spans="1:16" ht="15">
      <c r="A595" s="4" t="s">
        <v>1287</v>
      </c>
      <c r="B595" s="30">
        <v>40012</v>
      </c>
      <c r="C595" s="4" t="s">
        <v>9</v>
      </c>
      <c r="D595" s="4" t="s">
        <v>193</v>
      </c>
      <c r="E595" s="4" t="s">
        <v>170</v>
      </c>
      <c r="F595" s="4" t="s">
        <v>155</v>
      </c>
      <c r="G595" s="4">
        <v>5</v>
      </c>
      <c r="H595" s="4">
        <v>2</v>
      </c>
      <c r="I595" s="4" t="s">
        <v>140</v>
      </c>
      <c r="J595" s="4" t="s">
        <v>184</v>
      </c>
      <c r="K595" s="4" t="s">
        <v>146</v>
      </c>
      <c r="L595" s="4" t="s">
        <v>162</v>
      </c>
      <c r="M595" s="4" t="s">
        <v>459</v>
      </c>
      <c r="N595" s="4" t="s">
        <v>155</v>
      </c>
      <c r="O595" s="4" t="s">
        <v>129</v>
      </c>
      <c r="P595" s="4"/>
    </row>
    <row r="596" spans="1:16" ht="15">
      <c r="A596" s="4" t="s">
        <v>1288</v>
      </c>
      <c r="B596" s="30">
        <v>39996</v>
      </c>
      <c r="C596" s="4"/>
      <c r="D596" s="4" t="s">
        <v>196</v>
      </c>
      <c r="E596" s="4" t="s">
        <v>170</v>
      </c>
      <c r="F596" s="4" t="s">
        <v>155</v>
      </c>
      <c r="G596" s="4"/>
      <c r="H596" s="4"/>
      <c r="I596" s="4" t="s">
        <v>139</v>
      </c>
      <c r="J596" s="4" t="s">
        <v>180</v>
      </c>
      <c r="K596" s="4" t="s">
        <v>149</v>
      </c>
      <c r="L596" s="4" t="s">
        <v>162</v>
      </c>
      <c r="M596" s="4" t="s">
        <v>1289</v>
      </c>
      <c r="N596" s="4" t="s">
        <v>155</v>
      </c>
      <c r="O596" s="4" t="s">
        <v>127</v>
      </c>
      <c r="P596" s="4"/>
    </row>
    <row r="597" spans="1:16" ht="15">
      <c r="A597" s="4" t="s">
        <v>1290</v>
      </c>
      <c r="B597" s="30">
        <v>39930</v>
      </c>
      <c r="C597" s="4"/>
      <c r="D597" s="4" t="s">
        <v>4182</v>
      </c>
      <c r="E597" s="4" t="s">
        <v>170</v>
      </c>
      <c r="F597" s="4" t="s">
        <v>155</v>
      </c>
      <c r="G597" s="4"/>
      <c r="H597" s="4"/>
      <c r="I597" s="4" t="s">
        <v>139</v>
      </c>
      <c r="J597" s="4" t="s">
        <v>180</v>
      </c>
      <c r="K597" s="4" t="s">
        <v>150</v>
      </c>
      <c r="L597" s="4" t="s">
        <v>4176</v>
      </c>
      <c r="M597" s="4" t="s">
        <v>174</v>
      </c>
      <c r="N597" s="4" t="s">
        <v>157</v>
      </c>
      <c r="O597" s="4" t="s">
        <v>434</v>
      </c>
      <c r="P597" s="4" t="s">
        <v>1291</v>
      </c>
    </row>
    <row r="598" spans="1:16" ht="15">
      <c r="A598" s="4" t="s">
        <v>1292</v>
      </c>
      <c r="B598" s="30">
        <v>39934</v>
      </c>
      <c r="C598" s="4"/>
      <c r="D598" s="4" t="s">
        <v>4180</v>
      </c>
      <c r="E598" s="4" t="s">
        <v>170</v>
      </c>
      <c r="F598" s="4" t="s">
        <v>155</v>
      </c>
      <c r="G598" s="4"/>
      <c r="H598" s="4"/>
      <c r="I598" s="4" t="s">
        <v>139</v>
      </c>
      <c r="J598" s="4" t="s">
        <v>180</v>
      </c>
      <c r="K598" s="4" t="s">
        <v>147</v>
      </c>
      <c r="L598" s="4" t="s">
        <v>162</v>
      </c>
      <c r="M598" s="4" t="s">
        <v>175</v>
      </c>
      <c r="N598" s="4" t="s">
        <v>155</v>
      </c>
      <c r="O598" s="4" t="s">
        <v>127</v>
      </c>
      <c r="P598" s="4"/>
    </row>
    <row r="599" spans="1:16" ht="15">
      <c r="A599" s="4" t="s">
        <v>1293</v>
      </c>
      <c r="B599" s="30">
        <v>39969</v>
      </c>
      <c r="C599" s="4"/>
      <c r="D599" s="4" t="s">
        <v>193</v>
      </c>
      <c r="E599" s="4" t="s">
        <v>170</v>
      </c>
      <c r="F599" s="4" t="s">
        <v>155</v>
      </c>
      <c r="G599" s="4"/>
      <c r="H599" s="4"/>
      <c r="I599" s="4" t="s">
        <v>140</v>
      </c>
      <c r="J599" s="4" t="s">
        <v>180</v>
      </c>
      <c r="K599" s="4" t="s">
        <v>142</v>
      </c>
      <c r="L599" s="4" t="s">
        <v>4176</v>
      </c>
      <c r="M599" s="4" t="s">
        <v>550</v>
      </c>
      <c r="N599" s="4" t="s">
        <v>157</v>
      </c>
      <c r="O599" s="4" t="s">
        <v>434</v>
      </c>
      <c r="P599" s="4" t="s">
        <v>986</v>
      </c>
    </row>
    <row r="600" spans="1:16" ht="15">
      <c r="A600" s="4" t="s">
        <v>1294</v>
      </c>
      <c r="B600" s="30">
        <v>40011</v>
      </c>
      <c r="C600" s="4"/>
      <c r="D600" s="4" t="s">
        <v>196</v>
      </c>
      <c r="E600" s="4" t="s">
        <v>170</v>
      </c>
      <c r="F600" s="4" t="s">
        <v>155</v>
      </c>
      <c r="G600" s="4">
        <v>5</v>
      </c>
      <c r="H600" s="4">
        <v>2</v>
      </c>
      <c r="I600" s="4" t="s">
        <v>139</v>
      </c>
      <c r="J600" s="4" t="s">
        <v>576</v>
      </c>
      <c r="K600" s="4" t="s">
        <v>148</v>
      </c>
      <c r="L600" s="4" t="s">
        <v>4181</v>
      </c>
      <c r="M600" s="4" t="s">
        <v>1295</v>
      </c>
      <c r="N600" s="4" t="s">
        <v>155</v>
      </c>
      <c r="O600" s="4" t="s">
        <v>128</v>
      </c>
      <c r="P600" s="4"/>
    </row>
    <row r="601" spans="1:16" ht="15">
      <c r="A601" s="4" t="s">
        <v>1296</v>
      </c>
      <c r="B601" s="30">
        <v>39941</v>
      </c>
      <c r="C601" s="4"/>
      <c r="D601" s="4" t="s">
        <v>193</v>
      </c>
      <c r="E601" s="4" t="s">
        <v>170</v>
      </c>
      <c r="F601" s="4" t="s">
        <v>155</v>
      </c>
      <c r="G601" s="4"/>
      <c r="H601" s="4"/>
      <c r="I601" s="4" t="s">
        <v>140</v>
      </c>
      <c r="J601" s="4" t="s">
        <v>528</v>
      </c>
      <c r="K601" s="4" t="s">
        <v>147</v>
      </c>
      <c r="L601" s="4" t="s">
        <v>162</v>
      </c>
      <c r="M601" s="4" t="s">
        <v>459</v>
      </c>
      <c r="N601" s="4" t="s">
        <v>155</v>
      </c>
      <c r="O601" s="4" t="s">
        <v>130</v>
      </c>
      <c r="P601" s="4"/>
    </row>
    <row r="602" spans="1:16" ht="15">
      <c r="A602" s="4" t="s">
        <v>1297</v>
      </c>
      <c r="B602" s="30">
        <v>40075</v>
      </c>
      <c r="C602" s="4"/>
      <c r="D602" s="4" t="s">
        <v>193</v>
      </c>
      <c r="E602" s="4" t="s">
        <v>170</v>
      </c>
      <c r="F602" s="4" t="s">
        <v>155</v>
      </c>
      <c r="G602" s="4">
        <v>5</v>
      </c>
      <c r="H602" s="4">
        <v>3</v>
      </c>
      <c r="I602" s="4" t="s">
        <v>140</v>
      </c>
      <c r="J602" s="4" t="s">
        <v>179</v>
      </c>
      <c r="K602" s="4" t="s">
        <v>149</v>
      </c>
      <c r="L602" s="4" t="s">
        <v>4176</v>
      </c>
      <c r="M602" s="4" t="s">
        <v>174</v>
      </c>
      <c r="N602" s="4" t="s">
        <v>159</v>
      </c>
      <c r="O602" s="4" t="s">
        <v>123</v>
      </c>
      <c r="P602" s="4" t="s">
        <v>123</v>
      </c>
    </row>
    <row r="603" spans="1:16" ht="15">
      <c r="A603" s="4" t="s">
        <v>1298</v>
      </c>
      <c r="B603" s="30">
        <v>40028</v>
      </c>
      <c r="C603" s="4" t="s">
        <v>380</v>
      </c>
      <c r="D603" s="4" t="s">
        <v>196</v>
      </c>
      <c r="E603" s="4" t="s">
        <v>170</v>
      </c>
      <c r="F603" s="4" t="s">
        <v>155</v>
      </c>
      <c r="G603" s="4">
        <v>4</v>
      </c>
      <c r="H603" s="4">
        <v>4</v>
      </c>
      <c r="I603" s="4" t="s">
        <v>139</v>
      </c>
      <c r="J603" s="4" t="s">
        <v>409</v>
      </c>
      <c r="K603" s="4" t="s">
        <v>146</v>
      </c>
      <c r="L603" s="4" t="s">
        <v>4181</v>
      </c>
      <c r="M603" s="4" t="s">
        <v>173</v>
      </c>
      <c r="N603" s="4" t="s">
        <v>155</v>
      </c>
      <c r="O603" s="4" t="s">
        <v>128</v>
      </c>
      <c r="P603" s="4"/>
    </row>
    <row r="604" spans="1:16" ht="15">
      <c r="A604" s="4" t="s">
        <v>1299</v>
      </c>
      <c r="B604" s="30">
        <v>39981</v>
      </c>
      <c r="C604" s="4" t="s">
        <v>9</v>
      </c>
      <c r="D604" s="4" t="s">
        <v>193</v>
      </c>
      <c r="E604" s="4" t="s">
        <v>170</v>
      </c>
      <c r="F604" s="4" t="s">
        <v>155</v>
      </c>
      <c r="G604" s="4"/>
      <c r="H604" s="4"/>
      <c r="I604" s="4" t="s">
        <v>140</v>
      </c>
      <c r="J604" s="4" t="s">
        <v>409</v>
      </c>
      <c r="K604" s="4" t="s">
        <v>146</v>
      </c>
      <c r="L604" s="4" t="s">
        <v>4181</v>
      </c>
      <c r="M604" s="4" t="s">
        <v>173</v>
      </c>
      <c r="N604" s="4" t="s">
        <v>155</v>
      </c>
      <c r="O604" s="4" t="s">
        <v>128</v>
      </c>
      <c r="P604" s="4"/>
    </row>
    <row r="605" spans="1:16" ht="15">
      <c r="A605" s="4" t="s">
        <v>1300</v>
      </c>
      <c r="B605" s="30">
        <v>39963</v>
      </c>
      <c r="C605" s="4"/>
      <c r="D605" s="4" t="s">
        <v>194</v>
      </c>
      <c r="E605" s="4" t="s">
        <v>170</v>
      </c>
      <c r="F605" s="4" t="s">
        <v>155</v>
      </c>
      <c r="G605" s="4"/>
      <c r="H605" s="4"/>
      <c r="I605" s="4" t="s">
        <v>139</v>
      </c>
      <c r="J605" s="4" t="s">
        <v>178</v>
      </c>
      <c r="K605" s="4" t="s">
        <v>150</v>
      </c>
      <c r="L605" s="4" t="s">
        <v>162</v>
      </c>
      <c r="M605" s="4" t="s">
        <v>431</v>
      </c>
      <c r="N605" s="4" t="s">
        <v>155</v>
      </c>
      <c r="O605" s="4" t="s">
        <v>130</v>
      </c>
      <c r="P605" s="4"/>
    </row>
    <row r="606" spans="1:16" ht="15">
      <c r="A606" s="4" t="s">
        <v>1301</v>
      </c>
      <c r="B606" s="30">
        <v>39945</v>
      </c>
      <c r="C606" s="4"/>
      <c r="D606" s="4" t="s">
        <v>195</v>
      </c>
      <c r="E606" s="4" t="s">
        <v>170</v>
      </c>
      <c r="F606" s="4" t="s">
        <v>155</v>
      </c>
      <c r="G606" s="4"/>
      <c r="H606" s="4"/>
      <c r="I606" s="4" t="s">
        <v>139</v>
      </c>
      <c r="J606" s="4" t="s">
        <v>528</v>
      </c>
      <c r="K606" s="4" t="s">
        <v>147</v>
      </c>
      <c r="L606" s="4" t="s">
        <v>4181</v>
      </c>
      <c r="M606" s="4" t="s">
        <v>173</v>
      </c>
      <c r="N606" s="4" t="s">
        <v>155</v>
      </c>
      <c r="O606" s="4" t="s">
        <v>1302</v>
      </c>
      <c r="P606" s="4"/>
    </row>
    <row r="607" spans="1:16" ht="15">
      <c r="A607" s="4" t="s">
        <v>1303</v>
      </c>
      <c r="B607" s="30">
        <v>39998</v>
      </c>
      <c r="C607" s="4" t="s">
        <v>383</v>
      </c>
      <c r="D607" s="4" t="s">
        <v>193</v>
      </c>
      <c r="E607" s="4" t="s">
        <v>170</v>
      </c>
      <c r="F607" s="4" t="s">
        <v>155</v>
      </c>
      <c r="G607" s="4"/>
      <c r="H607" s="4">
        <v>5</v>
      </c>
      <c r="I607" s="4" t="s">
        <v>140</v>
      </c>
      <c r="J607" s="4" t="s">
        <v>528</v>
      </c>
      <c r="K607" s="4" t="s">
        <v>150</v>
      </c>
      <c r="L607" s="4" t="s">
        <v>4181</v>
      </c>
      <c r="M607" s="4" t="s">
        <v>173</v>
      </c>
      <c r="N607" s="4" t="s">
        <v>155</v>
      </c>
      <c r="O607" s="4" t="s">
        <v>510</v>
      </c>
      <c r="P607" s="4"/>
    </row>
    <row r="608" spans="1:16" ht="15">
      <c r="A608" s="4" t="s">
        <v>1304</v>
      </c>
      <c r="B608" s="30">
        <v>40063</v>
      </c>
      <c r="C608" s="4"/>
      <c r="D608" s="4" t="s">
        <v>193</v>
      </c>
      <c r="E608" s="4" t="s">
        <v>170</v>
      </c>
      <c r="F608" s="4" t="s">
        <v>155</v>
      </c>
      <c r="G608" s="4">
        <v>1</v>
      </c>
      <c r="H608" s="4">
        <v>4</v>
      </c>
      <c r="I608" s="4" t="s">
        <v>140</v>
      </c>
      <c r="J608" s="4" t="s">
        <v>528</v>
      </c>
      <c r="K608" s="4" t="s">
        <v>144</v>
      </c>
      <c r="L608" s="4" t="s">
        <v>162</v>
      </c>
      <c r="M608" s="4" t="s">
        <v>175</v>
      </c>
      <c r="N608" s="4" t="s">
        <v>155</v>
      </c>
      <c r="O608" s="4" t="s">
        <v>127</v>
      </c>
      <c r="P608" s="4"/>
    </row>
    <row r="609" spans="1:16" ht="15">
      <c r="A609" s="4" t="s">
        <v>1305</v>
      </c>
      <c r="B609" s="30">
        <v>40043</v>
      </c>
      <c r="C609" s="4"/>
      <c r="D609" s="4" t="s">
        <v>196</v>
      </c>
      <c r="E609" s="4" t="s">
        <v>170</v>
      </c>
      <c r="F609" s="4" t="s">
        <v>155</v>
      </c>
      <c r="G609" s="4">
        <v>5</v>
      </c>
      <c r="H609" s="4">
        <v>3</v>
      </c>
      <c r="I609" s="4" t="s">
        <v>139</v>
      </c>
      <c r="J609" s="4" t="s">
        <v>184</v>
      </c>
      <c r="K609" s="4" t="s">
        <v>148</v>
      </c>
      <c r="L609" s="4" t="s">
        <v>4181</v>
      </c>
      <c r="M609" s="4" t="s">
        <v>173</v>
      </c>
      <c r="N609" s="4" t="s">
        <v>155</v>
      </c>
      <c r="O609" s="4" t="s">
        <v>510</v>
      </c>
      <c r="P609" s="4"/>
    </row>
    <row r="610" spans="1:16" ht="15">
      <c r="A610" s="4" t="s">
        <v>1306</v>
      </c>
      <c r="B610" s="30">
        <v>39987</v>
      </c>
      <c r="C610" s="4"/>
      <c r="D610" s="4" t="s">
        <v>193</v>
      </c>
      <c r="E610" s="4" t="s">
        <v>170</v>
      </c>
      <c r="F610" s="4" t="s">
        <v>155</v>
      </c>
      <c r="G610" s="4"/>
      <c r="H610" s="4"/>
      <c r="I610" s="4" t="s">
        <v>140</v>
      </c>
      <c r="J610" s="4" t="s">
        <v>180</v>
      </c>
      <c r="K610" s="4" t="s">
        <v>148</v>
      </c>
      <c r="L610" s="4" t="s">
        <v>162</v>
      </c>
      <c r="M610" s="4" t="s">
        <v>459</v>
      </c>
      <c r="N610" s="4" t="s">
        <v>155</v>
      </c>
      <c r="O610" s="4" t="s">
        <v>130</v>
      </c>
      <c r="P610" s="4"/>
    </row>
    <row r="611" spans="1:16" ht="15">
      <c r="A611" s="4" t="s">
        <v>1307</v>
      </c>
      <c r="B611" s="30">
        <v>40074</v>
      </c>
      <c r="C611" s="4"/>
      <c r="D611" s="4" t="s">
        <v>193</v>
      </c>
      <c r="E611" s="4" t="s">
        <v>170</v>
      </c>
      <c r="F611" s="4" t="s">
        <v>155</v>
      </c>
      <c r="G611" s="4">
        <v>5</v>
      </c>
      <c r="H611" s="4">
        <v>5</v>
      </c>
      <c r="I611" s="4" t="s">
        <v>140</v>
      </c>
      <c r="J611" s="4" t="s">
        <v>189</v>
      </c>
      <c r="K611" s="4" t="s">
        <v>142</v>
      </c>
      <c r="L611" s="4" t="s">
        <v>4181</v>
      </c>
      <c r="M611" s="4" t="s">
        <v>1308</v>
      </c>
      <c r="N611" s="4" t="s">
        <v>155</v>
      </c>
      <c r="O611" s="4" t="s">
        <v>510</v>
      </c>
      <c r="P611" s="4"/>
    </row>
    <row r="612" spans="1:16" ht="15">
      <c r="A612" s="4" t="s">
        <v>1309</v>
      </c>
      <c r="B612" s="30">
        <v>39953</v>
      </c>
      <c r="C612" s="4"/>
      <c r="D612" s="4" t="s">
        <v>194</v>
      </c>
      <c r="E612" s="4" t="s">
        <v>170</v>
      </c>
      <c r="F612" s="4" t="s">
        <v>155</v>
      </c>
      <c r="G612" s="4"/>
      <c r="H612" s="4"/>
      <c r="I612" s="4" t="s">
        <v>139</v>
      </c>
      <c r="J612" s="4" t="s">
        <v>189</v>
      </c>
      <c r="K612" s="4" t="s">
        <v>147</v>
      </c>
      <c r="L612" s="4" t="s">
        <v>4181</v>
      </c>
      <c r="M612" s="4"/>
      <c r="N612" s="4" t="s">
        <v>155</v>
      </c>
      <c r="O612" s="4" t="s">
        <v>124</v>
      </c>
      <c r="P612" s="4"/>
    </row>
    <row r="613" spans="1:16" ht="15">
      <c r="A613" s="4" t="s">
        <v>1310</v>
      </c>
      <c r="B613" s="30">
        <v>40071</v>
      </c>
      <c r="C613" s="4" t="s">
        <v>383</v>
      </c>
      <c r="D613" s="4" t="s">
        <v>193</v>
      </c>
      <c r="E613" s="4" t="s">
        <v>170</v>
      </c>
      <c r="F613" s="4" t="s">
        <v>155</v>
      </c>
      <c r="G613" s="4">
        <v>5</v>
      </c>
      <c r="H613" s="4">
        <v>5</v>
      </c>
      <c r="I613" s="4" t="s">
        <v>140</v>
      </c>
      <c r="J613" s="4" t="s">
        <v>189</v>
      </c>
      <c r="K613" s="4" t="s">
        <v>148</v>
      </c>
      <c r="L613" s="4" t="s">
        <v>4176</v>
      </c>
      <c r="M613" s="4" t="s">
        <v>578</v>
      </c>
      <c r="N613" s="4" t="s">
        <v>157</v>
      </c>
      <c r="O613" s="4" t="s">
        <v>127</v>
      </c>
      <c r="P613" s="4" t="s">
        <v>153</v>
      </c>
    </row>
    <row r="614" spans="1:16" ht="15">
      <c r="A614" s="4" t="s">
        <v>1311</v>
      </c>
      <c r="B614" s="30">
        <v>40074</v>
      </c>
      <c r="C614" s="4"/>
      <c r="D614" s="4" t="s">
        <v>544</v>
      </c>
      <c r="E614" s="4" t="s">
        <v>170</v>
      </c>
      <c r="F614" s="4" t="s">
        <v>155</v>
      </c>
      <c r="G614" s="4">
        <v>2</v>
      </c>
      <c r="H614" s="4">
        <v>5</v>
      </c>
      <c r="I614" s="4" t="s">
        <v>139</v>
      </c>
      <c r="J614" s="4" t="s">
        <v>182</v>
      </c>
      <c r="K614" s="4" t="s">
        <v>146</v>
      </c>
      <c r="L614" s="4" t="s">
        <v>162</v>
      </c>
      <c r="M614" s="4"/>
      <c r="N614" s="4" t="s">
        <v>155</v>
      </c>
      <c r="O614" s="4" t="s">
        <v>129</v>
      </c>
      <c r="P614" s="4"/>
    </row>
    <row r="615" spans="1:16" ht="15">
      <c r="A615" s="4" t="s">
        <v>1312</v>
      </c>
      <c r="B615" s="30">
        <v>40025</v>
      </c>
      <c r="C615" s="4" t="s">
        <v>9</v>
      </c>
      <c r="D615" s="4" t="s">
        <v>195</v>
      </c>
      <c r="E615" s="4" t="s">
        <v>170</v>
      </c>
      <c r="F615" s="4" t="s">
        <v>155</v>
      </c>
      <c r="G615" s="4">
        <v>5</v>
      </c>
      <c r="H615" s="4">
        <v>4</v>
      </c>
      <c r="I615" s="4" t="s">
        <v>139</v>
      </c>
      <c r="J615" s="4" t="s">
        <v>182</v>
      </c>
      <c r="K615" s="4" t="s">
        <v>142</v>
      </c>
      <c r="L615" s="4" t="s">
        <v>4181</v>
      </c>
      <c r="M615" s="4" t="s">
        <v>173</v>
      </c>
      <c r="N615" s="4" t="s">
        <v>155</v>
      </c>
      <c r="O615" s="4" t="s">
        <v>501</v>
      </c>
      <c r="P615" s="4"/>
    </row>
    <row r="616" spans="1:16" ht="15">
      <c r="A616" s="4" t="s">
        <v>1313</v>
      </c>
      <c r="B616" s="30">
        <v>39972</v>
      </c>
      <c r="C616" s="4" t="s">
        <v>9</v>
      </c>
      <c r="D616" s="4" t="s">
        <v>193</v>
      </c>
      <c r="E616" s="4" t="s">
        <v>170</v>
      </c>
      <c r="F616" s="4" t="s">
        <v>155</v>
      </c>
      <c r="G616" s="4"/>
      <c r="H616" s="4"/>
      <c r="I616" s="4" t="s">
        <v>140</v>
      </c>
      <c r="J616" s="4" t="s">
        <v>182</v>
      </c>
      <c r="K616" s="4" t="s">
        <v>143</v>
      </c>
      <c r="L616" s="4" t="s">
        <v>165</v>
      </c>
      <c r="M616" s="4" t="s">
        <v>1314</v>
      </c>
      <c r="N616" s="4" t="s">
        <v>158</v>
      </c>
      <c r="O616" s="4" t="s">
        <v>122</v>
      </c>
      <c r="P616" s="4"/>
    </row>
    <row r="617" spans="1:16" ht="15">
      <c r="A617" s="4" t="s">
        <v>1315</v>
      </c>
      <c r="B617" s="30">
        <v>39919</v>
      </c>
      <c r="C617" s="4" t="s">
        <v>9</v>
      </c>
      <c r="D617" s="4" t="s">
        <v>4183</v>
      </c>
      <c r="E617" s="4" t="s">
        <v>170</v>
      </c>
      <c r="F617" s="4" t="s">
        <v>155</v>
      </c>
      <c r="G617" s="4"/>
      <c r="H617" s="4"/>
      <c r="I617" s="4" t="s">
        <v>140</v>
      </c>
      <c r="J617" s="4" t="s">
        <v>576</v>
      </c>
      <c r="K617" s="4" t="s">
        <v>147</v>
      </c>
      <c r="L617" s="4" t="s">
        <v>4181</v>
      </c>
      <c r="M617" s="4" t="s">
        <v>173</v>
      </c>
      <c r="N617" s="4" t="s">
        <v>155</v>
      </c>
      <c r="O617" s="4" t="s">
        <v>406</v>
      </c>
      <c r="P617" s="4"/>
    </row>
    <row r="618" spans="1:16" ht="15">
      <c r="A618" s="4" t="s">
        <v>1316</v>
      </c>
      <c r="B618" s="30">
        <v>40076</v>
      </c>
      <c r="C618" s="4"/>
      <c r="D618" s="4" t="s">
        <v>195</v>
      </c>
      <c r="E618" s="4" t="s">
        <v>170</v>
      </c>
      <c r="F618" s="4" t="s">
        <v>155</v>
      </c>
      <c r="G618" s="4">
        <v>5</v>
      </c>
      <c r="H618" s="4">
        <v>2</v>
      </c>
      <c r="I618" s="4" t="s">
        <v>139</v>
      </c>
      <c r="J618" s="4" t="s">
        <v>433</v>
      </c>
      <c r="K618" s="4" t="s">
        <v>144</v>
      </c>
      <c r="L618" s="4" t="s">
        <v>4176</v>
      </c>
      <c r="M618" s="4" t="s">
        <v>1218</v>
      </c>
      <c r="N618" s="4" t="s">
        <v>156</v>
      </c>
      <c r="O618" s="4" t="s">
        <v>120</v>
      </c>
      <c r="P618" s="4" t="s">
        <v>662</v>
      </c>
    </row>
    <row r="619" spans="1:16" ht="15">
      <c r="A619" s="4" t="s">
        <v>1317</v>
      </c>
      <c r="B619" s="30">
        <v>40007</v>
      </c>
      <c r="C619" s="4"/>
      <c r="D619" s="4" t="s">
        <v>193</v>
      </c>
      <c r="E619" s="4" t="s">
        <v>170</v>
      </c>
      <c r="F619" s="4" t="s">
        <v>155</v>
      </c>
      <c r="G619" s="4">
        <v>1</v>
      </c>
      <c r="H619" s="4">
        <v>5</v>
      </c>
      <c r="I619" s="4" t="s">
        <v>140</v>
      </c>
      <c r="J619" s="4" t="s">
        <v>528</v>
      </c>
      <c r="K619" s="4" t="s">
        <v>144</v>
      </c>
      <c r="L619" s="4" t="s">
        <v>4176</v>
      </c>
      <c r="M619" s="4" t="s">
        <v>174</v>
      </c>
      <c r="N619" s="4" t="s">
        <v>157</v>
      </c>
      <c r="O619" s="4" t="s">
        <v>130</v>
      </c>
      <c r="P619" s="4" t="s">
        <v>423</v>
      </c>
    </row>
    <row r="620" spans="1:16" ht="15">
      <c r="A620" s="4" t="s">
        <v>1318</v>
      </c>
      <c r="B620" s="30">
        <v>40073</v>
      </c>
      <c r="C620" s="4" t="s">
        <v>383</v>
      </c>
      <c r="D620" s="4" t="s">
        <v>197</v>
      </c>
      <c r="E620" s="4" t="s">
        <v>170</v>
      </c>
      <c r="F620" s="4" t="s">
        <v>155</v>
      </c>
      <c r="G620" s="4">
        <v>3</v>
      </c>
      <c r="H620" s="4">
        <v>2</v>
      </c>
      <c r="I620" s="4" t="s">
        <v>139</v>
      </c>
      <c r="J620" s="4" t="s">
        <v>591</v>
      </c>
      <c r="K620" s="4" t="s">
        <v>145</v>
      </c>
      <c r="L620" s="4" t="s">
        <v>4176</v>
      </c>
      <c r="M620" s="4" t="s">
        <v>174</v>
      </c>
      <c r="N620" s="4" t="s">
        <v>157</v>
      </c>
      <c r="O620" s="4" t="s">
        <v>434</v>
      </c>
      <c r="P620" s="4" t="s">
        <v>435</v>
      </c>
    </row>
    <row r="621" spans="1:16" ht="15">
      <c r="A621" s="4" t="s">
        <v>1319</v>
      </c>
      <c r="B621" s="30">
        <v>40021</v>
      </c>
      <c r="C621" s="4"/>
      <c r="D621" s="4" t="s">
        <v>195</v>
      </c>
      <c r="E621" s="4" t="s">
        <v>170</v>
      </c>
      <c r="F621" s="4" t="s">
        <v>155</v>
      </c>
      <c r="G621" s="4">
        <v>5</v>
      </c>
      <c r="H621" s="4">
        <v>3</v>
      </c>
      <c r="I621" s="4" t="s">
        <v>139</v>
      </c>
      <c r="J621" s="4" t="s">
        <v>181</v>
      </c>
      <c r="K621" s="4" t="s">
        <v>146</v>
      </c>
      <c r="L621" s="4" t="s">
        <v>162</v>
      </c>
      <c r="M621" s="4" t="s">
        <v>622</v>
      </c>
      <c r="N621" s="4" t="s">
        <v>155</v>
      </c>
      <c r="O621" s="4" t="s">
        <v>130</v>
      </c>
      <c r="P621" s="4"/>
    </row>
    <row r="622" spans="1:16" ht="15">
      <c r="A622" s="4" t="s">
        <v>1320</v>
      </c>
      <c r="B622" s="30">
        <v>40082</v>
      </c>
      <c r="C622" s="4"/>
      <c r="D622" s="4" t="s">
        <v>193</v>
      </c>
      <c r="E622" s="4" t="s">
        <v>170</v>
      </c>
      <c r="F622" s="4" t="s">
        <v>155</v>
      </c>
      <c r="G622" s="4">
        <v>5</v>
      </c>
      <c r="H622" s="4">
        <v>2</v>
      </c>
      <c r="I622" s="4" t="s">
        <v>140</v>
      </c>
      <c r="J622" s="4" t="s">
        <v>191</v>
      </c>
      <c r="K622" s="4" t="s">
        <v>144</v>
      </c>
      <c r="L622" s="4" t="s">
        <v>4181</v>
      </c>
      <c r="M622" s="4" t="s">
        <v>173</v>
      </c>
      <c r="N622" s="4" t="s">
        <v>155</v>
      </c>
      <c r="O622" s="4" t="s">
        <v>130</v>
      </c>
      <c r="P622" s="4"/>
    </row>
    <row r="623" spans="1:16" ht="15">
      <c r="A623" s="4" t="s">
        <v>1321</v>
      </c>
      <c r="B623" s="30">
        <v>39916</v>
      </c>
      <c r="C623" s="4"/>
      <c r="D623" s="4" t="s">
        <v>4177</v>
      </c>
      <c r="E623" s="4" t="s">
        <v>170</v>
      </c>
      <c r="F623" s="4" t="s">
        <v>155</v>
      </c>
      <c r="G623" s="4"/>
      <c r="H623" s="4"/>
      <c r="I623" s="4" t="s">
        <v>139</v>
      </c>
      <c r="J623" s="4" t="s">
        <v>178</v>
      </c>
      <c r="K623" s="4" t="s">
        <v>147</v>
      </c>
      <c r="L623" s="4" t="s">
        <v>4181</v>
      </c>
      <c r="M623" s="4" t="s">
        <v>1322</v>
      </c>
      <c r="N623" s="4" t="s">
        <v>161</v>
      </c>
      <c r="O623" s="4" t="s">
        <v>1323</v>
      </c>
      <c r="P623" s="4"/>
    </row>
    <row r="624" spans="1:16" ht="15">
      <c r="A624" s="4" t="s">
        <v>1324</v>
      </c>
      <c r="B624" s="30">
        <v>40064</v>
      </c>
      <c r="C624" s="4"/>
      <c r="D624" s="4" t="s">
        <v>193</v>
      </c>
      <c r="E624" s="4" t="s">
        <v>170</v>
      </c>
      <c r="F624" s="4" t="s">
        <v>155</v>
      </c>
      <c r="G624" s="4">
        <v>5</v>
      </c>
      <c r="H624" s="4">
        <v>5</v>
      </c>
      <c r="I624" s="4" t="s">
        <v>140</v>
      </c>
      <c r="J624" s="4" t="s">
        <v>591</v>
      </c>
      <c r="K624" s="4" t="s">
        <v>144</v>
      </c>
      <c r="L624" s="4" t="s">
        <v>4176</v>
      </c>
      <c r="M624" s="4" t="s">
        <v>174</v>
      </c>
      <c r="N624" s="4" t="s">
        <v>157</v>
      </c>
      <c r="O624" s="4" t="s">
        <v>127</v>
      </c>
      <c r="P624" s="4" t="s">
        <v>153</v>
      </c>
    </row>
    <row r="625" spans="1:16" ht="15">
      <c r="A625" s="4" t="s">
        <v>1325</v>
      </c>
      <c r="B625" s="30">
        <v>40056</v>
      </c>
      <c r="C625" s="4" t="s">
        <v>383</v>
      </c>
      <c r="D625" s="4" t="s">
        <v>193</v>
      </c>
      <c r="E625" s="4" t="s">
        <v>170</v>
      </c>
      <c r="F625" s="4" t="s">
        <v>155</v>
      </c>
      <c r="G625" s="4">
        <v>5</v>
      </c>
      <c r="H625" s="4">
        <v>2</v>
      </c>
      <c r="I625" s="4" t="s">
        <v>140</v>
      </c>
      <c r="J625" s="4" t="s">
        <v>184</v>
      </c>
      <c r="K625" s="4" t="s">
        <v>143</v>
      </c>
      <c r="L625" s="4" t="s">
        <v>4176</v>
      </c>
      <c r="M625" s="4" t="s">
        <v>174</v>
      </c>
      <c r="N625" s="4" t="s">
        <v>156</v>
      </c>
      <c r="O625" s="4" t="s">
        <v>120</v>
      </c>
      <c r="P625" s="4" t="s">
        <v>794</v>
      </c>
    </row>
    <row r="626" spans="1:16" ht="15">
      <c r="A626" s="4" t="s">
        <v>1326</v>
      </c>
      <c r="B626" s="30">
        <v>39972</v>
      </c>
      <c r="C626" s="4"/>
      <c r="D626" s="4" t="s">
        <v>195</v>
      </c>
      <c r="E626" s="4" t="s">
        <v>170</v>
      </c>
      <c r="F626" s="4" t="s">
        <v>155</v>
      </c>
      <c r="G626" s="4"/>
      <c r="H626" s="4"/>
      <c r="I626" s="4" t="s">
        <v>139</v>
      </c>
      <c r="J626" s="4" t="s">
        <v>409</v>
      </c>
      <c r="K626" s="4" t="s">
        <v>144</v>
      </c>
      <c r="L626" s="4" t="s">
        <v>4176</v>
      </c>
      <c r="M626" s="4" t="s">
        <v>174</v>
      </c>
      <c r="N626" s="4" t="s">
        <v>157</v>
      </c>
      <c r="O626" s="4" t="s">
        <v>571</v>
      </c>
      <c r="P626" s="4" t="s">
        <v>636</v>
      </c>
    </row>
    <row r="627" spans="1:16" ht="15">
      <c r="A627" s="4" t="s">
        <v>1327</v>
      </c>
      <c r="B627" s="30">
        <v>40013</v>
      </c>
      <c r="C627" s="4"/>
      <c r="D627" s="4" t="s">
        <v>193</v>
      </c>
      <c r="E627" s="4" t="s">
        <v>170</v>
      </c>
      <c r="F627" s="4" t="s">
        <v>155</v>
      </c>
      <c r="G627" s="4">
        <v>5</v>
      </c>
      <c r="H627" s="4">
        <v>3</v>
      </c>
      <c r="I627" s="4" t="s">
        <v>140</v>
      </c>
      <c r="J627" s="4" t="s">
        <v>184</v>
      </c>
      <c r="K627" s="4" t="s">
        <v>143</v>
      </c>
      <c r="L627" s="4" t="s">
        <v>4176</v>
      </c>
      <c r="M627" s="4" t="s">
        <v>174</v>
      </c>
      <c r="N627" s="4" t="s">
        <v>156</v>
      </c>
      <c r="O627" s="4" t="s">
        <v>120</v>
      </c>
      <c r="P627" s="4" t="s">
        <v>1328</v>
      </c>
    </row>
    <row r="628" spans="1:16" ht="15">
      <c r="A628" s="4" t="s">
        <v>1329</v>
      </c>
      <c r="B628" s="30">
        <v>39917</v>
      </c>
      <c r="C628" s="4"/>
      <c r="D628" s="4" t="s">
        <v>4182</v>
      </c>
      <c r="E628" s="4" t="s">
        <v>170</v>
      </c>
      <c r="F628" s="4" t="s">
        <v>155</v>
      </c>
      <c r="G628" s="4"/>
      <c r="H628" s="4"/>
      <c r="I628" s="4" t="s">
        <v>139</v>
      </c>
      <c r="J628" s="4" t="s">
        <v>937</v>
      </c>
      <c r="K628" s="4" t="s">
        <v>147</v>
      </c>
      <c r="L628" s="4" t="s">
        <v>4176</v>
      </c>
      <c r="M628" s="4" t="s">
        <v>174</v>
      </c>
      <c r="N628" s="4" t="s">
        <v>156</v>
      </c>
      <c r="O628" s="4" t="s">
        <v>120</v>
      </c>
      <c r="P628" s="4" t="s">
        <v>794</v>
      </c>
    </row>
    <row r="629" spans="1:16" ht="15">
      <c r="A629" s="4" t="s">
        <v>1330</v>
      </c>
      <c r="B629" s="30">
        <v>39925</v>
      </c>
      <c r="C629" s="4"/>
      <c r="D629" s="4" t="s">
        <v>4180</v>
      </c>
      <c r="E629" s="4" t="s">
        <v>170</v>
      </c>
      <c r="F629" s="4" t="s">
        <v>155</v>
      </c>
      <c r="G629" s="4"/>
      <c r="H629" s="4"/>
      <c r="I629" s="4" t="s">
        <v>139</v>
      </c>
      <c r="J629" s="4" t="s">
        <v>178</v>
      </c>
      <c r="K629" s="4" t="s">
        <v>147</v>
      </c>
      <c r="L629" s="4" t="s">
        <v>4181</v>
      </c>
      <c r="M629" s="4" t="s">
        <v>1331</v>
      </c>
      <c r="N629" s="4" t="s">
        <v>155</v>
      </c>
      <c r="O629" s="4" t="s">
        <v>387</v>
      </c>
      <c r="P629" s="4"/>
    </row>
    <row r="630" spans="1:16" ht="15">
      <c r="A630" s="4" t="s">
        <v>1332</v>
      </c>
      <c r="B630" s="30">
        <v>39919</v>
      </c>
      <c r="C630" s="4"/>
      <c r="D630" s="4" t="s">
        <v>4177</v>
      </c>
      <c r="E630" s="4" t="s">
        <v>170</v>
      </c>
      <c r="F630" s="4" t="s">
        <v>155</v>
      </c>
      <c r="G630" s="4"/>
      <c r="H630" s="4"/>
      <c r="I630" s="4" t="s">
        <v>139</v>
      </c>
      <c r="J630" s="4" t="s">
        <v>180</v>
      </c>
      <c r="K630" s="4" t="s">
        <v>142</v>
      </c>
      <c r="L630" s="4" t="s">
        <v>4176</v>
      </c>
      <c r="M630" s="4" t="s">
        <v>550</v>
      </c>
      <c r="N630" s="4" t="s">
        <v>160</v>
      </c>
      <c r="O630" s="4" t="s">
        <v>392</v>
      </c>
      <c r="P630" s="4" t="s">
        <v>393</v>
      </c>
    </row>
    <row r="631" spans="1:16" ht="15">
      <c r="A631" s="4" t="s">
        <v>1333</v>
      </c>
      <c r="B631" s="30">
        <v>40072</v>
      </c>
      <c r="C631" s="4" t="s">
        <v>383</v>
      </c>
      <c r="D631" s="4" t="s">
        <v>197</v>
      </c>
      <c r="E631" s="4" t="s">
        <v>170</v>
      </c>
      <c r="F631" s="4" t="s">
        <v>155</v>
      </c>
      <c r="G631" s="4">
        <v>5</v>
      </c>
      <c r="H631" s="4">
        <v>4</v>
      </c>
      <c r="I631" s="4" t="s">
        <v>139</v>
      </c>
      <c r="J631" s="4" t="s">
        <v>179</v>
      </c>
      <c r="K631" s="4" t="s">
        <v>144</v>
      </c>
      <c r="L631" s="4" t="s">
        <v>4181</v>
      </c>
      <c r="M631" s="4" t="s">
        <v>173</v>
      </c>
      <c r="N631" s="4" t="s">
        <v>155</v>
      </c>
      <c r="O631" s="4" t="s">
        <v>956</v>
      </c>
      <c r="P631" s="4"/>
    </row>
    <row r="632" spans="1:16" ht="15">
      <c r="A632" s="4" t="s">
        <v>1334</v>
      </c>
      <c r="B632" s="30">
        <v>39931</v>
      </c>
      <c r="C632" s="4"/>
      <c r="D632" s="4" t="s">
        <v>4182</v>
      </c>
      <c r="E632" s="4" t="s">
        <v>170</v>
      </c>
      <c r="F632" s="4" t="s">
        <v>155</v>
      </c>
      <c r="G632" s="4"/>
      <c r="H632" s="4"/>
      <c r="I632" s="4" t="s">
        <v>139</v>
      </c>
      <c r="J632" s="4" t="s">
        <v>179</v>
      </c>
      <c r="K632" s="4" t="s">
        <v>143</v>
      </c>
      <c r="L632" s="4" t="s">
        <v>4176</v>
      </c>
      <c r="M632" s="4" t="s">
        <v>550</v>
      </c>
      <c r="N632" s="4" t="s">
        <v>156</v>
      </c>
      <c r="O632" s="4" t="s">
        <v>120</v>
      </c>
      <c r="P632" s="4" t="s">
        <v>741</v>
      </c>
    </row>
    <row r="633" spans="1:16" ht="15">
      <c r="A633" s="4" t="s">
        <v>1335</v>
      </c>
      <c r="B633" s="30">
        <v>39945</v>
      </c>
      <c r="C633" s="4"/>
      <c r="D633" s="4" t="s">
        <v>195</v>
      </c>
      <c r="E633" s="4" t="s">
        <v>170</v>
      </c>
      <c r="F633" s="4" t="s">
        <v>155</v>
      </c>
      <c r="G633" s="4"/>
      <c r="H633" s="4"/>
      <c r="I633" s="4" t="s">
        <v>139</v>
      </c>
      <c r="J633" s="4" t="s">
        <v>179</v>
      </c>
      <c r="K633" s="4" t="s">
        <v>151</v>
      </c>
      <c r="L633" s="4" t="s">
        <v>4181</v>
      </c>
      <c r="M633" s="4" t="s">
        <v>415</v>
      </c>
      <c r="N633" s="4" t="s">
        <v>155</v>
      </c>
      <c r="O633" s="4" t="s">
        <v>125</v>
      </c>
      <c r="P633" s="4"/>
    </row>
    <row r="634" spans="1:16" ht="15">
      <c r="A634" s="4" t="s">
        <v>1336</v>
      </c>
      <c r="B634" s="30">
        <v>39980</v>
      </c>
      <c r="C634" s="4"/>
      <c r="D634" s="4" t="s">
        <v>193</v>
      </c>
      <c r="E634" s="4" t="s">
        <v>170</v>
      </c>
      <c r="F634" s="4" t="s">
        <v>155</v>
      </c>
      <c r="G634" s="4"/>
      <c r="H634" s="4"/>
      <c r="I634" s="4" t="s">
        <v>140</v>
      </c>
      <c r="J634" s="4" t="s">
        <v>184</v>
      </c>
      <c r="K634" s="4" t="s">
        <v>150</v>
      </c>
      <c r="L634" s="4" t="s">
        <v>4181</v>
      </c>
      <c r="M634" s="4"/>
      <c r="N634" s="4" t="s">
        <v>155</v>
      </c>
      <c r="O634" s="4" t="s">
        <v>467</v>
      </c>
      <c r="P634" s="4"/>
    </row>
    <row r="635" spans="1:16" ht="15">
      <c r="A635" s="4" t="s">
        <v>1337</v>
      </c>
      <c r="B635" s="30">
        <v>40031</v>
      </c>
      <c r="C635" s="4" t="s">
        <v>496</v>
      </c>
      <c r="D635" s="4" t="s">
        <v>193</v>
      </c>
      <c r="E635" s="4" t="s">
        <v>170</v>
      </c>
      <c r="F635" s="4" t="s">
        <v>155</v>
      </c>
      <c r="G635" s="4">
        <v>5</v>
      </c>
      <c r="H635" s="4">
        <v>5</v>
      </c>
      <c r="I635" s="4" t="s">
        <v>140</v>
      </c>
      <c r="J635" s="4" t="s">
        <v>184</v>
      </c>
      <c r="K635" s="4" t="s">
        <v>148</v>
      </c>
      <c r="L635" s="4" t="s">
        <v>4181</v>
      </c>
      <c r="M635" s="4" t="s">
        <v>173</v>
      </c>
      <c r="N635" s="4" t="s">
        <v>155</v>
      </c>
      <c r="O635" s="4" t="s">
        <v>128</v>
      </c>
      <c r="P635" s="4"/>
    </row>
    <row r="636" spans="1:16" ht="15">
      <c r="A636" s="4" t="s">
        <v>1338</v>
      </c>
      <c r="B636" s="30">
        <v>39967</v>
      </c>
      <c r="C636" s="4"/>
      <c r="D636" s="4" t="s">
        <v>193</v>
      </c>
      <c r="E636" s="4" t="s">
        <v>170</v>
      </c>
      <c r="F636" s="4" t="s">
        <v>155</v>
      </c>
      <c r="G636" s="4"/>
      <c r="H636" s="4"/>
      <c r="I636" s="4" t="s">
        <v>140</v>
      </c>
      <c r="J636" s="4" t="s">
        <v>409</v>
      </c>
      <c r="K636" s="4" t="s">
        <v>145</v>
      </c>
      <c r="L636" s="4" t="s">
        <v>4176</v>
      </c>
      <c r="M636" s="4" t="s">
        <v>174</v>
      </c>
      <c r="N636" s="4" t="s">
        <v>157</v>
      </c>
      <c r="O636" s="4" t="s">
        <v>130</v>
      </c>
      <c r="P636" s="4" t="s">
        <v>437</v>
      </c>
    </row>
    <row r="637" spans="1:16" ht="15">
      <c r="A637" s="4" t="s">
        <v>1339</v>
      </c>
      <c r="B637" s="30">
        <v>39975</v>
      </c>
      <c r="C637" s="4"/>
      <c r="D637" s="4" t="s">
        <v>193</v>
      </c>
      <c r="E637" s="4" t="s">
        <v>170</v>
      </c>
      <c r="F637" s="4" t="s">
        <v>155</v>
      </c>
      <c r="G637" s="4"/>
      <c r="H637" s="4"/>
      <c r="I637" s="4" t="s">
        <v>140</v>
      </c>
      <c r="J637" s="4" t="s">
        <v>188</v>
      </c>
      <c r="K637" s="4" t="s">
        <v>150</v>
      </c>
      <c r="L637" s="4" t="s">
        <v>4176</v>
      </c>
      <c r="M637" s="4" t="s">
        <v>174</v>
      </c>
      <c r="N637" s="4" t="s">
        <v>156</v>
      </c>
      <c r="O637" s="4" t="s">
        <v>120</v>
      </c>
      <c r="P637" s="4" t="s">
        <v>794</v>
      </c>
    </row>
    <row r="638" spans="1:16" ht="15">
      <c r="A638" s="4" t="s">
        <v>1340</v>
      </c>
      <c r="B638" s="30">
        <v>39958</v>
      </c>
      <c r="C638" s="4"/>
      <c r="D638" s="4" t="s">
        <v>195</v>
      </c>
      <c r="E638" s="4" t="s">
        <v>170</v>
      </c>
      <c r="F638" s="4" t="s">
        <v>155</v>
      </c>
      <c r="G638" s="4"/>
      <c r="H638" s="4"/>
      <c r="I638" s="4" t="s">
        <v>139</v>
      </c>
      <c r="J638" s="4" t="s">
        <v>188</v>
      </c>
      <c r="K638" s="4" t="s">
        <v>150</v>
      </c>
      <c r="L638" s="4" t="s">
        <v>4176</v>
      </c>
      <c r="M638" s="4" t="s">
        <v>174</v>
      </c>
      <c r="N638" s="4" t="s">
        <v>157</v>
      </c>
      <c r="O638" s="4" t="s">
        <v>130</v>
      </c>
      <c r="P638" s="4" t="s">
        <v>437</v>
      </c>
    </row>
    <row r="639" spans="1:16" ht="15">
      <c r="A639" s="4" t="s">
        <v>1341</v>
      </c>
      <c r="B639" s="30">
        <v>40021</v>
      </c>
      <c r="C639" s="4"/>
      <c r="D639" s="4" t="s">
        <v>193</v>
      </c>
      <c r="E639" s="4" t="s">
        <v>170</v>
      </c>
      <c r="F639" s="4" t="s">
        <v>155</v>
      </c>
      <c r="G639" s="4">
        <v>5</v>
      </c>
      <c r="H639" s="4">
        <v>5</v>
      </c>
      <c r="I639" s="4" t="s">
        <v>140</v>
      </c>
      <c r="J639" s="4" t="s">
        <v>603</v>
      </c>
      <c r="K639" s="4" t="s">
        <v>142</v>
      </c>
      <c r="L639" s="4" t="s">
        <v>162</v>
      </c>
      <c r="M639" s="4"/>
      <c r="N639" s="4" t="s">
        <v>155</v>
      </c>
      <c r="O639" s="4" t="s">
        <v>130</v>
      </c>
      <c r="P639" s="4"/>
    </row>
    <row r="640" spans="1:16" ht="15">
      <c r="A640" s="4" t="s">
        <v>1342</v>
      </c>
      <c r="B640" s="30">
        <v>40083</v>
      </c>
      <c r="C640" s="4"/>
      <c r="D640" s="4" t="s">
        <v>196</v>
      </c>
      <c r="E640" s="4" t="s">
        <v>170</v>
      </c>
      <c r="F640" s="4" t="s">
        <v>155</v>
      </c>
      <c r="G640" s="4">
        <v>5</v>
      </c>
      <c r="H640" s="4">
        <v>5</v>
      </c>
      <c r="I640" s="4" t="s">
        <v>139</v>
      </c>
      <c r="J640" s="4" t="s">
        <v>183</v>
      </c>
      <c r="K640" s="4" t="s">
        <v>144</v>
      </c>
      <c r="L640" s="4" t="s">
        <v>4176</v>
      </c>
      <c r="M640" s="4" t="s">
        <v>174</v>
      </c>
      <c r="N640" s="4" t="s">
        <v>156</v>
      </c>
      <c r="O640" s="4" t="s">
        <v>120</v>
      </c>
      <c r="P640" s="4" t="s">
        <v>741</v>
      </c>
    </row>
    <row r="641" spans="1:16" ht="15">
      <c r="A641" s="4" t="s">
        <v>1343</v>
      </c>
      <c r="B641" s="30">
        <v>40014</v>
      </c>
      <c r="C641" s="4"/>
      <c r="D641" s="4" t="s">
        <v>193</v>
      </c>
      <c r="E641" s="4" t="s">
        <v>170</v>
      </c>
      <c r="F641" s="4" t="s">
        <v>155</v>
      </c>
      <c r="G641" s="4">
        <v>5</v>
      </c>
      <c r="H641" s="4">
        <v>5</v>
      </c>
      <c r="I641" s="4" t="s">
        <v>140</v>
      </c>
      <c r="J641" s="4" t="s">
        <v>181</v>
      </c>
      <c r="K641" s="4" t="s">
        <v>145</v>
      </c>
      <c r="L641" s="4" t="s">
        <v>4181</v>
      </c>
      <c r="M641" s="4"/>
      <c r="N641" s="4" t="s">
        <v>155</v>
      </c>
      <c r="O641" s="4" t="s">
        <v>510</v>
      </c>
      <c r="P641" s="4"/>
    </row>
    <row r="642" spans="1:16" ht="15">
      <c r="A642" s="4" t="s">
        <v>1344</v>
      </c>
      <c r="B642" s="30">
        <v>39962</v>
      </c>
      <c r="C642" s="4"/>
      <c r="D642" s="4" t="s">
        <v>195</v>
      </c>
      <c r="E642" s="4" t="s">
        <v>170</v>
      </c>
      <c r="F642" s="4" t="s">
        <v>155</v>
      </c>
      <c r="G642" s="4"/>
      <c r="H642" s="4"/>
      <c r="I642" s="4" t="s">
        <v>139</v>
      </c>
      <c r="J642" s="4" t="s">
        <v>179</v>
      </c>
      <c r="K642" s="4" t="s">
        <v>149</v>
      </c>
      <c r="L642" s="4" t="s">
        <v>4176</v>
      </c>
      <c r="M642" s="4"/>
      <c r="N642" s="4" t="s">
        <v>156</v>
      </c>
      <c r="O642" s="4" t="s">
        <v>120</v>
      </c>
      <c r="P642" s="4" t="s">
        <v>715</v>
      </c>
    </row>
    <row r="643" spans="1:16" ht="15">
      <c r="A643" s="4" t="s">
        <v>1345</v>
      </c>
      <c r="B643" s="30">
        <v>39979</v>
      </c>
      <c r="C643" s="4" t="s">
        <v>383</v>
      </c>
      <c r="D643" s="4" t="s">
        <v>193</v>
      </c>
      <c r="E643" s="4" t="s">
        <v>170</v>
      </c>
      <c r="F643" s="4" t="s">
        <v>155</v>
      </c>
      <c r="G643" s="4"/>
      <c r="H643" s="4"/>
      <c r="I643" s="4" t="s">
        <v>140</v>
      </c>
      <c r="J643" s="4" t="s">
        <v>179</v>
      </c>
      <c r="K643" s="4" t="s">
        <v>142</v>
      </c>
      <c r="L643" s="4" t="s">
        <v>4181</v>
      </c>
      <c r="M643" s="4" t="s">
        <v>1042</v>
      </c>
      <c r="N643" s="4" t="s">
        <v>155</v>
      </c>
      <c r="O643" s="4" t="s">
        <v>467</v>
      </c>
      <c r="P643" s="4"/>
    </row>
    <row r="644" spans="1:16" ht="15">
      <c r="A644" s="4" t="s">
        <v>1346</v>
      </c>
      <c r="B644" s="30">
        <v>39973</v>
      </c>
      <c r="C644" s="4" t="s">
        <v>383</v>
      </c>
      <c r="D644" s="4" t="s">
        <v>193</v>
      </c>
      <c r="E644" s="4" t="s">
        <v>170</v>
      </c>
      <c r="F644" s="4" t="s">
        <v>155</v>
      </c>
      <c r="G644" s="4"/>
      <c r="H644" s="4"/>
      <c r="I644" s="4" t="s">
        <v>140</v>
      </c>
      <c r="J644" s="4" t="s">
        <v>179</v>
      </c>
      <c r="K644" s="4" t="s">
        <v>142</v>
      </c>
      <c r="L644" s="4" t="s">
        <v>4176</v>
      </c>
      <c r="M644" s="4" t="s">
        <v>174</v>
      </c>
      <c r="N644" s="4" t="s">
        <v>157</v>
      </c>
      <c r="O644" s="4" t="s">
        <v>130</v>
      </c>
      <c r="P644" s="4" t="s">
        <v>437</v>
      </c>
    </row>
    <row r="645" spans="1:16" ht="15">
      <c r="A645" s="4" t="s">
        <v>1347</v>
      </c>
      <c r="B645" s="30">
        <v>40049</v>
      </c>
      <c r="C645" s="4"/>
      <c r="D645" s="4" t="s">
        <v>193</v>
      </c>
      <c r="E645" s="4" t="s">
        <v>170</v>
      </c>
      <c r="F645" s="4" t="s">
        <v>155</v>
      </c>
      <c r="G645" s="4">
        <v>5</v>
      </c>
      <c r="H645" s="4">
        <v>2</v>
      </c>
      <c r="I645" s="4" t="s">
        <v>140</v>
      </c>
      <c r="J645" s="4" t="s">
        <v>179</v>
      </c>
      <c r="K645" s="4" t="s">
        <v>143</v>
      </c>
      <c r="L645" s="4" t="s">
        <v>4176</v>
      </c>
      <c r="M645" s="4" t="s">
        <v>174</v>
      </c>
      <c r="N645" s="4" t="s">
        <v>157</v>
      </c>
      <c r="O645" s="4" t="s">
        <v>434</v>
      </c>
      <c r="P645" s="4" t="s">
        <v>449</v>
      </c>
    </row>
    <row r="646" spans="1:16" ht="15">
      <c r="A646" s="4" t="s">
        <v>1348</v>
      </c>
      <c r="B646" s="30">
        <v>39978</v>
      </c>
      <c r="C646" s="4"/>
      <c r="D646" s="4" t="s">
        <v>193</v>
      </c>
      <c r="E646" s="4" t="s">
        <v>170</v>
      </c>
      <c r="F646" s="4" t="s">
        <v>155</v>
      </c>
      <c r="G646" s="4"/>
      <c r="H646" s="4"/>
      <c r="I646" s="4" t="s">
        <v>140</v>
      </c>
      <c r="J646" s="4" t="s">
        <v>179</v>
      </c>
      <c r="K646" s="4" t="s">
        <v>148</v>
      </c>
      <c r="L646" s="4" t="s">
        <v>4181</v>
      </c>
      <c r="M646" s="4" t="s">
        <v>1228</v>
      </c>
      <c r="N646" s="4" t="s">
        <v>155</v>
      </c>
      <c r="O646" s="4" t="s">
        <v>125</v>
      </c>
      <c r="P646" s="4"/>
    </row>
    <row r="647" spans="1:16" ht="15">
      <c r="A647" s="4" t="s">
        <v>1349</v>
      </c>
      <c r="B647" s="30">
        <v>39972</v>
      </c>
      <c r="C647" s="4"/>
      <c r="D647" s="4" t="s">
        <v>193</v>
      </c>
      <c r="E647" s="4" t="s">
        <v>170</v>
      </c>
      <c r="F647" s="4" t="s">
        <v>155</v>
      </c>
      <c r="G647" s="4"/>
      <c r="H647" s="4"/>
      <c r="I647" s="4" t="s">
        <v>140</v>
      </c>
      <c r="J647" s="4" t="s">
        <v>191</v>
      </c>
      <c r="K647" s="4" t="s">
        <v>145</v>
      </c>
      <c r="L647" s="4" t="s">
        <v>162</v>
      </c>
      <c r="M647" s="4" t="s">
        <v>176</v>
      </c>
      <c r="N647" s="4" t="s">
        <v>155</v>
      </c>
      <c r="O647" s="4" t="s">
        <v>129</v>
      </c>
      <c r="P647" s="4"/>
    </row>
    <row r="648" spans="1:16" ht="15">
      <c r="A648" s="4" t="s">
        <v>1350</v>
      </c>
      <c r="B648" s="30">
        <v>39958</v>
      </c>
      <c r="C648" s="4"/>
      <c r="D648" s="4" t="s">
        <v>193</v>
      </c>
      <c r="E648" s="4" t="s">
        <v>170</v>
      </c>
      <c r="F648" s="4" t="s">
        <v>155</v>
      </c>
      <c r="G648" s="4"/>
      <c r="H648" s="4"/>
      <c r="I648" s="4" t="s">
        <v>140</v>
      </c>
      <c r="J648" s="4" t="s">
        <v>191</v>
      </c>
      <c r="K648" s="4" t="s">
        <v>146</v>
      </c>
      <c r="L648" s="4" t="s">
        <v>162</v>
      </c>
      <c r="M648" s="4" t="s">
        <v>175</v>
      </c>
      <c r="N648" s="4" t="s">
        <v>155</v>
      </c>
      <c r="O648" s="4" t="s">
        <v>129</v>
      </c>
      <c r="P648" s="4"/>
    </row>
    <row r="649" spans="1:16" ht="15">
      <c r="A649" s="4" t="s">
        <v>1351</v>
      </c>
      <c r="B649" s="30">
        <v>39914</v>
      </c>
      <c r="C649" s="4" t="s">
        <v>380</v>
      </c>
      <c r="D649" s="4" t="s">
        <v>4180</v>
      </c>
      <c r="E649" s="4" t="s">
        <v>170</v>
      </c>
      <c r="F649" s="4" t="s">
        <v>155</v>
      </c>
      <c r="G649" s="4"/>
      <c r="H649" s="4"/>
      <c r="I649" s="4" t="s">
        <v>139</v>
      </c>
      <c r="J649" s="4" t="s">
        <v>603</v>
      </c>
      <c r="K649" s="4" t="s">
        <v>142</v>
      </c>
      <c r="L649" s="4" t="s">
        <v>4181</v>
      </c>
      <c r="M649" s="4" t="s">
        <v>173</v>
      </c>
      <c r="N649" s="4" t="s">
        <v>161</v>
      </c>
      <c r="O649" s="4" t="s">
        <v>420</v>
      </c>
      <c r="P649" s="4"/>
    </row>
    <row r="650" spans="1:16" ht="15">
      <c r="A650" s="4" t="s">
        <v>1352</v>
      </c>
      <c r="B650" s="30">
        <v>39938</v>
      </c>
      <c r="C650" s="4"/>
      <c r="D650" s="4" t="s">
        <v>4177</v>
      </c>
      <c r="E650" s="4" t="s">
        <v>170</v>
      </c>
      <c r="F650" s="4" t="s">
        <v>155</v>
      </c>
      <c r="G650" s="4"/>
      <c r="H650" s="4"/>
      <c r="I650" s="4" t="s">
        <v>139</v>
      </c>
      <c r="J650" s="4" t="s">
        <v>178</v>
      </c>
      <c r="K650" s="4" t="s">
        <v>142</v>
      </c>
      <c r="L650" s="4" t="s">
        <v>162</v>
      </c>
      <c r="M650" s="4" t="s">
        <v>175</v>
      </c>
      <c r="N650" s="4" t="s">
        <v>155</v>
      </c>
      <c r="O650" s="4" t="s">
        <v>439</v>
      </c>
      <c r="P650" s="4"/>
    </row>
    <row r="651" spans="1:16" ht="15">
      <c r="A651" s="4" t="s">
        <v>1353</v>
      </c>
      <c r="B651" s="30">
        <v>39937</v>
      </c>
      <c r="C651" s="4" t="s">
        <v>9</v>
      </c>
      <c r="D651" s="4" t="s">
        <v>4179</v>
      </c>
      <c r="E651" s="4" t="s">
        <v>170</v>
      </c>
      <c r="F651" s="4" t="s">
        <v>155</v>
      </c>
      <c r="G651" s="4"/>
      <c r="H651" s="4"/>
      <c r="I651" s="4" t="s">
        <v>139</v>
      </c>
      <c r="J651" s="4" t="s">
        <v>178</v>
      </c>
      <c r="K651" s="4" t="s">
        <v>151</v>
      </c>
      <c r="L651" s="4" t="s">
        <v>4176</v>
      </c>
      <c r="M651" s="4" t="s">
        <v>174</v>
      </c>
      <c r="N651" s="4" t="s">
        <v>156</v>
      </c>
      <c r="O651" s="4" t="s">
        <v>120</v>
      </c>
      <c r="P651" s="4" t="s">
        <v>1354</v>
      </c>
    </row>
    <row r="652" spans="1:16" ht="15">
      <c r="A652" s="4" t="s">
        <v>1355</v>
      </c>
      <c r="B652" s="30">
        <v>39943</v>
      </c>
      <c r="C652" s="4"/>
      <c r="D652" s="4" t="s">
        <v>194</v>
      </c>
      <c r="E652" s="4" t="s">
        <v>170</v>
      </c>
      <c r="F652" s="4" t="s">
        <v>155</v>
      </c>
      <c r="G652" s="4"/>
      <c r="H652" s="4"/>
      <c r="I652" s="4" t="s">
        <v>139</v>
      </c>
      <c r="J652" s="4" t="s">
        <v>178</v>
      </c>
      <c r="K652" s="4" t="s">
        <v>145</v>
      </c>
      <c r="L652" s="4" t="s">
        <v>162</v>
      </c>
      <c r="M652" s="4" t="s">
        <v>581</v>
      </c>
      <c r="N652" s="4" t="s">
        <v>155</v>
      </c>
      <c r="O652" s="4" t="s">
        <v>127</v>
      </c>
      <c r="P652" s="4"/>
    </row>
    <row r="653" spans="1:16" ht="15">
      <c r="A653" s="4" t="s">
        <v>1356</v>
      </c>
      <c r="B653" s="30">
        <v>40022</v>
      </c>
      <c r="C653" s="4"/>
      <c r="D653" s="4" t="s">
        <v>195</v>
      </c>
      <c r="E653" s="4" t="s">
        <v>170</v>
      </c>
      <c r="F653" s="4" t="s">
        <v>155</v>
      </c>
      <c r="G653" s="4">
        <v>5</v>
      </c>
      <c r="H653" s="4">
        <v>5</v>
      </c>
      <c r="I653" s="4" t="s">
        <v>139</v>
      </c>
      <c r="J653" s="4" t="s">
        <v>180</v>
      </c>
      <c r="K653" s="4" t="s">
        <v>145</v>
      </c>
      <c r="L653" s="4" t="s">
        <v>4176</v>
      </c>
      <c r="M653" s="4" t="s">
        <v>176</v>
      </c>
      <c r="N653" s="4" t="s">
        <v>125</v>
      </c>
      <c r="O653" s="4" t="s">
        <v>1357</v>
      </c>
      <c r="P653" s="4" t="s">
        <v>1358</v>
      </c>
    </row>
    <row r="654" spans="1:16" ht="15">
      <c r="A654" s="4" t="s">
        <v>1359</v>
      </c>
      <c r="B654" s="30">
        <v>40045</v>
      </c>
      <c r="C654" s="4" t="s">
        <v>383</v>
      </c>
      <c r="D654" s="4" t="s">
        <v>193</v>
      </c>
      <c r="E654" s="4" t="s">
        <v>170</v>
      </c>
      <c r="F654" s="4" t="s">
        <v>155</v>
      </c>
      <c r="G654" s="4">
        <v>5</v>
      </c>
      <c r="H654" s="4">
        <v>3</v>
      </c>
      <c r="I654" s="4" t="s">
        <v>140</v>
      </c>
      <c r="J654" s="4" t="s">
        <v>180</v>
      </c>
      <c r="K654" s="4" t="s">
        <v>146</v>
      </c>
      <c r="L654" s="4" t="s">
        <v>4176</v>
      </c>
      <c r="M654" s="4" t="s">
        <v>174</v>
      </c>
      <c r="N654" s="4" t="s">
        <v>157</v>
      </c>
      <c r="O654" s="4" t="s">
        <v>434</v>
      </c>
      <c r="P654" s="4" t="s">
        <v>435</v>
      </c>
    </row>
    <row r="655" spans="1:16" ht="15">
      <c r="A655" s="4" t="s">
        <v>1360</v>
      </c>
      <c r="B655" s="30">
        <v>39978</v>
      </c>
      <c r="C655" s="4"/>
      <c r="D655" s="4" t="s">
        <v>193</v>
      </c>
      <c r="E655" s="4" t="s">
        <v>170</v>
      </c>
      <c r="F655" s="4" t="s">
        <v>155</v>
      </c>
      <c r="G655" s="4"/>
      <c r="H655" s="4"/>
      <c r="I655" s="4" t="s">
        <v>140</v>
      </c>
      <c r="J655" s="4" t="s">
        <v>180</v>
      </c>
      <c r="K655" s="4" t="s">
        <v>145</v>
      </c>
      <c r="L655" s="4" t="s">
        <v>4181</v>
      </c>
      <c r="M655" s="4" t="s">
        <v>415</v>
      </c>
      <c r="N655" s="4" t="s">
        <v>155</v>
      </c>
      <c r="O655" s="4" t="s">
        <v>125</v>
      </c>
      <c r="P655" s="4"/>
    </row>
    <row r="656" spans="1:16" ht="15">
      <c r="A656" s="4" t="s">
        <v>1361</v>
      </c>
      <c r="B656" s="30">
        <v>40014</v>
      </c>
      <c r="C656" s="4" t="s">
        <v>383</v>
      </c>
      <c r="D656" s="4" t="s">
        <v>193</v>
      </c>
      <c r="E656" s="4" t="s">
        <v>170</v>
      </c>
      <c r="F656" s="4" t="s">
        <v>155</v>
      </c>
      <c r="G656" s="4">
        <v>5</v>
      </c>
      <c r="H656" s="4">
        <v>5</v>
      </c>
      <c r="I656" s="4" t="s">
        <v>140</v>
      </c>
      <c r="J656" s="4" t="s">
        <v>180</v>
      </c>
      <c r="K656" s="4" t="s">
        <v>142</v>
      </c>
      <c r="L656" s="4" t="s">
        <v>4176</v>
      </c>
      <c r="M656" s="4" t="s">
        <v>174</v>
      </c>
      <c r="N656" s="4" t="s">
        <v>157</v>
      </c>
      <c r="O656" s="4" t="s">
        <v>130</v>
      </c>
      <c r="P656" s="4" t="s">
        <v>1362</v>
      </c>
    </row>
    <row r="657" spans="1:16" ht="15">
      <c r="A657" s="4" t="s">
        <v>1363</v>
      </c>
      <c r="B657" s="30">
        <v>39961</v>
      </c>
      <c r="C657" s="4"/>
      <c r="D657" s="4" t="s">
        <v>195</v>
      </c>
      <c r="E657" s="4" t="s">
        <v>170</v>
      </c>
      <c r="F657" s="4" t="s">
        <v>155</v>
      </c>
      <c r="G657" s="4"/>
      <c r="H657" s="4"/>
      <c r="I657" s="4" t="s">
        <v>139</v>
      </c>
      <c r="J657" s="4" t="s">
        <v>180</v>
      </c>
      <c r="K657" s="4" t="s">
        <v>143</v>
      </c>
      <c r="L657" s="4" t="s">
        <v>4181</v>
      </c>
      <c r="M657" s="4" t="s">
        <v>173</v>
      </c>
      <c r="N657" s="4" t="s">
        <v>161</v>
      </c>
      <c r="O657" s="4" t="s">
        <v>1364</v>
      </c>
      <c r="P657" s="4"/>
    </row>
    <row r="658" spans="1:16" ht="15">
      <c r="A658" s="4" t="s">
        <v>1365</v>
      </c>
      <c r="B658" s="30">
        <v>39962</v>
      </c>
      <c r="C658" s="4"/>
      <c r="D658" s="4" t="s">
        <v>195</v>
      </c>
      <c r="E658" s="4" t="s">
        <v>170</v>
      </c>
      <c r="F658" s="4" t="s">
        <v>155</v>
      </c>
      <c r="G658" s="4"/>
      <c r="H658" s="4"/>
      <c r="I658" s="4" t="s">
        <v>139</v>
      </c>
      <c r="J658" s="4" t="s">
        <v>180</v>
      </c>
      <c r="K658" s="4" t="s">
        <v>148</v>
      </c>
      <c r="L658" s="4" t="s">
        <v>162</v>
      </c>
      <c r="M658" s="4" t="s">
        <v>175</v>
      </c>
      <c r="N658" s="4" t="s">
        <v>155</v>
      </c>
      <c r="O658" s="4" t="s">
        <v>130</v>
      </c>
      <c r="P658" s="4"/>
    </row>
    <row r="659" spans="1:16" ht="15">
      <c r="A659" s="4" t="s">
        <v>1366</v>
      </c>
      <c r="B659" s="30">
        <v>39972</v>
      </c>
      <c r="C659" s="4"/>
      <c r="D659" s="4" t="s">
        <v>195</v>
      </c>
      <c r="E659" s="4" t="s">
        <v>170</v>
      </c>
      <c r="F659" s="4" t="s">
        <v>155</v>
      </c>
      <c r="G659" s="4"/>
      <c r="H659" s="4"/>
      <c r="I659" s="4" t="s">
        <v>139</v>
      </c>
      <c r="J659" s="4" t="s">
        <v>180</v>
      </c>
      <c r="K659" s="4" t="s">
        <v>143</v>
      </c>
      <c r="L659" s="4" t="s">
        <v>4176</v>
      </c>
      <c r="M659" s="4" t="s">
        <v>174</v>
      </c>
      <c r="N659" s="4" t="s">
        <v>157</v>
      </c>
      <c r="O659" s="4" t="s">
        <v>130</v>
      </c>
      <c r="P659" s="4" t="s">
        <v>437</v>
      </c>
    </row>
    <row r="660" spans="1:16" ht="15">
      <c r="A660" s="4" t="s">
        <v>1367</v>
      </c>
      <c r="B660" s="30">
        <v>40003</v>
      </c>
      <c r="C660" s="4"/>
      <c r="D660" s="4" t="s">
        <v>196</v>
      </c>
      <c r="E660" s="4" t="s">
        <v>170</v>
      </c>
      <c r="F660" s="4" t="s">
        <v>155</v>
      </c>
      <c r="G660" s="4"/>
      <c r="H660" s="4">
        <v>2</v>
      </c>
      <c r="I660" s="4" t="s">
        <v>139</v>
      </c>
      <c r="J660" s="4" t="s">
        <v>180</v>
      </c>
      <c r="K660" s="4" t="s">
        <v>144</v>
      </c>
      <c r="L660" s="4" t="s">
        <v>162</v>
      </c>
      <c r="M660" s="4" t="s">
        <v>175</v>
      </c>
      <c r="N660" s="4" t="s">
        <v>155</v>
      </c>
      <c r="O660" s="4" t="s">
        <v>130</v>
      </c>
      <c r="P660" s="4"/>
    </row>
    <row r="661" spans="1:16" ht="15">
      <c r="A661" s="4" t="s">
        <v>1368</v>
      </c>
      <c r="B661" s="30">
        <v>39967</v>
      </c>
      <c r="C661" s="4" t="s">
        <v>380</v>
      </c>
      <c r="D661" s="4" t="s">
        <v>193</v>
      </c>
      <c r="E661" s="4" t="s">
        <v>170</v>
      </c>
      <c r="F661" s="4" t="s">
        <v>155</v>
      </c>
      <c r="G661" s="4"/>
      <c r="H661" s="4"/>
      <c r="I661" s="4" t="s">
        <v>140</v>
      </c>
      <c r="J661" s="4" t="s">
        <v>180</v>
      </c>
      <c r="K661" s="4" t="s">
        <v>142</v>
      </c>
      <c r="L661" s="4" t="s">
        <v>162</v>
      </c>
      <c r="M661" s="4" t="s">
        <v>175</v>
      </c>
      <c r="N661" s="4" t="s">
        <v>155</v>
      </c>
      <c r="O661" s="4" t="s">
        <v>130</v>
      </c>
      <c r="P661" s="4"/>
    </row>
    <row r="662" spans="1:16" ht="15">
      <c r="A662" s="4" t="s">
        <v>1369</v>
      </c>
      <c r="B662" s="30">
        <v>39978</v>
      </c>
      <c r="C662" s="4" t="s">
        <v>383</v>
      </c>
      <c r="D662" s="4" t="s">
        <v>193</v>
      </c>
      <c r="E662" s="4" t="s">
        <v>170</v>
      </c>
      <c r="F662" s="4" t="s">
        <v>155</v>
      </c>
      <c r="G662" s="4"/>
      <c r="H662" s="4"/>
      <c r="I662" s="4" t="s">
        <v>140</v>
      </c>
      <c r="J662" s="4" t="s">
        <v>178</v>
      </c>
      <c r="K662" s="4" t="s">
        <v>144</v>
      </c>
      <c r="L662" s="4" t="s">
        <v>4176</v>
      </c>
      <c r="M662" s="4" t="s">
        <v>867</v>
      </c>
      <c r="N662" s="4" t="s">
        <v>157</v>
      </c>
      <c r="O662" s="4" t="s">
        <v>127</v>
      </c>
      <c r="P662" s="4" t="s">
        <v>153</v>
      </c>
    </row>
    <row r="663" spans="1:16" ht="15">
      <c r="A663" s="4" t="s">
        <v>1370</v>
      </c>
      <c r="B663" s="30">
        <v>39980</v>
      </c>
      <c r="C663" s="4" t="s">
        <v>383</v>
      </c>
      <c r="D663" s="4" t="s">
        <v>193</v>
      </c>
      <c r="E663" s="4" t="s">
        <v>170</v>
      </c>
      <c r="F663" s="4" t="s">
        <v>155</v>
      </c>
      <c r="G663" s="4"/>
      <c r="H663" s="4"/>
      <c r="I663" s="4" t="s">
        <v>140</v>
      </c>
      <c r="J663" s="4" t="s">
        <v>183</v>
      </c>
      <c r="K663" s="4" t="s">
        <v>144</v>
      </c>
      <c r="L663" s="4" t="s">
        <v>165</v>
      </c>
      <c r="M663" s="4" t="s">
        <v>1371</v>
      </c>
      <c r="N663" s="4" t="s">
        <v>158</v>
      </c>
      <c r="O663" s="4" t="s">
        <v>122</v>
      </c>
      <c r="P663" s="4"/>
    </row>
    <row r="664" spans="1:16" ht="15">
      <c r="A664" s="4" t="s">
        <v>1372</v>
      </c>
      <c r="B664" s="30">
        <v>39947</v>
      </c>
      <c r="C664" s="4"/>
      <c r="D664" s="4" t="s">
        <v>195</v>
      </c>
      <c r="E664" s="4" t="s">
        <v>170</v>
      </c>
      <c r="F664" s="4" t="s">
        <v>155</v>
      </c>
      <c r="G664" s="4"/>
      <c r="H664" s="4"/>
      <c r="I664" s="4" t="s">
        <v>139</v>
      </c>
      <c r="J664" s="4" t="s">
        <v>180</v>
      </c>
      <c r="K664" s="4" t="s">
        <v>145</v>
      </c>
      <c r="L664" s="4" t="s">
        <v>4181</v>
      </c>
      <c r="M664" s="4" t="s">
        <v>1373</v>
      </c>
      <c r="N664" s="4" t="s">
        <v>155</v>
      </c>
      <c r="O664" s="4" t="s">
        <v>454</v>
      </c>
      <c r="P664" s="4"/>
    </row>
    <row r="665" spans="1:16" ht="15">
      <c r="A665" s="4" t="s">
        <v>1374</v>
      </c>
      <c r="B665" s="30">
        <v>39919</v>
      </c>
      <c r="C665" s="4"/>
      <c r="D665" s="4" t="s">
        <v>4183</v>
      </c>
      <c r="E665" s="4" t="s">
        <v>170</v>
      </c>
      <c r="F665" s="4" t="s">
        <v>155</v>
      </c>
      <c r="G665" s="4"/>
      <c r="H665" s="4"/>
      <c r="I665" s="4" t="s">
        <v>140</v>
      </c>
      <c r="J665" s="4" t="s">
        <v>180</v>
      </c>
      <c r="K665" s="4" t="s">
        <v>145</v>
      </c>
      <c r="L665" s="4" t="s">
        <v>4181</v>
      </c>
      <c r="M665" s="4" t="s">
        <v>173</v>
      </c>
      <c r="N665" s="4" t="s">
        <v>155</v>
      </c>
      <c r="O665" s="4" t="s">
        <v>387</v>
      </c>
      <c r="P665" s="4"/>
    </row>
    <row r="666" spans="1:16" ht="15">
      <c r="A666" s="4" t="s">
        <v>1375</v>
      </c>
      <c r="B666" s="30">
        <v>40022</v>
      </c>
      <c r="C666" s="4"/>
      <c r="D666" s="4" t="s">
        <v>193</v>
      </c>
      <c r="E666" s="4" t="s">
        <v>170</v>
      </c>
      <c r="F666" s="4" t="s">
        <v>155</v>
      </c>
      <c r="G666" s="4">
        <v>5</v>
      </c>
      <c r="H666" s="4">
        <v>5</v>
      </c>
      <c r="I666" s="4" t="s">
        <v>140</v>
      </c>
      <c r="J666" s="4" t="s">
        <v>180</v>
      </c>
      <c r="K666" s="4" t="s">
        <v>144</v>
      </c>
      <c r="L666" s="4" t="s">
        <v>4181</v>
      </c>
      <c r="M666" s="4" t="s">
        <v>173</v>
      </c>
      <c r="N666" s="4" t="s">
        <v>155</v>
      </c>
      <c r="O666" s="4" t="s">
        <v>751</v>
      </c>
      <c r="P666" s="4"/>
    </row>
    <row r="667" spans="1:16" ht="15">
      <c r="A667" s="4" t="s">
        <v>1376</v>
      </c>
      <c r="B667" s="30">
        <v>40057</v>
      </c>
      <c r="C667" s="4"/>
      <c r="D667" s="4" t="s">
        <v>544</v>
      </c>
      <c r="E667" s="4" t="s">
        <v>170</v>
      </c>
      <c r="F667" s="4" t="s">
        <v>155</v>
      </c>
      <c r="G667" s="4">
        <v>5</v>
      </c>
      <c r="H667" s="4">
        <v>5</v>
      </c>
      <c r="I667" s="4" t="s">
        <v>139</v>
      </c>
      <c r="J667" s="4" t="s">
        <v>180</v>
      </c>
      <c r="K667" s="4" t="s">
        <v>149</v>
      </c>
      <c r="L667" s="4" t="s">
        <v>4181</v>
      </c>
      <c r="M667" s="4" t="s">
        <v>1042</v>
      </c>
      <c r="N667" s="4" t="s">
        <v>155</v>
      </c>
      <c r="O667" s="4" t="s">
        <v>510</v>
      </c>
      <c r="P667" s="4"/>
    </row>
    <row r="668" spans="1:16" ht="15">
      <c r="A668" s="4" t="s">
        <v>1377</v>
      </c>
      <c r="B668" s="30">
        <v>40074</v>
      </c>
      <c r="C668" s="4"/>
      <c r="D668" s="4" t="s">
        <v>195</v>
      </c>
      <c r="E668" s="4" t="s">
        <v>170</v>
      </c>
      <c r="F668" s="4" t="s">
        <v>155</v>
      </c>
      <c r="G668" s="4">
        <v>5</v>
      </c>
      <c r="H668" s="4">
        <v>5</v>
      </c>
      <c r="I668" s="4" t="s">
        <v>139</v>
      </c>
      <c r="J668" s="4" t="s">
        <v>180</v>
      </c>
      <c r="K668" s="4" t="s">
        <v>142</v>
      </c>
      <c r="L668" s="4" t="s">
        <v>162</v>
      </c>
      <c r="M668" s="4" t="s">
        <v>176</v>
      </c>
      <c r="N668" s="4" t="s">
        <v>155</v>
      </c>
      <c r="O668" s="4" t="s">
        <v>129</v>
      </c>
      <c r="P668" s="4"/>
    </row>
    <row r="669" spans="1:16" ht="15">
      <c r="A669" s="4" t="s">
        <v>1378</v>
      </c>
      <c r="B669" s="30">
        <v>40004</v>
      </c>
      <c r="C669" s="4"/>
      <c r="D669" s="4" t="s">
        <v>193</v>
      </c>
      <c r="E669" s="4" t="s">
        <v>170</v>
      </c>
      <c r="F669" s="4" t="s">
        <v>155</v>
      </c>
      <c r="G669" s="4">
        <v>5</v>
      </c>
      <c r="H669" s="4">
        <v>5</v>
      </c>
      <c r="I669" s="4" t="s">
        <v>140</v>
      </c>
      <c r="J669" s="4" t="s">
        <v>180</v>
      </c>
      <c r="K669" s="4" t="s">
        <v>143</v>
      </c>
      <c r="L669" s="4" t="s">
        <v>4176</v>
      </c>
      <c r="M669" s="4" t="s">
        <v>1241</v>
      </c>
      <c r="N669" s="4" t="s">
        <v>159</v>
      </c>
      <c r="O669" s="4" t="s">
        <v>123</v>
      </c>
      <c r="P669" s="4" t="s">
        <v>123</v>
      </c>
    </row>
    <row r="670" spans="1:16" ht="15">
      <c r="A670" s="4" t="s">
        <v>1379</v>
      </c>
      <c r="B670" s="30">
        <v>40065</v>
      </c>
      <c r="C670" s="4" t="s">
        <v>496</v>
      </c>
      <c r="D670" s="4" t="s">
        <v>196</v>
      </c>
      <c r="E670" s="4" t="s">
        <v>170</v>
      </c>
      <c r="F670" s="4" t="s">
        <v>155</v>
      </c>
      <c r="G670" s="4">
        <v>3</v>
      </c>
      <c r="H670" s="4">
        <v>4</v>
      </c>
      <c r="I670" s="4" t="s">
        <v>139</v>
      </c>
      <c r="J670" s="4" t="s">
        <v>178</v>
      </c>
      <c r="K670" s="4" t="s">
        <v>146</v>
      </c>
      <c r="L670" s="4" t="s">
        <v>4181</v>
      </c>
      <c r="M670" s="4" t="s">
        <v>1380</v>
      </c>
      <c r="N670" s="4" t="s">
        <v>155</v>
      </c>
      <c r="O670" s="4" t="s">
        <v>956</v>
      </c>
      <c r="P670" s="4"/>
    </row>
    <row r="671" spans="1:16" ht="15">
      <c r="A671" s="4" t="s">
        <v>1381</v>
      </c>
      <c r="B671" s="30">
        <v>40086</v>
      </c>
      <c r="C671" s="4" t="s">
        <v>570</v>
      </c>
      <c r="D671" s="4" t="s">
        <v>544</v>
      </c>
      <c r="E671" s="4" t="s">
        <v>170</v>
      </c>
      <c r="F671" s="4" t="s">
        <v>155</v>
      </c>
      <c r="G671" s="4">
        <v>1</v>
      </c>
      <c r="H671" s="4">
        <v>2</v>
      </c>
      <c r="I671" s="4" t="s">
        <v>139</v>
      </c>
      <c r="J671" s="4" t="s">
        <v>178</v>
      </c>
      <c r="K671" s="4" t="s">
        <v>146</v>
      </c>
      <c r="L671" s="4" t="s">
        <v>4181</v>
      </c>
      <c r="M671" s="4" t="s">
        <v>173</v>
      </c>
      <c r="N671" s="4" t="s">
        <v>155</v>
      </c>
      <c r="O671" s="4" t="s">
        <v>128</v>
      </c>
      <c r="P671" s="4"/>
    </row>
    <row r="672" spans="1:16" ht="15">
      <c r="A672" s="4" t="s">
        <v>1382</v>
      </c>
      <c r="B672" s="30">
        <v>39954</v>
      </c>
      <c r="C672" s="4"/>
      <c r="D672" s="4" t="s">
        <v>193</v>
      </c>
      <c r="E672" s="4" t="s">
        <v>170</v>
      </c>
      <c r="F672" s="4" t="s">
        <v>155</v>
      </c>
      <c r="G672" s="4"/>
      <c r="H672" s="4"/>
      <c r="I672" s="4" t="s">
        <v>140</v>
      </c>
      <c r="J672" s="4" t="s">
        <v>433</v>
      </c>
      <c r="K672" s="4" t="s">
        <v>145</v>
      </c>
      <c r="L672" s="4" t="s">
        <v>4176</v>
      </c>
      <c r="M672" s="4" t="s">
        <v>174</v>
      </c>
      <c r="N672" s="4" t="s">
        <v>157</v>
      </c>
      <c r="O672" s="4" t="s">
        <v>127</v>
      </c>
      <c r="P672" s="4" t="s">
        <v>153</v>
      </c>
    </row>
    <row r="673" spans="1:16" ht="15">
      <c r="A673" s="4" t="s">
        <v>1383</v>
      </c>
      <c r="B673" s="30">
        <v>39993</v>
      </c>
      <c r="C673" s="4" t="s">
        <v>496</v>
      </c>
      <c r="D673" s="4" t="s">
        <v>193</v>
      </c>
      <c r="E673" s="4" t="s">
        <v>170</v>
      </c>
      <c r="F673" s="4" t="s">
        <v>155</v>
      </c>
      <c r="G673" s="4"/>
      <c r="H673" s="4">
        <v>5</v>
      </c>
      <c r="I673" s="4" t="s">
        <v>140</v>
      </c>
      <c r="J673" s="4" t="s">
        <v>433</v>
      </c>
      <c r="K673" s="4" t="s">
        <v>143</v>
      </c>
      <c r="L673" s="4" t="s">
        <v>4181</v>
      </c>
      <c r="M673" s="4" t="s">
        <v>173</v>
      </c>
      <c r="N673" s="4" t="s">
        <v>161</v>
      </c>
      <c r="O673" s="4" t="s">
        <v>1384</v>
      </c>
      <c r="P673" s="4"/>
    </row>
    <row r="674" spans="1:16" ht="15">
      <c r="A674" s="4" t="s">
        <v>1385</v>
      </c>
      <c r="B674" s="30">
        <v>39970</v>
      </c>
      <c r="C674" s="4"/>
      <c r="D674" s="4" t="s">
        <v>193</v>
      </c>
      <c r="E674" s="4" t="s">
        <v>170</v>
      </c>
      <c r="F674" s="4" t="s">
        <v>155</v>
      </c>
      <c r="G674" s="4"/>
      <c r="H674" s="4"/>
      <c r="I674" s="4" t="s">
        <v>140</v>
      </c>
      <c r="J674" s="4" t="s">
        <v>433</v>
      </c>
      <c r="K674" s="4" t="s">
        <v>146</v>
      </c>
      <c r="L674" s="4" t="s">
        <v>4176</v>
      </c>
      <c r="M674" s="4" t="s">
        <v>174</v>
      </c>
      <c r="N674" s="4" t="s">
        <v>157</v>
      </c>
      <c r="O674" s="4" t="s">
        <v>127</v>
      </c>
      <c r="P674" s="4" t="s">
        <v>153</v>
      </c>
    </row>
    <row r="675" spans="1:16" ht="15">
      <c r="A675" s="4" t="s">
        <v>1386</v>
      </c>
      <c r="B675" s="30">
        <v>39915</v>
      </c>
      <c r="C675" s="4"/>
      <c r="D675" s="4" t="s">
        <v>4183</v>
      </c>
      <c r="E675" s="4" t="s">
        <v>170</v>
      </c>
      <c r="F675" s="4" t="s">
        <v>155</v>
      </c>
      <c r="G675" s="4"/>
      <c r="H675" s="4"/>
      <c r="I675" s="4" t="s">
        <v>140</v>
      </c>
      <c r="J675" s="4" t="s">
        <v>178</v>
      </c>
      <c r="K675" s="4" t="s">
        <v>147</v>
      </c>
      <c r="L675" s="4" t="s">
        <v>162</v>
      </c>
      <c r="M675" s="4" t="s">
        <v>175</v>
      </c>
      <c r="N675" s="4" t="s">
        <v>155</v>
      </c>
      <c r="O675" s="4" t="s">
        <v>127</v>
      </c>
      <c r="P675" s="4"/>
    </row>
    <row r="676" spans="1:16" ht="15">
      <c r="A676" s="4" t="s">
        <v>1387</v>
      </c>
      <c r="B676" s="30">
        <v>39923</v>
      </c>
      <c r="C676" s="4"/>
      <c r="D676" s="4" t="s">
        <v>4178</v>
      </c>
      <c r="E676" s="4" t="s">
        <v>170</v>
      </c>
      <c r="F676" s="4" t="s">
        <v>155</v>
      </c>
      <c r="G676" s="4"/>
      <c r="H676" s="4"/>
      <c r="I676" s="4" t="s">
        <v>139</v>
      </c>
      <c r="J676" s="4" t="s">
        <v>178</v>
      </c>
      <c r="K676" s="4" t="s">
        <v>143</v>
      </c>
      <c r="L676" s="4" t="s">
        <v>4181</v>
      </c>
      <c r="M676" s="4" t="s">
        <v>1388</v>
      </c>
      <c r="N676" s="4" t="s">
        <v>155</v>
      </c>
      <c r="O676" s="4" t="s">
        <v>125</v>
      </c>
      <c r="P676" s="4"/>
    </row>
    <row r="677" spans="1:16" ht="15">
      <c r="A677" s="4" t="s">
        <v>1389</v>
      </c>
      <c r="B677" s="30">
        <v>40075</v>
      </c>
      <c r="C677" s="4" t="s">
        <v>525</v>
      </c>
      <c r="D677" s="4" t="s">
        <v>197</v>
      </c>
      <c r="E677" s="4" t="s">
        <v>170</v>
      </c>
      <c r="F677" s="4" t="s">
        <v>155</v>
      </c>
      <c r="G677" s="4">
        <v>5</v>
      </c>
      <c r="H677" s="4">
        <v>3</v>
      </c>
      <c r="I677" s="4" t="s">
        <v>139</v>
      </c>
      <c r="J677" s="4" t="s">
        <v>181</v>
      </c>
      <c r="K677" s="4" t="s">
        <v>142</v>
      </c>
      <c r="L677" s="4" t="s">
        <v>4176</v>
      </c>
      <c r="M677" s="4" t="s">
        <v>174</v>
      </c>
      <c r="N677" s="4" t="s">
        <v>157</v>
      </c>
      <c r="O677" s="4" t="s">
        <v>434</v>
      </c>
      <c r="P677" s="4" t="s">
        <v>449</v>
      </c>
    </row>
    <row r="678" spans="1:16" ht="15">
      <c r="A678" s="4" t="s">
        <v>1390</v>
      </c>
      <c r="B678" s="30">
        <v>40071</v>
      </c>
      <c r="C678" s="4" t="s">
        <v>9</v>
      </c>
      <c r="D678" s="4" t="s">
        <v>193</v>
      </c>
      <c r="E678" s="4" t="s">
        <v>170</v>
      </c>
      <c r="F678" s="4" t="s">
        <v>155</v>
      </c>
      <c r="G678" s="4">
        <v>5</v>
      </c>
      <c r="H678" s="4">
        <v>2</v>
      </c>
      <c r="I678" s="4" t="s">
        <v>140</v>
      </c>
      <c r="J678" s="4" t="s">
        <v>185</v>
      </c>
      <c r="K678" s="4" t="s">
        <v>142</v>
      </c>
      <c r="L678" s="4" t="s">
        <v>4176</v>
      </c>
      <c r="M678" s="4" t="s">
        <v>1241</v>
      </c>
      <c r="N678" s="4" t="s">
        <v>159</v>
      </c>
      <c r="O678" s="4" t="s">
        <v>123</v>
      </c>
      <c r="P678" s="4" t="s">
        <v>123</v>
      </c>
    </row>
    <row r="679" spans="1:16" ht="15">
      <c r="A679" s="4" t="s">
        <v>1391</v>
      </c>
      <c r="B679" s="30">
        <v>40048</v>
      </c>
      <c r="C679" s="4"/>
      <c r="D679" s="4" t="s">
        <v>193</v>
      </c>
      <c r="E679" s="4" t="s">
        <v>170</v>
      </c>
      <c r="F679" s="4" t="s">
        <v>155</v>
      </c>
      <c r="G679" s="4">
        <v>5</v>
      </c>
      <c r="H679" s="4">
        <v>5</v>
      </c>
      <c r="I679" s="4" t="s">
        <v>140</v>
      </c>
      <c r="J679" s="4" t="s">
        <v>185</v>
      </c>
      <c r="K679" s="4" t="s">
        <v>148</v>
      </c>
      <c r="L679" s="4" t="s">
        <v>4176</v>
      </c>
      <c r="M679" s="4" t="s">
        <v>174</v>
      </c>
      <c r="N679" s="4" t="s">
        <v>156</v>
      </c>
      <c r="O679" s="4" t="s">
        <v>120</v>
      </c>
      <c r="P679" s="4" t="s">
        <v>1392</v>
      </c>
    </row>
    <row r="680" spans="1:16" ht="15">
      <c r="A680" s="4" t="s">
        <v>1393</v>
      </c>
      <c r="B680" s="30">
        <v>40052</v>
      </c>
      <c r="C680" s="4"/>
      <c r="D680" s="4" t="s">
        <v>195</v>
      </c>
      <c r="E680" s="4" t="s">
        <v>170</v>
      </c>
      <c r="F680" s="4" t="s">
        <v>155</v>
      </c>
      <c r="G680" s="4">
        <v>5</v>
      </c>
      <c r="H680" s="4">
        <v>4</v>
      </c>
      <c r="I680" s="4" t="s">
        <v>139</v>
      </c>
      <c r="J680" s="4" t="s">
        <v>185</v>
      </c>
      <c r="K680" s="4" t="s">
        <v>144</v>
      </c>
      <c r="L680" s="4" t="s">
        <v>4176</v>
      </c>
      <c r="M680" s="4" t="s">
        <v>459</v>
      </c>
      <c r="N680" s="4" t="s">
        <v>159</v>
      </c>
      <c r="O680" s="4" t="s">
        <v>126</v>
      </c>
      <c r="P680" s="4" t="s">
        <v>601</v>
      </c>
    </row>
    <row r="681" spans="1:16" ht="15">
      <c r="A681" s="4" t="s">
        <v>1394</v>
      </c>
      <c r="B681" s="30">
        <v>40051</v>
      </c>
      <c r="C681" s="4"/>
      <c r="D681" s="4" t="s">
        <v>197</v>
      </c>
      <c r="E681" s="4" t="s">
        <v>170</v>
      </c>
      <c r="F681" s="4" t="s">
        <v>155</v>
      </c>
      <c r="G681" s="4">
        <v>3</v>
      </c>
      <c r="H681" s="4">
        <v>3</v>
      </c>
      <c r="I681" s="4" t="s">
        <v>139</v>
      </c>
      <c r="J681" s="4" t="s">
        <v>185</v>
      </c>
      <c r="K681" s="4" t="s">
        <v>146</v>
      </c>
      <c r="L681" s="4" t="s">
        <v>165</v>
      </c>
      <c r="M681" s="4" t="s">
        <v>1395</v>
      </c>
      <c r="N681" s="4" t="s">
        <v>158</v>
      </c>
      <c r="O681" s="4" t="s">
        <v>122</v>
      </c>
      <c r="P681" s="4"/>
    </row>
    <row r="682" spans="1:16" ht="15">
      <c r="A682" s="4" t="s">
        <v>1396</v>
      </c>
      <c r="B682" s="30">
        <v>40084</v>
      </c>
      <c r="C682" s="4"/>
      <c r="D682" s="4" t="s">
        <v>193</v>
      </c>
      <c r="E682" s="4" t="s">
        <v>170</v>
      </c>
      <c r="F682" s="4" t="s">
        <v>155</v>
      </c>
      <c r="G682" s="4">
        <v>5</v>
      </c>
      <c r="H682" s="4">
        <v>5</v>
      </c>
      <c r="I682" s="4" t="s">
        <v>140</v>
      </c>
      <c r="J682" s="4" t="s">
        <v>433</v>
      </c>
      <c r="K682" s="4" t="s">
        <v>145</v>
      </c>
      <c r="L682" s="4" t="s">
        <v>4176</v>
      </c>
      <c r="M682" s="4" t="s">
        <v>619</v>
      </c>
      <c r="N682" s="4" t="s">
        <v>1397</v>
      </c>
      <c r="O682" s="4" t="s">
        <v>123</v>
      </c>
      <c r="P682" s="4" t="s">
        <v>123</v>
      </c>
    </row>
    <row r="683" spans="1:16" ht="15">
      <c r="A683" s="4" t="s">
        <v>1398</v>
      </c>
      <c r="B683" s="30">
        <v>40028</v>
      </c>
      <c r="C683" s="4"/>
      <c r="D683" s="4" t="s">
        <v>193</v>
      </c>
      <c r="E683" s="4" t="s">
        <v>170</v>
      </c>
      <c r="F683" s="4" t="s">
        <v>155</v>
      </c>
      <c r="G683" s="4">
        <v>5</v>
      </c>
      <c r="H683" s="4">
        <v>3</v>
      </c>
      <c r="I683" s="4" t="s">
        <v>140</v>
      </c>
      <c r="J683" s="4" t="s">
        <v>433</v>
      </c>
      <c r="K683" s="4" t="s">
        <v>145</v>
      </c>
      <c r="L683" s="4" t="s">
        <v>4176</v>
      </c>
      <c r="M683" s="4"/>
      <c r="N683" s="4" t="s">
        <v>156</v>
      </c>
      <c r="O683" s="4" t="s">
        <v>120</v>
      </c>
      <c r="P683" s="4" t="s">
        <v>1399</v>
      </c>
    </row>
    <row r="684" spans="1:16" ht="15">
      <c r="A684" s="4" t="s">
        <v>1400</v>
      </c>
      <c r="B684" s="30">
        <v>39930</v>
      </c>
      <c r="C684" s="4" t="s">
        <v>380</v>
      </c>
      <c r="D684" s="4" t="s">
        <v>4179</v>
      </c>
      <c r="E684" s="4" t="s">
        <v>170</v>
      </c>
      <c r="F684" s="4" t="s">
        <v>155</v>
      </c>
      <c r="G684" s="4"/>
      <c r="H684" s="4"/>
      <c r="I684" s="4" t="s">
        <v>139</v>
      </c>
      <c r="J684" s="4" t="s">
        <v>179</v>
      </c>
      <c r="K684" s="4" t="s">
        <v>147</v>
      </c>
      <c r="L684" s="4" t="s">
        <v>4181</v>
      </c>
      <c r="M684" s="4" t="s">
        <v>173</v>
      </c>
      <c r="N684" s="4" t="s">
        <v>155</v>
      </c>
      <c r="O684" s="4" t="s">
        <v>792</v>
      </c>
      <c r="P684" s="4"/>
    </row>
    <row r="685" spans="1:16" ht="15">
      <c r="A685" s="4" t="s">
        <v>1401</v>
      </c>
      <c r="B685" s="30">
        <v>39959</v>
      </c>
      <c r="C685" s="4"/>
      <c r="D685" s="4" t="s">
        <v>193</v>
      </c>
      <c r="E685" s="4" t="s">
        <v>170</v>
      </c>
      <c r="F685" s="4" t="s">
        <v>155</v>
      </c>
      <c r="G685" s="4"/>
      <c r="H685" s="4"/>
      <c r="I685" s="4" t="s">
        <v>140</v>
      </c>
      <c r="J685" s="4" t="s">
        <v>181</v>
      </c>
      <c r="K685" s="4" t="s">
        <v>142</v>
      </c>
      <c r="L685" s="4" t="s">
        <v>162</v>
      </c>
      <c r="M685" s="4" t="s">
        <v>175</v>
      </c>
      <c r="N685" s="4" t="s">
        <v>155</v>
      </c>
      <c r="O685" s="4" t="s">
        <v>129</v>
      </c>
      <c r="P685" s="4"/>
    </row>
    <row r="686" spans="1:16" ht="15">
      <c r="A686" s="4" t="s">
        <v>1402</v>
      </c>
      <c r="B686" s="30">
        <v>39911</v>
      </c>
      <c r="C686" s="4"/>
      <c r="D686" s="4" t="s">
        <v>4184</v>
      </c>
      <c r="E686" s="4" t="s">
        <v>170</v>
      </c>
      <c r="F686" s="4" t="s">
        <v>155</v>
      </c>
      <c r="G686" s="4"/>
      <c r="H686" s="4"/>
      <c r="I686" s="4" t="s">
        <v>140</v>
      </c>
      <c r="J686" s="4" t="s">
        <v>180</v>
      </c>
      <c r="K686" s="4" t="s">
        <v>147</v>
      </c>
      <c r="L686" s="4" t="s">
        <v>162</v>
      </c>
      <c r="M686" s="4" t="s">
        <v>429</v>
      </c>
      <c r="N686" s="4" t="s">
        <v>155</v>
      </c>
      <c r="O686" s="4" t="s">
        <v>130</v>
      </c>
      <c r="P686" s="4"/>
    </row>
    <row r="687" spans="1:16" ht="15">
      <c r="A687" s="4" t="s">
        <v>1403</v>
      </c>
      <c r="B687" s="30">
        <v>40038</v>
      </c>
      <c r="C687" s="4" t="s">
        <v>9</v>
      </c>
      <c r="D687" s="4" t="s">
        <v>193</v>
      </c>
      <c r="E687" s="4" t="s">
        <v>170</v>
      </c>
      <c r="F687" s="4" t="s">
        <v>155</v>
      </c>
      <c r="G687" s="4">
        <v>5</v>
      </c>
      <c r="H687" s="4">
        <v>5</v>
      </c>
      <c r="I687" s="4" t="s">
        <v>140</v>
      </c>
      <c r="J687" s="4" t="s">
        <v>182</v>
      </c>
      <c r="K687" s="4" t="s">
        <v>146</v>
      </c>
      <c r="L687" s="4" t="s">
        <v>4176</v>
      </c>
      <c r="M687" s="4" t="s">
        <v>174</v>
      </c>
      <c r="N687" s="4" t="s">
        <v>156</v>
      </c>
      <c r="O687" s="4" t="s">
        <v>120</v>
      </c>
      <c r="P687" s="4" t="s">
        <v>1404</v>
      </c>
    </row>
    <row r="688" spans="1:16" ht="15">
      <c r="A688" s="4" t="s">
        <v>1405</v>
      </c>
      <c r="B688" s="30">
        <v>39984</v>
      </c>
      <c r="C688" s="4"/>
      <c r="D688" s="4" t="s">
        <v>194</v>
      </c>
      <c r="E688" s="4" t="s">
        <v>170</v>
      </c>
      <c r="F688" s="4" t="s">
        <v>155</v>
      </c>
      <c r="G688" s="4"/>
      <c r="H688" s="4"/>
      <c r="I688" s="4" t="s">
        <v>139</v>
      </c>
      <c r="J688" s="4" t="s">
        <v>180</v>
      </c>
      <c r="K688" s="4" t="s">
        <v>144</v>
      </c>
      <c r="L688" s="4" t="s">
        <v>4181</v>
      </c>
      <c r="M688" s="4" t="s">
        <v>1406</v>
      </c>
      <c r="N688" s="4" t="s">
        <v>788</v>
      </c>
      <c r="O688" s="4" t="s">
        <v>1407</v>
      </c>
      <c r="P688" s="4"/>
    </row>
    <row r="689" spans="1:16" ht="15">
      <c r="A689" s="4" t="s">
        <v>1408</v>
      </c>
      <c r="B689" s="30">
        <v>39937</v>
      </c>
      <c r="C689" s="4"/>
      <c r="D689" s="4" t="s">
        <v>4184</v>
      </c>
      <c r="E689" s="4" t="s">
        <v>170</v>
      </c>
      <c r="F689" s="4" t="s">
        <v>155</v>
      </c>
      <c r="G689" s="4"/>
      <c r="H689" s="4"/>
      <c r="I689" s="4" t="s">
        <v>140</v>
      </c>
      <c r="J689" s="4" t="s">
        <v>178</v>
      </c>
      <c r="K689" s="4" t="s">
        <v>145</v>
      </c>
      <c r="L689" s="4" t="s">
        <v>162</v>
      </c>
      <c r="M689" s="4" t="s">
        <v>175</v>
      </c>
      <c r="N689" s="4" t="s">
        <v>155</v>
      </c>
      <c r="O689" s="4" t="s">
        <v>129</v>
      </c>
      <c r="P689" s="4"/>
    </row>
    <row r="690" spans="1:16" ht="15">
      <c r="A690" s="4" t="s">
        <v>1409</v>
      </c>
      <c r="B690" s="30">
        <v>40079</v>
      </c>
      <c r="C690" s="4" t="s">
        <v>496</v>
      </c>
      <c r="D690" s="4" t="s">
        <v>544</v>
      </c>
      <c r="E690" s="4" t="s">
        <v>170</v>
      </c>
      <c r="F690" s="4" t="s">
        <v>155</v>
      </c>
      <c r="G690" s="4">
        <v>5</v>
      </c>
      <c r="H690" s="4">
        <v>5</v>
      </c>
      <c r="I690" s="4" t="s">
        <v>139</v>
      </c>
      <c r="J690" s="4" t="s">
        <v>528</v>
      </c>
      <c r="K690" s="4" t="s">
        <v>143</v>
      </c>
      <c r="L690" s="4" t="s">
        <v>4176</v>
      </c>
      <c r="M690" s="4" t="s">
        <v>578</v>
      </c>
      <c r="N690" s="4" t="s">
        <v>156</v>
      </c>
      <c r="O690" s="4" t="s">
        <v>120</v>
      </c>
      <c r="P690" s="4" t="s">
        <v>741</v>
      </c>
    </row>
    <row r="691" spans="1:16" ht="15">
      <c r="A691" s="4" t="s">
        <v>1410</v>
      </c>
      <c r="B691" s="30">
        <v>40049</v>
      </c>
      <c r="C691" s="4"/>
      <c r="D691" s="4" t="s">
        <v>193</v>
      </c>
      <c r="E691" s="4" t="s">
        <v>170</v>
      </c>
      <c r="F691" s="4" t="s">
        <v>155</v>
      </c>
      <c r="G691" s="4">
        <v>5</v>
      </c>
      <c r="H691" s="4">
        <v>2</v>
      </c>
      <c r="I691" s="4" t="s">
        <v>140</v>
      </c>
      <c r="J691" s="4" t="s">
        <v>178</v>
      </c>
      <c r="K691" s="4" t="s">
        <v>146</v>
      </c>
      <c r="L691" s="4" t="s">
        <v>165</v>
      </c>
      <c r="M691" s="4" t="s">
        <v>1411</v>
      </c>
      <c r="N691" s="4" t="s">
        <v>158</v>
      </c>
      <c r="O691" s="4" t="s">
        <v>122</v>
      </c>
      <c r="P691" s="4"/>
    </row>
    <row r="692" spans="1:16" ht="15">
      <c r="A692" s="4" t="s">
        <v>1412</v>
      </c>
      <c r="B692" s="30">
        <v>40005</v>
      </c>
      <c r="C692" s="4"/>
      <c r="D692" s="4" t="s">
        <v>193</v>
      </c>
      <c r="E692" s="4" t="s">
        <v>170</v>
      </c>
      <c r="F692" s="4" t="s">
        <v>155</v>
      </c>
      <c r="G692" s="4">
        <v>3</v>
      </c>
      <c r="H692" s="4">
        <v>3</v>
      </c>
      <c r="I692" s="4" t="s">
        <v>140</v>
      </c>
      <c r="J692" s="4" t="s">
        <v>191</v>
      </c>
      <c r="K692" s="4" t="s">
        <v>144</v>
      </c>
      <c r="L692" s="4" t="s">
        <v>4176</v>
      </c>
      <c r="M692" s="4" t="s">
        <v>1413</v>
      </c>
      <c r="N692" s="4" t="s">
        <v>160</v>
      </c>
      <c r="O692" s="4" t="s">
        <v>126</v>
      </c>
      <c r="P692" s="4" t="s">
        <v>551</v>
      </c>
    </row>
    <row r="693" spans="1:16" ht="15">
      <c r="A693" s="4" t="s">
        <v>1414</v>
      </c>
      <c r="B693" s="30">
        <v>39984</v>
      </c>
      <c r="C693" s="4"/>
      <c r="D693" s="4" t="s">
        <v>195</v>
      </c>
      <c r="E693" s="4" t="s">
        <v>170</v>
      </c>
      <c r="F693" s="4" t="s">
        <v>155</v>
      </c>
      <c r="G693" s="4"/>
      <c r="H693" s="4"/>
      <c r="I693" s="4" t="s">
        <v>139</v>
      </c>
      <c r="J693" s="4" t="s">
        <v>179</v>
      </c>
      <c r="K693" s="4" t="s">
        <v>145</v>
      </c>
      <c r="L693" s="4" t="s">
        <v>4181</v>
      </c>
      <c r="M693" s="4" t="s">
        <v>173</v>
      </c>
      <c r="N693" s="4" t="s">
        <v>788</v>
      </c>
      <c r="O693" s="4" t="s">
        <v>1415</v>
      </c>
      <c r="P693" s="4"/>
    </row>
    <row r="694" spans="1:16" ht="15">
      <c r="A694" s="4" t="s">
        <v>1416</v>
      </c>
      <c r="B694" s="30">
        <v>40042</v>
      </c>
      <c r="C694" s="4"/>
      <c r="D694" s="4" t="s">
        <v>193</v>
      </c>
      <c r="E694" s="4" t="s">
        <v>170</v>
      </c>
      <c r="F694" s="4" t="s">
        <v>155</v>
      </c>
      <c r="G694" s="4">
        <v>5</v>
      </c>
      <c r="H694" s="4">
        <v>5</v>
      </c>
      <c r="I694" s="4" t="s">
        <v>140</v>
      </c>
      <c r="J694" s="4" t="s">
        <v>190</v>
      </c>
      <c r="K694" s="4" t="s">
        <v>142</v>
      </c>
      <c r="L694" s="4" t="s">
        <v>4181</v>
      </c>
      <c r="M694" s="4" t="s">
        <v>902</v>
      </c>
      <c r="N694" s="4" t="s">
        <v>155</v>
      </c>
      <c r="O694" s="4" t="s">
        <v>125</v>
      </c>
      <c r="P694" s="4"/>
    </row>
    <row r="695" spans="1:16" ht="15">
      <c r="A695" s="4" t="s">
        <v>1417</v>
      </c>
      <c r="B695" s="30">
        <v>40017</v>
      </c>
      <c r="C695" s="4"/>
      <c r="D695" s="4" t="s">
        <v>195</v>
      </c>
      <c r="E695" s="4" t="s">
        <v>170</v>
      </c>
      <c r="F695" s="4" t="s">
        <v>155</v>
      </c>
      <c r="G695" s="4">
        <v>5</v>
      </c>
      <c r="H695" s="4">
        <v>2</v>
      </c>
      <c r="I695" s="4" t="s">
        <v>139</v>
      </c>
      <c r="J695" s="4" t="s">
        <v>187</v>
      </c>
      <c r="K695" s="4" t="s">
        <v>148</v>
      </c>
      <c r="L695" s="4" t="s">
        <v>4181</v>
      </c>
      <c r="M695" s="4" t="s">
        <v>173</v>
      </c>
      <c r="N695" s="4" t="s">
        <v>155</v>
      </c>
      <c r="O695" s="4" t="s">
        <v>124</v>
      </c>
      <c r="P695" s="4"/>
    </row>
    <row r="696" spans="1:16" ht="15">
      <c r="A696" s="4" t="s">
        <v>1418</v>
      </c>
      <c r="B696" s="30">
        <v>39994</v>
      </c>
      <c r="C696" s="4"/>
      <c r="D696" s="4" t="s">
        <v>195</v>
      </c>
      <c r="E696" s="4" t="s">
        <v>170</v>
      </c>
      <c r="F696" s="4" t="s">
        <v>155</v>
      </c>
      <c r="G696" s="4"/>
      <c r="H696" s="4">
        <v>3</v>
      </c>
      <c r="I696" s="4" t="s">
        <v>139</v>
      </c>
      <c r="J696" s="4" t="s">
        <v>185</v>
      </c>
      <c r="K696" s="4" t="s">
        <v>148</v>
      </c>
      <c r="L696" s="4" t="s">
        <v>162</v>
      </c>
      <c r="M696" s="4" t="s">
        <v>175</v>
      </c>
      <c r="N696" s="4" t="s">
        <v>155</v>
      </c>
      <c r="O696" s="4" t="s">
        <v>130</v>
      </c>
      <c r="P696" s="4"/>
    </row>
    <row r="697" spans="1:16" ht="15">
      <c r="A697" s="4" t="s">
        <v>1419</v>
      </c>
      <c r="B697" s="30">
        <v>40021</v>
      </c>
      <c r="C697" s="4" t="s">
        <v>383</v>
      </c>
      <c r="D697" s="4" t="s">
        <v>193</v>
      </c>
      <c r="E697" s="4" t="s">
        <v>170</v>
      </c>
      <c r="F697" s="4" t="s">
        <v>155</v>
      </c>
      <c r="G697" s="4">
        <v>3</v>
      </c>
      <c r="H697" s="4">
        <v>4</v>
      </c>
      <c r="I697" s="4" t="s">
        <v>140</v>
      </c>
      <c r="J697" s="4" t="s">
        <v>178</v>
      </c>
      <c r="K697" s="4" t="s">
        <v>142</v>
      </c>
      <c r="L697" s="4" t="s">
        <v>162</v>
      </c>
      <c r="M697" s="4" t="s">
        <v>175</v>
      </c>
      <c r="N697" s="4" t="s">
        <v>155</v>
      </c>
      <c r="O697" s="4" t="s">
        <v>130</v>
      </c>
      <c r="P697" s="4"/>
    </row>
    <row r="698" spans="1:16" ht="15">
      <c r="A698" s="4" t="s">
        <v>1420</v>
      </c>
      <c r="B698" s="30">
        <v>39925</v>
      </c>
      <c r="C698" s="4"/>
      <c r="D698" s="4" t="s">
        <v>4180</v>
      </c>
      <c r="E698" s="4" t="s">
        <v>170</v>
      </c>
      <c r="F698" s="4" t="s">
        <v>155</v>
      </c>
      <c r="G698" s="4"/>
      <c r="H698" s="4"/>
      <c r="I698" s="4" t="s">
        <v>139</v>
      </c>
      <c r="J698" s="4" t="s">
        <v>184</v>
      </c>
      <c r="K698" s="4" t="s">
        <v>142</v>
      </c>
      <c r="L698" s="4" t="s">
        <v>4181</v>
      </c>
      <c r="M698" s="4" t="s">
        <v>173</v>
      </c>
      <c r="N698" s="4" t="s">
        <v>155</v>
      </c>
      <c r="O698" s="4" t="s">
        <v>124</v>
      </c>
      <c r="P698" s="4"/>
    </row>
    <row r="699" spans="1:16" ht="15">
      <c r="A699" s="4" t="s">
        <v>1421</v>
      </c>
      <c r="B699" s="30">
        <v>39921</v>
      </c>
      <c r="C699" s="4"/>
      <c r="D699" s="4" t="s">
        <v>4180</v>
      </c>
      <c r="E699" s="4" t="s">
        <v>170</v>
      </c>
      <c r="F699" s="4" t="s">
        <v>155</v>
      </c>
      <c r="G699" s="4"/>
      <c r="H699" s="4"/>
      <c r="I699" s="4" t="s">
        <v>139</v>
      </c>
      <c r="J699" s="4" t="s">
        <v>185</v>
      </c>
      <c r="K699" s="4" t="s">
        <v>148</v>
      </c>
      <c r="L699" s="4" t="s">
        <v>4181</v>
      </c>
      <c r="M699" s="4" t="s">
        <v>1422</v>
      </c>
      <c r="N699" s="4" t="s">
        <v>155</v>
      </c>
      <c r="O699" s="4" t="s">
        <v>692</v>
      </c>
      <c r="P699" s="4"/>
    </row>
    <row r="700" spans="1:16" ht="15">
      <c r="A700" s="4" t="s">
        <v>1423</v>
      </c>
      <c r="B700" s="30">
        <v>39924</v>
      </c>
      <c r="C700" s="4" t="s">
        <v>380</v>
      </c>
      <c r="D700" s="4" t="s">
        <v>4182</v>
      </c>
      <c r="E700" s="4" t="s">
        <v>170</v>
      </c>
      <c r="F700" s="4" t="s">
        <v>155</v>
      </c>
      <c r="G700" s="4"/>
      <c r="H700" s="4"/>
      <c r="I700" s="4" t="s">
        <v>139</v>
      </c>
      <c r="J700" s="4" t="s">
        <v>509</v>
      </c>
      <c r="K700" s="4" t="s">
        <v>143</v>
      </c>
      <c r="L700" s="4" t="s">
        <v>4181</v>
      </c>
      <c r="M700" s="4"/>
      <c r="N700" s="4" t="s">
        <v>155</v>
      </c>
      <c r="O700" s="4" t="s">
        <v>125</v>
      </c>
      <c r="P700" s="4"/>
    </row>
    <row r="701" spans="1:16" ht="15">
      <c r="A701" s="4" t="s">
        <v>1424</v>
      </c>
      <c r="B701" s="30">
        <v>39971</v>
      </c>
      <c r="C701" s="4" t="s">
        <v>380</v>
      </c>
      <c r="D701" s="4" t="s">
        <v>195</v>
      </c>
      <c r="E701" s="4" t="s">
        <v>170</v>
      </c>
      <c r="F701" s="4" t="s">
        <v>155</v>
      </c>
      <c r="G701" s="4"/>
      <c r="H701" s="4"/>
      <c r="I701" s="4" t="s">
        <v>139</v>
      </c>
      <c r="J701" s="4" t="s">
        <v>509</v>
      </c>
      <c r="K701" s="4" t="s">
        <v>142</v>
      </c>
      <c r="L701" s="4" t="s">
        <v>4176</v>
      </c>
      <c r="M701" s="4" t="s">
        <v>1425</v>
      </c>
      <c r="N701" s="4" t="s">
        <v>159</v>
      </c>
      <c r="O701" s="4" t="s">
        <v>126</v>
      </c>
      <c r="P701" s="4" t="s">
        <v>601</v>
      </c>
    </row>
    <row r="702" spans="1:16" ht="15">
      <c r="A702" s="4" t="s">
        <v>1426</v>
      </c>
      <c r="B702" s="30">
        <v>40055</v>
      </c>
      <c r="C702" s="4"/>
      <c r="D702" s="4" t="s">
        <v>193</v>
      </c>
      <c r="E702" s="4" t="s">
        <v>170</v>
      </c>
      <c r="F702" s="4" t="s">
        <v>155</v>
      </c>
      <c r="G702" s="4">
        <v>5</v>
      </c>
      <c r="H702" s="4">
        <v>5</v>
      </c>
      <c r="I702" s="4" t="s">
        <v>140</v>
      </c>
      <c r="J702" s="4" t="s">
        <v>184</v>
      </c>
      <c r="K702" s="4" t="s">
        <v>142</v>
      </c>
      <c r="L702" s="4" t="s">
        <v>4176</v>
      </c>
      <c r="M702" s="4" t="s">
        <v>506</v>
      </c>
      <c r="N702" s="4" t="s">
        <v>156</v>
      </c>
      <c r="O702" s="4" t="s">
        <v>120</v>
      </c>
      <c r="P702" s="4" t="s">
        <v>1427</v>
      </c>
    </row>
    <row r="703" spans="1:16" ht="15">
      <c r="A703" s="4" t="s">
        <v>1428</v>
      </c>
      <c r="B703" s="30">
        <v>39962</v>
      </c>
      <c r="C703" s="4"/>
      <c r="D703" s="4" t="s">
        <v>193</v>
      </c>
      <c r="E703" s="4" t="s">
        <v>170</v>
      </c>
      <c r="F703" s="4" t="s">
        <v>155</v>
      </c>
      <c r="G703" s="4"/>
      <c r="H703" s="4"/>
      <c r="I703" s="4" t="s">
        <v>140</v>
      </c>
      <c r="J703" s="4" t="s">
        <v>189</v>
      </c>
      <c r="K703" s="4" t="s">
        <v>150</v>
      </c>
      <c r="L703" s="4" t="s">
        <v>4181</v>
      </c>
      <c r="M703" s="4" t="s">
        <v>1429</v>
      </c>
      <c r="N703" s="4" t="s">
        <v>155</v>
      </c>
      <c r="O703" s="4" t="s">
        <v>454</v>
      </c>
      <c r="P703" s="4"/>
    </row>
    <row r="704" spans="1:16" ht="15">
      <c r="A704" s="4" t="s">
        <v>1430</v>
      </c>
      <c r="B704" s="30">
        <v>39934</v>
      </c>
      <c r="C704" s="4"/>
      <c r="D704" s="4" t="s">
        <v>4182</v>
      </c>
      <c r="E704" s="4" t="s">
        <v>170</v>
      </c>
      <c r="F704" s="4" t="s">
        <v>155</v>
      </c>
      <c r="G704" s="4"/>
      <c r="H704" s="4"/>
      <c r="I704" s="4" t="s">
        <v>139</v>
      </c>
      <c r="J704" s="4" t="s">
        <v>409</v>
      </c>
      <c r="K704" s="4" t="s">
        <v>143</v>
      </c>
      <c r="L704" s="4" t="s">
        <v>162</v>
      </c>
      <c r="M704" s="4"/>
      <c r="N704" s="4" t="s">
        <v>155</v>
      </c>
      <c r="O704" s="4" t="s">
        <v>129</v>
      </c>
      <c r="P704" s="4"/>
    </row>
    <row r="705" spans="1:16" ht="15">
      <c r="A705" s="4" t="s">
        <v>1431</v>
      </c>
      <c r="B705" s="30">
        <v>39924</v>
      </c>
      <c r="C705" s="4" t="s">
        <v>525</v>
      </c>
      <c r="D705" s="4" t="s">
        <v>4182</v>
      </c>
      <c r="E705" s="4" t="s">
        <v>170</v>
      </c>
      <c r="F705" s="4" t="s">
        <v>155</v>
      </c>
      <c r="G705" s="4"/>
      <c r="H705" s="4"/>
      <c r="I705" s="4" t="s">
        <v>139</v>
      </c>
      <c r="J705" s="4" t="s">
        <v>181</v>
      </c>
      <c r="K705" s="4" t="s">
        <v>143</v>
      </c>
      <c r="L705" s="4" t="s">
        <v>4176</v>
      </c>
      <c r="M705" s="4" t="s">
        <v>550</v>
      </c>
      <c r="N705" s="4" t="s">
        <v>157</v>
      </c>
      <c r="O705" s="4" t="s">
        <v>434</v>
      </c>
      <c r="P705" s="4" t="s">
        <v>449</v>
      </c>
    </row>
    <row r="706" spans="1:16" ht="15">
      <c r="A706" s="4" t="s">
        <v>1432</v>
      </c>
      <c r="B706" s="30">
        <v>40005</v>
      </c>
      <c r="C706" s="4"/>
      <c r="D706" s="4" t="s">
        <v>193</v>
      </c>
      <c r="E706" s="4" t="s">
        <v>170</v>
      </c>
      <c r="F706" s="4" t="s">
        <v>155</v>
      </c>
      <c r="G706" s="4">
        <v>2</v>
      </c>
      <c r="H706" s="4">
        <v>3</v>
      </c>
      <c r="I706" s="4" t="s">
        <v>140</v>
      </c>
      <c r="J706" s="4" t="s">
        <v>180</v>
      </c>
      <c r="K706" s="4" t="s">
        <v>148</v>
      </c>
      <c r="L706" s="4" t="s">
        <v>162</v>
      </c>
      <c r="M706" s="4" t="s">
        <v>1231</v>
      </c>
      <c r="N706" s="4" t="s">
        <v>155</v>
      </c>
      <c r="O706" s="4" t="s">
        <v>130</v>
      </c>
      <c r="P706" s="4"/>
    </row>
    <row r="707" spans="1:16" ht="15">
      <c r="A707" s="4" t="s">
        <v>1433</v>
      </c>
      <c r="B707" s="30">
        <v>40014</v>
      </c>
      <c r="C707" s="4"/>
      <c r="D707" s="4" t="s">
        <v>193</v>
      </c>
      <c r="E707" s="4" t="s">
        <v>170</v>
      </c>
      <c r="F707" s="4" t="s">
        <v>155</v>
      </c>
      <c r="G707" s="4">
        <v>5</v>
      </c>
      <c r="H707" s="4">
        <v>2</v>
      </c>
      <c r="I707" s="4" t="s">
        <v>140</v>
      </c>
      <c r="J707" s="4" t="s">
        <v>183</v>
      </c>
      <c r="K707" s="4" t="s">
        <v>142</v>
      </c>
      <c r="L707" s="4" t="s">
        <v>4176</v>
      </c>
      <c r="M707" s="4" t="s">
        <v>174</v>
      </c>
      <c r="N707" s="4" t="s">
        <v>156</v>
      </c>
      <c r="O707" s="4" t="s">
        <v>120</v>
      </c>
      <c r="P707" s="4" t="s">
        <v>1434</v>
      </c>
    </row>
    <row r="708" spans="1:16" ht="15">
      <c r="A708" s="4" t="s">
        <v>1435</v>
      </c>
      <c r="B708" s="30">
        <v>39953</v>
      </c>
      <c r="C708" s="4"/>
      <c r="D708" s="4" t="s">
        <v>195</v>
      </c>
      <c r="E708" s="4" t="s">
        <v>170</v>
      </c>
      <c r="F708" s="4" t="s">
        <v>155</v>
      </c>
      <c r="G708" s="4"/>
      <c r="H708" s="4"/>
      <c r="I708" s="4" t="s">
        <v>139</v>
      </c>
      <c r="J708" s="4" t="s">
        <v>178</v>
      </c>
      <c r="K708" s="4" t="s">
        <v>143</v>
      </c>
      <c r="L708" s="4" t="s">
        <v>4181</v>
      </c>
      <c r="M708" s="4" t="s">
        <v>173</v>
      </c>
      <c r="N708" s="4" t="s">
        <v>155</v>
      </c>
      <c r="O708" s="4" t="s">
        <v>125</v>
      </c>
      <c r="P708" s="4"/>
    </row>
    <row r="709" spans="1:16" ht="15">
      <c r="A709" s="4" t="s">
        <v>1436</v>
      </c>
      <c r="B709" s="30">
        <v>39931</v>
      </c>
      <c r="C709" s="4"/>
      <c r="D709" s="4" t="s">
        <v>4178</v>
      </c>
      <c r="E709" s="4" t="s">
        <v>170</v>
      </c>
      <c r="F709" s="4" t="s">
        <v>155</v>
      </c>
      <c r="G709" s="4"/>
      <c r="H709" s="4"/>
      <c r="I709" s="4" t="s">
        <v>139</v>
      </c>
      <c r="J709" s="4" t="s">
        <v>187</v>
      </c>
      <c r="K709" s="4" t="s">
        <v>142</v>
      </c>
      <c r="L709" s="4" t="s">
        <v>4181</v>
      </c>
      <c r="M709" s="4" t="s">
        <v>173</v>
      </c>
      <c r="N709" s="4" t="s">
        <v>155</v>
      </c>
      <c r="O709" s="4" t="s">
        <v>962</v>
      </c>
      <c r="P709" s="4"/>
    </row>
    <row r="710" spans="1:16" ht="15">
      <c r="A710" s="4" t="s">
        <v>1437</v>
      </c>
      <c r="B710" s="30">
        <v>39905</v>
      </c>
      <c r="C710" s="4" t="s">
        <v>380</v>
      </c>
      <c r="D710" s="4" t="s">
        <v>4178</v>
      </c>
      <c r="E710" s="4" t="s">
        <v>170</v>
      </c>
      <c r="F710" s="4" t="s">
        <v>155</v>
      </c>
      <c r="G710" s="4"/>
      <c r="H710" s="4"/>
      <c r="I710" s="4" t="s">
        <v>139</v>
      </c>
      <c r="J710" s="4" t="s">
        <v>178</v>
      </c>
      <c r="K710" s="4" t="s">
        <v>149</v>
      </c>
      <c r="L710" s="4" t="s">
        <v>4181</v>
      </c>
      <c r="M710" s="4" t="s">
        <v>173</v>
      </c>
      <c r="N710" s="4" t="s">
        <v>161</v>
      </c>
      <c r="O710" s="4" t="s">
        <v>387</v>
      </c>
      <c r="P710" s="4"/>
    </row>
    <row r="711" spans="1:16" ht="15">
      <c r="A711" s="4" t="s">
        <v>1438</v>
      </c>
      <c r="B711" s="30">
        <v>40045</v>
      </c>
      <c r="C711" s="4"/>
      <c r="D711" s="4" t="s">
        <v>193</v>
      </c>
      <c r="E711" s="4" t="s">
        <v>170</v>
      </c>
      <c r="F711" s="4" t="s">
        <v>155</v>
      </c>
      <c r="G711" s="4">
        <v>5</v>
      </c>
      <c r="H711" s="4">
        <v>5</v>
      </c>
      <c r="I711" s="4" t="s">
        <v>140</v>
      </c>
      <c r="J711" s="4" t="s">
        <v>191</v>
      </c>
      <c r="K711" s="4" t="s">
        <v>146</v>
      </c>
      <c r="L711" s="4" t="s">
        <v>162</v>
      </c>
      <c r="M711" s="4" t="s">
        <v>802</v>
      </c>
      <c r="N711" s="4" t="s">
        <v>155</v>
      </c>
      <c r="O711" s="4" t="s">
        <v>129</v>
      </c>
      <c r="P711" s="4"/>
    </row>
    <row r="712" spans="1:16" ht="15">
      <c r="A712" s="4" t="s">
        <v>1439</v>
      </c>
      <c r="B712" s="30">
        <v>39919</v>
      </c>
      <c r="C712" s="4"/>
      <c r="D712" s="4" t="s">
        <v>4184</v>
      </c>
      <c r="E712" s="4" t="s">
        <v>170</v>
      </c>
      <c r="F712" s="4" t="s">
        <v>155</v>
      </c>
      <c r="G712" s="4"/>
      <c r="H712" s="4"/>
      <c r="I712" s="4" t="s">
        <v>140</v>
      </c>
      <c r="J712" s="4" t="s">
        <v>479</v>
      </c>
      <c r="K712" s="4" t="s">
        <v>147</v>
      </c>
      <c r="L712" s="4" t="s">
        <v>162</v>
      </c>
      <c r="M712" s="4" t="s">
        <v>498</v>
      </c>
      <c r="N712" s="4" t="s">
        <v>155</v>
      </c>
      <c r="O712" s="4" t="s">
        <v>129</v>
      </c>
      <c r="P712" s="4"/>
    </row>
    <row r="713" spans="1:16" ht="15">
      <c r="A713" s="4" t="s">
        <v>1440</v>
      </c>
      <c r="B713" s="30">
        <v>39944</v>
      </c>
      <c r="C713" s="4"/>
      <c r="D713" s="4" t="s">
        <v>193</v>
      </c>
      <c r="E713" s="4" t="s">
        <v>170</v>
      </c>
      <c r="F713" s="4" t="s">
        <v>155</v>
      </c>
      <c r="G713" s="4"/>
      <c r="H713" s="4"/>
      <c r="I713" s="4" t="s">
        <v>140</v>
      </c>
      <c r="J713" s="4" t="s">
        <v>178</v>
      </c>
      <c r="K713" s="4" t="s">
        <v>142</v>
      </c>
      <c r="L713" s="4" t="s">
        <v>4181</v>
      </c>
      <c r="M713" s="4" t="s">
        <v>173</v>
      </c>
      <c r="N713" s="4" t="s">
        <v>155</v>
      </c>
      <c r="O713" s="4" t="s">
        <v>1441</v>
      </c>
      <c r="P713" s="4"/>
    </row>
    <row r="714" spans="1:16" ht="15">
      <c r="A714" s="4" t="s">
        <v>1442</v>
      </c>
      <c r="B714" s="30">
        <v>39980</v>
      </c>
      <c r="C714" s="4" t="s">
        <v>9</v>
      </c>
      <c r="D714" s="4" t="s">
        <v>193</v>
      </c>
      <c r="E714" s="4" t="s">
        <v>170</v>
      </c>
      <c r="F714" s="4" t="s">
        <v>155</v>
      </c>
      <c r="G714" s="4"/>
      <c r="H714" s="4"/>
      <c r="I714" s="4" t="s">
        <v>140</v>
      </c>
      <c r="J714" s="4" t="s">
        <v>179</v>
      </c>
      <c r="K714" s="4" t="s">
        <v>143</v>
      </c>
      <c r="L714" s="4" t="s">
        <v>4181</v>
      </c>
      <c r="M714" s="4" t="s">
        <v>1443</v>
      </c>
      <c r="N714" s="4" t="s">
        <v>155</v>
      </c>
      <c r="O714" s="4" t="s">
        <v>746</v>
      </c>
      <c r="P714" s="4"/>
    </row>
    <row r="715" spans="1:16" ht="15">
      <c r="A715" s="4" t="s">
        <v>1444</v>
      </c>
      <c r="B715" s="30">
        <v>39923</v>
      </c>
      <c r="C715" s="4" t="s">
        <v>525</v>
      </c>
      <c r="D715" s="4" t="s">
        <v>4177</v>
      </c>
      <c r="E715" s="4" t="s">
        <v>170</v>
      </c>
      <c r="F715" s="4" t="s">
        <v>155</v>
      </c>
      <c r="G715" s="4"/>
      <c r="H715" s="4"/>
      <c r="I715" s="4" t="s">
        <v>139</v>
      </c>
      <c r="J715" s="4" t="s">
        <v>188</v>
      </c>
      <c r="K715" s="4" t="s">
        <v>147</v>
      </c>
      <c r="L715" s="4" t="s">
        <v>4176</v>
      </c>
      <c r="M715" s="4" t="s">
        <v>867</v>
      </c>
      <c r="N715" s="4" t="s">
        <v>157</v>
      </c>
      <c r="O715" s="4" t="s">
        <v>127</v>
      </c>
      <c r="P715" s="4" t="s">
        <v>153</v>
      </c>
    </row>
    <row r="716" spans="1:16" ht="15">
      <c r="A716" s="4" t="s">
        <v>1445</v>
      </c>
      <c r="B716" s="30">
        <v>39918</v>
      </c>
      <c r="C716" s="4"/>
      <c r="D716" s="4" t="s">
        <v>4180</v>
      </c>
      <c r="E716" s="4" t="s">
        <v>170</v>
      </c>
      <c r="F716" s="4" t="s">
        <v>155</v>
      </c>
      <c r="G716" s="4"/>
      <c r="H716" s="4"/>
      <c r="I716" s="4" t="s">
        <v>139</v>
      </c>
      <c r="J716" s="4" t="s">
        <v>810</v>
      </c>
      <c r="K716" s="4" t="s">
        <v>147</v>
      </c>
      <c r="L716" s="4" t="s">
        <v>4176</v>
      </c>
      <c r="M716" s="4" t="s">
        <v>933</v>
      </c>
      <c r="N716" s="4" t="s">
        <v>159</v>
      </c>
      <c r="O716" s="4" t="s">
        <v>126</v>
      </c>
      <c r="P716" s="4" t="s">
        <v>601</v>
      </c>
    </row>
    <row r="717" spans="1:16" ht="15">
      <c r="A717" s="4" t="s">
        <v>1446</v>
      </c>
      <c r="B717" s="30">
        <v>39939</v>
      </c>
      <c r="C717" s="4"/>
      <c r="D717" s="4" t="s">
        <v>4177</v>
      </c>
      <c r="E717" s="4" t="s">
        <v>170</v>
      </c>
      <c r="F717" s="4" t="s">
        <v>155</v>
      </c>
      <c r="G717" s="4"/>
      <c r="H717" s="4"/>
      <c r="I717" s="4" t="s">
        <v>139</v>
      </c>
      <c r="J717" s="4" t="s">
        <v>185</v>
      </c>
      <c r="K717" s="4" t="s">
        <v>147</v>
      </c>
      <c r="L717" s="4" t="s">
        <v>4176</v>
      </c>
      <c r="M717" s="4" t="s">
        <v>174</v>
      </c>
      <c r="N717" s="4" t="s">
        <v>160</v>
      </c>
      <c r="O717" s="4" t="s">
        <v>726</v>
      </c>
      <c r="P717" s="4" t="s">
        <v>1447</v>
      </c>
    </row>
    <row r="718" spans="1:16" ht="15">
      <c r="A718" s="4" t="s">
        <v>1448</v>
      </c>
      <c r="B718" s="30">
        <v>40036</v>
      </c>
      <c r="C718" s="4"/>
      <c r="D718" s="4" t="s">
        <v>193</v>
      </c>
      <c r="E718" s="4" t="s">
        <v>170</v>
      </c>
      <c r="F718" s="4" t="s">
        <v>155</v>
      </c>
      <c r="G718" s="4">
        <v>1</v>
      </c>
      <c r="H718" s="4">
        <v>4</v>
      </c>
      <c r="I718" s="4" t="s">
        <v>140</v>
      </c>
      <c r="J718" s="4" t="s">
        <v>479</v>
      </c>
      <c r="K718" s="4" t="s">
        <v>145</v>
      </c>
      <c r="L718" s="4" t="s">
        <v>4176</v>
      </c>
      <c r="M718" s="4" t="s">
        <v>174</v>
      </c>
      <c r="N718" s="4" t="s">
        <v>156</v>
      </c>
      <c r="O718" s="4" t="s">
        <v>120</v>
      </c>
      <c r="P718" s="4" t="s">
        <v>1449</v>
      </c>
    </row>
    <row r="719" spans="1:16" ht="15">
      <c r="A719" s="4" t="s">
        <v>1450</v>
      </c>
      <c r="B719" s="30">
        <v>40047</v>
      </c>
      <c r="C719" s="4" t="s">
        <v>496</v>
      </c>
      <c r="D719" s="4" t="s">
        <v>196</v>
      </c>
      <c r="E719" s="4" t="s">
        <v>170</v>
      </c>
      <c r="F719" s="4" t="s">
        <v>155</v>
      </c>
      <c r="G719" s="4">
        <v>5</v>
      </c>
      <c r="H719" s="4">
        <v>5</v>
      </c>
      <c r="I719" s="4" t="s">
        <v>139</v>
      </c>
      <c r="J719" s="4" t="s">
        <v>185</v>
      </c>
      <c r="K719" s="4" t="s">
        <v>146</v>
      </c>
      <c r="L719" s="4" t="s">
        <v>162</v>
      </c>
      <c r="M719" s="4" t="s">
        <v>175</v>
      </c>
      <c r="N719" s="4" t="s">
        <v>155</v>
      </c>
      <c r="O719" s="4" t="s">
        <v>454</v>
      </c>
      <c r="P719" s="4"/>
    </row>
    <row r="720" spans="1:16" ht="15">
      <c r="A720" s="4" t="s">
        <v>1451</v>
      </c>
      <c r="B720" s="30">
        <v>39954</v>
      </c>
      <c r="C720" s="4"/>
      <c r="D720" s="4" t="s">
        <v>193</v>
      </c>
      <c r="E720" s="4" t="s">
        <v>170</v>
      </c>
      <c r="F720" s="4" t="s">
        <v>155</v>
      </c>
      <c r="G720" s="4"/>
      <c r="H720" s="4"/>
      <c r="I720" s="4" t="s">
        <v>140</v>
      </c>
      <c r="J720" s="4" t="s">
        <v>184</v>
      </c>
      <c r="K720" s="4" t="s">
        <v>142</v>
      </c>
      <c r="L720" s="4" t="s">
        <v>4181</v>
      </c>
      <c r="M720" s="4" t="s">
        <v>173</v>
      </c>
      <c r="N720" s="4" t="s">
        <v>155</v>
      </c>
      <c r="O720" s="4" t="s">
        <v>406</v>
      </c>
      <c r="P720" s="4"/>
    </row>
    <row r="721" spans="1:16" ht="15">
      <c r="A721" s="4" t="s">
        <v>1452</v>
      </c>
      <c r="B721" s="30">
        <v>39933</v>
      </c>
      <c r="C721" s="4"/>
      <c r="D721" s="4" t="s">
        <v>4178</v>
      </c>
      <c r="E721" s="4" t="s">
        <v>170</v>
      </c>
      <c r="F721" s="4" t="s">
        <v>155</v>
      </c>
      <c r="G721" s="4"/>
      <c r="H721" s="4"/>
      <c r="I721" s="4" t="s">
        <v>139</v>
      </c>
      <c r="J721" s="4" t="s">
        <v>182</v>
      </c>
      <c r="K721" s="4" t="s">
        <v>149</v>
      </c>
      <c r="L721" s="4" t="s">
        <v>4176</v>
      </c>
      <c r="M721" s="4" t="s">
        <v>174</v>
      </c>
      <c r="N721" s="4" t="s">
        <v>156</v>
      </c>
      <c r="O721" s="4" t="s">
        <v>120</v>
      </c>
      <c r="P721" s="4" t="s">
        <v>942</v>
      </c>
    </row>
    <row r="722" spans="1:16" ht="15">
      <c r="A722" s="4" t="s">
        <v>1453</v>
      </c>
      <c r="B722" s="30">
        <v>39961</v>
      </c>
      <c r="C722" s="4"/>
      <c r="D722" s="4" t="s">
        <v>193</v>
      </c>
      <c r="E722" s="4" t="s">
        <v>170</v>
      </c>
      <c r="F722" s="4" t="s">
        <v>155</v>
      </c>
      <c r="G722" s="4"/>
      <c r="H722" s="4"/>
      <c r="I722" s="4" t="s">
        <v>140</v>
      </c>
      <c r="J722" s="4" t="s">
        <v>182</v>
      </c>
      <c r="K722" s="4" t="s">
        <v>151</v>
      </c>
      <c r="L722" s="4" t="s">
        <v>162</v>
      </c>
      <c r="M722" s="4" t="s">
        <v>175</v>
      </c>
      <c r="N722" s="4" t="s">
        <v>155</v>
      </c>
      <c r="O722" s="4" t="s">
        <v>130</v>
      </c>
      <c r="P722" s="4"/>
    </row>
    <row r="723" spans="1:16" ht="15">
      <c r="A723" s="4" t="s">
        <v>1454</v>
      </c>
      <c r="B723" s="30">
        <v>39946</v>
      </c>
      <c r="C723" s="4" t="s">
        <v>380</v>
      </c>
      <c r="D723" s="4" t="s">
        <v>193</v>
      </c>
      <c r="E723" s="4" t="s">
        <v>170</v>
      </c>
      <c r="F723" s="4" t="s">
        <v>155</v>
      </c>
      <c r="G723" s="4"/>
      <c r="H723" s="4"/>
      <c r="I723" s="4" t="s">
        <v>140</v>
      </c>
      <c r="J723" s="4" t="s">
        <v>479</v>
      </c>
      <c r="K723" s="4" t="s">
        <v>143</v>
      </c>
      <c r="L723" s="4" t="s">
        <v>165</v>
      </c>
      <c r="M723" s="4"/>
      <c r="N723" s="4" t="s">
        <v>158</v>
      </c>
      <c r="O723" s="4" t="s">
        <v>122</v>
      </c>
      <c r="P723" s="4"/>
    </row>
    <row r="724" spans="1:16" ht="15">
      <c r="A724" s="4" t="s">
        <v>1455</v>
      </c>
      <c r="B724" s="30">
        <v>39924</v>
      </c>
      <c r="C724" s="4"/>
      <c r="D724" s="4" t="s">
        <v>4182</v>
      </c>
      <c r="E724" s="4" t="s">
        <v>170</v>
      </c>
      <c r="F724" s="4" t="s">
        <v>155</v>
      </c>
      <c r="G724" s="4"/>
      <c r="H724" s="4"/>
      <c r="I724" s="4" t="s">
        <v>139</v>
      </c>
      <c r="J724" s="4" t="s">
        <v>178</v>
      </c>
      <c r="K724" s="4" t="s">
        <v>143</v>
      </c>
      <c r="L724" s="4" t="s">
        <v>4181</v>
      </c>
      <c r="M724" s="4" t="s">
        <v>173</v>
      </c>
      <c r="N724" s="4" t="s">
        <v>155</v>
      </c>
      <c r="O724" s="4" t="s">
        <v>127</v>
      </c>
      <c r="P724" s="4"/>
    </row>
    <row r="725" spans="1:16" ht="15">
      <c r="A725" s="4" t="s">
        <v>1456</v>
      </c>
      <c r="B725" s="30">
        <v>39913</v>
      </c>
      <c r="C725" s="4"/>
      <c r="D725" s="4" t="s">
        <v>4178</v>
      </c>
      <c r="E725" s="4" t="s">
        <v>170</v>
      </c>
      <c r="F725" s="4" t="s">
        <v>155</v>
      </c>
      <c r="G725" s="4"/>
      <c r="H725" s="4"/>
      <c r="I725" s="4" t="s">
        <v>139</v>
      </c>
      <c r="J725" s="4" t="s">
        <v>184</v>
      </c>
      <c r="K725" s="4" t="s">
        <v>142</v>
      </c>
      <c r="L725" s="4" t="s">
        <v>165</v>
      </c>
      <c r="M725" s="4" t="s">
        <v>1457</v>
      </c>
      <c r="N725" s="4" t="s">
        <v>158</v>
      </c>
      <c r="O725" s="4" t="s">
        <v>122</v>
      </c>
      <c r="P725" s="4"/>
    </row>
    <row r="726" spans="1:16" ht="15">
      <c r="A726" s="4" t="s">
        <v>1458</v>
      </c>
      <c r="B726" s="30">
        <v>40060</v>
      </c>
      <c r="C726" s="4"/>
      <c r="D726" s="4" t="s">
        <v>195</v>
      </c>
      <c r="E726" s="4" t="s">
        <v>170</v>
      </c>
      <c r="F726" s="4" t="s">
        <v>155</v>
      </c>
      <c r="G726" s="4">
        <v>5</v>
      </c>
      <c r="H726" s="4">
        <v>5</v>
      </c>
      <c r="I726" s="4" t="s">
        <v>139</v>
      </c>
      <c r="J726" s="4" t="s">
        <v>178</v>
      </c>
      <c r="K726" s="4" t="s">
        <v>142</v>
      </c>
      <c r="L726" s="4" t="s">
        <v>162</v>
      </c>
      <c r="M726" s="4" t="s">
        <v>175</v>
      </c>
      <c r="N726" s="4" t="s">
        <v>155</v>
      </c>
      <c r="O726" s="4" t="s">
        <v>129</v>
      </c>
      <c r="P726" s="4"/>
    </row>
    <row r="727" spans="1:16" ht="15">
      <c r="A727" s="4" t="s">
        <v>1459</v>
      </c>
      <c r="B727" s="30">
        <v>39949</v>
      </c>
      <c r="C727" s="4" t="s">
        <v>9</v>
      </c>
      <c r="D727" s="4" t="s">
        <v>193</v>
      </c>
      <c r="E727" s="4" t="s">
        <v>170</v>
      </c>
      <c r="F727" s="4" t="s">
        <v>155</v>
      </c>
      <c r="G727" s="4"/>
      <c r="H727" s="4"/>
      <c r="I727" s="4" t="s">
        <v>140</v>
      </c>
      <c r="J727" s="4" t="s">
        <v>179</v>
      </c>
      <c r="K727" s="4" t="s">
        <v>148</v>
      </c>
      <c r="L727" s="4" t="s">
        <v>4181</v>
      </c>
      <c r="M727" s="4"/>
      <c r="N727" s="4" t="s">
        <v>155</v>
      </c>
      <c r="O727" s="4" t="s">
        <v>125</v>
      </c>
      <c r="P727" s="4"/>
    </row>
    <row r="728" spans="1:16" ht="15">
      <c r="A728" s="4" t="s">
        <v>1460</v>
      </c>
      <c r="B728" s="30">
        <v>39959</v>
      </c>
      <c r="C728" s="4"/>
      <c r="D728" s="4" t="s">
        <v>194</v>
      </c>
      <c r="E728" s="4" t="s">
        <v>170</v>
      </c>
      <c r="F728" s="4" t="s">
        <v>155</v>
      </c>
      <c r="G728" s="4"/>
      <c r="H728" s="4"/>
      <c r="I728" s="4" t="s">
        <v>139</v>
      </c>
      <c r="J728" s="4" t="s">
        <v>182</v>
      </c>
      <c r="K728" s="4" t="s">
        <v>144</v>
      </c>
      <c r="L728" s="4" t="s">
        <v>4181</v>
      </c>
      <c r="M728" s="4"/>
      <c r="N728" s="4" t="s">
        <v>155</v>
      </c>
      <c r="O728" s="4" t="s">
        <v>439</v>
      </c>
      <c r="P728" s="4"/>
    </row>
    <row r="729" spans="1:16" ht="15">
      <c r="A729" s="4" t="s">
        <v>1461</v>
      </c>
      <c r="B729" s="30">
        <v>40045</v>
      </c>
      <c r="C729" s="4"/>
      <c r="D729" s="4" t="s">
        <v>193</v>
      </c>
      <c r="E729" s="4" t="s">
        <v>170</v>
      </c>
      <c r="F729" s="4" t="s">
        <v>155</v>
      </c>
      <c r="G729" s="4">
        <v>5</v>
      </c>
      <c r="H729" s="4">
        <v>3</v>
      </c>
      <c r="I729" s="4" t="s">
        <v>140</v>
      </c>
      <c r="J729" s="4" t="s">
        <v>182</v>
      </c>
      <c r="K729" s="4" t="s">
        <v>145</v>
      </c>
      <c r="L729" s="4" t="s">
        <v>4181</v>
      </c>
      <c r="M729" s="4" t="s">
        <v>173</v>
      </c>
      <c r="N729" s="4" t="s">
        <v>155</v>
      </c>
      <c r="O729" s="4" t="s">
        <v>127</v>
      </c>
      <c r="P729" s="4"/>
    </row>
    <row r="730" spans="1:16" ht="15">
      <c r="A730" s="4" t="s">
        <v>1462</v>
      </c>
      <c r="B730" s="30">
        <v>39925</v>
      </c>
      <c r="C730" s="4"/>
      <c r="D730" s="4" t="s">
        <v>4184</v>
      </c>
      <c r="E730" s="4" t="s">
        <v>170</v>
      </c>
      <c r="F730" s="4" t="s">
        <v>155</v>
      </c>
      <c r="G730" s="4"/>
      <c r="H730" s="4"/>
      <c r="I730" s="4" t="s">
        <v>140</v>
      </c>
      <c r="J730" s="4" t="s">
        <v>182</v>
      </c>
      <c r="K730" s="4" t="s">
        <v>143</v>
      </c>
      <c r="L730" s="4" t="s">
        <v>162</v>
      </c>
      <c r="M730" s="4" t="s">
        <v>175</v>
      </c>
      <c r="N730" s="4" t="s">
        <v>155</v>
      </c>
      <c r="O730" s="4" t="s">
        <v>130</v>
      </c>
      <c r="P730" s="4"/>
    </row>
    <row r="731" spans="1:16" ht="15">
      <c r="A731" s="4" t="s">
        <v>1463</v>
      </c>
      <c r="B731" s="30">
        <v>39917</v>
      </c>
      <c r="C731" s="4"/>
      <c r="D731" s="4" t="s">
        <v>4184</v>
      </c>
      <c r="E731" s="4" t="s">
        <v>170</v>
      </c>
      <c r="F731" s="4" t="s">
        <v>155</v>
      </c>
      <c r="G731" s="4"/>
      <c r="H731" s="4"/>
      <c r="I731" s="4" t="s">
        <v>140</v>
      </c>
      <c r="J731" s="4" t="s">
        <v>190</v>
      </c>
      <c r="K731" s="4" t="s">
        <v>147</v>
      </c>
      <c r="L731" s="4" t="s">
        <v>4176</v>
      </c>
      <c r="M731" s="4" t="s">
        <v>174</v>
      </c>
      <c r="N731" s="4" t="s">
        <v>156</v>
      </c>
      <c r="O731" s="4" t="s">
        <v>120</v>
      </c>
      <c r="P731" s="4" t="s">
        <v>1464</v>
      </c>
    </row>
    <row r="732" spans="1:16" ht="15">
      <c r="A732" s="4" t="s">
        <v>1465</v>
      </c>
      <c r="B732" s="30">
        <v>40031</v>
      </c>
      <c r="C732" s="4" t="s">
        <v>496</v>
      </c>
      <c r="D732" s="4" t="s">
        <v>193</v>
      </c>
      <c r="E732" s="4" t="s">
        <v>170</v>
      </c>
      <c r="F732" s="4" t="s">
        <v>155</v>
      </c>
      <c r="G732" s="4">
        <v>5</v>
      </c>
      <c r="H732" s="4">
        <v>4</v>
      </c>
      <c r="I732" s="4" t="s">
        <v>140</v>
      </c>
      <c r="J732" s="4" t="s">
        <v>180</v>
      </c>
      <c r="K732" s="4" t="s">
        <v>143</v>
      </c>
      <c r="L732" s="4" t="s">
        <v>4181</v>
      </c>
      <c r="M732" s="4" t="s">
        <v>173</v>
      </c>
      <c r="N732" s="4" t="s">
        <v>155</v>
      </c>
      <c r="O732" s="4" t="s">
        <v>962</v>
      </c>
      <c r="P732" s="4"/>
    </row>
    <row r="733" spans="1:16" ht="15">
      <c r="A733" s="4" t="s">
        <v>1466</v>
      </c>
      <c r="B733" s="30">
        <v>39949</v>
      </c>
      <c r="C733" s="4"/>
      <c r="D733" s="4" t="s">
        <v>195</v>
      </c>
      <c r="E733" s="4" t="s">
        <v>170</v>
      </c>
      <c r="F733" s="4" t="s">
        <v>155</v>
      </c>
      <c r="G733" s="4"/>
      <c r="H733" s="4"/>
      <c r="I733" s="4" t="s">
        <v>139</v>
      </c>
      <c r="J733" s="4" t="s">
        <v>180</v>
      </c>
      <c r="K733" s="4" t="s">
        <v>148</v>
      </c>
      <c r="L733" s="4" t="s">
        <v>4176</v>
      </c>
      <c r="M733" s="4" t="s">
        <v>175</v>
      </c>
      <c r="N733" s="4" t="s">
        <v>125</v>
      </c>
      <c r="O733" s="4" t="s">
        <v>628</v>
      </c>
      <c r="P733" s="4" t="s">
        <v>1209</v>
      </c>
    </row>
    <row r="734" spans="1:16" ht="15">
      <c r="A734" s="4" t="s">
        <v>1467</v>
      </c>
      <c r="B734" s="30">
        <v>40079</v>
      </c>
      <c r="C734" s="4"/>
      <c r="D734" s="4" t="s">
        <v>193</v>
      </c>
      <c r="E734" s="4" t="s">
        <v>170</v>
      </c>
      <c r="F734" s="4" t="s">
        <v>155</v>
      </c>
      <c r="G734" s="4">
        <v>5</v>
      </c>
      <c r="H734" s="4">
        <v>5</v>
      </c>
      <c r="I734" s="4" t="s">
        <v>140</v>
      </c>
      <c r="J734" s="4" t="s">
        <v>182</v>
      </c>
      <c r="K734" s="4" t="s">
        <v>146</v>
      </c>
      <c r="L734" s="4" t="s">
        <v>165</v>
      </c>
      <c r="M734" s="4" t="s">
        <v>1468</v>
      </c>
      <c r="N734" s="4" t="s">
        <v>158</v>
      </c>
      <c r="O734" s="4" t="s">
        <v>123</v>
      </c>
      <c r="P734" s="4"/>
    </row>
    <row r="735" spans="1:16" ht="15">
      <c r="A735" s="4" t="s">
        <v>1469</v>
      </c>
      <c r="B735" s="30">
        <v>40034</v>
      </c>
      <c r="C735" s="4"/>
      <c r="D735" s="4" t="s">
        <v>193</v>
      </c>
      <c r="E735" s="4" t="s">
        <v>170</v>
      </c>
      <c r="F735" s="4" t="s">
        <v>155</v>
      </c>
      <c r="G735" s="4">
        <v>5</v>
      </c>
      <c r="H735" s="4">
        <v>5</v>
      </c>
      <c r="I735" s="4" t="s">
        <v>140</v>
      </c>
      <c r="J735" s="4" t="s">
        <v>184</v>
      </c>
      <c r="K735" s="4" t="s">
        <v>150</v>
      </c>
      <c r="L735" s="4" t="s">
        <v>162</v>
      </c>
      <c r="M735" s="4" t="s">
        <v>429</v>
      </c>
      <c r="N735" s="4" t="s">
        <v>155</v>
      </c>
      <c r="O735" s="4" t="s">
        <v>129</v>
      </c>
      <c r="P735" s="4"/>
    </row>
    <row r="736" spans="1:16" ht="15">
      <c r="A736" s="4" t="s">
        <v>1470</v>
      </c>
      <c r="B736" s="30">
        <v>39964</v>
      </c>
      <c r="C736" s="4"/>
      <c r="D736" s="4" t="s">
        <v>195</v>
      </c>
      <c r="E736" s="4" t="s">
        <v>170</v>
      </c>
      <c r="F736" s="4" t="s">
        <v>155</v>
      </c>
      <c r="G736" s="4"/>
      <c r="H736" s="4"/>
      <c r="I736" s="4" t="s">
        <v>139</v>
      </c>
      <c r="J736" s="4" t="s">
        <v>180</v>
      </c>
      <c r="K736" s="4" t="s">
        <v>144</v>
      </c>
      <c r="L736" s="4" t="s">
        <v>4176</v>
      </c>
      <c r="M736" s="4" t="s">
        <v>619</v>
      </c>
      <c r="N736" s="4" t="s">
        <v>159</v>
      </c>
      <c r="O736" s="4" t="s">
        <v>123</v>
      </c>
      <c r="P736" s="4" t="s">
        <v>123</v>
      </c>
    </row>
    <row r="737" spans="1:16" ht="15">
      <c r="A737" s="4" t="s">
        <v>1471</v>
      </c>
      <c r="B737" s="30">
        <v>40033</v>
      </c>
      <c r="C737" s="4"/>
      <c r="D737" s="4" t="s">
        <v>193</v>
      </c>
      <c r="E737" s="4" t="s">
        <v>170</v>
      </c>
      <c r="F737" s="4" t="s">
        <v>155</v>
      </c>
      <c r="G737" s="4">
        <v>1</v>
      </c>
      <c r="H737" s="4">
        <v>4</v>
      </c>
      <c r="I737" s="4" t="s">
        <v>140</v>
      </c>
      <c r="J737" s="4" t="s">
        <v>190</v>
      </c>
      <c r="K737" s="4" t="s">
        <v>142</v>
      </c>
      <c r="L737" s="4" t="s">
        <v>162</v>
      </c>
      <c r="M737" s="4" t="s">
        <v>1472</v>
      </c>
      <c r="N737" s="4" t="s">
        <v>161</v>
      </c>
      <c r="O737" s="4" t="s">
        <v>1473</v>
      </c>
      <c r="P737" s="4"/>
    </row>
    <row r="738" spans="1:16" ht="15">
      <c r="A738" s="4" t="s">
        <v>1474</v>
      </c>
      <c r="B738" s="30">
        <v>39906</v>
      </c>
      <c r="C738" s="4"/>
      <c r="D738" s="4" t="s">
        <v>4178</v>
      </c>
      <c r="E738" s="4" t="s">
        <v>170</v>
      </c>
      <c r="F738" s="4" t="s">
        <v>155</v>
      </c>
      <c r="G738" s="4"/>
      <c r="H738" s="4"/>
      <c r="I738" s="4" t="s">
        <v>139</v>
      </c>
      <c r="J738" s="4" t="s">
        <v>181</v>
      </c>
      <c r="K738" s="4" t="s">
        <v>148</v>
      </c>
      <c r="L738" s="4" t="s">
        <v>165</v>
      </c>
      <c r="M738" s="4"/>
      <c r="N738" s="4" t="s">
        <v>158</v>
      </c>
      <c r="O738" s="4" t="s">
        <v>122</v>
      </c>
      <c r="P738" s="4"/>
    </row>
    <row r="739" spans="1:16" ht="15">
      <c r="A739" s="4" t="s">
        <v>1475</v>
      </c>
      <c r="B739" s="30">
        <v>39917</v>
      </c>
      <c r="C739" s="4"/>
      <c r="D739" s="4" t="s">
        <v>4184</v>
      </c>
      <c r="E739" s="4" t="s">
        <v>170</v>
      </c>
      <c r="F739" s="4" t="s">
        <v>155</v>
      </c>
      <c r="G739" s="4"/>
      <c r="H739" s="4"/>
      <c r="I739" s="4" t="s">
        <v>140</v>
      </c>
      <c r="J739" s="4" t="s">
        <v>186</v>
      </c>
      <c r="K739" s="4" t="s">
        <v>143</v>
      </c>
      <c r="L739" s="4" t="s">
        <v>4176</v>
      </c>
      <c r="M739" s="4" t="s">
        <v>910</v>
      </c>
      <c r="N739" s="4" t="s">
        <v>156</v>
      </c>
      <c r="O739" s="4" t="s">
        <v>120</v>
      </c>
      <c r="P739" s="4" t="s">
        <v>488</v>
      </c>
    </row>
    <row r="740" spans="1:16" ht="15">
      <c r="A740" s="4" t="s">
        <v>1476</v>
      </c>
      <c r="B740" s="30">
        <v>39921</v>
      </c>
      <c r="C740" s="4" t="s">
        <v>9</v>
      </c>
      <c r="D740" s="4" t="s">
        <v>4178</v>
      </c>
      <c r="E740" s="4" t="s">
        <v>170</v>
      </c>
      <c r="F740" s="4" t="s">
        <v>155</v>
      </c>
      <c r="G740" s="4"/>
      <c r="H740" s="4"/>
      <c r="I740" s="4" t="s">
        <v>139</v>
      </c>
      <c r="J740" s="4" t="s">
        <v>188</v>
      </c>
      <c r="K740" s="4" t="s">
        <v>149</v>
      </c>
      <c r="L740" s="4" t="s">
        <v>162</v>
      </c>
      <c r="M740" s="4" t="s">
        <v>176</v>
      </c>
      <c r="N740" s="4" t="s">
        <v>155</v>
      </c>
      <c r="O740" s="4" t="s">
        <v>129</v>
      </c>
      <c r="P740" s="4"/>
    </row>
    <row r="741" spans="1:16" ht="15">
      <c r="A741" s="4" t="s">
        <v>1477</v>
      </c>
      <c r="B741" s="30">
        <v>40083</v>
      </c>
      <c r="C741" s="4"/>
      <c r="D741" s="4" t="s">
        <v>195</v>
      </c>
      <c r="E741" s="4" t="s">
        <v>170</v>
      </c>
      <c r="F741" s="4" t="s">
        <v>155</v>
      </c>
      <c r="G741" s="4">
        <v>5</v>
      </c>
      <c r="H741" s="4">
        <v>5</v>
      </c>
      <c r="I741" s="4" t="s">
        <v>139</v>
      </c>
      <c r="J741" s="4" t="s">
        <v>184</v>
      </c>
      <c r="K741" s="4" t="s">
        <v>145</v>
      </c>
      <c r="L741" s="4" t="s">
        <v>4176</v>
      </c>
      <c r="M741" s="4" t="s">
        <v>619</v>
      </c>
      <c r="N741" s="4" t="s">
        <v>398</v>
      </c>
      <c r="O741" s="4" t="s">
        <v>123</v>
      </c>
      <c r="P741" s="4" t="s">
        <v>123</v>
      </c>
    </row>
    <row r="742" spans="1:16" ht="15">
      <c r="A742" s="4" t="s">
        <v>1478</v>
      </c>
      <c r="B742" s="30">
        <v>39974</v>
      </c>
      <c r="C742" s="4" t="s">
        <v>496</v>
      </c>
      <c r="D742" s="4" t="s">
        <v>193</v>
      </c>
      <c r="E742" s="4" t="s">
        <v>170</v>
      </c>
      <c r="F742" s="4" t="s">
        <v>155</v>
      </c>
      <c r="G742" s="4"/>
      <c r="H742" s="4"/>
      <c r="I742" s="4" t="s">
        <v>140</v>
      </c>
      <c r="J742" s="4" t="s">
        <v>181</v>
      </c>
      <c r="K742" s="4" t="s">
        <v>143</v>
      </c>
      <c r="L742" s="4" t="s">
        <v>4176</v>
      </c>
      <c r="M742" s="4" t="s">
        <v>619</v>
      </c>
      <c r="N742" s="4" t="s">
        <v>156</v>
      </c>
      <c r="O742" s="4" t="s">
        <v>120</v>
      </c>
      <c r="P742" s="4" t="s">
        <v>1479</v>
      </c>
    </row>
    <row r="743" spans="1:16" ht="15">
      <c r="A743" s="4" t="s">
        <v>1480</v>
      </c>
      <c r="B743" s="30">
        <v>39987</v>
      </c>
      <c r="C743" s="4"/>
      <c r="D743" s="4" t="s">
        <v>196</v>
      </c>
      <c r="E743" s="4" t="s">
        <v>170</v>
      </c>
      <c r="F743" s="4" t="s">
        <v>155</v>
      </c>
      <c r="G743" s="4"/>
      <c r="H743" s="4"/>
      <c r="I743" s="4" t="s">
        <v>139</v>
      </c>
      <c r="J743" s="4" t="s">
        <v>180</v>
      </c>
      <c r="K743" s="4" t="s">
        <v>144</v>
      </c>
      <c r="L743" s="4" t="s">
        <v>4176</v>
      </c>
      <c r="M743" s="4" t="s">
        <v>619</v>
      </c>
      <c r="N743" s="4" t="s">
        <v>156</v>
      </c>
      <c r="O743" s="4" t="s">
        <v>120</v>
      </c>
      <c r="P743" s="4" t="s">
        <v>1481</v>
      </c>
    </row>
    <row r="744" spans="1:16" ht="15">
      <c r="A744" s="4" t="s">
        <v>1482</v>
      </c>
      <c r="B744" s="30">
        <v>40005</v>
      </c>
      <c r="C744" s="4"/>
      <c r="D744" s="4" t="s">
        <v>194</v>
      </c>
      <c r="E744" s="4" t="s">
        <v>170</v>
      </c>
      <c r="F744" s="4" t="s">
        <v>155</v>
      </c>
      <c r="G744" s="4">
        <v>5</v>
      </c>
      <c r="H744" s="4">
        <v>4</v>
      </c>
      <c r="I744" s="4" t="s">
        <v>139</v>
      </c>
      <c r="J744" s="4" t="s">
        <v>181</v>
      </c>
      <c r="K744" s="4" t="s">
        <v>144</v>
      </c>
      <c r="L744" s="4" t="s">
        <v>4176</v>
      </c>
      <c r="M744" s="4" t="s">
        <v>619</v>
      </c>
      <c r="N744" s="4" t="s">
        <v>157</v>
      </c>
      <c r="O744" s="4" t="s">
        <v>124</v>
      </c>
      <c r="P744" s="4" t="s">
        <v>1483</v>
      </c>
    </row>
    <row r="745" spans="1:16" ht="15">
      <c r="A745" s="4" t="s">
        <v>1484</v>
      </c>
      <c r="B745" s="30">
        <v>39967</v>
      </c>
      <c r="C745" s="4" t="s">
        <v>525</v>
      </c>
      <c r="D745" s="4" t="s">
        <v>193</v>
      </c>
      <c r="E745" s="4" t="s">
        <v>170</v>
      </c>
      <c r="F745" s="4" t="s">
        <v>155</v>
      </c>
      <c r="G745" s="4"/>
      <c r="H745" s="4"/>
      <c r="I745" s="4" t="s">
        <v>140</v>
      </c>
      <c r="J745" s="4" t="s">
        <v>180</v>
      </c>
      <c r="K745" s="4" t="s">
        <v>146</v>
      </c>
      <c r="L745" s="4" t="s">
        <v>4176</v>
      </c>
      <c r="M745" s="4" t="s">
        <v>619</v>
      </c>
      <c r="N745" s="4" t="s">
        <v>157</v>
      </c>
      <c r="O745" s="4" t="s">
        <v>127</v>
      </c>
      <c r="P745" s="4" t="s">
        <v>153</v>
      </c>
    </row>
    <row r="746" spans="1:16" ht="15">
      <c r="A746" s="4" t="s">
        <v>1485</v>
      </c>
      <c r="B746" s="30">
        <v>40021</v>
      </c>
      <c r="C746" s="4" t="s">
        <v>496</v>
      </c>
      <c r="D746" s="4" t="s">
        <v>193</v>
      </c>
      <c r="E746" s="4" t="s">
        <v>170</v>
      </c>
      <c r="F746" s="4" t="s">
        <v>155</v>
      </c>
      <c r="G746" s="4">
        <v>2</v>
      </c>
      <c r="H746" s="4">
        <v>5</v>
      </c>
      <c r="I746" s="4" t="s">
        <v>140</v>
      </c>
      <c r="J746" s="4" t="s">
        <v>180</v>
      </c>
      <c r="K746" s="4" t="s">
        <v>143</v>
      </c>
      <c r="L746" s="4" t="s">
        <v>4176</v>
      </c>
      <c r="M746" s="4" t="s">
        <v>578</v>
      </c>
      <c r="N746" s="4" t="s">
        <v>157</v>
      </c>
      <c r="O746" s="4" t="s">
        <v>130</v>
      </c>
      <c r="P746" s="4" t="s">
        <v>437</v>
      </c>
    </row>
    <row r="747" spans="1:16" ht="15">
      <c r="A747" s="4" t="s">
        <v>1486</v>
      </c>
      <c r="B747" s="30">
        <v>39982</v>
      </c>
      <c r="C747" s="4"/>
      <c r="D747" s="4" t="s">
        <v>193</v>
      </c>
      <c r="E747" s="4" t="s">
        <v>170</v>
      </c>
      <c r="F747" s="4" t="s">
        <v>155</v>
      </c>
      <c r="G747" s="4"/>
      <c r="H747" s="4"/>
      <c r="I747" s="4" t="s">
        <v>140</v>
      </c>
      <c r="J747" s="4" t="s">
        <v>181</v>
      </c>
      <c r="K747" s="4" t="s">
        <v>142</v>
      </c>
      <c r="L747" s="4" t="s">
        <v>4176</v>
      </c>
      <c r="M747" s="4" t="s">
        <v>619</v>
      </c>
      <c r="N747" s="4" t="s">
        <v>156</v>
      </c>
      <c r="O747" s="4" t="s">
        <v>120</v>
      </c>
      <c r="P747" s="4" t="s">
        <v>1001</v>
      </c>
    </row>
    <row r="748" spans="1:16" ht="15">
      <c r="A748" s="4" t="s">
        <v>1487</v>
      </c>
      <c r="B748" s="30">
        <v>39960</v>
      </c>
      <c r="C748" s="4"/>
      <c r="D748" s="4" t="s">
        <v>193</v>
      </c>
      <c r="E748" s="4" t="s">
        <v>170</v>
      </c>
      <c r="F748" s="4" t="s">
        <v>155</v>
      </c>
      <c r="G748" s="4"/>
      <c r="H748" s="4"/>
      <c r="I748" s="4" t="s">
        <v>140</v>
      </c>
      <c r="J748" s="4" t="s">
        <v>180</v>
      </c>
      <c r="K748" s="4" t="s">
        <v>149</v>
      </c>
      <c r="L748" s="4" t="s">
        <v>162</v>
      </c>
      <c r="M748" s="4" t="s">
        <v>175</v>
      </c>
      <c r="N748" s="4" t="s">
        <v>155</v>
      </c>
      <c r="O748" s="4" t="s">
        <v>1262</v>
      </c>
      <c r="P748" s="4"/>
    </row>
    <row r="749" spans="1:16" ht="15">
      <c r="A749" s="4" t="s">
        <v>1488</v>
      </c>
      <c r="B749" s="30">
        <v>40005</v>
      </c>
      <c r="C749" s="4" t="s">
        <v>9</v>
      </c>
      <c r="D749" s="4" t="s">
        <v>193</v>
      </c>
      <c r="E749" s="4" t="s">
        <v>170</v>
      </c>
      <c r="F749" s="4" t="s">
        <v>155</v>
      </c>
      <c r="G749" s="4">
        <v>1</v>
      </c>
      <c r="H749" s="4">
        <v>3</v>
      </c>
      <c r="I749" s="4" t="s">
        <v>140</v>
      </c>
      <c r="J749" s="4" t="s">
        <v>189</v>
      </c>
      <c r="K749" s="4" t="s">
        <v>142</v>
      </c>
      <c r="L749" s="4" t="s">
        <v>4176</v>
      </c>
      <c r="M749" s="4" t="s">
        <v>619</v>
      </c>
      <c r="N749" s="4" t="s">
        <v>159</v>
      </c>
      <c r="O749" s="4" t="s">
        <v>123</v>
      </c>
      <c r="P749" s="4" t="s">
        <v>123</v>
      </c>
    </row>
    <row r="750" spans="1:16" ht="15">
      <c r="A750" s="4" t="s">
        <v>1489</v>
      </c>
      <c r="B750" s="30">
        <v>39956</v>
      </c>
      <c r="C750" s="4"/>
      <c r="D750" s="4" t="s">
        <v>194</v>
      </c>
      <c r="E750" s="4" t="s">
        <v>170</v>
      </c>
      <c r="F750" s="4" t="s">
        <v>155</v>
      </c>
      <c r="G750" s="4"/>
      <c r="H750" s="4"/>
      <c r="I750" s="4" t="s">
        <v>139</v>
      </c>
      <c r="J750" s="4" t="s">
        <v>180</v>
      </c>
      <c r="K750" s="4" t="s">
        <v>145</v>
      </c>
      <c r="L750" s="4" t="s">
        <v>4176</v>
      </c>
      <c r="M750" s="4" t="s">
        <v>1490</v>
      </c>
      <c r="N750" s="4" t="s">
        <v>157</v>
      </c>
      <c r="O750" s="4" t="s">
        <v>130</v>
      </c>
      <c r="P750" s="4" t="s">
        <v>423</v>
      </c>
    </row>
    <row r="751" spans="1:16" ht="15">
      <c r="A751" s="4" t="s">
        <v>1491</v>
      </c>
      <c r="B751" s="30">
        <v>39964</v>
      </c>
      <c r="C751" s="4"/>
      <c r="D751" s="4" t="s">
        <v>195</v>
      </c>
      <c r="E751" s="4" t="s">
        <v>170</v>
      </c>
      <c r="F751" s="4" t="s">
        <v>155</v>
      </c>
      <c r="G751" s="4"/>
      <c r="H751" s="4"/>
      <c r="I751" s="4" t="s">
        <v>139</v>
      </c>
      <c r="J751" s="4" t="s">
        <v>179</v>
      </c>
      <c r="K751" s="4" t="s">
        <v>146</v>
      </c>
      <c r="L751" s="4" t="s">
        <v>162</v>
      </c>
      <c r="M751" s="4" t="s">
        <v>175</v>
      </c>
      <c r="N751" s="4" t="s">
        <v>155</v>
      </c>
      <c r="O751" s="4" t="s">
        <v>129</v>
      </c>
      <c r="P751" s="4"/>
    </row>
    <row r="752" spans="1:16" ht="15">
      <c r="A752" s="4" t="s">
        <v>1492</v>
      </c>
      <c r="B752" s="30">
        <v>40022</v>
      </c>
      <c r="C752" s="4"/>
      <c r="D752" s="4" t="s">
        <v>193</v>
      </c>
      <c r="E752" s="4" t="s">
        <v>170</v>
      </c>
      <c r="F752" s="4" t="s">
        <v>155</v>
      </c>
      <c r="G752" s="4">
        <v>5</v>
      </c>
      <c r="H752" s="4">
        <v>5</v>
      </c>
      <c r="I752" s="4" t="s">
        <v>140</v>
      </c>
      <c r="J752" s="4" t="s">
        <v>191</v>
      </c>
      <c r="K752" s="4" t="s">
        <v>143</v>
      </c>
      <c r="L752" s="4" t="s">
        <v>4176</v>
      </c>
      <c r="M752" s="4" t="s">
        <v>619</v>
      </c>
      <c r="N752" s="4" t="s">
        <v>160</v>
      </c>
      <c r="O752" s="4" t="s">
        <v>126</v>
      </c>
      <c r="P752" s="4" t="s">
        <v>1493</v>
      </c>
    </row>
    <row r="753" spans="1:16" ht="15">
      <c r="A753" s="4" t="s">
        <v>1494</v>
      </c>
      <c r="B753" s="30">
        <v>39954</v>
      </c>
      <c r="C753" s="4"/>
      <c r="D753" s="4" t="s">
        <v>193</v>
      </c>
      <c r="E753" s="4" t="s">
        <v>170</v>
      </c>
      <c r="F753" s="4" t="s">
        <v>155</v>
      </c>
      <c r="G753" s="4"/>
      <c r="H753" s="4"/>
      <c r="I753" s="4" t="s">
        <v>140</v>
      </c>
      <c r="J753" s="4" t="s">
        <v>534</v>
      </c>
      <c r="K753" s="4" t="s">
        <v>143</v>
      </c>
      <c r="L753" s="4" t="s">
        <v>4176</v>
      </c>
      <c r="M753" s="4" t="s">
        <v>619</v>
      </c>
      <c r="N753" s="4" t="s">
        <v>157</v>
      </c>
      <c r="O753" s="4" t="s">
        <v>130</v>
      </c>
      <c r="P753" s="4" t="s">
        <v>423</v>
      </c>
    </row>
    <row r="754" spans="1:16" ht="15">
      <c r="A754" s="4" t="s">
        <v>1495</v>
      </c>
      <c r="B754" s="30">
        <v>39999</v>
      </c>
      <c r="C754" s="4"/>
      <c r="D754" s="4" t="s">
        <v>194</v>
      </c>
      <c r="E754" s="4" t="s">
        <v>170</v>
      </c>
      <c r="F754" s="4" t="s">
        <v>155</v>
      </c>
      <c r="G754" s="4"/>
      <c r="H754" s="4">
        <v>4</v>
      </c>
      <c r="I754" s="4" t="s">
        <v>139</v>
      </c>
      <c r="J754" s="4" t="s">
        <v>181</v>
      </c>
      <c r="K754" s="4" t="s">
        <v>145</v>
      </c>
      <c r="L754" s="4" t="s">
        <v>162</v>
      </c>
      <c r="M754" s="4" t="s">
        <v>176</v>
      </c>
      <c r="N754" s="4" t="s">
        <v>155</v>
      </c>
      <c r="O754" s="4" t="s">
        <v>130</v>
      </c>
      <c r="P754" s="4"/>
    </row>
    <row r="755" spans="1:16" ht="15">
      <c r="A755" s="4" t="s">
        <v>1496</v>
      </c>
      <c r="B755" s="30">
        <v>40055</v>
      </c>
      <c r="C755" s="4" t="s">
        <v>380</v>
      </c>
      <c r="D755" s="4" t="s">
        <v>197</v>
      </c>
      <c r="E755" s="4" t="s">
        <v>170</v>
      </c>
      <c r="F755" s="4" t="s">
        <v>155</v>
      </c>
      <c r="G755" s="4">
        <v>5</v>
      </c>
      <c r="H755" s="4">
        <v>5</v>
      </c>
      <c r="I755" s="4" t="s">
        <v>139</v>
      </c>
      <c r="J755" s="4" t="s">
        <v>180</v>
      </c>
      <c r="K755" s="4" t="s">
        <v>144</v>
      </c>
      <c r="L755" s="4" t="s">
        <v>4176</v>
      </c>
      <c r="M755" s="4" t="s">
        <v>176</v>
      </c>
      <c r="N755" s="4" t="s">
        <v>125</v>
      </c>
      <c r="O755" s="4" t="s">
        <v>125</v>
      </c>
      <c r="P755" s="4" t="s">
        <v>1497</v>
      </c>
    </row>
    <row r="756" spans="1:16" ht="15">
      <c r="A756" s="4" t="s">
        <v>1498</v>
      </c>
      <c r="B756" s="30">
        <v>39963</v>
      </c>
      <c r="C756" s="4" t="s">
        <v>380</v>
      </c>
      <c r="D756" s="4" t="s">
        <v>193</v>
      </c>
      <c r="E756" s="4" t="s">
        <v>170</v>
      </c>
      <c r="F756" s="4" t="s">
        <v>155</v>
      </c>
      <c r="G756" s="4"/>
      <c r="H756" s="4"/>
      <c r="I756" s="4" t="s">
        <v>140</v>
      </c>
      <c r="J756" s="4" t="s">
        <v>184</v>
      </c>
      <c r="K756" s="4" t="s">
        <v>145</v>
      </c>
      <c r="L756" s="4" t="s">
        <v>4176</v>
      </c>
      <c r="M756" s="4" t="s">
        <v>619</v>
      </c>
      <c r="N756" s="4" t="s">
        <v>156</v>
      </c>
      <c r="O756" s="4" t="s">
        <v>120</v>
      </c>
      <c r="P756" s="4" t="s">
        <v>1499</v>
      </c>
    </row>
    <row r="757" spans="1:16" ht="15">
      <c r="A757" s="4" t="s">
        <v>1500</v>
      </c>
      <c r="B757" s="30">
        <v>40037</v>
      </c>
      <c r="C757" s="4"/>
      <c r="D757" s="4" t="s">
        <v>193</v>
      </c>
      <c r="E757" s="4" t="s">
        <v>170</v>
      </c>
      <c r="F757" s="4" t="s">
        <v>155</v>
      </c>
      <c r="G757" s="4">
        <v>5</v>
      </c>
      <c r="H757" s="4">
        <v>4</v>
      </c>
      <c r="I757" s="4" t="s">
        <v>140</v>
      </c>
      <c r="J757" s="4" t="s">
        <v>180</v>
      </c>
      <c r="K757" s="4" t="s">
        <v>149</v>
      </c>
      <c r="L757" s="4" t="s">
        <v>4176</v>
      </c>
      <c r="M757" s="4" t="s">
        <v>619</v>
      </c>
      <c r="N757" s="4" t="s">
        <v>159</v>
      </c>
      <c r="O757" s="4" t="s">
        <v>123</v>
      </c>
      <c r="P757" s="4" t="s">
        <v>123</v>
      </c>
    </row>
    <row r="758" spans="1:16" ht="15">
      <c r="A758" s="4" t="s">
        <v>1501</v>
      </c>
      <c r="B758" s="30">
        <v>40015</v>
      </c>
      <c r="C758" s="4"/>
      <c r="D758" s="4" t="s">
        <v>195</v>
      </c>
      <c r="E758" s="4" t="s">
        <v>170</v>
      </c>
      <c r="F758" s="4" t="s">
        <v>155</v>
      </c>
      <c r="G758" s="4">
        <v>5</v>
      </c>
      <c r="H758" s="4">
        <v>3</v>
      </c>
      <c r="I758" s="4" t="s">
        <v>139</v>
      </c>
      <c r="J758" s="4" t="s">
        <v>180</v>
      </c>
      <c r="K758" s="4" t="s">
        <v>144</v>
      </c>
      <c r="L758" s="4" t="s">
        <v>4176</v>
      </c>
      <c r="M758" s="4" t="s">
        <v>578</v>
      </c>
      <c r="N758" s="4" t="s">
        <v>157</v>
      </c>
      <c r="O758" s="4" t="s">
        <v>127</v>
      </c>
      <c r="P758" s="4" t="s">
        <v>153</v>
      </c>
    </row>
    <row r="759" spans="1:16" ht="15">
      <c r="A759" s="4" t="s">
        <v>1502</v>
      </c>
      <c r="B759" s="30">
        <v>40005</v>
      </c>
      <c r="C759" s="4"/>
      <c r="D759" s="4" t="s">
        <v>193</v>
      </c>
      <c r="E759" s="4" t="s">
        <v>170</v>
      </c>
      <c r="F759" s="4" t="s">
        <v>155</v>
      </c>
      <c r="G759" s="4">
        <v>5</v>
      </c>
      <c r="H759" s="4">
        <v>3</v>
      </c>
      <c r="I759" s="4" t="s">
        <v>140</v>
      </c>
      <c r="J759" s="4" t="s">
        <v>183</v>
      </c>
      <c r="K759" s="4" t="s">
        <v>144</v>
      </c>
      <c r="L759" s="4" t="s">
        <v>4176</v>
      </c>
      <c r="M759" s="4" t="s">
        <v>619</v>
      </c>
      <c r="N759" s="4" t="s">
        <v>156</v>
      </c>
      <c r="O759" s="4" t="s">
        <v>120</v>
      </c>
      <c r="P759" s="4" t="s">
        <v>857</v>
      </c>
    </row>
    <row r="760" spans="1:16" ht="15">
      <c r="A760" s="4" t="s">
        <v>1503</v>
      </c>
      <c r="B760" s="30">
        <v>39988</v>
      </c>
      <c r="C760" s="4"/>
      <c r="D760" s="4" t="s">
        <v>196</v>
      </c>
      <c r="E760" s="4" t="s">
        <v>170</v>
      </c>
      <c r="F760" s="4" t="s">
        <v>155</v>
      </c>
      <c r="G760" s="4"/>
      <c r="H760" s="4"/>
      <c r="I760" s="4" t="s">
        <v>139</v>
      </c>
      <c r="J760" s="4" t="s">
        <v>186</v>
      </c>
      <c r="K760" s="4" t="s">
        <v>142</v>
      </c>
      <c r="L760" s="4" t="s">
        <v>4176</v>
      </c>
      <c r="M760" s="4" t="s">
        <v>619</v>
      </c>
      <c r="N760" s="4" t="s">
        <v>159</v>
      </c>
      <c r="O760" s="4" t="s">
        <v>123</v>
      </c>
      <c r="P760" s="4" t="s">
        <v>123</v>
      </c>
    </row>
    <row r="761" spans="1:16" ht="15">
      <c r="A761" s="4" t="s">
        <v>1504</v>
      </c>
      <c r="B761" s="30">
        <v>40073</v>
      </c>
      <c r="C761" s="4"/>
      <c r="D761" s="4" t="s">
        <v>195</v>
      </c>
      <c r="E761" s="4" t="s">
        <v>170</v>
      </c>
      <c r="F761" s="4" t="s">
        <v>155</v>
      </c>
      <c r="G761" s="4">
        <v>5</v>
      </c>
      <c r="H761" s="4">
        <v>5</v>
      </c>
      <c r="I761" s="4" t="s">
        <v>139</v>
      </c>
      <c r="J761" s="4" t="s">
        <v>180</v>
      </c>
      <c r="K761" s="4" t="s">
        <v>146</v>
      </c>
      <c r="L761" s="4" t="s">
        <v>4176</v>
      </c>
      <c r="M761" s="4" t="s">
        <v>921</v>
      </c>
      <c r="N761" s="4" t="s">
        <v>156</v>
      </c>
      <c r="O761" s="4" t="s">
        <v>120</v>
      </c>
      <c r="P761" s="4" t="s">
        <v>1057</v>
      </c>
    </row>
    <row r="762" spans="1:16" ht="15">
      <c r="A762" s="4" t="s">
        <v>1505</v>
      </c>
      <c r="B762" s="30">
        <v>39939</v>
      </c>
      <c r="C762" s="4"/>
      <c r="D762" s="4" t="s">
        <v>4180</v>
      </c>
      <c r="E762" s="4" t="s">
        <v>170</v>
      </c>
      <c r="F762" s="4" t="s">
        <v>155</v>
      </c>
      <c r="G762" s="4"/>
      <c r="H762" s="4"/>
      <c r="I762" s="4" t="s">
        <v>139</v>
      </c>
      <c r="J762" s="4" t="s">
        <v>180</v>
      </c>
      <c r="K762" s="4" t="s">
        <v>147</v>
      </c>
      <c r="L762" s="4" t="s">
        <v>4176</v>
      </c>
      <c r="M762" s="4" t="s">
        <v>619</v>
      </c>
      <c r="N762" s="4" t="s">
        <v>157</v>
      </c>
      <c r="O762" s="4" t="s">
        <v>127</v>
      </c>
      <c r="P762" s="4" t="s">
        <v>153</v>
      </c>
    </row>
    <row r="763" spans="1:16" ht="15">
      <c r="A763" s="4" t="s">
        <v>1506</v>
      </c>
      <c r="B763" s="30">
        <v>39944</v>
      </c>
      <c r="C763" s="4"/>
      <c r="D763" s="4" t="s">
        <v>194</v>
      </c>
      <c r="E763" s="4" t="s">
        <v>170</v>
      </c>
      <c r="F763" s="4" t="s">
        <v>155</v>
      </c>
      <c r="G763" s="4"/>
      <c r="H763" s="4"/>
      <c r="I763" s="4" t="s">
        <v>139</v>
      </c>
      <c r="J763" s="4" t="s">
        <v>181</v>
      </c>
      <c r="K763" s="4" t="s">
        <v>149</v>
      </c>
      <c r="L763" s="4" t="s">
        <v>4176</v>
      </c>
      <c r="M763" s="4" t="s">
        <v>176</v>
      </c>
      <c r="N763" s="4" t="s">
        <v>159</v>
      </c>
      <c r="O763" s="4" t="s">
        <v>126</v>
      </c>
      <c r="P763" s="4" t="s">
        <v>601</v>
      </c>
    </row>
    <row r="764" spans="1:16" ht="15">
      <c r="A764" s="4" t="s">
        <v>1507</v>
      </c>
      <c r="B764" s="30">
        <v>40046</v>
      </c>
      <c r="C764" s="4"/>
      <c r="D764" s="4" t="s">
        <v>544</v>
      </c>
      <c r="E764" s="4" t="s">
        <v>170</v>
      </c>
      <c r="F764" s="4" t="s">
        <v>155</v>
      </c>
      <c r="G764" s="4">
        <v>5</v>
      </c>
      <c r="H764" s="4">
        <v>5</v>
      </c>
      <c r="I764" s="4" t="s">
        <v>139</v>
      </c>
      <c r="J764" s="4" t="s">
        <v>183</v>
      </c>
      <c r="K764" s="4" t="s">
        <v>142</v>
      </c>
      <c r="L764" s="4" t="s">
        <v>4176</v>
      </c>
      <c r="M764" s="4" t="s">
        <v>619</v>
      </c>
      <c r="N764" s="4" t="s">
        <v>156</v>
      </c>
      <c r="O764" s="4" t="s">
        <v>120</v>
      </c>
      <c r="P764" s="4" t="s">
        <v>1508</v>
      </c>
    </row>
    <row r="765" spans="1:16" ht="15">
      <c r="A765" s="4" t="s">
        <v>1509</v>
      </c>
      <c r="B765" s="30">
        <v>40025</v>
      </c>
      <c r="C765" s="4"/>
      <c r="D765" s="4" t="s">
        <v>195</v>
      </c>
      <c r="E765" s="4" t="s">
        <v>170</v>
      </c>
      <c r="F765" s="4" t="s">
        <v>155</v>
      </c>
      <c r="G765" s="4">
        <v>5</v>
      </c>
      <c r="H765" s="4">
        <v>5</v>
      </c>
      <c r="I765" s="4" t="s">
        <v>139</v>
      </c>
      <c r="J765" s="4" t="s">
        <v>180</v>
      </c>
      <c r="K765" s="4" t="s">
        <v>148</v>
      </c>
      <c r="L765" s="4" t="s">
        <v>4176</v>
      </c>
      <c r="M765" s="4"/>
      <c r="N765" s="4" t="s">
        <v>156</v>
      </c>
      <c r="O765" s="4" t="s">
        <v>120</v>
      </c>
      <c r="P765" s="4" t="s">
        <v>1510</v>
      </c>
    </row>
    <row r="766" spans="1:16" ht="15">
      <c r="A766" s="4" t="s">
        <v>1511</v>
      </c>
      <c r="B766" s="30">
        <v>39989</v>
      </c>
      <c r="C766" s="4"/>
      <c r="D766" s="4" t="s">
        <v>196</v>
      </c>
      <c r="E766" s="4" t="s">
        <v>170</v>
      </c>
      <c r="F766" s="4" t="s">
        <v>155</v>
      </c>
      <c r="G766" s="4"/>
      <c r="H766" s="4"/>
      <c r="I766" s="4" t="s">
        <v>139</v>
      </c>
      <c r="J766" s="4" t="s">
        <v>528</v>
      </c>
      <c r="K766" s="4" t="s">
        <v>142</v>
      </c>
      <c r="L766" s="4" t="s">
        <v>4181</v>
      </c>
      <c r="M766" s="4" t="s">
        <v>173</v>
      </c>
      <c r="N766" s="4" t="s">
        <v>788</v>
      </c>
      <c r="O766" s="4" t="s">
        <v>1512</v>
      </c>
      <c r="P766" s="4"/>
    </row>
    <row r="767" spans="1:16" ht="15">
      <c r="A767" s="4" t="s">
        <v>1513</v>
      </c>
      <c r="B767" s="30">
        <v>39977</v>
      </c>
      <c r="C767" s="4"/>
      <c r="D767" s="4" t="s">
        <v>193</v>
      </c>
      <c r="E767" s="4" t="s">
        <v>170</v>
      </c>
      <c r="F767" s="4" t="s">
        <v>155</v>
      </c>
      <c r="G767" s="4"/>
      <c r="H767" s="4"/>
      <c r="I767" s="4" t="s">
        <v>140</v>
      </c>
      <c r="J767" s="4" t="s">
        <v>180</v>
      </c>
      <c r="K767" s="4" t="s">
        <v>146</v>
      </c>
      <c r="L767" s="4" t="s">
        <v>4181</v>
      </c>
      <c r="M767" s="4" t="s">
        <v>1184</v>
      </c>
      <c r="N767" s="4" t="s">
        <v>161</v>
      </c>
      <c r="O767" s="4" t="s">
        <v>571</v>
      </c>
      <c r="P767" s="4"/>
    </row>
    <row r="768" spans="1:16" ht="15">
      <c r="A768" s="4" t="s">
        <v>1514</v>
      </c>
      <c r="B768" s="30">
        <v>40086</v>
      </c>
      <c r="C768" s="4"/>
      <c r="D768" s="4" t="s">
        <v>195</v>
      </c>
      <c r="E768" s="4" t="s">
        <v>170</v>
      </c>
      <c r="F768" s="4" t="s">
        <v>155</v>
      </c>
      <c r="G768" s="4">
        <v>5</v>
      </c>
      <c r="H768" s="4">
        <v>5</v>
      </c>
      <c r="I768" s="4" t="s">
        <v>139</v>
      </c>
      <c r="J768" s="4" t="s">
        <v>180</v>
      </c>
      <c r="K768" s="4" t="s">
        <v>145</v>
      </c>
      <c r="L768" s="4" t="s">
        <v>162</v>
      </c>
      <c r="M768" s="4" t="s">
        <v>176</v>
      </c>
      <c r="N768" s="4" t="s">
        <v>155</v>
      </c>
      <c r="O768" s="4" t="s">
        <v>129</v>
      </c>
      <c r="P768" s="4"/>
    </row>
    <row r="769" spans="1:16" ht="15">
      <c r="A769" s="4" t="s">
        <v>1515</v>
      </c>
      <c r="B769" s="30">
        <v>40013</v>
      </c>
      <c r="C769" s="4"/>
      <c r="D769" s="4" t="s">
        <v>194</v>
      </c>
      <c r="E769" s="4" t="s">
        <v>170</v>
      </c>
      <c r="F769" s="4" t="s">
        <v>155</v>
      </c>
      <c r="G769" s="4">
        <v>5</v>
      </c>
      <c r="H769" s="4">
        <v>2</v>
      </c>
      <c r="I769" s="4" t="s">
        <v>139</v>
      </c>
      <c r="J769" s="4" t="s">
        <v>509</v>
      </c>
      <c r="K769" s="4" t="s">
        <v>143</v>
      </c>
      <c r="L769" s="4" t="s">
        <v>4181</v>
      </c>
      <c r="M769" s="4" t="s">
        <v>1443</v>
      </c>
      <c r="N769" s="4" t="s">
        <v>155</v>
      </c>
      <c r="O769" s="4" t="s">
        <v>125</v>
      </c>
      <c r="P769" s="4"/>
    </row>
    <row r="770" spans="1:16" ht="15">
      <c r="A770" s="4" t="s">
        <v>1516</v>
      </c>
      <c r="B770" s="30">
        <v>39964</v>
      </c>
      <c r="C770" s="4"/>
      <c r="D770" s="4" t="s">
        <v>193</v>
      </c>
      <c r="E770" s="4" t="s">
        <v>170</v>
      </c>
      <c r="F770" s="4" t="s">
        <v>155</v>
      </c>
      <c r="G770" s="4"/>
      <c r="H770" s="4"/>
      <c r="I770" s="4" t="s">
        <v>140</v>
      </c>
      <c r="J770" s="4" t="s">
        <v>179</v>
      </c>
      <c r="K770" s="4" t="s">
        <v>143</v>
      </c>
      <c r="L770" s="4" t="s">
        <v>4181</v>
      </c>
      <c r="M770" s="4" t="s">
        <v>1443</v>
      </c>
      <c r="N770" s="4" t="s">
        <v>155</v>
      </c>
      <c r="O770" s="4" t="s">
        <v>130</v>
      </c>
      <c r="P770" s="4"/>
    </row>
    <row r="771" spans="1:16" ht="15">
      <c r="A771" s="4" t="s">
        <v>1517</v>
      </c>
      <c r="B771" s="30">
        <v>40074</v>
      </c>
      <c r="C771" s="4" t="s">
        <v>383</v>
      </c>
      <c r="D771" s="4" t="s">
        <v>193</v>
      </c>
      <c r="E771" s="4" t="s">
        <v>170</v>
      </c>
      <c r="F771" s="4" t="s">
        <v>155</v>
      </c>
      <c r="G771" s="4">
        <v>5</v>
      </c>
      <c r="H771" s="4">
        <v>5</v>
      </c>
      <c r="I771" s="4" t="s">
        <v>140</v>
      </c>
      <c r="J771" s="4" t="s">
        <v>187</v>
      </c>
      <c r="K771" s="4" t="s">
        <v>144</v>
      </c>
      <c r="L771" s="4" t="s">
        <v>4176</v>
      </c>
      <c r="M771" s="4" t="s">
        <v>174</v>
      </c>
      <c r="N771" s="4" t="s">
        <v>157</v>
      </c>
      <c r="O771" s="4" t="s">
        <v>434</v>
      </c>
      <c r="P771" s="4" t="s">
        <v>435</v>
      </c>
    </row>
    <row r="772" spans="1:16" ht="15">
      <c r="A772" s="4" t="s">
        <v>1518</v>
      </c>
      <c r="B772" s="30">
        <v>39979</v>
      </c>
      <c r="C772" s="4"/>
      <c r="D772" s="4" t="s">
        <v>194</v>
      </c>
      <c r="E772" s="4" t="s">
        <v>170</v>
      </c>
      <c r="F772" s="4" t="s">
        <v>155</v>
      </c>
      <c r="G772" s="4"/>
      <c r="H772" s="4"/>
      <c r="I772" s="4" t="s">
        <v>139</v>
      </c>
      <c r="J772" s="4" t="s">
        <v>184</v>
      </c>
      <c r="K772" s="4" t="s">
        <v>148</v>
      </c>
      <c r="L772" s="4" t="s">
        <v>4176</v>
      </c>
      <c r="M772" s="4" t="s">
        <v>175</v>
      </c>
      <c r="N772" s="4" t="s">
        <v>159</v>
      </c>
      <c r="O772" s="4" t="s">
        <v>126</v>
      </c>
      <c r="P772" s="4" t="s">
        <v>601</v>
      </c>
    </row>
    <row r="773" spans="1:16" ht="15">
      <c r="A773" s="4" t="s">
        <v>1519</v>
      </c>
      <c r="B773" s="30">
        <v>39921</v>
      </c>
      <c r="C773" s="4"/>
      <c r="D773" s="4" t="s">
        <v>4182</v>
      </c>
      <c r="E773" s="4" t="s">
        <v>170</v>
      </c>
      <c r="F773" s="4" t="s">
        <v>155</v>
      </c>
      <c r="G773" s="4"/>
      <c r="H773" s="4"/>
      <c r="I773" s="4" t="s">
        <v>139</v>
      </c>
      <c r="J773" s="4" t="s">
        <v>603</v>
      </c>
      <c r="K773" s="4" t="s">
        <v>147</v>
      </c>
      <c r="L773" s="4" t="s">
        <v>165</v>
      </c>
      <c r="M773" s="4" t="s">
        <v>1520</v>
      </c>
      <c r="N773" s="4" t="s">
        <v>158</v>
      </c>
      <c r="O773" s="4" t="s">
        <v>122</v>
      </c>
      <c r="P773" s="4"/>
    </row>
    <row r="774" spans="1:16" ht="15">
      <c r="A774" s="4" t="s">
        <v>1521</v>
      </c>
      <c r="B774" s="30">
        <v>39975</v>
      </c>
      <c r="C774" s="4" t="s">
        <v>380</v>
      </c>
      <c r="D774" s="4" t="s">
        <v>194</v>
      </c>
      <c r="E774" s="4" t="s">
        <v>170</v>
      </c>
      <c r="F774" s="4" t="s">
        <v>155</v>
      </c>
      <c r="G774" s="4"/>
      <c r="H774" s="4"/>
      <c r="I774" s="4" t="s">
        <v>139</v>
      </c>
      <c r="J774" s="4" t="s">
        <v>178</v>
      </c>
      <c r="K774" s="4" t="s">
        <v>144</v>
      </c>
      <c r="L774" s="4" t="s">
        <v>162</v>
      </c>
      <c r="M774" s="4" t="s">
        <v>175</v>
      </c>
      <c r="N774" s="4" t="s">
        <v>155</v>
      </c>
      <c r="O774" s="4" t="s">
        <v>127</v>
      </c>
      <c r="P774" s="4"/>
    </row>
    <row r="775" spans="1:16" ht="15">
      <c r="A775" s="4" t="s">
        <v>1522</v>
      </c>
      <c r="B775" s="30">
        <v>40069</v>
      </c>
      <c r="C775" s="4" t="s">
        <v>380</v>
      </c>
      <c r="D775" s="4" t="s">
        <v>193</v>
      </c>
      <c r="E775" s="4" t="s">
        <v>170</v>
      </c>
      <c r="F775" s="4" t="s">
        <v>155</v>
      </c>
      <c r="G775" s="4">
        <v>5</v>
      </c>
      <c r="H775" s="4">
        <v>3</v>
      </c>
      <c r="I775" s="4" t="s">
        <v>140</v>
      </c>
      <c r="J775" s="4" t="s">
        <v>409</v>
      </c>
      <c r="K775" s="4" t="s">
        <v>148</v>
      </c>
      <c r="L775" s="4" t="s">
        <v>4181</v>
      </c>
      <c r="M775" s="4" t="s">
        <v>173</v>
      </c>
      <c r="N775" s="4" t="s">
        <v>155</v>
      </c>
      <c r="O775" s="4" t="s">
        <v>128</v>
      </c>
      <c r="P775" s="4"/>
    </row>
    <row r="776" spans="1:16" ht="15">
      <c r="A776" s="4" t="s">
        <v>1523</v>
      </c>
      <c r="B776" s="30">
        <v>39945</v>
      </c>
      <c r="C776" s="4"/>
      <c r="D776" s="4" t="s">
        <v>194</v>
      </c>
      <c r="E776" s="4" t="s">
        <v>170</v>
      </c>
      <c r="F776" s="4" t="s">
        <v>155</v>
      </c>
      <c r="G776" s="4"/>
      <c r="H776" s="4"/>
      <c r="I776" s="4" t="s">
        <v>139</v>
      </c>
      <c r="J776" s="4" t="s">
        <v>187</v>
      </c>
      <c r="K776" s="4" t="s">
        <v>147</v>
      </c>
      <c r="L776" s="4" t="s">
        <v>162</v>
      </c>
      <c r="M776" s="4" t="s">
        <v>175</v>
      </c>
      <c r="N776" s="4" t="s">
        <v>155</v>
      </c>
      <c r="O776" s="4" t="s">
        <v>439</v>
      </c>
      <c r="P776" s="4"/>
    </row>
    <row r="777" spans="1:16" ht="15">
      <c r="A777" s="4" t="s">
        <v>1524</v>
      </c>
      <c r="B777" s="30">
        <v>40038</v>
      </c>
      <c r="C777" s="4" t="s">
        <v>496</v>
      </c>
      <c r="D777" s="4" t="s">
        <v>193</v>
      </c>
      <c r="E777" s="4" t="s">
        <v>170</v>
      </c>
      <c r="F777" s="4" t="s">
        <v>155</v>
      </c>
      <c r="G777" s="4">
        <v>5</v>
      </c>
      <c r="H777" s="4">
        <v>5</v>
      </c>
      <c r="I777" s="4" t="s">
        <v>140</v>
      </c>
      <c r="J777" s="4" t="s">
        <v>187</v>
      </c>
      <c r="K777" s="4" t="s">
        <v>143</v>
      </c>
      <c r="L777" s="4" t="s">
        <v>4181</v>
      </c>
      <c r="M777" s="4" t="s">
        <v>173</v>
      </c>
      <c r="N777" s="4" t="s">
        <v>155</v>
      </c>
      <c r="O777" s="4" t="s">
        <v>501</v>
      </c>
      <c r="P777" s="4"/>
    </row>
    <row r="778" spans="1:16" ht="15">
      <c r="A778" s="4" t="s">
        <v>1525</v>
      </c>
      <c r="B778" s="30">
        <v>39959</v>
      </c>
      <c r="C778" s="4"/>
      <c r="D778" s="4" t="s">
        <v>193</v>
      </c>
      <c r="E778" s="4" t="s">
        <v>170</v>
      </c>
      <c r="F778" s="4" t="s">
        <v>155</v>
      </c>
      <c r="G778" s="4"/>
      <c r="H778" s="4"/>
      <c r="I778" s="4" t="s">
        <v>140</v>
      </c>
      <c r="J778" s="4" t="s">
        <v>178</v>
      </c>
      <c r="K778" s="4" t="s">
        <v>145</v>
      </c>
      <c r="L778" s="4" t="s">
        <v>4176</v>
      </c>
      <c r="M778" s="4" t="s">
        <v>175</v>
      </c>
      <c r="N778" s="4" t="s">
        <v>159</v>
      </c>
      <c r="O778" s="4" t="s">
        <v>126</v>
      </c>
      <c r="P778" s="4" t="s">
        <v>601</v>
      </c>
    </row>
    <row r="779" spans="1:16" ht="15">
      <c r="A779" s="4" t="s">
        <v>1526</v>
      </c>
      <c r="B779" s="30">
        <v>40050</v>
      </c>
      <c r="C779" s="4"/>
      <c r="D779" s="4" t="s">
        <v>195</v>
      </c>
      <c r="E779" s="4" t="s">
        <v>170</v>
      </c>
      <c r="F779" s="4" t="s">
        <v>155</v>
      </c>
      <c r="G779" s="4">
        <v>2</v>
      </c>
      <c r="H779" s="4">
        <v>5</v>
      </c>
      <c r="I779" s="4" t="s">
        <v>139</v>
      </c>
      <c r="J779" s="4" t="s">
        <v>179</v>
      </c>
      <c r="K779" s="4" t="s">
        <v>142</v>
      </c>
      <c r="L779" s="4" t="s">
        <v>4176</v>
      </c>
      <c r="M779" s="4" t="s">
        <v>459</v>
      </c>
      <c r="N779" s="4" t="s">
        <v>125</v>
      </c>
      <c r="O779" s="4" t="s">
        <v>125</v>
      </c>
      <c r="P779" s="4" t="s">
        <v>1527</v>
      </c>
    </row>
    <row r="780" spans="1:16" ht="15">
      <c r="A780" s="4" t="s">
        <v>1528</v>
      </c>
      <c r="B780" s="30">
        <v>40017</v>
      </c>
      <c r="C780" s="4"/>
      <c r="D780" s="4" t="s">
        <v>193</v>
      </c>
      <c r="E780" s="4" t="s">
        <v>170</v>
      </c>
      <c r="F780" s="4" t="s">
        <v>155</v>
      </c>
      <c r="G780" s="4">
        <v>3</v>
      </c>
      <c r="H780" s="4">
        <v>4</v>
      </c>
      <c r="I780" s="4" t="s">
        <v>140</v>
      </c>
      <c r="J780" s="4" t="s">
        <v>179</v>
      </c>
      <c r="K780" s="4" t="s">
        <v>145</v>
      </c>
      <c r="L780" s="4" t="s">
        <v>162</v>
      </c>
      <c r="M780" s="4" t="s">
        <v>459</v>
      </c>
      <c r="N780" s="4" t="s">
        <v>155</v>
      </c>
      <c r="O780" s="4" t="s">
        <v>130</v>
      </c>
      <c r="P780" s="4"/>
    </row>
    <row r="781" spans="1:16" ht="15">
      <c r="A781" s="4" t="s">
        <v>1529</v>
      </c>
      <c r="B781" s="30">
        <v>39984</v>
      </c>
      <c r="C781" s="4" t="s">
        <v>383</v>
      </c>
      <c r="D781" s="4" t="s">
        <v>195</v>
      </c>
      <c r="E781" s="4" t="s">
        <v>170</v>
      </c>
      <c r="F781" s="4" t="s">
        <v>155</v>
      </c>
      <c r="G781" s="4"/>
      <c r="H781" s="4"/>
      <c r="I781" s="4" t="s">
        <v>139</v>
      </c>
      <c r="J781" s="4" t="s">
        <v>189</v>
      </c>
      <c r="K781" s="4" t="s">
        <v>144</v>
      </c>
      <c r="L781" s="4" t="s">
        <v>4176</v>
      </c>
      <c r="M781" s="4" t="s">
        <v>550</v>
      </c>
      <c r="N781" s="4" t="s">
        <v>157</v>
      </c>
      <c r="O781" s="4" t="s">
        <v>434</v>
      </c>
      <c r="P781" s="4" t="s">
        <v>435</v>
      </c>
    </row>
    <row r="782" spans="1:16" ht="15">
      <c r="A782" s="4" t="s">
        <v>1530</v>
      </c>
      <c r="B782" s="30">
        <v>40016</v>
      </c>
      <c r="C782" s="4" t="s">
        <v>383</v>
      </c>
      <c r="D782" s="4" t="s">
        <v>193</v>
      </c>
      <c r="E782" s="4" t="s">
        <v>170</v>
      </c>
      <c r="F782" s="4" t="s">
        <v>155</v>
      </c>
      <c r="G782" s="4">
        <v>5</v>
      </c>
      <c r="H782" s="4">
        <v>4</v>
      </c>
      <c r="I782" s="4" t="s">
        <v>140</v>
      </c>
      <c r="J782" s="4" t="s">
        <v>180</v>
      </c>
      <c r="K782" s="4" t="s">
        <v>148</v>
      </c>
      <c r="L782" s="4" t="s">
        <v>162</v>
      </c>
      <c r="M782" s="4" t="s">
        <v>597</v>
      </c>
      <c r="N782" s="4" t="s">
        <v>155</v>
      </c>
      <c r="O782" s="4" t="s">
        <v>130</v>
      </c>
      <c r="P782" s="4"/>
    </row>
    <row r="783" spans="1:16" ht="15">
      <c r="A783" s="4" t="s">
        <v>1531</v>
      </c>
      <c r="B783" s="30">
        <v>40053</v>
      </c>
      <c r="C783" s="4"/>
      <c r="D783" s="4" t="s">
        <v>195</v>
      </c>
      <c r="E783" s="4" t="s">
        <v>170</v>
      </c>
      <c r="F783" s="4" t="s">
        <v>155</v>
      </c>
      <c r="G783" s="4">
        <v>5</v>
      </c>
      <c r="H783" s="4">
        <v>5</v>
      </c>
      <c r="I783" s="4" t="s">
        <v>139</v>
      </c>
      <c r="J783" s="4" t="s">
        <v>810</v>
      </c>
      <c r="K783" s="4" t="s">
        <v>144</v>
      </c>
      <c r="L783" s="4" t="s">
        <v>4181</v>
      </c>
      <c r="M783" s="4" t="s">
        <v>173</v>
      </c>
      <c r="N783" s="4" t="s">
        <v>155</v>
      </c>
      <c r="O783" s="4" t="s">
        <v>128</v>
      </c>
      <c r="P783" s="4"/>
    </row>
    <row r="784" spans="1:16" ht="15">
      <c r="A784" s="4" t="s">
        <v>1532</v>
      </c>
      <c r="B784" s="30">
        <v>39932</v>
      </c>
      <c r="C784" s="4"/>
      <c r="D784" s="4" t="s">
        <v>4184</v>
      </c>
      <c r="E784" s="4" t="s">
        <v>170</v>
      </c>
      <c r="F784" s="4" t="s">
        <v>155</v>
      </c>
      <c r="G784" s="4"/>
      <c r="H784" s="4"/>
      <c r="I784" s="4" t="s">
        <v>140</v>
      </c>
      <c r="J784" s="4" t="s">
        <v>179</v>
      </c>
      <c r="K784" s="4" t="s">
        <v>145</v>
      </c>
      <c r="L784" s="4" t="s">
        <v>4176</v>
      </c>
      <c r="M784" s="4" t="s">
        <v>174</v>
      </c>
      <c r="N784" s="4" t="s">
        <v>157</v>
      </c>
      <c r="O784" s="4" t="s">
        <v>130</v>
      </c>
      <c r="P784" s="4" t="s">
        <v>437</v>
      </c>
    </row>
    <row r="785" spans="1:16" ht="15">
      <c r="A785" s="4" t="s">
        <v>1533</v>
      </c>
      <c r="B785" s="30">
        <v>40003</v>
      </c>
      <c r="C785" s="4"/>
      <c r="D785" s="4" t="s">
        <v>193</v>
      </c>
      <c r="E785" s="4" t="s">
        <v>170</v>
      </c>
      <c r="F785" s="4" t="s">
        <v>155</v>
      </c>
      <c r="G785" s="4"/>
      <c r="H785" s="4"/>
      <c r="I785" s="4" t="s">
        <v>140</v>
      </c>
      <c r="J785" s="4" t="s">
        <v>179</v>
      </c>
      <c r="K785" s="4" t="s">
        <v>142</v>
      </c>
      <c r="L785" s="4" t="s">
        <v>4176</v>
      </c>
      <c r="M785" s="4"/>
      <c r="N785" s="4" t="s">
        <v>156</v>
      </c>
      <c r="O785" s="4" t="s">
        <v>120</v>
      </c>
      <c r="P785" s="4" t="s">
        <v>1534</v>
      </c>
    </row>
    <row r="786" spans="1:16" ht="15">
      <c r="A786" s="4" t="s">
        <v>1535</v>
      </c>
      <c r="B786" s="30">
        <v>39920</v>
      </c>
      <c r="C786" s="4"/>
      <c r="D786" s="4" t="s">
        <v>4177</v>
      </c>
      <c r="E786" s="4" t="s">
        <v>170</v>
      </c>
      <c r="F786" s="4" t="s">
        <v>155</v>
      </c>
      <c r="G786" s="4"/>
      <c r="H786" s="4"/>
      <c r="I786" s="4" t="s">
        <v>139</v>
      </c>
      <c r="J786" s="4" t="s">
        <v>179</v>
      </c>
      <c r="K786" s="4" t="s">
        <v>143</v>
      </c>
      <c r="L786" s="4" t="s">
        <v>162</v>
      </c>
      <c r="M786" s="4" t="s">
        <v>429</v>
      </c>
      <c r="N786" s="4" t="s">
        <v>155</v>
      </c>
      <c r="O786" s="4" t="s">
        <v>439</v>
      </c>
      <c r="P786" s="4"/>
    </row>
    <row r="787" spans="1:16" ht="15">
      <c r="A787" s="4" t="s">
        <v>1536</v>
      </c>
      <c r="B787" s="30">
        <v>40052</v>
      </c>
      <c r="C787" s="4"/>
      <c r="D787" s="4" t="s">
        <v>195</v>
      </c>
      <c r="E787" s="4" t="s">
        <v>170</v>
      </c>
      <c r="F787" s="4" t="s">
        <v>155</v>
      </c>
      <c r="G787" s="4">
        <v>5</v>
      </c>
      <c r="H787" s="4">
        <v>5</v>
      </c>
      <c r="I787" s="4" t="s">
        <v>139</v>
      </c>
      <c r="J787" s="4" t="s">
        <v>509</v>
      </c>
      <c r="K787" s="4" t="s">
        <v>148</v>
      </c>
      <c r="L787" s="4" t="s">
        <v>4181</v>
      </c>
      <c r="M787" s="4" t="s">
        <v>173</v>
      </c>
      <c r="N787" s="4" t="s">
        <v>155</v>
      </c>
      <c r="O787" s="4" t="s">
        <v>501</v>
      </c>
      <c r="P787" s="4"/>
    </row>
    <row r="788" spans="1:16" ht="15">
      <c r="A788" s="4" t="s">
        <v>1537</v>
      </c>
      <c r="B788" s="30">
        <v>39994</v>
      </c>
      <c r="C788" s="4"/>
      <c r="D788" s="4" t="s">
        <v>193</v>
      </c>
      <c r="E788" s="4" t="s">
        <v>170</v>
      </c>
      <c r="F788" s="4" t="s">
        <v>155</v>
      </c>
      <c r="G788" s="4"/>
      <c r="H788" s="4">
        <v>5</v>
      </c>
      <c r="I788" s="4" t="s">
        <v>140</v>
      </c>
      <c r="J788" s="4" t="s">
        <v>180</v>
      </c>
      <c r="K788" s="4" t="s">
        <v>143</v>
      </c>
      <c r="L788" s="4" t="s">
        <v>4176</v>
      </c>
      <c r="M788" s="4"/>
      <c r="N788" s="4" t="s">
        <v>157</v>
      </c>
      <c r="O788" s="4" t="s">
        <v>124</v>
      </c>
      <c r="P788" s="4" t="s">
        <v>885</v>
      </c>
    </row>
    <row r="789" spans="1:16" ht="15">
      <c r="A789" s="4" t="s">
        <v>1538</v>
      </c>
      <c r="B789" s="30">
        <v>39991</v>
      </c>
      <c r="C789" s="4"/>
      <c r="D789" s="4" t="s">
        <v>196</v>
      </c>
      <c r="E789" s="4" t="s">
        <v>170</v>
      </c>
      <c r="F789" s="4" t="s">
        <v>155</v>
      </c>
      <c r="G789" s="4"/>
      <c r="H789" s="4">
        <v>2</v>
      </c>
      <c r="I789" s="4" t="s">
        <v>139</v>
      </c>
      <c r="J789" s="4" t="s">
        <v>181</v>
      </c>
      <c r="K789" s="4" t="s">
        <v>143</v>
      </c>
      <c r="L789" s="4" t="s">
        <v>162</v>
      </c>
      <c r="M789" s="4" t="s">
        <v>581</v>
      </c>
      <c r="N789" s="4" t="s">
        <v>155</v>
      </c>
      <c r="O789" s="4" t="s">
        <v>129</v>
      </c>
      <c r="P789" s="4"/>
    </row>
    <row r="790" spans="1:16" ht="15">
      <c r="A790" s="4" t="s">
        <v>1539</v>
      </c>
      <c r="B790" s="30">
        <v>39989</v>
      </c>
      <c r="C790" s="4" t="s">
        <v>525</v>
      </c>
      <c r="D790" s="4" t="s">
        <v>193</v>
      </c>
      <c r="E790" s="4" t="s">
        <v>170</v>
      </c>
      <c r="F790" s="4" t="s">
        <v>155</v>
      </c>
      <c r="G790" s="4"/>
      <c r="H790" s="4"/>
      <c r="I790" s="4" t="s">
        <v>140</v>
      </c>
      <c r="J790" s="4" t="s">
        <v>576</v>
      </c>
      <c r="K790" s="4" t="s">
        <v>150</v>
      </c>
      <c r="L790" s="4" t="s">
        <v>165</v>
      </c>
      <c r="M790" s="4" t="s">
        <v>589</v>
      </c>
      <c r="N790" s="4" t="s">
        <v>158</v>
      </c>
      <c r="O790" s="4" t="s">
        <v>122</v>
      </c>
      <c r="P790" s="4"/>
    </row>
    <row r="791" spans="1:16" ht="15">
      <c r="A791" s="4" t="s">
        <v>1540</v>
      </c>
      <c r="B791" s="30">
        <v>39981</v>
      </c>
      <c r="C791" s="4"/>
      <c r="D791" s="4" t="s">
        <v>194</v>
      </c>
      <c r="E791" s="4" t="s">
        <v>170</v>
      </c>
      <c r="F791" s="4" t="s">
        <v>155</v>
      </c>
      <c r="G791" s="4"/>
      <c r="H791" s="4"/>
      <c r="I791" s="4" t="s">
        <v>139</v>
      </c>
      <c r="J791" s="4" t="s">
        <v>186</v>
      </c>
      <c r="K791" s="4" t="s">
        <v>146</v>
      </c>
      <c r="L791" s="4" t="s">
        <v>4181</v>
      </c>
      <c r="M791" s="4" t="s">
        <v>173</v>
      </c>
      <c r="N791" s="4" t="s">
        <v>155</v>
      </c>
      <c r="O791" s="4" t="s">
        <v>124</v>
      </c>
      <c r="P791" s="4"/>
    </row>
    <row r="792" spans="1:16" ht="15">
      <c r="A792" s="4" t="s">
        <v>1541</v>
      </c>
      <c r="B792" s="30">
        <v>39951</v>
      </c>
      <c r="C792" s="4"/>
      <c r="D792" s="4" t="s">
        <v>194</v>
      </c>
      <c r="E792" s="4" t="s">
        <v>170</v>
      </c>
      <c r="F792" s="4" t="s">
        <v>155</v>
      </c>
      <c r="G792" s="4"/>
      <c r="H792" s="4"/>
      <c r="I792" s="4" t="s">
        <v>139</v>
      </c>
      <c r="J792" s="4" t="s">
        <v>178</v>
      </c>
      <c r="K792" s="4" t="s">
        <v>147</v>
      </c>
      <c r="L792" s="4" t="s">
        <v>4181</v>
      </c>
      <c r="M792" s="4" t="s">
        <v>173</v>
      </c>
      <c r="N792" s="4" t="s">
        <v>155</v>
      </c>
      <c r="O792" s="4" t="s">
        <v>439</v>
      </c>
      <c r="P792" s="4"/>
    </row>
    <row r="793" spans="1:16" ht="15">
      <c r="A793" s="4" t="s">
        <v>1542</v>
      </c>
      <c r="B793" s="30">
        <v>40072</v>
      </c>
      <c r="C793" s="4" t="s">
        <v>383</v>
      </c>
      <c r="D793" s="4" t="s">
        <v>193</v>
      </c>
      <c r="E793" s="4" t="s">
        <v>170</v>
      </c>
      <c r="F793" s="4" t="s">
        <v>155</v>
      </c>
      <c r="G793" s="4">
        <v>5</v>
      </c>
      <c r="H793" s="4">
        <v>3</v>
      </c>
      <c r="I793" s="4" t="s">
        <v>140</v>
      </c>
      <c r="J793" s="4" t="s">
        <v>447</v>
      </c>
      <c r="K793" s="4" t="s">
        <v>146</v>
      </c>
      <c r="L793" s="4" t="s">
        <v>165</v>
      </c>
      <c r="M793" s="4" t="s">
        <v>1543</v>
      </c>
      <c r="N793" s="4" t="s">
        <v>158</v>
      </c>
      <c r="O793" s="4" t="s">
        <v>122</v>
      </c>
      <c r="P793" s="4"/>
    </row>
    <row r="794" spans="1:16" ht="15">
      <c r="A794" s="4" t="s">
        <v>1544</v>
      </c>
      <c r="B794" s="30">
        <v>40011</v>
      </c>
      <c r="C794" s="4"/>
      <c r="D794" s="4" t="s">
        <v>193</v>
      </c>
      <c r="E794" s="4" t="s">
        <v>170</v>
      </c>
      <c r="F794" s="4" t="s">
        <v>155</v>
      </c>
      <c r="G794" s="4">
        <v>5</v>
      </c>
      <c r="H794" s="4">
        <v>5</v>
      </c>
      <c r="I794" s="4" t="s">
        <v>140</v>
      </c>
      <c r="J794" s="4" t="s">
        <v>182</v>
      </c>
      <c r="K794" s="4" t="s">
        <v>143</v>
      </c>
      <c r="L794" s="4" t="s">
        <v>4176</v>
      </c>
      <c r="M794" s="4" t="s">
        <v>174</v>
      </c>
      <c r="N794" s="4" t="s">
        <v>156</v>
      </c>
      <c r="O794" s="4" t="s">
        <v>120</v>
      </c>
      <c r="P794" s="4" t="s">
        <v>1001</v>
      </c>
    </row>
    <row r="795" spans="1:16" ht="15">
      <c r="A795" s="4" t="s">
        <v>1545</v>
      </c>
      <c r="B795" s="30">
        <v>39963</v>
      </c>
      <c r="C795" s="4"/>
      <c r="D795" s="4" t="s">
        <v>195</v>
      </c>
      <c r="E795" s="4" t="s">
        <v>170</v>
      </c>
      <c r="F795" s="4" t="s">
        <v>155</v>
      </c>
      <c r="G795" s="4"/>
      <c r="H795" s="4"/>
      <c r="I795" s="4" t="s">
        <v>139</v>
      </c>
      <c r="J795" s="4" t="s">
        <v>188</v>
      </c>
      <c r="K795" s="4" t="s">
        <v>151</v>
      </c>
      <c r="L795" s="4" t="s">
        <v>4181</v>
      </c>
      <c r="M795" s="4" t="s">
        <v>1546</v>
      </c>
      <c r="N795" s="4" t="s">
        <v>155</v>
      </c>
      <c r="O795" s="4" t="s">
        <v>670</v>
      </c>
      <c r="P795" s="4"/>
    </row>
    <row r="796" spans="1:16" ht="15">
      <c r="A796" s="4" t="s">
        <v>1547</v>
      </c>
      <c r="B796" s="30">
        <v>40015</v>
      </c>
      <c r="C796" s="4"/>
      <c r="D796" s="4" t="s">
        <v>194</v>
      </c>
      <c r="E796" s="4" t="s">
        <v>170</v>
      </c>
      <c r="F796" s="4" t="s">
        <v>155</v>
      </c>
      <c r="G796" s="4">
        <v>5</v>
      </c>
      <c r="H796" s="4">
        <v>5</v>
      </c>
      <c r="I796" s="4" t="s">
        <v>139</v>
      </c>
      <c r="J796" s="4" t="s">
        <v>184</v>
      </c>
      <c r="K796" s="4" t="s">
        <v>144</v>
      </c>
      <c r="L796" s="4" t="s">
        <v>4181</v>
      </c>
      <c r="M796" s="4" t="s">
        <v>1548</v>
      </c>
      <c r="N796" s="4" t="s">
        <v>155</v>
      </c>
      <c r="O796" s="4" t="s">
        <v>406</v>
      </c>
      <c r="P796" s="4"/>
    </row>
    <row r="797" spans="1:16" ht="15">
      <c r="A797" s="4" t="s">
        <v>1549</v>
      </c>
      <c r="B797" s="30">
        <v>40040</v>
      </c>
      <c r="C797" s="4"/>
      <c r="D797" s="4" t="s">
        <v>197</v>
      </c>
      <c r="E797" s="4" t="s">
        <v>170</v>
      </c>
      <c r="F797" s="4" t="s">
        <v>155</v>
      </c>
      <c r="G797" s="4">
        <v>5</v>
      </c>
      <c r="H797" s="4">
        <v>5</v>
      </c>
      <c r="I797" s="4" t="s">
        <v>139</v>
      </c>
      <c r="J797" s="4" t="s">
        <v>189</v>
      </c>
      <c r="K797" s="4" t="s">
        <v>142</v>
      </c>
      <c r="L797" s="4" t="s">
        <v>4176</v>
      </c>
      <c r="M797" s="4" t="s">
        <v>1550</v>
      </c>
      <c r="N797" s="4" t="s">
        <v>157</v>
      </c>
      <c r="O797" s="4" t="s">
        <v>571</v>
      </c>
      <c r="P797" s="4" t="s">
        <v>1551</v>
      </c>
    </row>
    <row r="798" spans="1:16" ht="15">
      <c r="A798" s="4" t="s">
        <v>1552</v>
      </c>
      <c r="B798" s="30">
        <v>39934</v>
      </c>
      <c r="C798" s="4"/>
      <c r="D798" s="4" t="s">
        <v>4178</v>
      </c>
      <c r="E798" s="4" t="s">
        <v>170</v>
      </c>
      <c r="F798" s="4" t="s">
        <v>155</v>
      </c>
      <c r="G798" s="4"/>
      <c r="H798" s="4"/>
      <c r="I798" s="4" t="s">
        <v>139</v>
      </c>
      <c r="J798" s="4" t="s">
        <v>184</v>
      </c>
      <c r="K798" s="4" t="s">
        <v>142</v>
      </c>
      <c r="L798" s="4" t="s">
        <v>162</v>
      </c>
      <c r="M798" s="4" t="s">
        <v>1553</v>
      </c>
      <c r="N798" s="4" t="s">
        <v>155</v>
      </c>
      <c r="O798" s="4" t="s">
        <v>129</v>
      </c>
      <c r="P798" s="4"/>
    </row>
    <row r="799" spans="1:16" ht="15">
      <c r="A799" s="4" t="s">
        <v>1554</v>
      </c>
      <c r="B799" s="30">
        <v>39906</v>
      </c>
      <c r="C799" s="4"/>
      <c r="D799" s="4" t="s">
        <v>4182</v>
      </c>
      <c r="E799" s="4" t="s">
        <v>170</v>
      </c>
      <c r="F799" s="4" t="s">
        <v>155</v>
      </c>
      <c r="G799" s="4"/>
      <c r="H799" s="4"/>
      <c r="I799" s="4" t="s">
        <v>139</v>
      </c>
      <c r="J799" s="4" t="s">
        <v>185</v>
      </c>
      <c r="K799" s="4" t="s">
        <v>151</v>
      </c>
      <c r="L799" s="4" t="s">
        <v>4181</v>
      </c>
      <c r="M799" s="4" t="s">
        <v>1042</v>
      </c>
      <c r="N799" s="4" t="s">
        <v>155</v>
      </c>
      <c r="O799" s="4" t="s">
        <v>125</v>
      </c>
      <c r="P799" s="4"/>
    </row>
    <row r="800" spans="1:16" ht="15">
      <c r="A800" s="4" t="s">
        <v>1555</v>
      </c>
      <c r="B800" s="30">
        <v>39968</v>
      </c>
      <c r="C800" s="4" t="s">
        <v>383</v>
      </c>
      <c r="D800" s="4" t="s">
        <v>193</v>
      </c>
      <c r="E800" s="4" t="s">
        <v>170</v>
      </c>
      <c r="F800" s="4" t="s">
        <v>155</v>
      </c>
      <c r="G800" s="4"/>
      <c r="H800" s="4"/>
      <c r="I800" s="4" t="s">
        <v>140</v>
      </c>
      <c r="J800" s="4" t="s">
        <v>190</v>
      </c>
      <c r="K800" s="4" t="s">
        <v>144</v>
      </c>
      <c r="L800" s="4" t="s">
        <v>4176</v>
      </c>
      <c r="M800" s="4" t="s">
        <v>550</v>
      </c>
      <c r="N800" s="4" t="s">
        <v>157</v>
      </c>
      <c r="O800" s="4" t="s">
        <v>130</v>
      </c>
      <c r="P800" s="4" t="s">
        <v>423</v>
      </c>
    </row>
    <row r="801" spans="1:16" ht="15">
      <c r="A801" s="4" t="s">
        <v>1556</v>
      </c>
      <c r="B801" s="30">
        <v>40008</v>
      </c>
      <c r="C801" s="4"/>
      <c r="D801" s="4" t="s">
        <v>193</v>
      </c>
      <c r="E801" s="4" t="s">
        <v>170</v>
      </c>
      <c r="F801" s="4" t="s">
        <v>155</v>
      </c>
      <c r="G801" s="4"/>
      <c r="H801" s="4"/>
      <c r="I801" s="4" t="s">
        <v>140</v>
      </c>
      <c r="J801" s="4" t="s">
        <v>190</v>
      </c>
      <c r="K801" s="4" t="s">
        <v>148</v>
      </c>
      <c r="L801" s="4" t="s">
        <v>162</v>
      </c>
      <c r="M801" s="4" t="s">
        <v>1557</v>
      </c>
      <c r="N801" s="4" t="s">
        <v>155</v>
      </c>
      <c r="O801" s="4" t="s">
        <v>129</v>
      </c>
      <c r="P801" s="4"/>
    </row>
    <row r="802" spans="1:16" ht="15">
      <c r="A802" s="4" t="s">
        <v>1558</v>
      </c>
      <c r="B802" s="30">
        <v>40018</v>
      </c>
      <c r="C802" s="4"/>
      <c r="D802" s="4" t="s">
        <v>197</v>
      </c>
      <c r="E802" s="4" t="s">
        <v>170</v>
      </c>
      <c r="F802" s="4" t="s">
        <v>155</v>
      </c>
      <c r="G802" s="4">
        <v>5</v>
      </c>
      <c r="H802" s="4">
        <v>5</v>
      </c>
      <c r="I802" s="4" t="s">
        <v>139</v>
      </c>
      <c r="J802" s="4" t="s">
        <v>190</v>
      </c>
      <c r="K802" s="4" t="s">
        <v>146</v>
      </c>
      <c r="L802" s="4" t="s">
        <v>4181</v>
      </c>
      <c r="M802" s="4" t="s">
        <v>173</v>
      </c>
      <c r="N802" s="4" t="s">
        <v>155</v>
      </c>
      <c r="O802" s="4" t="s">
        <v>124</v>
      </c>
      <c r="P802" s="4"/>
    </row>
    <row r="803" spans="1:16" ht="15">
      <c r="A803" s="4" t="s">
        <v>1559</v>
      </c>
      <c r="B803" s="30">
        <v>40038</v>
      </c>
      <c r="C803" s="4"/>
      <c r="D803" s="4" t="s">
        <v>196</v>
      </c>
      <c r="E803" s="4" t="s">
        <v>170</v>
      </c>
      <c r="F803" s="4" t="s">
        <v>155</v>
      </c>
      <c r="G803" s="4">
        <v>4</v>
      </c>
      <c r="H803" s="4">
        <v>3</v>
      </c>
      <c r="I803" s="4" t="s">
        <v>139</v>
      </c>
      <c r="J803" s="4" t="s">
        <v>384</v>
      </c>
      <c r="K803" s="4" t="s">
        <v>145</v>
      </c>
      <c r="L803" s="4" t="s">
        <v>162</v>
      </c>
      <c r="M803" s="4" t="s">
        <v>175</v>
      </c>
      <c r="N803" s="4" t="s">
        <v>155</v>
      </c>
      <c r="O803" s="4" t="s">
        <v>1302</v>
      </c>
      <c r="P803" s="4"/>
    </row>
    <row r="804" spans="1:16" ht="15">
      <c r="A804" s="4" t="s">
        <v>1560</v>
      </c>
      <c r="B804" s="30">
        <v>40044</v>
      </c>
      <c r="C804" s="4" t="s">
        <v>496</v>
      </c>
      <c r="D804" s="4" t="s">
        <v>195</v>
      </c>
      <c r="E804" s="4" t="s">
        <v>170</v>
      </c>
      <c r="F804" s="4" t="s">
        <v>155</v>
      </c>
      <c r="G804" s="4">
        <v>5</v>
      </c>
      <c r="H804" s="4">
        <v>3</v>
      </c>
      <c r="I804" s="4" t="s">
        <v>139</v>
      </c>
      <c r="J804" s="4" t="s">
        <v>528</v>
      </c>
      <c r="K804" s="4" t="s">
        <v>143</v>
      </c>
      <c r="L804" s="4" t="s">
        <v>4176</v>
      </c>
      <c r="M804" s="4" t="s">
        <v>506</v>
      </c>
      <c r="N804" s="4" t="s">
        <v>156</v>
      </c>
      <c r="O804" s="4" t="s">
        <v>120</v>
      </c>
      <c r="P804" s="4" t="s">
        <v>1001</v>
      </c>
    </row>
    <row r="805" spans="1:16" ht="15">
      <c r="A805" s="4" t="s">
        <v>1561</v>
      </c>
      <c r="B805" s="30">
        <v>40076</v>
      </c>
      <c r="C805" s="4"/>
      <c r="D805" s="4" t="s">
        <v>197</v>
      </c>
      <c r="E805" s="4" t="s">
        <v>170</v>
      </c>
      <c r="F805" s="4" t="s">
        <v>155</v>
      </c>
      <c r="G805" s="4">
        <v>3</v>
      </c>
      <c r="H805" s="4">
        <v>3</v>
      </c>
      <c r="I805" s="4" t="s">
        <v>139</v>
      </c>
      <c r="J805" s="4" t="s">
        <v>178</v>
      </c>
      <c r="K805" s="4" t="s">
        <v>144</v>
      </c>
      <c r="L805" s="4" t="s">
        <v>4181</v>
      </c>
      <c r="M805" s="4" t="s">
        <v>173</v>
      </c>
      <c r="N805" s="4" t="s">
        <v>155</v>
      </c>
      <c r="O805" s="4" t="s">
        <v>128</v>
      </c>
      <c r="P805" s="4"/>
    </row>
    <row r="806" spans="1:16" ht="15">
      <c r="A806" s="4" t="s">
        <v>1562</v>
      </c>
      <c r="B806" s="30">
        <v>39938</v>
      </c>
      <c r="C806" s="4"/>
      <c r="D806" s="4" t="s">
        <v>4182</v>
      </c>
      <c r="E806" s="4" t="s">
        <v>170</v>
      </c>
      <c r="F806" s="4" t="s">
        <v>155</v>
      </c>
      <c r="G806" s="4"/>
      <c r="H806" s="4"/>
      <c r="I806" s="4" t="s">
        <v>139</v>
      </c>
      <c r="J806" s="4" t="s">
        <v>181</v>
      </c>
      <c r="K806" s="4" t="s">
        <v>145</v>
      </c>
      <c r="L806" s="4" t="s">
        <v>4181</v>
      </c>
      <c r="M806" s="4" t="s">
        <v>415</v>
      </c>
      <c r="N806" s="4" t="s">
        <v>155</v>
      </c>
      <c r="O806" s="4" t="s">
        <v>125</v>
      </c>
      <c r="P806" s="4"/>
    </row>
    <row r="807" spans="1:16" ht="15">
      <c r="A807" s="4" t="s">
        <v>1563</v>
      </c>
      <c r="B807" s="30">
        <v>40022</v>
      </c>
      <c r="C807" s="4"/>
      <c r="D807" s="4" t="s">
        <v>195</v>
      </c>
      <c r="E807" s="4" t="s">
        <v>170</v>
      </c>
      <c r="F807" s="4" t="s">
        <v>155</v>
      </c>
      <c r="G807" s="4">
        <v>5</v>
      </c>
      <c r="H807" s="4">
        <v>4</v>
      </c>
      <c r="I807" s="4" t="s">
        <v>139</v>
      </c>
      <c r="J807" s="4" t="s">
        <v>181</v>
      </c>
      <c r="K807" s="4" t="s">
        <v>151</v>
      </c>
      <c r="L807" s="4" t="s">
        <v>162</v>
      </c>
      <c r="M807" s="4" t="s">
        <v>175</v>
      </c>
      <c r="N807" s="4" t="s">
        <v>155</v>
      </c>
      <c r="O807" s="4" t="s">
        <v>130</v>
      </c>
      <c r="P807" s="4"/>
    </row>
    <row r="808" spans="1:16" ht="15">
      <c r="A808" s="4" t="s">
        <v>1564</v>
      </c>
      <c r="B808" s="30">
        <v>39960</v>
      </c>
      <c r="C808" s="4"/>
      <c r="D808" s="4" t="s">
        <v>194</v>
      </c>
      <c r="E808" s="4" t="s">
        <v>170</v>
      </c>
      <c r="F808" s="4" t="s">
        <v>155</v>
      </c>
      <c r="G808" s="4"/>
      <c r="H808" s="4"/>
      <c r="I808" s="4" t="s">
        <v>139</v>
      </c>
      <c r="J808" s="4" t="s">
        <v>180</v>
      </c>
      <c r="K808" s="4" t="s">
        <v>144</v>
      </c>
      <c r="L808" s="4" t="s">
        <v>162</v>
      </c>
      <c r="M808" s="4" t="s">
        <v>1565</v>
      </c>
      <c r="N808" s="4" t="s">
        <v>155</v>
      </c>
      <c r="O808" s="4" t="s">
        <v>830</v>
      </c>
      <c r="P808" s="4"/>
    </row>
    <row r="809" spans="1:16" ht="15">
      <c r="A809" s="4" t="s">
        <v>1566</v>
      </c>
      <c r="B809" s="30">
        <v>39997</v>
      </c>
      <c r="C809" s="4"/>
      <c r="D809" s="4" t="s">
        <v>193</v>
      </c>
      <c r="E809" s="4" t="s">
        <v>170</v>
      </c>
      <c r="F809" s="4" t="s">
        <v>155</v>
      </c>
      <c r="G809" s="4"/>
      <c r="H809" s="4">
        <v>2</v>
      </c>
      <c r="I809" s="4" t="s">
        <v>140</v>
      </c>
      <c r="J809" s="4" t="s">
        <v>186</v>
      </c>
      <c r="K809" s="4" t="s">
        <v>145</v>
      </c>
      <c r="L809" s="4" t="s">
        <v>162</v>
      </c>
      <c r="M809" s="4" t="s">
        <v>175</v>
      </c>
      <c r="N809" s="4" t="s">
        <v>155</v>
      </c>
      <c r="O809" s="4" t="s">
        <v>129</v>
      </c>
      <c r="P809" s="4"/>
    </row>
    <row r="810" spans="1:16" ht="15">
      <c r="A810" s="4" t="s">
        <v>1567</v>
      </c>
      <c r="B810" s="30">
        <v>39931</v>
      </c>
      <c r="C810" s="4"/>
      <c r="D810" s="4" t="s">
        <v>4180</v>
      </c>
      <c r="E810" s="4" t="s">
        <v>170</v>
      </c>
      <c r="F810" s="4" t="s">
        <v>155</v>
      </c>
      <c r="G810" s="4"/>
      <c r="H810" s="4"/>
      <c r="I810" s="4" t="s">
        <v>139</v>
      </c>
      <c r="J810" s="4" t="s">
        <v>509</v>
      </c>
      <c r="K810" s="4" t="s">
        <v>142</v>
      </c>
      <c r="L810" s="4" t="s">
        <v>4176</v>
      </c>
      <c r="M810" s="4" t="s">
        <v>174</v>
      </c>
      <c r="N810" s="4" t="s">
        <v>156</v>
      </c>
      <c r="O810" s="4" t="s">
        <v>120</v>
      </c>
      <c r="P810" s="4" t="s">
        <v>1568</v>
      </c>
    </row>
    <row r="811" spans="1:16" ht="15">
      <c r="A811" s="4" t="s">
        <v>1569</v>
      </c>
      <c r="B811" s="30">
        <v>40001</v>
      </c>
      <c r="C811" s="4"/>
      <c r="D811" s="4" t="s">
        <v>193</v>
      </c>
      <c r="E811" s="4" t="s">
        <v>170</v>
      </c>
      <c r="F811" s="4" t="s">
        <v>155</v>
      </c>
      <c r="G811" s="4"/>
      <c r="H811" s="4">
        <v>5</v>
      </c>
      <c r="I811" s="4" t="s">
        <v>140</v>
      </c>
      <c r="J811" s="4" t="s">
        <v>181</v>
      </c>
      <c r="K811" s="4" t="s">
        <v>142</v>
      </c>
      <c r="L811" s="4" t="s">
        <v>162</v>
      </c>
      <c r="M811" s="4" t="s">
        <v>175</v>
      </c>
      <c r="N811" s="4" t="s">
        <v>155</v>
      </c>
      <c r="O811" s="4" t="s">
        <v>129</v>
      </c>
      <c r="P811" s="4"/>
    </row>
    <row r="812" spans="1:16" ht="15">
      <c r="A812" s="4" t="s">
        <v>1570</v>
      </c>
      <c r="B812" s="30">
        <v>39946</v>
      </c>
      <c r="C812" s="4"/>
      <c r="D812" s="4" t="s">
        <v>195</v>
      </c>
      <c r="E812" s="4" t="s">
        <v>170</v>
      </c>
      <c r="F812" s="4" t="s">
        <v>155</v>
      </c>
      <c r="G812" s="4"/>
      <c r="H812" s="4"/>
      <c r="I812" s="4" t="s">
        <v>139</v>
      </c>
      <c r="J812" s="4" t="s">
        <v>188</v>
      </c>
      <c r="K812" s="4" t="s">
        <v>142</v>
      </c>
      <c r="L812" s="4" t="s">
        <v>162</v>
      </c>
      <c r="M812" s="4" t="s">
        <v>567</v>
      </c>
      <c r="N812" s="4" t="s">
        <v>155</v>
      </c>
      <c r="O812" s="4" t="s">
        <v>130</v>
      </c>
      <c r="P812" s="4"/>
    </row>
    <row r="813" spans="1:16" ht="15">
      <c r="A813" s="4" t="s">
        <v>1571</v>
      </c>
      <c r="B813" s="30">
        <v>39966</v>
      </c>
      <c r="C813" s="4" t="s">
        <v>9</v>
      </c>
      <c r="D813" s="4" t="s">
        <v>193</v>
      </c>
      <c r="E813" s="4" t="s">
        <v>170</v>
      </c>
      <c r="F813" s="4" t="s">
        <v>155</v>
      </c>
      <c r="G813" s="4"/>
      <c r="H813" s="4"/>
      <c r="I813" s="4" t="s">
        <v>140</v>
      </c>
      <c r="J813" s="4" t="s">
        <v>179</v>
      </c>
      <c r="K813" s="4" t="s">
        <v>142</v>
      </c>
      <c r="L813" s="4" t="s">
        <v>4176</v>
      </c>
      <c r="M813" s="4" t="s">
        <v>1572</v>
      </c>
      <c r="N813" s="4" t="s">
        <v>156</v>
      </c>
      <c r="O813" s="4" t="s">
        <v>120</v>
      </c>
      <c r="P813" s="4" t="s">
        <v>715</v>
      </c>
    </row>
    <row r="814" spans="1:16" ht="15">
      <c r="A814" s="4" t="s">
        <v>1573</v>
      </c>
      <c r="B814" s="30">
        <v>39975</v>
      </c>
      <c r="C814" s="4" t="s">
        <v>496</v>
      </c>
      <c r="D814" s="4" t="s">
        <v>193</v>
      </c>
      <c r="E814" s="4" t="s">
        <v>170</v>
      </c>
      <c r="F814" s="4" t="s">
        <v>155</v>
      </c>
      <c r="G814" s="4"/>
      <c r="H814" s="4"/>
      <c r="I814" s="4" t="s">
        <v>140</v>
      </c>
      <c r="J814" s="4" t="s">
        <v>190</v>
      </c>
      <c r="K814" s="4" t="s">
        <v>144</v>
      </c>
      <c r="L814" s="4" t="s">
        <v>4181</v>
      </c>
      <c r="M814" s="4" t="s">
        <v>1574</v>
      </c>
      <c r="N814" s="4" t="s">
        <v>155</v>
      </c>
      <c r="O814" s="4" t="s">
        <v>670</v>
      </c>
      <c r="P814" s="4"/>
    </row>
    <row r="815" spans="1:16" ht="15">
      <c r="A815" s="4" t="s">
        <v>1575</v>
      </c>
      <c r="B815" s="30">
        <v>40023</v>
      </c>
      <c r="C815" s="4"/>
      <c r="D815" s="4" t="s">
        <v>193</v>
      </c>
      <c r="E815" s="4" t="s">
        <v>170</v>
      </c>
      <c r="F815" s="4" t="s">
        <v>155</v>
      </c>
      <c r="G815" s="4">
        <v>5</v>
      </c>
      <c r="H815" s="4">
        <v>2</v>
      </c>
      <c r="I815" s="4" t="s">
        <v>140</v>
      </c>
      <c r="J815" s="4" t="s">
        <v>181</v>
      </c>
      <c r="K815" s="4" t="s">
        <v>145</v>
      </c>
      <c r="L815" s="4" t="s">
        <v>162</v>
      </c>
      <c r="M815" s="4" t="s">
        <v>397</v>
      </c>
      <c r="N815" s="4" t="s">
        <v>155</v>
      </c>
      <c r="O815" s="4" t="s">
        <v>129</v>
      </c>
      <c r="P815" s="4"/>
    </row>
    <row r="816" spans="1:16" ht="15">
      <c r="A816" s="4" t="s">
        <v>1576</v>
      </c>
      <c r="B816" s="30">
        <v>39926</v>
      </c>
      <c r="C816" s="4"/>
      <c r="D816" s="4" t="s">
        <v>4182</v>
      </c>
      <c r="E816" s="4" t="s">
        <v>170</v>
      </c>
      <c r="F816" s="4" t="s">
        <v>155</v>
      </c>
      <c r="G816" s="4"/>
      <c r="H816" s="4"/>
      <c r="I816" s="4" t="s">
        <v>139</v>
      </c>
      <c r="J816" s="4" t="s">
        <v>180</v>
      </c>
      <c r="K816" s="4" t="s">
        <v>151</v>
      </c>
      <c r="L816" s="4" t="s">
        <v>4176</v>
      </c>
      <c r="M816" s="4" t="s">
        <v>174</v>
      </c>
      <c r="N816" s="4" t="s">
        <v>156</v>
      </c>
      <c r="O816" s="4" t="s">
        <v>120</v>
      </c>
      <c r="P816" s="4" t="s">
        <v>676</v>
      </c>
    </row>
    <row r="817" spans="1:16" ht="15">
      <c r="A817" s="4" t="s">
        <v>1577</v>
      </c>
      <c r="B817" s="30">
        <v>39945</v>
      </c>
      <c r="C817" s="4" t="s">
        <v>380</v>
      </c>
      <c r="D817" s="4" t="s">
        <v>195</v>
      </c>
      <c r="E817" s="4" t="s">
        <v>170</v>
      </c>
      <c r="F817" s="4" t="s">
        <v>155</v>
      </c>
      <c r="G817" s="4"/>
      <c r="H817" s="4"/>
      <c r="I817" s="4" t="s">
        <v>139</v>
      </c>
      <c r="J817" s="4" t="s">
        <v>181</v>
      </c>
      <c r="K817" s="4" t="s">
        <v>142</v>
      </c>
      <c r="L817" s="4" t="s">
        <v>4176</v>
      </c>
      <c r="M817" s="4" t="s">
        <v>174</v>
      </c>
      <c r="N817" s="4" t="s">
        <v>156</v>
      </c>
      <c r="O817" s="4" t="s">
        <v>120</v>
      </c>
      <c r="P817" s="4" t="s">
        <v>676</v>
      </c>
    </row>
    <row r="818" spans="1:16" ht="15">
      <c r="A818" s="4" t="s">
        <v>1578</v>
      </c>
      <c r="B818" s="30">
        <v>39991</v>
      </c>
      <c r="C818" s="4" t="s">
        <v>383</v>
      </c>
      <c r="D818" s="4" t="s">
        <v>193</v>
      </c>
      <c r="E818" s="4" t="s">
        <v>170</v>
      </c>
      <c r="F818" s="4" t="s">
        <v>155</v>
      </c>
      <c r="G818" s="4"/>
      <c r="H818" s="4">
        <v>4</v>
      </c>
      <c r="I818" s="4" t="s">
        <v>140</v>
      </c>
      <c r="J818" s="4" t="s">
        <v>409</v>
      </c>
      <c r="K818" s="4" t="s">
        <v>142</v>
      </c>
      <c r="L818" s="4" t="s">
        <v>4181</v>
      </c>
      <c r="M818" s="4" t="s">
        <v>173</v>
      </c>
      <c r="N818" s="4" t="s">
        <v>155</v>
      </c>
      <c r="O818" s="4" t="s">
        <v>670</v>
      </c>
      <c r="P818" s="4"/>
    </row>
    <row r="819" spans="1:16" ht="15">
      <c r="A819" s="4" t="s">
        <v>1579</v>
      </c>
      <c r="B819" s="30">
        <v>39962</v>
      </c>
      <c r="C819" s="4"/>
      <c r="D819" s="4" t="s">
        <v>193</v>
      </c>
      <c r="E819" s="4" t="s">
        <v>170</v>
      </c>
      <c r="F819" s="4" t="s">
        <v>155</v>
      </c>
      <c r="G819" s="4"/>
      <c r="H819" s="4"/>
      <c r="I819" s="4" t="s">
        <v>140</v>
      </c>
      <c r="J819" s="4" t="s">
        <v>181</v>
      </c>
      <c r="K819" s="4" t="s">
        <v>149</v>
      </c>
      <c r="L819" s="4" t="s">
        <v>4176</v>
      </c>
      <c r="M819" s="4" t="s">
        <v>429</v>
      </c>
      <c r="N819" s="4" t="s">
        <v>159</v>
      </c>
      <c r="O819" s="4" t="s">
        <v>126</v>
      </c>
      <c r="P819" s="4" t="s">
        <v>601</v>
      </c>
    </row>
    <row r="820" spans="1:16" ht="15">
      <c r="A820" s="4" t="s">
        <v>1580</v>
      </c>
      <c r="B820" s="30">
        <v>39974</v>
      </c>
      <c r="C820" s="4"/>
      <c r="D820" s="4" t="s">
        <v>195</v>
      </c>
      <c r="E820" s="4" t="s">
        <v>170</v>
      </c>
      <c r="F820" s="4" t="s">
        <v>155</v>
      </c>
      <c r="G820" s="4"/>
      <c r="H820" s="4"/>
      <c r="I820" s="4" t="s">
        <v>139</v>
      </c>
      <c r="J820" s="4" t="s">
        <v>186</v>
      </c>
      <c r="K820" s="4" t="s">
        <v>142</v>
      </c>
      <c r="L820" s="4" t="s">
        <v>162</v>
      </c>
      <c r="M820" s="4" t="s">
        <v>175</v>
      </c>
      <c r="N820" s="4" t="s">
        <v>155</v>
      </c>
      <c r="O820" s="4" t="s">
        <v>129</v>
      </c>
      <c r="P820" s="4"/>
    </row>
    <row r="821" spans="1:16" ht="15">
      <c r="A821" s="4" t="s">
        <v>1581</v>
      </c>
      <c r="B821" s="30">
        <v>39908</v>
      </c>
      <c r="C821" s="4"/>
      <c r="D821" s="4" t="s">
        <v>4182</v>
      </c>
      <c r="E821" s="4" t="s">
        <v>170</v>
      </c>
      <c r="F821" s="4" t="s">
        <v>155</v>
      </c>
      <c r="G821" s="4"/>
      <c r="H821" s="4"/>
      <c r="I821" s="4" t="s">
        <v>139</v>
      </c>
      <c r="J821" s="4" t="s">
        <v>191</v>
      </c>
      <c r="K821" s="4" t="s">
        <v>143</v>
      </c>
      <c r="L821" s="4" t="s">
        <v>165</v>
      </c>
      <c r="M821" s="4" t="s">
        <v>1582</v>
      </c>
      <c r="N821" s="4" t="s">
        <v>158</v>
      </c>
      <c r="O821" s="4" t="s">
        <v>122</v>
      </c>
      <c r="P821" s="4"/>
    </row>
    <row r="822" spans="1:16" ht="15">
      <c r="A822" s="4" t="s">
        <v>1583</v>
      </c>
      <c r="B822" s="30">
        <v>39993</v>
      </c>
      <c r="C822" s="4"/>
      <c r="D822" s="4" t="s">
        <v>196</v>
      </c>
      <c r="E822" s="4" t="s">
        <v>170</v>
      </c>
      <c r="F822" s="4" t="s">
        <v>155</v>
      </c>
      <c r="G822" s="4"/>
      <c r="H822" s="4">
        <v>4</v>
      </c>
      <c r="I822" s="4" t="s">
        <v>139</v>
      </c>
      <c r="J822" s="4" t="s">
        <v>179</v>
      </c>
      <c r="K822" s="4" t="s">
        <v>151</v>
      </c>
      <c r="L822" s="4" t="s">
        <v>4181</v>
      </c>
      <c r="M822" s="4" t="s">
        <v>173</v>
      </c>
      <c r="N822" s="4" t="s">
        <v>155</v>
      </c>
      <c r="O822" s="4" t="s">
        <v>406</v>
      </c>
      <c r="P822" s="4"/>
    </row>
    <row r="823" spans="1:16" ht="15">
      <c r="A823" s="4" t="s">
        <v>1584</v>
      </c>
      <c r="B823" s="30">
        <v>39927</v>
      </c>
      <c r="C823" s="4"/>
      <c r="D823" s="4" t="s">
        <v>4183</v>
      </c>
      <c r="E823" s="4" t="s">
        <v>170</v>
      </c>
      <c r="F823" s="4" t="s">
        <v>155</v>
      </c>
      <c r="G823" s="4"/>
      <c r="H823" s="4"/>
      <c r="I823" s="4" t="s">
        <v>140</v>
      </c>
      <c r="J823" s="4" t="s">
        <v>391</v>
      </c>
      <c r="K823" s="4" t="s">
        <v>151</v>
      </c>
      <c r="L823" s="4" t="s">
        <v>4176</v>
      </c>
      <c r="M823" s="4" t="s">
        <v>174</v>
      </c>
      <c r="N823" s="4" t="s">
        <v>157</v>
      </c>
      <c r="O823" s="4" t="s">
        <v>130</v>
      </c>
      <c r="P823" s="4" t="s">
        <v>437</v>
      </c>
    </row>
    <row r="824" spans="1:16" ht="15">
      <c r="A824" s="4" t="s">
        <v>1585</v>
      </c>
      <c r="B824" s="30">
        <v>39974</v>
      </c>
      <c r="C824" s="4"/>
      <c r="D824" s="4" t="s">
        <v>193</v>
      </c>
      <c r="E824" s="4" t="s">
        <v>170</v>
      </c>
      <c r="F824" s="4" t="s">
        <v>155</v>
      </c>
      <c r="G824" s="4"/>
      <c r="H824" s="4"/>
      <c r="I824" s="4" t="s">
        <v>140</v>
      </c>
      <c r="J824" s="4" t="s">
        <v>184</v>
      </c>
      <c r="K824" s="4" t="s">
        <v>143</v>
      </c>
      <c r="L824" s="4" t="s">
        <v>162</v>
      </c>
      <c r="M824" s="4"/>
      <c r="N824" s="4" t="s">
        <v>155</v>
      </c>
      <c r="O824" s="4" t="s">
        <v>129</v>
      </c>
      <c r="P824" s="4"/>
    </row>
    <row r="825" spans="1:16" ht="15">
      <c r="A825" s="4" t="s">
        <v>1586</v>
      </c>
      <c r="B825" s="30">
        <v>39948</v>
      </c>
      <c r="C825" s="4" t="s">
        <v>380</v>
      </c>
      <c r="D825" s="4" t="s">
        <v>195</v>
      </c>
      <c r="E825" s="4" t="s">
        <v>170</v>
      </c>
      <c r="F825" s="4" t="s">
        <v>155</v>
      </c>
      <c r="G825" s="4"/>
      <c r="H825" s="4"/>
      <c r="I825" s="4" t="s">
        <v>139</v>
      </c>
      <c r="J825" s="4" t="s">
        <v>185</v>
      </c>
      <c r="K825" s="4" t="s">
        <v>142</v>
      </c>
      <c r="L825" s="4" t="s">
        <v>162</v>
      </c>
      <c r="M825" s="4"/>
      <c r="N825" s="4" t="s">
        <v>155</v>
      </c>
      <c r="O825" s="4" t="s">
        <v>127</v>
      </c>
      <c r="P825" s="4"/>
    </row>
    <row r="826" spans="1:16" ht="15">
      <c r="A826" s="4" t="s">
        <v>1587</v>
      </c>
      <c r="B826" s="30">
        <v>39970</v>
      </c>
      <c r="C826" s="4"/>
      <c r="D826" s="4" t="s">
        <v>195</v>
      </c>
      <c r="E826" s="4" t="s">
        <v>170</v>
      </c>
      <c r="F826" s="4" t="s">
        <v>155</v>
      </c>
      <c r="G826" s="4"/>
      <c r="H826" s="4"/>
      <c r="I826" s="4" t="s">
        <v>139</v>
      </c>
      <c r="J826" s="4" t="s">
        <v>183</v>
      </c>
      <c r="K826" s="4" t="s">
        <v>142</v>
      </c>
      <c r="L826" s="4" t="s">
        <v>162</v>
      </c>
      <c r="M826" s="4" t="s">
        <v>459</v>
      </c>
      <c r="N826" s="4" t="s">
        <v>155</v>
      </c>
      <c r="O826" s="4" t="s">
        <v>130</v>
      </c>
      <c r="P826" s="4"/>
    </row>
    <row r="827" spans="1:16" ht="15">
      <c r="A827" s="4" t="s">
        <v>1588</v>
      </c>
      <c r="B827" s="30">
        <v>40032</v>
      </c>
      <c r="C827" s="4" t="s">
        <v>9</v>
      </c>
      <c r="D827" s="4" t="s">
        <v>193</v>
      </c>
      <c r="E827" s="4" t="s">
        <v>170</v>
      </c>
      <c r="F827" s="4" t="s">
        <v>155</v>
      </c>
      <c r="G827" s="4">
        <v>5</v>
      </c>
      <c r="H827" s="4">
        <v>3</v>
      </c>
      <c r="I827" s="4" t="s">
        <v>140</v>
      </c>
      <c r="J827" s="4" t="s">
        <v>181</v>
      </c>
      <c r="K827" s="4" t="s">
        <v>145</v>
      </c>
      <c r="L827" s="4" t="s">
        <v>162</v>
      </c>
      <c r="M827" s="4"/>
      <c r="N827" s="4" t="s">
        <v>155</v>
      </c>
      <c r="O827" s="4" t="s">
        <v>1302</v>
      </c>
      <c r="P827" s="4"/>
    </row>
    <row r="828" spans="1:16" ht="15">
      <c r="A828" s="4" t="s">
        <v>1589</v>
      </c>
      <c r="B828" s="30">
        <v>39987</v>
      </c>
      <c r="C828" s="4" t="s">
        <v>9</v>
      </c>
      <c r="D828" s="4" t="s">
        <v>193</v>
      </c>
      <c r="E828" s="4" t="s">
        <v>170</v>
      </c>
      <c r="F828" s="4" t="s">
        <v>155</v>
      </c>
      <c r="G828" s="4"/>
      <c r="H828" s="4"/>
      <c r="I828" s="4" t="s">
        <v>140</v>
      </c>
      <c r="J828" s="4" t="s">
        <v>178</v>
      </c>
      <c r="K828" s="4" t="s">
        <v>144</v>
      </c>
      <c r="L828" s="4" t="s">
        <v>4181</v>
      </c>
      <c r="M828" s="4" t="s">
        <v>173</v>
      </c>
      <c r="N828" s="4" t="s">
        <v>1590</v>
      </c>
      <c r="O828" s="4" t="s">
        <v>1591</v>
      </c>
      <c r="P828" s="4"/>
    </row>
    <row r="829" spans="1:16" ht="15">
      <c r="A829" s="4" t="s">
        <v>1592</v>
      </c>
      <c r="B829" s="30">
        <v>39968</v>
      </c>
      <c r="C829" s="4"/>
      <c r="D829" s="4" t="s">
        <v>193</v>
      </c>
      <c r="E829" s="4" t="s">
        <v>170</v>
      </c>
      <c r="F829" s="4" t="s">
        <v>155</v>
      </c>
      <c r="G829" s="4"/>
      <c r="H829" s="4"/>
      <c r="I829" s="4" t="s">
        <v>140</v>
      </c>
      <c r="J829" s="4" t="s">
        <v>179</v>
      </c>
      <c r="K829" s="4" t="s">
        <v>144</v>
      </c>
      <c r="L829" s="4" t="s">
        <v>165</v>
      </c>
      <c r="M829" s="4" t="s">
        <v>589</v>
      </c>
      <c r="N829" s="4" t="s">
        <v>158</v>
      </c>
      <c r="O829" s="4" t="s">
        <v>122</v>
      </c>
      <c r="P829" s="4"/>
    </row>
    <row r="830" spans="1:16" ht="15">
      <c r="A830" s="4" t="s">
        <v>1593</v>
      </c>
      <c r="B830" s="30">
        <v>40021</v>
      </c>
      <c r="C830" s="4" t="s">
        <v>496</v>
      </c>
      <c r="D830" s="4" t="s">
        <v>193</v>
      </c>
      <c r="E830" s="4" t="s">
        <v>170</v>
      </c>
      <c r="F830" s="4" t="s">
        <v>155</v>
      </c>
      <c r="G830" s="4">
        <v>5</v>
      </c>
      <c r="H830" s="4">
        <v>5</v>
      </c>
      <c r="I830" s="4" t="s">
        <v>140</v>
      </c>
      <c r="J830" s="4" t="s">
        <v>178</v>
      </c>
      <c r="K830" s="4" t="s">
        <v>142</v>
      </c>
      <c r="L830" s="4" t="s">
        <v>4181</v>
      </c>
      <c r="M830" s="4" t="s">
        <v>415</v>
      </c>
      <c r="N830" s="4" t="s">
        <v>155</v>
      </c>
      <c r="O830" s="4" t="s">
        <v>125</v>
      </c>
      <c r="P830" s="4"/>
    </row>
    <row r="831" spans="1:16" ht="15">
      <c r="A831" s="4" t="s">
        <v>1594</v>
      </c>
      <c r="B831" s="30">
        <v>40037</v>
      </c>
      <c r="C831" s="4"/>
      <c r="D831" s="4" t="s">
        <v>193</v>
      </c>
      <c r="E831" s="4" t="s">
        <v>170</v>
      </c>
      <c r="F831" s="4" t="s">
        <v>155</v>
      </c>
      <c r="G831" s="4">
        <v>5</v>
      </c>
      <c r="H831" s="4">
        <v>3</v>
      </c>
      <c r="I831" s="4" t="s">
        <v>140</v>
      </c>
      <c r="J831" s="4" t="s">
        <v>179</v>
      </c>
      <c r="K831" s="4" t="s">
        <v>146</v>
      </c>
      <c r="L831" s="4" t="s">
        <v>162</v>
      </c>
      <c r="M831" s="4" t="s">
        <v>175</v>
      </c>
      <c r="N831" s="4" t="s">
        <v>155</v>
      </c>
      <c r="O831" s="4" t="s">
        <v>129</v>
      </c>
      <c r="P831" s="4"/>
    </row>
    <row r="832" spans="1:16" ht="15">
      <c r="A832" s="4" t="s">
        <v>1595</v>
      </c>
      <c r="B832" s="30">
        <v>39995</v>
      </c>
      <c r="C832" s="4" t="s">
        <v>383</v>
      </c>
      <c r="D832" s="4" t="s">
        <v>195</v>
      </c>
      <c r="E832" s="4" t="s">
        <v>170</v>
      </c>
      <c r="F832" s="4" t="s">
        <v>155</v>
      </c>
      <c r="G832" s="4"/>
      <c r="H832" s="4">
        <v>3</v>
      </c>
      <c r="I832" s="4" t="s">
        <v>139</v>
      </c>
      <c r="J832" s="4" t="s">
        <v>603</v>
      </c>
      <c r="K832" s="4" t="s">
        <v>144</v>
      </c>
      <c r="L832" s="4" t="s">
        <v>165</v>
      </c>
      <c r="M832" s="4" t="s">
        <v>589</v>
      </c>
      <c r="N832" s="4" t="s">
        <v>158</v>
      </c>
      <c r="O832" s="4" t="s">
        <v>122</v>
      </c>
      <c r="P832" s="4"/>
    </row>
    <row r="833" spans="1:16" ht="15">
      <c r="A833" s="4" t="s">
        <v>1596</v>
      </c>
      <c r="B833" s="30">
        <v>39962</v>
      </c>
      <c r="C833" s="4"/>
      <c r="D833" s="4" t="s">
        <v>195</v>
      </c>
      <c r="E833" s="4" t="s">
        <v>170</v>
      </c>
      <c r="F833" s="4" t="s">
        <v>155</v>
      </c>
      <c r="G833" s="4"/>
      <c r="H833" s="4"/>
      <c r="I833" s="4" t="s">
        <v>139</v>
      </c>
      <c r="J833" s="4" t="s">
        <v>180</v>
      </c>
      <c r="K833" s="4" t="s">
        <v>148</v>
      </c>
      <c r="L833" s="4" t="s">
        <v>162</v>
      </c>
      <c r="M833" s="4" t="s">
        <v>567</v>
      </c>
      <c r="N833" s="4" t="s">
        <v>155</v>
      </c>
      <c r="O833" s="4" t="s">
        <v>130</v>
      </c>
      <c r="P833" s="4"/>
    </row>
    <row r="834" spans="1:16" ht="15">
      <c r="A834" s="4" t="s">
        <v>1597</v>
      </c>
      <c r="B834" s="30">
        <v>40031</v>
      </c>
      <c r="C834" s="4" t="s">
        <v>383</v>
      </c>
      <c r="D834" s="4" t="s">
        <v>193</v>
      </c>
      <c r="E834" s="4" t="s">
        <v>170</v>
      </c>
      <c r="F834" s="4" t="s">
        <v>155</v>
      </c>
      <c r="G834" s="4">
        <v>5</v>
      </c>
      <c r="H834" s="4">
        <v>5</v>
      </c>
      <c r="I834" s="4" t="s">
        <v>140</v>
      </c>
      <c r="J834" s="4" t="s">
        <v>189</v>
      </c>
      <c r="K834" s="4" t="s">
        <v>145</v>
      </c>
      <c r="L834" s="4" t="s">
        <v>162</v>
      </c>
      <c r="M834" s="4" t="s">
        <v>175</v>
      </c>
      <c r="N834" s="4" t="s">
        <v>155</v>
      </c>
      <c r="O834" s="4" t="s">
        <v>129</v>
      </c>
      <c r="P834" s="4"/>
    </row>
    <row r="835" spans="1:16" ht="15">
      <c r="A835" s="4" t="s">
        <v>1598</v>
      </c>
      <c r="B835" s="30">
        <v>39910</v>
      </c>
      <c r="C835" s="4"/>
      <c r="D835" s="4" t="s">
        <v>4177</v>
      </c>
      <c r="E835" s="4" t="s">
        <v>170</v>
      </c>
      <c r="F835" s="4" t="s">
        <v>155</v>
      </c>
      <c r="G835" s="4"/>
      <c r="H835" s="4"/>
      <c r="I835" s="4" t="s">
        <v>139</v>
      </c>
      <c r="J835" s="4" t="s">
        <v>181</v>
      </c>
      <c r="K835" s="4" t="s">
        <v>147</v>
      </c>
      <c r="L835" s="4" t="s">
        <v>4181</v>
      </c>
      <c r="M835" s="4" t="s">
        <v>173</v>
      </c>
      <c r="N835" s="4" t="s">
        <v>155</v>
      </c>
      <c r="O835" s="4" t="s">
        <v>392</v>
      </c>
      <c r="P835" s="4"/>
    </row>
    <row r="836" spans="1:16" ht="15">
      <c r="A836" s="4" t="s">
        <v>1599</v>
      </c>
      <c r="B836" s="30">
        <v>40051</v>
      </c>
      <c r="C836" s="4" t="s">
        <v>383</v>
      </c>
      <c r="D836" s="4" t="s">
        <v>195</v>
      </c>
      <c r="E836" s="4" t="s">
        <v>170</v>
      </c>
      <c r="F836" s="4" t="s">
        <v>155</v>
      </c>
      <c r="G836" s="4">
        <v>5</v>
      </c>
      <c r="H836" s="4">
        <v>3</v>
      </c>
      <c r="I836" s="4" t="s">
        <v>139</v>
      </c>
      <c r="J836" s="4" t="s">
        <v>181</v>
      </c>
      <c r="K836" s="4" t="s">
        <v>142</v>
      </c>
      <c r="L836" s="4" t="s">
        <v>4181</v>
      </c>
      <c r="M836" s="4" t="s">
        <v>173</v>
      </c>
      <c r="N836" s="4" t="s">
        <v>155</v>
      </c>
      <c r="O836" s="4" t="s">
        <v>510</v>
      </c>
      <c r="P836" s="4"/>
    </row>
    <row r="837" spans="1:16" ht="15">
      <c r="A837" s="4" t="s">
        <v>1600</v>
      </c>
      <c r="B837" s="30">
        <v>40041</v>
      </c>
      <c r="C837" s="4"/>
      <c r="D837" s="4" t="s">
        <v>195</v>
      </c>
      <c r="E837" s="4" t="s">
        <v>170</v>
      </c>
      <c r="F837" s="4" t="s">
        <v>155</v>
      </c>
      <c r="G837" s="4">
        <v>5</v>
      </c>
      <c r="H837" s="4">
        <v>3</v>
      </c>
      <c r="I837" s="4" t="s">
        <v>139</v>
      </c>
      <c r="J837" s="4" t="s">
        <v>181</v>
      </c>
      <c r="K837" s="4" t="s">
        <v>145</v>
      </c>
      <c r="L837" s="4" t="s">
        <v>162</v>
      </c>
      <c r="M837" s="4" t="s">
        <v>175</v>
      </c>
      <c r="N837" s="4" t="s">
        <v>155</v>
      </c>
      <c r="O837" s="4" t="s">
        <v>129</v>
      </c>
      <c r="P837" s="4"/>
    </row>
    <row r="838" spans="1:16" ht="15">
      <c r="A838" s="4" t="s">
        <v>1601</v>
      </c>
      <c r="B838" s="30">
        <v>39913</v>
      </c>
      <c r="C838" s="4"/>
      <c r="D838" s="4" t="s">
        <v>4178</v>
      </c>
      <c r="E838" s="4" t="s">
        <v>170</v>
      </c>
      <c r="F838" s="4" t="s">
        <v>155</v>
      </c>
      <c r="G838" s="4"/>
      <c r="H838" s="4"/>
      <c r="I838" s="4" t="s">
        <v>139</v>
      </c>
      <c r="J838" s="4" t="s">
        <v>181</v>
      </c>
      <c r="K838" s="4" t="s">
        <v>148</v>
      </c>
      <c r="L838" s="4" t="s">
        <v>162</v>
      </c>
      <c r="M838" s="4" t="s">
        <v>175</v>
      </c>
      <c r="N838" s="4" t="s">
        <v>155</v>
      </c>
      <c r="O838" s="4" t="s">
        <v>130</v>
      </c>
      <c r="P838" s="4"/>
    </row>
    <row r="839" spans="1:16" ht="15">
      <c r="A839" s="4" t="s">
        <v>1602</v>
      </c>
      <c r="B839" s="30">
        <v>40057</v>
      </c>
      <c r="C839" s="4"/>
      <c r="D839" s="4" t="s">
        <v>195</v>
      </c>
      <c r="E839" s="4" t="s">
        <v>170</v>
      </c>
      <c r="F839" s="4" t="s">
        <v>155</v>
      </c>
      <c r="G839" s="4">
        <v>5</v>
      </c>
      <c r="H839" s="4">
        <v>5</v>
      </c>
      <c r="I839" s="4" t="s">
        <v>139</v>
      </c>
      <c r="J839" s="4" t="s">
        <v>181</v>
      </c>
      <c r="K839" s="4" t="s">
        <v>146</v>
      </c>
      <c r="L839" s="4" t="s">
        <v>4176</v>
      </c>
      <c r="M839" s="4" t="s">
        <v>175</v>
      </c>
      <c r="N839" s="4" t="s">
        <v>125</v>
      </c>
      <c r="O839" s="4" t="s">
        <v>670</v>
      </c>
      <c r="P839" s="4" t="s">
        <v>671</v>
      </c>
    </row>
    <row r="840" spans="1:16" ht="15">
      <c r="A840" s="4" t="s">
        <v>1603</v>
      </c>
      <c r="B840" s="30">
        <v>39981</v>
      </c>
      <c r="C840" s="4" t="s">
        <v>383</v>
      </c>
      <c r="D840" s="4" t="s">
        <v>194</v>
      </c>
      <c r="E840" s="4" t="s">
        <v>170</v>
      </c>
      <c r="F840" s="4" t="s">
        <v>155</v>
      </c>
      <c r="G840" s="4"/>
      <c r="H840" s="4"/>
      <c r="I840" s="4" t="s">
        <v>139</v>
      </c>
      <c r="J840" s="4" t="s">
        <v>181</v>
      </c>
      <c r="K840" s="4" t="s">
        <v>142</v>
      </c>
      <c r="L840" s="4" t="s">
        <v>4181</v>
      </c>
      <c r="M840" s="4" t="s">
        <v>173</v>
      </c>
      <c r="N840" s="4" t="s">
        <v>155</v>
      </c>
      <c r="O840" s="4" t="s">
        <v>130</v>
      </c>
      <c r="P840" s="4"/>
    </row>
    <row r="841" spans="1:16" ht="15">
      <c r="A841" s="4" t="s">
        <v>1604</v>
      </c>
      <c r="B841" s="30">
        <v>39976</v>
      </c>
      <c r="C841" s="4"/>
      <c r="D841" s="4" t="s">
        <v>193</v>
      </c>
      <c r="E841" s="4" t="s">
        <v>170</v>
      </c>
      <c r="F841" s="4" t="s">
        <v>155</v>
      </c>
      <c r="G841" s="4"/>
      <c r="H841" s="4"/>
      <c r="I841" s="4" t="s">
        <v>140</v>
      </c>
      <c r="J841" s="4" t="s">
        <v>181</v>
      </c>
      <c r="K841" s="4" t="s">
        <v>148</v>
      </c>
      <c r="L841" s="4" t="s">
        <v>4176</v>
      </c>
      <c r="M841" s="4" t="s">
        <v>174</v>
      </c>
      <c r="N841" s="4" t="s">
        <v>156</v>
      </c>
      <c r="O841" s="4" t="s">
        <v>120</v>
      </c>
      <c r="P841" s="4" t="s">
        <v>1605</v>
      </c>
    </row>
    <row r="842" spans="1:16" ht="15">
      <c r="A842" s="4" t="s">
        <v>1606</v>
      </c>
      <c r="B842" s="30">
        <v>40063</v>
      </c>
      <c r="C842" s="4" t="s">
        <v>496</v>
      </c>
      <c r="D842" s="4" t="s">
        <v>193</v>
      </c>
      <c r="E842" s="4" t="s">
        <v>170</v>
      </c>
      <c r="F842" s="4" t="s">
        <v>155</v>
      </c>
      <c r="G842" s="4">
        <v>1</v>
      </c>
      <c r="H842" s="4">
        <v>5</v>
      </c>
      <c r="I842" s="4" t="s">
        <v>140</v>
      </c>
      <c r="J842" s="4" t="s">
        <v>181</v>
      </c>
      <c r="K842" s="4" t="s">
        <v>144</v>
      </c>
      <c r="L842" s="4" t="s">
        <v>4176</v>
      </c>
      <c r="M842" s="4" t="s">
        <v>1607</v>
      </c>
      <c r="N842" s="4" t="s">
        <v>157</v>
      </c>
      <c r="O842" s="4" t="s">
        <v>127</v>
      </c>
      <c r="P842" s="4" t="s">
        <v>153</v>
      </c>
    </row>
    <row r="843" spans="1:16" ht="15">
      <c r="A843" s="4" t="s">
        <v>1608</v>
      </c>
      <c r="B843" s="30">
        <v>40019</v>
      </c>
      <c r="C843" s="4" t="s">
        <v>9</v>
      </c>
      <c r="D843" s="4" t="s">
        <v>193</v>
      </c>
      <c r="E843" s="4" t="s">
        <v>170</v>
      </c>
      <c r="F843" s="4" t="s">
        <v>155</v>
      </c>
      <c r="G843" s="4">
        <v>5</v>
      </c>
      <c r="H843" s="4">
        <v>3</v>
      </c>
      <c r="I843" s="4" t="s">
        <v>140</v>
      </c>
      <c r="J843" s="4" t="s">
        <v>181</v>
      </c>
      <c r="K843" s="4" t="s">
        <v>146</v>
      </c>
      <c r="L843" s="4" t="s">
        <v>4176</v>
      </c>
      <c r="M843" s="4" t="s">
        <v>1609</v>
      </c>
      <c r="N843" s="4" t="s">
        <v>157</v>
      </c>
      <c r="O843" s="4" t="s">
        <v>830</v>
      </c>
      <c r="P843" s="4" t="s">
        <v>1610</v>
      </c>
    </row>
    <row r="844" spans="1:16" ht="15">
      <c r="A844" s="4" t="s">
        <v>1611</v>
      </c>
      <c r="B844" s="30">
        <v>39982</v>
      </c>
      <c r="C844" s="4"/>
      <c r="D844" s="4" t="s">
        <v>193</v>
      </c>
      <c r="E844" s="4" t="s">
        <v>170</v>
      </c>
      <c r="F844" s="4" t="s">
        <v>155</v>
      </c>
      <c r="G844" s="4"/>
      <c r="H844" s="4"/>
      <c r="I844" s="4" t="s">
        <v>140</v>
      </c>
      <c r="J844" s="4" t="s">
        <v>181</v>
      </c>
      <c r="K844" s="4" t="s">
        <v>144</v>
      </c>
      <c r="L844" s="4" t="s">
        <v>4181</v>
      </c>
      <c r="M844" s="4" t="s">
        <v>173</v>
      </c>
      <c r="N844" s="4" t="s">
        <v>155</v>
      </c>
      <c r="O844" s="4" t="s">
        <v>454</v>
      </c>
      <c r="P844" s="4"/>
    </row>
    <row r="845" spans="1:16" ht="15">
      <c r="A845" s="4" t="s">
        <v>1612</v>
      </c>
      <c r="B845" s="30">
        <v>39945</v>
      </c>
      <c r="C845" s="4"/>
      <c r="D845" s="4" t="s">
        <v>193</v>
      </c>
      <c r="E845" s="4" t="s">
        <v>170</v>
      </c>
      <c r="F845" s="4" t="s">
        <v>155</v>
      </c>
      <c r="G845" s="4"/>
      <c r="H845" s="4"/>
      <c r="I845" s="4" t="s">
        <v>140</v>
      </c>
      <c r="J845" s="4" t="s">
        <v>187</v>
      </c>
      <c r="K845" s="4" t="s">
        <v>142</v>
      </c>
      <c r="L845" s="4" t="s">
        <v>4176</v>
      </c>
      <c r="M845" s="4" t="s">
        <v>174</v>
      </c>
      <c r="N845" s="4" t="s">
        <v>156</v>
      </c>
      <c r="O845" s="4" t="s">
        <v>120</v>
      </c>
      <c r="P845" s="4" t="s">
        <v>1613</v>
      </c>
    </row>
    <row r="846" spans="1:16" ht="15">
      <c r="A846" s="4" t="s">
        <v>1614</v>
      </c>
      <c r="B846" s="30">
        <v>40022</v>
      </c>
      <c r="C846" s="4" t="s">
        <v>525</v>
      </c>
      <c r="D846" s="4" t="s">
        <v>195</v>
      </c>
      <c r="E846" s="4" t="s">
        <v>170</v>
      </c>
      <c r="F846" s="4" t="s">
        <v>155</v>
      </c>
      <c r="G846" s="4">
        <v>4</v>
      </c>
      <c r="H846" s="4">
        <v>5</v>
      </c>
      <c r="I846" s="4" t="s">
        <v>139</v>
      </c>
      <c r="J846" s="4" t="s">
        <v>187</v>
      </c>
      <c r="K846" s="4" t="s">
        <v>144</v>
      </c>
      <c r="L846" s="4" t="s">
        <v>4181</v>
      </c>
      <c r="M846" s="4" t="s">
        <v>1615</v>
      </c>
      <c r="N846" s="4" t="s">
        <v>155</v>
      </c>
      <c r="O846" s="4" t="s">
        <v>387</v>
      </c>
      <c r="P846" s="4"/>
    </row>
    <row r="847" spans="1:16" ht="15">
      <c r="A847" s="4" t="s">
        <v>1616</v>
      </c>
      <c r="B847" s="30">
        <v>39930</v>
      </c>
      <c r="C847" s="4" t="s">
        <v>380</v>
      </c>
      <c r="D847" s="4" t="s">
        <v>4183</v>
      </c>
      <c r="E847" s="4" t="s">
        <v>170</v>
      </c>
      <c r="F847" s="4" t="s">
        <v>155</v>
      </c>
      <c r="G847" s="4"/>
      <c r="H847" s="4"/>
      <c r="I847" s="4" t="s">
        <v>140</v>
      </c>
      <c r="J847" s="4" t="s">
        <v>181</v>
      </c>
      <c r="K847" s="4" t="s">
        <v>142</v>
      </c>
      <c r="L847" s="4" t="s">
        <v>4176</v>
      </c>
      <c r="M847" s="4" t="s">
        <v>174</v>
      </c>
      <c r="N847" s="4" t="s">
        <v>160</v>
      </c>
      <c r="O847" s="4" t="s">
        <v>484</v>
      </c>
      <c r="P847" s="4" t="s">
        <v>924</v>
      </c>
    </row>
    <row r="848" spans="1:16" ht="15">
      <c r="A848" s="4" t="s">
        <v>1617</v>
      </c>
      <c r="B848" s="30">
        <v>39951</v>
      </c>
      <c r="C848" s="4"/>
      <c r="D848" s="4" t="s">
        <v>195</v>
      </c>
      <c r="E848" s="4" t="s">
        <v>170</v>
      </c>
      <c r="F848" s="4" t="s">
        <v>155</v>
      </c>
      <c r="G848" s="4"/>
      <c r="H848" s="4"/>
      <c r="I848" s="4" t="s">
        <v>139</v>
      </c>
      <c r="J848" s="4" t="s">
        <v>181</v>
      </c>
      <c r="K848" s="4" t="s">
        <v>148</v>
      </c>
      <c r="L848" s="4" t="s">
        <v>165</v>
      </c>
      <c r="M848" s="4" t="s">
        <v>1618</v>
      </c>
      <c r="N848" s="4" t="s">
        <v>158</v>
      </c>
      <c r="O848" s="4" t="s">
        <v>122</v>
      </c>
      <c r="P848" s="4"/>
    </row>
    <row r="849" spans="1:16" ht="15">
      <c r="A849" s="4" t="s">
        <v>1619</v>
      </c>
      <c r="B849" s="30">
        <v>39973</v>
      </c>
      <c r="C849" s="4" t="s">
        <v>380</v>
      </c>
      <c r="D849" s="4" t="s">
        <v>195</v>
      </c>
      <c r="E849" s="4" t="s">
        <v>170</v>
      </c>
      <c r="F849" s="4" t="s">
        <v>155</v>
      </c>
      <c r="G849" s="4"/>
      <c r="H849" s="4"/>
      <c r="I849" s="4" t="s">
        <v>139</v>
      </c>
      <c r="J849" s="4" t="s">
        <v>182</v>
      </c>
      <c r="K849" s="4" t="s">
        <v>142</v>
      </c>
      <c r="L849" s="4" t="s">
        <v>4181</v>
      </c>
      <c r="M849" s="4"/>
      <c r="N849" s="4" t="s">
        <v>155</v>
      </c>
      <c r="O849" s="4" t="s">
        <v>387</v>
      </c>
      <c r="P849" s="4"/>
    </row>
    <row r="850" spans="1:16" ht="15">
      <c r="A850" s="4" t="s">
        <v>1620</v>
      </c>
      <c r="B850" s="30">
        <v>39994</v>
      </c>
      <c r="C850" s="4"/>
      <c r="D850" s="4" t="s">
        <v>193</v>
      </c>
      <c r="E850" s="4" t="s">
        <v>170</v>
      </c>
      <c r="F850" s="4" t="s">
        <v>155</v>
      </c>
      <c r="G850" s="4"/>
      <c r="H850" s="4">
        <v>5</v>
      </c>
      <c r="I850" s="4" t="s">
        <v>140</v>
      </c>
      <c r="J850" s="4" t="s">
        <v>179</v>
      </c>
      <c r="K850" s="4" t="s">
        <v>143</v>
      </c>
      <c r="L850" s="4" t="s">
        <v>162</v>
      </c>
      <c r="M850" s="4" t="s">
        <v>175</v>
      </c>
      <c r="N850" s="4" t="s">
        <v>155</v>
      </c>
      <c r="O850" s="4" t="s">
        <v>130</v>
      </c>
      <c r="P850" s="4"/>
    </row>
    <row r="851" spans="1:16" ht="15">
      <c r="A851" s="4" t="s">
        <v>1621</v>
      </c>
      <c r="B851" s="30">
        <v>40071</v>
      </c>
      <c r="C851" s="4"/>
      <c r="D851" s="4" t="s">
        <v>193</v>
      </c>
      <c r="E851" s="4" t="s">
        <v>170</v>
      </c>
      <c r="F851" s="4" t="s">
        <v>155</v>
      </c>
      <c r="G851" s="4">
        <v>5</v>
      </c>
      <c r="H851" s="4">
        <v>5</v>
      </c>
      <c r="I851" s="4" t="s">
        <v>140</v>
      </c>
      <c r="J851" s="4" t="s">
        <v>179</v>
      </c>
      <c r="K851" s="4" t="s">
        <v>145</v>
      </c>
      <c r="L851" s="4" t="s">
        <v>4181</v>
      </c>
      <c r="M851" s="4" t="s">
        <v>173</v>
      </c>
      <c r="N851" s="4" t="s">
        <v>161</v>
      </c>
      <c r="O851" s="4" t="s">
        <v>1622</v>
      </c>
      <c r="P851" s="4"/>
    </row>
    <row r="852" spans="1:16" ht="15">
      <c r="A852" s="4" t="s">
        <v>1623</v>
      </c>
      <c r="B852" s="30">
        <v>40036</v>
      </c>
      <c r="C852" s="4"/>
      <c r="D852" s="4" t="s">
        <v>197</v>
      </c>
      <c r="E852" s="4" t="s">
        <v>170</v>
      </c>
      <c r="F852" s="4" t="s">
        <v>155</v>
      </c>
      <c r="G852" s="4">
        <v>3</v>
      </c>
      <c r="H852" s="4">
        <v>3</v>
      </c>
      <c r="I852" s="4" t="s">
        <v>139</v>
      </c>
      <c r="J852" s="4" t="s">
        <v>179</v>
      </c>
      <c r="K852" s="4" t="s">
        <v>144</v>
      </c>
      <c r="L852" s="4" t="s">
        <v>162</v>
      </c>
      <c r="M852" s="4" t="s">
        <v>1624</v>
      </c>
      <c r="N852" s="4" t="s">
        <v>155</v>
      </c>
      <c r="O852" s="4" t="s">
        <v>129</v>
      </c>
      <c r="P852" s="4"/>
    </row>
    <row r="853" spans="1:16" ht="15">
      <c r="A853" s="4" t="s">
        <v>1625</v>
      </c>
      <c r="B853" s="30">
        <v>39932</v>
      </c>
      <c r="C853" s="4"/>
      <c r="D853" s="4" t="s">
        <v>4183</v>
      </c>
      <c r="E853" s="4" t="s">
        <v>170</v>
      </c>
      <c r="F853" s="4" t="s">
        <v>155</v>
      </c>
      <c r="G853" s="4"/>
      <c r="H853" s="4"/>
      <c r="I853" s="4" t="s">
        <v>140</v>
      </c>
      <c r="J853" s="4" t="s">
        <v>189</v>
      </c>
      <c r="K853" s="4" t="s">
        <v>147</v>
      </c>
      <c r="L853" s="4" t="s">
        <v>162</v>
      </c>
      <c r="M853" s="4" t="s">
        <v>175</v>
      </c>
      <c r="N853" s="4" t="s">
        <v>155</v>
      </c>
      <c r="O853" s="4" t="s">
        <v>129</v>
      </c>
      <c r="P853" s="4"/>
    </row>
    <row r="854" spans="1:16" ht="15">
      <c r="A854" s="4" t="s">
        <v>1626</v>
      </c>
      <c r="B854" s="30">
        <v>39918</v>
      </c>
      <c r="C854" s="4"/>
      <c r="D854" s="4" t="s">
        <v>4183</v>
      </c>
      <c r="E854" s="4" t="s">
        <v>170</v>
      </c>
      <c r="F854" s="4" t="s">
        <v>155</v>
      </c>
      <c r="G854" s="4"/>
      <c r="H854" s="4"/>
      <c r="I854" s="4" t="s">
        <v>140</v>
      </c>
      <c r="J854" s="4" t="s">
        <v>603</v>
      </c>
      <c r="K854" s="4" t="s">
        <v>147</v>
      </c>
      <c r="L854" s="4" t="s">
        <v>4176</v>
      </c>
      <c r="M854" s="4" t="s">
        <v>1627</v>
      </c>
      <c r="N854" s="4" t="s">
        <v>156</v>
      </c>
      <c r="O854" s="4" t="s">
        <v>120</v>
      </c>
      <c r="P854" s="4" t="s">
        <v>942</v>
      </c>
    </row>
    <row r="855" spans="1:16" ht="15">
      <c r="A855" s="4" t="s">
        <v>1628</v>
      </c>
      <c r="B855" s="30">
        <v>39970</v>
      </c>
      <c r="C855" s="4"/>
      <c r="D855" s="4" t="s">
        <v>193</v>
      </c>
      <c r="E855" s="4" t="s">
        <v>170</v>
      </c>
      <c r="F855" s="4" t="s">
        <v>155</v>
      </c>
      <c r="G855" s="4"/>
      <c r="H855" s="4"/>
      <c r="I855" s="4" t="s">
        <v>140</v>
      </c>
      <c r="J855" s="4" t="s">
        <v>179</v>
      </c>
      <c r="K855" s="4" t="s">
        <v>150</v>
      </c>
      <c r="L855" s="4" t="s">
        <v>4176</v>
      </c>
      <c r="M855" s="4" t="s">
        <v>174</v>
      </c>
      <c r="N855" s="4" t="s">
        <v>156</v>
      </c>
      <c r="O855" s="4" t="s">
        <v>120</v>
      </c>
      <c r="P855" s="4" t="s">
        <v>741</v>
      </c>
    </row>
    <row r="856" spans="1:16" ht="15">
      <c r="A856" s="4" t="s">
        <v>1629</v>
      </c>
      <c r="B856" s="30">
        <v>39956</v>
      </c>
      <c r="C856" s="4"/>
      <c r="D856" s="4" t="s">
        <v>194</v>
      </c>
      <c r="E856" s="4" t="s">
        <v>170</v>
      </c>
      <c r="F856" s="4" t="s">
        <v>155</v>
      </c>
      <c r="G856" s="4"/>
      <c r="H856" s="4"/>
      <c r="I856" s="4" t="s">
        <v>139</v>
      </c>
      <c r="J856" s="4" t="s">
        <v>603</v>
      </c>
      <c r="K856" s="4" t="s">
        <v>148</v>
      </c>
      <c r="L856" s="4" t="s">
        <v>4181</v>
      </c>
      <c r="M856" s="4" t="s">
        <v>415</v>
      </c>
      <c r="N856" s="4" t="s">
        <v>155</v>
      </c>
      <c r="O856" s="4" t="s">
        <v>125</v>
      </c>
      <c r="P856" s="4"/>
    </row>
    <row r="857" spans="1:16" ht="15">
      <c r="A857" s="4" t="s">
        <v>1630</v>
      </c>
      <c r="B857" s="30">
        <v>40036</v>
      </c>
      <c r="C857" s="4"/>
      <c r="D857" s="4" t="s">
        <v>193</v>
      </c>
      <c r="E857" s="4" t="s">
        <v>170</v>
      </c>
      <c r="F857" s="4" t="s">
        <v>155</v>
      </c>
      <c r="G857" s="4">
        <v>1</v>
      </c>
      <c r="H857" s="4">
        <v>5</v>
      </c>
      <c r="I857" s="4" t="s">
        <v>140</v>
      </c>
      <c r="J857" s="4" t="s">
        <v>603</v>
      </c>
      <c r="K857" s="4" t="s">
        <v>142</v>
      </c>
      <c r="L857" s="4" t="s">
        <v>4181</v>
      </c>
      <c r="M857" s="4" t="s">
        <v>173</v>
      </c>
      <c r="N857" s="4" t="s">
        <v>155</v>
      </c>
      <c r="O857" s="4" t="s">
        <v>125</v>
      </c>
      <c r="P857" s="4"/>
    </row>
    <row r="858" spans="1:16" ht="15">
      <c r="A858" s="4" t="s">
        <v>1631</v>
      </c>
      <c r="B858" s="30">
        <v>39951</v>
      </c>
      <c r="C858" s="4"/>
      <c r="D858" s="4" t="s">
        <v>193</v>
      </c>
      <c r="E858" s="4" t="s">
        <v>170</v>
      </c>
      <c r="F858" s="4" t="s">
        <v>155</v>
      </c>
      <c r="G858" s="4"/>
      <c r="H858" s="4"/>
      <c r="I858" s="4" t="s">
        <v>140</v>
      </c>
      <c r="J858" s="4" t="s">
        <v>181</v>
      </c>
      <c r="K858" s="4" t="s">
        <v>148</v>
      </c>
      <c r="L858" s="4" t="s">
        <v>4176</v>
      </c>
      <c r="M858" s="4" t="s">
        <v>174</v>
      </c>
      <c r="N858" s="4" t="s">
        <v>157</v>
      </c>
      <c r="O858" s="4" t="s">
        <v>406</v>
      </c>
      <c r="P858" s="4" t="s">
        <v>922</v>
      </c>
    </row>
    <row r="859" spans="1:16" ht="15">
      <c r="A859" s="4" t="s">
        <v>1632</v>
      </c>
      <c r="B859" s="30">
        <v>39966</v>
      </c>
      <c r="C859" s="4"/>
      <c r="D859" s="4" t="s">
        <v>195</v>
      </c>
      <c r="E859" s="4" t="s">
        <v>170</v>
      </c>
      <c r="F859" s="4" t="s">
        <v>155</v>
      </c>
      <c r="G859" s="4"/>
      <c r="H859" s="4"/>
      <c r="I859" s="4" t="s">
        <v>139</v>
      </c>
      <c r="J859" s="4" t="s">
        <v>181</v>
      </c>
      <c r="K859" s="4" t="s">
        <v>142</v>
      </c>
      <c r="L859" s="4" t="s">
        <v>4176</v>
      </c>
      <c r="M859" s="4" t="s">
        <v>867</v>
      </c>
      <c r="N859" s="4" t="s">
        <v>157</v>
      </c>
      <c r="O859" s="4" t="s">
        <v>127</v>
      </c>
      <c r="P859" s="4" t="s">
        <v>153</v>
      </c>
    </row>
    <row r="860" spans="1:16" ht="15">
      <c r="A860" s="4" t="s">
        <v>1633</v>
      </c>
      <c r="B860" s="30">
        <v>39907</v>
      </c>
      <c r="C860" s="4" t="s">
        <v>496</v>
      </c>
      <c r="D860" s="4" t="s">
        <v>4182</v>
      </c>
      <c r="E860" s="4" t="s">
        <v>170</v>
      </c>
      <c r="F860" s="4" t="s">
        <v>155</v>
      </c>
      <c r="G860" s="4"/>
      <c r="H860" s="4"/>
      <c r="I860" s="4" t="s">
        <v>139</v>
      </c>
      <c r="J860" s="4" t="s">
        <v>181</v>
      </c>
      <c r="K860" s="4" t="s">
        <v>145</v>
      </c>
      <c r="L860" s="4" t="s">
        <v>4181</v>
      </c>
      <c r="M860" s="4" t="s">
        <v>1634</v>
      </c>
      <c r="N860" s="4" t="s">
        <v>155</v>
      </c>
      <c r="O860" s="4" t="s">
        <v>125</v>
      </c>
      <c r="P860" s="4"/>
    </row>
    <row r="861" spans="1:16" ht="15">
      <c r="A861" s="4" t="s">
        <v>1635</v>
      </c>
      <c r="B861" s="30">
        <v>40081</v>
      </c>
      <c r="C861" s="4"/>
      <c r="D861" s="4" t="s">
        <v>197</v>
      </c>
      <c r="E861" s="4" t="s">
        <v>170</v>
      </c>
      <c r="F861" s="4" t="s">
        <v>155</v>
      </c>
      <c r="G861" s="4">
        <v>4</v>
      </c>
      <c r="H861" s="4">
        <v>2</v>
      </c>
      <c r="I861" s="4" t="s">
        <v>139</v>
      </c>
      <c r="J861" s="4" t="s">
        <v>181</v>
      </c>
      <c r="K861" s="4" t="s">
        <v>144</v>
      </c>
      <c r="L861" s="4" t="s">
        <v>4181</v>
      </c>
      <c r="M861" s="4" t="s">
        <v>1308</v>
      </c>
      <c r="N861" s="4" t="s">
        <v>155</v>
      </c>
      <c r="O861" s="4" t="s">
        <v>510</v>
      </c>
      <c r="P861" s="4"/>
    </row>
    <row r="862" spans="1:16" ht="15">
      <c r="A862" s="4" t="s">
        <v>1636</v>
      </c>
      <c r="B862" s="30">
        <v>39993</v>
      </c>
      <c r="C862" s="4" t="s">
        <v>380</v>
      </c>
      <c r="D862" s="4" t="s">
        <v>196</v>
      </c>
      <c r="E862" s="4" t="s">
        <v>170</v>
      </c>
      <c r="F862" s="4" t="s">
        <v>155</v>
      </c>
      <c r="G862" s="4"/>
      <c r="H862" s="4">
        <v>4</v>
      </c>
      <c r="I862" s="4" t="s">
        <v>139</v>
      </c>
      <c r="J862" s="4" t="s">
        <v>190</v>
      </c>
      <c r="K862" s="4" t="s">
        <v>148</v>
      </c>
      <c r="L862" s="4" t="s">
        <v>4181</v>
      </c>
      <c r="M862" s="4" t="s">
        <v>173</v>
      </c>
      <c r="N862" s="4" t="s">
        <v>155</v>
      </c>
      <c r="O862" s="4" t="s">
        <v>510</v>
      </c>
      <c r="P862" s="4"/>
    </row>
    <row r="863" spans="1:16" ht="15">
      <c r="A863" s="4" t="s">
        <v>1637</v>
      </c>
      <c r="B863" s="30">
        <v>40022</v>
      </c>
      <c r="C863" s="4"/>
      <c r="D863" s="4" t="s">
        <v>195</v>
      </c>
      <c r="E863" s="4" t="s">
        <v>170</v>
      </c>
      <c r="F863" s="4" t="s">
        <v>155</v>
      </c>
      <c r="G863" s="4">
        <v>3</v>
      </c>
      <c r="H863" s="4">
        <v>2</v>
      </c>
      <c r="I863" s="4" t="s">
        <v>139</v>
      </c>
      <c r="J863" s="4" t="s">
        <v>181</v>
      </c>
      <c r="K863" s="4" t="s">
        <v>144</v>
      </c>
      <c r="L863" s="4" t="s">
        <v>4176</v>
      </c>
      <c r="M863" s="4" t="s">
        <v>429</v>
      </c>
      <c r="N863" s="4" t="s">
        <v>159</v>
      </c>
      <c r="O863" s="4" t="s">
        <v>126</v>
      </c>
      <c r="P863" s="4" t="s">
        <v>601</v>
      </c>
    </row>
    <row r="864" spans="1:16" ht="15">
      <c r="A864" s="4" t="s">
        <v>1638</v>
      </c>
      <c r="B864" s="30">
        <v>39920</v>
      </c>
      <c r="C864" s="4"/>
      <c r="D864" s="4" t="s">
        <v>4184</v>
      </c>
      <c r="E864" s="4" t="s">
        <v>170</v>
      </c>
      <c r="F864" s="4" t="s">
        <v>155</v>
      </c>
      <c r="G864" s="4"/>
      <c r="H864" s="4"/>
      <c r="I864" s="4" t="s">
        <v>140</v>
      </c>
      <c r="J864" s="4" t="s">
        <v>181</v>
      </c>
      <c r="K864" s="4" t="s">
        <v>143</v>
      </c>
      <c r="L864" s="4" t="s">
        <v>4181</v>
      </c>
      <c r="M864" s="4" t="s">
        <v>415</v>
      </c>
      <c r="N864" s="4" t="s">
        <v>155</v>
      </c>
      <c r="O864" s="4" t="s">
        <v>125</v>
      </c>
      <c r="P864" s="4"/>
    </row>
    <row r="865" spans="1:16" ht="15">
      <c r="A865" s="4" t="s">
        <v>1639</v>
      </c>
      <c r="B865" s="30">
        <v>39925</v>
      </c>
      <c r="C865" s="4"/>
      <c r="D865" s="4" t="s">
        <v>4184</v>
      </c>
      <c r="E865" s="4" t="s">
        <v>170</v>
      </c>
      <c r="F865" s="4" t="s">
        <v>155</v>
      </c>
      <c r="G865" s="4"/>
      <c r="H865" s="4"/>
      <c r="I865" s="4" t="s">
        <v>140</v>
      </c>
      <c r="J865" s="4" t="s">
        <v>179</v>
      </c>
      <c r="K865" s="4" t="s">
        <v>147</v>
      </c>
      <c r="L865" s="4" t="s">
        <v>4176</v>
      </c>
      <c r="M865" s="4" t="s">
        <v>174</v>
      </c>
      <c r="N865" s="4" t="s">
        <v>156</v>
      </c>
      <c r="O865" s="4" t="s">
        <v>120</v>
      </c>
      <c r="P865" s="4" t="s">
        <v>470</v>
      </c>
    </row>
    <row r="866" spans="1:16" ht="15">
      <c r="A866" s="4" t="s">
        <v>1640</v>
      </c>
      <c r="B866" s="30">
        <v>39993</v>
      </c>
      <c r="C866" s="4"/>
      <c r="D866" s="4" t="s">
        <v>196</v>
      </c>
      <c r="E866" s="4" t="s">
        <v>170</v>
      </c>
      <c r="F866" s="4" t="s">
        <v>155</v>
      </c>
      <c r="G866" s="4"/>
      <c r="H866" s="4">
        <v>4</v>
      </c>
      <c r="I866" s="4" t="s">
        <v>139</v>
      </c>
      <c r="J866" s="4" t="s">
        <v>509</v>
      </c>
      <c r="K866" s="4" t="s">
        <v>151</v>
      </c>
      <c r="L866" s="4" t="s">
        <v>4181</v>
      </c>
      <c r="M866" s="4" t="s">
        <v>173</v>
      </c>
      <c r="N866" s="4" t="s">
        <v>161</v>
      </c>
      <c r="O866" s="4" t="s">
        <v>465</v>
      </c>
      <c r="P866" s="4"/>
    </row>
    <row r="867" spans="1:16" ht="15">
      <c r="A867" s="4" t="s">
        <v>1641</v>
      </c>
      <c r="B867" s="30">
        <v>39908</v>
      </c>
      <c r="C867" s="4" t="s">
        <v>380</v>
      </c>
      <c r="D867" s="4" t="s">
        <v>4184</v>
      </c>
      <c r="E867" s="4" t="s">
        <v>170</v>
      </c>
      <c r="F867" s="4" t="s">
        <v>155</v>
      </c>
      <c r="G867" s="4"/>
      <c r="H867" s="4"/>
      <c r="I867" s="4" t="s">
        <v>140</v>
      </c>
      <c r="J867" s="4" t="s">
        <v>413</v>
      </c>
      <c r="K867" s="4" t="s">
        <v>145</v>
      </c>
      <c r="L867" s="4" t="s">
        <v>4181</v>
      </c>
      <c r="M867" s="4" t="s">
        <v>173</v>
      </c>
      <c r="N867" s="4" t="s">
        <v>155</v>
      </c>
      <c r="O867" s="4" t="s">
        <v>792</v>
      </c>
      <c r="P867" s="4"/>
    </row>
    <row r="868" spans="1:16" ht="15">
      <c r="A868" s="4" t="s">
        <v>1642</v>
      </c>
      <c r="B868" s="30">
        <v>39979</v>
      </c>
      <c r="C868" s="4"/>
      <c r="D868" s="4" t="s">
        <v>195</v>
      </c>
      <c r="E868" s="4" t="s">
        <v>170</v>
      </c>
      <c r="F868" s="4" t="s">
        <v>155</v>
      </c>
      <c r="G868" s="4"/>
      <c r="H868" s="4"/>
      <c r="I868" s="4" t="s">
        <v>139</v>
      </c>
      <c r="J868" s="4" t="s">
        <v>179</v>
      </c>
      <c r="K868" s="4" t="s">
        <v>142</v>
      </c>
      <c r="L868" s="4" t="s">
        <v>162</v>
      </c>
      <c r="M868" s="4" t="s">
        <v>175</v>
      </c>
      <c r="N868" s="4" t="s">
        <v>155</v>
      </c>
      <c r="O868" s="4" t="s">
        <v>130</v>
      </c>
      <c r="P868" s="4"/>
    </row>
    <row r="869" spans="1:16" ht="15">
      <c r="A869" s="4" t="s">
        <v>1643</v>
      </c>
      <c r="B869" s="30">
        <v>40086</v>
      </c>
      <c r="C869" s="4"/>
      <c r="D869" s="4" t="s">
        <v>196</v>
      </c>
      <c r="E869" s="4" t="s">
        <v>170</v>
      </c>
      <c r="F869" s="4" t="s">
        <v>155</v>
      </c>
      <c r="G869" s="4">
        <v>3</v>
      </c>
      <c r="H869" s="4">
        <v>3</v>
      </c>
      <c r="I869" s="4" t="s">
        <v>139</v>
      </c>
      <c r="J869" s="4" t="s">
        <v>591</v>
      </c>
      <c r="K869" s="4" t="s">
        <v>142</v>
      </c>
      <c r="L869" s="4" t="s">
        <v>4181</v>
      </c>
      <c r="M869" s="4" t="s">
        <v>173</v>
      </c>
      <c r="N869" s="4" t="s">
        <v>155</v>
      </c>
      <c r="O869" s="4" t="s">
        <v>956</v>
      </c>
      <c r="P869" s="4"/>
    </row>
    <row r="870" spans="1:16" ht="15">
      <c r="A870" s="4" t="s">
        <v>1644</v>
      </c>
      <c r="B870" s="30">
        <v>39957</v>
      </c>
      <c r="C870" s="4"/>
      <c r="D870" s="4" t="s">
        <v>195</v>
      </c>
      <c r="E870" s="4" t="s">
        <v>170</v>
      </c>
      <c r="F870" s="4" t="s">
        <v>155</v>
      </c>
      <c r="G870" s="4"/>
      <c r="H870" s="4"/>
      <c r="I870" s="4" t="s">
        <v>139</v>
      </c>
      <c r="J870" s="4" t="s">
        <v>409</v>
      </c>
      <c r="K870" s="4" t="s">
        <v>148</v>
      </c>
      <c r="L870" s="4" t="s">
        <v>162</v>
      </c>
      <c r="M870" s="4" t="s">
        <v>459</v>
      </c>
      <c r="N870" s="4" t="s">
        <v>155</v>
      </c>
      <c r="O870" s="4" t="s">
        <v>130</v>
      </c>
      <c r="P870" s="4"/>
    </row>
    <row r="871" spans="1:16" ht="15">
      <c r="A871" s="4" t="s">
        <v>1645</v>
      </c>
      <c r="B871" s="30">
        <v>39930</v>
      </c>
      <c r="C871" s="4" t="s">
        <v>9</v>
      </c>
      <c r="D871" s="4" t="s">
        <v>4178</v>
      </c>
      <c r="E871" s="4" t="s">
        <v>170</v>
      </c>
      <c r="F871" s="4" t="s">
        <v>155</v>
      </c>
      <c r="G871" s="4"/>
      <c r="H871" s="4"/>
      <c r="I871" s="4" t="s">
        <v>139</v>
      </c>
      <c r="J871" s="4" t="s">
        <v>178</v>
      </c>
      <c r="K871" s="4" t="s">
        <v>145</v>
      </c>
      <c r="L871" s="4" t="s">
        <v>4176</v>
      </c>
      <c r="M871" s="4" t="s">
        <v>174</v>
      </c>
      <c r="N871" s="4" t="s">
        <v>156</v>
      </c>
      <c r="O871" s="4" t="s">
        <v>120</v>
      </c>
      <c r="P871" s="4" t="s">
        <v>1646</v>
      </c>
    </row>
    <row r="872" spans="1:16" ht="15">
      <c r="A872" s="4" t="s">
        <v>1647</v>
      </c>
      <c r="B872" s="30">
        <v>40043</v>
      </c>
      <c r="C872" s="4"/>
      <c r="D872" s="4" t="s">
        <v>193</v>
      </c>
      <c r="E872" s="4" t="s">
        <v>170</v>
      </c>
      <c r="F872" s="4" t="s">
        <v>155</v>
      </c>
      <c r="G872" s="4">
        <v>5</v>
      </c>
      <c r="H872" s="4">
        <v>3</v>
      </c>
      <c r="I872" s="4" t="s">
        <v>140</v>
      </c>
      <c r="J872" s="4" t="s">
        <v>189</v>
      </c>
      <c r="K872" s="4" t="s">
        <v>143</v>
      </c>
      <c r="L872" s="4" t="s">
        <v>4176</v>
      </c>
      <c r="M872" s="4" t="s">
        <v>459</v>
      </c>
      <c r="N872" s="4" t="s">
        <v>159</v>
      </c>
      <c r="O872" s="4" t="s">
        <v>126</v>
      </c>
      <c r="P872" s="4" t="s">
        <v>601</v>
      </c>
    </row>
    <row r="873" spans="1:16" ht="15">
      <c r="A873" s="4" t="s">
        <v>1648</v>
      </c>
      <c r="B873" s="30">
        <v>39981</v>
      </c>
      <c r="C873" s="4"/>
      <c r="D873" s="4" t="s">
        <v>193</v>
      </c>
      <c r="E873" s="4" t="s">
        <v>170</v>
      </c>
      <c r="F873" s="4" t="s">
        <v>155</v>
      </c>
      <c r="G873" s="4"/>
      <c r="H873" s="4"/>
      <c r="I873" s="4" t="s">
        <v>140</v>
      </c>
      <c r="J873" s="4" t="s">
        <v>178</v>
      </c>
      <c r="K873" s="4" t="s">
        <v>146</v>
      </c>
      <c r="L873" s="4" t="s">
        <v>162</v>
      </c>
      <c r="M873" s="4" t="s">
        <v>459</v>
      </c>
      <c r="N873" s="4" t="s">
        <v>155</v>
      </c>
      <c r="O873" s="4" t="s">
        <v>130</v>
      </c>
      <c r="P873" s="4"/>
    </row>
    <row r="874" spans="1:16" ht="15">
      <c r="A874" s="4" t="s">
        <v>1649</v>
      </c>
      <c r="B874" s="30">
        <v>39927</v>
      </c>
      <c r="C874" s="4" t="s">
        <v>380</v>
      </c>
      <c r="D874" s="4" t="s">
        <v>4178</v>
      </c>
      <c r="E874" s="4" t="s">
        <v>170</v>
      </c>
      <c r="F874" s="4" t="s">
        <v>155</v>
      </c>
      <c r="G874" s="4"/>
      <c r="H874" s="4"/>
      <c r="I874" s="4" t="s">
        <v>139</v>
      </c>
      <c r="J874" s="4" t="s">
        <v>180</v>
      </c>
      <c r="K874" s="4" t="s">
        <v>151</v>
      </c>
      <c r="L874" s="4" t="s">
        <v>4181</v>
      </c>
      <c r="M874" s="4" t="s">
        <v>1650</v>
      </c>
      <c r="N874" s="4" t="s">
        <v>155</v>
      </c>
      <c r="O874" s="4" t="s">
        <v>124</v>
      </c>
      <c r="P874" s="4"/>
    </row>
    <row r="875" spans="1:16" ht="15">
      <c r="A875" s="4" t="s">
        <v>1651</v>
      </c>
      <c r="B875" s="30">
        <v>40010</v>
      </c>
      <c r="C875" s="4"/>
      <c r="D875" s="4" t="s">
        <v>194</v>
      </c>
      <c r="E875" s="4" t="s">
        <v>170</v>
      </c>
      <c r="F875" s="4" t="s">
        <v>155</v>
      </c>
      <c r="G875" s="4">
        <v>5</v>
      </c>
      <c r="H875" s="4">
        <v>5</v>
      </c>
      <c r="I875" s="4" t="s">
        <v>139</v>
      </c>
      <c r="J875" s="4" t="s">
        <v>190</v>
      </c>
      <c r="K875" s="4" t="s">
        <v>146</v>
      </c>
      <c r="L875" s="4" t="s">
        <v>4181</v>
      </c>
      <c r="M875" s="4" t="s">
        <v>173</v>
      </c>
      <c r="N875" s="4" t="s">
        <v>155</v>
      </c>
      <c r="O875" s="4" t="s">
        <v>124</v>
      </c>
      <c r="P875" s="4"/>
    </row>
    <row r="876" spans="1:16" ht="15">
      <c r="A876" s="4" t="s">
        <v>1652</v>
      </c>
      <c r="B876" s="30">
        <v>40024</v>
      </c>
      <c r="C876" s="4" t="s">
        <v>525</v>
      </c>
      <c r="D876" s="4" t="s">
        <v>193</v>
      </c>
      <c r="E876" s="4" t="s">
        <v>170</v>
      </c>
      <c r="F876" s="4" t="s">
        <v>155</v>
      </c>
      <c r="G876" s="4">
        <v>5</v>
      </c>
      <c r="H876" s="4">
        <v>5</v>
      </c>
      <c r="I876" s="4" t="s">
        <v>140</v>
      </c>
      <c r="J876" s="4" t="s">
        <v>190</v>
      </c>
      <c r="K876" s="4" t="s">
        <v>142</v>
      </c>
      <c r="L876" s="4" t="s">
        <v>4181</v>
      </c>
      <c r="M876" s="4" t="s">
        <v>173</v>
      </c>
      <c r="N876" s="4" t="s">
        <v>155</v>
      </c>
      <c r="O876" s="4" t="s">
        <v>125</v>
      </c>
      <c r="P876" s="4"/>
    </row>
    <row r="877" spans="1:16" ht="15">
      <c r="A877" s="4" t="s">
        <v>1653</v>
      </c>
      <c r="B877" s="30">
        <v>39973</v>
      </c>
      <c r="C877" s="4"/>
      <c r="D877" s="4" t="s">
        <v>194</v>
      </c>
      <c r="E877" s="4" t="s">
        <v>170</v>
      </c>
      <c r="F877" s="4" t="s">
        <v>155</v>
      </c>
      <c r="G877" s="4"/>
      <c r="H877" s="4"/>
      <c r="I877" s="4" t="s">
        <v>139</v>
      </c>
      <c r="J877" s="4" t="s">
        <v>509</v>
      </c>
      <c r="K877" s="4" t="s">
        <v>142</v>
      </c>
      <c r="L877" s="4" t="s">
        <v>162</v>
      </c>
      <c r="M877" s="4" t="s">
        <v>622</v>
      </c>
      <c r="N877" s="4" t="s">
        <v>155</v>
      </c>
      <c r="O877" s="4" t="s">
        <v>130</v>
      </c>
      <c r="P877" s="4"/>
    </row>
    <row r="878" spans="1:16" ht="15">
      <c r="A878" s="4" t="s">
        <v>1654</v>
      </c>
      <c r="B878" s="30">
        <v>40076</v>
      </c>
      <c r="C878" s="4"/>
      <c r="D878" s="4" t="s">
        <v>196</v>
      </c>
      <c r="E878" s="4" t="s">
        <v>170</v>
      </c>
      <c r="F878" s="4" t="s">
        <v>155</v>
      </c>
      <c r="G878" s="4">
        <v>5</v>
      </c>
      <c r="H878" s="4">
        <v>5</v>
      </c>
      <c r="I878" s="4" t="s">
        <v>139</v>
      </c>
      <c r="J878" s="4" t="s">
        <v>576</v>
      </c>
      <c r="K878" s="4" t="s">
        <v>146</v>
      </c>
      <c r="L878" s="4" t="s">
        <v>4176</v>
      </c>
      <c r="M878" s="4" t="s">
        <v>174</v>
      </c>
      <c r="N878" s="4" t="s">
        <v>156</v>
      </c>
      <c r="O878" s="4" t="s">
        <v>120</v>
      </c>
      <c r="P878" s="4" t="s">
        <v>794</v>
      </c>
    </row>
    <row r="879" spans="1:16" ht="15">
      <c r="A879" s="4" t="s">
        <v>1655</v>
      </c>
      <c r="B879" s="30">
        <v>39934</v>
      </c>
      <c r="C879" s="4"/>
      <c r="D879" s="4" t="s">
        <v>4178</v>
      </c>
      <c r="E879" s="4" t="s">
        <v>170</v>
      </c>
      <c r="F879" s="4" t="s">
        <v>155</v>
      </c>
      <c r="G879" s="4"/>
      <c r="H879" s="4"/>
      <c r="I879" s="4" t="s">
        <v>139</v>
      </c>
      <c r="J879" s="4" t="s">
        <v>178</v>
      </c>
      <c r="K879" s="4" t="s">
        <v>147</v>
      </c>
      <c r="L879" s="4" t="s">
        <v>4181</v>
      </c>
      <c r="M879" s="4" t="s">
        <v>173</v>
      </c>
      <c r="N879" s="4" t="s">
        <v>155</v>
      </c>
      <c r="O879" s="4" t="s">
        <v>439</v>
      </c>
      <c r="P879" s="4"/>
    </row>
    <row r="880" spans="1:16" ht="15">
      <c r="A880" s="4" t="s">
        <v>1656</v>
      </c>
      <c r="B880" s="30">
        <v>40016</v>
      </c>
      <c r="C880" s="4"/>
      <c r="D880" s="4" t="s">
        <v>194</v>
      </c>
      <c r="E880" s="4" t="s">
        <v>170</v>
      </c>
      <c r="F880" s="4" t="s">
        <v>155</v>
      </c>
      <c r="G880" s="4">
        <v>5</v>
      </c>
      <c r="H880" s="4">
        <v>5</v>
      </c>
      <c r="I880" s="4" t="s">
        <v>139</v>
      </c>
      <c r="J880" s="4" t="s">
        <v>183</v>
      </c>
      <c r="K880" s="4" t="s">
        <v>144</v>
      </c>
      <c r="L880" s="4" t="s">
        <v>162</v>
      </c>
      <c r="M880" s="4" t="s">
        <v>175</v>
      </c>
      <c r="N880" s="4" t="s">
        <v>155</v>
      </c>
      <c r="O880" s="4" t="s">
        <v>129</v>
      </c>
      <c r="P880" s="4"/>
    </row>
    <row r="881" spans="1:16" ht="15">
      <c r="A881" s="4" t="s">
        <v>1657</v>
      </c>
      <c r="B881" s="30">
        <v>39950</v>
      </c>
      <c r="C881" s="4"/>
      <c r="D881" s="4" t="s">
        <v>195</v>
      </c>
      <c r="E881" s="4" t="s">
        <v>170</v>
      </c>
      <c r="F881" s="4" t="s">
        <v>155</v>
      </c>
      <c r="G881" s="4"/>
      <c r="H881" s="4"/>
      <c r="I881" s="4" t="s">
        <v>139</v>
      </c>
      <c r="J881" s="4" t="s">
        <v>181</v>
      </c>
      <c r="K881" s="4" t="s">
        <v>147</v>
      </c>
      <c r="L881" s="4" t="s">
        <v>4176</v>
      </c>
      <c r="M881" s="4" t="s">
        <v>174</v>
      </c>
      <c r="N881" s="4" t="s">
        <v>157</v>
      </c>
      <c r="O881" s="4" t="s">
        <v>127</v>
      </c>
      <c r="P881" s="4" t="s">
        <v>153</v>
      </c>
    </row>
    <row r="882" spans="1:16" ht="15">
      <c r="A882" s="4" t="s">
        <v>1658</v>
      </c>
      <c r="B882" s="30">
        <v>39929</v>
      </c>
      <c r="C882" s="4"/>
      <c r="D882" s="4" t="s">
        <v>4180</v>
      </c>
      <c r="E882" s="4" t="s">
        <v>170</v>
      </c>
      <c r="F882" s="4" t="s">
        <v>155</v>
      </c>
      <c r="G882" s="4"/>
      <c r="H882" s="4"/>
      <c r="I882" s="4" t="s">
        <v>139</v>
      </c>
      <c r="J882" s="4" t="s">
        <v>181</v>
      </c>
      <c r="K882" s="4" t="s">
        <v>143</v>
      </c>
      <c r="L882" s="4" t="s">
        <v>4176</v>
      </c>
      <c r="M882" s="4" t="s">
        <v>174</v>
      </c>
      <c r="N882" s="4" t="s">
        <v>160</v>
      </c>
      <c r="O882" s="4" t="s">
        <v>126</v>
      </c>
      <c r="P882" s="4" t="s">
        <v>665</v>
      </c>
    </row>
    <row r="883" spans="1:16" ht="15">
      <c r="A883" s="4" t="s">
        <v>1659</v>
      </c>
      <c r="B883" s="30">
        <v>39951</v>
      </c>
      <c r="C883" s="4"/>
      <c r="D883" s="4" t="s">
        <v>195</v>
      </c>
      <c r="E883" s="4" t="s">
        <v>170</v>
      </c>
      <c r="F883" s="4" t="s">
        <v>155</v>
      </c>
      <c r="G883" s="4"/>
      <c r="H883" s="4"/>
      <c r="I883" s="4" t="s">
        <v>139</v>
      </c>
      <c r="J883" s="4" t="s">
        <v>181</v>
      </c>
      <c r="K883" s="4" t="s">
        <v>142</v>
      </c>
      <c r="L883" s="4" t="s">
        <v>4181</v>
      </c>
      <c r="M883" s="4" t="s">
        <v>415</v>
      </c>
      <c r="N883" s="4" t="s">
        <v>155</v>
      </c>
      <c r="O883" s="4" t="s">
        <v>125</v>
      </c>
      <c r="P883" s="4"/>
    </row>
    <row r="884" spans="1:16" ht="15">
      <c r="A884" s="4" t="s">
        <v>1660</v>
      </c>
      <c r="B884" s="30">
        <v>39946</v>
      </c>
      <c r="C884" s="4"/>
      <c r="D884" s="4" t="s">
        <v>194</v>
      </c>
      <c r="E884" s="4" t="s">
        <v>170</v>
      </c>
      <c r="F884" s="4" t="s">
        <v>155</v>
      </c>
      <c r="G884" s="4"/>
      <c r="H884" s="4"/>
      <c r="I884" s="4" t="s">
        <v>139</v>
      </c>
      <c r="J884" s="4" t="s">
        <v>184</v>
      </c>
      <c r="K884" s="4" t="s">
        <v>147</v>
      </c>
      <c r="L884" s="4" t="s">
        <v>4176</v>
      </c>
      <c r="M884" s="4" t="s">
        <v>175</v>
      </c>
      <c r="N884" s="4" t="s">
        <v>159</v>
      </c>
      <c r="O884" s="4" t="s">
        <v>126</v>
      </c>
      <c r="P884" s="4" t="s">
        <v>601</v>
      </c>
    </row>
    <row r="885" spans="1:16" ht="15">
      <c r="A885" s="4" t="s">
        <v>1661</v>
      </c>
      <c r="B885" s="30">
        <v>39972</v>
      </c>
      <c r="C885" s="4"/>
      <c r="D885" s="4" t="s">
        <v>193</v>
      </c>
      <c r="E885" s="4" t="s">
        <v>170</v>
      </c>
      <c r="F885" s="4" t="s">
        <v>155</v>
      </c>
      <c r="G885" s="4"/>
      <c r="H885" s="4"/>
      <c r="I885" s="4" t="s">
        <v>140</v>
      </c>
      <c r="J885" s="4" t="s">
        <v>184</v>
      </c>
      <c r="K885" s="4" t="s">
        <v>142</v>
      </c>
      <c r="L885" s="4" t="s">
        <v>4181</v>
      </c>
      <c r="M885" s="4" t="s">
        <v>1662</v>
      </c>
      <c r="N885" s="4" t="s">
        <v>155</v>
      </c>
      <c r="O885" s="4" t="s">
        <v>124</v>
      </c>
      <c r="P885" s="4"/>
    </row>
    <row r="886" spans="1:16" ht="15">
      <c r="A886" s="4" t="s">
        <v>1663</v>
      </c>
      <c r="B886" s="30">
        <v>39916</v>
      </c>
      <c r="C886" s="4" t="s">
        <v>496</v>
      </c>
      <c r="D886" s="4" t="s">
        <v>4179</v>
      </c>
      <c r="E886" s="4" t="s">
        <v>170</v>
      </c>
      <c r="F886" s="4" t="s">
        <v>155</v>
      </c>
      <c r="G886" s="4"/>
      <c r="H886" s="4"/>
      <c r="I886" s="4" t="s">
        <v>139</v>
      </c>
      <c r="J886" s="4" t="s">
        <v>433</v>
      </c>
      <c r="K886" s="4" t="s">
        <v>147</v>
      </c>
      <c r="L886" s="4" t="s">
        <v>4176</v>
      </c>
      <c r="M886" s="4" t="s">
        <v>174</v>
      </c>
      <c r="N886" s="4" t="s">
        <v>157</v>
      </c>
      <c r="O886" s="4" t="s">
        <v>127</v>
      </c>
      <c r="P886" s="4" t="s">
        <v>153</v>
      </c>
    </row>
    <row r="887" spans="1:16" ht="15">
      <c r="A887" s="4" t="s">
        <v>1664</v>
      </c>
      <c r="B887" s="30">
        <v>39943</v>
      </c>
      <c r="C887" s="4" t="s">
        <v>525</v>
      </c>
      <c r="D887" s="4" t="s">
        <v>193</v>
      </c>
      <c r="E887" s="4" t="s">
        <v>170</v>
      </c>
      <c r="F887" s="4" t="s">
        <v>155</v>
      </c>
      <c r="G887" s="4"/>
      <c r="H887" s="4"/>
      <c r="I887" s="4" t="s">
        <v>140</v>
      </c>
      <c r="J887" s="4" t="s">
        <v>433</v>
      </c>
      <c r="K887" s="4" t="s">
        <v>149</v>
      </c>
      <c r="L887" s="4" t="s">
        <v>4181</v>
      </c>
      <c r="M887" s="4" t="s">
        <v>173</v>
      </c>
      <c r="N887" s="4" t="s">
        <v>155</v>
      </c>
      <c r="O887" s="4" t="s">
        <v>125</v>
      </c>
      <c r="P887" s="4"/>
    </row>
    <row r="888" spans="1:16" ht="15">
      <c r="A888" s="4" t="s">
        <v>1665</v>
      </c>
      <c r="B888" s="30">
        <v>39910</v>
      </c>
      <c r="C888" s="4" t="s">
        <v>9</v>
      </c>
      <c r="D888" s="4" t="s">
        <v>4178</v>
      </c>
      <c r="E888" s="4" t="s">
        <v>170</v>
      </c>
      <c r="F888" s="4" t="s">
        <v>155</v>
      </c>
      <c r="G888" s="4"/>
      <c r="H888" s="4"/>
      <c r="I888" s="4" t="s">
        <v>139</v>
      </c>
      <c r="J888" s="4" t="s">
        <v>528</v>
      </c>
      <c r="K888" s="4" t="s">
        <v>147</v>
      </c>
      <c r="L888" s="4" t="s">
        <v>4176</v>
      </c>
      <c r="M888" s="4" t="s">
        <v>498</v>
      </c>
      <c r="N888" s="4" t="s">
        <v>157</v>
      </c>
      <c r="O888" s="4" t="s">
        <v>127</v>
      </c>
      <c r="P888" s="4" t="s">
        <v>153</v>
      </c>
    </row>
    <row r="889" spans="1:16" ht="15">
      <c r="A889" s="4" t="s">
        <v>1666</v>
      </c>
      <c r="B889" s="30">
        <v>39913</v>
      </c>
      <c r="C889" s="4"/>
      <c r="D889" s="4" t="s">
        <v>4183</v>
      </c>
      <c r="E889" s="4" t="s">
        <v>170</v>
      </c>
      <c r="F889" s="4" t="s">
        <v>155</v>
      </c>
      <c r="G889" s="4"/>
      <c r="H889" s="4"/>
      <c r="I889" s="4" t="s">
        <v>140</v>
      </c>
      <c r="J889" s="4" t="s">
        <v>528</v>
      </c>
      <c r="K889" s="4" t="s">
        <v>147</v>
      </c>
      <c r="L889" s="4" t="s">
        <v>165</v>
      </c>
      <c r="M889" s="4" t="s">
        <v>1667</v>
      </c>
      <c r="N889" s="4" t="s">
        <v>158</v>
      </c>
      <c r="O889" s="4" t="s">
        <v>122</v>
      </c>
      <c r="P889" s="4"/>
    </row>
    <row r="890" spans="1:16" ht="15">
      <c r="A890" s="4" t="s">
        <v>1668</v>
      </c>
      <c r="B890" s="30">
        <v>39994</v>
      </c>
      <c r="C890" s="4" t="s">
        <v>9</v>
      </c>
      <c r="D890" s="4" t="s">
        <v>193</v>
      </c>
      <c r="E890" s="4" t="s">
        <v>170</v>
      </c>
      <c r="F890" s="4" t="s">
        <v>155</v>
      </c>
      <c r="G890" s="4"/>
      <c r="H890" s="4">
        <v>5</v>
      </c>
      <c r="I890" s="4" t="s">
        <v>140</v>
      </c>
      <c r="J890" s="4" t="s">
        <v>188</v>
      </c>
      <c r="K890" s="4" t="s">
        <v>150</v>
      </c>
      <c r="L890" s="4" t="s">
        <v>4181</v>
      </c>
      <c r="M890" s="4" t="s">
        <v>415</v>
      </c>
      <c r="N890" s="4" t="s">
        <v>155</v>
      </c>
      <c r="O890" s="4" t="s">
        <v>125</v>
      </c>
      <c r="P890" s="4"/>
    </row>
    <row r="891" spans="1:16" ht="15">
      <c r="A891" s="4" t="s">
        <v>1669</v>
      </c>
      <c r="B891" s="30">
        <v>39979</v>
      </c>
      <c r="C891" s="4" t="s">
        <v>9</v>
      </c>
      <c r="D891" s="4" t="s">
        <v>195</v>
      </c>
      <c r="E891" s="4" t="s">
        <v>170</v>
      </c>
      <c r="F891" s="4" t="s">
        <v>155</v>
      </c>
      <c r="G891" s="4"/>
      <c r="H891" s="4"/>
      <c r="I891" s="4" t="s">
        <v>139</v>
      </c>
      <c r="J891" s="4" t="s">
        <v>810</v>
      </c>
      <c r="K891" s="4" t="s">
        <v>142</v>
      </c>
      <c r="L891" s="4" t="s">
        <v>165</v>
      </c>
      <c r="M891" s="4" t="s">
        <v>589</v>
      </c>
      <c r="N891" s="4" t="s">
        <v>158</v>
      </c>
      <c r="O891" s="4" t="s">
        <v>122</v>
      </c>
      <c r="P891" s="4"/>
    </row>
    <row r="892" spans="1:16" ht="15">
      <c r="A892" s="4" t="s">
        <v>1670</v>
      </c>
      <c r="B892" s="30">
        <v>39928</v>
      </c>
      <c r="C892" s="4"/>
      <c r="D892" s="4" t="s">
        <v>4178</v>
      </c>
      <c r="E892" s="4" t="s">
        <v>170</v>
      </c>
      <c r="F892" s="4" t="s">
        <v>155</v>
      </c>
      <c r="G892" s="4"/>
      <c r="H892" s="4"/>
      <c r="I892" s="4" t="s">
        <v>139</v>
      </c>
      <c r="J892" s="4" t="s">
        <v>184</v>
      </c>
      <c r="K892" s="4" t="s">
        <v>147</v>
      </c>
      <c r="L892" s="4" t="s">
        <v>4181</v>
      </c>
      <c r="M892" s="4" t="s">
        <v>415</v>
      </c>
      <c r="N892" s="4" t="s">
        <v>155</v>
      </c>
      <c r="O892" s="4" t="s">
        <v>125</v>
      </c>
      <c r="P892" s="4"/>
    </row>
    <row r="893" spans="1:16" ht="15">
      <c r="A893" s="4" t="s">
        <v>1671</v>
      </c>
      <c r="B893" s="30">
        <v>40081</v>
      </c>
      <c r="C893" s="4"/>
      <c r="D893" s="4" t="s">
        <v>193</v>
      </c>
      <c r="E893" s="4" t="s">
        <v>170</v>
      </c>
      <c r="F893" s="4" t="s">
        <v>155</v>
      </c>
      <c r="G893" s="4">
        <v>5</v>
      </c>
      <c r="H893" s="4">
        <v>5</v>
      </c>
      <c r="I893" s="4" t="s">
        <v>140</v>
      </c>
      <c r="J893" s="4" t="s">
        <v>187</v>
      </c>
      <c r="K893" s="4" t="s">
        <v>144</v>
      </c>
      <c r="L893" s="4" t="s">
        <v>4181</v>
      </c>
      <c r="M893" s="4" t="s">
        <v>173</v>
      </c>
      <c r="N893" s="4" t="s">
        <v>155</v>
      </c>
      <c r="O893" s="4" t="s">
        <v>128</v>
      </c>
      <c r="P893" s="4"/>
    </row>
    <row r="894" spans="1:16" ht="15">
      <c r="A894" s="4" t="s">
        <v>1672</v>
      </c>
      <c r="B894" s="30">
        <v>40035</v>
      </c>
      <c r="C894" s="4"/>
      <c r="D894" s="4" t="s">
        <v>193</v>
      </c>
      <c r="E894" s="4" t="s">
        <v>170</v>
      </c>
      <c r="F894" s="4" t="s">
        <v>155</v>
      </c>
      <c r="G894" s="4">
        <v>5</v>
      </c>
      <c r="H894" s="4">
        <v>5</v>
      </c>
      <c r="I894" s="4" t="s">
        <v>140</v>
      </c>
      <c r="J894" s="4" t="s">
        <v>178</v>
      </c>
      <c r="K894" s="4" t="s">
        <v>142</v>
      </c>
      <c r="L894" s="4" t="s">
        <v>162</v>
      </c>
      <c r="M894" s="4" t="s">
        <v>459</v>
      </c>
      <c r="N894" s="4" t="s">
        <v>155</v>
      </c>
      <c r="O894" s="4" t="s">
        <v>129</v>
      </c>
      <c r="P894" s="4"/>
    </row>
    <row r="895" spans="1:16" ht="15">
      <c r="A895" s="4" t="s">
        <v>1673</v>
      </c>
      <c r="B895" s="30">
        <v>39993</v>
      </c>
      <c r="C895" s="4"/>
      <c r="D895" s="4" t="s">
        <v>193</v>
      </c>
      <c r="E895" s="4" t="s">
        <v>170</v>
      </c>
      <c r="F895" s="4" t="s">
        <v>155</v>
      </c>
      <c r="G895" s="4"/>
      <c r="H895" s="4">
        <v>5</v>
      </c>
      <c r="I895" s="4" t="s">
        <v>140</v>
      </c>
      <c r="J895" s="4" t="s">
        <v>179</v>
      </c>
      <c r="K895" s="4" t="s">
        <v>148</v>
      </c>
      <c r="L895" s="4" t="s">
        <v>4176</v>
      </c>
      <c r="M895" s="4" t="s">
        <v>174</v>
      </c>
      <c r="N895" s="4" t="s">
        <v>156</v>
      </c>
      <c r="O895" s="4" t="s">
        <v>120</v>
      </c>
      <c r="P895" s="4" t="s">
        <v>715</v>
      </c>
    </row>
    <row r="896" spans="1:16" ht="15">
      <c r="A896" s="4" t="s">
        <v>1674</v>
      </c>
      <c r="B896" s="30">
        <v>40040</v>
      </c>
      <c r="C896" s="4" t="s">
        <v>9</v>
      </c>
      <c r="D896" s="4" t="s">
        <v>197</v>
      </c>
      <c r="E896" s="4" t="s">
        <v>170</v>
      </c>
      <c r="F896" s="4" t="s">
        <v>155</v>
      </c>
      <c r="G896" s="4">
        <v>5</v>
      </c>
      <c r="H896" s="4">
        <v>3</v>
      </c>
      <c r="I896" s="4" t="s">
        <v>139</v>
      </c>
      <c r="J896" s="4" t="s">
        <v>179</v>
      </c>
      <c r="K896" s="4" t="s">
        <v>145</v>
      </c>
      <c r="L896" s="4" t="s">
        <v>165</v>
      </c>
      <c r="M896" s="4" t="s">
        <v>1675</v>
      </c>
      <c r="N896" s="4" t="s">
        <v>158</v>
      </c>
      <c r="O896" s="4" t="s">
        <v>122</v>
      </c>
      <c r="P896" s="4"/>
    </row>
    <row r="897" spans="1:16" ht="15">
      <c r="A897" s="4" t="s">
        <v>1676</v>
      </c>
      <c r="B897" s="30">
        <v>39964</v>
      </c>
      <c r="C897" s="4"/>
      <c r="D897" s="4" t="s">
        <v>193</v>
      </c>
      <c r="E897" s="4" t="s">
        <v>170</v>
      </c>
      <c r="F897" s="4" t="s">
        <v>155</v>
      </c>
      <c r="G897" s="4"/>
      <c r="H897" s="4"/>
      <c r="I897" s="4" t="s">
        <v>140</v>
      </c>
      <c r="J897" s="4" t="s">
        <v>183</v>
      </c>
      <c r="K897" s="4" t="s">
        <v>146</v>
      </c>
      <c r="L897" s="4" t="s">
        <v>4181</v>
      </c>
      <c r="M897" s="4" t="s">
        <v>173</v>
      </c>
      <c r="N897" s="4" t="s">
        <v>155</v>
      </c>
      <c r="O897" s="4" t="s">
        <v>670</v>
      </c>
      <c r="P897" s="4"/>
    </row>
    <row r="898" spans="1:16" ht="15">
      <c r="A898" s="4" t="s">
        <v>1677</v>
      </c>
      <c r="B898" s="30">
        <v>39962</v>
      </c>
      <c r="C898" s="4"/>
      <c r="D898" s="4" t="s">
        <v>194</v>
      </c>
      <c r="E898" s="4" t="s">
        <v>170</v>
      </c>
      <c r="F898" s="4" t="s">
        <v>155</v>
      </c>
      <c r="G898" s="4"/>
      <c r="H898" s="4"/>
      <c r="I898" s="4" t="s">
        <v>139</v>
      </c>
      <c r="J898" s="4" t="s">
        <v>528</v>
      </c>
      <c r="K898" s="4" t="s">
        <v>143</v>
      </c>
      <c r="L898" s="4" t="s">
        <v>4181</v>
      </c>
      <c r="M898" s="4"/>
      <c r="N898" s="4" t="s">
        <v>155</v>
      </c>
      <c r="O898" s="4" t="s">
        <v>124</v>
      </c>
      <c r="P898" s="4"/>
    </row>
    <row r="899" spans="1:16" ht="15">
      <c r="A899" s="4" t="s">
        <v>1678</v>
      </c>
      <c r="B899" s="30">
        <v>39972</v>
      </c>
      <c r="C899" s="4"/>
      <c r="D899" s="4" t="s">
        <v>193</v>
      </c>
      <c r="E899" s="4" t="s">
        <v>170</v>
      </c>
      <c r="F899" s="4" t="s">
        <v>155</v>
      </c>
      <c r="G899" s="4"/>
      <c r="H899" s="4"/>
      <c r="I899" s="4" t="s">
        <v>140</v>
      </c>
      <c r="J899" s="4" t="s">
        <v>184</v>
      </c>
      <c r="K899" s="4" t="s">
        <v>145</v>
      </c>
      <c r="L899" s="4" t="s">
        <v>4181</v>
      </c>
      <c r="M899" s="4" t="s">
        <v>1679</v>
      </c>
      <c r="N899" s="4" t="s">
        <v>161</v>
      </c>
      <c r="O899" s="4" t="s">
        <v>404</v>
      </c>
      <c r="P899" s="4"/>
    </row>
    <row r="900" spans="1:16" ht="15">
      <c r="A900" s="4" t="s">
        <v>1680</v>
      </c>
      <c r="B900" s="30">
        <v>40009</v>
      </c>
      <c r="C900" s="4" t="s">
        <v>380</v>
      </c>
      <c r="D900" s="4" t="s">
        <v>194</v>
      </c>
      <c r="E900" s="4" t="s">
        <v>170</v>
      </c>
      <c r="F900" s="4" t="s">
        <v>155</v>
      </c>
      <c r="G900" s="4">
        <v>2</v>
      </c>
      <c r="H900" s="4">
        <v>3</v>
      </c>
      <c r="I900" s="4" t="s">
        <v>139</v>
      </c>
      <c r="J900" s="4" t="s">
        <v>433</v>
      </c>
      <c r="K900" s="4" t="s">
        <v>146</v>
      </c>
      <c r="L900" s="4" t="s">
        <v>162</v>
      </c>
      <c r="M900" s="4" t="s">
        <v>175</v>
      </c>
      <c r="N900" s="4" t="s">
        <v>155</v>
      </c>
      <c r="O900" s="4" t="s">
        <v>130</v>
      </c>
      <c r="P900" s="4"/>
    </row>
    <row r="901" spans="1:16" ht="15">
      <c r="A901" s="4" t="s">
        <v>1681</v>
      </c>
      <c r="B901" s="30">
        <v>40004</v>
      </c>
      <c r="C901" s="4"/>
      <c r="D901" s="4" t="s">
        <v>193</v>
      </c>
      <c r="E901" s="4" t="s">
        <v>170</v>
      </c>
      <c r="F901" s="4" t="s">
        <v>155</v>
      </c>
      <c r="G901" s="4">
        <v>1</v>
      </c>
      <c r="H901" s="4">
        <v>5</v>
      </c>
      <c r="I901" s="4" t="s">
        <v>140</v>
      </c>
      <c r="J901" s="4" t="s">
        <v>181</v>
      </c>
      <c r="K901" s="4" t="s">
        <v>144</v>
      </c>
      <c r="L901" s="4" t="s">
        <v>162</v>
      </c>
      <c r="M901" s="4"/>
      <c r="N901" s="4" t="s">
        <v>161</v>
      </c>
      <c r="O901" s="4" t="s">
        <v>571</v>
      </c>
      <c r="P901" s="4"/>
    </row>
    <row r="902" spans="1:16" ht="15">
      <c r="A902" s="4" t="s">
        <v>1682</v>
      </c>
      <c r="B902" s="30">
        <v>39972</v>
      </c>
      <c r="C902" s="4" t="s">
        <v>380</v>
      </c>
      <c r="D902" s="4" t="s">
        <v>194</v>
      </c>
      <c r="E902" s="4" t="s">
        <v>170</v>
      </c>
      <c r="F902" s="4" t="s">
        <v>155</v>
      </c>
      <c r="G902" s="4"/>
      <c r="H902" s="4"/>
      <c r="I902" s="4" t="s">
        <v>139</v>
      </c>
      <c r="J902" s="4" t="s">
        <v>181</v>
      </c>
      <c r="K902" s="4" t="s">
        <v>143</v>
      </c>
      <c r="L902" s="4" t="s">
        <v>4181</v>
      </c>
      <c r="M902" s="4" t="s">
        <v>1683</v>
      </c>
      <c r="N902" s="4" t="s">
        <v>155</v>
      </c>
      <c r="O902" s="4" t="s">
        <v>387</v>
      </c>
      <c r="P902" s="4"/>
    </row>
    <row r="903" spans="1:16" ht="15">
      <c r="A903" s="4" t="s">
        <v>1684</v>
      </c>
      <c r="B903" s="30">
        <v>40039</v>
      </c>
      <c r="C903" s="4"/>
      <c r="D903" s="4" t="s">
        <v>193</v>
      </c>
      <c r="E903" s="4" t="s">
        <v>170</v>
      </c>
      <c r="F903" s="4" t="s">
        <v>155</v>
      </c>
      <c r="G903" s="4">
        <v>5</v>
      </c>
      <c r="H903" s="4">
        <v>5</v>
      </c>
      <c r="I903" s="4" t="s">
        <v>140</v>
      </c>
      <c r="J903" s="4" t="s">
        <v>181</v>
      </c>
      <c r="K903" s="4" t="s">
        <v>146</v>
      </c>
      <c r="L903" s="4" t="s">
        <v>165</v>
      </c>
      <c r="M903" s="4" t="s">
        <v>1685</v>
      </c>
      <c r="N903" s="4" t="s">
        <v>158</v>
      </c>
      <c r="O903" s="4" t="s">
        <v>122</v>
      </c>
      <c r="P903" s="4"/>
    </row>
    <row r="904" spans="1:16" ht="15">
      <c r="A904" s="4" t="s">
        <v>1686</v>
      </c>
      <c r="B904" s="30">
        <v>40061</v>
      </c>
      <c r="C904" s="4" t="s">
        <v>496</v>
      </c>
      <c r="D904" s="4" t="s">
        <v>544</v>
      </c>
      <c r="E904" s="4" t="s">
        <v>170</v>
      </c>
      <c r="F904" s="4" t="s">
        <v>155</v>
      </c>
      <c r="G904" s="4">
        <v>5</v>
      </c>
      <c r="H904" s="4">
        <v>3</v>
      </c>
      <c r="I904" s="4" t="s">
        <v>139</v>
      </c>
      <c r="J904" s="4" t="s">
        <v>528</v>
      </c>
      <c r="K904" s="4" t="s">
        <v>148</v>
      </c>
      <c r="L904" s="4" t="s">
        <v>165</v>
      </c>
      <c r="M904" s="4" t="s">
        <v>589</v>
      </c>
      <c r="N904" s="4" t="s">
        <v>158</v>
      </c>
      <c r="O904" s="4" t="s">
        <v>122</v>
      </c>
      <c r="P904" s="4"/>
    </row>
    <row r="905" spans="1:16" ht="15">
      <c r="A905" s="4" t="s">
        <v>1687</v>
      </c>
      <c r="B905" s="30">
        <v>40079</v>
      </c>
      <c r="C905" s="4"/>
      <c r="D905" s="4" t="s">
        <v>193</v>
      </c>
      <c r="E905" s="4" t="s">
        <v>170</v>
      </c>
      <c r="F905" s="4" t="s">
        <v>155</v>
      </c>
      <c r="G905" s="4">
        <v>5</v>
      </c>
      <c r="H905" s="4">
        <v>3</v>
      </c>
      <c r="I905" s="4" t="s">
        <v>140</v>
      </c>
      <c r="J905" s="4" t="s">
        <v>384</v>
      </c>
      <c r="K905" s="4" t="s">
        <v>150</v>
      </c>
      <c r="L905" s="4" t="s">
        <v>4176</v>
      </c>
      <c r="M905" s="4" t="s">
        <v>174</v>
      </c>
      <c r="N905" s="4" t="s">
        <v>159</v>
      </c>
      <c r="O905" s="4" t="s">
        <v>123</v>
      </c>
      <c r="P905" s="4" t="s">
        <v>123</v>
      </c>
    </row>
    <row r="906" spans="1:16" ht="15">
      <c r="A906" s="4" t="s">
        <v>1688</v>
      </c>
      <c r="B906" s="30">
        <v>39930</v>
      </c>
      <c r="C906" s="4" t="s">
        <v>380</v>
      </c>
      <c r="D906" s="4" t="s">
        <v>4182</v>
      </c>
      <c r="E906" s="4" t="s">
        <v>170</v>
      </c>
      <c r="F906" s="4" t="s">
        <v>155</v>
      </c>
      <c r="G906" s="4"/>
      <c r="H906" s="4"/>
      <c r="I906" s="4" t="s">
        <v>139</v>
      </c>
      <c r="J906" s="4" t="s">
        <v>180</v>
      </c>
      <c r="K906" s="4" t="s">
        <v>142</v>
      </c>
      <c r="L906" s="4" t="s">
        <v>4176</v>
      </c>
      <c r="M906" s="4" t="s">
        <v>174</v>
      </c>
      <c r="N906" s="4" t="s">
        <v>156</v>
      </c>
      <c r="O906" s="4" t="s">
        <v>120</v>
      </c>
      <c r="P906" s="4" t="s">
        <v>715</v>
      </c>
    </row>
    <row r="907" spans="1:16" ht="15">
      <c r="A907" s="4" t="s">
        <v>1689</v>
      </c>
      <c r="B907" s="30">
        <v>39936</v>
      </c>
      <c r="C907" s="4"/>
      <c r="D907" s="4" t="s">
        <v>4183</v>
      </c>
      <c r="E907" s="4" t="s">
        <v>170</v>
      </c>
      <c r="F907" s="4" t="s">
        <v>155</v>
      </c>
      <c r="G907" s="4"/>
      <c r="H907" s="4"/>
      <c r="I907" s="4" t="s">
        <v>140</v>
      </c>
      <c r="J907" s="4" t="s">
        <v>186</v>
      </c>
      <c r="K907" s="4" t="s">
        <v>142</v>
      </c>
      <c r="L907" s="4" t="s">
        <v>4181</v>
      </c>
      <c r="M907" s="4" t="s">
        <v>173</v>
      </c>
      <c r="N907" s="4" t="s">
        <v>161</v>
      </c>
      <c r="O907" s="4" t="s">
        <v>1364</v>
      </c>
      <c r="P907" s="4"/>
    </row>
    <row r="908" spans="1:16" ht="15">
      <c r="A908" s="4" t="s">
        <v>1690</v>
      </c>
      <c r="B908" s="30">
        <v>39916</v>
      </c>
      <c r="C908" s="4"/>
      <c r="D908" s="4" t="s">
        <v>4184</v>
      </c>
      <c r="E908" s="4" t="s">
        <v>170</v>
      </c>
      <c r="F908" s="4" t="s">
        <v>155</v>
      </c>
      <c r="G908" s="4"/>
      <c r="H908" s="4"/>
      <c r="I908" s="4" t="s">
        <v>140</v>
      </c>
      <c r="J908" s="4" t="s">
        <v>810</v>
      </c>
      <c r="K908" s="4" t="s">
        <v>145</v>
      </c>
      <c r="L908" s="4" t="s">
        <v>4181</v>
      </c>
      <c r="M908" s="4" t="s">
        <v>173</v>
      </c>
      <c r="N908" s="4" t="s">
        <v>155</v>
      </c>
      <c r="O908" s="4" t="s">
        <v>454</v>
      </c>
      <c r="P908" s="4"/>
    </row>
    <row r="909" spans="1:16" ht="15">
      <c r="A909" s="4" t="s">
        <v>1691</v>
      </c>
      <c r="B909" s="30">
        <v>40005</v>
      </c>
      <c r="C909" s="4"/>
      <c r="D909" s="4" t="s">
        <v>193</v>
      </c>
      <c r="E909" s="4" t="s">
        <v>170</v>
      </c>
      <c r="F909" s="4" t="s">
        <v>155</v>
      </c>
      <c r="G909" s="4">
        <v>5</v>
      </c>
      <c r="H909" s="4">
        <v>5</v>
      </c>
      <c r="I909" s="4" t="s">
        <v>140</v>
      </c>
      <c r="J909" s="4" t="s">
        <v>182</v>
      </c>
      <c r="K909" s="4" t="s">
        <v>145</v>
      </c>
      <c r="L909" s="4" t="s">
        <v>4181</v>
      </c>
      <c r="M909" s="4" t="s">
        <v>173</v>
      </c>
      <c r="N909" s="4" t="s">
        <v>155</v>
      </c>
      <c r="O909" s="4" t="s">
        <v>124</v>
      </c>
      <c r="P909" s="4"/>
    </row>
    <row r="910" spans="1:16" ht="15">
      <c r="A910" s="4" t="s">
        <v>1692</v>
      </c>
      <c r="B910" s="30">
        <v>39913</v>
      </c>
      <c r="C910" s="4"/>
      <c r="D910" s="4" t="s">
        <v>4178</v>
      </c>
      <c r="E910" s="4" t="s">
        <v>170</v>
      </c>
      <c r="F910" s="4" t="s">
        <v>155</v>
      </c>
      <c r="G910" s="4"/>
      <c r="H910" s="4"/>
      <c r="I910" s="4" t="s">
        <v>139</v>
      </c>
      <c r="J910" s="4" t="s">
        <v>182</v>
      </c>
      <c r="K910" s="4" t="s">
        <v>143</v>
      </c>
      <c r="L910" s="4" t="s">
        <v>165</v>
      </c>
      <c r="M910" s="4" t="s">
        <v>1693</v>
      </c>
      <c r="N910" s="4" t="s">
        <v>158</v>
      </c>
      <c r="O910" s="4" t="s">
        <v>122</v>
      </c>
      <c r="P910" s="4"/>
    </row>
    <row r="911" spans="1:16" ht="15">
      <c r="A911" s="4" t="s">
        <v>1694</v>
      </c>
      <c r="B911" s="30">
        <v>40048</v>
      </c>
      <c r="C911" s="4"/>
      <c r="D911" s="4" t="s">
        <v>197</v>
      </c>
      <c r="E911" s="4" t="s">
        <v>170</v>
      </c>
      <c r="F911" s="4" t="s">
        <v>155</v>
      </c>
      <c r="G911" s="4">
        <v>4</v>
      </c>
      <c r="H911" s="4">
        <v>4</v>
      </c>
      <c r="I911" s="4" t="s">
        <v>139</v>
      </c>
      <c r="J911" s="4" t="s">
        <v>179</v>
      </c>
      <c r="K911" s="4" t="s">
        <v>144</v>
      </c>
      <c r="L911" s="4" t="s">
        <v>165</v>
      </c>
      <c r="M911" s="4" t="s">
        <v>1695</v>
      </c>
      <c r="N911" s="4" t="s">
        <v>158</v>
      </c>
      <c r="O911" s="4" t="s">
        <v>122</v>
      </c>
      <c r="P911" s="4"/>
    </row>
    <row r="912" spans="1:16" ht="15">
      <c r="A912" s="4" t="s">
        <v>1696</v>
      </c>
      <c r="B912" s="30">
        <v>39914</v>
      </c>
      <c r="C912" s="4"/>
      <c r="D912" s="4" t="s">
        <v>4178</v>
      </c>
      <c r="E912" s="4" t="s">
        <v>170</v>
      </c>
      <c r="F912" s="4" t="s">
        <v>155</v>
      </c>
      <c r="G912" s="4"/>
      <c r="H912" s="4"/>
      <c r="I912" s="4" t="s">
        <v>139</v>
      </c>
      <c r="J912" s="4" t="s">
        <v>182</v>
      </c>
      <c r="K912" s="4" t="s">
        <v>145</v>
      </c>
      <c r="L912" s="4" t="s">
        <v>4181</v>
      </c>
      <c r="M912" s="4" t="s">
        <v>1697</v>
      </c>
      <c r="N912" s="4" t="s">
        <v>155</v>
      </c>
      <c r="O912" s="4" t="s">
        <v>1698</v>
      </c>
      <c r="P912" s="4"/>
    </row>
    <row r="913" spans="1:16" ht="15">
      <c r="A913" s="4" t="s">
        <v>1699</v>
      </c>
      <c r="B913" s="30">
        <v>39938</v>
      </c>
      <c r="C913" s="4"/>
      <c r="D913" s="4" t="s">
        <v>4178</v>
      </c>
      <c r="E913" s="4" t="s">
        <v>170</v>
      </c>
      <c r="F913" s="4" t="s">
        <v>155</v>
      </c>
      <c r="G913" s="4"/>
      <c r="H913" s="4"/>
      <c r="I913" s="4" t="s">
        <v>139</v>
      </c>
      <c r="J913" s="4" t="s">
        <v>178</v>
      </c>
      <c r="K913" s="4" t="s">
        <v>150</v>
      </c>
      <c r="L913" s="4" t="s">
        <v>4176</v>
      </c>
      <c r="M913" s="4" t="s">
        <v>174</v>
      </c>
      <c r="N913" s="4" t="s">
        <v>157</v>
      </c>
      <c r="O913" s="4" t="s">
        <v>434</v>
      </c>
      <c r="P913" s="4" t="s">
        <v>435</v>
      </c>
    </row>
    <row r="914" spans="1:16" ht="15">
      <c r="A914" s="4" t="s">
        <v>1700</v>
      </c>
      <c r="B914" s="30">
        <v>40002</v>
      </c>
      <c r="C914" s="4"/>
      <c r="D914" s="4" t="s">
        <v>197</v>
      </c>
      <c r="E914" s="4" t="s">
        <v>170</v>
      </c>
      <c r="F914" s="4" t="s">
        <v>155</v>
      </c>
      <c r="G914" s="4"/>
      <c r="H914" s="4">
        <v>5</v>
      </c>
      <c r="I914" s="4" t="s">
        <v>139</v>
      </c>
      <c r="J914" s="4" t="s">
        <v>178</v>
      </c>
      <c r="K914" s="4" t="s">
        <v>144</v>
      </c>
      <c r="L914" s="4" t="s">
        <v>4176</v>
      </c>
      <c r="M914" s="4" t="s">
        <v>459</v>
      </c>
      <c r="N914" s="4" t="s">
        <v>159</v>
      </c>
      <c r="O914" s="4" t="s">
        <v>126</v>
      </c>
      <c r="P914" s="4" t="s">
        <v>601</v>
      </c>
    </row>
    <row r="915" spans="1:16" ht="15">
      <c r="A915" s="4" t="s">
        <v>1701</v>
      </c>
      <c r="B915" s="30">
        <v>40025</v>
      </c>
      <c r="C915" s="4" t="s">
        <v>496</v>
      </c>
      <c r="D915" s="4" t="s">
        <v>197</v>
      </c>
      <c r="E915" s="4" t="s">
        <v>170</v>
      </c>
      <c r="F915" s="4" t="s">
        <v>155</v>
      </c>
      <c r="G915" s="4">
        <v>5</v>
      </c>
      <c r="H915" s="4">
        <v>5</v>
      </c>
      <c r="I915" s="4" t="s">
        <v>139</v>
      </c>
      <c r="J915" s="4" t="s">
        <v>433</v>
      </c>
      <c r="K915" s="4" t="s">
        <v>143</v>
      </c>
      <c r="L915" s="4" t="s">
        <v>4176</v>
      </c>
      <c r="M915" s="4" t="s">
        <v>174</v>
      </c>
      <c r="N915" s="4" t="s">
        <v>159</v>
      </c>
      <c r="O915" s="4" t="s">
        <v>123</v>
      </c>
      <c r="P915" s="4" t="s">
        <v>123</v>
      </c>
    </row>
    <row r="916" spans="1:16" ht="15">
      <c r="A916" s="4" t="s">
        <v>1702</v>
      </c>
      <c r="B916" s="30">
        <v>39933</v>
      </c>
      <c r="C916" s="4" t="s">
        <v>496</v>
      </c>
      <c r="D916" s="4" t="s">
        <v>4182</v>
      </c>
      <c r="E916" s="4" t="s">
        <v>170</v>
      </c>
      <c r="F916" s="4" t="s">
        <v>155</v>
      </c>
      <c r="G916" s="4"/>
      <c r="H916" s="4"/>
      <c r="I916" s="4" t="s">
        <v>139</v>
      </c>
      <c r="J916" s="4" t="s">
        <v>183</v>
      </c>
      <c r="K916" s="4" t="s">
        <v>149</v>
      </c>
      <c r="L916" s="4" t="s">
        <v>4181</v>
      </c>
      <c r="M916" s="4" t="s">
        <v>1703</v>
      </c>
      <c r="N916" s="4" t="s">
        <v>155</v>
      </c>
      <c r="O916" s="4" t="s">
        <v>1262</v>
      </c>
      <c r="P916" s="4"/>
    </row>
    <row r="917" spans="1:16" ht="15">
      <c r="A917" s="4" t="s">
        <v>1704</v>
      </c>
      <c r="B917" s="30">
        <v>39953</v>
      </c>
      <c r="C917" s="4"/>
      <c r="D917" s="4" t="s">
        <v>194</v>
      </c>
      <c r="E917" s="4" t="s">
        <v>170</v>
      </c>
      <c r="F917" s="4" t="s">
        <v>155</v>
      </c>
      <c r="G917" s="4"/>
      <c r="H917" s="4"/>
      <c r="I917" s="4" t="s">
        <v>139</v>
      </c>
      <c r="J917" s="4" t="s">
        <v>183</v>
      </c>
      <c r="K917" s="4" t="s">
        <v>143</v>
      </c>
      <c r="L917" s="4" t="s">
        <v>4181</v>
      </c>
      <c r="M917" s="4" t="s">
        <v>415</v>
      </c>
      <c r="N917" s="4" t="s">
        <v>155</v>
      </c>
      <c r="O917" s="4" t="s">
        <v>125</v>
      </c>
      <c r="P917" s="4"/>
    </row>
    <row r="918" spans="1:16" ht="15">
      <c r="A918" s="4" t="s">
        <v>1705</v>
      </c>
      <c r="B918" s="30">
        <v>39973</v>
      </c>
      <c r="C918" s="4"/>
      <c r="D918" s="4" t="s">
        <v>193</v>
      </c>
      <c r="E918" s="4" t="s">
        <v>170</v>
      </c>
      <c r="F918" s="4" t="s">
        <v>155</v>
      </c>
      <c r="G918" s="4"/>
      <c r="H918" s="4"/>
      <c r="I918" s="4" t="s">
        <v>140</v>
      </c>
      <c r="J918" s="4" t="s">
        <v>189</v>
      </c>
      <c r="K918" s="4" t="s">
        <v>142</v>
      </c>
      <c r="L918" s="4" t="s">
        <v>4176</v>
      </c>
      <c r="M918" s="4" t="s">
        <v>174</v>
      </c>
      <c r="N918" s="4" t="s">
        <v>156</v>
      </c>
      <c r="O918" s="4" t="s">
        <v>120</v>
      </c>
      <c r="P918" s="4" t="s">
        <v>715</v>
      </c>
    </row>
    <row r="919" spans="1:16" ht="15">
      <c r="A919" s="4" t="s">
        <v>1706</v>
      </c>
      <c r="B919" s="30">
        <v>39963</v>
      </c>
      <c r="C919" s="4"/>
      <c r="D919" s="4" t="s">
        <v>193</v>
      </c>
      <c r="E919" s="4" t="s">
        <v>170</v>
      </c>
      <c r="F919" s="4" t="s">
        <v>155</v>
      </c>
      <c r="G919" s="4"/>
      <c r="H919" s="4"/>
      <c r="I919" s="4" t="s">
        <v>140</v>
      </c>
      <c r="J919" s="4" t="s">
        <v>509</v>
      </c>
      <c r="K919" s="4" t="s">
        <v>148</v>
      </c>
      <c r="L919" s="4" t="s">
        <v>162</v>
      </c>
      <c r="M919" s="4" t="s">
        <v>1275</v>
      </c>
      <c r="N919" s="4" t="s">
        <v>155</v>
      </c>
      <c r="O919" s="4" t="s">
        <v>130</v>
      </c>
      <c r="P919" s="4"/>
    </row>
    <row r="920" spans="1:16" ht="15">
      <c r="A920" s="4" t="s">
        <v>1707</v>
      </c>
      <c r="B920" s="30">
        <v>39950</v>
      </c>
      <c r="C920" s="4"/>
      <c r="D920" s="4" t="s">
        <v>193</v>
      </c>
      <c r="E920" s="4" t="s">
        <v>170</v>
      </c>
      <c r="F920" s="4" t="s">
        <v>155</v>
      </c>
      <c r="G920" s="4"/>
      <c r="H920" s="4"/>
      <c r="I920" s="4" t="s">
        <v>140</v>
      </c>
      <c r="J920" s="4" t="s">
        <v>189</v>
      </c>
      <c r="K920" s="4" t="s">
        <v>143</v>
      </c>
      <c r="L920" s="4" t="s">
        <v>4181</v>
      </c>
      <c r="M920" s="4" t="s">
        <v>415</v>
      </c>
      <c r="N920" s="4" t="s">
        <v>155</v>
      </c>
      <c r="O920" s="4" t="s">
        <v>125</v>
      </c>
      <c r="P920" s="4"/>
    </row>
    <row r="921" spans="1:16" ht="15">
      <c r="A921" s="4" t="s">
        <v>1708</v>
      </c>
      <c r="B921" s="30">
        <v>39949</v>
      </c>
      <c r="C921" s="4"/>
      <c r="D921" s="4" t="s">
        <v>193</v>
      </c>
      <c r="E921" s="4" t="s">
        <v>170</v>
      </c>
      <c r="F921" s="4" t="s">
        <v>155</v>
      </c>
      <c r="G921" s="4"/>
      <c r="H921" s="4"/>
      <c r="I921" s="4" t="s">
        <v>140</v>
      </c>
      <c r="J921" s="4" t="s">
        <v>179</v>
      </c>
      <c r="K921" s="4" t="s">
        <v>147</v>
      </c>
      <c r="L921" s="4" t="s">
        <v>4181</v>
      </c>
      <c r="M921" s="4" t="s">
        <v>1709</v>
      </c>
      <c r="N921" s="4" t="s">
        <v>155</v>
      </c>
      <c r="O921" s="4" t="s">
        <v>1262</v>
      </c>
      <c r="P921" s="4"/>
    </row>
    <row r="922" spans="1:16" ht="15">
      <c r="A922" s="4" t="s">
        <v>1710</v>
      </c>
      <c r="B922" s="30">
        <v>39948</v>
      </c>
      <c r="C922" s="4"/>
      <c r="D922" s="4" t="s">
        <v>193</v>
      </c>
      <c r="E922" s="4" t="s">
        <v>170</v>
      </c>
      <c r="F922" s="4" t="s">
        <v>155</v>
      </c>
      <c r="G922" s="4"/>
      <c r="H922" s="4"/>
      <c r="I922" s="4" t="s">
        <v>140</v>
      </c>
      <c r="J922" s="4" t="s">
        <v>937</v>
      </c>
      <c r="K922" s="4" t="s">
        <v>142</v>
      </c>
      <c r="L922" s="4" t="s">
        <v>4181</v>
      </c>
      <c r="M922" s="4" t="s">
        <v>1711</v>
      </c>
      <c r="N922" s="4" t="s">
        <v>161</v>
      </c>
      <c r="O922" s="4" t="s">
        <v>465</v>
      </c>
      <c r="P922" s="4"/>
    </row>
    <row r="923" spans="1:16" ht="15">
      <c r="A923" s="4" t="s">
        <v>1712</v>
      </c>
      <c r="B923" s="30">
        <v>39929</v>
      </c>
      <c r="C923" s="4"/>
      <c r="D923" s="4" t="s">
        <v>4182</v>
      </c>
      <c r="E923" s="4" t="s">
        <v>170</v>
      </c>
      <c r="F923" s="4" t="s">
        <v>155</v>
      </c>
      <c r="G923" s="4"/>
      <c r="H923" s="4"/>
      <c r="I923" s="4" t="s">
        <v>139</v>
      </c>
      <c r="J923" s="4" t="s">
        <v>937</v>
      </c>
      <c r="K923" s="4" t="s">
        <v>147</v>
      </c>
      <c r="L923" s="4" t="s">
        <v>4181</v>
      </c>
      <c r="M923" s="4" t="s">
        <v>1713</v>
      </c>
      <c r="N923" s="4" t="s">
        <v>155</v>
      </c>
      <c r="O923" s="4" t="s">
        <v>124</v>
      </c>
      <c r="P923" s="4"/>
    </row>
    <row r="924" spans="1:16" ht="15">
      <c r="A924" s="4" t="s">
        <v>1714</v>
      </c>
      <c r="B924" s="30">
        <v>39947</v>
      </c>
      <c r="C924" s="4"/>
      <c r="D924" s="4" t="s">
        <v>193</v>
      </c>
      <c r="E924" s="4" t="s">
        <v>170</v>
      </c>
      <c r="F924" s="4" t="s">
        <v>155</v>
      </c>
      <c r="G924" s="4"/>
      <c r="H924" s="4"/>
      <c r="I924" s="4" t="s">
        <v>140</v>
      </c>
      <c r="J924" s="4" t="s">
        <v>179</v>
      </c>
      <c r="K924" s="4" t="s">
        <v>151</v>
      </c>
      <c r="L924" s="4" t="s">
        <v>4176</v>
      </c>
      <c r="M924" s="4" t="s">
        <v>175</v>
      </c>
      <c r="N924" s="4" t="s">
        <v>159</v>
      </c>
      <c r="O924" s="4" t="s">
        <v>126</v>
      </c>
      <c r="P924" s="4" t="s">
        <v>601</v>
      </c>
    </row>
    <row r="925" spans="1:16" ht="15">
      <c r="A925" s="4" t="s">
        <v>1715</v>
      </c>
      <c r="B925" s="30">
        <v>39924</v>
      </c>
      <c r="C925" s="4" t="s">
        <v>9</v>
      </c>
      <c r="D925" s="4" t="s">
        <v>4184</v>
      </c>
      <c r="E925" s="4" t="s">
        <v>170</v>
      </c>
      <c r="F925" s="4" t="s">
        <v>155</v>
      </c>
      <c r="G925" s="4"/>
      <c r="H925" s="4"/>
      <c r="I925" s="4" t="s">
        <v>140</v>
      </c>
      <c r="J925" s="4" t="s">
        <v>178</v>
      </c>
      <c r="K925" s="4" t="s">
        <v>143</v>
      </c>
      <c r="L925" s="4" t="s">
        <v>4176</v>
      </c>
      <c r="M925" s="4" t="s">
        <v>174</v>
      </c>
      <c r="N925" s="4" t="s">
        <v>160</v>
      </c>
      <c r="O925" s="4" t="s">
        <v>126</v>
      </c>
      <c r="P925" s="4" t="s">
        <v>1716</v>
      </c>
    </row>
    <row r="926" spans="1:16" ht="15">
      <c r="A926" s="4" t="s">
        <v>1717</v>
      </c>
      <c r="B926" s="30">
        <v>39976</v>
      </c>
      <c r="C926" s="4"/>
      <c r="D926" s="4" t="s">
        <v>193</v>
      </c>
      <c r="E926" s="4" t="s">
        <v>170</v>
      </c>
      <c r="F926" s="4" t="s">
        <v>155</v>
      </c>
      <c r="G926" s="4"/>
      <c r="H926" s="4"/>
      <c r="I926" s="4" t="s">
        <v>140</v>
      </c>
      <c r="J926" s="4" t="s">
        <v>509</v>
      </c>
      <c r="K926" s="4" t="s">
        <v>150</v>
      </c>
      <c r="L926" s="4" t="s">
        <v>162</v>
      </c>
      <c r="M926" s="4" t="s">
        <v>1624</v>
      </c>
      <c r="N926" s="4" t="s">
        <v>155</v>
      </c>
      <c r="O926" s="4" t="s">
        <v>130</v>
      </c>
      <c r="P926" s="4"/>
    </row>
    <row r="927" spans="1:16" ht="15">
      <c r="A927" s="4" t="s">
        <v>1718</v>
      </c>
      <c r="B927" s="30">
        <v>40023</v>
      </c>
      <c r="C927" s="4"/>
      <c r="D927" s="4" t="s">
        <v>193</v>
      </c>
      <c r="E927" s="4" t="s">
        <v>170</v>
      </c>
      <c r="F927" s="4" t="s">
        <v>155</v>
      </c>
      <c r="G927" s="4">
        <v>5</v>
      </c>
      <c r="H927" s="4">
        <v>3</v>
      </c>
      <c r="I927" s="4" t="s">
        <v>140</v>
      </c>
      <c r="J927" s="4" t="s">
        <v>180</v>
      </c>
      <c r="K927" s="4" t="s">
        <v>144</v>
      </c>
      <c r="L927" s="4" t="s">
        <v>4176</v>
      </c>
      <c r="M927" s="4" t="s">
        <v>619</v>
      </c>
      <c r="N927" s="4" t="s">
        <v>159</v>
      </c>
      <c r="O927" s="4" t="s">
        <v>123</v>
      </c>
      <c r="P927" s="4" t="s">
        <v>123</v>
      </c>
    </row>
    <row r="928" spans="1:16" ht="15">
      <c r="A928" s="4" t="s">
        <v>1719</v>
      </c>
      <c r="B928" s="30">
        <v>39952</v>
      </c>
      <c r="C928" s="4" t="s">
        <v>380</v>
      </c>
      <c r="D928" s="4" t="s">
        <v>195</v>
      </c>
      <c r="E928" s="4" t="s">
        <v>170</v>
      </c>
      <c r="F928" s="4" t="s">
        <v>155</v>
      </c>
      <c r="G928" s="4"/>
      <c r="H928" s="4"/>
      <c r="I928" s="4" t="s">
        <v>139</v>
      </c>
      <c r="J928" s="4" t="s">
        <v>180</v>
      </c>
      <c r="K928" s="4" t="s">
        <v>147</v>
      </c>
      <c r="L928" s="4" t="s">
        <v>162</v>
      </c>
      <c r="M928" s="4" t="s">
        <v>175</v>
      </c>
      <c r="N928" s="4" t="s">
        <v>155</v>
      </c>
      <c r="O928" s="4" t="s">
        <v>129</v>
      </c>
      <c r="P928" s="4"/>
    </row>
    <row r="929" spans="1:16" ht="15">
      <c r="A929" s="4" t="s">
        <v>1720</v>
      </c>
      <c r="B929" s="30">
        <v>40013</v>
      </c>
      <c r="C929" s="4"/>
      <c r="D929" s="4" t="s">
        <v>196</v>
      </c>
      <c r="E929" s="4" t="s">
        <v>170</v>
      </c>
      <c r="F929" s="4" t="s">
        <v>155</v>
      </c>
      <c r="G929" s="4">
        <v>5</v>
      </c>
      <c r="H929" s="4">
        <v>2</v>
      </c>
      <c r="I929" s="4" t="s">
        <v>139</v>
      </c>
      <c r="J929" s="4" t="s">
        <v>180</v>
      </c>
      <c r="K929" s="4" t="s">
        <v>143</v>
      </c>
      <c r="L929" s="4" t="s">
        <v>162</v>
      </c>
      <c r="M929" s="4" t="s">
        <v>176</v>
      </c>
      <c r="N929" s="4" t="s">
        <v>155</v>
      </c>
      <c r="O929" s="4" t="s">
        <v>129</v>
      </c>
      <c r="P929" s="4"/>
    </row>
    <row r="930" spans="1:16" ht="15">
      <c r="A930" s="4" t="s">
        <v>1721</v>
      </c>
      <c r="B930" s="30">
        <v>39977</v>
      </c>
      <c r="C930" s="4"/>
      <c r="D930" s="4" t="s">
        <v>194</v>
      </c>
      <c r="E930" s="4" t="s">
        <v>170</v>
      </c>
      <c r="F930" s="4" t="s">
        <v>155</v>
      </c>
      <c r="G930" s="4"/>
      <c r="H930" s="4"/>
      <c r="I930" s="4" t="s">
        <v>139</v>
      </c>
      <c r="J930" s="4" t="s">
        <v>180</v>
      </c>
      <c r="K930" s="4" t="s">
        <v>144</v>
      </c>
      <c r="L930" s="4" t="s">
        <v>4176</v>
      </c>
      <c r="M930" s="4" t="s">
        <v>1722</v>
      </c>
      <c r="N930" s="4" t="s">
        <v>157</v>
      </c>
      <c r="O930" s="4" t="s">
        <v>127</v>
      </c>
      <c r="P930" s="4" t="s">
        <v>153</v>
      </c>
    </row>
    <row r="931" spans="1:16" ht="15">
      <c r="A931" s="4" t="s">
        <v>1723</v>
      </c>
      <c r="B931" s="30">
        <v>39916</v>
      </c>
      <c r="C931" s="4"/>
      <c r="D931" s="4" t="s">
        <v>4182</v>
      </c>
      <c r="E931" s="4" t="s">
        <v>170</v>
      </c>
      <c r="F931" s="4" t="s">
        <v>155</v>
      </c>
      <c r="G931" s="4"/>
      <c r="H931" s="4"/>
      <c r="I931" s="4" t="s">
        <v>139</v>
      </c>
      <c r="J931" s="4" t="s">
        <v>179</v>
      </c>
      <c r="K931" s="4" t="s">
        <v>143</v>
      </c>
      <c r="L931" s="4" t="s">
        <v>4176</v>
      </c>
      <c r="M931" s="4" t="s">
        <v>1609</v>
      </c>
      <c r="N931" s="4" t="s">
        <v>157</v>
      </c>
      <c r="O931" s="4" t="s">
        <v>1473</v>
      </c>
      <c r="P931" s="4" t="s">
        <v>1724</v>
      </c>
    </row>
    <row r="932" spans="1:16" ht="15">
      <c r="A932" s="4" t="s">
        <v>1725</v>
      </c>
      <c r="B932" s="30">
        <v>40048</v>
      </c>
      <c r="C932" s="4"/>
      <c r="D932" s="4" t="s">
        <v>193</v>
      </c>
      <c r="E932" s="4" t="s">
        <v>170</v>
      </c>
      <c r="F932" s="4" t="s">
        <v>155</v>
      </c>
      <c r="G932" s="4">
        <v>1</v>
      </c>
      <c r="H932" s="4">
        <v>3</v>
      </c>
      <c r="I932" s="4" t="s">
        <v>140</v>
      </c>
      <c r="J932" s="4" t="s">
        <v>179</v>
      </c>
      <c r="K932" s="4" t="s">
        <v>144</v>
      </c>
      <c r="L932" s="4" t="s">
        <v>4176</v>
      </c>
      <c r="M932" s="4" t="s">
        <v>174</v>
      </c>
      <c r="N932" s="4" t="s">
        <v>157</v>
      </c>
      <c r="O932" s="4" t="s">
        <v>434</v>
      </c>
      <c r="P932" s="4" t="s">
        <v>449</v>
      </c>
    </row>
    <row r="933" spans="1:16" ht="15">
      <c r="A933" s="4" t="s">
        <v>1726</v>
      </c>
      <c r="B933" s="30">
        <v>39939</v>
      </c>
      <c r="C933" s="4"/>
      <c r="D933" s="4" t="s">
        <v>4184</v>
      </c>
      <c r="E933" s="4" t="s">
        <v>170</v>
      </c>
      <c r="F933" s="4" t="s">
        <v>155</v>
      </c>
      <c r="G933" s="4"/>
      <c r="H933" s="4"/>
      <c r="I933" s="4" t="s">
        <v>140</v>
      </c>
      <c r="J933" s="4" t="s">
        <v>179</v>
      </c>
      <c r="K933" s="4" t="s">
        <v>142</v>
      </c>
      <c r="L933" s="4" t="s">
        <v>4181</v>
      </c>
      <c r="M933" s="4" t="s">
        <v>173</v>
      </c>
      <c r="N933" s="4" t="s">
        <v>155</v>
      </c>
      <c r="O933" s="4" t="s">
        <v>128</v>
      </c>
      <c r="P933" s="4"/>
    </row>
    <row r="934" spans="1:16" ht="15">
      <c r="A934" s="4" t="s">
        <v>1727</v>
      </c>
      <c r="B934" s="30">
        <v>40030</v>
      </c>
      <c r="C934" s="4"/>
      <c r="D934" s="4" t="s">
        <v>197</v>
      </c>
      <c r="E934" s="4" t="s">
        <v>170</v>
      </c>
      <c r="F934" s="4" t="s">
        <v>155</v>
      </c>
      <c r="G934" s="4">
        <v>5</v>
      </c>
      <c r="H934" s="4">
        <v>5</v>
      </c>
      <c r="I934" s="4" t="s">
        <v>139</v>
      </c>
      <c r="J934" s="4" t="s">
        <v>179</v>
      </c>
      <c r="K934" s="4" t="s">
        <v>144</v>
      </c>
      <c r="L934" s="4" t="s">
        <v>4176</v>
      </c>
      <c r="M934" s="4" t="s">
        <v>1728</v>
      </c>
      <c r="N934" s="4" t="s">
        <v>157</v>
      </c>
      <c r="O934" s="4" t="s">
        <v>127</v>
      </c>
      <c r="P934" s="4" t="s">
        <v>153</v>
      </c>
    </row>
    <row r="935" spans="1:16" ht="15">
      <c r="A935" s="4" t="s">
        <v>1729</v>
      </c>
      <c r="B935" s="30">
        <v>40002</v>
      </c>
      <c r="C935" s="4" t="s">
        <v>380</v>
      </c>
      <c r="D935" s="4" t="s">
        <v>193</v>
      </c>
      <c r="E935" s="4" t="s">
        <v>170</v>
      </c>
      <c r="F935" s="4" t="s">
        <v>155</v>
      </c>
      <c r="G935" s="4"/>
      <c r="H935" s="4">
        <v>5</v>
      </c>
      <c r="I935" s="4" t="s">
        <v>140</v>
      </c>
      <c r="J935" s="4" t="s">
        <v>509</v>
      </c>
      <c r="K935" s="4" t="s">
        <v>149</v>
      </c>
      <c r="L935" s="4" t="s">
        <v>162</v>
      </c>
      <c r="M935" s="4" t="s">
        <v>175</v>
      </c>
      <c r="N935" s="4" t="s">
        <v>155</v>
      </c>
      <c r="O935" s="4" t="s">
        <v>130</v>
      </c>
      <c r="P935" s="4"/>
    </row>
    <row r="936" spans="1:16" ht="15">
      <c r="A936" s="4" t="s">
        <v>1730</v>
      </c>
      <c r="B936" s="30">
        <v>40002</v>
      </c>
      <c r="C936" s="4" t="s">
        <v>380</v>
      </c>
      <c r="D936" s="4" t="s">
        <v>194</v>
      </c>
      <c r="E936" s="4" t="s">
        <v>170</v>
      </c>
      <c r="F936" s="4" t="s">
        <v>155</v>
      </c>
      <c r="G936" s="4"/>
      <c r="H936" s="4">
        <v>5</v>
      </c>
      <c r="I936" s="4" t="s">
        <v>139</v>
      </c>
      <c r="J936" s="4" t="s">
        <v>509</v>
      </c>
      <c r="K936" s="4" t="s">
        <v>149</v>
      </c>
      <c r="L936" s="4" t="s">
        <v>162</v>
      </c>
      <c r="M936" s="4" t="s">
        <v>175</v>
      </c>
      <c r="N936" s="4" t="s">
        <v>155</v>
      </c>
      <c r="O936" s="4" t="s">
        <v>130</v>
      </c>
      <c r="P936" s="4"/>
    </row>
    <row r="937" spans="1:16" ht="15">
      <c r="A937" s="4" t="s">
        <v>1731</v>
      </c>
      <c r="B937" s="30">
        <v>39954</v>
      </c>
      <c r="C937" s="4"/>
      <c r="D937" s="4" t="s">
        <v>193</v>
      </c>
      <c r="E937" s="4" t="s">
        <v>170</v>
      </c>
      <c r="F937" s="4" t="s">
        <v>155</v>
      </c>
      <c r="G937" s="4"/>
      <c r="H937" s="4"/>
      <c r="I937" s="4" t="s">
        <v>140</v>
      </c>
      <c r="J937" s="4" t="s">
        <v>179</v>
      </c>
      <c r="K937" s="4" t="s">
        <v>145</v>
      </c>
      <c r="L937" s="4" t="s">
        <v>162</v>
      </c>
      <c r="M937" s="4" t="s">
        <v>567</v>
      </c>
      <c r="N937" s="4" t="s">
        <v>155</v>
      </c>
      <c r="O937" s="4" t="s">
        <v>130</v>
      </c>
      <c r="P937" s="4"/>
    </row>
    <row r="938" spans="1:16" ht="15">
      <c r="A938" s="4" t="s">
        <v>1732</v>
      </c>
      <c r="B938" s="30">
        <v>40045</v>
      </c>
      <c r="C938" s="4" t="s">
        <v>380</v>
      </c>
      <c r="D938" s="4" t="s">
        <v>193</v>
      </c>
      <c r="E938" s="4" t="s">
        <v>170</v>
      </c>
      <c r="F938" s="4" t="s">
        <v>155</v>
      </c>
      <c r="G938" s="4">
        <v>1</v>
      </c>
      <c r="H938" s="4">
        <v>5</v>
      </c>
      <c r="I938" s="4" t="s">
        <v>140</v>
      </c>
      <c r="J938" s="4" t="s">
        <v>376</v>
      </c>
      <c r="K938" s="4" t="s">
        <v>143</v>
      </c>
      <c r="L938" s="4" t="s">
        <v>4176</v>
      </c>
      <c r="M938" s="4" t="s">
        <v>174</v>
      </c>
      <c r="N938" s="4" t="s">
        <v>157</v>
      </c>
      <c r="O938" s="4" t="s">
        <v>1113</v>
      </c>
      <c r="P938" s="4" t="s">
        <v>1114</v>
      </c>
    </row>
    <row r="939" spans="1:16" ht="15">
      <c r="A939" s="4" t="s">
        <v>1733</v>
      </c>
      <c r="B939" s="30">
        <v>39975</v>
      </c>
      <c r="C939" s="4" t="s">
        <v>9</v>
      </c>
      <c r="D939" s="4" t="s">
        <v>193</v>
      </c>
      <c r="E939" s="4" t="s">
        <v>170</v>
      </c>
      <c r="F939" s="4" t="s">
        <v>155</v>
      </c>
      <c r="G939" s="4"/>
      <c r="H939" s="4"/>
      <c r="I939" s="4" t="s">
        <v>140</v>
      </c>
      <c r="J939" s="4" t="s">
        <v>376</v>
      </c>
      <c r="K939" s="4" t="s">
        <v>143</v>
      </c>
      <c r="L939" s="4" t="s">
        <v>4181</v>
      </c>
      <c r="M939" s="4" t="s">
        <v>173</v>
      </c>
      <c r="N939" s="4" t="s">
        <v>155</v>
      </c>
      <c r="O939" s="4" t="s">
        <v>124</v>
      </c>
      <c r="P939" s="4"/>
    </row>
    <row r="940" spans="1:16" ht="15">
      <c r="A940" s="4" t="s">
        <v>1734</v>
      </c>
      <c r="B940" s="30">
        <v>39976</v>
      </c>
      <c r="C940" s="4" t="s">
        <v>9</v>
      </c>
      <c r="D940" s="4" t="s">
        <v>194</v>
      </c>
      <c r="E940" s="4" t="s">
        <v>170</v>
      </c>
      <c r="F940" s="4" t="s">
        <v>155</v>
      </c>
      <c r="G940" s="4"/>
      <c r="H940" s="4"/>
      <c r="I940" s="4" t="s">
        <v>139</v>
      </c>
      <c r="J940" s="4" t="s">
        <v>603</v>
      </c>
      <c r="K940" s="4" t="s">
        <v>143</v>
      </c>
      <c r="L940" s="4" t="s">
        <v>162</v>
      </c>
      <c r="M940" s="4" t="s">
        <v>175</v>
      </c>
      <c r="N940" s="4" t="s">
        <v>155</v>
      </c>
      <c r="O940" s="4" t="s">
        <v>130</v>
      </c>
      <c r="P940" s="4"/>
    </row>
    <row r="941" spans="1:16" ht="15">
      <c r="A941" s="4" t="s">
        <v>1735</v>
      </c>
      <c r="B941" s="30">
        <v>40008</v>
      </c>
      <c r="C941" s="4"/>
      <c r="D941" s="4" t="s">
        <v>196</v>
      </c>
      <c r="E941" s="4" t="s">
        <v>170</v>
      </c>
      <c r="F941" s="4" t="s">
        <v>155</v>
      </c>
      <c r="G941" s="4">
        <v>5</v>
      </c>
      <c r="H941" s="4">
        <v>3</v>
      </c>
      <c r="I941" s="4" t="s">
        <v>139</v>
      </c>
      <c r="J941" s="4" t="s">
        <v>182</v>
      </c>
      <c r="K941" s="4" t="s">
        <v>151</v>
      </c>
      <c r="L941" s="4" t="s">
        <v>162</v>
      </c>
      <c r="M941" s="4" t="s">
        <v>174</v>
      </c>
      <c r="N941" s="4" t="s">
        <v>155</v>
      </c>
      <c r="O941" s="4" t="s">
        <v>130</v>
      </c>
      <c r="P941" s="4"/>
    </row>
    <row r="942" spans="1:16" ht="15">
      <c r="A942" s="4" t="s">
        <v>1736</v>
      </c>
      <c r="B942" s="30">
        <v>40036</v>
      </c>
      <c r="C942" s="4"/>
      <c r="D942" s="4" t="s">
        <v>193</v>
      </c>
      <c r="E942" s="4" t="s">
        <v>170</v>
      </c>
      <c r="F942" s="4" t="s">
        <v>155</v>
      </c>
      <c r="G942" s="4">
        <v>5</v>
      </c>
      <c r="H942" s="4">
        <v>5</v>
      </c>
      <c r="I942" s="4" t="s">
        <v>140</v>
      </c>
      <c r="J942" s="4" t="s">
        <v>376</v>
      </c>
      <c r="K942" s="4" t="s">
        <v>145</v>
      </c>
      <c r="L942" s="4" t="s">
        <v>4176</v>
      </c>
      <c r="M942" s="4" t="s">
        <v>550</v>
      </c>
      <c r="N942" s="4" t="s">
        <v>159</v>
      </c>
      <c r="O942" s="4" t="s">
        <v>1737</v>
      </c>
      <c r="P942" s="4" t="s">
        <v>1738</v>
      </c>
    </row>
    <row r="943" spans="1:16" ht="15">
      <c r="A943" s="4" t="s">
        <v>1739</v>
      </c>
      <c r="B943" s="30">
        <v>39925</v>
      </c>
      <c r="C943" s="4"/>
      <c r="D943" s="4" t="s">
        <v>4177</v>
      </c>
      <c r="E943" s="4" t="s">
        <v>170</v>
      </c>
      <c r="F943" s="4" t="s">
        <v>155</v>
      </c>
      <c r="G943" s="4"/>
      <c r="H943" s="4"/>
      <c r="I943" s="4" t="s">
        <v>139</v>
      </c>
      <c r="J943" s="4" t="s">
        <v>376</v>
      </c>
      <c r="K943" s="4" t="s">
        <v>143</v>
      </c>
      <c r="L943" s="4" t="s">
        <v>4176</v>
      </c>
      <c r="M943" s="4" t="s">
        <v>550</v>
      </c>
      <c r="N943" s="4" t="s">
        <v>160</v>
      </c>
      <c r="O943" s="4" t="s">
        <v>392</v>
      </c>
      <c r="P943" s="4" t="s">
        <v>393</v>
      </c>
    </row>
    <row r="944" spans="1:16" ht="15">
      <c r="A944" s="4" t="s">
        <v>1740</v>
      </c>
      <c r="B944" s="30">
        <v>39963</v>
      </c>
      <c r="C944" s="4"/>
      <c r="D944" s="4" t="s">
        <v>195</v>
      </c>
      <c r="E944" s="4" t="s">
        <v>170</v>
      </c>
      <c r="F944" s="4" t="s">
        <v>155</v>
      </c>
      <c r="G944" s="4"/>
      <c r="H944" s="4"/>
      <c r="I944" s="4" t="s">
        <v>139</v>
      </c>
      <c r="J944" s="4" t="s">
        <v>376</v>
      </c>
      <c r="K944" s="4" t="s">
        <v>143</v>
      </c>
      <c r="L944" s="4" t="s">
        <v>4181</v>
      </c>
      <c r="M944" s="4" t="s">
        <v>173</v>
      </c>
      <c r="N944" s="4" t="s">
        <v>155</v>
      </c>
      <c r="O944" s="4" t="s">
        <v>439</v>
      </c>
      <c r="P944" s="4"/>
    </row>
    <row r="945" spans="1:16" ht="15">
      <c r="A945" s="4" t="s">
        <v>1741</v>
      </c>
      <c r="B945" s="30">
        <v>39977</v>
      </c>
      <c r="C945" s="4" t="s">
        <v>380</v>
      </c>
      <c r="D945" s="4" t="s">
        <v>193</v>
      </c>
      <c r="E945" s="4" t="s">
        <v>170</v>
      </c>
      <c r="F945" s="4" t="s">
        <v>155</v>
      </c>
      <c r="G945" s="4"/>
      <c r="H945" s="4"/>
      <c r="I945" s="4" t="s">
        <v>140</v>
      </c>
      <c r="J945" s="4" t="s">
        <v>182</v>
      </c>
      <c r="K945" s="4" t="s">
        <v>151</v>
      </c>
      <c r="L945" s="4" t="s">
        <v>162</v>
      </c>
      <c r="M945" s="4"/>
      <c r="N945" s="4" t="s">
        <v>155</v>
      </c>
      <c r="O945" s="4" t="s">
        <v>130</v>
      </c>
      <c r="P945" s="4"/>
    </row>
    <row r="946" spans="1:16" ht="15">
      <c r="A946" s="4" t="s">
        <v>1742</v>
      </c>
      <c r="B946" s="30">
        <v>40075</v>
      </c>
      <c r="C946" s="4"/>
      <c r="D946" s="4" t="s">
        <v>196</v>
      </c>
      <c r="E946" s="4" t="s">
        <v>170</v>
      </c>
      <c r="F946" s="4" t="s">
        <v>155</v>
      </c>
      <c r="G946" s="4">
        <v>5</v>
      </c>
      <c r="H946" s="4">
        <v>4</v>
      </c>
      <c r="I946" s="4" t="s">
        <v>139</v>
      </c>
      <c r="J946" s="4" t="s">
        <v>179</v>
      </c>
      <c r="K946" s="4" t="s">
        <v>144</v>
      </c>
      <c r="L946" s="4" t="s">
        <v>4181</v>
      </c>
      <c r="M946" s="4" t="s">
        <v>1743</v>
      </c>
      <c r="N946" s="4" t="s">
        <v>155</v>
      </c>
      <c r="O946" s="4" t="s">
        <v>128</v>
      </c>
      <c r="P946" s="4"/>
    </row>
    <row r="947" spans="1:16" ht="15">
      <c r="A947" s="4" t="s">
        <v>1744</v>
      </c>
      <c r="B947" s="30">
        <v>40063</v>
      </c>
      <c r="C947" s="4" t="s">
        <v>496</v>
      </c>
      <c r="D947" s="4" t="s">
        <v>196</v>
      </c>
      <c r="E947" s="4" t="s">
        <v>170</v>
      </c>
      <c r="F947" s="4" t="s">
        <v>155</v>
      </c>
      <c r="G947" s="4">
        <v>5</v>
      </c>
      <c r="H947" s="4">
        <v>5</v>
      </c>
      <c r="I947" s="4" t="s">
        <v>139</v>
      </c>
      <c r="J947" s="4" t="s">
        <v>179</v>
      </c>
      <c r="K947" s="4" t="s">
        <v>143</v>
      </c>
      <c r="L947" s="4" t="s">
        <v>4176</v>
      </c>
      <c r="M947" s="4" t="s">
        <v>1607</v>
      </c>
      <c r="N947" s="4" t="s">
        <v>157</v>
      </c>
      <c r="O947" s="4" t="s">
        <v>127</v>
      </c>
      <c r="P947" s="4" t="s">
        <v>153</v>
      </c>
    </row>
    <row r="948" spans="1:16" ht="15">
      <c r="A948" s="4" t="s">
        <v>1745</v>
      </c>
      <c r="B948" s="30">
        <v>40020</v>
      </c>
      <c r="C948" s="4"/>
      <c r="D948" s="4" t="s">
        <v>193</v>
      </c>
      <c r="E948" s="4" t="s">
        <v>170</v>
      </c>
      <c r="F948" s="4" t="s">
        <v>155</v>
      </c>
      <c r="G948" s="4">
        <v>5</v>
      </c>
      <c r="H948" s="4">
        <v>3</v>
      </c>
      <c r="I948" s="4" t="s">
        <v>140</v>
      </c>
      <c r="J948" s="4" t="s">
        <v>180</v>
      </c>
      <c r="K948" s="4" t="s">
        <v>144</v>
      </c>
      <c r="L948" s="4" t="s">
        <v>4181</v>
      </c>
      <c r="M948" s="4" t="s">
        <v>1746</v>
      </c>
      <c r="N948" s="4" t="s">
        <v>155</v>
      </c>
      <c r="O948" s="4" t="s">
        <v>124</v>
      </c>
      <c r="P948" s="4"/>
    </row>
    <row r="949" spans="1:16" ht="15">
      <c r="A949" s="4" t="s">
        <v>1747</v>
      </c>
      <c r="B949" s="30">
        <v>40075</v>
      </c>
      <c r="C949" s="4" t="s">
        <v>383</v>
      </c>
      <c r="D949" s="4" t="s">
        <v>544</v>
      </c>
      <c r="E949" s="4" t="s">
        <v>170</v>
      </c>
      <c r="F949" s="4" t="s">
        <v>155</v>
      </c>
      <c r="G949" s="4">
        <v>1</v>
      </c>
      <c r="H949" s="4">
        <v>2</v>
      </c>
      <c r="I949" s="4" t="s">
        <v>139</v>
      </c>
      <c r="J949" s="4" t="s">
        <v>179</v>
      </c>
      <c r="K949" s="4" t="s">
        <v>146</v>
      </c>
      <c r="L949" s="4" t="s">
        <v>4176</v>
      </c>
      <c r="M949" s="4" t="s">
        <v>174</v>
      </c>
      <c r="N949" s="4" t="s">
        <v>157</v>
      </c>
      <c r="O949" s="4" t="s">
        <v>434</v>
      </c>
      <c r="P949" s="4" t="s">
        <v>435</v>
      </c>
    </row>
    <row r="950" spans="1:16" ht="15">
      <c r="A950" s="4" t="s">
        <v>1748</v>
      </c>
      <c r="B950" s="30">
        <v>40068</v>
      </c>
      <c r="C950" s="4"/>
      <c r="D950" s="4" t="s">
        <v>193</v>
      </c>
      <c r="E950" s="4" t="s">
        <v>170</v>
      </c>
      <c r="F950" s="4" t="s">
        <v>155</v>
      </c>
      <c r="G950" s="4">
        <v>5</v>
      </c>
      <c r="H950" s="4">
        <v>5</v>
      </c>
      <c r="I950" s="4" t="s">
        <v>140</v>
      </c>
      <c r="J950" s="4" t="s">
        <v>179</v>
      </c>
      <c r="K950" s="4" t="s">
        <v>148</v>
      </c>
      <c r="L950" s="4" t="s">
        <v>4176</v>
      </c>
      <c r="M950" s="4" t="s">
        <v>498</v>
      </c>
      <c r="N950" s="4" t="s">
        <v>156</v>
      </c>
      <c r="O950" s="4" t="s">
        <v>120</v>
      </c>
      <c r="P950" s="4" t="s">
        <v>1749</v>
      </c>
    </row>
    <row r="951" spans="1:16" ht="15">
      <c r="A951" s="4" t="s">
        <v>1750</v>
      </c>
      <c r="B951" s="30">
        <v>40054</v>
      </c>
      <c r="C951" s="4"/>
      <c r="D951" s="4" t="s">
        <v>193</v>
      </c>
      <c r="E951" s="4" t="s">
        <v>170</v>
      </c>
      <c r="F951" s="4" t="s">
        <v>155</v>
      </c>
      <c r="G951" s="4">
        <v>5</v>
      </c>
      <c r="H951" s="4">
        <v>4</v>
      </c>
      <c r="I951" s="4" t="s">
        <v>140</v>
      </c>
      <c r="J951" s="4" t="s">
        <v>179</v>
      </c>
      <c r="K951" s="4" t="s">
        <v>143</v>
      </c>
      <c r="L951" s="4" t="s">
        <v>4176</v>
      </c>
      <c r="M951" s="4"/>
      <c r="N951" s="4" t="s">
        <v>159</v>
      </c>
      <c r="O951" s="4" t="s">
        <v>123</v>
      </c>
      <c r="P951" s="4" t="s">
        <v>123</v>
      </c>
    </row>
    <row r="952" spans="1:16" ht="15">
      <c r="A952" s="4" t="s">
        <v>1751</v>
      </c>
      <c r="B952" s="30">
        <v>39910</v>
      </c>
      <c r="C952" s="4"/>
      <c r="D952" s="4" t="s">
        <v>4183</v>
      </c>
      <c r="E952" s="4" t="s">
        <v>170</v>
      </c>
      <c r="F952" s="4" t="s">
        <v>155</v>
      </c>
      <c r="G952" s="4"/>
      <c r="H952" s="4"/>
      <c r="I952" s="4" t="s">
        <v>140</v>
      </c>
      <c r="J952" s="4" t="s">
        <v>178</v>
      </c>
      <c r="K952" s="4" t="s">
        <v>142</v>
      </c>
      <c r="L952" s="4" t="s">
        <v>4181</v>
      </c>
      <c r="M952" s="4" t="s">
        <v>1752</v>
      </c>
      <c r="N952" s="4" t="s">
        <v>155</v>
      </c>
      <c r="O952" s="4" t="s">
        <v>124</v>
      </c>
      <c r="P952" s="4"/>
    </row>
    <row r="953" spans="1:16" ht="15">
      <c r="A953" s="4" t="s">
        <v>1753</v>
      </c>
      <c r="B953" s="30">
        <v>40014</v>
      </c>
      <c r="C953" s="4"/>
      <c r="D953" s="4" t="s">
        <v>196</v>
      </c>
      <c r="E953" s="4" t="s">
        <v>170</v>
      </c>
      <c r="F953" s="4" t="s">
        <v>155</v>
      </c>
      <c r="G953" s="4">
        <v>1</v>
      </c>
      <c r="H953" s="4">
        <v>4</v>
      </c>
      <c r="I953" s="4" t="s">
        <v>139</v>
      </c>
      <c r="J953" s="4" t="s">
        <v>178</v>
      </c>
      <c r="K953" s="4" t="s">
        <v>149</v>
      </c>
      <c r="L953" s="4" t="s">
        <v>162</v>
      </c>
      <c r="M953" s="4"/>
      <c r="N953" s="4" t="s">
        <v>155</v>
      </c>
      <c r="O953" s="4" t="s">
        <v>130</v>
      </c>
      <c r="P953" s="4"/>
    </row>
    <row r="954" spans="1:16" ht="15">
      <c r="A954" s="4" t="s">
        <v>1754</v>
      </c>
      <c r="B954" s="30">
        <v>39983</v>
      </c>
      <c r="C954" s="4" t="s">
        <v>9</v>
      </c>
      <c r="D954" s="4" t="s">
        <v>195</v>
      </c>
      <c r="E954" s="4" t="s">
        <v>170</v>
      </c>
      <c r="F954" s="4" t="s">
        <v>155</v>
      </c>
      <c r="G954" s="4"/>
      <c r="H954" s="4"/>
      <c r="I954" s="4" t="s">
        <v>139</v>
      </c>
      <c r="J954" s="4" t="s">
        <v>179</v>
      </c>
      <c r="K954" s="4" t="s">
        <v>144</v>
      </c>
      <c r="L954" s="4" t="s">
        <v>4176</v>
      </c>
      <c r="M954" s="4" t="s">
        <v>597</v>
      </c>
      <c r="N954" s="4" t="s">
        <v>160</v>
      </c>
      <c r="O954" s="4" t="s">
        <v>126</v>
      </c>
      <c r="P954" s="4" t="s">
        <v>1755</v>
      </c>
    </row>
    <row r="955" spans="1:16" ht="15">
      <c r="A955" s="4" t="s">
        <v>1756</v>
      </c>
      <c r="B955" s="30">
        <v>39925</v>
      </c>
      <c r="C955" s="4"/>
      <c r="D955" s="4" t="s">
        <v>4182</v>
      </c>
      <c r="E955" s="4" t="s">
        <v>170</v>
      </c>
      <c r="F955" s="4" t="s">
        <v>155</v>
      </c>
      <c r="G955" s="4"/>
      <c r="H955" s="4"/>
      <c r="I955" s="4" t="s">
        <v>139</v>
      </c>
      <c r="J955" s="4" t="s">
        <v>178</v>
      </c>
      <c r="K955" s="4" t="s">
        <v>147</v>
      </c>
      <c r="L955" s="4" t="s">
        <v>4181</v>
      </c>
      <c r="M955" s="4" t="s">
        <v>173</v>
      </c>
      <c r="N955" s="4" t="s">
        <v>155</v>
      </c>
      <c r="O955" s="4" t="s">
        <v>124</v>
      </c>
      <c r="P955" s="4"/>
    </row>
    <row r="956" spans="1:16" ht="15">
      <c r="A956" s="4" t="s">
        <v>1757</v>
      </c>
      <c r="B956" s="30">
        <v>40012</v>
      </c>
      <c r="C956" s="4"/>
      <c r="D956" s="4" t="s">
        <v>194</v>
      </c>
      <c r="E956" s="4" t="s">
        <v>170</v>
      </c>
      <c r="F956" s="4" t="s">
        <v>155</v>
      </c>
      <c r="G956" s="4">
        <v>5</v>
      </c>
      <c r="H956" s="4">
        <v>5</v>
      </c>
      <c r="I956" s="4" t="s">
        <v>139</v>
      </c>
      <c r="J956" s="4" t="s">
        <v>184</v>
      </c>
      <c r="K956" s="4" t="s">
        <v>142</v>
      </c>
      <c r="L956" s="4" t="s">
        <v>4176</v>
      </c>
      <c r="M956" s="4" t="s">
        <v>175</v>
      </c>
      <c r="N956" s="4" t="s">
        <v>125</v>
      </c>
      <c r="O956" s="4" t="s">
        <v>1357</v>
      </c>
      <c r="P956" s="4" t="s">
        <v>1358</v>
      </c>
    </row>
    <row r="957" spans="1:16" ht="15">
      <c r="A957" s="4" t="s">
        <v>1758</v>
      </c>
      <c r="B957" s="30">
        <v>40039</v>
      </c>
      <c r="C957" s="4" t="s">
        <v>380</v>
      </c>
      <c r="D957" s="4" t="s">
        <v>193</v>
      </c>
      <c r="E957" s="4" t="s">
        <v>170</v>
      </c>
      <c r="F957" s="4" t="s">
        <v>155</v>
      </c>
      <c r="G957" s="4">
        <v>1</v>
      </c>
      <c r="H957" s="4">
        <v>4</v>
      </c>
      <c r="I957" s="4" t="s">
        <v>140</v>
      </c>
      <c r="J957" s="4" t="s">
        <v>178</v>
      </c>
      <c r="K957" s="4" t="s">
        <v>148</v>
      </c>
      <c r="L957" s="4" t="s">
        <v>162</v>
      </c>
      <c r="M957" s="4" t="s">
        <v>175</v>
      </c>
      <c r="N957" s="4" t="s">
        <v>155</v>
      </c>
      <c r="O957" s="4" t="s">
        <v>129</v>
      </c>
      <c r="P957" s="4"/>
    </row>
    <row r="958" spans="1:16" ht="15">
      <c r="A958" s="4" t="s">
        <v>1759</v>
      </c>
      <c r="B958" s="30">
        <v>39973</v>
      </c>
      <c r="C958" s="4"/>
      <c r="D958" s="4" t="s">
        <v>193</v>
      </c>
      <c r="E958" s="4" t="s">
        <v>170</v>
      </c>
      <c r="F958" s="4" t="s">
        <v>155</v>
      </c>
      <c r="G958" s="4"/>
      <c r="H958" s="4"/>
      <c r="I958" s="4" t="s">
        <v>140</v>
      </c>
      <c r="J958" s="4" t="s">
        <v>391</v>
      </c>
      <c r="K958" s="4" t="s">
        <v>143</v>
      </c>
      <c r="L958" s="4" t="s">
        <v>4176</v>
      </c>
      <c r="M958" s="4" t="s">
        <v>174</v>
      </c>
      <c r="N958" s="4" t="s">
        <v>156</v>
      </c>
      <c r="O958" s="4" t="s">
        <v>120</v>
      </c>
      <c r="P958" s="4" t="s">
        <v>794</v>
      </c>
    </row>
    <row r="959" spans="1:16" ht="15">
      <c r="A959" s="4" t="s">
        <v>1760</v>
      </c>
      <c r="B959" s="30">
        <v>39966</v>
      </c>
      <c r="C959" s="4" t="s">
        <v>380</v>
      </c>
      <c r="D959" s="4" t="s">
        <v>193</v>
      </c>
      <c r="E959" s="4" t="s">
        <v>170</v>
      </c>
      <c r="F959" s="4" t="s">
        <v>155</v>
      </c>
      <c r="G959" s="4"/>
      <c r="H959" s="4"/>
      <c r="I959" s="4" t="s">
        <v>140</v>
      </c>
      <c r="J959" s="4" t="s">
        <v>603</v>
      </c>
      <c r="K959" s="4" t="s">
        <v>148</v>
      </c>
      <c r="L959" s="4" t="s">
        <v>4176</v>
      </c>
      <c r="M959" s="4" t="s">
        <v>1761</v>
      </c>
      <c r="N959" s="4" t="s">
        <v>156</v>
      </c>
      <c r="O959" s="4" t="s">
        <v>120</v>
      </c>
      <c r="P959" s="4" t="s">
        <v>1001</v>
      </c>
    </row>
    <row r="960" spans="1:16" ht="15">
      <c r="A960" s="4" t="s">
        <v>1762</v>
      </c>
      <c r="B960" s="30">
        <v>40044</v>
      </c>
      <c r="C960" s="4"/>
      <c r="D960" s="4" t="s">
        <v>197</v>
      </c>
      <c r="E960" s="4" t="s">
        <v>170</v>
      </c>
      <c r="F960" s="4" t="s">
        <v>155</v>
      </c>
      <c r="G960" s="4">
        <v>5</v>
      </c>
      <c r="H960" s="4">
        <v>5</v>
      </c>
      <c r="I960" s="4" t="s">
        <v>139</v>
      </c>
      <c r="J960" s="4" t="s">
        <v>187</v>
      </c>
      <c r="K960" s="4" t="s">
        <v>146</v>
      </c>
      <c r="L960" s="4" t="s">
        <v>4176</v>
      </c>
      <c r="M960" s="4" t="s">
        <v>498</v>
      </c>
      <c r="N960" s="4" t="s">
        <v>157</v>
      </c>
      <c r="O960" s="4" t="s">
        <v>406</v>
      </c>
      <c r="P960" s="4" t="s">
        <v>922</v>
      </c>
    </row>
    <row r="961" spans="1:16" ht="15">
      <c r="A961" s="4" t="s">
        <v>1763</v>
      </c>
      <c r="B961" s="30">
        <v>39987</v>
      </c>
      <c r="C961" s="4"/>
      <c r="D961" s="4" t="s">
        <v>195</v>
      </c>
      <c r="E961" s="4" t="s">
        <v>170</v>
      </c>
      <c r="F961" s="4" t="s">
        <v>155</v>
      </c>
      <c r="G961" s="4"/>
      <c r="H961" s="4"/>
      <c r="I961" s="4" t="s">
        <v>139</v>
      </c>
      <c r="J961" s="4" t="s">
        <v>189</v>
      </c>
      <c r="K961" s="4" t="s">
        <v>145</v>
      </c>
      <c r="L961" s="4" t="s">
        <v>162</v>
      </c>
      <c r="M961" s="4" t="s">
        <v>1624</v>
      </c>
      <c r="N961" s="4" t="s">
        <v>155</v>
      </c>
      <c r="O961" s="4" t="s">
        <v>130</v>
      </c>
      <c r="P961" s="4"/>
    </row>
    <row r="962" spans="1:16" ht="15">
      <c r="A962" s="4" t="s">
        <v>1764</v>
      </c>
      <c r="B962" s="30">
        <v>39921</v>
      </c>
      <c r="C962" s="4" t="s">
        <v>9</v>
      </c>
      <c r="D962" s="4" t="s">
        <v>4178</v>
      </c>
      <c r="E962" s="4" t="s">
        <v>170</v>
      </c>
      <c r="F962" s="4" t="s">
        <v>155</v>
      </c>
      <c r="G962" s="4"/>
      <c r="H962" s="4"/>
      <c r="I962" s="4" t="s">
        <v>139</v>
      </c>
      <c r="J962" s="4" t="s">
        <v>187</v>
      </c>
      <c r="K962" s="4" t="s">
        <v>142</v>
      </c>
      <c r="L962" s="4" t="s">
        <v>4176</v>
      </c>
      <c r="M962" s="4" t="s">
        <v>174</v>
      </c>
      <c r="N962" s="4" t="s">
        <v>157</v>
      </c>
      <c r="O962" s="4" t="s">
        <v>406</v>
      </c>
      <c r="P962" s="4" t="s">
        <v>1765</v>
      </c>
    </row>
    <row r="963" spans="1:16" ht="15">
      <c r="A963" s="4" t="s">
        <v>1766</v>
      </c>
      <c r="B963" s="30">
        <v>39931</v>
      </c>
      <c r="C963" s="4" t="s">
        <v>9</v>
      </c>
      <c r="D963" s="4" t="s">
        <v>4184</v>
      </c>
      <c r="E963" s="4" t="s">
        <v>170</v>
      </c>
      <c r="F963" s="4" t="s">
        <v>155</v>
      </c>
      <c r="G963" s="4"/>
      <c r="H963" s="4"/>
      <c r="I963" s="4" t="s">
        <v>140</v>
      </c>
      <c r="J963" s="4" t="s">
        <v>181</v>
      </c>
      <c r="K963" s="4" t="s">
        <v>142</v>
      </c>
      <c r="L963" s="4" t="s">
        <v>4176</v>
      </c>
      <c r="M963" s="4" t="s">
        <v>174</v>
      </c>
      <c r="N963" s="4" t="s">
        <v>160</v>
      </c>
      <c r="O963" s="4" t="s">
        <v>392</v>
      </c>
      <c r="P963" s="4" t="s">
        <v>393</v>
      </c>
    </row>
    <row r="964" spans="1:16" ht="15">
      <c r="A964" s="4" t="s">
        <v>1767</v>
      </c>
      <c r="B964" s="30">
        <v>39912</v>
      </c>
      <c r="C964" s="4"/>
      <c r="D964" s="4" t="s">
        <v>4177</v>
      </c>
      <c r="E964" s="4" t="s">
        <v>170</v>
      </c>
      <c r="F964" s="4" t="s">
        <v>155</v>
      </c>
      <c r="G964" s="4"/>
      <c r="H964" s="4"/>
      <c r="I964" s="4" t="s">
        <v>139</v>
      </c>
      <c r="J964" s="4" t="s">
        <v>178</v>
      </c>
      <c r="K964" s="4" t="s">
        <v>147</v>
      </c>
      <c r="L964" s="4" t="s">
        <v>4181</v>
      </c>
      <c r="M964" s="4" t="s">
        <v>1768</v>
      </c>
      <c r="N964" s="4" t="s">
        <v>155</v>
      </c>
      <c r="O964" s="4" t="s">
        <v>439</v>
      </c>
      <c r="P964" s="4"/>
    </row>
    <row r="965" spans="1:16" ht="15">
      <c r="A965" s="4" t="s">
        <v>1769</v>
      </c>
      <c r="B965" s="30">
        <v>40049</v>
      </c>
      <c r="C965" s="4"/>
      <c r="D965" s="4" t="s">
        <v>193</v>
      </c>
      <c r="E965" s="4" t="s">
        <v>170</v>
      </c>
      <c r="F965" s="4" t="s">
        <v>155</v>
      </c>
      <c r="G965" s="4">
        <v>5</v>
      </c>
      <c r="H965" s="4">
        <v>4</v>
      </c>
      <c r="I965" s="4" t="s">
        <v>140</v>
      </c>
      <c r="J965" s="4" t="s">
        <v>178</v>
      </c>
      <c r="K965" s="4" t="s">
        <v>142</v>
      </c>
      <c r="L965" s="4" t="s">
        <v>4176</v>
      </c>
      <c r="M965" s="4" t="s">
        <v>174</v>
      </c>
      <c r="N965" s="4" t="s">
        <v>160</v>
      </c>
      <c r="O965" s="4" t="s">
        <v>126</v>
      </c>
      <c r="P965" s="4" t="s">
        <v>1770</v>
      </c>
    </row>
    <row r="966" spans="1:16" ht="15">
      <c r="A966" s="4" t="s">
        <v>1771</v>
      </c>
      <c r="B966" s="30">
        <v>39978</v>
      </c>
      <c r="C966" s="4"/>
      <c r="D966" s="4" t="s">
        <v>195</v>
      </c>
      <c r="E966" s="4" t="s">
        <v>170</v>
      </c>
      <c r="F966" s="4" t="s">
        <v>155</v>
      </c>
      <c r="G966" s="4"/>
      <c r="H966" s="4"/>
      <c r="I966" s="4" t="s">
        <v>139</v>
      </c>
      <c r="J966" s="4" t="s">
        <v>182</v>
      </c>
      <c r="K966" s="4" t="s">
        <v>146</v>
      </c>
      <c r="L966" s="4" t="s">
        <v>162</v>
      </c>
      <c r="M966" s="4" t="s">
        <v>175</v>
      </c>
      <c r="N966" s="4" t="s">
        <v>155</v>
      </c>
      <c r="O966" s="4" t="s">
        <v>129</v>
      </c>
      <c r="P966" s="4"/>
    </row>
    <row r="967" spans="1:16" ht="15">
      <c r="A967" s="4" t="s">
        <v>1772</v>
      </c>
      <c r="B967" s="30">
        <v>40077</v>
      </c>
      <c r="C967" s="4"/>
      <c r="D967" s="4" t="s">
        <v>197</v>
      </c>
      <c r="E967" s="4" t="s">
        <v>170</v>
      </c>
      <c r="F967" s="4" t="s">
        <v>155</v>
      </c>
      <c r="G967" s="4">
        <v>4</v>
      </c>
      <c r="H967" s="4">
        <v>4</v>
      </c>
      <c r="I967" s="4" t="s">
        <v>139</v>
      </c>
      <c r="J967" s="4" t="s">
        <v>183</v>
      </c>
      <c r="K967" s="4" t="s">
        <v>146</v>
      </c>
      <c r="L967" s="4" t="s">
        <v>4181</v>
      </c>
      <c r="M967" s="4" t="s">
        <v>173</v>
      </c>
      <c r="N967" s="4" t="s">
        <v>155</v>
      </c>
      <c r="O967" s="4" t="s">
        <v>704</v>
      </c>
      <c r="P967" s="4"/>
    </row>
    <row r="968" spans="1:16" ht="15">
      <c r="A968" s="4" t="s">
        <v>1773</v>
      </c>
      <c r="B968" s="30">
        <v>40063</v>
      </c>
      <c r="C968" s="4" t="s">
        <v>380</v>
      </c>
      <c r="D968" s="4" t="s">
        <v>193</v>
      </c>
      <c r="E968" s="4" t="s">
        <v>170</v>
      </c>
      <c r="F968" s="4" t="s">
        <v>155</v>
      </c>
      <c r="G968" s="4">
        <v>5</v>
      </c>
      <c r="H968" s="4">
        <v>3</v>
      </c>
      <c r="I968" s="4" t="s">
        <v>140</v>
      </c>
      <c r="J968" s="4" t="s">
        <v>191</v>
      </c>
      <c r="K968" s="4" t="s">
        <v>146</v>
      </c>
      <c r="L968" s="4" t="s">
        <v>4176</v>
      </c>
      <c r="M968" s="4" t="s">
        <v>174</v>
      </c>
      <c r="N968" s="4" t="s">
        <v>157</v>
      </c>
      <c r="O968" s="4" t="s">
        <v>434</v>
      </c>
      <c r="P968" s="4" t="s">
        <v>449</v>
      </c>
    </row>
    <row r="969" spans="1:16" ht="15">
      <c r="A969" s="4" t="s">
        <v>1774</v>
      </c>
      <c r="B969" s="30">
        <v>39944</v>
      </c>
      <c r="C969" s="4"/>
      <c r="D969" s="4" t="s">
        <v>194</v>
      </c>
      <c r="E969" s="4" t="s">
        <v>170</v>
      </c>
      <c r="F969" s="4" t="s">
        <v>155</v>
      </c>
      <c r="G969" s="4"/>
      <c r="H969" s="4"/>
      <c r="I969" s="4" t="s">
        <v>139</v>
      </c>
      <c r="J969" s="4" t="s">
        <v>188</v>
      </c>
      <c r="K969" s="4" t="s">
        <v>142</v>
      </c>
      <c r="L969" s="4" t="s">
        <v>4181</v>
      </c>
      <c r="M969" s="4"/>
      <c r="N969" s="4" t="s">
        <v>155</v>
      </c>
      <c r="O969" s="4" t="s">
        <v>392</v>
      </c>
      <c r="P969" s="4"/>
    </row>
    <row r="970" spans="1:16" ht="15">
      <c r="A970" s="4" t="s">
        <v>1775</v>
      </c>
      <c r="B970" s="30">
        <v>39929</v>
      </c>
      <c r="C970" s="4"/>
      <c r="D970" s="4" t="s">
        <v>4182</v>
      </c>
      <c r="E970" s="4" t="s">
        <v>170</v>
      </c>
      <c r="F970" s="4" t="s">
        <v>155</v>
      </c>
      <c r="G970" s="4"/>
      <c r="H970" s="4"/>
      <c r="I970" s="4" t="s">
        <v>139</v>
      </c>
      <c r="J970" s="4" t="s">
        <v>479</v>
      </c>
      <c r="K970" s="4" t="s">
        <v>142</v>
      </c>
      <c r="L970" s="4" t="s">
        <v>4181</v>
      </c>
      <c r="M970" s="4" t="s">
        <v>173</v>
      </c>
      <c r="N970" s="4" t="s">
        <v>155</v>
      </c>
      <c r="O970" s="4" t="s">
        <v>124</v>
      </c>
      <c r="P970" s="4"/>
    </row>
    <row r="971" spans="1:16" ht="15">
      <c r="A971" s="4" t="s">
        <v>1776</v>
      </c>
      <c r="B971" s="30">
        <v>40008</v>
      </c>
      <c r="C971" s="4"/>
      <c r="D971" s="4" t="s">
        <v>193</v>
      </c>
      <c r="E971" s="4" t="s">
        <v>170</v>
      </c>
      <c r="F971" s="4" t="s">
        <v>155</v>
      </c>
      <c r="G971" s="4">
        <v>5</v>
      </c>
      <c r="H971" s="4">
        <v>3</v>
      </c>
      <c r="I971" s="4" t="s">
        <v>140</v>
      </c>
      <c r="J971" s="4" t="s">
        <v>185</v>
      </c>
      <c r="K971" s="4" t="s">
        <v>144</v>
      </c>
      <c r="L971" s="4" t="s">
        <v>162</v>
      </c>
      <c r="M971" s="4" t="s">
        <v>175</v>
      </c>
      <c r="N971" s="4" t="s">
        <v>155</v>
      </c>
      <c r="O971" s="4" t="s">
        <v>130</v>
      </c>
      <c r="P971" s="4"/>
    </row>
    <row r="972" spans="1:16" ht="15">
      <c r="A972" s="4" t="s">
        <v>1777</v>
      </c>
      <c r="B972" s="30">
        <v>39966</v>
      </c>
      <c r="C972" s="4" t="s">
        <v>383</v>
      </c>
      <c r="D972" s="4" t="s">
        <v>193</v>
      </c>
      <c r="E972" s="4" t="s">
        <v>170</v>
      </c>
      <c r="F972" s="4" t="s">
        <v>155</v>
      </c>
      <c r="G972" s="4"/>
      <c r="H972" s="4"/>
      <c r="I972" s="4" t="s">
        <v>140</v>
      </c>
      <c r="J972" s="4" t="s">
        <v>178</v>
      </c>
      <c r="K972" s="4" t="s">
        <v>145</v>
      </c>
      <c r="L972" s="4" t="s">
        <v>4181</v>
      </c>
      <c r="M972" s="4" t="s">
        <v>173</v>
      </c>
      <c r="N972" s="4" t="s">
        <v>155</v>
      </c>
      <c r="O972" s="4" t="s">
        <v>130</v>
      </c>
      <c r="P972" s="4"/>
    </row>
    <row r="973" spans="1:16" ht="15">
      <c r="A973" s="4" t="s">
        <v>1778</v>
      </c>
      <c r="B973" s="30">
        <v>39944</v>
      </c>
      <c r="C973" s="4"/>
      <c r="D973" s="4" t="s">
        <v>193</v>
      </c>
      <c r="E973" s="4" t="s">
        <v>170</v>
      </c>
      <c r="F973" s="4" t="s">
        <v>155</v>
      </c>
      <c r="G973" s="4"/>
      <c r="H973" s="4"/>
      <c r="I973" s="4" t="s">
        <v>140</v>
      </c>
      <c r="J973" s="4" t="s">
        <v>185</v>
      </c>
      <c r="K973" s="4" t="s">
        <v>148</v>
      </c>
      <c r="L973" s="4" t="s">
        <v>4176</v>
      </c>
      <c r="M973" s="4" t="s">
        <v>550</v>
      </c>
      <c r="N973" s="4" t="s">
        <v>156</v>
      </c>
      <c r="O973" s="4" t="s">
        <v>120</v>
      </c>
      <c r="P973" s="4" t="s">
        <v>741</v>
      </c>
    </row>
    <row r="974" spans="1:16" ht="15">
      <c r="A974" s="4" t="s">
        <v>1779</v>
      </c>
      <c r="B974" s="30">
        <v>39977</v>
      </c>
      <c r="C974" s="4"/>
      <c r="D974" s="4" t="s">
        <v>193</v>
      </c>
      <c r="E974" s="4" t="s">
        <v>170</v>
      </c>
      <c r="F974" s="4" t="s">
        <v>155</v>
      </c>
      <c r="G974" s="4"/>
      <c r="H974" s="4"/>
      <c r="I974" s="4" t="s">
        <v>140</v>
      </c>
      <c r="J974" s="4" t="s">
        <v>185</v>
      </c>
      <c r="K974" s="4" t="s">
        <v>148</v>
      </c>
      <c r="L974" s="4" t="s">
        <v>165</v>
      </c>
      <c r="M974" s="4" t="s">
        <v>1780</v>
      </c>
      <c r="N974" s="4" t="s">
        <v>158</v>
      </c>
      <c r="O974" s="4" t="s">
        <v>122</v>
      </c>
      <c r="P974" s="4"/>
    </row>
    <row r="975" spans="1:16" ht="15">
      <c r="A975" s="4" t="s">
        <v>1781</v>
      </c>
      <c r="B975" s="30">
        <v>40016</v>
      </c>
      <c r="C975" s="4" t="s">
        <v>380</v>
      </c>
      <c r="D975" s="4" t="s">
        <v>195</v>
      </c>
      <c r="E975" s="4" t="s">
        <v>170</v>
      </c>
      <c r="F975" s="4" t="s">
        <v>155</v>
      </c>
      <c r="G975" s="4">
        <v>5</v>
      </c>
      <c r="H975" s="4">
        <v>5</v>
      </c>
      <c r="I975" s="4" t="s">
        <v>139</v>
      </c>
      <c r="J975" s="4" t="s">
        <v>185</v>
      </c>
      <c r="K975" s="4" t="s">
        <v>144</v>
      </c>
      <c r="L975" s="4" t="s">
        <v>4176</v>
      </c>
      <c r="M975" s="4" t="s">
        <v>175</v>
      </c>
      <c r="N975" s="4" t="s">
        <v>125</v>
      </c>
      <c r="O975" s="4" t="s">
        <v>628</v>
      </c>
      <c r="P975" s="4" t="s">
        <v>629</v>
      </c>
    </row>
    <row r="976" spans="1:16" ht="15">
      <c r="A976" s="4" t="s">
        <v>1782</v>
      </c>
      <c r="B976" s="30">
        <v>40048</v>
      </c>
      <c r="C976" s="4"/>
      <c r="D976" s="4" t="s">
        <v>196</v>
      </c>
      <c r="E976" s="4" t="s">
        <v>170</v>
      </c>
      <c r="F976" s="4" t="s">
        <v>155</v>
      </c>
      <c r="G976" s="4">
        <v>5</v>
      </c>
      <c r="H976" s="4">
        <v>5</v>
      </c>
      <c r="I976" s="4" t="s">
        <v>139</v>
      </c>
      <c r="J976" s="4" t="s">
        <v>185</v>
      </c>
      <c r="K976" s="4" t="s">
        <v>142</v>
      </c>
      <c r="L976" s="4" t="s">
        <v>165</v>
      </c>
      <c r="M976" s="4" t="s">
        <v>1783</v>
      </c>
      <c r="N976" s="4" t="s">
        <v>158</v>
      </c>
      <c r="O976" s="4" t="s">
        <v>122</v>
      </c>
      <c r="P976" s="4"/>
    </row>
    <row r="977" spans="1:16" ht="15">
      <c r="A977" s="4" t="s">
        <v>1784</v>
      </c>
      <c r="B977" s="30">
        <v>39994</v>
      </c>
      <c r="C977" s="4"/>
      <c r="D977" s="4" t="s">
        <v>194</v>
      </c>
      <c r="E977" s="4" t="s">
        <v>170</v>
      </c>
      <c r="F977" s="4" t="s">
        <v>155</v>
      </c>
      <c r="G977" s="4"/>
      <c r="H977" s="4">
        <v>5</v>
      </c>
      <c r="I977" s="4" t="s">
        <v>139</v>
      </c>
      <c r="J977" s="4" t="s">
        <v>182</v>
      </c>
      <c r="K977" s="4" t="s">
        <v>146</v>
      </c>
      <c r="L977" s="4" t="s">
        <v>4176</v>
      </c>
      <c r="M977" s="4" t="s">
        <v>1572</v>
      </c>
      <c r="N977" s="4" t="s">
        <v>156</v>
      </c>
      <c r="O977" s="4" t="s">
        <v>120</v>
      </c>
      <c r="P977" s="4" t="s">
        <v>1785</v>
      </c>
    </row>
    <row r="978" spans="1:16" ht="15">
      <c r="A978" s="4" t="s">
        <v>1786</v>
      </c>
      <c r="B978" s="30">
        <v>39948</v>
      </c>
      <c r="C978" s="4"/>
      <c r="D978" s="4" t="s">
        <v>195</v>
      </c>
      <c r="E978" s="4" t="s">
        <v>170</v>
      </c>
      <c r="F978" s="4" t="s">
        <v>155</v>
      </c>
      <c r="G978" s="4"/>
      <c r="H978" s="4"/>
      <c r="I978" s="4" t="s">
        <v>139</v>
      </c>
      <c r="J978" s="4" t="s">
        <v>182</v>
      </c>
      <c r="K978" s="4" t="s">
        <v>142</v>
      </c>
      <c r="L978" s="4" t="s">
        <v>4181</v>
      </c>
      <c r="M978" s="4" t="s">
        <v>173</v>
      </c>
      <c r="N978" s="4" t="s">
        <v>155</v>
      </c>
      <c r="O978" s="4" t="s">
        <v>956</v>
      </c>
      <c r="P978" s="4"/>
    </row>
    <row r="979" spans="1:16" ht="15">
      <c r="A979" s="4" t="s">
        <v>1787</v>
      </c>
      <c r="B979" s="30">
        <v>40051</v>
      </c>
      <c r="C979" s="4"/>
      <c r="D979" s="4" t="s">
        <v>196</v>
      </c>
      <c r="E979" s="4" t="s">
        <v>170</v>
      </c>
      <c r="F979" s="4" t="s">
        <v>155</v>
      </c>
      <c r="G979" s="4">
        <v>5</v>
      </c>
      <c r="H979" s="4">
        <v>5</v>
      </c>
      <c r="I979" s="4" t="s">
        <v>139</v>
      </c>
      <c r="J979" s="4" t="s">
        <v>182</v>
      </c>
      <c r="K979" s="4" t="s">
        <v>144</v>
      </c>
      <c r="L979" s="4" t="s">
        <v>4176</v>
      </c>
      <c r="M979" s="4" t="s">
        <v>174</v>
      </c>
      <c r="N979" s="4" t="s">
        <v>156</v>
      </c>
      <c r="O979" s="4" t="s">
        <v>120</v>
      </c>
      <c r="P979" s="4" t="s">
        <v>1788</v>
      </c>
    </row>
    <row r="980" spans="1:16" ht="15">
      <c r="A980" s="4" t="s">
        <v>1789</v>
      </c>
      <c r="B980" s="30">
        <v>39970</v>
      </c>
      <c r="C980" s="4"/>
      <c r="D980" s="4" t="s">
        <v>193</v>
      </c>
      <c r="E980" s="4" t="s">
        <v>170</v>
      </c>
      <c r="F980" s="4" t="s">
        <v>155</v>
      </c>
      <c r="G980" s="4"/>
      <c r="H980" s="4"/>
      <c r="I980" s="4" t="s">
        <v>140</v>
      </c>
      <c r="J980" s="4" t="s">
        <v>182</v>
      </c>
      <c r="K980" s="4" t="s">
        <v>146</v>
      </c>
      <c r="L980" s="4" t="s">
        <v>4181</v>
      </c>
      <c r="M980" s="4" t="s">
        <v>1790</v>
      </c>
      <c r="N980" s="4" t="s">
        <v>155</v>
      </c>
      <c r="O980" s="4" t="s">
        <v>125</v>
      </c>
      <c r="P980" s="4"/>
    </row>
    <row r="981" spans="1:16" ht="15">
      <c r="A981" s="4" t="s">
        <v>1791</v>
      </c>
      <c r="B981" s="30">
        <v>39981</v>
      </c>
      <c r="C981" s="4" t="s">
        <v>380</v>
      </c>
      <c r="D981" s="4" t="s">
        <v>193</v>
      </c>
      <c r="E981" s="4" t="s">
        <v>170</v>
      </c>
      <c r="F981" s="4" t="s">
        <v>155</v>
      </c>
      <c r="G981" s="4"/>
      <c r="H981" s="4"/>
      <c r="I981" s="4" t="s">
        <v>140</v>
      </c>
      <c r="J981" s="4" t="s">
        <v>178</v>
      </c>
      <c r="K981" s="4" t="s">
        <v>142</v>
      </c>
      <c r="L981" s="4" t="s">
        <v>4176</v>
      </c>
      <c r="M981" s="4" t="s">
        <v>174</v>
      </c>
      <c r="N981" s="4" t="s">
        <v>156</v>
      </c>
      <c r="O981" s="4" t="s">
        <v>120</v>
      </c>
      <c r="P981" s="4" t="s">
        <v>929</v>
      </c>
    </row>
    <row r="982" spans="1:16" ht="15">
      <c r="A982" s="4" t="s">
        <v>1792</v>
      </c>
      <c r="B982" s="30">
        <v>40042</v>
      </c>
      <c r="C982" s="4" t="s">
        <v>9</v>
      </c>
      <c r="D982" s="4" t="s">
        <v>195</v>
      </c>
      <c r="E982" s="4" t="s">
        <v>170</v>
      </c>
      <c r="F982" s="4" t="s">
        <v>155</v>
      </c>
      <c r="G982" s="4">
        <v>5</v>
      </c>
      <c r="H982" s="4">
        <v>5</v>
      </c>
      <c r="I982" s="4" t="s">
        <v>139</v>
      </c>
      <c r="J982" s="4" t="s">
        <v>384</v>
      </c>
      <c r="K982" s="4" t="s">
        <v>145</v>
      </c>
      <c r="L982" s="4" t="s">
        <v>4176</v>
      </c>
      <c r="M982" s="4" t="s">
        <v>174</v>
      </c>
      <c r="N982" s="4" t="s">
        <v>156</v>
      </c>
      <c r="O982" s="4" t="s">
        <v>120</v>
      </c>
      <c r="P982" s="4" t="s">
        <v>631</v>
      </c>
    </row>
    <row r="983" spans="1:16" ht="15">
      <c r="A983" s="4" t="s">
        <v>1793</v>
      </c>
      <c r="B983" s="30">
        <v>40004</v>
      </c>
      <c r="C983" s="4"/>
      <c r="D983" s="4" t="s">
        <v>193</v>
      </c>
      <c r="E983" s="4" t="s">
        <v>170</v>
      </c>
      <c r="F983" s="4" t="s">
        <v>155</v>
      </c>
      <c r="G983" s="4">
        <v>5</v>
      </c>
      <c r="H983" s="4">
        <v>3</v>
      </c>
      <c r="I983" s="4" t="s">
        <v>140</v>
      </c>
      <c r="J983" s="4" t="s">
        <v>178</v>
      </c>
      <c r="K983" s="4" t="s">
        <v>144</v>
      </c>
      <c r="L983" s="4" t="s">
        <v>4176</v>
      </c>
      <c r="M983" s="4" t="s">
        <v>174</v>
      </c>
      <c r="N983" s="4" t="s">
        <v>157</v>
      </c>
      <c r="O983" s="4" t="s">
        <v>127</v>
      </c>
      <c r="P983" s="4" t="s">
        <v>153</v>
      </c>
    </row>
    <row r="984" spans="1:16" ht="15">
      <c r="A984" s="4" t="s">
        <v>1794</v>
      </c>
      <c r="B984" s="30">
        <v>39944</v>
      </c>
      <c r="C984" s="4" t="s">
        <v>525</v>
      </c>
      <c r="D984" s="4" t="s">
        <v>194</v>
      </c>
      <c r="E984" s="4" t="s">
        <v>170</v>
      </c>
      <c r="F984" s="4" t="s">
        <v>155</v>
      </c>
      <c r="G984" s="4"/>
      <c r="H984" s="4"/>
      <c r="I984" s="4" t="s">
        <v>139</v>
      </c>
      <c r="J984" s="4" t="s">
        <v>178</v>
      </c>
      <c r="K984" s="4" t="s">
        <v>142</v>
      </c>
      <c r="L984" s="4" t="s">
        <v>4176</v>
      </c>
      <c r="M984" s="4" t="s">
        <v>174</v>
      </c>
      <c r="N984" s="4" t="s">
        <v>156</v>
      </c>
      <c r="O984" s="4" t="s">
        <v>120</v>
      </c>
      <c r="P984" s="4" t="s">
        <v>1795</v>
      </c>
    </row>
    <row r="985" spans="1:16" ht="15">
      <c r="A985" s="4" t="s">
        <v>1796</v>
      </c>
      <c r="B985" s="30">
        <v>39990</v>
      </c>
      <c r="C985" s="4"/>
      <c r="D985" s="4" t="s">
        <v>193</v>
      </c>
      <c r="E985" s="4" t="s">
        <v>170</v>
      </c>
      <c r="F985" s="4" t="s">
        <v>155</v>
      </c>
      <c r="G985" s="4"/>
      <c r="H985" s="4">
        <v>5</v>
      </c>
      <c r="I985" s="4" t="s">
        <v>140</v>
      </c>
      <c r="J985" s="4" t="s">
        <v>182</v>
      </c>
      <c r="K985" s="4" t="s">
        <v>142</v>
      </c>
      <c r="L985" s="4" t="s">
        <v>4176</v>
      </c>
      <c r="M985" s="4" t="s">
        <v>1797</v>
      </c>
      <c r="N985" s="4" t="s">
        <v>157</v>
      </c>
      <c r="O985" s="4" t="s">
        <v>127</v>
      </c>
      <c r="P985" s="4" t="s">
        <v>1798</v>
      </c>
    </row>
    <row r="986" spans="1:16" ht="15">
      <c r="A986" s="4" t="s">
        <v>1799</v>
      </c>
      <c r="B986" s="30">
        <v>39986</v>
      </c>
      <c r="C986" s="4"/>
      <c r="D986" s="4" t="s">
        <v>196</v>
      </c>
      <c r="E986" s="4" t="s">
        <v>170</v>
      </c>
      <c r="F986" s="4" t="s">
        <v>155</v>
      </c>
      <c r="G986" s="4"/>
      <c r="H986" s="4"/>
      <c r="I986" s="4" t="s">
        <v>139</v>
      </c>
      <c r="J986" s="4" t="s">
        <v>185</v>
      </c>
      <c r="K986" s="4" t="s">
        <v>146</v>
      </c>
      <c r="L986" s="4" t="s">
        <v>4176</v>
      </c>
      <c r="M986" s="4" t="s">
        <v>174</v>
      </c>
      <c r="N986" s="4" t="s">
        <v>156</v>
      </c>
      <c r="O986" s="4" t="s">
        <v>120</v>
      </c>
      <c r="P986" s="4" t="s">
        <v>565</v>
      </c>
    </row>
    <row r="987" spans="1:16" ht="15">
      <c r="A987" s="4" t="s">
        <v>1800</v>
      </c>
      <c r="B987" s="30">
        <v>39936</v>
      </c>
      <c r="C987" s="4"/>
      <c r="D987" s="4" t="s">
        <v>4182</v>
      </c>
      <c r="E987" s="4" t="s">
        <v>170</v>
      </c>
      <c r="F987" s="4" t="s">
        <v>155</v>
      </c>
      <c r="G987" s="4"/>
      <c r="H987" s="4"/>
      <c r="I987" s="4" t="s">
        <v>139</v>
      </c>
      <c r="J987" s="4" t="s">
        <v>185</v>
      </c>
      <c r="K987" s="4" t="s">
        <v>142</v>
      </c>
      <c r="L987" s="4" t="s">
        <v>4181</v>
      </c>
      <c r="M987" s="4" t="s">
        <v>173</v>
      </c>
      <c r="N987" s="4" t="s">
        <v>155</v>
      </c>
      <c r="O987" s="4" t="s">
        <v>692</v>
      </c>
      <c r="P987" s="4"/>
    </row>
    <row r="988" spans="1:16" ht="15">
      <c r="A988" s="4" t="s">
        <v>1801</v>
      </c>
      <c r="B988" s="30">
        <v>40028</v>
      </c>
      <c r="C988" s="4"/>
      <c r="D988" s="4" t="s">
        <v>195</v>
      </c>
      <c r="E988" s="4" t="s">
        <v>170</v>
      </c>
      <c r="F988" s="4" t="s">
        <v>155</v>
      </c>
      <c r="G988" s="4">
        <v>2</v>
      </c>
      <c r="H988" s="4">
        <v>3</v>
      </c>
      <c r="I988" s="4" t="s">
        <v>139</v>
      </c>
      <c r="J988" s="4" t="s">
        <v>185</v>
      </c>
      <c r="K988" s="4" t="s">
        <v>143</v>
      </c>
      <c r="L988" s="4" t="s">
        <v>4181</v>
      </c>
      <c r="M988" s="4" t="s">
        <v>173</v>
      </c>
      <c r="N988" s="4" t="s">
        <v>155</v>
      </c>
      <c r="O988" s="4" t="s">
        <v>125</v>
      </c>
      <c r="P988" s="4"/>
    </row>
    <row r="989" spans="1:16" ht="15">
      <c r="A989" s="4" t="s">
        <v>1802</v>
      </c>
      <c r="B989" s="30">
        <v>40039</v>
      </c>
      <c r="C989" s="4"/>
      <c r="D989" s="4" t="s">
        <v>193</v>
      </c>
      <c r="E989" s="4" t="s">
        <v>170</v>
      </c>
      <c r="F989" s="4" t="s">
        <v>155</v>
      </c>
      <c r="G989" s="4">
        <v>4</v>
      </c>
      <c r="H989" s="4">
        <v>2</v>
      </c>
      <c r="I989" s="4" t="s">
        <v>140</v>
      </c>
      <c r="J989" s="4" t="s">
        <v>534</v>
      </c>
      <c r="K989" s="4" t="s">
        <v>144</v>
      </c>
      <c r="L989" s="4" t="s">
        <v>162</v>
      </c>
      <c r="M989" s="4" t="s">
        <v>176</v>
      </c>
      <c r="N989" s="4" t="s">
        <v>155</v>
      </c>
      <c r="O989" s="4" t="s">
        <v>129</v>
      </c>
      <c r="P989" s="4"/>
    </row>
    <row r="990" spans="1:16" ht="15">
      <c r="A990" s="4" t="s">
        <v>1803</v>
      </c>
      <c r="B990" s="30">
        <v>39960</v>
      </c>
      <c r="C990" s="4"/>
      <c r="D990" s="4" t="s">
        <v>194</v>
      </c>
      <c r="E990" s="4" t="s">
        <v>170</v>
      </c>
      <c r="F990" s="4" t="s">
        <v>155</v>
      </c>
      <c r="G990" s="4"/>
      <c r="H990" s="4"/>
      <c r="I990" s="4" t="s">
        <v>139</v>
      </c>
      <c r="J990" s="4" t="s">
        <v>185</v>
      </c>
      <c r="K990" s="4" t="s">
        <v>148</v>
      </c>
      <c r="L990" s="4" t="s">
        <v>4181</v>
      </c>
      <c r="M990" s="4" t="s">
        <v>173</v>
      </c>
      <c r="N990" s="4" t="s">
        <v>161</v>
      </c>
      <c r="O990" s="4" t="s">
        <v>939</v>
      </c>
      <c r="P990" s="4"/>
    </row>
    <row r="991" spans="1:16" ht="15">
      <c r="A991" s="4" t="s">
        <v>1804</v>
      </c>
      <c r="B991" s="30">
        <v>39927</v>
      </c>
      <c r="C991" s="4"/>
      <c r="D991" s="4" t="s">
        <v>4180</v>
      </c>
      <c r="E991" s="4" t="s">
        <v>170</v>
      </c>
      <c r="F991" s="4" t="s">
        <v>155</v>
      </c>
      <c r="G991" s="4"/>
      <c r="H991" s="4"/>
      <c r="I991" s="4" t="s">
        <v>139</v>
      </c>
      <c r="J991" s="4" t="s">
        <v>185</v>
      </c>
      <c r="K991" s="4" t="s">
        <v>143</v>
      </c>
      <c r="L991" s="4" t="s">
        <v>162</v>
      </c>
      <c r="M991" s="4" t="s">
        <v>175</v>
      </c>
      <c r="N991" s="4" t="s">
        <v>155</v>
      </c>
      <c r="O991" s="4" t="s">
        <v>130</v>
      </c>
      <c r="P991" s="4"/>
    </row>
    <row r="992" spans="1:16" ht="15">
      <c r="A992" s="4" t="s">
        <v>1805</v>
      </c>
      <c r="B992" s="30">
        <v>40020</v>
      </c>
      <c r="C992" s="4"/>
      <c r="D992" s="4" t="s">
        <v>197</v>
      </c>
      <c r="E992" s="4" t="s">
        <v>170</v>
      </c>
      <c r="F992" s="4" t="s">
        <v>155</v>
      </c>
      <c r="G992" s="4">
        <v>4</v>
      </c>
      <c r="H992" s="4">
        <v>3</v>
      </c>
      <c r="I992" s="4" t="s">
        <v>139</v>
      </c>
      <c r="J992" s="4" t="s">
        <v>187</v>
      </c>
      <c r="K992" s="4" t="s">
        <v>151</v>
      </c>
      <c r="L992" s="4" t="s">
        <v>162</v>
      </c>
      <c r="M992" s="4" t="s">
        <v>175</v>
      </c>
      <c r="N992" s="4" t="s">
        <v>155</v>
      </c>
      <c r="O992" s="4" t="s">
        <v>130</v>
      </c>
      <c r="P992" s="4"/>
    </row>
    <row r="993" spans="1:16" ht="15">
      <c r="A993" s="4" t="s">
        <v>1806</v>
      </c>
      <c r="B993" s="30">
        <v>40086</v>
      </c>
      <c r="C993" s="4"/>
      <c r="D993" s="4" t="s">
        <v>197</v>
      </c>
      <c r="E993" s="4" t="s">
        <v>170</v>
      </c>
      <c r="F993" s="4" t="s">
        <v>155</v>
      </c>
      <c r="G993" s="4"/>
      <c r="H993" s="4"/>
      <c r="I993" s="4" t="s">
        <v>139</v>
      </c>
      <c r="J993" s="4" t="s">
        <v>178</v>
      </c>
      <c r="K993" s="4" t="s">
        <v>145</v>
      </c>
      <c r="L993" s="4" t="s">
        <v>4181</v>
      </c>
      <c r="M993" s="4" t="s">
        <v>173</v>
      </c>
      <c r="N993" s="4" t="s">
        <v>155</v>
      </c>
      <c r="O993" s="4" t="s">
        <v>128</v>
      </c>
      <c r="P993" s="4"/>
    </row>
    <row r="994" spans="1:16" ht="15">
      <c r="A994" s="4" t="s">
        <v>1807</v>
      </c>
      <c r="B994" s="30">
        <v>39953</v>
      </c>
      <c r="C994" s="4"/>
      <c r="D994" s="4" t="s">
        <v>193</v>
      </c>
      <c r="E994" s="4" t="s">
        <v>170</v>
      </c>
      <c r="F994" s="4" t="s">
        <v>155</v>
      </c>
      <c r="G994" s="4"/>
      <c r="H994" s="4"/>
      <c r="I994" s="4" t="s">
        <v>140</v>
      </c>
      <c r="J994" s="4" t="s">
        <v>178</v>
      </c>
      <c r="K994" s="4" t="s">
        <v>143</v>
      </c>
      <c r="L994" s="4" t="s">
        <v>4181</v>
      </c>
      <c r="M994" s="4" t="s">
        <v>173</v>
      </c>
      <c r="N994" s="4" t="s">
        <v>155</v>
      </c>
      <c r="O994" s="4" t="s">
        <v>962</v>
      </c>
      <c r="P994" s="4"/>
    </row>
    <row r="995" spans="1:16" ht="15">
      <c r="A995" s="4" t="s">
        <v>1808</v>
      </c>
      <c r="B995" s="30">
        <v>40075</v>
      </c>
      <c r="C995" s="4" t="s">
        <v>383</v>
      </c>
      <c r="D995" s="4" t="s">
        <v>193</v>
      </c>
      <c r="E995" s="4" t="s">
        <v>170</v>
      </c>
      <c r="F995" s="4" t="s">
        <v>155</v>
      </c>
      <c r="G995" s="4">
        <v>5</v>
      </c>
      <c r="H995" s="4">
        <v>5</v>
      </c>
      <c r="I995" s="4" t="s">
        <v>140</v>
      </c>
      <c r="J995" s="4" t="s">
        <v>384</v>
      </c>
      <c r="K995" s="4" t="s">
        <v>151</v>
      </c>
      <c r="L995" s="4" t="s">
        <v>4181</v>
      </c>
      <c r="M995" s="4" t="s">
        <v>1308</v>
      </c>
      <c r="N995" s="4" t="s">
        <v>155</v>
      </c>
      <c r="O995" s="4" t="s">
        <v>510</v>
      </c>
      <c r="P995" s="4"/>
    </row>
    <row r="996" spans="1:16" ht="15">
      <c r="A996" s="4" t="s">
        <v>1809</v>
      </c>
      <c r="B996" s="30">
        <v>39907</v>
      </c>
      <c r="C996" s="4" t="s">
        <v>496</v>
      </c>
      <c r="D996" s="4" t="s">
        <v>4184</v>
      </c>
      <c r="E996" s="4" t="s">
        <v>170</v>
      </c>
      <c r="F996" s="4" t="s">
        <v>155</v>
      </c>
      <c r="G996" s="4"/>
      <c r="H996" s="4"/>
      <c r="I996" s="4" t="s">
        <v>140</v>
      </c>
      <c r="J996" s="4" t="s">
        <v>182</v>
      </c>
      <c r="K996" s="4" t="s">
        <v>143</v>
      </c>
      <c r="L996" s="4" t="s">
        <v>4181</v>
      </c>
      <c r="M996" s="4" t="s">
        <v>173</v>
      </c>
      <c r="N996" s="4" t="s">
        <v>155</v>
      </c>
      <c r="O996" s="4" t="s">
        <v>124</v>
      </c>
      <c r="P996" s="4"/>
    </row>
    <row r="997" spans="1:16" ht="15">
      <c r="A997" s="4" t="s">
        <v>1810</v>
      </c>
      <c r="B997" s="30">
        <v>40086</v>
      </c>
      <c r="C997" s="4" t="s">
        <v>380</v>
      </c>
      <c r="D997" s="4" t="s">
        <v>544</v>
      </c>
      <c r="E997" s="4" t="s">
        <v>170</v>
      </c>
      <c r="F997" s="4" t="s">
        <v>155</v>
      </c>
      <c r="G997" s="4">
        <v>5</v>
      </c>
      <c r="H997" s="4">
        <v>3</v>
      </c>
      <c r="I997" s="4" t="s">
        <v>139</v>
      </c>
      <c r="J997" s="4" t="s">
        <v>384</v>
      </c>
      <c r="K997" s="4" t="s">
        <v>143</v>
      </c>
      <c r="L997" s="4" t="s">
        <v>4181</v>
      </c>
      <c r="M997" s="4" t="s">
        <v>1811</v>
      </c>
      <c r="N997" s="4" t="s">
        <v>155</v>
      </c>
      <c r="O997" s="4" t="s">
        <v>128</v>
      </c>
      <c r="P997" s="4"/>
    </row>
    <row r="998" spans="1:16" ht="15">
      <c r="A998" s="4" t="s">
        <v>1812</v>
      </c>
      <c r="B998" s="30">
        <v>40044</v>
      </c>
      <c r="C998" s="4"/>
      <c r="D998" s="4" t="s">
        <v>195</v>
      </c>
      <c r="E998" s="4" t="s">
        <v>170</v>
      </c>
      <c r="F998" s="4" t="s">
        <v>155</v>
      </c>
      <c r="G998" s="4">
        <v>5</v>
      </c>
      <c r="H998" s="4">
        <v>3</v>
      </c>
      <c r="I998" s="4" t="s">
        <v>139</v>
      </c>
      <c r="J998" s="4" t="s">
        <v>178</v>
      </c>
      <c r="K998" s="4" t="s">
        <v>144</v>
      </c>
      <c r="L998" s="4" t="s">
        <v>4181</v>
      </c>
      <c r="M998" s="4" t="s">
        <v>173</v>
      </c>
      <c r="N998" s="4" t="s">
        <v>155</v>
      </c>
      <c r="O998" s="4" t="s">
        <v>501</v>
      </c>
      <c r="P998" s="4"/>
    </row>
    <row r="999" spans="1:16" ht="15">
      <c r="A999" s="4" t="s">
        <v>1813</v>
      </c>
      <c r="B999" s="30">
        <v>40022</v>
      </c>
      <c r="C999" s="4"/>
      <c r="D999" s="4" t="s">
        <v>193</v>
      </c>
      <c r="E999" s="4" t="s">
        <v>170</v>
      </c>
      <c r="F999" s="4" t="s">
        <v>155</v>
      </c>
      <c r="G999" s="4">
        <v>5</v>
      </c>
      <c r="H999" s="4">
        <v>4</v>
      </c>
      <c r="I999" s="4" t="s">
        <v>140</v>
      </c>
      <c r="J999" s="4" t="s">
        <v>183</v>
      </c>
      <c r="K999" s="4" t="s">
        <v>145</v>
      </c>
      <c r="L999" s="4" t="s">
        <v>4181</v>
      </c>
      <c r="M999" s="4" t="s">
        <v>173</v>
      </c>
      <c r="N999" s="4" t="s">
        <v>155</v>
      </c>
      <c r="O999" s="4" t="s">
        <v>128</v>
      </c>
      <c r="P999" s="4"/>
    </row>
    <row r="1000" spans="1:16" ht="15">
      <c r="A1000" s="4" t="s">
        <v>1814</v>
      </c>
      <c r="B1000" s="30">
        <v>39914</v>
      </c>
      <c r="C1000" s="4"/>
      <c r="D1000" s="4" t="s">
        <v>4177</v>
      </c>
      <c r="E1000" s="4" t="s">
        <v>170</v>
      </c>
      <c r="F1000" s="4" t="s">
        <v>155</v>
      </c>
      <c r="G1000" s="4"/>
      <c r="H1000" s="4"/>
      <c r="I1000" s="4" t="s">
        <v>139</v>
      </c>
      <c r="J1000" s="4" t="s">
        <v>528</v>
      </c>
      <c r="K1000" s="4" t="s">
        <v>142</v>
      </c>
      <c r="L1000" s="4" t="s">
        <v>4181</v>
      </c>
      <c r="M1000" s="4" t="s">
        <v>173</v>
      </c>
      <c r="N1000" s="4" t="s">
        <v>161</v>
      </c>
      <c r="O1000" s="4" t="s">
        <v>465</v>
      </c>
      <c r="P1000" s="4"/>
    </row>
    <row r="1001" spans="1:16" ht="15">
      <c r="A1001" s="4" t="s">
        <v>1815</v>
      </c>
      <c r="B1001" s="30">
        <v>39941</v>
      </c>
      <c r="C1001" s="4"/>
      <c r="D1001" s="4" t="s">
        <v>194</v>
      </c>
      <c r="E1001" s="4" t="s">
        <v>170</v>
      </c>
      <c r="F1001" s="4" t="s">
        <v>155</v>
      </c>
      <c r="G1001" s="4"/>
      <c r="H1001" s="4"/>
      <c r="I1001" s="4" t="s">
        <v>139</v>
      </c>
      <c r="J1001" s="4" t="s">
        <v>185</v>
      </c>
      <c r="K1001" s="4" t="s">
        <v>145</v>
      </c>
      <c r="L1001" s="4" t="s">
        <v>4181</v>
      </c>
      <c r="M1001" s="4"/>
      <c r="N1001" s="4" t="s">
        <v>155</v>
      </c>
      <c r="O1001" s="4" t="s">
        <v>406</v>
      </c>
      <c r="P1001" s="4"/>
    </row>
    <row r="1002" spans="1:16" ht="15">
      <c r="A1002" s="4" t="s">
        <v>1816</v>
      </c>
      <c r="B1002" s="30">
        <v>39951</v>
      </c>
      <c r="C1002" s="4"/>
      <c r="D1002" s="4" t="s">
        <v>195</v>
      </c>
      <c r="E1002" s="4" t="s">
        <v>170</v>
      </c>
      <c r="F1002" s="4" t="s">
        <v>155</v>
      </c>
      <c r="G1002" s="4"/>
      <c r="H1002" s="4"/>
      <c r="I1002" s="4" t="s">
        <v>139</v>
      </c>
      <c r="J1002" s="4" t="s">
        <v>185</v>
      </c>
      <c r="K1002" s="4" t="s">
        <v>147</v>
      </c>
      <c r="L1002" s="4" t="s">
        <v>4176</v>
      </c>
      <c r="M1002" s="4" t="s">
        <v>174</v>
      </c>
      <c r="N1002" s="4" t="s">
        <v>159</v>
      </c>
      <c r="O1002" s="4" t="s">
        <v>123</v>
      </c>
      <c r="P1002" s="4" t="s">
        <v>123</v>
      </c>
    </row>
    <row r="1003" spans="1:16" ht="15">
      <c r="A1003" s="4" t="s">
        <v>1817</v>
      </c>
      <c r="B1003" s="30">
        <v>39935</v>
      </c>
      <c r="C1003" s="4"/>
      <c r="D1003" s="4" t="s">
        <v>4182</v>
      </c>
      <c r="E1003" s="4" t="s">
        <v>170</v>
      </c>
      <c r="F1003" s="4" t="s">
        <v>155</v>
      </c>
      <c r="G1003" s="4"/>
      <c r="H1003" s="4"/>
      <c r="I1003" s="4" t="s">
        <v>139</v>
      </c>
      <c r="J1003" s="4" t="s">
        <v>181</v>
      </c>
      <c r="K1003" s="4" t="s">
        <v>145</v>
      </c>
      <c r="L1003" s="4" t="s">
        <v>4181</v>
      </c>
      <c r="M1003" s="4" t="s">
        <v>1818</v>
      </c>
      <c r="N1003" s="4" t="s">
        <v>161</v>
      </c>
      <c r="O1003" s="4" t="s">
        <v>1216</v>
      </c>
      <c r="P1003" s="4"/>
    </row>
    <row r="1004" spans="1:16" ht="15">
      <c r="A1004" s="4" t="s">
        <v>1819</v>
      </c>
      <c r="B1004" s="30">
        <v>39990</v>
      </c>
      <c r="C1004" s="4" t="s">
        <v>525</v>
      </c>
      <c r="D1004" s="4" t="s">
        <v>195</v>
      </c>
      <c r="E1004" s="4" t="s">
        <v>170</v>
      </c>
      <c r="F1004" s="4" t="s">
        <v>155</v>
      </c>
      <c r="G1004" s="4"/>
      <c r="H1004" s="4">
        <v>5</v>
      </c>
      <c r="I1004" s="4" t="s">
        <v>139</v>
      </c>
      <c r="J1004" s="4" t="s">
        <v>190</v>
      </c>
      <c r="K1004" s="4" t="s">
        <v>142</v>
      </c>
      <c r="L1004" s="4" t="s">
        <v>4176</v>
      </c>
      <c r="M1004" s="4" t="s">
        <v>654</v>
      </c>
      <c r="N1004" s="4" t="s">
        <v>159</v>
      </c>
      <c r="O1004" s="4" t="s">
        <v>123</v>
      </c>
      <c r="P1004" s="4" t="s">
        <v>123</v>
      </c>
    </row>
    <row r="1005" spans="1:16" ht="15">
      <c r="A1005" s="4" t="s">
        <v>1820</v>
      </c>
      <c r="B1005" s="30">
        <v>39959</v>
      </c>
      <c r="C1005" s="4" t="s">
        <v>380</v>
      </c>
      <c r="D1005" s="4" t="s">
        <v>195</v>
      </c>
      <c r="E1005" s="4" t="s">
        <v>170</v>
      </c>
      <c r="F1005" s="4" t="s">
        <v>155</v>
      </c>
      <c r="G1005" s="4"/>
      <c r="H1005" s="4"/>
      <c r="I1005" s="4" t="s">
        <v>139</v>
      </c>
      <c r="J1005" s="4" t="s">
        <v>479</v>
      </c>
      <c r="K1005" s="4" t="s">
        <v>144</v>
      </c>
      <c r="L1005" s="4" t="s">
        <v>4176</v>
      </c>
      <c r="M1005" s="4" t="s">
        <v>175</v>
      </c>
      <c r="N1005" s="4" t="s">
        <v>159</v>
      </c>
      <c r="O1005" s="4" t="s">
        <v>126</v>
      </c>
      <c r="P1005" s="4" t="s">
        <v>601</v>
      </c>
    </row>
    <row r="1006" spans="1:16" ht="15">
      <c r="A1006" s="4" t="s">
        <v>1821</v>
      </c>
      <c r="B1006" s="30">
        <v>39955</v>
      </c>
      <c r="C1006" s="4"/>
      <c r="D1006" s="4" t="s">
        <v>193</v>
      </c>
      <c r="E1006" s="4" t="s">
        <v>170</v>
      </c>
      <c r="F1006" s="4" t="s">
        <v>155</v>
      </c>
      <c r="G1006" s="4"/>
      <c r="H1006" s="4"/>
      <c r="I1006" s="4" t="s">
        <v>140</v>
      </c>
      <c r="J1006" s="4" t="s">
        <v>180</v>
      </c>
      <c r="K1006" s="4" t="s">
        <v>145</v>
      </c>
      <c r="L1006" s="4" t="s">
        <v>165</v>
      </c>
      <c r="M1006" s="4" t="s">
        <v>1130</v>
      </c>
      <c r="N1006" s="4" t="s">
        <v>158</v>
      </c>
      <c r="O1006" s="4" t="s">
        <v>122</v>
      </c>
      <c r="P1006" s="4"/>
    </row>
    <row r="1007" spans="1:16" ht="15">
      <c r="A1007" s="4" t="s">
        <v>1822</v>
      </c>
      <c r="B1007" s="30">
        <v>40027</v>
      </c>
      <c r="C1007" s="4"/>
      <c r="D1007" s="4" t="s">
        <v>197</v>
      </c>
      <c r="E1007" s="4" t="s">
        <v>170</v>
      </c>
      <c r="F1007" s="4" t="s">
        <v>155</v>
      </c>
      <c r="G1007" s="4">
        <v>5</v>
      </c>
      <c r="H1007" s="4">
        <v>5</v>
      </c>
      <c r="I1007" s="4" t="s">
        <v>139</v>
      </c>
      <c r="J1007" s="4" t="s">
        <v>603</v>
      </c>
      <c r="K1007" s="4" t="s">
        <v>145</v>
      </c>
      <c r="L1007" s="4" t="s">
        <v>4181</v>
      </c>
      <c r="M1007" s="4" t="s">
        <v>1823</v>
      </c>
      <c r="N1007" s="4" t="s">
        <v>155</v>
      </c>
      <c r="O1007" s="4" t="s">
        <v>124</v>
      </c>
      <c r="P1007" s="4"/>
    </row>
    <row r="1008" spans="1:16" ht="15">
      <c r="A1008" s="4" t="s">
        <v>1824</v>
      </c>
      <c r="B1008" s="30">
        <v>39952</v>
      </c>
      <c r="C1008" s="4" t="s">
        <v>9</v>
      </c>
      <c r="D1008" s="4" t="s">
        <v>195</v>
      </c>
      <c r="E1008" s="4" t="s">
        <v>170</v>
      </c>
      <c r="F1008" s="4" t="s">
        <v>155</v>
      </c>
      <c r="G1008" s="4"/>
      <c r="H1008" s="4"/>
      <c r="I1008" s="4" t="s">
        <v>139</v>
      </c>
      <c r="J1008" s="4" t="s">
        <v>391</v>
      </c>
      <c r="K1008" s="4" t="s">
        <v>149</v>
      </c>
      <c r="L1008" s="4" t="s">
        <v>4181</v>
      </c>
      <c r="M1008" s="4" t="s">
        <v>415</v>
      </c>
      <c r="N1008" s="4" t="s">
        <v>155</v>
      </c>
      <c r="O1008" s="4" t="s">
        <v>125</v>
      </c>
      <c r="P1008" s="4"/>
    </row>
    <row r="1009" spans="1:16" ht="15">
      <c r="A1009" s="4" t="s">
        <v>1825</v>
      </c>
      <c r="B1009" s="30">
        <v>39988</v>
      </c>
      <c r="C1009" s="4"/>
      <c r="D1009" s="4" t="s">
        <v>196</v>
      </c>
      <c r="E1009" s="4" t="s">
        <v>170</v>
      </c>
      <c r="F1009" s="4" t="s">
        <v>155</v>
      </c>
      <c r="G1009" s="4"/>
      <c r="H1009" s="4"/>
      <c r="I1009" s="4" t="s">
        <v>139</v>
      </c>
      <c r="J1009" s="4" t="s">
        <v>183</v>
      </c>
      <c r="K1009" s="4" t="s">
        <v>146</v>
      </c>
      <c r="L1009" s="4" t="s">
        <v>165</v>
      </c>
      <c r="M1009" s="4" t="s">
        <v>589</v>
      </c>
      <c r="N1009" s="4" t="s">
        <v>158</v>
      </c>
      <c r="O1009" s="4" t="s">
        <v>122</v>
      </c>
      <c r="P1009" s="4"/>
    </row>
    <row r="1010" spans="1:16" ht="15">
      <c r="A1010" s="4" t="s">
        <v>1826</v>
      </c>
      <c r="B1010" s="30">
        <v>39949</v>
      </c>
      <c r="C1010" s="4"/>
      <c r="D1010" s="4" t="s">
        <v>193</v>
      </c>
      <c r="E1010" s="4" t="s">
        <v>170</v>
      </c>
      <c r="F1010" s="4" t="s">
        <v>155</v>
      </c>
      <c r="G1010" s="4"/>
      <c r="H1010" s="4"/>
      <c r="I1010" s="4" t="s">
        <v>140</v>
      </c>
      <c r="J1010" s="4" t="s">
        <v>183</v>
      </c>
      <c r="K1010" s="4" t="s">
        <v>149</v>
      </c>
      <c r="L1010" s="4" t="s">
        <v>4181</v>
      </c>
      <c r="M1010" s="4" t="s">
        <v>1827</v>
      </c>
      <c r="N1010" s="4" t="s">
        <v>155</v>
      </c>
      <c r="O1010" s="4" t="s">
        <v>124</v>
      </c>
      <c r="P1010" s="4"/>
    </row>
    <row r="1011" spans="1:16" ht="15">
      <c r="A1011" s="4" t="s">
        <v>1828</v>
      </c>
      <c r="B1011" s="30">
        <v>39921</v>
      </c>
      <c r="C1011" s="4"/>
      <c r="D1011" s="4" t="s">
        <v>4182</v>
      </c>
      <c r="E1011" s="4" t="s">
        <v>170</v>
      </c>
      <c r="F1011" s="4" t="s">
        <v>155</v>
      </c>
      <c r="G1011" s="4"/>
      <c r="H1011" s="4"/>
      <c r="I1011" s="4" t="s">
        <v>139</v>
      </c>
      <c r="J1011" s="4" t="s">
        <v>181</v>
      </c>
      <c r="K1011" s="4" t="s">
        <v>142</v>
      </c>
      <c r="L1011" s="4" t="s">
        <v>4176</v>
      </c>
      <c r="M1011" s="4" t="s">
        <v>174</v>
      </c>
      <c r="N1011" s="4" t="s">
        <v>156</v>
      </c>
      <c r="O1011" s="4" t="s">
        <v>120</v>
      </c>
      <c r="P1011" s="4" t="s">
        <v>1829</v>
      </c>
    </row>
    <row r="1012" spans="1:16" ht="15">
      <c r="A1012" s="4" t="s">
        <v>1830</v>
      </c>
      <c r="B1012" s="30">
        <v>40017</v>
      </c>
      <c r="C1012" s="4"/>
      <c r="D1012" s="4" t="s">
        <v>193</v>
      </c>
      <c r="E1012" s="4" t="s">
        <v>170</v>
      </c>
      <c r="F1012" s="4" t="s">
        <v>155</v>
      </c>
      <c r="G1012" s="4">
        <v>1</v>
      </c>
      <c r="H1012" s="4">
        <v>4</v>
      </c>
      <c r="I1012" s="4" t="s">
        <v>140</v>
      </c>
      <c r="J1012" s="4" t="s">
        <v>181</v>
      </c>
      <c r="K1012" s="4" t="s">
        <v>143</v>
      </c>
      <c r="L1012" s="4" t="s">
        <v>4176</v>
      </c>
      <c r="M1012" s="4" t="s">
        <v>550</v>
      </c>
      <c r="N1012" s="4" t="s">
        <v>160</v>
      </c>
      <c r="O1012" s="4" t="s">
        <v>126</v>
      </c>
      <c r="P1012" s="4" t="s">
        <v>551</v>
      </c>
    </row>
    <row r="1013" spans="1:16" ht="15">
      <c r="A1013" s="4" t="s">
        <v>1831</v>
      </c>
      <c r="B1013" s="30">
        <v>40030</v>
      </c>
      <c r="C1013" s="4" t="s">
        <v>380</v>
      </c>
      <c r="D1013" s="4" t="s">
        <v>197</v>
      </c>
      <c r="E1013" s="4" t="s">
        <v>170</v>
      </c>
      <c r="F1013" s="4" t="s">
        <v>155</v>
      </c>
      <c r="G1013" s="4">
        <v>5</v>
      </c>
      <c r="H1013" s="4">
        <v>5</v>
      </c>
      <c r="I1013" s="4" t="s">
        <v>139</v>
      </c>
      <c r="J1013" s="4" t="s">
        <v>180</v>
      </c>
      <c r="K1013" s="4" t="s">
        <v>150</v>
      </c>
      <c r="L1013" s="4" t="s">
        <v>4181</v>
      </c>
      <c r="M1013" s="4" t="s">
        <v>1832</v>
      </c>
      <c r="N1013" s="4" t="s">
        <v>155</v>
      </c>
      <c r="O1013" s="4" t="s">
        <v>510</v>
      </c>
      <c r="P1013" s="4"/>
    </row>
    <row r="1014" spans="1:16" ht="15">
      <c r="A1014" s="4" t="s">
        <v>1833</v>
      </c>
      <c r="B1014" s="30">
        <v>40009</v>
      </c>
      <c r="C1014" s="4" t="s">
        <v>380</v>
      </c>
      <c r="D1014" s="4" t="s">
        <v>193</v>
      </c>
      <c r="E1014" s="4" t="s">
        <v>170</v>
      </c>
      <c r="F1014" s="4" t="s">
        <v>155</v>
      </c>
      <c r="G1014" s="4">
        <v>1</v>
      </c>
      <c r="H1014" s="4">
        <v>4</v>
      </c>
      <c r="I1014" s="4" t="s">
        <v>140</v>
      </c>
      <c r="J1014" s="4" t="s">
        <v>183</v>
      </c>
      <c r="K1014" s="4" t="s">
        <v>145</v>
      </c>
      <c r="L1014" s="4" t="s">
        <v>4181</v>
      </c>
      <c r="M1014" s="4" t="s">
        <v>1834</v>
      </c>
      <c r="N1014" s="4" t="s">
        <v>155</v>
      </c>
      <c r="O1014" s="4" t="s">
        <v>406</v>
      </c>
      <c r="P1014" s="4"/>
    </row>
    <row r="1015" spans="1:16" ht="15">
      <c r="A1015" s="4" t="s">
        <v>1835</v>
      </c>
      <c r="B1015" s="30">
        <v>39930</v>
      </c>
      <c r="C1015" s="4" t="s">
        <v>380</v>
      </c>
      <c r="D1015" s="4" t="s">
        <v>4182</v>
      </c>
      <c r="E1015" s="4" t="s">
        <v>170</v>
      </c>
      <c r="F1015" s="4" t="s">
        <v>155</v>
      </c>
      <c r="G1015" s="4"/>
      <c r="H1015" s="4"/>
      <c r="I1015" s="4" t="s">
        <v>139</v>
      </c>
      <c r="J1015" s="4" t="s">
        <v>181</v>
      </c>
      <c r="K1015" s="4" t="s">
        <v>143</v>
      </c>
      <c r="L1015" s="4" t="s">
        <v>4181</v>
      </c>
      <c r="M1015" s="4" t="s">
        <v>173</v>
      </c>
      <c r="N1015" s="4" t="s">
        <v>155</v>
      </c>
      <c r="O1015" s="4" t="s">
        <v>124</v>
      </c>
      <c r="P1015" s="4"/>
    </row>
    <row r="1016" spans="1:16" ht="15">
      <c r="A1016" s="4" t="s">
        <v>1836</v>
      </c>
      <c r="B1016" s="30">
        <v>39953</v>
      </c>
      <c r="C1016" s="4" t="s">
        <v>496</v>
      </c>
      <c r="D1016" s="4" t="s">
        <v>195</v>
      </c>
      <c r="E1016" s="4" t="s">
        <v>170</v>
      </c>
      <c r="F1016" s="4" t="s">
        <v>155</v>
      </c>
      <c r="G1016" s="4"/>
      <c r="H1016" s="4"/>
      <c r="I1016" s="4" t="s">
        <v>139</v>
      </c>
      <c r="J1016" s="4" t="s">
        <v>181</v>
      </c>
      <c r="K1016" s="4" t="s">
        <v>142</v>
      </c>
      <c r="L1016" s="4" t="s">
        <v>4181</v>
      </c>
      <c r="M1016" s="4" t="s">
        <v>173</v>
      </c>
      <c r="N1016" s="4" t="s">
        <v>155</v>
      </c>
      <c r="O1016" s="4" t="s">
        <v>501</v>
      </c>
      <c r="P1016" s="4"/>
    </row>
    <row r="1017" spans="1:16" ht="15">
      <c r="A1017" s="4" t="s">
        <v>1837</v>
      </c>
      <c r="B1017" s="30">
        <v>40021</v>
      </c>
      <c r="C1017" s="4"/>
      <c r="D1017" s="4" t="s">
        <v>195</v>
      </c>
      <c r="E1017" s="4" t="s">
        <v>170</v>
      </c>
      <c r="F1017" s="4" t="s">
        <v>155</v>
      </c>
      <c r="G1017" s="4">
        <v>5</v>
      </c>
      <c r="H1017" s="4">
        <v>3</v>
      </c>
      <c r="I1017" s="4" t="s">
        <v>139</v>
      </c>
      <c r="J1017" s="4" t="s">
        <v>447</v>
      </c>
      <c r="K1017" s="4" t="s">
        <v>148</v>
      </c>
      <c r="L1017" s="4" t="s">
        <v>4176</v>
      </c>
      <c r="M1017" s="4"/>
      <c r="N1017" s="4" t="s">
        <v>156</v>
      </c>
      <c r="O1017" s="4" t="s">
        <v>120</v>
      </c>
      <c r="P1017" s="4" t="s">
        <v>1838</v>
      </c>
    </row>
    <row r="1018" spans="1:16" ht="15">
      <c r="A1018" s="4" t="s">
        <v>1839</v>
      </c>
      <c r="B1018" s="30">
        <v>39973</v>
      </c>
      <c r="C1018" s="4" t="s">
        <v>383</v>
      </c>
      <c r="D1018" s="4" t="s">
        <v>193</v>
      </c>
      <c r="E1018" s="4" t="s">
        <v>170</v>
      </c>
      <c r="F1018" s="4" t="s">
        <v>155</v>
      </c>
      <c r="G1018" s="4"/>
      <c r="H1018" s="4"/>
      <c r="I1018" s="4" t="s">
        <v>140</v>
      </c>
      <c r="J1018" s="4" t="s">
        <v>447</v>
      </c>
      <c r="K1018" s="4" t="s">
        <v>142</v>
      </c>
      <c r="L1018" s="4" t="s">
        <v>4181</v>
      </c>
      <c r="M1018" s="4" t="s">
        <v>1308</v>
      </c>
      <c r="N1018" s="4" t="s">
        <v>161</v>
      </c>
      <c r="O1018" s="4" t="s">
        <v>1840</v>
      </c>
      <c r="P1018" s="4"/>
    </row>
    <row r="1019" spans="1:16" ht="15">
      <c r="A1019" s="4" t="s">
        <v>1841</v>
      </c>
      <c r="B1019" s="30">
        <v>40025</v>
      </c>
      <c r="C1019" s="4"/>
      <c r="D1019" s="4" t="s">
        <v>193</v>
      </c>
      <c r="E1019" s="4" t="s">
        <v>170</v>
      </c>
      <c r="F1019" s="4" t="s">
        <v>155</v>
      </c>
      <c r="G1019" s="4">
        <v>1</v>
      </c>
      <c r="H1019" s="4">
        <v>2</v>
      </c>
      <c r="I1019" s="4" t="s">
        <v>140</v>
      </c>
      <c r="J1019" s="4" t="s">
        <v>447</v>
      </c>
      <c r="K1019" s="4" t="s">
        <v>143</v>
      </c>
      <c r="L1019" s="4" t="s">
        <v>162</v>
      </c>
      <c r="M1019" s="4" t="s">
        <v>802</v>
      </c>
      <c r="N1019" s="4" t="s">
        <v>155</v>
      </c>
      <c r="O1019" s="4" t="s">
        <v>129</v>
      </c>
      <c r="P1019" s="4"/>
    </row>
    <row r="1020" spans="1:16" ht="15">
      <c r="A1020" s="4" t="s">
        <v>1842</v>
      </c>
      <c r="B1020" s="30">
        <v>39923</v>
      </c>
      <c r="C1020" s="4" t="s">
        <v>380</v>
      </c>
      <c r="D1020" s="4" t="s">
        <v>4177</v>
      </c>
      <c r="E1020" s="4" t="s">
        <v>170</v>
      </c>
      <c r="F1020" s="4" t="s">
        <v>155</v>
      </c>
      <c r="G1020" s="4"/>
      <c r="H1020" s="4"/>
      <c r="I1020" s="4" t="s">
        <v>139</v>
      </c>
      <c r="J1020" s="4" t="s">
        <v>180</v>
      </c>
      <c r="K1020" s="4" t="s">
        <v>147</v>
      </c>
      <c r="L1020" s="4" t="s">
        <v>4181</v>
      </c>
      <c r="M1020" s="4" t="s">
        <v>173</v>
      </c>
      <c r="N1020" s="4" t="s">
        <v>155</v>
      </c>
      <c r="O1020" s="4" t="s">
        <v>692</v>
      </c>
      <c r="P1020" s="4"/>
    </row>
    <row r="1021" spans="1:16" ht="15">
      <c r="A1021" s="4" t="s">
        <v>1843</v>
      </c>
      <c r="B1021" s="30">
        <v>40017</v>
      </c>
      <c r="C1021" s="4" t="s">
        <v>380</v>
      </c>
      <c r="D1021" s="4" t="s">
        <v>195</v>
      </c>
      <c r="E1021" s="4" t="s">
        <v>170</v>
      </c>
      <c r="F1021" s="4" t="s">
        <v>155</v>
      </c>
      <c r="G1021" s="4">
        <v>5</v>
      </c>
      <c r="H1021" s="4">
        <v>3</v>
      </c>
      <c r="I1021" s="4" t="s">
        <v>139</v>
      </c>
      <c r="J1021" s="4" t="s">
        <v>180</v>
      </c>
      <c r="K1021" s="4" t="s">
        <v>148</v>
      </c>
      <c r="L1021" s="4" t="s">
        <v>162</v>
      </c>
      <c r="M1021" s="4" t="s">
        <v>567</v>
      </c>
      <c r="N1021" s="4" t="s">
        <v>155</v>
      </c>
      <c r="O1021" s="4" t="s">
        <v>130</v>
      </c>
      <c r="P1021" s="4"/>
    </row>
    <row r="1022" spans="1:16" ht="15">
      <c r="A1022" s="4" t="s">
        <v>1844</v>
      </c>
      <c r="B1022" s="30">
        <v>39923</v>
      </c>
      <c r="C1022" s="4"/>
      <c r="D1022" s="4" t="s">
        <v>4179</v>
      </c>
      <c r="E1022" s="4" t="s">
        <v>170</v>
      </c>
      <c r="F1022" s="4" t="s">
        <v>155</v>
      </c>
      <c r="G1022" s="4"/>
      <c r="H1022" s="4"/>
      <c r="I1022" s="4" t="s">
        <v>139</v>
      </c>
      <c r="J1022" s="4" t="s">
        <v>180</v>
      </c>
      <c r="K1022" s="4" t="s">
        <v>145</v>
      </c>
      <c r="L1022" s="4" t="s">
        <v>4176</v>
      </c>
      <c r="M1022" s="4" t="s">
        <v>174</v>
      </c>
      <c r="N1022" s="4" t="s">
        <v>157</v>
      </c>
      <c r="O1022" s="4" t="s">
        <v>571</v>
      </c>
      <c r="P1022" s="4" t="s">
        <v>1845</v>
      </c>
    </row>
    <row r="1023" spans="1:16" ht="15">
      <c r="A1023" s="4" t="s">
        <v>1846</v>
      </c>
      <c r="B1023" s="30">
        <v>39955</v>
      </c>
      <c r="C1023" s="4"/>
      <c r="D1023" s="4" t="s">
        <v>195</v>
      </c>
      <c r="E1023" s="4" t="s">
        <v>170</v>
      </c>
      <c r="F1023" s="4" t="s">
        <v>155</v>
      </c>
      <c r="G1023" s="4"/>
      <c r="H1023" s="4"/>
      <c r="I1023" s="4" t="s">
        <v>139</v>
      </c>
      <c r="J1023" s="4" t="s">
        <v>180</v>
      </c>
      <c r="K1023" s="4" t="s">
        <v>143</v>
      </c>
      <c r="L1023" s="4" t="s">
        <v>4181</v>
      </c>
      <c r="M1023" s="4" t="s">
        <v>415</v>
      </c>
      <c r="N1023" s="4" t="s">
        <v>155</v>
      </c>
      <c r="O1023" s="4" t="s">
        <v>125</v>
      </c>
      <c r="P1023" s="4"/>
    </row>
    <row r="1024" spans="1:16" ht="15">
      <c r="A1024" s="4" t="s">
        <v>1847</v>
      </c>
      <c r="B1024" s="30">
        <v>39911</v>
      </c>
      <c r="C1024" s="4"/>
      <c r="D1024" s="4" t="s">
        <v>4182</v>
      </c>
      <c r="E1024" s="4" t="s">
        <v>170</v>
      </c>
      <c r="F1024" s="4" t="s">
        <v>155</v>
      </c>
      <c r="G1024" s="4"/>
      <c r="H1024" s="4"/>
      <c r="I1024" s="4" t="s">
        <v>139</v>
      </c>
      <c r="J1024" s="4" t="s">
        <v>180</v>
      </c>
      <c r="K1024" s="4" t="s">
        <v>145</v>
      </c>
      <c r="L1024" s="4" t="s">
        <v>4181</v>
      </c>
      <c r="M1024" s="4" t="s">
        <v>173</v>
      </c>
      <c r="N1024" s="4" t="s">
        <v>155</v>
      </c>
      <c r="O1024" s="4" t="s">
        <v>127</v>
      </c>
      <c r="P1024" s="4"/>
    </row>
    <row r="1025" spans="1:16" ht="15">
      <c r="A1025" s="4" t="s">
        <v>1848</v>
      </c>
      <c r="B1025" s="30">
        <v>39961</v>
      </c>
      <c r="C1025" s="4" t="s">
        <v>380</v>
      </c>
      <c r="D1025" s="4" t="s">
        <v>193</v>
      </c>
      <c r="E1025" s="4" t="s">
        <v>170</v>
      </c>
      <c r="F1025" s="4" t="s">
        <v>155</v>
      </c>
      <c r="G1025" s="4"/>
      <c r="H1025" s="4"/>
      <c r="I1025" s="4" t="s">
        <v>140</v>
      </c>
      <c r="J1025" s="4" t="s">
        <v>180</v>
      </c>
      <c r="K1025" s="4" t="s">
        <v>150</v>
      </c>
      <c r="L1025" s="4" t="s">
        <v>4176</v>
      </c>
      <c r="M1025" s="4" t="s">
        <v>578</v>
      </c>
      <c r="N1025" s="4" t="s">
        <v>157</v>
      </c>
      <c r="O1025" s="4" t="s">
        <v>130</v>
      </c>
      <c r="P1025" s="4" t="s">
        <v>437</v>
      </c>
    </row>
    <row r="1026" spans="1:16" ht="15">
      <c r="A1026" s="4" t="s">
        <v>1849</v>
      </c>
      <c r="B1026" s="30">
        <v>40055</v>
      </c>
      <c r="C1026" s="4"/>
      <c r="D1026" s="4" t="s">
        <v>193</v>
      </c>
      <c r="E1026" s="4" t="s">
        <v>170</v>
      </c>
      <c r="F1026" s="4" t="s">
        <v>155</v>
      </c>
      <c r="G1026" s="4">
        <v>5</v>
      </c>
      <c r="H1026" s="4">
        <v>5</v>
      </c>
      <c r="I1026" s="4" t="s">
        <v>140</v>
      </c>
      <c r="J1026" s="4" t="s">
        <v>180</v>
      </c>
      <c r="K1026" s="4" t="s">
        <v>142</v>
      </c>
      <c r="L1026" s="4" t="s">
        <v>4176</v>
      </c>
      <c r="M1026" s="4" t="s">
        <v>550</v>
      </c>
      <c r="N1026" s="4" t="s">
        <v>156</v>
      </c>
      <c r="O1026" s="4" t="s">
        <v>120</v>
      </c>
      <c r="P1026" s="4" t="s">
        <v>1404</v>
      </c>
    </row>
    <row r="1027" spans="1:16" ht="15">
      <c r="A1027" s="4" t="s">
        <v>1850</v>
      </c>
      <c r="B1027" s="30">
        <v>40075</v>
      </c>
      <c r="C1027" s="4"/>
      <c r="D1027" s="4" t="s">
        <v>193</v>
      </c>
      <c r="E1027" s="4" t="s">
        <v>170</v>
      </c>
      <c r="F1027" s="4" t="s">
        <v>155</v>
      </c>
      <c r="G1027" s="4">
        <v>5</v>
      </c>
      <c r="H1027" s="4">
        <v>3</v>
      </c>
      <c r="I1027" s="4" t="s">
        <v>140</v>
      </c>
      <c r="J1027" s="4" t="s">
        <v>180</v>
      </c>
      <c r="K1027" s="4" t="s">
        <v>149</v>
      </c>
      <c r="L1027" s="4" t="s">
        <v>4181</v>
      </c>
      <c r="M1027" s="4" t="s">
        <v>1851</v>
      </c>
      <c r="N1027" s="4" t="s">
        <v>155</v>
      </c>
      <c r="O1027" s="4" t="s">
        <v>510</v>
      </c>
      <c r="P1027" s="4"/>
    </row>
    <row r="1028" spans="1:16" ht="15">
      <c r="A1028" s="4" t="s">
        <v>1852</v>
      </c>
      <c r="B1028" s="30">
        <v>39965</v>
      </c>
      <c r="C1028" s="4" t="s">
        <v>9</v>
      </c>
      <c r="D1028" s="4" t="s">
        <v>195</v>
      </c>
      <c r="E1028" s="4" t="s">
        <v>170</v>
      </c>
      <c r="F1028" s="4" t="s">
        <v>155</v>
      </c>
      <c r="G1028" s="4"/>
      <c r="H1028" s="4"/>
      <c r="I1028" s="4" t="s">
        <v>139</v>
      </c>
      <c r="J1028" s="4" t="s">
        <v>180</v>
      </c>
      <c r="K1028" s="4" t="s">
        <v>150</v>
      </c>
      <c r="L1028" s="4" t="s">
        <v>4176</v>
      </c>
      <c r="M1028" s="4" t="s">
        <v>174</v>
      </c>
      <c r="N1028" s="4" t="s">
        <v>156</v>
      </c>
      <c r="O1028" s="4" t="s">
        <v>120</v>
      </c>
      <c r="P1028" s="4" t="s">
        <v>1001</v>
      </c>
    </row>
    <row r="1029" spans="1:16" ht="15">
      <c r="A1029" s="4" t="s">
        <v>1853</v>
      </c>
      <c r="B1029" s="30">
        <v>39962</v>
      </c>
      <c r="C1029" s="4"/>
      <c r="D1029" s="4" t="s">
        <v>195</v>
      </c>
      <c r="E1029" s="4" t="s">
        <v>170</v>
      </c>
      <c r="F1029" s="4" t="s">
        <v>155</v>
      </c>
      <c r="G1029" s="4"/>
      <c r="H1029" s="4"/>
      <c r="I1029" s="4" t="s">
        <v>139</v>
      </c>
      <c r="J1029" s="4" t="s">
        <v>180</v>
      </c>
      <c r="K1029" s="4" t="s">
        <v>145</v>
      </c>
      <c r="L1029" s="4" t="s">
        <v>4181</v>
      </c>
      <c r="M1029" s="4" t="s">
        <v>415</v>
      </c>
      <c r="N1029" s="4" t="s">
        <v>155</v>
      </c>
      <c r="O1029" s="4" t="s">
        <v>125</v>
      </c>
      <c r="P1029" s="4"/>
    </row>
    <row r="1030" spans="1:16" ht="15">
      <c r="A1030" s="4" t="s">
        <v>1854</v>
      </c>
      <c r="B1030" s="30">
        <v>39932</v>
      </c>
      <c r="C1030" s="4"/>
      <c r="D1030" s="4" t="s">
        <v>4180</v>
      </c>
      <c r="E1030" s="4" t="s">
        <v>170</v>
      </c>
      <c r="F1030" s="4" t="s">
        <v>155</v>
      </c>
      <c r="G1030" s="4"/>
      <c r="H1030" s="4"/>
      <c r="I1030" s="4" t="s">
        <v>139</v>
      </c>
      <c r="J1030" s="4" t="s">
        <v>181</v>
      </c>
      <c r="K1030" s="4" t="s">
        <v>145</v>
      </c>
      <c r="L1030" s="4" t="s">
        <v>4176</v>
      </c>
      <c r="M1030" s="4" t="s">
        <v>933</v>
      </c>
      <c r="N1030" s="4" t="s">
        <v>159</v>
      </c>
      <c r="O1030" s="4" t="s">
        <v>126</v>
      </c>
      <c r="P1030" s="4" t="s">
        <v>601</v>
      </c>
    </row>
    <row r="1031" spans="1:16" ht="15">
      <c r="A1031" s="4" t="s">
        <v>1855</v>
      </c>
      <c r="B1031" s="30">
        <v>39954</v>
      </c>
      <c r="C1031" s="4"/>
      <c r="D1031" s="4" t="s">
        <v>194</v>
      </c>
      <c r="E1031" s="4" t="s">
        <v>170</v>
      </c>
      <c r="F1031" s="4" t="s">
        <v>155</v>
      </c>
      <c r="G1031" s="4"/>
      <c r="H1031" s="4"/>
      <c r="I1031" s="4" t="s">
        <v>139</v>
      </c>
      <c r="J1031" s="4" t="s">
        <v>181</v>
      </c>
      <c r="K1031" s="4" t="s">
        <v>147</v>
      </c>
      <c r="L1031" s="4" t="s">
        <v>162</v>
      </c>
      <c r="M1031" s="4" t="s">
        <v>581</v>
      </c>
      <c r="N1031" s="4" t="s">
        <v>155</v>
      </c>
      <c r="O1031" s="4" t="s">
        <v>129</v>
      </c>
      <c r="P1031" s="4"/>
    </row>
    <row r="1032" spans="1:16" ht="15">
      <c r="A1032" s="4" t="s">
        <v>1856</v>
      </c>
      <c r="B1032" s="30">
        <v>40001</v>
      </c>
      <c r="C1032" s="4"/>
      <c r="D1032" s="4" t="s">
        <v>194</v>
      </c>
      <c r="E1032" s="4" t="s">
        <v>170</v>
      </c>
      <c r="F1032" s="4" t="s">
        <v>155</v>
      </c>
      <c r="G1032" s="4"/>
      <c r="H1032" s="4">
        <v>5</v>
      </c>
      <c r="I1032" s="4" t="s">
        <v>139</v>
      </c>
      <c r="J1032" s="4" t="s">
        <v>181</v>
      </c>
      <c r="K1032" s="4" t="s">
        <v>144</v>
      </c>
      <c r="L1032" s="4" t="s">
        <v>4176</v>
      </c>
      <c r="M1032" s="4" t="s">
        <v>174</v>
      </c>
      <c r="N1032" s="4" t="s">
        <v>157</v>
      </c>
      <c r="O1032" s="4" t="s">
        <v>127</v>
      </c>
      <c r="P1032" s="4" t="s">
        <v>153</v>
      </c>
    </row>
    <row r="1033" spans="1:16" ht="15">
      <c r="A1033" s="4" t="s">
        <v>1857</v>
      </c>
      <c r="B1033" s="30">
        <v>40043</v>
      </c>
      <c r="C1033" s="4"/>
      <c r="D1033" s="4" t="s">
        <v>196</v>
      </c>
      <c r="E1033" s="4" t="s">
        <v>170</v>
      </c>
      <c r="F1033" s="4" t="s">
        <v>155</v>
      </c>
      <c r="G1033" s="4">
        <v>5</v>
      </c>
      <c r="H1033" s="4">
        <v>4</v>
      </c>
      <c r="I1033" s="4" t="s">
        <v>139</v>
      </c>
      <c r="J1033" s="4" t="s">
        <v>190</v>
      </c>
      <c r="K1033" s="4" t="s">
        <v>142</v>
      </c>
      <c r="L1033" s="4" t="s">
        <v>4181</v>
      </c>
      <c r="M1033" s="4" t="s">
        <v>173</v>
      </c>
      <c r="N1033" s="4" t="s">
        <v>155</v>
      </c>
      <c r="O1033" s="4" t="s">
        <v>128</v>
      </c>
      <c r="P1033" s="4"/>
    </row>
    <row r="1034" spans="1:16" ht="15">
      <c r="A1034" s="4" t="s">
        <v>1858</v>
      </c>
      <c r="B1034" s="30">
        <v>39977</v>
      </c>
      <c r="C1034" s="4"/>
      <c r="D1034" s="4" t="s">
        <v>193</v>
      </c>
      <c r="E1034" s="4" t="s">
        <v>170</v>
      </c>
      <c r="F1034" s="4" t="s">
        <v>155</v>
      </c>
      <c r="G1034" s="4"/>
      <c r="H1034" s="4"/>
      <c r="I1034" s="4" t="s">
        <v>140</v>
      </c>
      <c r="J1034" s="4" t="s">
        <v>184</v>
      </c>
      <c r="K1034" s="4" t="s">
        <v>144</v>
      </c>
      <c r="L1034" s="4" t="s">
        <v>4181</v>
      </c>
      <c r="M1034" s="4" t="s">
        <v>173</v>
      </c>
      <c r="N1034" s="4" t="s">
        <v>155</v>
      </c>
      <c r="O1034" s="4" t="s">
        <v>124</v>
      </c>
      <c r="P1034" s="4"/>
    </row>
    <row r="1035" spans="1:16" ht="15">
      <c r="A1035" s="4" t="s">
        <v>1859</v>
      </c>
      <c r="B1035" s="30">
        <v>39972</v>
      </c>
      <c r="C1035" s="4"/>
      <c r="D1035" s="4" t="s">
        <v>193</v>
      </c>
      <c r="E1035" s="4" t="s">
        <v>170</v>
      </c>
      <c r="F1035" s="4" t="s">
        <v>155</v>
      </c>
      <c r="G1035" s="4"/>
      <c r="H1035" s="4"/>
      <c r="I1035" s="4" t="s">
        <v>140</v>
      </c>
      <c r="J1035" s="4" t="s">
        <v>185</v>
      </c>
      <c r="K1035" s="4" t="s">
        <v>143</v>
      </c>
      <c r="L1035" s="4" t="s">
        <v>165</v>
      </c>
      <c r="M1035" s="4" t="s">
        <v>589</v>
      </c>
      <c r="N1035" s="4" t="s">
        <v>158</v>
      </c>
      <c r="O1035" s="4" t="s">
        <v>122</v>
      </c>
      <c r="P1035" s="4"/>
    </row>
    <row r="1036" spans="1:16" ht="15">
      <c r="A1036" s="4" t="s">
        <v>1860</v>
      </c>
      <c r="B1036" s="30">
        <v>40081</v>
      </c>
      <c r="C1036" s="4" t="s">
        <v>496</v>
      </c>
      <c r="D1036" s="4" t="s">
        <v>193</v>
      </c>
      <c r="E1036" s="4" t="s">
        <v>170</v>
      </c>
      <c r="F1036" s="4" t="s">
        <v>155</v>
      </c>
      <c r="G1036" s="4">
        <v>5</v>
      </c>
      <c r="H1036" s="4">
        <v>2</v>
      </c>
      <c r="I1036" s="4" t="s">
        <v>140</v>
      </c>
      <c r="J1036" s="4" t="s">
        <v>188</v>
      </c>
      <c r="K1036" s="4" t="s">
        <v>143</v>
      </c>
      <c r="L1036" s="4" t="s">
        <v>4181</v>
      </c>
      <c r="M1036" s="4" t="s">
        <v>173</v>
      </c>
      <c r="N1036" s="4" t="s">
        <v>155</v>
      </c>
      <c r="O1036" s="4" t="s">
        <v>128</v>
      </c>
      <c r="P1036" s="4"/>
    </row>
    <row r="1037" spans="1:16" ht="15">
      <c r="A1037" s="4" t="s">
        <v>1861</v>
      </c>
      <c r="B1037" s="30">
        <v>40003</v>
      </c>
      <c r="C1037" s="4"/>
      <c r="D1037" s="4" t="s">
        <v>193</v>
      </c>
      <c r="E1037" s="4" t="s">
        <v>170</v>
      </c>
      <c r="F1037" s="4" t="s">
        <v>155</v>
      </c>
      <c r="G1037" s="4"/>
      <c r="H1037" s="4">
        <v>2</v>
      </c>
      <c r="I1037" s="4" t="s">
        <v>140</v>
      </c>
      <c r="J1037" s="4" t="s">
        <v>528</v>
      </c>
      <c r="K1037" s="4" t="s">
        <v>144</v>
      </c>
      <c r="L1037" s="4" t="s">
        <v>162</v>
      </c>
      <c r="M1037" s="4"/>
      <c r="N1037" s="4" t="s">
        <v>155</v>
      </c>
      <c r="O1037" s="4" t="s">
        <v>130</v>
      </c>
      <c r="P1037" s="4"/>
    </row>
    <row r="1038" spans="1:16" ht="15">
      <c r="A1038" s="4" t="s">
        <v>1862</v>
      </c>
      <c r="B1038" s="30">
        <v>39935</v>
      </c>
      <c r="C1038" s="4"/>
      <c r="D1038" s="4" t="s">
        <v>4183</v>
      </c>
      <c r="E1038" s="4" t="s">
        <v>170</v>
      </c>
      <c r="F1038" s="4" t="s">
        <v>155</v>
      </c>
      <c r="G1038" s="4"/>
      <c r="H1038" s="4"/>
      <c r="I1038" s="4" t="s">
        <v>140</v>
      </c>
      <c r="J1038" s="4" t="s">
        <v>479</v>
      </c>
      <c r="K1038" s="4" t="s">
        <v>150</v>
      </c>
      <c r="L1038" s="4" t="s">
        <v>4176</v>
      </c>
      <c r="M1038" s="4" t="s">
        <v>174</v>
      </c>
      <c r="N1038" s="4" t="s">
        <v>157</v>
      </c>
      <c r="O1038" s="4" t="s">
        <v>127</v>
      </c>
      <c r="P1038" s="4" t="s">
        <v>808</v>
      </c>
    </row>
    <row r="1039" spans="1:16" ht="15">
      <c r="A1039" s="4" t="s">
        <v>1863</v>
      </c>
      <c r="B1039" s="30">
        <v>39953</v>
      </c>
      <c r="C1039" s="4" t="s">
        <v>9</v>
      </c>
      <c r="D1039" s="4" t="s">
        <v>194</v>
      </c>
      <c r="E1039" s="4" t="s">
        <v>170</v>
      </c>
      <c r="F1039" s="4" t="s">
        <v>155</v>
      </c>
      <c r="G1039" s="4"/>
      <c r="H1039" s="4"/>
      <c r="I1039" s="4" t="s">
        <v>139</v>
      </c>
      <c r="J1039" s="4" t="s">
        <v>189</v>
      </c>
      <c r="K1039" s="4" t="s">
        <v>147</v>
      </c>
      <c r="L1039" s="4" t="s">
        <v>4176</v>
      </c>
      <c r="M1039" s="4" t="s">
        <v>174</v>
      </c>
      <c r="N1039" s="4" t="s">
        <v>157</v>
      </c>
      <c r="O1039" s="4" t="s">
        <v>127</v>
      </c>
      <c r="P1039" s="4" t="s">
        <v>153</v>
      </c>
    </row>
    <row r="1040" spans="1:16" ht="15">
      <c r="A1040" s="4" t="s">
        <v>1864</v>
      </c>
      <c r="B1040" s="30">
        <v>40077</v>
      </c>
      <c r="C1040" s="4"/>
      <c r="D1040" s="4" t="s">
        <v>193</v>
      </c>
      <c r="E1040" s="4" t="s">
        <v>170</v>
      </c>
      <c r="F1040" s="4" t="s">
        <v>155</v>
      </c>
      <c r="G1040" s="4">
        <v>5</v>
      </c>
      <c r="H1040" s="4">
        <v>3</v>
      </c>
      <c r="I1040" s="4" t="s">
        <v>140</v>
      </c>
      <c r="J1040" s="4" t="s">
        <v>188</v>
      </c>
      <c r="K1040" s="4" t="s">
        <v>143</v>
      </c>
      <c r="L1040" s="4" t="s">
        <v>162</v>
      </c>
      <c r="M1040" s="4"/>
      <c r="N1040" s="4" t="s">
        <v>155</v>
      </c>
      <c r="O1040" s="4" t="s">
        <v>129</v>
      </c>
      <c r="P1040" s="4"/>
    </row>
    <row r="1041" spans="1:16" ht="15">
      <c r="A1041" s="4" t="s">
        <v>1865</v>
      </c>
      <c r="B1041" s="30">
        <v>40021</v>
      </c>
      <c r="C1041" s="4" t="s">
        <v>380</v>
      </c>
      <c r="D1041" s="4" t="s">
        <v>195</v>
      </c>
      <c r="E1041" s="4" t="s">
        <v>170</v>
      </c>
      <c r="F1041" s="4" t="s">
        <v>155</v>
      </c>
      <c r="G1041" s="4">
        <v>1</v>
      </c>
      <c r="H1041" s="4">
        <v>5</v>
      </c>
      <c r="I1041" s="4" t="s">
        <v>139</v>
      </c>
      <c r="J1041" s="4" t="s">
        <v>183</v>
      </c>
      <c r="K1041" s="4" t="s">
        <v>144</v>
      </c>
      <c r="L1041" s="4" t="s">
        <v>4181</v>
      </c>
      <c r="M1041" s="4"/>
      <c r="N1041" s="4" t="s">
        <v>155</v>
      </c>
      <c r="O1041" s="4" t="s">
        <v>454</v>
      </c>
      <c r="P1041" s="4"/>
    </row>
    <row r="1042" spans="1:16" ht="15">
      <c r="A1042" s="4" t="s">
        <v>1866</v>
      </c>
      <c r="B1042" s="30">
        <v>40056</v>
      </c>
      <c r="C1042" s="4" t="s">
        <v>525</v>
      </c>
      <c r="D1042" s="4" t="s">
        <v>193</v>
      </c>
      <c r="E1042" s="4" t="s">
        <v>170</v>
      </c>
      <c r="F1042" s="4" t="s">
        <v>155</v>
      </c>
      <c r="G1042" s="4">
        <v>5</v>
      </c>
      <c r="H1042" s="4">
        <v>5</v>
      </c>
      <c r="I1042" s="4" t="s">
        <v>140</v>
      </c>
      <c r="J1042" s="4" t="s">
        <v>376</v>
      </c>
      <c r="K1042" s="4" t="s">
        <v>144</v>
      </c>
      <c r="L1042" s="4" t="s">
        <v>4176</v>
      </c>
      <c r="M1042" s="4" t="s">
        <v>174</v>
      </c>
      <c r="N1042" s="4" t="s">
        <v>157</v>
      </c>
      <c r="O1042" s="4" t="s">
        <v>127</v>
      </c>
      <c r="P1042" s="4" t="s">
        <v>153</v>
      </c>
    </row>
    <row r="1043" spans="1:16" ht="15">
      <c r="A1043" s="4" t="s">
        <v>1867</v>
      </c>
      <c r="B1043" s="30">
        <v>39954</v>
      </c>
      <c r="C1043" s="4" t="s">
        <v>9</v>
      </c>
      <c r="D1043" s="4" t="s">
        <v>194</v>
      </c>
      <c r="E1043" s="4" t="s">
        <v>170</v>
      </c>
      <c r="F1043" s="4" t="s">
        <v>155</v>
      </c>
      <c r="G1043" s="4"/>
      <c r="H1043" s="4"/>
      <c r="I1043" s="4" t="s">
        <v>139</v>
      </c>
      <c r="J1043" s="4" t="s">
        <v>178</v>
      </c>
      <c r="K1043" s="4" t="s">
        <v>145</v>
      </c>
      <c r="L1043" s="4" t="s">
        <v>4176</v>
      </c>
      <c r="M1043" s="4" t="s">
        <v>174</v>
      </c>
      <c r="N1043" s="4" t="s">
        <v>156</v>
      </c>
      <c r="O1043" s="4" t="s">
        <v>120</v>
      </c>
      <c r="P1043" s="4" t="s">
        <v>1868</v>
      </c>
    </row>
    <row r="1044" spans="1:16" ht="15">
      <c r="A1044" s="4" t="s">
        <v>1869</v>
      </c>
      <c r="B1044" s="30">
        <v>39959</v>
      </c>
      <c r="C1044" s="4" t="s">
        <v>9</v>
      </c>
      <c r="D1044" s="4" t="s">
        <v>194</v>
      </c>
      <c r="E1044" s="4" t="s">
        <v>170</v>
      </c>
      <c r="F1044" s="4" t="s">
        <v>155</v>
      </c>
      <c r="G1044" s="4"/>
      <c r="H1044" s="4"/>
      <c r="I1044" s="4" t="s">
        <v>139</v>
      </c>
      <c r="J1044" s="4" t="s">
        <v>376</v>
      </c>
      <c r="K1044" s="4" t="s">
        <v>142</v>
      </c>
      <c r="L1044" s="4" t="s">
        <v>4181</v>
      </c>
      <c r="M1044" s="4" t="s">
        <v>415</v>
      </c>
      <c r="N1044" s="4" t="s">
        <v>155</v>
      </c>
      <c r="O1044" s="4" t="s">
        <v>1186</v>
      </c>
      <c r="P1044" s="4"/>
    </row>
    <row r="1045" spans="1:16" ht="15">
      <c r="A1045" s="4" t="s">
        <v>1870</v>
      </c>
      <c r="B1045" s="30">
        <v>39982</v>
      </c>
      <c r="C1045" s="4" t="s">
        <v>496</v>
      </c>
      <c r="D1045" s="4" t="s">
        <v>193</v>
      </c>
      <c r="E1045" s="4" t="s">
        <v>170</v>
      </c>
      <c r="F1045" s="4" t="s">
        <v>155</v>
      </c>
      <c r="G1045" s="4"/>
      <c r="H1045" s="4"/>
      <c r="I1045" s="4" t="s">
        <v>140</v>
      </c>
      <c r="J1045" s="4" t="s">
        <v>182</v>
      </c>
      <c r="K1045" s="4" t="s">
        <v>148</v>
      </c>
      <c r="L1045" s="4" t="s">
        <v>4181</v>
      </c>
      <c r="M1045" s="4" t="s">
        <v>173</v>
      </c>
      <c r="N1045" s="4" t="s">
        <v>155</v>
      </c>
      <c r="O1045" s="4" t="s">
        <v>792</v>
      </c>
      <c r="P1045" s="4"/>
    </row>
    <row r="1046" spans="1:16" ht="15">
      <c r="A1046" s="4" t="s">
        <v>1871</v>
      </c>
      <c r="B1046" s="30">
        <v>39974</v>
      </c>
      <c r="C1046" s="4"/>
      <c r="D1046" s="4" t="s">
        <v>193</v>
      </c>
      <c r="E1046" s="4" t="s">
        <v>170</v>
      </c>
      <c r="F1046" s="4" t="s">
        <v>155</v>
      </c>
      <c r="G1046" s="4"/>
      <c r="H1046" s="4"/>
      <c r="I1046" s="4" t="s">
        <v>140</v>
      </c>
      <c r="J1046" s="4" t="s">
        <v>188</v>
      </c>
      <c r="K1046" s="4" t="s">
        <v>143</v>
      </c>
      <c r="L1046" s="4" t="s">
        <v>4181</v>
      </c>
      <c r="M1046" s="4" t="s">
        <v>173</v>
      </c>
      <c r="N1046" s="4" t="s">
        <v>155</v>
      </c>
      <c r="O1046" s="4" t="s">
        <v>125</v>
      </c>
      <c r="P1046" s="4"/>
    </row>
    <row r="1047" spans="1:16" ht="15">
      <c r="A1047" s="4" t="s">
        <v>1872</v>
      </c>
      <c r="B1047" s="30">
        <v>39956</v>
      </c>
      <c r="C1047" s="4"/>
      <c r="D1047" s="4" t="s">
        <v>193</v>
      </c>
      <c r="E1047" s="4" t="s">
        <v>170</v>
      </c>
      <c r="F1047" s="4" t="s">
        <v>155</v>
      </c>
      <c r="G1047" s="4"/>
      <c r="H1047" s="4"/>
      <c r="I1047" s="4" t="s">
        <v>140</v>
      </c>
      <c r="J1047" s="4" t="s">
        <v>187</v>
      </c>
      <c r="K1047" s="4" t="s">
        <v>149</v>
      </c>
      <c r="L1047" s="4" t="s">
        <v>4176</v>
      </c>
      <c r="M1047" s="4" t="s">
        <v>174</v>
      </c>
      <c r="N1047" s="4" t="s">
        <v>156</v>
      </c>
      <c r="O1047" s="4" t="s">
        <v>120</v>
      </c>
      <c r="P1047" s="4" t="s">
        <v>1873</v>
      </c>
    </row>
    <row r="1048" spans="1:16" ht="15">
      <c r="A1048" s="4" t="s">
        <v>1874</v>
      </c>
      <c r="B1048" s="30">
        <v>40048</v>
      </c>
      <c r="C1048" s="4"/>
      <c r="D1048" s="4" t="s">
        <v>193</v>
      </c>
      <c r="E1048" s="4" t="s">
        <v>170</v>
      </c>
      <c r="F1048" s="4" t="s">
        <v>155</v>
      </c>
      <c r="G1048" s="4">
        <v>5</v>
      </c>
      <c r="H1048" s="4">
        <v>5</v>
      </c>
      <c r="I1048" s="4" t="s">
        <v>140</v>
      </c>
      <c r="J1048" s="4" t="s">
        <v>603</v>
      </c>
      <c r="K1048" s="4" t="s">
        <v>144</v>
      </c>
      <c r="L1048" s="4" t="s">
        <v>165</v>
      </c>
      <c r="M1048" s="4" t="s">
        <v>1875</v>
      </c>
      <c r="N1048" s="4" t="s">
        <v>158</v>
      </c>
      <c r="O1048" s="4" t="s">
        <v>122</v>
      </c>
      <c r="P1048" s="4"/>
    </row>
    <row r="1049" spans="1:16" ht="15">
      <c r="A1049" s="4" t="s">
        <v>1876</v>
      </c>
      <c r="B1049" s="30">
        <v>39906</v>
      </c>
      <c r="C1049" s="4"/>
      <c r="D1049" s="4" t="s">
        <v>4185</v>
      </c>
      <c r="E1049" s="4" t="s">
        <v>170</v>
      </c>
      <c r="F1049" s="4" t="s">
        <v>155</v>
      </c>
      <c r="G1049" s="4"/>
      <c r="H1049" s="4"/>
      <c r="I1049" s="4" t="s">
        <v>139</v>
      </c>
      <c r="J1049" s="4" t="s">
        <v>179</v>
      </c>
      <c r="K1049" s="4" t="s">
        <v>147</v>
      </c>
      <c r="L1049" s="4" t="s">
        <v>4176</v>
      </c>
      <c r="M1049" s="4" t="s">
        <v>175</v>
      </c>
      <c r="N1049" s="4" t="s">
        <v>517</v>
      </c>
      <c r="O1049" s="4" t="s">
        <v>123</v>
      </c>
      <c r="P1049" s="4" t="s">
        <v>123</v>
      </c>
    </row>
    <row r="1050" spans="1:16" ht="15">
      <c r="A1050" s="4" t="s">
        <v>1877</v>
      </c>
      <c r="B1050" s="30">
        <v>40029</v>
      </c>
      <c r="C1050" s="4" t="s">
        <v>496</v>
      </c>
      <c r="D1050" s="4" t="s">
        <v>193</v>
      </c>
      <c r="E1050" s="4" t="s">
        <v>170</v>
      </c>
      <c r="F1050" s="4" t="s">
        <v>155</v>
      </c>
      <c r="G1050" s="4">
        <v>5</v>
      </c>
      <c r="H1050" s="4">
        <v>5</v>
      </c>
      <c r="I1050" s="4" t="s">
        <v>140</v>
      </c>
      <c r="J1050" s="4" t="s">
        <v>179</v>
      </c>
      <c r="K1050" s="4" t="s">
        <v>145</v>
      </c>
      <c r="L1050" s="4" t="s">
        <v>4176</v>
      </c>
      <c r="M1050" s="4" t="s">
        <v>174</v>
      </c>
      <c r="N1050" s="4" t="s">
        <v>156</v>
      </c>
      <c r="O1050" s="4" t="s">
        <v>120</v>
      </c>
      <c r="P1050" s="4" t="s">
        <v>1001</v>
      </c>
    </row>
    <row r="1051" spans="1:16" ht="15">
      <c r="A1051" s="4" t="s">
        <v>1878</v>
      </c>
      <c r="B1051" s="30">
        <v>39916</v>
      </c>
      <c r="C1051" s="4"/>
      <c r="D1051" s="4" t="s">
        <v>4184</v>
      </c>
      <c r="E1051" s="4" t="s">
        <v>170</v>
      </c>
      <c r="F1051" s="4" t="s">
        <v>155</v>
      </c>
      <c r="G1051" s="4"/>
      <c r="H1051" s="4"/>
      <c r="I1051" s="4" t="s">
        <v>140</v>
      </c>
      <c r="J1051" s="4" t="s">
        <v>179</v>
      </c>
      <c r="K1051" s="4" t="s">
        <v>142</v>
      </c>
      <c r="L1051" s="4" t="s">
        <v>4181</v>
      </c>
      <c r="M1051" s="4" t="s">
        <v>173</v>
      </c>
      <c r="N1051" s="4" t="s">
        <v>155</v>
      </c>
      <c r="O1051" s="4" t="s">
        <v>130</v>
      </c>
      <c r="P1051" s="4"/>
    </row>
    <row r="1052" spans="1:16" ht="15">
      <c r="A1052" s="4" t="s">
        <v>1879</v>
      </c>
      <c r="B1052" s="30">
        <v>39973</v>
      </c>
      <c r="C1052" s="4" t="s">
        <v>525</v>
      </c>
      <c r="D1052" s="4" t="s">
        <v>193</v>
      </c>
      <c r="E1052" s="4" t="s">
        <v>170</v>
      </c>
      <c r="F1052" s="4" t="s">
        <v>155</v>
      </c>
      <c r="G1052" s="4"/>
      <c r="H1052" s="4"/>
      <c r="I1052" s="4" t="s">
        <v>140</v>
      </c>
      <c r="J1052" s="4" t="s">
        <v>433</v>
      </c>
      <c r="K1052" s="4" t="s">
        <v>148</v>
      </c>
      <c r="L1052" s="4" t="s">
        <v>4176</v>
      </c>
      <c r="M1052" s="4" t="s">
        <v>174</v>
      </c>
      <c r="N1052" s="4" t="s">
        <v>157</v>
      </c>
      <c r="O1052" s="4" t="s">
        <v>127</v>
      </c>
      <c r="P1052" s="4" t="s">
        <v>1880</v>
      </c>
    </row>
    <row r="1053" spans="1:16" ht="15">
      <c r="A1053" s="4" t="s">
        <v>1881</v>
      </c>
      <c r="B1053" s="30">
        <v>40013</v>
      </c>
      <c r="C1053" s="4"/>
      <c r="D1053" s="4" t="s">
        <v>196</v>
      </c>
      <c r="E1053" s="4" t="s">
        <v>170</v>
      </c>
      <c r="F1053" s="4" t="s">
        <v>155</v>
      </c>
      <c r="G1053" s="4">
        <v>5</v>
      </c>
      <c r="H1053" s="4">
        <v>4</v>
      </c>
      <c r="I1053" s="4" t="s">
        <v>139</v>
      </c>
      <c r="J1053" s="4" t="s">
        <v>181</v>
      </c>
      <c r="K1053" s="4" t="s">
        <v>143</v>
      </c>
      <c r="L1053" s="4" t="s">
        <v>4181</v>
      </c>
      <c r="M1053" s="4" t="s">
        <v>173</v>
      </c>
      <c r="N1053" s="4" t="s">
        <v>155</v>
      </c>
      <c r="O1053" s="4" t="s">
        <v>830</v>
      </c>
      <c r="P1053" s="4"/>
    </row>
    <row r="1054" spans="1:16" ht="15">
      <c r="A1054" s="4" t="s">
        <v>1882</v>
      </c>
      <c r="B1054" s="30">
        <v>39947</v>
      </c>
      <c r="C1054" s="4"/>
      <c r="D1054" s="4" t="s">
        <v>193</v>
      </c>
      <c r="E1054" s="4" t="s">
        <v>170</v>
      </c>
      <c r="F1054" s="4" t="s">
        <v>155</v>
      </c>
      <c r="G1054" s="4"/>
      <c r="H1054" s="4"/>
      <c r="I1054" s="4" t="s">
        <v>140</v>
      </c>
      <c r="J1054" s="4" t="s">
        <v>181</v>
      </c>
      <c r="K1054" s="4" t="s">
        <v>147</v>
      </c>
      <c r="L1054" s="4" t="s">
        <v>165</v>
      </c>
      <c r="M1054" s="4" t="s">
        <v>847</v>
      </c>
      <c r="N1054" s="4" t="s">
        <v>158</v>
      </c>
      <c r="O1054" s="4" t="s">
        <v>122</v>
      </c>
      <c r="P1054" s="4"/>
    </row>
    <row r="1055" spans="1:16" ht="15">
      <c r="A1055" s="4" t="s">
        <v>1883</v>
      </c>
      <c r="B1055" s="30">
        <v>39988</v>
      </c>
      <c r="C1055" s="4" t="s">
        <v>9</v>
      </c>
      <c r="D1055" s="4" t="s">
        <v>194</v>
      </c>
      <c r="E1055" s="4" t="s">
        <v>170</v>
      </c>
      <c r="F1055" s="4" t="s">
        <v>155</v>
      </c>
      <c r="G1055" s="4"/>
      <c r="H1055" s="4"/>
      <c r="I1055" s="4" t="s">
        <v>139</v>
      </c>
      <c r="J1055" s="4" t="s">
        <v>179</v>
      </c>
      <c r="K1055" s="4" t="s">
        <v>150</v>
      </c>
      <c r="L1055" s="4" t="s">
        <v>4176</v>
      </c>
      <c r="M1055" s="4" t="s">
        <v>174</v>
      </c>
      <c r="N1055" s="4" t="s">
        <v>157</v>
      </c>
      <c r="O1055" s="4" t="s">
        <v>130</v>
      </c>
      <c r="P1055" s="4" t="s">
        <v>1884</v>
      </c>
    </row>
    <row r="1056" spans="1:16" ht="15">
      <c r="A1056" s="4" t="s">
        <v>1885</v>
      </c>
      <c r="B1056" s="30">
        <v>39976</v>
      </c>
      <c r="C1056" s="4" t="s">
        <v>9</v>
      </c>
      <c r="D1056" s="4" t="s">
        <v>193</v>
      </c>
      <c r="E1056" s="4" t="s">
        <v>170</v>
      </c>
      <c r="F1056" s="4" t="s">
        <v>155</v>
      </c>
      <c r="G1056" s="4"/>
      <c r="H1056" s="4"/>
      <c r="I1056" s="4" t="s">
        <v>140</v>
      </c>
      <c r="J1056" s="4" t="s">
        <v>179</v>
      </c>
      <c r="K1056" s="4" t="s">
        <v>145</v>
      </c>
      <c r="L1056" s="4" t="s">
        <v>4181</v>
      </c>
      <c r="M1056" s="4" t="s">
        <v>173</v>
      </c>
      <c r="N1056" s="4" t="s">
        <v>161</v>
      </c>
      <c r="O1056" s="4" t="s">
        <v>1253</v>
      </c>
      <c r="P1056" s="4"/>
    </row>
    <row r="1057" spans="1:16" ht="15">
      <c r="A1057" s="4" t="s">
        <v>1886</v>
      </c>
      <c r="B1057" s="30">
        <v>39917</v>
      </c>
      <c r="C1057" s="4" t="s">
        <v>486</v>
      </c>
      <c r="D1057" s="4" t="s">
        <v>4184</v>
      </c>
      <c r="E1057" s="4" t="s">
        <v>170</v>
      </c>
      <c r="F1057" s="4" t="s">
        <v>155</v>
      </c>
      <c r="G1057" s="4"/>
      <c r="H1057" s="4"/>
      <c r="I1057" s="4" t="s">
        <v>140</v>
      </c>
      <c r="J1057" s="4" t="s">
        <v>181</v>
      </c>
      <c r="K1057" s="4" t="s">
        <v>142</v>
      </c>
      <c r="L1057" s="4" t="s">
        <v>162</v>
      </c>
      <c r="M1057" s="4"/>
      <c r="N1057" s="4" t="s">
        <v>155</v>
      </c>
      <c r="O1057" s="4" t="s">
        <v>454</v>
      </c>
      <c r="P1057" s="4"/>
    </row>
    <row r="1058" spans="1:16" ht="15">
      <c r="A1058" s="4" t="s">
        <v>1887</v>
      </c>
      <c r="B1058" s="30">
        <v>39992</v>
      </c>
      <c r="C1058" s="4" t="s">
        <v>380</v>
      </c>
      <c r="D1058" s="4" t="s">
        <v>197</v>
      </c>
      <c r="E1058" s="4" t="s">
        <v>170</v>
      </c>
      <c r="F1058" s="4" t="s">
        <v>155</v>
      </c>
      <c r="G1058" s="4"/>
      <c r="H1058" s="4">
        <v>5</v>
      </c>
      <c r="I1058" s="4" t="s">
        <v>139</v>
      </c>
      <c r="J1058" s="4" t="s">
        <v>181</v>
      </c>
      <c r="K1058" s="4" t="s">
        <v>144</v>
      </c>
      <c r="L1058" s="4" t="s">
        <v>162</v>
      </c>
      <c r="M1058" s="4" t="s">
        <v>175</v>
      </c>
      <c r="N1058" s="4" t="s">
        <v>155</v>
      </c>
      <c r="O1058" s="4" t="s">
        <v>130</v>
      </c>
      <c r="P1058" s="4"/>
    </row>
    <row r="1059" spans="1:16" ht="15">
      <c r="A1059" s="4" t="s">
        <v>1888</v>
      </c>
      <c r="B1059" s="30">
        <v>39910</v>
      </c>
      <c r="C1059" s="4"/>
      <c r="D1059" s="4" t="s">
        <v>4179</v>
      </c>
      <c r="E1059" s="4" t="s">
        <v>170</v>
      </c>
      <c r="F1059" s="4" t="s">
        <v>155</v>
      </c>
      <c r="G1059" s="4"/>
      <c r="H1059" s="4"/>
      <c r="I1059" s="4" t="s">
        <v>139</v>
      </c>
      <c r="J1059" s="4" t="s">
        <v>180</v>
      </c>
      <c r="K1059" s="4" t="s">
        <v>150</v>
      </c>
      <c r="L1059" s="4" t="s">
        <v>4181</v>
      </c>
      <c r="M1059" s="4" t="s">
        <v>173</v>
      </c>
      <c r="N1059" s="4" t="s">
        <v>155</v>
      </c>
      <c r="O1059" s="4" t="s">
        <v>125</v>
      </c>
      <c r="P1059" s="4"/>
    </row>
    <row r="1060" spans="1:16" ht="15">
      <c r="A1060" s="4" t="s">
        <v>1889</v>
      </c>
      <c r="B1060" s="30">
        <v>40065</v>
      </c>
      <c r="C1060" s="4"/>
      <c r="D1060" s="4" t="s">
        <v>193</v>
      </c>
      <c r="E1060" s="4" t="s">
        <v>170</v>
      </c>
      <c r="F1060" s="4" t="s">
        <v>155</v>
      </c>
      <c r="G1060" s="4">
        <v>5</v>
      </c>
      <c r="H1060" s="4">
        <v>5</v>
      </c>
      <c r="I1060" s="4" t="s">
        <v>140</v>
      </c>
      <c r="J1060" s="4" t="s">
        <v>180</v>
      </c>
      <c r="K1060" s="4" t="s">
        <v>143</v>
      </c>
      <c r="L1060" s="4" t="s">
        <v>4176</v>
      </c>
      <c r="M1060" s="4" t="s">
        <v>1890</v>
      </c>
      <c r="N1060" s="4" t="s">
        <v>156</v>
      </c>
      <c r="O1060" s="4" t="s">
        <v>120</v>
      </c>
      <c r="P1060" s="4" t="s">
        <v>1891</v>
      </c>
    </row>
    <row r="1061" spans="1:16" ht="15">
      <c r="A1061" s="4" t="s">
        <v>1892</v>
      </c>
      <c r="B1061" s="30">
        <v>39963</v>
      </c>
      <c r="C1061" s="4"/>
      <c r="D1061" s="4" t="s">
        <v>193</v>
      </c>
      <c r="E1061" s="4" t="s">
        <v>170</v>
      </c>
      <c r="F1061" s="4" t="s">
        <v>155</v>
      </c>
      <c r="G1061" s="4"/>
      <c r="H1061" s="4"/>
      <c r="I1061" s="4" t="s">
        <v>140</v>
      </c>
      <c r="J1061" s="4" t="s">
        <v>180</v>
      </c>
      <c r="K1061" s="4" t="s">
        <v>146</v>
      </c>
      <c r="L1061" s="4" t="s">
        <v>162</v>
      </c>
      <c r="M1061" s="4" t="s">
        <v>1893</v>
      </c>
      <c r="N1061" s="4" t="s">
        <v>155</v>
      </c>
      <c r="O1061" s="4" t="s">
        <v>129</v>
      </c>
      <c r="P1061" s="4"/>
    </row>
    <row r="1062" spans="1:16" ht="15">
      <c r="A1062" s="4" t="s">
        <v>1894</v>
      </c>
      <c r="B1062" s="30">
        <v>39954</v>
      </c>
      <c r="C1062" s="4"/>
      <c r="D1062" s="4" t="s">
        <v>193</v>
      </c>
      <c r="E1062" s="4" t="s">
        <v>170</v>
      </c>
      <c r="F1062" s="4" t="s">
        <v>155</v>
      </c>
      <c r="G1062" s="4"/>
      <c r="H1062" s="4"/>
      <c r="I1062" s="4" t="s">
        <v>140</v>
      </c>
      <c r="J1062" s="4" t="s">
        <v>182</v>
      </c>
      <c r="K1062" s="4" t="s">
        <v>142</v>
      </c>
      <c r="L1062" s="4" t="s">
        <v>4176</v>
      </c>
      <c r="M1062" s="4" t="s">
        <v>174</v>
      </c>
      <c r="N1062" s="4" t="s">
        <v>157</v>
      </c>
      <c r="O1062" s="4" t="s">
        <v>127</v>
      </c>
      <c r="P1062" s="4" t="s">
        <v>153</v>
      </c>
    </row>
    <row r="1063" spans="1:16" ht="15">
      <c r="A1063" s="4" t="s">
        <v>1895</v>
      </c>
      <c r="B1063" s="30">
        <v>40058</v>
      </c>
      <c r="C1063" s="4"/>
      <c r="D1063" s="4" t="s">
        <v>193</v>
      </c>
      <c r="E1063" s="4" t="s">
        <v>170</v>
      </c>
      <c r="F1063" s="4" t="s">
        <v>155</v>
      </c>
      <c r="G1063" s="4">
        <v>5</v>
      </c>
      <c r="H1063" s="4">
        <v>5</v>
      </c>
      <c r="I1063" s="4" t="s">
        <v>140</v>
      </c>
      <c r="J1063" s="4" t="s">
        <v>190</v>
      </c>
      <c r="K1063" s="4" t="s">
        <v>143</v>
      </c>
      <c r="L1063" s="4" t="s">
        <v>4176</v>
      </c>
      <c r="M1063" s="4" t="s">
        <v>174</v>
      </c>
      <c r="N1063" s="4" t="s">
        <v>157</v>
      </c>
      <c r="O1063" s="4" t="s">
        <v>127</v>
      </c>
      <c r="P1063" s="4" t="s">
        <v>1005</v>
      </c>
    </row>
    <row r="1064" spans="1:16" ht="15">
      <c r="A1064" s="4" t="s">
        <v>1896</v>
      </c>
      <c r="B1064" s="30">
        <v>39951</v>
      </c>
      <c r="C1064" s="4" t="s">
        <v>525</v>
      </c>
      <c r="D1064" s="4" t="s">
        <v>194</v>
      </c>
      <c r="E1064" s="4" t="s">
        <v>170</v>
      </c>
      <c r="F1064" s="4" t="s">
        <v>155</v>
      </c>
      <c r="G1064" s="4"/>
      <c r="H1064" s="4"/>
      <c r="I1064" s="4" t="s">
        <v>139</v>
      </c>
      <c r="J1064" s="4" t="s">
        <v>603</v>
      </c>
      <c r="K1064" s="4" t="s">
        <v>147</v>
      </c>
      <c r="L1064" s="4" t="s">
        <v>4176</v>
      </c>
      <c r="M1064" s="4" t="s">
        <v>174</v>
      </c>
      <c r="N1064" s="4" t="s">
        <v>157</v>
      </c>
      <c r="O1064" s="4" t="s">
        <v>127</v>
      </c>
      <c r="P1064" s="4" t="s">
        <v>153</v>
      </c>
    </row>
    <row r="1065" spans="1:16" ht="15">
      <c r="A1065" s="4" t="s">
        <v>1897</v>
      </c>
      <c r="B1065" s="30">
        <v>40014</v>
      </c>
      <c r="C1065" s="4"/>
      <c r="D1065" s="4" t="s">
        <v>193</v>
      </c>
      <c r="E1065" s="4" t="s">
        <v>170</v>
      </c>
      <c r="F1065" s="4" t="s">
        <v>155</v>
      </c>
      <c r="G1065" s="4">
        <v>5</v>
      </c>
      <c r="H1065" s="4">
        <v>5</v>
      </c>
      <c r="I1065" s="4" t="s">
        <v>140</v>
      </c>
      <c r="J1065" s="4" t="s">
        <v>183</v>
      </c>
      <c r="K1065" s="4" t="s">
        <v>144</v>
      </c>
      <c r="L1065" s="4" t="s">
        <v>4176</v>
      </c>
      <c r="M1065" s="4" t="s">
        <v>174</v>
      </c>
      <c r="N1065" s="4" t="s">
        <v>157</v>
      </c>
      <c r="O1065" s="4" t="s">
        <v>127</v>
      </c>
      <c r="P1065" s="4" t="s">
        <v>153</v>
      </c>
    </row>
    <row r="1066" spans="1:16" ht="15">
      <c r="A1066" s="4" t="s">
        <v>1898</v>
      </c>
      <c r="B1066" s="30">
        <v>40017</v>
      </c>
      <c r="C1066" s="4"/>
      <c r="D1066" s="4" t="s">
        <v>196</v>
      </c>
      <c r="E1066" s="4" t="s">
        <v>170</v>
      </c>
      <c r="F1066" s="4" t="s">
        <v>155</v>
      </c>
      <c r="G1066" s="4">
        <v>1</v>
      </c>
      <c r="H1066" s="4">
        <v>4</v>
      </c>
      <c r="I1066" s="4" t="s">
        <v>139</v>
      </c>
      <c r="J1066" s="4" t="s">
        <v>183</v>
      </c>
      <c r="K1066" s="4" t="s">
        <v>143</v>
      </c>
      <c r="L1066" s="4" t="s">
        <v>162</v>
      </c>
      <c r="M1066" s="4" t="s">
        <v>1899</v>
      </c>
      <c r="N1066" s="4" t="s">
        <v>155</v>
      </c>
      <c r="O1066" s="4" t="s">
        <v>130</v>
      </c>
      <c r="P1066" s="4"/>
    </row>
    <row r="1067" spans="1:16" ht="15">
      <c r="A1067" s="4" t="s">
        <v>1900</v>
      </c>
      <c r="B1067" s="30">
        <v>39960</v>
      </c>
      <c r="C1067" s="4"/>
      <c r="D1067" s="4" t="s">
        <v>193</v>
      </c>
      <c r="E1067" s="4" t="s">
        <v>170</v>
      </c>
      <c r="F1067" s="4" t="s">
        <v>155</v>
      </c>
      <c r="G1067" s="4"/>
      <c r="H1067" s="4"/>
      <c r="I1067" s="4" t="s">
        <v>140</v>
      </c>
      <c r="J1067" s="4" t="s">
        <v>183</v>
      </c>
      <c r="K1067" s="4" t="s">
        <v>143</v>
      </c>
      <c r="L1067" s="4" t="s">
        <v>162</v>
      </c>
      <c r="M1067" s="4" t="s">
        <v>175</v>
      </c>
      <c r="N1067" s="4" t="s">
        <v>155</v>
      </c>
      <c r="O1067" s="4" t="s">
        <v>129</v>
      </c>
      <c r="P1067" s="4"/>
    </row>
    <row r="1068" spans="1:16" ht="15">
      <c r="A1068" s="4" t="s">
        <v>1901</v>
      </c>
      <c r="B1068" s="30">
        <v>39974</v>
      </c>
      <c r="C1068" s="4" t="s">
        <v>9</v>
      </c>
      <c r="D1068" s="4" t="s">
        <v>193</v>
      </c>
      <c r="E1068" s="4" t="s">
        <v>170</v>
      </c>
      <c r="F1068" s="4" t="s">
        <v>155</v>
      </c>
      <c r="G1068" s="4"/>
      <c r="H1068" s="4"/>
      <c r="I1068" s="4" t="s">
        <v>140</v>
      </c>
      <c r="J1068" s="4" t="s">
        <v>183</v>
      </c>
      <c r="K1068" s="4" t="s">
        <v>145</v>
      </c>
      <c r="L1068" s="4" t="s">
        <v>4176</v>
      </c>
      <c r="M1068" s="4" t="s">
        <v>174</v>
      </c>
      <c r="N1068" s="4" t="s">
        <v>157</v>
      </c>
      <c r="O1068" s="4" t="s">
        <v>571</v>
      </c>
      <c r="P1068" s="4" t="s">
        <v>636</v>
      </c>
    </row>
    <row r="1069" spans="1:16" ht="15">
      <c r="A1069" s="4" t="s">
        <v>1902</v>
      </c>
      <c r="B1069" s="30">
        <v>39919</v>
      </c>
      <c r="C1069" s="4"/>
      <c r="D1069" s="4" t="s">
        <v>4183</v>
      </c>
      <c r="E1069" s="4" t="s">
        <v>170</v>
      </c>
      <c r="F1069" s="4" t="s">
        <v>155</v>
      </c>
      <c r="G1069" s="4"/>
      <c r="H1069" s="4"/>
      <c r="I1069" s="4" t="s">
        <v>140</v>
      </c>
      <c r="J1069" s="4" t="s">
        <v>409</v>
      </c>
      <c r="K1069" s="4" t="s">
        <v>147</v>
      </c>
      <c r="L1069" s="4" t="s">
        <v>165</v>
      </c>
      <c r="M1069" s="4" t="s">
        <v>1903</v>
      </c>
      <c r="N1069" s="4" t="s">
        <v>158</v>
      </c>
      <c r="O1069" s="4" t="s">
        <v>122</v>
      </c>
      <c r="P1069" s="4"/>
    </row>
    <row r="1070" spans="1:16" ht="15">
      <c r="A1070" s="4" t="s">
        <v>1904</v>
      </c>
      <c r="B1070" s="30">
        <v>39929</v>
      </c>
      <c r="C1070" s="4" t="s">
        <v>9</v>
      </c>
      <c r="D1070" s="4" t="s">
        <v>4177</v>
      </c>
      <c r="E1070" s="4" t="s">
        <v>170</v>
      </c>
      <c r="F1070" s="4" t="s">
        <v>155</v>
      </c>
      <c r="G1070" s="4"/>
      <c r="H1070" s="4"/>
      <c r="I1070" s="4" t="s">
        <v>139</v>
      </c>
      <c r="J1070" s="4" t="s">
        <v>188</v>
      </c>
      <c r="K1070" s="4" t="s">
        <v>143</v>
      </c>
      <c r="L1070" s="4" t="s">
        <v>4181</v>
      </c>
      <c r="M1070" s="4"/>
      <c r="N1070" s="4" t="s">
        <v>155</v>
      </c>
      <c r="O1070" s="4" t="s">
        <v>125</v>
      </c>
      <c r="P1070" s="4"/>
    </row>
    <row r="1071" spans="1:16" ht="15">
      <c r="A1071" s="4" t="s">
        <v>1905</v>
      </c>
      <c r="B1071" s="30">
        <v>40019</v>
      </c>
      <c r="C1071" s="4"/>
      <c r="D1071" s="4" t="s">
        <v>193</v>
      </c>
      <c r="E1071" s="4" t="s">
        <v>170</v>
      </c>
      <c r="F1071" s="4" t="s">
        <v>155</v>
      </c>
      <c r="G1071" s="4">
        <v>5</v>
      </c>
      <c r="H1071" s="4">
        <v>3</v>
      </c>
      <c r="I1071" s="4" t="s">
        <v>140</v>
      </c>
      <c r="J1071" s="4" t="s">
        <v>188</v>
      </c>
      <c r="K1071" s="4" t="s">
        <v>144</v>
      </c>
      <c r="L1071" s="4" t="s">
        <v>4176</v>
      </c>
      <c r="M1071" s="4" t="s">
        <v>824</v>
      </c>
      <c r="N1071" s="4" t="s">
        <v>157</v>
      </c>
      <c r="O1071" s="4" t="s">
        <v>127</v>
      </c>
      <c r="P1071" s="4" t="s">
        <v>153</v>
      </c>
    </row>
    <row r="1072" spans="1:16" ht="15">
      <c r="A1072" s="4" t="s">
        <v>1906</v>
      </c>
      <c r="B1072" s="30">
        <v>40011</v>
      </c>
      <c r="C1072" s="4" t="s">
        <v>496</v>
      </c>
      <c r="D1072" s="4" t="s">
        <v>196</v>
      </c>
      <c r="E1072" s="4" t="s">
        <v>170</v>
      </c>
      <c r="F1072" s="4" t="s">
        <v>155</v>
      </c>
      <c r="G1072" s="4">
        <v>5</v>
      </c>
      <c r="H1072" s="4">
        <v>5</v>
      </c>
      <c r="I1072" s="4" t="s">
        <v>139</v>
      </c>
      <c r="J1072" s="4" t="s">
        <v>409</v>
      </c>
      <c r="K1072" s="4" t="s">
        <v>142</v>
      </c>
      <c r="L1072" s="4" t="s">
        <v>4176</v>
      </c>
      <c r="M1072" s="4" t="s">
        <v>1907</v>
      </c>
      <c r="N1072" s="4" t="s">
        <v>159</v>
      </c>
      <c r="O1072" s="4" t="s">
        <v>126</v>
      </c>
      <c r="P1072" s="4" t="s">
        <v>601</v>
      </c>
    </row>
    <row r="1073" spans="1:16" ht="15">
      <c r="A1073" s="4" t="s">
        <v>1908</v>
      </c>
      <c r="B1073" s="30">
        <v>39964</v>
      </c>
      <c r="C1073" s="4"/>
      <c r="D1073" s="4" t="s">
        <v>193</v>
      </c>
      <c r="E1073" s="4" t="s">
        <v>170</v>
      </c>
      <c r="F1073" s="4" t="s">
        <v>155</v>
      </c>
      <c r="G1073" s="4"/>
      <c r="H1073" s="4"/>
      <c r="I1073" s="4" t="s">
        <v>140</v>
      </c>
      <c r="J1073" s="4" t="s">
        <v>188</v>
      </c>
      <c r="K1073" s="4" t="s">
        <v>142</v>
      </c>
      <c r="L1073" s="4" t="s">
        <v>4181</v>
      </c>
      <c r="M1073" s="4" t="s">
        <v>1308</v>
      </c>
      <c r="N1073" s="4" t="s">
        <v>161</v>
      </c>
      <c r="O1073" s="4" t="s">
        <v>1840</v>
      </c>
      <c r="P1073" s="4"/>
    </row>
    <row r="1074" spans="1:16" ht="15">
      <c r="A1074" s="4" t="s">
        <v>1909</v>
      </c>
      <c r="B1074" s="30">
        <v>39912</v>
      </c>
      <c r="C1074" s="4"/>
      <c r="D1074" s="4" t="s">
        <v>4177</v>
      </c>
      <c r="E1074" s="4" t="s">
        <v>170</v>
      </c>
      <c r="F1074" s="4" t="s">
        <v>155</v>
      </c>
      <c r="G1074" s="4"/>
      <c r="H1074" s="4"/>
      <c r="I1074" s="4" t="s">
        <v>139</v>
      </c>
      <c r="J1074" s="4" t="s">
        <v>178</v>
      </c>
      <c r="K1074" s="4" t="s">
        <v>143</v>
      </c>
      <c r="L1074" s="4" t="s">
        <v>4176</v>
      </c>
      <c r="M1074" s="4" t="s">
        <v>174</v>
      </c>
      <c r="N1074" s="4" t="s">
        <v>157</v>
      </c>
      <c r="O1074" s="4" t="s">
        <v>130</v>
      </c>
      <c r="P1074" s="4" t="s">
        <v>437</v>
      </c>
    </row>
    <row r="1075" spans="1:16" ht="15">
      <c r="A1075" s="4" t="s">
        <v>1910</v>
      </c>
      <c r="B1075" s="30">
        <v>39972</v>
      </c>
      <c r="C1075" s="4"/>
      <c r="D1075" s="4" t="s">
        <v>193</v>
      </c>
      <c r="E1075" s="4" t="s">
        <v>170</v>
      </c>
      <c r="F1075" s="4" t="s">
        <v>155</v>
      </c>
      <c r="G1075" s="4"/>
      <c r="H1075" s="4"/>
      <c r="I1075" s="4" t="s">
        <v>140</v>
      </c>
      <c r="J1075" s="4" t="s">
        <v>409</v>
      </c>
      <c r="K1075" s="4" t="s">
        <v>142</v>
      </c>
      <c r="L1075" s="4" t="s">
        <v>162</v>
      </c>
      <c r="M1075" s="4"/>
      <c r="N1075" s="4" t="s">
        <v>155</v>
      </c>
      <c r="O1075" s="4" t="s">
        <v>130</v>
      </c>
      <c r="P1075" s="4"/>
    </row>
    <row r="1076" spans="1:16" ht="15">
      <c r="A1076" s="4" t="s">
        <v>1911</v>
      </c>
      <c r="B1076" s="30">
        <v>39960</v>
      </c>
      <c r="C1076" s="4" t="s">
        <v>525</v>
      </c>
      <c r="D1076" s="4" t="s">
        <v>193</v>
      </c>
      <c r="E1076" s="4" t="s">
        <v>170</v>
      </c>
      <c r="F1076" s="4" t="s">
        <v>155</v>
      </c>
      <c r="G1076" s="4"/>
      <c r="H1076" s="4"/>
      <c r="I1076" s="4" t="s">
        <v>140</v>
      </c>
      <c r="J1076" s="4" t="s">
        <v>409</v>
      </c>
      <c r="K1076" s="4" t="s">
        <v>145</v>
      </c>
      <c r="L1076" s="4" t="s">
        <v>4176</v>
      </c>
      <c r="M1076" s="4" t="s">
        <v>174</v>
      </c>
      <c r="N1076" s="4" t="s">
        <v>157</v>
      </c>
      <c r="O1076" s="4" t="s">
        <v>434</v>
      </c>
      <c r="P1076" s="4" t="s">
        <v>435</v>
      </c>
    </row>
    <row r="1077" spans="1:16" ht="15">
      <c r="A1077" s="4" t="s">
        <v>1912</v>
      </c>
      <c r="B1077" s="30">
        <v>39950</v>
      </c>
      <c r="C1077" s="4"/>
      <c r="D1077" s="4" t="s">
        <v>193</v>
      </c>
      <c r="E1077" s="4" t="s">
        <v>170</v>
      </c>
      <c r="F1077" s="4" t="s">
        <v>155</v>
      </c>
      <c r="G1077" s="4"/>
      <c r="H1077" s="4"/>
      <c r="I1077" s="4" t="s">
        <v>140</v>
      </c>
      <c r="J1077" s="4" t="s">
        <v>188</v>
      </c>
      <c r="K1077" s="4" t="s">
        <v>147</v>
      </c>
      <c r="L1077" s="4" t="s">
        <v>4176</v>
      </c>
      <c r="M1077" s="4" t="s">
        <v>1572</v>
      </c>
      <c r="N1077" s="4" t="s">
        <v>157</v>
      </c>
      <c r="O1077" s="4" t="s">
        <v>127</v>
      </c>
      <c r="P1077" s="4" t="s">
        <v>153</v>
      </c>
    </row>
    <row r="1078" spans="1:16" ht="15">
      <c r="A1078" s="4" t="s">
        <v>1913</v>
      </c>
      <c r="B1078" s="30">
        <v>39981</v>
      </c>
      <c r="C1078" s="4"/>
      <c r="D1078" s="4" t="s">
        <v>194</v>
      </c>
      <c r="E1078" s="4" t="s">
        <v>170</v>
      </c>
      <c r="F1078" s="4" t="s">
        <v>155</v>
      </c>
      <c r="G1078" s="4"/>
      <c r="H1078" s="4"/>
      <c r="I1078" s="4" t="s">
        <v>139</v>
      </c>
      <c r="J1078" s="4" t="s">
        <v>190</v>
      </c>
      <c r="K1078" s="4" t="s">
        <v>144</v>
      </c>
      <c r="L1078" s="4" t="s">
        <v>165</v>
      </c>
      <c r="M1078" s="4" t="s">
        <v>589</v>
      </c>
      <c r="N1078" s="4" t="s">
        <v>158</v>
      </c>
      <c r="O1078" s="4" t="s">
        <v>122</v>
      </c>
      <c r="P1078" s="4"/>
    </row>
    <row r="1079" spans="1:16" ht="15">
      <c r="A1079" s="4" t="s">
        <v>1914</v>
      </c>
      <c r="B1079" s="30">
        <v>40040</v>
      </c>
      <c r="C1079" s="4" t="s">
        <v>525</v>
      </c>
      <c r="D1079" s="4" t="s">
        <v>196</v>
      </c>
      <c r="E1079" s="4" t="s">
        <v>170</v>
      </c>
      <c r="F1079" s="4" t="s">
        <v>155</v>
      </c>
      <c r="G1079" s="4">
        <v>5</v>
      </c>
      <c r="H1079" s="4">
        <v>4</v>
      </c>
      <c r="I1079" s="4" t="s">
        <v>139</v>
      </c>
      <c r="J1079" s="4" t="s">
        <v>190</v>
      </c>
      <c r="K1079" s="4" t="s">
        <v>146</v>
      </c>
      <c r="L1079" s="4" t="s">
        <v>162</v>
      </c>
      <c r="M1079" s="4" t="s">
        <v>713</v>
      </c>
      <c r="N1079" s="4" t="s">
        <v>155</v>
      </c>
      <c r="O1079" s="4" t="s">
        <v>129</v>
      </c>
      <c r="P1079" s="4"/>
    </row>
    <row r="1080" spans="1:16" ht="15">
      <c r="A1080" s="4" t="s">
        <v>1915</v>
      </c>
      <c r="B1080" s="30">
        <v>39963</v>
      </c>
      <c r="C1080" s="4"/>
      <c r="D1080" s="4" t="s">
        <v>195</v>
      </c>
      <c r="E1080" s="4" t="s">
        <v>170</v>
      </c>
      <c r="F1080" s="4" t="s">
        <v>155</v>
      </c>
      <c r="G1080" s="4"/>
      <c r="H1080" s="4"/>
      <c r="I1080" s="4" t="s">
        <v>139</v>
      </c>
      <c r="J1080" s="4" t="s">
        <v>188</v>
      </c>
      <c r="K1080" s="4" t="s">
        <v>142</v>
      </c>
      <c r="L1080" s="4" t="s">
        <v>4176</v>
      </c>
      <c r="M1080" s="4" t="s">
        <v>174</v>
      </c>
      <c r="N1080" s="4" t="s">
        <v>159</v>
      </c>
      <c r="O1080" s="4" t="s">
        <v>123</v>
      </c>
      <c r="P1080" s="4" t="s">
        <v>123</v>
      </c>
    </row>
    <row r="1081" spans="1:16" ht="15">
      <c r="A1081" s="4" t="s">
        <v>1916</v>
      </c>
      <c r="B1081" s="30">
        <v>39911</v>
      </c>
      <c r="C1081" s="4"/>
      <c r="D1081" s="4" t="s">
        <v>4178</v>
      </c>
      <c r="E1081" s="4" t="s">
        <v>170</v>
      </c>
      <c r="F1081" s="4" t="s">
        <v>155</v>
      </c>
      <c r="G1081" s="4"/>
      <c r="H1081" s="4"/>
      <c r="I1081" s="4" t="s">
        <v>139</v>
      </c>
      <c r="J1081" s="4" t="s">
        <v>188</v>
      </c>
      <c r="K1081" s="4" t="s">
        <v>149</v>
      </c>
      <c r="L1081" s="4" t="s">
        <v>4176</v>
      </c>
      <c r="M1081" s="4" t="s">
        <v>1184</v>
      </c>
      <c r="N1081" s="4" t="s">
        <v>156</v>
      </c>
      <c r="O1081" s="4" t="s">
        <v>120</v>
      </c>
      <c r="P1081" s="4" t="s">
        <v>832</v>
      </c>
    </row>
    <row r="1082" spans="1:16" ht="15">
      <c r="A1082" s="4" t="s">
        <v>1917</v>
      </c>
      <c r="B1082" s="30">
        <v>39994</v>
      </c>
      <c r="C1082" s="4"/>
      <c r="D1082" s="4" t="s">
        <v>193</v>
      </c>
      <c r="E1082" s="4" t="s">
        <v>170</v>
      </c>
      <c r="F1082" s="4" t="s">
        <v>155</v>
      </c>
      <c r="G1082" s="4"/>
      <c r="H1082" s="4">
        <v>5</v>
      </c>
      <c r="I1082" s="4" t="s">
        <v>140</v>
      </c>
      <c r="J1082" s="4" t="s">
        <v>188</v>
      </c>
      <c r="K1082" s="4" t="s">
        <v>144</v>
      </c>
      <c r="L1082" s="4" t="s">
        <v>4176</v>
      </c>
      <c r="M1082" s="4" t="s">
        <v>1184</v>
      </c>
      <c r="N1082" s="4" t="s">
        <v>156</v>
      </c>
      <c r="O1082" s="4" t="s">
        <v>120</v>
      </c>
      <c r="P1082" s="4" t="s">
        <v>1001</v>
      </c>
    </row>
    <row r="1083" spans="1:16" ht="15">
      <c r="A1083" s="4" t="s">
        <v>1918</v>
      </c>
      <c r="B1083" s="30">
        <v>40025</v>
      </c>
      <c r="C1083" s="4"/>
      <c r="D1083" s="4" t="s">
        <v>196</v>
      </c>
      <c r="E1083" s="4" t="s">
        <v>170</v>
      </c>
      <c r="F1083" s="4" t="s">
        <v>155</v>
      </c>
      <c r="G1083" s="4">
        <v>5</v>
      </c>
      <c r="H1083" s="4">
        <v>5</v>
      </c>
      <c r="I1083" s="4" t="s">
        <v>139</v>
      </c>
      <c r="J1083" s="4" t="s">
        <v>183</v>
      </c>
      <c r="K1083" s="4" t="s">
        <v>142</v>
      </c>
      <c r="L1083" s="4" t="s">
        <v>4176</v>
      </c>
      <c r="M1083" s="4" t="s">
        <v>498</v>
      </c>
      <c r="N1083" s="4" t="s">
        <v>159</v>
      </c>
      <c r="O1083" s="4" t="s">
        <v>123</v>
      </c>
      <c r="P1083" s="4" t="s">
        <v>123</v>
      </c>
    </row>
    <row r="1084" spans="1:16" ht="15">
      <c r="A1084" s="4" t="s">
        <v>1919</v>
      </c>
      <c r="B1084" s="30">
        <v>39986</v>
      </c>
      <c r="C1084" s="4" t="s">
        <v>383</v>
      </c>
      <c r="D1084" s="4" t="s">
        <v>196</v>
      </c>
      <c r="E1084" s="4" t="s">
        <v>170</v>
      </c>
      <c r="F1084" s="4" t="s">
        <v>155</v>
      </c>
      <c r="G1084" s="4"/>
      <c r="H1084" s="4"/>
      <c r="I1084" s="4" t="s">
        <v>139</v>
      </c>
      <c r="J1084" s="4" t="s">
        <v>180</v>
      </c>
      <c r="K1084" s="4" t="s">
        <v>146</v>
      </c>
      <c r="L1084" s="4" t="s">
        <v>4181</v>
      </c>
      <c r="M1084" s="4" t="s">
        <v>1920</v>
      </c>
      <c r="N1084" s="4" t="s">
        <v>788</v>
      </c>
      <c r="O1084" s="4" t="s">
        <v>1225</v>
      </c>
      <c r="P1084" s="4"/>
    </row>
    <row r="1085" spans="1:16" ht="15">
      <c r="A1085" s="4" t="s">
        <v>1921</v>
      </c>
      <c r="B1085" s="30">
        <v>39986</v>
      </c>
      <c r="C1085" s="4"/>
      <c r="D1085" s="4" t="s">
        <v>196</v>
      </c>
      <c r="E1085" s="4" t="s">
        <v>170</v>
      </c>
      <c r="F1085" s="4" t="s">
        <v>155</v>
      </c>
      <c r="G1085" s="4"/>
      <c r="H1085" s="4"/>
      <c r="I1085" s="4" t="s">
        <v>139</v>
      </c>
      <c r="J1085" s="4" t="s">
        <v>179</v>
      </c>
      <c r="K1085" s="4" t="s">
        <v>146</v>
      </c>
      <c r="L1085" s="4" t="s">
        <v>4181</v>
      </c>
      <c r="M1085" s="4"/>
      <c r="N1085" s="4" t="s">
        <v>788</v>
      </c>
      <c r="O1085" s="4" t="s">
        <v>1225</v>
      </c>
      <c r="P1085" s="4"/>
    </row>
    <row r="1086" spans="1:16" ht="15">
      <c r="A1086" s="4" t="s">
        <v>1922</v>
      </c>
      <c r="B1086" s="30">
        <v>39946</v>
      </c>
      <c r="C1086" s="4"/>
      <c r="D1086" s="4" t="s">
        <v>195</v>
      </c>
      <c r="E1086" s="4" t="s">
        <v>170</v>
      </c>
      <c r="F1086" s="4" t="s">
        <v>155</v>
      </c>
      <c r="G1086" s="4"/>
      <c r="H1086" s="4"/>
      <c r="I1086" s="4" t="s">
        <v>139</v>
      </c>
      <c r="J1086" s="4" t="s">
        <v>178</v>
      </c>
      <c r="K1086" s="4" t="s">
        <v>143</v>
      </c>
      <c r="L1086" s="4" t="s">
        <v>4176</v>
      </c>
      <c r="M1086" s="4" t="s">
        <v>174</v>
      </c>
      <c r="N1086" s="4" t="s">
        <v>156</v>
      </c>
      <c r="O1086" s="4" t="s">
        <v>120</v>
      </c>
      <c r="P1086" s="4" t="s">
        <v>1923</v>
      </c>
    </row>
    <row r="1087" spans="1:16" ht="15">
      <c r="A1087" s="4" t="s">
        <v>1924</v>
      </c>
      <c r="B1087" s="30">
        <v>39979</v>
      </c>
      <c r="C1087" s="4" t="s">
        <v>9</v>
      </c>
      <c r="D1087" s="4" t="s">
        <v>193</v>
      </c>
      <c r="E1087" s="4" t="s">
        <v>170</v>
      </c>
      <c r="F1087" s="4" t="s">
        <v>155</v>
      </c>
      <c r="G1087" s="4"/>
      <c r="H1087" s="4"/>
      <c r="I1087" s="4" t="s">
        <v>140</v>
      </c>
      <c r="J1087" s="4" t="s">
        <v>178</v>
      </c>
      <c r="K1087" s="4" t="s">
        <v>148</v>
      </c>
      <c r="L1087" s="4" t="s">
        <v>4181</v>
      </c>
      <c r="M1087" s="4" t="s">
        <v>173</v>
      </c>
      <c r="N1087" s="4" t="s">
        <v>155</v>
      </c>
      <c r="O1087" s="4" t="s">
        <v>467</v>
      </c>
      <c r="P1087" s="4"/>
    </row>
    <row r="1088" spans="1:16" ht="15">
      <c r="A1088" s="4" t="s">
        <v>1925</v>
      </c>
      <c r="B1088" s="30">
        <v>40008</v>
      </c>
      <c r="C1088" s="4"/>
      <c r="D1088" s="4" t="s">
        <v>193</v>
      </c>
      <c r="E1088" s="4" t="s">
        <v>170</v>
      </c>
      <c r="F1088" s="4" t="s">
        <v>155</v>
      </c>
      <c r="G1088" s="4">
        <v>5</v>
      </c>
      <c r="H1088" s="4">
        <v>3</v>
      </c>
      <c r="I1088" s="4" t="s">
        <v>140</v>
      </c>
      <c r="J1088" s="4" t="s">
        <v>810</v>
      </c>
      <c r="K1088" s="4" t="s">
        <v>145</v>
      </c>
      <c r="L1088" s="4" t="s">
        <v>4181</v>
      </c>
      <c r="M1088" s="4" t="s">
        <v>1241</v>
      </c>
      <c r="N1088" s="4" t="s">
        <v>155</v>
      </c>
      <c r="O1088" s="4" t="s">
        <v>124</v>
      </c>
      <c r="P1088" s="4"/>
    </row>
    <row r="1089" spans="1:16" ht="15">
      <c r="A1089" s="4" t="s">
        <v>1926</v>
      </c>
      <c r="B1089" s="30">
        <v>40019</v>
      </c>
      <c r="C1089" s="4"/>
      <c r="D1089" s="4" t="s">
        <v>193</v>
      </c>
      <c r="E1089" s="4" t="s">
        <v>170</v>
      </c>
      <c r="F1089" s="4" t="s">
        <v>155</v>
      </c>
      <c r="G1089" s="4">
        <v>5</v>
      </c>
      <c r="H1089" s="4">
        <v>4</v>
      </c>
      <c r="I1089" s="4" t="s">
        <v>140</v>
      </c>
      <c r="J1089" s="4" t="s">
        <v>187</v>
      </c>
      <c r="K1089" s="4" t="s">
        <v>145</v>
      </c>
      <c r="L1089" s="4" t="s">
        <v>162</v>
      </c>
      <c r="M1089" s="4"/>
      <c r="N1089" s="4" t="s">
        <v>155</v>
      </c>
      <c r="O1089" s="4" t="s">
        <v>130</v>
      </c>
      <c r="P1089" s="4"/>
    </row>
    <row r="1090" spans="1:16" ht="15">
      <c r="A1090" s="4" t="s">
        <v>1927</v>
      </c>
      <c r="B1090" s="30">
        <v>40037</v>
      </c>
      <c r="C1090" s="4" t="s">
        <v>496</v>
      </c>
      <c r="D1090" s="4" t="s">
        <v>195</v>
      </c>
      <c r="E1090" s="4" t="s">
        <v>170</v>
      </c>
      <c r="F1090" s="4" t="s">
        <v>155</v>
      </c>
      <c r="G1090" s="4">
        <v>5</v>
      </c>
      <c r="H1090" s="4">
        <v>5</v>
      </c>
      <c r="I1090" s="4" t="s">
        <v>139</v>
      </c>
      <c r="J1090" s="4" t="s">
        <v>187</v>
      </c>
      <c r="K1090" s="4" t="s">
        <v>145</v>
      </c>
      <c r="L1090" s="4" t="s">
        <v>4176</v>
      </c>
      <c r="M1090" s="4" t="s">
        <v>1928</v>
      </c>
      <c r="N1090" s="4" t="s">
        <v>159</v>
      </c>
      <c r="O1090" s="4" t="s">
        <v>123</v>
      </c>
      <c r="P1090" s="4" t="s">
        <v>123</v>
      </c>
    </row>
    <row r="1091" spans="1:16" ht="15">
      <c r="A1091" s="4" t="s">
        <v>1929</v>
      </c>
      <c r="B1091" s="30">
        <v>39924</v>
      </c>
      <c r="C1091" s="4"/>
      <c r="D1091" s="4" t="s">
        <v>4183</v>
      </c>
      <c r="E1091" s="4" t="s">
        <v>170</v>
      </c>
      <c r="F1091" s="4" t="s">
        <v>155</v>
      </c>
      <c r="G1091" s="4"/>
      <c r="H1091" s="4"/>
      <c r="I1091" s="4" t="s">
        <v>140</v>
      </c>
      <c r="J1091" s="4" t="s">
        <v>178</v>
      </c>
      <c r="K1091" s="4" t="s">
        <v>147</v>
      </c>
      <c r="L1091" s="4" t="s">
        <v>4176</v>
      </c>
      <c r="M1091" s="4" t="s">
        <v>176</v>
      </c>
      <c r="N1091" s="4" t="s">
        <v>540</v>
      </c>
      <c r="O1091" s="4" t="s">
        <v>399</v>
      </c>
      <c r="P1091" s="4" t="s">
        <v>400</v>
      </c>
    </row>
    <row r="1092" spans="1:16" ht="15">
      <c r="A1092" s="4" t="s">
        <v>1930</v>
      </c>
      <c r="B1092" s="30">
        <v>40015</v>
      </c>
      <c r="C1092" s="4"/>
      <c r="D1092" s="4" t="s">
        <v>196</v>
      </c>
      <c r="E1092" s="4" t="s">
        <v>170</v>
      </c>
      <c r="F1092" s="4" t="s">
        <v>155</v>
      </c>
      <c r="G1092" s="4">
        <v>3</v>
      </c>
      <c r="H1092" s="4">
        <v>3</v>
      </c>
      <c r="I1092" s="4" t="s">
        <v>139</v>
      </c>
      <c r="J1092" s="4" t="s">
        <v>190</v>
      </c>
      <c r="K1092" s="4" t="s">
        <v>144</v>
      </c>
      <c r="L1092" s="4" t="s">
        <v>162</v>
      </c>
      <c r="M1092" s="4"/>
      <c r="N1092" s="4" t="s">
        <v>155</v>
      </c>
      <c r="O1092" s="4" t="s">
        <v>130</v>
      </c>
      <c r="P1092" s="4"/>
    </row>
    <row r="1093" spans="1:16" ht="15">
      <c r="A1093" s="4" t="s">
        <v>1931</v>
      </c>
      <c r="B1093" s="30">
        <v>39960</v>
      </c>
      <c r="C1093" s="4"/>
      <c r="D1093" s="4" t="s">
        <v>194</v>
      </c>
      <c r="E1093" s="4" t="s">
        <v>170</v>
      </c>
      <c r="F1093" s="4" t="s">
        <v>155</v>
      </c>
      <c r="G1093" s="4"/>
      <c r="H1093" s="4"/>
      <c r="I1093" s="4" t="s">
        <v>139</v>
      </c>
      <c r="J1093" s="4" t="s">
        <v>603</v>
      </c>
      <c r="K1093" s="4" t="s">
        <v>142</v>
      </c>
      <c r="L1093" s="4" t="s">
        <v>4176</v>
      </c>
      <c r="M1093" s="4" t="s">
        <v>174</v>
      </c>
      <c r="N1093" s="4" t="s">
        <v>156</v>
      </c>
      <c r="O1093" s="4" t="s">
        <v>120</v>
      </c>
      <c r="P1093" s="4" t="s">
        <v>1932</v>
      </c>
    </row>
    <row r="1094" spans="1:16" ht="15">
      <c r="A1094" s="4" t="s">
        <v>1933</v>
      </c>
      <c r="B1094" s="30">
        <v>39981</v>
      </c>
      <c r="C1094" s="4"/>
      <c r="D1094" s="4" t="s">
        <v>194</v>
      </c>
      <c r="E1094" s="4" t="s">
        <v>170</v>
      </c>
      <c r="F1094" s="4" t="s">
        <v>155</v>
      </c>
      <c r="G1094" s="4"/>
      <c r="H1094" s="4"/>
      <c r="I1094" s="4" t="s">
        <v>139</v>
      </c>
      <c r="J1094" s="4" t="s">
        <v>603</v>
      </c>
      <c r="K1094" s="4" t="s">
        <v>143</v>
      </c>
      <c r="L1094" s="4" t="s">
        <v>162</v>
      </c>
      <c r="M1094" s="4" t="s">
        <v>1934</v>
      </c>
      <c r="N1094" s="4" t="s">
        <v>155</v>
      </c>
      <c r="O1094" s="4" t="s">
        <v>130</v>
      </c>
      <c r="P1094" s="4"/>
    </row>
    <row r="1095" spans="1:16" ht="15">
      <c r="A1095" s="4" t="s">
        <v>1935</v>
      </c>
      <c r="B1095" s="30">
        <v>39958</v>
      </c>
      <c r="C1095" s="4"/>
      <c r="D1095" s="4" t="s">
        <v>194</v>
      </c>
      <c r="E1095" s="4" t="s">
        <v>170</v>
      </c>
      <c r="F1095" s="4" t="s">
        <v>155</v>
      </c>
      <c r="G1095" s="4"/>
      <c r="H1095" s="4"/>
      <c r="I1095" s="4" t="s">
        <v>139</v>
      </c>
      <c r="J1095" s="4" t="s">
        <v>178</v>
      </c>
      <c r="K1095" s="4" t="s">
        <v>150</v>
      </c>
      <c r="L1095" s="4" t="s">
        <v>162</v>
      </c>
      <c r="M1095" s="4" t="s">
        <v>176</v>
      </c>
      <c r="N1095" s="4" t="s">
        <v>155</v>
      </c>
      <c r="O1095" s="4" t="s">
        <v>129</v>
      </c>
      <c r="P1095" s="4"/>
    </row>
    <row r="1096" spans="1:16" ht="15">
      <c r="A1096" s="4" t="s">
        <v>1936</v>
      </c>
      <c r="B1096" s="30">
        <v>40055</v>
      </c>
      <c r="C1096" s="4"/>
      <c r="D1096" s="4" t="s">
        <v>193</v>
      </c>
      <c r="E1096" s="4" t="s">
        <v>170</v>
      </c>
      <c r="F1096" s="4" t="s">
        <v>155</v>
      </c>
      <c r="G1096" s="4">
        <v>5</v>
      </c>
      <c r="H1096" s="4">
        <v>3</v>
      </c>
      <c r="I1096" s="4" t="s">
        <v>140</v>
      </c>
      <c r="J1096" s="4" t="s">
        <v>178</v>
      </c>
      <c r="K1096" s="4" t="s">
        <v>143</v>
      </c>
      <c r="L1096" s="4" t="s">
        <v>162</v>
      </c>
      <c r="M1096" s="4"/>
      <c r="N1096" s="4" t="s">
        <v>155</v>
      </c>
      <c r="O1096" s="4" t="s">
        <v>127</v>
      </c>
      <c r="P1096" s="4"/>
    </row>
    <row r="1097" spans="1:16" ht="15">
      <c r="A1097" s="4" t="s">
        <v>1937</v>
      </c>
      <c r="B1097" s="30">
        <v>39922</v>
      </c>
      <c r="C1097" s="4"/>
      <c r="D1097" s="4" t="s">
        <v>4179</v>
      </c>
      <c r="E1097" s="4" t="s">
        <v>170</v>
      </c>
      <c r="F1097" s="4" t="s">
        <v>155</v>
      </c>
      <c r="G1097" s="4"/>
      <c r="H1097" s="4"/>
      <c r="I1097" s="4" t="s">
        <v>139</v>
      </c>
      <c r="J1097" s="4" t="s">
        <v>178</v>
      </c>
      <c r="K1097" s="4" t="s">
        <v>149</v>
      </c>
      <c r="L1097" s="4" t="s">
        <v>162</v>
      </c>
      <c r="M1097" s="4" t="s">
        <v>175</v>
      </c>
      <c r="N1097" s="4" t="s">
        <v>155</v>
      </c>
      <c r="O1097" s="4" t="s">
        <v>130</v>
      </c>
      <c r="P1097" s="4"/>
    </row>
    <row r="1098" spans="1:16" ht="15">
      <c r="A1098" s="4" t="s">
        <v>1938</v>
      </c>
      <c r="B1098" s="30">
        <v>39937</v>
      </c>
      <c r="C1098" s="4"/>
      <c r="D1098" s="4" t="s">
        <v>4178</v>
      </c>
      <c r="E1098" s="4" t="s">
        <v>170</v>
      </c>
      <c r="F1098" s="4" t="s">
        <v>155</v>
      </c>
      <c r="G1098" s="4"/>
      <c r="H1098" s="4"/>
      <c r="I1098" s="4" t="s">
        <v>139</v>
      </c>
      <c r="J1098" s="4" t="s">
        <v>178</v>
      </c>
      <c r="K1098" s="4" t="s">
        <v>151</v>
      </c>
      <c r="L1098" s="4" t="s">
        <v>4181</v>
      </c>
      <c r="M1098" s="4" t="s">
        <v>173</v>
      </c>
      <c r="N1098" s="4" t="s">
        <v>155</v>
      </c>
      <c r="O1098" s="4" t="s">
        <v>124</v>
      </c>
      <c r="P1098" s="4"/>
    </row>
    <row r="1099" spans="1:16" ht="15">
      <c r="A1099" s="4" t="s">
        <v>1939</v>
      </c>
      <c r="B1099" s="30">
        <v>40083</v>
      </c>
      <c r="C1099" s="4"/>
      <c r="D1099" s="4" t="s">
        <v>193</v>
      </c>
      <c r="E1099" s="4" t="s">
        <v>170</v>
      </c>
      <c r="F1099" s="4" t="s">
        <v>155</v>
      </c>
      <c r="G1099" s="4">
        <v>5</v>
      </c>
      <c r="H1099" s="4">
        <v>4</v>
      </c>
      <c r="I1099" s="4" t="s">
        <v>140</v>
      </c>
      <c r="J1099" s="4" t="s">
        <v>178</v>
      </c>
      <c r="K1099" s="4" t="s">
        <v>145</v>
      </c>
      <c r="L1099" s="4" t="s">
        <v>4181</v>
      </c>
      <c r="M1099" s="4" t="s">
        <v>173</v>
      </c>
      <c r="N1099" s="4" t="s">
        <v>155</v>
      </c>
      <c r="O1099" s="4" t="s">
        <v>128</v>
      </c>
      <c r="P1099" s="4"/>
    </row>
    <row r="1100" spans="1:16" ht="15">
      <c r="A1100" s="4" t="s">
        <v>1940</v>
      </c>
      <c r="B1100" s="30">
        <v>40071</v>
      </c>
      <c r="C1100" s="4"/>
      <c r="D1100" s="4" t="s">
        <v>193</v>
      </c>
      <c r="E1100" s="4" t="s">
        <v>170</v>
      </c>
      <c r="F1100" s="4" t="s">
        <v>155</v>
      </c>
      <c r="G1100" s="4">
        <v>5</v>
      </c>
      <c r="H1100" s="4">
        <v>4</v>
      </c>
      <c r="I1100" s="4" t="s">
        <v>140</v>
      </c>
      <c r="J1100" s="4" t="s">
        <v>178</v>
      </c>
      <c r="K1100" s="4" t="s">
        <v>143</v>
      </c>
      <c r="L1100" s="4" t="s">
        <v>4176</v>
      </c>
      <c r="M1100" s="4" t="s">
        <v>174</v>
      </c>
      <c r="N1100" s="4" t="s">
        <v>159</v>
      </c>
      <c r="O1100" s="4" t="s">
        <v>123</v>
      </c>
      <c r="P1100" s="4" t="s">
        <v>123</v>
      </c>
    </row>
    <row r="1101" spans="1:16" ht="15">
      <c r="A1101" s="4" t="s">
        <v>1941</v>
      </c>
      <c r="B1101" s="30">
        <v>40016</v>
      </c>
      <c r="C1101" s="4" t="s">
        <v>9</v>
      </c>
      <c r="D1101" s="4" t="s">
        <v>196</v>
      </c>
      <c r="E1101" s="4" t="s">
        <v>170</v>
      </c>
      <c r="F1101" s="4" t="s">
        <v>155</v>
      </c>
      <c r="G1101" s="4">
        <v>5</v>
      </c>
      <c r="H1101" s="4">
        <v>5</v>
      </c>
      <c r="I1101" s="4" t="s">
        <v>139</v>
      </c>
      <c r="J1101" s="4" t="s">
        <v>603</v>
      </c>
      <c r="K1101" s="4" t="s">
        <v>148</v>
      </c>
      <c r="L1101" s="4" t="s">
        <v>4176</v>
      </c>
      <c r="M1101" s="4" t="s">
        <v>174</v>
      </c>
      <c r="N1101" s="4" t="s">
        <v>156</v>
      </c>
      <c r="O1101" s="4" t="s">
        <v>120</v>
      </c>
      <c r="P1101" s="4" t="s">
        <v>1001</v>
      </c>
    </row>
    <row r="1102" spans="1:16" ht="15">
      <c r="A1102" s="4" t="s">
        <v>1942</v>
      </c>
      <c r="B1102" s="30">
        <v>40016</v>
      </c>
      <c r="C1102" s="4"/>
      <c r="D1102" s="4" t="s">
        <v>196</v>
      </c>
      <c r="E1102" s="4" t="s">
        <v>170</v>
      </c>
      <c r="F1102" s="4" t="s">
        <v>155</v>
      </c>
      <c r="G1102" s="4">
        <v>5</v>
      </c>
      <c r="H1102" s="4">
        <v>3</v>
      </c>
      <c r="I1102" s="4" t="s">
        <v>139</v>
      </c>
      <c r="J1102" s="4" t="s">
        <v>190</v>
      </c>
      <c r="K1102" s="4" t="s">
        <v>142</v>
      </c>
      <c r="L1102" s="4" t="s">
        <v>4176</v>
      </c>
      <c r="M1102" s="4" t="s">
        <v>176</v>
      </c>
      <c r="N1102" s="4" t="s">
        <v>125</v>
      </c>
      <c r="O1102" s="4" t="s">
        <v>125</v>
      </c>
      <c r="P1102" s="4" t="s">
        <v>1943</v>
      </c>
    </row>
    <row r="1103" spans="1:16" ht="15">
      <c r="A1103" s="4" t="s">
        <v>1944</v>
      </c>
      <c r="B1103" s="30">
        <v>40021</v>
      </c>
      <c r="C1103" s="4" t="s">
        <v>380</v>
      </c>
      <c r="D1103" s="4" t="s">
        <v>195</v>
      </c>
      <c r="E1103" s="4" t="s">
        <v>170</v>
      </c>
      <c r="F1103" s="4" t="s">
        <v>155</v>
      </c>
      <c r="G1103" s="4">
        <v>3</v>
      </c>
      <c r="H1103" s="4">
        <v>3</v>
      </c>
      <c r="I1103" s="4" t="s">
        <v>139</v>
      </c>
      <c r="J1103" s="4" t="s">
        <v>188</v>
      </c>
      <c r="K1103" s="4" t="s">
        <v>144</v>
      </c>
      <c r="L1103" s="4" t="s">
        <v>162</v>
      </c>
      <c r="M1103" s="4" t="s">
        <v>175</v>
      </c>
      <c r="N1103" s="4" t="s">
        <v>155</v>
      </c>
      <c r="O1103" s="4" t="s">
        <v>130</v>
      </c>
      <c r="P1103" s="4"/>
    </row>
    <row r="1104" spans="1:16" ht="15">
      <c r="A1104" s="4" t="s">
        <v>1945</v>
      </c>
      <c r="B1104" s="30">
        <v>39965</v>
      </c>
      <c r="C1104" s="4"/>
      <c r="D1104" s="4" t="s">
        <v>193</v>
      </c>
      <c r="E1104" s="4" t="s">
        <v>170</v>
      </c>
      <c r="F1104" s="4" t="s">
        <v>155</v>
      </c>
      <c r="G1104" s="4"/>
      <c r="H1104" s="4"/>
      <c r="I1104" s="4" t="s">
        <v>140</v>
      </c>
      <c r="J1104" s="4" t="s">
        <v>183</v>
      </c>
      <c r="K1104" s="4" t="s">
        <v>145</v>
      </c>
      <c r="L1104" s="4" t="s">
        <v>162</v>
      </c>
      <c r="M1104" s="4" t="s">
        <v>176</v>
      </c>
      <c r="N1104" s="4" t="s">
        <v>155</v>
      </c>
      <c r="O1104" s="4" t="s">
        <v>130</v>
      </c>
      <c r="P1104" s="4"/>
    </row>
    <row r="1105" spans="1:16" ht="15">
      <c r="A1105" s="4" t="s">
        <v>1946</v>
      </c>
      <c r="B1105" s="30">
        <v>39977</v>
      </c>
      <c r="C1105" s="4"/>
      <c r="D1105" s="4" t="s">
        <v>193</v>
      </c>
      <c r="E1105" s="4" t="s">
        <v>170</v>
      </c>
      <c r="F1105" s="4" t="s">
        <v>155</v>
      </c>
      <c r="G1105" s="4"/>
      <c r="H1105" s="4"/>
      <c r="I1105" s="4" t="s">
        <v>140</v>
      </c>
      <c r="J1105" s="4" t="s">
        <v>190</v>
      </c>
      <c r="K1105" s="4" t="s">
        <v>144</v>
      </c>
      <c r="L1105" s="4" t="s">
        <v>4181</v>
      </c>
      <c r="M1105" s="4" t="s">
        <v>173</v>
      </c>
      <c r="N1105" s="4" t="s">
        <v>155</v>
      </c>
      <c r="O1105" s="4" t="s">
        <v>406</v>
      </c>
      <c r="P1105" s="4"/>
    </row>
    <row r="1106" spans="1:16" ht="15">
      <c r="A1106" s="4" t="s">
        <v>1947</v>
      </c>
      <c r="B1106" s="30">
        <v>40080</v>
      </c>
      <c r="C1106" s="4" t="s">
        <v>496</v>
      </c>
      <c r="D1106" s="4" t="s">
        <v>193</v>
      </c>
      <c r="E1106" s="4" t="s">
        <v>170</v>
      </c>
      <c r="F1106" s="4" t="s">
        <v>155</v>
      </c>
      <c r="G1106" s="4">
        <v>5</v>
      </c>
      <c r="H1106" s="4">
        <v>5</v>
      </c>
      <c r="I1106" s="4" t="s">
        <v>140</v>
      </c>
      <c r="J1106" s="4" t="s">
        <v>190</v>
      </c>
      <c r="K1106" s="4" t="s">
        <v>144</v>
      </c>
      <c r="L1106" s="4" t="s">
        <v>4176</v>
      </c>
      <c r="M1106" s="4" t="s">
        <v>176</v>
      </c>
      <c r="N1106" s="4" t="s">
        <v>125</v>
      </c>
      <c r="O1106" s="4" t="s">
        <v>798</v>
      </c>
      <c r="P1106" s="4" t="s">
        <v>1948</v>
      </c>
    </row>
    <row r="1107" spans="1:16" ht="15">
      <c r="A1107" s="4" t="s">
        <v>1949</v>
      </c>
      <c r="B1107" s="30">
        <v>40030</v>
      </c>
      <c r="C1107" s="4" t="s">
        <v>383</v>
      </c>
      <c r="D1107" s="4" t="s">
        <v>544</v>
      </c>
      <c r="E1107" s="4" t="s">
        <v>170</v>
      </c>
      <c r="F1107" s="4" t="s">
        <v>155</v>
      </c>
      <c r="G1107" s="4">
        <v>5</v>
      </c>
      <c r="H1107" s="4">
        <v>5</v>
      </c>
      <c r="I1107" s="4" t="s">
        <v>139</v>
      </c>
      <c r="J1107" s="4" t="s">
        <v>190</v>
      </c>
      <c r="K1107" s="4" t="s">
        <v>144</v>
      </c>
      <c r="L1107" s="4" t="s">
        <v>4176</v>
      </c>
      <c r="M1107" s="4" t="s">
        <v>1728</v>
      </c>
      <c r="N1107" s="4" t="s">
        <v>157</v>
      </c>
      <c r="O1107" s="4" t="s">
        <v>127</v>
      </c>
      <c r="P1107" s="4" t="s">
        <v>153</v>
      </c>
    </row>
    <row r="1108" spans="1:16" ht="15">
      <c r="A1108" s="4" t="s">
        <v>1950</v>
      </c>
      <c r="B1108" s="30">
        <v>39981</v>
      </c>
      <c r="C1108" s="4" t="s">
        <v>383</v>
      </c>
      <c r="D1108" s="4" t="s">
        <v>195</v>
      </c>
      <c r="E1108" s="4" t="s">
        <v>170</v>
      </c>
      <c r="F1108" s="4" t="s">
        <v>155</v>
      </c>
      <c r="G1108" s="4"/>
      <c r="H1108" s="4"/>
      <c r="I1108" s="4" t="s">
        <v>139</v>
      </c>
      <c r="J1108" s="4" t="s">
        <v>179</v>
      </c>
      <c r="K1108" s="4" t="s">
        <v>144</v>
      </c>
      <c r="L1108" s="4" t="s">
        <v>4176</v>
      </c>
      <c r="M1108" s="4" t="s">
        <v>867</v>
      </c>
      <c r="N1108" s="4" t="s">
        <v>157</v>
      </c>
      <c r="O1108" s="4" t="s">
        <v>127</v>
      </c>
      <c r="P1108" s="4" t="s">
        <v>153</v>
      </c>
    </row>
    <row r="1109" spans="1:16" ht="15">
      <c r="A1109" s="4" t="s">
        <v>1951</v>
      </c>
      <c r="B1109" s="30">
        <v>39983</v>
      </c>
      <c r="C1109" s="4"/>
      <c r="D1109" s="4" t="s">
        <v>194</v>
      </c>
      <c r="E1109" s="4" t="s">
        <v>170</v>
      </c>
      <c r="F1109" s="4" t="s">
        <v>155</v>
      </c>
      <c r="G1109" s="4"/>
      <c r="H1109" s="4"/>
      <c r="I1109" s="4" t="s">
        <v>139</v>
      </c>
      <c r="J1109" s="4" t="s">
        <v>187</v>
      </c>
      <c r="K1109" s="4" t="s">
        <v>145</v>
      </c>
      <c r="L1109" s="4" t="s">
        <v>4181</v>
      </c>
      <c r="M1109" s="4" t="s">
        <v>173</v>
      </c>
      <c r="N1109" s="4" t="s">
        <v>155</v>
      </c>
      <c r="O1109" s="4" t="s">
        <v>956</v>
      </c>
      <c r="P1109" s="4"/>
    </row>
    <row r="1110" spans="1:16" ht="15">
      <c r="A1110" s="4" t="s">
        <v>1952</v>
      </c>
      <c r="B1110" s="30">
        <v>39982</v>
      </c>
      <c r="C1110" s="4" t="s">
        <v>9</v>
      </c>
      <c r="D1110" s="4" t="s">
        <v>194</v>
      </c>
      <c r="E1110" s="4" t="s">
        <v>170</v>
      </c>
      <c r="F1110" s="4" t="s">
        <v>155</v>
      </c>
      <c r="G1110" s="4"/>
      <c r="H1110" s="4"/>
      <c r="I1110" s="4" t="s">
        <v>139</v>
      </c>
      <c r="J1110" s="4" t="s">
        <v>181</v>
      </c>
      <c r="K1110" s="4" t="s">
        <v>148</v>
      </c>
      <c r="L1110" s="4" t="s">
        <v>162</v>
      </c>
      <c r="M1110" s="4"/>
      <c r="N1110" s="4" t="s">
        <v>155</v>
      </c>
      <c r="O1110" s="4" t="s">
        <v>130</v>
      </c>
      <c r="P1110" s="4"/>
    </row>
    <row r="1111" spans="1:16" ht="15">
      <c r="A1111" s="4" t="s">
        <v>1953</v>
      </c>
      <c r="B1111" s="30">
        <v>39920</v>
      </c>
      <c r="C1111" s="4"/>
      <c r="D1111" s="4" t="s">
        <v>4178</v>
      </c>
      <c r="E1111" s="4" t="s">
        <v>170</v>
      </c>
      <c r="F1111" s="4" t="s">
        <v>155</v>
      </c>
      <c r="G1111" s="4"/>
      <c r="H1111" s="4"/>
      <c r="I1111" s="4" t="s">
        <v>139</v>
      </c>
      <c r="J1111" s="4" t="s">
        <v>181</v>
      </c>
      <c r="K1111" s="4" t="s">
        <v>149</v>
      </c>
      <c r="L1111" s="4" t="s">
        <v>4181</v>
      </c>
      <c r="M1111" s="4" t="s">
        <v>173</v>
      </c>
      <c r="N1111" s="4" t="s">
        <v>155</v>
      </c>
      <c r="O1111" s="4" t="s">
        <v>125</v>
      </c>
      <c r="P1111" s="4"/>
    </row>
    <row r="1112" spans="1:16" ht="15">
      <c r="A1112" s="4" t="s">
        <v>1954</v>
      </c>
      <c r="B1112" s="30">
        <v>40021</v>
      </c>
      <c r="C1112" s="4"/>
      <c r="D1112" s="4" t="s">
        <v>195</v>
      </c>
      <c r="E1112" s="4" t="s">
        <v>170</v>
      </c>
      <c r="F1112" s="4" t="s">
        <v>155</v>
      </c>
      <c r="G1112" s="4">
        <v>5</v>
      </c>
      <c r="H1112" s="4">
        <v>3</v>
      </c>
      <c r="I1112" s="4" t="s">
        <v>139</v>
      </c>
      <c r="J1112" s="4" t="s">
        <v>181</v>
      </c>
      <c r="K1112" s="4" t="s">
        <v>145</v>
      </c>
      <c r="L1112" s="4" t="s">
        <v>162</v>
      </c>
      <c r="M1112" s="4" t="s">
        <v>597</v>
      </c>
      <c r="N1112" s="4" t="s">
        <v>155</v>
      </c>
      <c r="O1112" s="4" t="s">
        <v>130</v>
      </c>
      <c r="P1112" s="4"/>
    </row>
    <row r="1113" spans="1:16" ht="15">
      <c r="A1113" s="4" t="s">
        <v>1955</v>
      </c>
      <c r="B1113" s="30">
        <v>39917</v>
      </c>
      <c r="C1113" s="4" t="s">
        <v>9</v>
      </c>
      <c r="D1113" s="4" t="s">
        <v>4177</v>
      </c>
      <c r="E1113" s="4" t="s">
        <v>170</v>
      </c>
      <c r="F1113" s="4" t="s">
        <v>155</v>
      </c>
      <c r="G1113" s="4"/>
      <c r="H1113" s="4"/>
      <c r="I1113" s="4" t="s">
        <v>139</v>
      </c>
      <c r="J1113" s="4" t="s">
        <v>181</v>
      </c>
      <c r="K1113" s="4" t="s">
        <v>150</v>
      </c>
      <c r="L1113" s="4" t="s">
        <v>4181</v>
      </c>
      <c r="M1113" s="4" t="s">
        <v>173</v>
      </c>
      <c r="N1113" s="4" t="s">
        <v>155</v>
      </c>
      <c r="O1113" s="4" t="s">
        <v>439</v>
      </c>
      <c r="P1113" s="4"/>
    </row>
    <row r="1114" spans="1:16" ht="15">
      <c r="A1114" s="4" t="s">
        <v>1956</v>
      </c>
      <c r="B1114" s="30">
        <v>39989</v>
      </c>
      <c r="C1114" s="4"/>
      <c r="D1114" s="4" t="s">
        <v>196</v>
      </c>
      <c r="E1114" s="4" t="s">
        <v>170</v>
      </c>
      <c r="F1114" s="4" t="s">
        <v>155</v>
      </c>
      <c r="G1114" s="4"/>
      <c r="H1114" s="4"/>
      <c r="I1114" s="4" t="s">
        <v>139</v>
      </c>
      <c r="J1114" s="4" t="s">
        <v>180</v>
      </c>
      <c r="K1114" s="4" t="s">
        <v>143</v>
      </c>
      <c r="L1114" s="4" t="s">
        <v>162</v>
      </c>
      <c r="M1114" s="4" t="s">
        <v>1957</v>
      </c>
      <c r="N1114" s="4" t="s">
        <v>155</v>
      </c>
      <c r="O1114" s="4" t="s">
        <v>130</v>
      </c>
      <c r="P1114" s="4"/>
    </row>
    <row r="1115" spans="1:16" ht="15">
      <c r="A1115" s="4" t="s">
        <v>1958</v>
      </c>
      <c r="B1115" s="30">
        <v>39945</v>
      </c>
      <c r="C1115" s="4"/>
      <c r="D1115" s="4" t="s">
        <v>193</v>
      </c>
      <c r="E1115" s="4" t="s">
        <v>170</v>
      </c>
      <c r="F1115" s="4" t="s">
        <v>155</v>
      </c>
      <c r="G1115" s="4"/>
      <c r="H1115" s="4"/>
      <c r="I1115" s="4" t="s">
        <v>140</v>
      </c>
      <c r="J1115" s="4" t="s">
        <v>181</v>
      </c>
      <c r="K1115" s="4" t="s">
        <v>145</v>
      </c>
      <c r="L1115" s="4" t="s">
        <v>4176</v>
      </c>
      <c r="M1115" s="4" t="s">
        <v>174</v>
      </c>
      <c r="N1115" s="4" t="s">
        <v>160</v>
      </c>
      <c r="O1115" s="4" t="s">
        <v>126</v>
      </c>
      <c r="P1115" s="4" t="s">
        <v>1959</v>
      </c>
    </row>
    <row r="1116" spans="1:16" ht="15">
      <c r="A1116" s="4" t="s">
        <v>1960</v>
      </c>
      <c r="B1116" s="30">
        <v>39944</v>
      </c>
      <c r="C1116" s="4"/>
      <c r="D1116" s="4" t="s">
        <v>194</v>
      </c>
      <c r="E1116" s="4" t="s">
        <v>170</v>
      </c>
      <c r="F1116" s="4" t="s">
        <v>155</v>
      </c>
      <c r="G1116" s="4"/>
      <c r="H1116" s="4"/>
      <c r="I1116" s="4" t="s">
        <v>139</v>
      </c>
      <c r="J1116" s="4" t="s">
        <v>181</v>
      </c>
      <c r="K1116" s="4" t="s">
        <v>147</v>
      </c>
      <c r="L1116" s="4" t="s">
        <v>4176</v>
      </c>
      <c r="M1116" s="4" t="s">
        <v>174</v>
      </c>
      <c r="N1116" s="4" t="s">
        <v>157</v>
      </c>
      <c r="O1116" s="4" t="s">
        <v>571</v>
      </c>
      <c r="P1116" s="4" t="s">
        <v>636</v>
      </c>
    </row>
    <row r="1117" spans="1:16" ht="15">
      <c r="A1117" s="4" t="s">
        <v>1961</v>
      </c>
      <c r="B1117" s="30">
        <v>39980</v>
      </c>
      <c r="C1117" s="4"/>
      <c r="D1117" s="4" t="s">
        <v>195</v>
      </c>
      <c r="E1117" s="4" t="s">
        <v>170</v>
      </c>
      <c r="F1117" s="4" t="s">
        <v>155</v>
      </c>
      <c r="G1117" s="4"/>
      <c r="H1117" s="4"/>
      <c r="I1117" s="4" t="s">
        <v>139</v>
      </c>
      <c r="J1117" s="4" t="s">
        <v>180</v>
      </c>
      <c r="K1117" s="4" t="s">
        <v>145</v>
      </c>
      <c r="L1117" s="4" t="s">
        <v>4181</v>
      </c>
      <c r="M1117" s="4" t="s">
        <v>173</v>
      </c>
      <c r="N1117" s="4" t="s">
        <v>161</v>
      </c>
      <c r="O1117" s="4" t="s">
        <v>1364</v>
      </c>
      <c r="P1117" s="4"/>
    </row>
    <row r="1118" spans="1:16" ht="15">
      <c r="A1118" s="4" t="s">
        <v>1962</v>
      </c>
      <c r="B1118" s="30">
        <v>39928</v>
      </c>
      <c r="C1118" s="4"/>
      <c r="D1118" s="4" t="s">
        <v>4182</v>
      </c>
      <c r="E1118" s="4" t="s">
        <v>170</v>
      </c>
      <c r="F1118" s="4" t="s">
        <v>155</v>
      </c>
      <c r="G1118" s="4"/>
      <c r="H1118" s="4"/>
      <c r="I1118" s="4" t="s">
        <v>139</v>
      </c>
      <c r="J1118" s="4" t="s">
        <v>180</v>
      </c>
      <c r="K1118" s="4" t="s">
        <v>150</v>
      </c>
      <c r="L1118" s="4" t="s">
        <v>4176</v>
      </c>
      <c r="M1118" s="4" t="s">
        <v>174</v>
      </c>
      <c r="N1118" s="4" t="s">
        <v>156</v>
      </c>
      <c r="O1118" s="4" t="s">
        <v>120</v>
      </c>
      <c r="P1118" s="4" t="s">
        <v>1963</v>
      </c>
    </row>
    <row r="1119" spans="1:16" ht="15">
      <c r="A1119" s="4" t="s">
        <v>1964</v>
      </c>
      <c r="B1119" s="30">
        <v>39940</v>
      </c>
      <c r="C1119" s="4"/>
      <c r="D1119" s="4" t="s">
        <v>4184</v>
      </c>
      <c r="E1119" s="4" t="s">
        <v>170</v>
      </c>
      <c r="F1119" s="4" t="s">
        <v>155</v>
      </c>
      <c r="G1119" s="4"/>
      <c r="H1119" s="4"/>
      <c r="I1119" s="4" t="s">
        <v>140</v>
      </c>
      <c r="J1119" s="4" t="s">
        <v>180</v>
      </c>
      <c r="K1119" s="4" t="s">
        <v>148</v>
      </c>
      <c r="L1119" s="4" t="s">
        <v>4176</v>
      </c>
      <c r="M1119" s="4" t="s">
        <v>174</v>
      </c>
      <c r="N1119" s="4" t="s">
        <v>156</v>
      </c>
      <c r="O1119" s="4" t="s">
        <v>120</v>
      </c>
      <c r="P1119" s="4" t="s">
        <v>425</v>
      </c>
    </row>
    <row r="1120" spans="1:16" ht="15">
      <c r="A1120" s="4" t="s">
        <v>1965</v>
      </c>
      <c r="B1120" s="30">
        <v>39972</v>
      </c>
      <c r="C1120" s="4"/>
      <c r="D1120" s="4" t="s">
        <v>195</v>
      </c>
      <c r="E1120" s="4" t="s">
        <v>170</v>
      </c>
      <c r="F1120" s="4" t="s">
        <v>155</v>
      </c>
      <c r="G1120" s="4"/>
      <c r="H1120" s="4"/>
      <c r="I1120" s="4" t="s">
        <v>139</v>
      </c>
      <c r="J1120" s="4" t="s">
        <v>185</v>
      </c>
      <c r="K1120" s="4" t="s">
        <v>149</v>
      </c>
      <c r="L1120" s="4" t="s">
        <v>4176</v>
      </c>
      <c r="M1120" s="4"/>
      <c r="N1120" s="4" t="s">
        <v>160</v>
      </c>
      <c r="O1120" s="4" t="s">
        <v>126</v>
      </c>
      <c r="P1120" s="4" t="s">
        <v>1966</v>
      </c>
    </row>
    <row r="1121" spans="1:16" ht="15">
      <c r="A1121" s="4" t="s">
        <v>1967</v>
      </c>
      <c r="B1121" s="30">
        <v>40029</v>
      </c>
      <c r="C1121" s="4"/>
      <c r="D1121" s="4" t="s">
        <v>195</v>
      </c>
      <c r="E1121" s="4" t="s">
        <v>170</v>
      </c>
      <c r="F1121" s="4" t="s">
        <v>155</v>
      </c>
      <c r="G1121" s="4">
        <v>5</v>
      </c>
      <c r="H1121" s="4">
        <v>3</v>
      </c>
      <c r="I1121" s="4" t="s">
        <v>139</v>
      </c>
      <c r="J1121" s="4" t="s">
        <v>447</v>
      </c>
      <c r="K1121" s="4" t="s">
        <v>145</v>
      </c>
      <c r="L1121" s="4" t="s">
        <v>162</v>
      </c>
      <c r="M1121" s="4" t="s">
        <v>175</v>
      </c>
      <c r="N1121" s="4" t="s">
        <v>155</v>
      </c>
      <c r="O1121" s="4" t="s">
        <v>129</v>
      </c>
      <c r="P1121" s="4"/>
    </row>
    <row r="1122" spans="1:16" ht="15">
      <c r="A1122" s="4" t="s">
        <v>1968</v>
      </c>
      <c r="B1122" s="30">
        <v>39916</v>
      </c>
      <c r="C1122" s="4"/>
      <c r="D1122" s="4" t="s">
        <v>4182</v>
      </c>
      <c r="E1122" s="4" t="s">
        <v>170</v>
      </c>
      <c r="F1122" s="4" t="s">
        <v>155</v>
      </c>
      <c r="G1122" s="4"/>
      <c r="H1122" s="4"/>
      <c r="I1122" s="4" t="s">
        <v>139</v>
      </c>
      <c r="J1122" s="4" t="s">
        <v>189</v>
      </c>
      <c r="K1122" s="4" t="s">
        <v>145</v>
      </c>
      <c r="L1122" s="4" t="s">
        <v>4181</v>
      </c>
      <c r="M1122" s="4" t="s">
        <v>173</v>
      </c>
      <c r="N1122" s="4" t="s">
        <v>161</v>
      </c>
      <c r="O1122" s="4" t="s">
        <v>638</v>
      </c>
      <c r="P1122" s="4"/>
    </row>
    <row r="1123" spans="1:16" ht="15">
      <c r="A1123" s="4" t="s">
        <v>1969</v>
      </c>
      <c r="B1123" s="30">
        <v>39974</v>
      </c>
      <c r="C1123" s="4"/>
      <c r="D1123" s="4" t="s">
        <v>195</v>
      </c>
      <c r="E1123" s="4" t="s">
        <v>170</v>
      </c>
      <c r="F1123" s="4" t="s">
        <v>155</v>
      </c>
      <c r="G1123" s="4"/>
      <c r="H1123" s="4"/>
      <c r="I1123" s="4" t="s">
        <v>139</v>
      </c>
      <c r="J1123" s="4" t="s">
        <v>433</v>
      </c>
      <c r="K1123" s="4" t="s">
        <v>142</v>
      </c>
      <c r="L1123" s="4" t="s">
        <v>4176</v>
      </c>
      <c r="M1123" s="4" t="s">
        <v>659</v>
      </c>
      <c r="N1123" s="4" t="s">
        <v>156</v>
      </c>
      <c r="O1123" s="4" t="s">
        <v>120</v>
      </c>
      <c r="P1123" s="4" t="s">
        <v>1970</v>
      </c>
    </row>
    <row r="1124" spans="1:16" ht="15">
      <c r="A1124" s="4" t="s">
        <v>1971</v>
      </c>
      <c r="B1124" s="30">
        <v>39977</v>
      </c>
      <c r="C1124" s="4" t="s">
        <v>525</v>
      </c>
      <c r="D1124" s="4" t="s">
        <v>194</v>
      </c>
      <c r="E1124" s="4" t="s">
        <v>170</v>
      </c>
      <c r="F1124" s="4" t="s">
        <v>155</v>
      </c>
      <c r="G1124" s="4"/>
      <c r="H1124" s="4"/>
      <c r="I1124" s="4" t="s">
        <v>139</v>
      </c>
      <c r="J1124" s="4" t="s">
        <v>190</v>
      </c>
      <c r="K1124" s="4" t="s">
        <v>146</v>
      </c>
      <c r="L1124" s="4" t="s">
        <v>4181</v>
      </c>
      <c r="M1124" s="4" t="s">
        <v>173</v>
      </c>
      <c r="N1124" s="4" t="s">
        <v>155</v>
      </c>
      <c r="O1124" s="4" t="s">
        <v>124</v>
      </c>
      <c r="P1124" s="4"/>
    </row>
    <row r="1125" spans="1:16" ht="15">
      <c r="A1125" s="4" t="s">
        <v>1972</v>
      </c>
      <c r="B1125" s="30">
        <v>39958</v>
      </c>
      <c r="C1125" s="4" t="s">
        <v>380</v>
      </c>
      <c r="D1125" s="4" t="s">
        <v>194</v>
      </c>
      <c r="E1125" s="4" t="s">
        <v>170</v>
      </c>
      <c r="F1125" s="4" t="s">
        <v>155</v>
      </c>
      <c r="G1125" s="4"/>
      <c r="H1125" s="4"/>
      <c r="I1125" s="4" t="s">
        <v>139</v>
      </c>
      <c r="J1125" s="4" t="s">
        <v>178</v>
      </c>
      <c r="K1125" s="4" t="s">
        <v>142</v>
      </c>
      <c r="L1125" s="4" t="s">
        <v>4181</v>
      </c>
      <c r="M1125" s="4" t="s">
        <v>1973</v>
      </c>
      <c r="N1125" s="4" t="s">
        <v>155</v>
      </c>
      <c r="O1125" s="4" t="s">
        <v>124</v>
      </c>
      <c r="P1125" s="4"/>
    </row>
    <row r="1126" spans="1:16" ht="15">
      <c r="A1126" s="4" t="s">
        <v>1974</v>
      </c>
      <c r="B1126" s="30">
        <v>39917</v>
      </c>
      <c r="C1126" s="4" t="s">
        <v>9</v>
      </c>
      <c r="D1126" s="4" t="s">
        <v>4180</v>
      </c>
      <c r="E1126" s="4" t="s">
        <v>170</v>
      </c>
      <c r="F1126" s="4" t="s">
        <v>155</v>
      </c>
      <c r="G1126" s="4"/>
      <c r="H1126" s="4"/>
      <c r="I1126" s="4" t="s">
        <v>139</v>
      </c>
      <c r="J1126" s="4" t="s">
        <v>178</v>
      </c>
      <c r="K1126" s="4" t="s">
        <v>145</v>
      </c>
      <c r="L1126" s="4" t="s">
        <v>162</v>
      </c>
      <c r="M1126" s="4" t="s">
        <v>175</v>
      </c>
      <c r="N1126" s="4" t="s">
        <v>155</v>
      </c>
      <c r="O1126" s="4" t="s">
        <v>439</v>
      </c>
      <c r="P1126" s="4"/>
    </row>
    <row r="1127" spans="1:16" ht="15">
      <c r="A1127" s="4" t="s">
        <v>1975</v>
      </c>
      <c r="B1127" s="30">
        <v>39965</v>
      </c>
      <c r="C1127" s="4"/>
      <c r="D1127" s="4" t="s">
        <v>195</v>
      </c>
      <c r="E1127" s="4" t="s">
        <v>170</v>
      </c>
      <c r="F1127" s="4" t="s">
        <v>155</v>
      </c>
      <c r="G1127" s="4"/>
      <c r="H1127" s="4"/>
      <c r="I1127" s="4" t="s">
        <v>139</v>
      </c>
      <c r="J1127" s="4" t="s">
        <v>178</v>
      </c>
      <c r="K1127" s="4" t="s">
        <v>143</v>
      </c>
      <c r="L1127" s="4" t="s">
        <v>4176</v>
      </c>
      <c r="M1127" s="4"/>
      <c r="N1127" s="4" t="s">
        <v>157</v>
      </c>
      <c r="O1127" s="4" t="s">
        <v>127</v>
      </c>
      <c r="P1127" s="4" t="s">
        <v>153</v>
      </c>
    </row>
    <row r="1128" spans="1:16" ht="15">
      <c r="A1128" s="4" t="s">
        <v>1976</v>
      </c>
      <c r="B1128" s="30">
        <v>40075</v>
      </c>
      <c r="C1128" s="4"/>
      <c r="D1128" s="4" t="s">
        <v>544</v>
      </c>
      <c r="E1128" s="4" t="s">
        <v>170</v>
      </c>
      <c r="F1128" s="4" t="s">
        <v>155</v>
      </c>
      <c r="G1128" s="4">
        <v>1</v>
      </c>
      <c r="H1128" s="4">
        <v>3</v>
      </c>
      <c r="I1128" s="4" t="s">
        <v>139</v>
      </c>
      <c r="J1128" s="4" t="s">
        <v>180</v>
      </c>
      <c r="K1128" s="4" t="s">
        <v>144</v>
      </c>
      <c r="L1128" s="4" t="s">
        <v>4181</v>
      </c>
      <c r="M1128" s="4" t="s">
        <v>173</v>
      </c>
      <c r="N1128" s="4" t="s">
        <v>155</v>
      </c>
      <c r="O1128" s="4" t="s">
        <v>128</v>
      </c>
      <c r="P1128" s="4"/>
    </row>
    <row r="1129" spans="1:16" ht="15">
      <c r="A1129" s="4" t="s">
        <v>1977</v>
      </c>
      <c r="B1129" s="30">
        <v>40004</v>
      </c>
      <c r="C1129" s="4" t="s">
        <v>383</v>
      </c>
      <c r="D1129" s="4" t="s">
        <v>196</v>
      </c>
      <c r="E1129" s="4" t="s">
        <v>170</v>
      </c>
      <c r="F1129" s="4" t="s">
        <v>155</v>
      </c>
      <c r="G1129" s="4">
        <v>1</v>
      </c>
      <c r="H1129" s="4">
        <v>2</v>
      </c>
      <c r="I1129" s="4" t="s">
        <v>139</v>
      </c>
      <c r="J1129" s="4" t="s">
        <v>180</v>
      </c>
      <c r="K1129" s="4" t="s">
        <v>144</v>
      </c>
      <c r="L1129" s="4" t="s">
        <v>162</v>
      </c>
      <c r="M1129" s="4" t="s">
        <v>1978</v>
      </c>
      <c r="N1129" s="4" t="s">
        <v>155</v>
      </c>
      <c r="O1129" s="4" t="s">
        <v>127</v>
      </c>
      <c r="P1129" s="4"/>
    </row>
    <row r="1130" spans="1:16" ht="15">
      <c r="A1130" s="4" t="s">
        <v>1979</v>
      </c>
      <c r="B1130" s="30">
        <v>40029</v>
      </c>
      <c r="C1130" s="4" t="s">
        <v>380</v>
      </c>
      <c r="D1130" s="4" t="s">
        <v>544</v>
      </c>
      <c r="E1130" s="4" t="s">
        <v>170</v>
      </c>
      <c r="F1130" s="4" t="s">
        <v>155</v>
      </c>
      <c r="G1130" s="4">
        <v>5</v>
      </c>
      <c r="H1130" s="4">
        <v>3</v>
      </c>
      <c r="I1130" s="4" t="s">
        <v>139</v>
      </c>
      <c r="J1130" s="4" t="s">
        <v>180</v>
      </c>
      <c r="K1130" s="4" t="s">
        <v>148</v>
      </c>
      <c r="L1130" s="4" t="s">
        <v>4181</v>
      </c>
      <c r="M1130" s="4" t="s">
        <v>173</v>
      </c>
      <c r="N1130" s="4" t="s">
        <v>155</v>
      </c>
      <c r="O1130" s="4" t="s">
        <v>510</v>
      </c>
      <c r="P1130" s="4"/>
    </row>
    <row r="1131" spans="1:16" ht="15">
      <c r="A1131" s="4" t="s">
        <v>1980</v>
      </c>
      <c r="B1131" s="30">
        <v>39962</v>
      </c>
      <c r="C1131" s="4"/>
      <c r="D1131" s="4" t="s">
        <v>193</v>
      </c>
      <c r="E1131" s="4" t="s">
        <v>170</v>
      </c>
      <c r="F1131" s="4" t="s">
        <v>155</v>
      </c>
      <c r="G1131" s="4"/>
      <c r="H1131" s="4"/>
      <c r="I1131" s="4" t="s">
        <v>140</v>
      </c>
      <c r="J1131" s="4" t="s">
        <v>180</v>
      </c>
      <c r="K1131" s="4" t="s">
        <v>146</v>
      </c>
      <c r="L1131" s="4" t="s">
        <v>4181</v>
      </c>
      <c r="M1131" s="4" t="s">
        <v>173</v>
      </c>
      <c r="N1131" s="4" t="s">
        <v>155</v>
      </c>
      <c r="O1131" s="4" t="s">
        <v>454</v>
      </c>
      <c r="P1131" s="4"/>
    </row>
    <row r="1132" spans="1:16" ht="15">
      <c r="A1132" s="4" t="s">
        <v>1981</v>
      </c>
      <c r="B1132" s="30">
        <v>39935</v>
      </c>
      <c r="C1132" s="4"/>
      <c r="D1132" s="4" t="s">
        <v>4178</v>
      </c>
      <c r="E1132" s="4" t="s">
        <v>170</v>
      </c>
      <c r="F1132" s="4" t="s">
        <v>155</v>
      </c>
      <c r="G1132" s="4"/>
      <c r="H1132" s="4"/>
      <c r="I1132" s="4" t="s">
        <v>139</v>
      </c>
      <c r="J1132" s="4" t="s">
        <v>180</v>
      </c>
      <c r="K1132" s="4" t="s">
        <v>142</v>
      </c>
      <c r="L1132" s="4" t="s">
        <v>4176</v>
      </c>
      <c r="M1132" s="4" t="s">
        <v>174</v>
      </c>
      <c r="N1132" s="4" t="s">
        <v>156</v>
      </c>
      <c r="O1132" s="4" t="s">
        <v>120</v>
      </c>
      <c r="P1132" s="4" t="s">
        <v>1982</v>
      </c>
    </row>
    <row r="1133" spans="1:16" ht="15">
      <c r="A1133" s="4" t="s">
        <v>1983</v>
      </c>
      <c r="B1133" s="30">
        <v>39949</v>
      </c>
      <c r="C1133" s="4"/>
      <c r="D1133" s="4" t="s">
        <v>193</v>
      </c>
      <c r="E1133" s="4" t="s">
        <v>170</v>
      </c>
      <c r="F1133" s="4" t="s">
        <v>155</v>
      </c>
      <c r="G1133" s="4"/>
      <c r="H1133" s="4"/>
      <c r="I1133" s="4" t="s">
        <v>140</v>
      </c>
      <c r="J1133" s="4" t="s">
        <v>180</v>
      </c>
      <c r="K1133" s="4" t="s">
        <v>151</v>
      </c>
      <c r="L1133" s="4" t="s">
        <v>4176</v>
      </c>
      <c r="M1133" s="4" t="s">
        <v>1984</v>
      </c>
      <c r="N1133" s="4" t="s">
        <v>156</v>
      </c>
      <c r="O1133" s="4" t="s">
        <v>120</v>
      </c>
      <c r="P1133" s="4" t="s">
        <v>1985</v>
      </c>
    </row>
    <row r="1134" spans="1:16" ht="15">
      <c r="A1134" s="4" t="s">
        <v>1986</v>
      </c>
      <c r="B1134" s="30">
        <v>39976</v>
      </c>
      <c r="C1134" s="4"/>
      <c r="D1134" s="4" t="s">
        <v>193</v>
      </c>
      <c r="E1134" s="4" t="s">
        <v>170</v>
      </c>
      <c r="F1134" s="4" t="s">
        <v>155</v>
      </c>
      <c r="G1134" s="4"/>
      <c r="H1134" s="4"/>
      <c r="I1134" s="4" t="s">
        <v>140</v>
      </c>
      <c r="J1134" s="4" t="s">
        <v>180</v>
      </c>
      <c r="K1134" s="4" t="s">
        <v>142</v>
      </c>
      <c r="L1134" s="4" t="s">
        <v>4181</v>
      </c>
      <c r="M1134" s="4" t="s">
        <v>1987</v>
      </c>
      <c r="N1134" s="4" t="s">
        <v>155</v>
      </c>
      <c r="O1134" s="4" t="s">
        <v>387</v>
      </c>
      <c r="P1134" s="4"/>
    </row>
    <row r="1135" spans="1:16" ht="15">
      <c r="A1135" s="4" t="s">
        <v>1988</v>
      </c>
      <c r="B1135" s="30">
        <v>40014</v>
      </c>
      <c r="C1135" s="4" t="s">
        <v>9</v>
      </c>
      <c r="D1135" s="4" t="s">
        <v>196</v>
      </c>
      <c r="E1135" s="4" t="s">
        <v>170</v>
      </c>
      <c r="F1135" s="4" t="s">
        <v>155</v>
      </c>
      <c r="G1135" s="4">
        <v>5</v>
      </c>
      <c r="H1135" s="4">
        <v>3</v>
      </c>
      <c r="I1135" s="4" t="s">
        <v>139</v>
      </c>
      <c r="J1135" s="4" t="s">
        <v>180</v>
      </c>
      <c r="K1135" s="4" t="s">
        <v>143</v>
      </c>
      <c r="L1135" s="4" t="s">
        <v>162</v>
      </c>
      <c r="M1135" s="4" t="s">
        <v>175</v>
      </c>
      <c r="N1135" s="4" t="s">
        <v>155</v>
      </c>
      <c r="O1135" s="4" t="s">
        <v>129</v>
      </c>
      <c r="P1135" s="4"/>
    </row>
    <row r="1136" spans="1:16" ht="15">
      <c r="A1136" s="4" t="s">
        <v>1989</v>
      </c>
      <c r="B1136" s="30">
        <v>39987</v>
      </c>
      <c r="C1136" s="4"/>
      <c r="D1136" s="4" t="s">
        <v>196</v>
      </c>
      <c r="E1136" s="4" t="s">
        <v>170</v>
      </c>
      <c r="F1136" s="4" t="s">
        <v>155</v>
      </c>
      <c r="G1136" s="4"/>
      <c r="H1136" s="4"/>
      <c r="I1136" s="4" t="s">
        <v>139</v>
      </c>
      <c r="J1136" s="4" t="s">
        <v>188</v>
      </c>
      <c r="K1136" s="4" t="s">
        <v>149</v>
      </c>
      <c r="L1136" s="4" t="s">
        <v>162</v>
      </c>
      <c r="M1136" s="4" t="s">
        <v>622</v>
      </c>
      <c r="N1136" s="4" t="s">
        <v>155</v>
      </c>
      <c r="O1136" s="4" t="s">
        <v>130</v>
      </c>
      <c r="P1136" s="4"/>
    </row>
    <row r="1137" spans="1:16" ht="15">
      <c r="A1137" s="4" t="s">
        <v>1990</v>
      </c>
      <c r="B1137" s="30">
        <v>40032</v>
      </c>
      <c r="C1137" s="4"/>
      <c r="D1137" s="4" t="s">
        <v>544</v>
      </c>
      <c r="E1137" s="4" t="s">
        <v>170</v>
      </c>
      <c r="F1137" s="4" t="s">
        <v>155</v>
      </c>
      <c r="G1137" s="4">
        <v>1</v>
      </c>
      <c r="H1137" s="4">
        <v>5</v>
      </c>
      <c r="I1137" s="4" t="s">
        <v>139</v>
      </c>
      <c r="J1137" s="4" t="s">
        <v>179</v>
      </c>
      <c r="K1137" s="4" t="s">
        <v>146</v>
      </c>
      <c r="L1137" s="4" t="s">
        <v>165</v>
      </c>
      <c r="M1137" s="4"/>
      <c r="N1137" s="4" t="s">
        <v>158</v>
      </c>
      <c r="O1137" s="4" t="s">
        <v>122</v>
      </c>
      <c r="P1137" s="4"/>
    </row>
    <row r="1138" spans="1:16" ht="15">
      <c r="A1138" s="4" t="s">
        <v>1991</v>
      </c>
      <c r="B1138" s="30">
        <v>39989</v>
      </c>
      <c r="C1138" s="4"/>
      <c r="D1138" s="4" t="s">
        <v>193</v>
      </c>
      <c r="E1138" s="4" t="s">
        <v>170</v>
      </c>
      <c r="F1138" s="4" t="s">
        <v>155</v>
      </c>
      <c r="G1138" s="4"/>
      <c r="H1138" s="4"/>
      <c r="I1138" s="4" t="s">
        <v>140</v>
      </c>
      <c r="J1138" s="4" t="s">
        <v>179</v>
      </c>
      <c r="K1138" s="4" t="s">
        <v>151</v>
      </c>
      <c r="L1138" s="4" t="s">
        <v>4181</v>
      </c>
      <c r="M1138" s="4" t="s">
        <v>173</v>
      </c>
      <c r="N1138" s="4" t="s">
        <v>788</v>
      </c>
      <c r="O1138" s="4" t="s">
        <v>1992</v>
      </c>
      <c r="P1138" s="4"/>
    </row>
    <row r="1139" spans="1:16" ht="15">
      <c r="A1139" s="4" t="s">
        <v>1993</v>
      </c>
      <c r="B1139" s="30">
        <v>39946</v>
      </c>
      <c r="C1139" s="4"/>
      <c r="D1139" s="4" t="s">
        <v>194</v>
      </c>
      <c r="E1139" s="4" t="s">
        <v>170</v>
      </c>
      <c r="F1139" s="4" t="s">
        <v>155</v>
      </c>
      <c r="G1139" s="4"/>
      <c r="H1139" s="4"/>
      <c r="I1139" s="4" t="s">
        <v>139</v>
      </c>
      <c r="J1139" s="4" t="s">
        <v>181</v>
      </c>
      <c r="K1139" s="4" t="s">
        <v>143</v>
      </c>
      <c r="L1139" s="4" t="s">
        <v>165</v>
      </c>
      <c r="M1139" s="4"/>
      <c r="N1139" s="4" t="s">
        <v>158</v>
      </c>
      <c r="O1139" s="4" t="s">
        <v>122</v>
      </c>
      <c r="P1139" s="4"/>
    </row>
    <row r="1140" spans="1:16" ht="15">
      <c r="A1140" s="4" t="s">
        <v>1994</v>
      </c>
      <c r="B1140" s="30">
        <v>39952</v>
      </c>
      <c r="C1140" s="4"/>
      <c r="D1140" s="4" t="s">
        <v>193</v>
      </c>
      <c r="E1140" s="4" t="s">
        <v>170</v>
      </c>
      <c r="F1140" s="4" t="s">
        <v>155</v>
      </c>
      <c r="G1140" s="4"/>
      <c r="H1140" s="4"/>
      <c r="I1140" s="4" t="s">
        <v>140</v>
      </c>
      <c r="J1140" s="4" t="s">
        <v>179</v>
      </c>
      <c r="K1140" s="4" t="s">
        <v>148</v>
      </c>
      <c r="L1140" s="4" t="s">
        <v>165</v>
      </c>
      <c r="M1140" s="4" t="s">
        <v>1995</v>
      </c>
      <c r="N1140" s="4" t="s">
        <v>158</v>
      </c>
      <c r="O1140" s="4" t="s">
        <v>122</v>
      </c>
      <c r="P1140" s="4"/>
    </row>
    <row r="1141" spans="1:16" ht="15">
      <c r="A1141" s="4" t="s">
        <v>1996</v>
      </c>
      <c r="B1141" s="30">
        <v>39994</v>
      </c>
      <c r="C1141" s="4"/>
      <c r="D1141" s="4" t="s">
        <v>194</v>
      </c>
      <c r="E1141" s="4" t="s">
        <v>170</v>
      </c>
      <c r="F1141" s="4" t="s">
        <v>155</v>
      </c>
      <c r="G1141" s="4"/>
      <c r="H1141" s="4">
        <v>3</v>
      </c>
      <c r="I1141" s="4" t="s">
        <v>139</v>
      </c>
      <c r="J1141" s="4" t="s">
        <v>179</v>
      </c>
      <c r="K1141" s="4" t="s">
        <v>144</v>
      </c>
      <c r="L1141" s="4" t="s">
        <v>4181</v>
      </c>
      <c r="M1141" s="4" t="s">
        <v>1228</v>
      </c>
      <c r="N1141" s="4" t="s">
        <v>155</v>
      </c>
      <c r="O1141" s="4" t="s">
        <v>956</v>
      </c>
      <c r="P1141" s="4"/>
    </row>
    <row r="1142" spans="1:16" ht="15">
      <c r="A1142" s="4" t="s">
        <v>1997</v>
      </c>
      <c r="B1142" s="30">
        <v>39955</v>
      </c>
      <c r="C1142" s="4"/>
      <c r="D1142" s="4" t="s">
        <v>193</v>
      </c>
      <c r="E1142" s="4" t="s">
        <v>170</v>
      </c>
      <c r="F1142" s="4" t="s">
        <v>155</v>
      </c>
      <c r="G1142" s="4"/>
      <c r="H1142" s="4"/>
      <c r="I1142" s="4" t="s">
        <v>140</v>
      </c>
      <c r="J1142" s="4" t="s">
        <v>181</v>
      </c>
      <c r="K1142" s="4" t="s">
        <v>149</v>
      </c>
      <c r="L1142" s="4" t="s">
        <v>4181</v>
      </c>
      <c r="M1142" s="4" t="s">
        <v>415</v>
      </c>
      <c r="N1142" s="4" t="s">
        <v>155</v>
      </c>
      <c r="O1142" s="4" t="s">
        <v>125</v>
      </c>
      <c r="P1142" s="4"/>
    </row>
    <row r="1143" spans="1:16" ht="15">
      <c r="A1143" s="4" t="s">
        <v>1998</v>
      </c>
      <c r="B1143" s="30">
        <v>40021</v>
      </c>
      <c r="C1143" s="4" t="s">
        <v>383</v>
      </c>
      <c r="D1143" s="4" t="s">
        <v>196</v>
      </c>
      <c r="E1143" s="4" t="s">
        <v>170</v>
      </c>
      <c r="F1143" s="4" t="s">
        <v>155</v>
      </c>
      <c r="G1143" s="4">
        <v>5</v>
      </c>
      <c r="H1143" s="4">
        <v>5</v>
      </c>
      <c r="I1143" s="4" t="s">
        <v>139</v>
      </c>
      <c r="J1143" s="4" t="s">
        <v>181</v>
      </c>
      <c r="K1143" s="4" t="s">
        <v>142</v>
      </c>
      <c r="L1143" s="4" t="s">
        <v>162</v>
      </c>
      <c r="M1143" s="4" t="s">
        <v>597</v>
      </c>
      <c r="N1143" s="4" t="s">
        <v>155</v>
      </c>
      <c r="O1143" s="4" t="s">
        <v>130</v>
      </c>
      <c r="P1143" s="4"/>
    </row>
    <row r="1144" spans="1:16" ht="15">
      <c r="A1144" s="4" t="s">
        <v>1999</v>
      </c>
      <c r="B1144" s="30">
        <v>39931</v>
      </c>
      <c r="C1144" s="4"/>
      <c r="D1144" s="4" t="s">
        <v>4178</v>
      </c>
      <c r="E1144" s="4" t="s">
        <v>170</v>
      </c>
      <c r="F1144" s="4" t="s">
        <v>155</v>
      </c>
      <c r="G1144" s="4"/>
      <c r="H1144" s="4"/>
      <c r="I1144" s="4" t="s">
        <v>139</v>
      </c>
      <c r="J1144" s="4" t="s">
        <v>181</v>
      </c>
      <c r="K1144" s="4" t="s">
        <v>142</v>
      </c>
      <c r="L1144" s="4" t="s">
        <v>4181</v>
      </c>
      <c r="M1144" s="4" t="s">
        <v>173</v>
      </c>
      <c r="N1144" s="4" t="s">
        <v>155</v>
      </c>
      <c r="O1144" s="4" t="s">
        <v>124</v>
      </c>
      <c r="P1144" s="4"/>
    </row>
    <row r="1145" spans="1:16" ht="15">
      <c r="A1145" s="4" t="s">
        <v>2000</v>
      </c>
      <c r="B1145" s="30">
        <v>39963</v>
      </c>
      <c r="C1145" s="4"/>
      <c r="D1145" s="4" t="s">
        <v>193</v>
      </c>
      <c r="E1145" s="4" t="s">
        <v>170</v>
      </c>
      <c r="F1145" s="4" t="s">
        <v>155</v>
      </c>
      <c r="G1145" s="4"/>
      <c r="H1145" s="4"/>
      <c r="I1145" s="4" t="s">
        <v>140</v>
      </c>
      <c r="J1145" s="4" t="s">
        <v>181</v>
      </c>
      <c r="K1145" s="4" t="s">
        <v>144</v>
      </c>
      <c r="L1145" s="4" t="s">
        <v>4181</v>
      </c>
      <c r="M1145" s="4" t="s">
        <v>902</v>
      </c>
      <c r="N1145" s="4" t="s">
        <v>155</v>
      </c>
      <c r="O1145" s="4" t="s">
        <v>125</v>
      </c>
      <c r="P1145" s="4"/>
    </row>
    <row r="1146" spans="1:16" ht="15">
      <c r="A1146" s="4" t="s">
        <v>2001</v>
      </c>
      <c r="B1146" s="30">
        <v>40014</v>
      </c>
      <c r="C1146" s="4"/>
      <c r="D1146" s="4" t="s">
        <v>193</v>
      </c>
      <c r="E1146" s="4" t="s">
        <v>170</v>
      </c>
      <c r="F1146" s="4" t="s">
        <v>155</v>
      </c>
      <c r="G1146" s="4">
        <v>5</v>
      </c>
      <c r="H1146" s="4">
        <v>5</v>
      </c>
      <c r="I1146" s="4" t="s">
        <v>140</v>
      </c>
      <c r="J1146" s="4" t="s">
        <v>181</v>
      </c>
      <c r="K1146" s="4" t="s">
        <v>149</v>
      </c>
      <c r="L1146" s="4" t="s">
        <v>162</v>
      </c>
      <c r="M1146" s="4" t="s">
        <v>2002</v>
      </c>
      <c r="N1146" s="4" t="s">
        <v>155</v>
      </c>
      <c r="O1146" s="4" t="s">
        <v>130</v>
      </c>
      <c r="P1146" s="4"/>
    </row>
    <row r="1147" spans="1:16" ht="15">
      <c r="A1147" s="4" t="s">
        <v>2003</v>
      </c>
      <c r="B1147" s="30">
        <v>39964</v>
      </c>
      <c r="C1147" s="4" t="s">
        <v>525</v>
      </c>
      <c r="D1147" s="4" t="s">
        <v>194</v>
      </c>
      <c r="E1147" s="4" t="s">
        <v>170</v>
      </c>
      <c r="F1147" s="4" t="s">
        <v>155</v>
      </c>
      <c r="G1147" s="4"/>
      <c r="H1147" s="4"/>
      <c r="I1147" s="4" t="s">
        <v>139</v>
      </c>
      <c r="J1147" s="4" t="s">
        <v>181</v>
      </c>
      <c r="K1147" s="4" t="s">
        <v>143</v>
      </c>
      <c r="L1147" s="4" t="s">
        <v>4181</v>
      </c>
      <c r="M1147" s="4" t="s">
        <v>173</v>
      </c>
      <c r="N1147" s="4" t="s">
        <v>155</v>
      </c>
      <c r="O1147" s="4" t="s">
        <v>127</v>
      </c>
      <c r="P1147" s="4"/>
    </row>
    <row r="1148" spans="1:16" ht="15">
      <c r="A1148" s="4" t="s">
        <v>2004</v>
      </c>
      <c r="B1148" s="30">
        <v>39972</v>
      </c>
      <c r="C1148" s="4" t="s">
        <v>9</v>
      </c>
      <c r="D1148" s="4" t="s">
        <v>193</v>
      </c>
      <c r="E1148" s="4" t="s">
        <v>170</v>
      </c>
      <c r="F1148" s="4" t="s">
        <v>155</v>
      </c>
      <c r="G1148" s="4"/>
      <c r="H1148" s="4"/>
      <c r="I1148" s="4" t="s">
        <v>140</v>
      </c>
      <c r="J1148" s="4" t="s">
        <v>179</v>
      </c>
      <c r="K1148" s="4" t="s">
        <v>144</v>
      </c>
      <c r="L1148" s="4" t="s">
        <v>4176</v>
      </c>
      <c r="M1148" s="4" t="s">
        <v>174</v>
      </c>
      <c r="N1148" s="4" t="s">
        <v>156</v>
      </c>
      <c r="O1148" s="4" t="s">
        <v>120</v>
      </c>
      <c r="P1148" s="4" t="s">
        <v>1785</v>
      </c>
    </row>
    <row r="1149" spans="1:16" ht="15">
      <c r="A1149" s="4" t="s">
        <v>2005</v>
      </c>
      <c r="B1149" s="30">
        <v>40000</v>
      </c>
      <c r="C1149" s="4"/>
      <c r="D1149" s="4" t="s">
        <v>193</v>
      </c>
      <c r="E1149" s="4" t="s">
        <v>170</v>
      </c>
      <c r="F1149" s="4" t="s">
        <v>155</v>
      </c>
      <c r="G1149" s="4"/>
      <c r="H1149" s="4">
        <v>5</v>
      </c>
      <c r="I1149" s="4" t="s">
        <v>140</v>
      </c>
      <c r="J1149" s="4" t="s">
        <v>181</v>
      </c>
      <c r="K1149" s="4" t="s">
        <v>149</v>
      </c>
      <c r="L1149" s="4" t="s">
        <v>162</v>
      </c>
      <c r="M1149" s="4" t="s">
        <v>567</v>
      </c>
      <c r="N1149" s="4" t="s">
        <v>155</v>
      </c>
      <c r="O1149" s="4" t="s">
        <v>130</v>
      </c>
      <c r="P1149" s="4"/>
    </row>
    <row r="1150" spans="1:16" ht="15">
      <c r="A1150" s="4" t="s">
        <v>2006</v>
      </c>
      <c r="B1150" s="30">
        <v>39970</v>
      </c>
      <c r="C1150" s="4"/>
      <c r="D1150" s="4" t="s">
        <v>193</v>
      </c>
      <c r="E1150" s="4" t="s">
        <v>170</v>
      </c>
      <c r="F1150" s="4" t="s">
        <v>155</v>
      </c>
      <c r="G1150" s="4"/>
      <c r="H1150" s="4"/>
      <c r="I1150" s="4" t="s">
        <v>140</v>
      </c>
      <c r="J1150" s="4" t="s">
        <v>187</v>
      </c>
      <c r="K1150" s="4" t="s">
        <v>150</v>
      </c>
      <c r="L1150" s="4" t="s">
        <v>4181</v>
      </c>
      <c r="M1150" s="4" t="s">
        <v>173</v>
      </c>
      <c r="N1150" s="4" t="s">
        <v>161</v>
      </c>
      <c r="O1150" s="4" t="s">
        <v>1473</v>
      </c>
      <c r="P1150" s="4"/>
    </row>
    <row r="1151" spans="1:16" ht="15">
      <c r="A1151" s="4" t="s">
        <v>2007</v>
      </c>
      <c r="B1151" s="30">
        <v>39962</v>
      </c>
      <c r="C1151" s="4"/>
      <c r="D1151" s="4" t="s">
        <v>193</v>
      </c>
      <c r="E1151" s="4" t="s">
        <v>170</v>
      </c>
      <c r="F1151" s="4" t="s">
        <v>155</v>
      </c>
      <c r="G1151" s="4"/>
      <c r="H1151" s="4"/>
      <c r="I1151" s="4" t="s">
        <v>140</v>
      </c>
      <c r="J1151" s="4" t="s">
        <v>181</v>
      </c>
      <c r="K1151" s="4" t="s">
        <v>144</v>
      </c>
      <c r="L1151" s="4" t="s">
        <v>4181</v>
      </c>
      <c r="M1151" s="4" t="s">
        <v>2008</v>
      </c>
      <c r="N1151" s="4" t="s">
        <v>155</v>
      </c>
      <c r="O1151" s="4" t="s">
        <v>763</v>
      </c>
      <c r="P1151" s="4"/>
    </row>
    <row r="1152" spans="1:16" ht="15">
      <c r="A1152" s="4" t="s">
        <v>2009</v>
      </c>
      <c r="B1152" s="30">
        <v>40029</v>
      </c>
      <c r="C1152" s="4"/>
      <c r="D1152" s="4" t="s">
        <v>197</v>
      </c>
      <c r="E1152" s="4" t="s">
        <v>170</v>
      </c>
      <c r="F1152" s="4" t="s">
        <v>155</v>
      </c>
      <c r="G1152" s="4">
        <v>5</v>
      </c>
      <c r="H1152" s="4">
        <v>3</v>
      </c>
      <c r="I1152" s="4" t="s">
        <v>139</v>
      </c>
      <c r="J1152" s="4" t="s">
        <v>187</v>
      </c>
      <c r="K1152" s="4" t="s">
        <v>144</v>
      </c>
      <c r="L1152" s="4" t="s">
        <v>4176</v>
      </c>
      <c r="M1152" s="4" t="s">
        <v>174</v>
      </c>
      <c r="N1152" s="4" t="s">
        <v>157</v>
      </c>
      <c r="O1152" s="4" t="s">
        <v>434</v>
      </c>
      <c r="P1152" s="4" t="s">
        <v>435</v>
      </c>
    </row>
    <row r="1153" spans="1:16" ht="15">
      <c r="A1153" s="4" t="s">
        <v>2010</v>
      </c>
      <c r="B1153" s="30">
        <v>40050</v>
      </c>
      <c r="C1153" s="4"/>
      <c r="D1153" s="4" t="s">
        <v>193</v>
      </c>
      <c r="E1153" s="4" t="s">
        <v>170</v>
      </c>
      <c r="F1153" s="4" t="s">
        <v>155</v>
      </c>
      <c r="G1153" s="4">
        <v>5</v>
      </c>
      <c r="H1153" s="4">
        <v>5</v>
      </c>
      <c r="I1153" s="4" t="s">
        <v>140</v>
      </c>
      <c r="J1153" s="4" t="s">
        <v>184</v>
      </c>
      <c r="K1153" s="4" t="s">
        <v>143</v>
      </c>
      <c r="L1153" s="4" t="s">
        <v>4181</v>
      </c>
      <c r="M1153" s="4" t="s">
        <v>173</v>
      </c>
      <c r="N1153" s="4" t="s">
        <v>155</v>
      </c>
      <c r="O1153" s="4" t="s">
        <v>128</v>
      </c>
      <c r="P1153" s="4"/>
    </row>
    <row r="1154" spans="1:16" ht="15">
      <c r="A1154" s="4" t="s">
        <v>2011</v>
      </c>
      <c r="B1154" s="30">
        <v>39930</v>
      </c>
      <c r="C1154" s="4" t="s">
        <v>380</v>
      </c>
      <c r="D1154" s="4" t="s">
        <v>4182</v>
      </c>
      <c r="E1154" s="4" t="s">
        <v>170</v>
      </c>
      <c r="F1154" s="4" t="s">
        <v>155</v>
      </c>
      <c r="G1154" s="4"/>
      <c r="H1154" s="4"/>
      <c r="I1154" s="4" t="s">
        <v>139</v>
      </c>
      <c r="J1154" s="4" t="s">
        <v>181</v>
      </c>
      <c r="K1154" s="4" t="s">
        <v>148</v>
      </c>
      <c r="L1154" s="4" t="s">
        <v>4181</v>
      </c>
      <c r="M1154" s="4" t="s">
        <v>2012</v>
      </c>
      <c r="N1154" s="4" t="s">
        <v>155</v>
      </c>
      <c r="O1154" s="4" t="s">
        <v>454</v>
      </c>
      <c r="P1154" s="4"/>
    </row>
    <row r="1155" spans="1:16" ht="15">
      <c r="A1155" s="4" t="s">
        <v>2013</v>
      </c>
      <c r="B1155" s="30">
        <v>40049</v>
      </c>
      <c r="C1155" s="4"/>
      <c r="D1155" s="4" t="s">
        <v>193</v>
      </c>
      <c r="E1155" s="4" t="s">
        <v>170</v>
      </c>
      <c r="F1155" s="4" t="s">
        <v>155</v>
      </c>
      <c r="G1155" s="4">
        <v>5</v>
      </c>
      <c r="H1155" s="4">
        <v>5</v>
      </c>
      <c r="I1155" s="4" t="s">
        <v>140</v>
      </c>
      <c r="J1155" s="4" t="s">
        <v>187</v>
      </c>
      <c r="K1155" s="4" t="s">
        <v>143</v>
      </c>
      <c r="L1155" s="4" t="s">
        <v>4176</v>
      </c>
      <c r="M1155" s="4" t="s">
        <v>174</v>
      </c>
      <c r="N1155" s="4" t="s">
        <v>156</v>
      </c>
      <c r="O1155" s="4" t="s">
        <v>120</v>
      </c>
      <c r="P1155" s="4" t="s">
        <v>741</v>
      </c>
    </row>
    <row r="1156" spans="1:16" ht="15">
      <c r="A1156" s="4" t="s">
        <v>2014</v>
      </c>
      <c r="B1156" s="30">
        <v>39946</v>
      </c>
      <c r="C1156" s="4" t="s">
        <v>380</v>
      </c>
      <c r="D1156" s="4" t="s">
        <v>194</v>
      </c>
      <c r="E1156" s="4" t="s">
        <v>170</v>
      </c>
      <c r="F1156" s="4" t="s">
        <v>155</v>
      </c>
      <c r="G1156" s="4"/>
      <c r="H1156" s="4"/>
      <c r="I1156" s="4" t="s">
        <v>139</v>
      </c>
      <c r="J1156" s="4" t="s">
        <v>187</v>
      </c>
      <c r="K1156" s="4" t="s">
        <v>145</v>
      </c>
      <c r="L1156" s="4" t="s">
        <v>4181</v>
      </c>
      <c r="M1156" s="4" t="s">
        <v>415</v>
      </c>
      <c r="N1156" s="4" t="s">
        <v>155</v>
      </c>
      <c r="O1156" s="4" t="s">
        <v>125</v>
      </c>
      <c r="P1156" s="4"/>
    </row>
    <row r="1157" spans="1:16" ht="15">
      <c r="A1157" s="4" t="s">
        <v>2015</v>
      </c>
      <c r="B1157" s="30">
        <v>39997</v>
      </c>
      <c r="C1157" s="4"/>
      <c r="D1157" s="4" t="s">
        <v>194</v>
      </c>
      <c r="E1157" s="4" t="s">
        <v>170</v>
      </c>
      <c r="F1157" s="4" t="s">
        <v>155</v>
      </c>
      <c r="G1157" s="4"/>
      <c r="H1157" s="4">
        <v>5</v>
      </c>
      <c r="I1157" s="4" t="s">
        <v>139</v>
      </c>
      <c r="J1157" s="4" t="s">
        <v>409</v>
      </c>
      <c r="K1157" s="4" t="s">
        <v>146</v>
      </c>
      <c r="L1157" s="4" t="s">
        <v>162</v>
      </c>
      <c r="M1157" s="4" t="s">
        <v>2016</v>
      </c>
      <c r="N1157" s="4" t="s">
        <v>155</v>
      </c>
      <c r="O1157" s="4" t="s">
        <v>129</v>
      </c>
      <c r="P1157" s="4"/>
    </row>
    <row r="1158" spans="1:16" ht="15">
      <c r="A1158" s="4" t="s">
        <v>2017</v>
      </c>
      <c r="B1158" s="30">
        <v>40011</v>
      </c>
      <c r="C1158" s="4"/>
      <c r="D1158" s="4" t="s">
        <v>194</v>
      </c>
      <c r="E1158" s="4" t="s">
        <v>170</v>
      </c>
      <c r="F1158" s="4" t="s">
        <v>155</v>
      </c>
      <c r="G1158" s="4">
        <v>5</v>
      </c>
      <c r="H1158" s="4">
        <v>3</v>
      </c>
      <c r="I1158" s="4" t="s">
        <v>139</v>
      </c>
      <c r="J1158" s="4" t="s">
        <v>183</v>
      </c>
      <c r="K1158" s="4" t="s">
        <v>150</v>
      </c>
      <c r="L1158" s="4" t="s">
        <v>4176</v>
      </c>
      <c r="M1158" s="4" t="s">
        <v>174</v>
      </c>
      <c r="N1158" s="4" t="s">
        <v>156</v>
      </c>
      <c r="O1158" s="4" t="s">
        <v>120</v>
      </c>
      <c r="P1158" s="4" t="s">
        <v>2018</v>
      </c>
    </row>
    <row r="1159" spans="1:16" ht="15">
      <c r="A1159" s="4" t="s">
        <v>2019</v>
      </c>
      <c r="B1159" s="30">
        <v>39966</v>
      </c>
      <c r="C1159" s="4"/>
      <c r="D1159" s="4" t="s">
        <v>193</v>
      </c>
      <c r="E1159" s="4" t="s">
        <v>170</v>
      </c>
      <c r="F1159" s="4" t="s">
        <v>155</v>
      </c>
      <c r="G1159" s="4"/>
      <c r="H1159" s="4"/>
      <c r="I1159" s="4" t="s">
        <v>140</v>
      </c>
      <c r="J1159" s="4" t="s">
        <v>409</v>
      </c>
      <c r="K1159" s="4" t="s">
        <v>149</v>
      </c>
      <c r="L1159" s="4" t="s">
        <v>162</v>
      </c>
      <c r="M1159" s="4" t="s">
        <v>429</v>
      </c>
      <c r="N1159" s="4" t="s">
        <v>155</v>
      </c>
      <c r="O1159" s="4" t="s">
        <v>129</v>
      </c>
      <c r="P1159" s="4"/>
    </row>
    <row r="1160" spans="1:16" ht="15">
      <c r="A1160" s="4" t="s">
        <v>2020</v>
      </c>
      <c r="B1160" s="30">
        <v>40024</v>
      </c>
      <c r="C1160" s="4"/>
      <c r="D1160" s="4" t="s">
        <v>195</v>
      </c>
      <c r="E1160" s="4" t="s">
        <v>170</v>
      </c>
      <c r="F1160" s="4" t="s">
        <v>155</v>
      </c>
      <c r="G1160" s="4">
        <v>5</v>
      </c>
      <c r="H1160" s="4">
        <v>5</v>
      </c>
      <c r="I1160" s="4" t="s">
        <v>139</v>
      </c>
      <c r="J1160" s="4" t="s">
        <v>190</v>
      </c>
      <c r="K1160" s="4" t="s">
        <v>144</v>
      </c>
      <c r="L1160" s="4" t="s">
        <v>162</v>
      </c>
      <c r="M1160" s="4" t="s">
        <v>397</v>
      </c>
      <c r="N1160" s="4" t="s">
        <v>155</v>
      </c>
      <c r="O1160" s="4" t="s">
        <v>129</v>
      </c>
      <c r="P1160" s="4"/>
    </row>
    <row r="1161" spans="1:16" ht="15">
      <c r="A1161" s="4" t="s">
        <v>2021</v>
      </c>
      <c r="B1161" s="30">
        <v>39916</v>
      </c>
      <c r="C1161" s="4" t="s">
        <v>9</v>
      </c>
      <c r="D1161" s="4" t="s">
        <v>4177</v>
      </c>
      <c r="E1161" s="4" t="s">
        <v>170</v>
      </c>
      <c r="F1161" s="4" t="s">
        <v>155</v>
      </c>
      <c r="G1161" s="4"/>
      <c r="H1161" s="4"/>
      <c r="I1161" s="4" t="s">
        <v>139</v>
      </c>
      <c r="J1161" s="4" t="s">
        <v>810</v>
      </c>
      <c r="K1161" s="4" t="s">
        <v>145</v>
      </c>
      <c r="L1161" s="4" t="s">
        <v>162</v>
      </c>
      <c r="M1161" s="4" t="s">
        <v>175</v>
      </c>
      <c r="N1161" s="4" t="s">
        <v>155</v>
      </c>
      <c r="O1161" s="4" t="s">
        <v>439</v>
      </c>
      <c r="P1161" s="4"/>
    </row>
    <row r="1162" spans="1:16" ht="15">
      <c r="A1162" s="4" t="s">
        <v>2022</v>
      </c>
      <c r="B1162" s="30">
        <v>39906</v>
      </c>
      <c r="C1162" s="4" t="s">
        <v>9</v>
      </c>
      <c r="D1162" s="4" t="s">
        <v>4184</v>
      </c>
      <c r="E1162" s="4" t="s">
        <v>170</v>
      </c>
      <c r="F1162" s="4" t="s">
        <v>155</v>
      </c>
      <c r="G1162" s="4"/>
      <c r="H1162" s="4"/>
      <c r="I1162" s="4" t="s">
        <v>140</v>
      </c>
      <c r="J1162" s="4" t="s">
        <v>188</v>
      </c>
      <c r="K1162" s="4" t="s">
        <v>142</v>
      </c>
      <c r="L1162" s="4" t="s">
        <v>165</v>
      </c>
      <c r="M1162" s="4" t="s">
        <v>2023</v>
      </c>
      <c r="N1162" s="4" t="s">
        <v>158</v>
      </c>
      <c r="O1162" s="4" t="s">
        <v>122</v>
      </c>
      <c r="P1162" s="4"/>
    </row>
    <row r="1163" spans="1:16" ht="15">
      <c r="A1163" s="4" t="s">
        <v>2024</v>
      </c>
      <c r="B1163" s="30">
        <v>39959</v>
      </c>
      <c r="C1163" s="4"/>
      <c r="D1163" s="4" t="s">
        <v>194</v>
      </c>
      <c r="E1163" s="4" t="s">
        <v>170</v>
      </c>
      <c r="F1163" s="4" t="s">
        <v>155</v>
      </c>
      <c r="G1163" s="4"/>
      <c r="H1163" s="4"/>
      <c r="I1163" s="4" t="s">
        <v>139</v>
      </c>
      <c r="J1163" s="4" t="s">
        <v>190</v>
      </c>
      <c r="K1163" s="4" t="s">
        <v>151</v>
      </c>
      <c r="L1163" s="4" t="s">
        <v>4181</v>
      </c>
      <c r="M1163" s="4" t="s">
        <v>173</v>
      </c>
      <c r="N1163" s="4" t="s">
        <v>155</v>
      </c>
      <c r="O1163" s="4" t="s">
        <v>127</v>
      </c>
      <c r="P1163" s="4"/>
    </row>
    <row r="1164" spans="1:16" ht="15">
      <c r="A1164" s="4" t="s">
        <v>2025</v>
      </c>
      <c r="B1164" s="30">
        <v>39987</v>
      </c>
      <c r="C1164" s="4" t="s">
        <v>383</v>
      </c>
      <c r="D1164" s="4" t="s">
        <v>196</v>
      </c>
      <c r="E1164" s="4" t="s">
        <v>170</v>
      </c>
      <c r="F1164" s="4" t="s">
        <v>155</v>
      </c>
      <c r="G1164" s="4"/>
      <c r="H1164" s="4"/>
      <c r="I1164" s="4" t="s">
        <v>139</v>
      </c>
      <c r="J1164" s="4" t="s">
        <v>409</v>
      </c>
      <c r="K1164" s="4" t="s">
        <v>143</v>
      </c>
      <c r="L1164" s="4" t="s">
        <v>162</v>
      </c>
      <c r="M1164" s="4"/>
      <c r="N1164" s="4" t="s">
        <v>155</v>
      </c>
      <c r="O1164" s="4" t="s">
        <v>130</v>
      </c>
      <c r="P1164" s="4"/>
    </row>
    <row r="1165" spans="1:16" ht="15">
      <c r="A1165" s="4" t="s">
        <v>2026</v>
      </c>
      <c r="B1165" s="30">
        <v>39955</v>
      </c>
      <c r="C1165" s="4"/>
      <c r="D1165" s="4" t="s">
        <v>194</v>
      </c>
      <c r="E1165" s="4" t="s">
        <v>170</v>
      </c>
      <c r="F1165" s="4" t="s">
        <v>155</v>
      </c>
      <c r="G1165" s="4"/>
      <c r="H1165" s="4"/>
      <c r="I1165" s="4" t="s">
        <v>139</v>
      </c>
      <c r="J1165" s="4" t="s">
        <v>183</v>
      </c>
      <c r="K1165" s="4" t="s">
        <v>143</v>
      </c>
      <c r="L1165" s="4" t="s">
        <v>4181</v>
      </c>
      <c r="M1165" s="4" t="s">
        <v>173</v>
      </c>
      <c r="N1165" s="4" t="s">
        <v>161</v>
      </c>
      <c r="O1165" s="4" t="s">
        <v>2027</v>
      </c>
      <c r="P1165" s="4"/>
    </row>
    <row r="1166" spans="1:16" ht="15">
      <c r="A1166" s="4" t="s">
        <v>2028</v>
      </c>
      <c r="B1166" s="30">
        <v>39982</v>
      </c>
      <c r="C1166" s="4" t="s">
        <v>570</v>
      </c>
      <c r="D1166" s="4" t="s">
        <v>196</v>
      </c>
      <c r="E1166" s="4" t="s">
        <v>170</v>
      </c>
      <c r="F1166" s="4" t="s">
        <v>155</v>
      </c>
      <c r="G1166" s="4"/>
      <c r="H1166" s="4"/>
      <c r="I1166" s="4" t="s">
        <v>139</v>
      </c>
      <c r="J1166" s="4" t="s">
        <v>188</v>
      </c>
      <c r="K1166" s="4" t="s">
        <v>146</v>
      </c>
      <c r="L1166" s="4" t="s">
        <v>162</v>
      </c>
      <c r="M1166" s="4" t="s">
        <v>175</v>
      </c>
      <c r="N1166" s="4" t="s">
        <v>155</v>
      </c>
      <c r="O1166" s="4" t="s">
        <v>129</v>
      </c>
      <c r="P1166" s="4"/>
    </row>
    <row r="1167" spans="1:16" ht="15">
      <c r="A1167" s="4" t="s">
        <v>2029</v>
      </c>
      <c r="B1167" s="30">
        <v>40015</v>
      </c>
      <c r="C1167" s="4"/>
      <c r="D1167" s="4" t="s">
        <v>196</v>
      </c>
      <c r="E1167" s="4" t="s">
        <v>170</v>
      </c>
      <c r="F1167" s="4" t="s">
        <v>155</v>
      </c>
      <c r="G1167" s="4">
        <v>5</v>
      </c>
      <c r="H1167" s="4">
        <v>2</v>
      </c>
      <c r="I1167" s="4" t="s">
        <v>139</v>
      </c>
      <c r="J1167" s="4" t="s">
        <v>188</v>
      </c>
      <c r="K1167" s="4" t="s">
        <v>150</v>
      </c>
      <c r="L1167" s="4" t="s">
        <v>162</v>
      </c>
      <c r="M1167" s="4" t="s">
        <v>175</v>
      </c>
      <c r="N1167" s="4" t="s">
        <v>155</v>
      </c>
      <c r="O1167" s="4" t="s">
        <v>129</v>
      </c>
      <c r="P1167" s="4"/>
    </row>
    <row r="1168" spans="1:16" ht="15">
      <c r="A1168" s="4" t="s">
        <v>2030</v>
      </c>
      <c r="B1168" s="30">
        <v>39937</v>
      </c>
      <c r="C1168" s="4"/>
      <c r="D1168" s="4" t="s">
        <v>4184</v>
      </c>
      <c r="E1168" s="4" t="s">
        <v>170</v>
      </c>
      <c r="F1168" s="4" t="s">
        <v>155</v>
      </c>
      <c r="G1168" s="4"/>
      <c r="H1168" s="4"/>
      <c r="I1168" s="4" t="s">
        <v>140</v>
      </c>
      <c r="J1168" s="4" t="s">
        <v>178</v>
      </c>
      <c r="K1168" s="4" t="s">
        <v>149</v>
      </c>
      <c r="L1168" s="4" t="s">
        <v>4181</v>
      </c>
      <c r="M1168" s="4" t="s">
        <v>2031</v>
      </c>
      <c r="N1168" s="4" t="s">
        <v>155</v>
      </c>
      <c r="O1168" s="4" t="s">
        <v>692</v>
      </c>
      <c r="P1168" s="4"/>
    </row>
    <row r="1169" spans="1:16" ht="15">
      <c r="A1169" s="4" t="s">
        <v>2032</v>
      </c>
      <c r="B1169" s="30">
        <v>40034</v>
      </c>
      <c r="C1169" s="4" t="s">
        <v>380</v>
      </c>
      <c r="D1169" s="4" t="s">
        <v>193</v>
      </c>
      <c r="E1169" s="4" t="s">
        <v>170</v>
      </c>
      <c r="F1169" s="4" t="s">
        <v>155</v>
      </c>
      <c r="G1169" s="4">
        <v>5</v>
      </c>
      <c r="H1169" s="4">
        <v>5</v>
      </c>
      <c r="I1169" s="4" t="s">
        <v>140</v>
      </c>
      <c r="J1169" s="4" t="s">
        <v>183</v>
      </c>
      <c r="K1169" s="4" t="s">
        <v>146</v>
      </c>
      <c r="L1169" s="4" t="s">
        <v>4176</v>
      </c>
      <c r="M1169" s="4" t="s">
        <v>654</v>
      </c>
      <c r="N1169" s="4" t="s">
        <v>156</v>
      </c>
      <c r="O1169" s="4" t="s">
        <v>120</v>
      </c>
      <c r="P1169" s="4" t="s">
        <v>2033</v>
      </c>
    </row>
    <row r="1170" spans="1:16" ht="15">
      <c r="A1170" s="4" t="s">
        <v>2034</v>
      </c>
      <c r="B1170" s="30">
        <v>39983</v>
      </c>
      <c r="C1170" s="4" t="s">
        <v>9</v>
      </c>
      <c r="D1170" s="4" t="s">
        <v>193</v>
      </c>
      <c r="E1170" s="4" t="s">
        <v>170</v>
      </c>
      <c r="F1170" s="4" t="s">
        <v>155</v>
      </c>
      <c r="G1170" s="4"/>
      <c r="H1170" s="4"/>
      <c r="I1170" s="4" t="s">
        <v>140</v>
      </c>
      <c r="J1170" s="4" t="s">
        <v>433</v>
      </c>
      <c r="K1170" s="4" t="s">
        <v>143</v>
      </c>
      <c r="L1170" s="4" t="s">
        <v>165</v>
      </c>
      <c r="M1170" s="4" t="s">
        <v>589</v>
      </c>
      <c r="N1170" s="4" t="s">
        <v>158</v>
      </c>
      <c r="O1170" s="4" t="s">
        <v>122</v>
      </c>
      <c r="P1170" s="4"/>
    </row>
    <row r="1171" spans="1:16" ht="15">
      <c r="A1171" s="4" t="s">
        <v>2035</v>
      </c>
      <c r="B1171" s="30">
        <v>39994</v>
      </c>
      <c r="C1171" s="4" t="s">
        <v>9</v>
      </c>
      <c r="D1171" s="4" t="s">
        <v>196</v>
      </c>
      <c r="E1171" s="4" t="s">
        <v>170</v>
      </c>
      <c r="F1171" s="4" t="s">
        <v>155</v>
      </c>
      <c r="G1171" s="4"/>
      <c r="H1171" s="4">
        <v>5</v>
      </c>
      <c r="I1171" s="4" t="s">
        <v>139</v>
      </c>
      <c r="J1171" s="4" t="s">
        <v>183</v>
      </c>
      <c r="K1171" s="4" t="s">
        <v>145</v>
      </c>
      <c r="L1171" s="4" t="s">
        <v>162</v>
      </c>
      <c r="M1171" s="4" t="s">
        <v>459</v>
      </c>
      <c r="N1171" s="4" t="s">
        <v>155</v>
      </c>
      <c r="O1171" s="4" t="s">
        <v>129</v>
      </c>
      <c r="P1171" s="4"/>
    </row>
    <row r="1172" spans="1:16" ht="15">
      <c r="A1172" s="4" t="s">
        <v>2036</v>
      </c>
      <c r="B1172" s="30">
        <v>39931</v>
      </c>
      <c r="C1172" s="4"/>
      <c r="D1172" s="4" t="s">
        <v>4179</v>
      </c>
      <c r="E1172" s="4" t="s">
        <v>170</v>
      </c>
      <c r="F1172" s="4" t="s">
        <v>155</v>
      </c>
      <c r="G1172" s="4"/>
      <c r="H1172" s="4"/>
      <c r="I1172" s="4" t="s">
        <v>139</v>
      </c>
      <c r="J1172" s="4" t="s">
        <v>183</v>
      </c>
      <c r="K1172" s="4" t="s">
        <v>143</v>
      </c>
      <c r="L1172" s="4" t="s">
        <v>4181</v>
      </c>
      <c r="M1172" s="4" t="s">
        <v>173</v>
      </c>
      <c r="N1172" s="4" t="s">
        <v>161</v>
      </c>
      <c r="O1172" s="4" t="s">
        <v>420</v>
      </c>
      <c r="P1172" s="4"/>
    </row>
    <row r="1173" spans="1:16" ht="15">
      <c r="A1173" s="4" t="s">
        <v>2037</v>
      </c>
      <c r="B1173" s="30">
        <v>39954</v>
      </c>
      <c r="C1173" s="4"/>
      <c r="D1173" s="4" t="s">
        <v>194</v>
      </c>
      <c r="E1173" s="4" t="s">
        <v>170</v>
      </c>
      <c r="F1173" s="4" t="s">
        <v>155</v>
      </c>
      <c r="G1173" s="4"/>
      <c r="H1173" s="4"/>
      <c r="I1173" s="4" t="s">
        <v>139</v>
      </c>
      <c r="J1173" s="4" t="s">
        <v>182</v>
      </c>
      <c r="K1173" s="4" t="s">
        <v>147</v>
      </c>
      <c r="L1173" s="4" t="s">
        <v>162</v>
      </c>
      <c r="M1173" s="4"/>
      <c r="N1173" s="4" t="s">
        <v>155</v>
      </c>
      <c r="O1173" s="4" t="s">
        <v>129</v>
      </c>
      <c r="P1173" s="4"/>
    </row>
    <row r="1174" spans="1:16" ht="15">
      <c r="A1174" s="4" t="s">
        <v>2038</v>
      </c>
      <c r="B1174" s="30">
        <v>40073</v>
      </c>
      <c r="C1174" s="4"/>
      <c r="D1174" s="4" t="s">
        <v>193</v>
      </c>
      <c r="E1174" s="4" t="s">
        <v>170</v>
      </c>
      <c r="F1174" s="4" t="s">
        <v>155</v>
      </c>
      <c r="G1174" s="4">
        <v>5</v>
      </c>
      <c r="H1174" s="4">
        <v>5</v>
      </c>
      <c r="I1174" s="4" t="s">
        <v>140</v>
      </c>
      <c r="J1174" s="4" t="s">
        <v>184</v>
      </c>
      <c r="K1174" s="4" t="s">
        <v>149</v>
      </c>
      <c r="L1174" s="4" t="s">
        <v>4176</v>
      </c>
      <c r="M1174" s="4" t="s">
        <v>174</v>
      </c>
      <c r="N1174" s="4" t="s">
        <v>160</v>
      </c>
      <c r="O1174" s="4" t="s">
        <v>392</v>
      </c>
      <c r="P1174" s="4" t="s">
        <v>393</v>
      </c>
    </row>
    <row r="1175" spans="1:16" ht="15">
      <c r="A1175" s="4" t="s">
        <v>2039</v>
      </c>
      <c r="B1175" s="30">
        <v>40030</v>
      </c>
      <c r="C1175" s="4" t="s">
        <v>383</v>
      </c>
      <c r="D1175" s="4" t="s">
        <v>193</v>
      </c>
      <c r="E1175" s="4" t="s">
        <v>170</v>
      </c>
      <c r="F1175" s="4" t="s">
        <v>155</v>
      </c>
      <c r="G1175" s="4">
        <v>5</v>
      </c>
      <c r="H1175" s="4">
        <v>3</v>
      </c>
      <c r="I1175" s="4" t="s">
        <v>140</v>
      </c>
      <c r="J1175" s="4" t="s">
        <v>188</v>
      </c>
      <c r="K1175" s="4" t="s">
        <v>142</v>
      </c>
      <c r="L1175" s="4" t="s">
        <v>162</v>
      </c>
      <c r="M1175" s="4" t="s">
        <v>459</v>
      </c>
      <c r="N1175" s="4" t="s">
        <v>155</v>
      </c>
      <c r="O1175" s="4" t="s">
        <v>129</v>
      </c>
      <c r="P1175" s="4"/>
    </row>
    <row r="1176" spans="1:16" ht="15">
      <c r="A1176" s="4" t="s">
        <v>2040</v>
      </c>
      <c r="B1176" s="30">
        <v>40023</v>
      </c>
      <c r="C1176" s="4"/>
      <c r="D1176" s="4" t="s">
        <v>193</v>
      </c>
      <c r="E1176" s="4" t="s">
        <v>170</v>
      </c>
      <c r="F1176" s="4" t="s">
        <v>155</v>
      </c>
      <c r="G1176" s="4">
        <v>5</v>
      </c>
      <c r="H1176" s="4">
        <v>3</v>
      </c>
      <c r="I1176" s="4" t="s">
        <v>140</v>
      </c>
      <c r="J1176" s="4" t="s">
        <v>179</v>
      </c>
      <c r="K1176" s="4" t="s">
        <v>144</v>
      </c>
      <c r="L1176" s="4" t="s">
        <v>4176</v>
      </c>
      <c r="M1176" s="4" t="s">
        <v>2041</v>
      </c>
      <c r="N1176" s="4" t="s">
        <v>160</v>
      </c>
      <c r="O1176" s="4" t="s">
        <v>126</v>
      </c>
      <c r="P1176" s="4" t="s">
        <v>665</v>
      </c>
    </row>
    <row r="1177" spans="1:16" ht="15">
      <c r="A1177" s="4" t="s">
        <v>2042</v>
      </c>
      <c r="B1177" s="30">
        <v>39951</v>
      </c>
      <c r="C1177" s="4"/>
      <c r="D1177" s="4" t="s">
        <v>194</v>
      </c>
      <c r="E1177" s="4" t="s">
        <v>170</v>
      </c>
      <c r="F1177" s="4" t="s">
        <v>155</v>
      </c>
      <c r="G1177" s="4"/>
      <c r="H1177" s="4"/>
      <c r="I1177" s="4" t="s">
        <v>139</v>
      </c>
      <c r="J1177" s="4" t="s">
        <v>188</v>
      </c>
      <c r="K1177" s="4" t="s">
        <v>147</v>
      </c>
      <c r="L1177" s="4" t="s">
        <v>4181</v>
      </c>
      <c r="M1177" s="4"/>
      <c r="N1177" s="4" t="s">
        <v>155</v>
      </c>
      <c r="O1177" s="4" t="s">
        <v>670</v>
      </c>
      <c r="P1177" s="4"/>
    </row>
    <row r="1178" spans="1:16" ht="15">
      <c r="A1178" s="4" t="s">
        <v>2043</v>
      </c>
      <c r="B1178" s="30">
        <v>39976</v>
      </c>
      <c r="C1178" s="4"/>
      <c r="D1178" s="4" t="s">
        <v>194</v>
      </c>
      <c r="E1178" s="4" t="s">
        <v>170</v>
      </c>
      <c r="F1178" s="4" t="s">
        <v>155</v>
      </c>
      <c r="G1178" s="4"/>
      <c r="H1178" s="4"/>
      <c r="I1178" s="4" t="s">
        <v>139</v>
      </c>
      <c r="J1178" s="4" t="s">
        <v>534</v>
      </c>
      <c r="K1178" s="4" t="s">
        <v>149</v>
      </c>
      <c r="L1178" s="4" t="s">
        <v>4176</v>
      </c>
      <c r="M1178" s="4" t="s">
        <v>550</v>
      </c>
      <c r="N1178" s="4" t="s">
        <v>157</v>
      </c>
      <c r="O1178" s="4" t="s">
        <v>406</v>
      </c>
      <c r="P1178" s="4" t="s">
        <v>2044</v>
      </c>
    </row>
    <row r="1179" spans="1:16" ht="15">
      <c r="A1179" s="4" t="s">
        <v>2045</v>
      </c>
      <c r="B1179" s="30">
        <v>39995</v>
      </c>
      <c r="C1179" s="4" t="s">
        <v>9</v>
      </c>
      <c r="D1179" s="4" t="s">
        <v>193</v>
      </c>
      <c r="E1179" s="4" t="s">
        <v>170</v>
      </c>
      <c r="F1179" s="4" t="s">
        <v>155</v>
      </c>
      <c r="G1179" s="4"/>
      <c r="H1179" s="4">
        <v>5</v>
      </c>
      <c r="I1179" s="4" t="s">
        <v>140</v>
      </c>
      <c r="J1179" s="4" t="s">
        <v>186</v>
      </c>
      <c r="K1179" s="4" t="s">
        <v>144</v>
      </c>
      <c r="L1179" s="4" t="s">
        <v>4176</v>
      </c>
      <c r="M1179" s="4" t="s">
        <v>174</v>
      </c>
      <c r="N1179" s="4" t="s">
        <v>156</v>
      </c>
      <c r="O1179" s="4" t="s">
        <v>120</v>
      </c>
      <c r="P1179" s="4" t="s">
        <v>425</v>
      </c>
    </row>
    <row r="1180" spans="1:16" ht="15">
      <c r="A1180" s="4" t="s">
        <v>2046</v>
      </c>
      <c r="B1180" s="30">
        <v>39938</v>
      </c>
      <c r="C1180" s="4"/>
      <c r="D1180" s="4" t="s">
        <v>4183</v>
      </c>
      <c r="E1180" s="4" t="s">
        <v>170</v>
      </c>
      <c r="F1180" s="4" t="s">
        <v>155</v>
      </c>
      <c r="G1180" s="4"/>
      <c r="H1180" s="4"/>
      <c r="I1180" s="4" t="s">
        <v>140</v>
      </c>
      <c r="J1180" s="4" t="s">
        <v>183</v>
      </c>
      <c r="K1180" s="4" t="s">
        <v>147</v>
      </c>
      <c r="L1180" s="4" t="s">
        <v>4176</v>
      </c>
      <c r="M1180" s="4" t="s">
        <v>174</v>
      </c>
      <c r="N1180" s="4" t="s">
        <v>157</v>
      </c>
      <c r="O1180" s="4" t="s">
        <v>439</v>
      </c>
      <c r="P1180" s="4" t="s">
        <v>2047</v>
      </c>
    </row>
    <row r="1181" spans="1:16" ht="15">
      <c r="A1181" s="4" t="s">
        <v>2048</v>
      </c>
      <c r="B1181" s="30">
        <v>39925</v>
      </c>
      <c r="C1181" s="4" t="s">
        <v>9</v>
      </c>
      <c r="D1181" s="4" t="s">
        <v>4177</v>
      </c>
      <c r="E1181" s="4" t="s">
        <v>170</v>
      </c>
      <c r="F1181" s="4" t="s">
        <v>155</v>
      </c>
      <c r="G1181" s="4"/>
      <c r="H1181" s="4"/>
      <c r="I1181" s="4" t="s">
        <v>139</v>
      </c>
      <c r="J1181" s="4" t="s">
        <v>479</v>
      </c>
      <c r="K1181" s="4" t="s">
        <v>147</v>
      </c>
      <c r="L1181" s="4" t="s">
        <v>4176</v>
      </c>
      <c r="M1181" s="4" t="s">
        <v>174</v>
      </c>
      <c r="N1181" s="4" t="s">
        <v>160</v>
      </c>
      <c r="O1181" s="4" t="s">
        <v>126</v>
      </c>
      <c r="P1181" s="4" t="s">
        <v>1966</v>
      </c>
    </row>
    <row r="1182" spans="1:16" ht="15">
      <c r="A1182" s="4" t="s">
        <v>2049</v>
      </c>
      <c r="B1182" s="30">
        <v>40040</v>
      </c>
      <c r="C1182" s="4"/>
      <c r="D1182" s="4" t="s">
        <v>193</v>
      </c>
      <c r="E1182" s="4" t="s">
        <v>170</v>
      </c>
      <c r="F1182" s="4" t="s">
        <v>155</v>
      </c>
      <c r="G1182" s="4">
        <v>5</v>
      </c>
      <c r="H1182" s="4">
        <v>4</v>
      </c>
      <c r="I1182" s="4" t="s">
        <v>140</v>
      </c>
      <c r="J1182" s="4" t="s">
        <v>187</v>
      </c>
      <c r="K1182" s="4" t="s">
        <v>145</v>
      </c>
      <c r="L1182" s="4" t="s">
        <v>4176</v>
      </c>
      <c r="M1182" s="4"/>
      <c r="N1182" s="4" t="s">
        <v>156</v>
      </c>
      <c r="O1182" s="4" t="s">
        <v>120</v>
      </c>
      <c r="P1182" s="4" t="s">
        <v>2050</v>
      </c>
    </row>
    <row r="1183" spans="1:16" ht="15">
      <c r="A1183" s="4" t="s">
        <v>2051</v>
      </c>
      <c r="B1183" s="30">
        <v>39939</v>
      </c>
      <c r="C1183" s="4" t="s">
        <v>380</v>
      </c>
      <c r="D1183" s="4" t="s">
        <v>4183</v>
      </c>
      <c r="E1183" s="4" t="s">
        <v>170</v>
      </c>
      <c r="F1183" s="4" t="s">
        <v>155</v>
      </c>
      <c r="G1183" s="4"/>
      <c r="H1183" s="4"/>
      <c r="I1183" s="4" t="s">
        <v>140</v>
      </c>
      <c r="J1183" s="4" t="s">
        <v>479</v>
      </c>
      <c r="K1183" s="4" t="s">
        <v>142</v>
      </c>
      <c r="L1183" s="4" t="s">
        <v>4181</v>
      </c>
      <c r="M1183" s="4" t="s">
        <v>173</v>
      </c>
      <c r="N1183" s="4" t="s">
        <v>155</v>
      </c>
      <c r="O1183" s="4" t="s">
        <v>692</v>
      </c>
      <c r="P1183" s="4"/>
    </row>
    <row r="1184" spans="1:16" ht="15">
      <c r="A1184" s="4" t="s">
        <v>2052</v>
      </c>
      <c r="B1184" s="30">
        <v>39962</v>
      </c>
      <c r="C1184" s="4"/>
      <c r="D1184" s="4" t="s">
        <v>194</v>
      </c>
      <c r="E1184" s="4" t="s">
        <v>170</v>
      </c>
      <c r="F1184" s="4" t="s">
        <v>155</v>
      </c>
      <c r="G1184" s="4"/>
      <c r="H1184" s="4"/>
      <c r="I1184" s="4" t="s">
        <v>139</v>
      </c>
      <c r="J1184" s="4" t="s">
        <v>479</v>
      </c>
      <c r="K1184" s="4" t="s">
        <v>150</v>
      </c>
      <c r="L1184" s="4" t="s">
        <v>4181</v>
      </c>
      <c r="M1184" s="4" t="s">
        <v>173</v>
      </c>
      <c r="N1184" s="4" t="s">
        <v>155</v>
      </c>
      <c r="O1184" s="4" t="s">
        <v>1302</v>
      </c>
      <c r="P1184" s="4"/>
    </row>
    <row r="1185" spans="1:16" ht="15">
      <c r="A1185" s="4" t="s">
        <v>2053</v>
      </c>
      <c r="B1185" s="30">
        <v>40041</v>
      </c>
      <c r="C1185" s="4"/>
      <c r="D1185" s="4" t="s">
        <v>196</v>
      </c>
      <c r="E1185" s="4" t="s">
        <v>170</v>
      </c>
      <c r="F1185" s="4" t="s">
        <v>155</v>
      </c>
      <c r="G1185" s="4">
        <v>5</v>
      </c>
      <c r="H1185" s="4">
        <v>3</v>
      </c>
      <c r="I1185" s="4" t="s">
        <v>139</v>
      </c>
      <c r="J1185" s="4" t="s">
        <v>479</v>
      </c>
      <c r="K1185" s="4" t="s">
        <v>146</v>
      </c>
      <c r="L1185" s="4" t="s">
        <v>165</v>
      </c>
      <c r="M1185" s="4" t="s">
        <v>1875</v>
      </c>
      <c r="N1185" s="4" t="s">
        <v>158</v>
      </c>
      <c r="O1185" s="4" t="s">
        <v>122</v>
      </c>
      <c r="P1185" s="4"/>
    </row>
    <row r="1186" spans="1:16" ht="15">
      <c r="A1186" s="4" t="s">
        <v>2054</v>
      </c>
      <c r="B1186" s="30">
        <v>39975</v>
      </c>
      <c r="C1186" s="4" t="s">
        <v>380</v>
      </c>
      <c r="D1186" s="4" t="s">
        <v>193</v>
      </c>
      <c r="E1186" s="4" t="s">
        <v>170</v>
      </c>
      <c r="F1186" s="4" t="s">
        <v>155</v>
      </c>
      <c r="G1186" s="4"/>
      <c r="H1186" s="4"/>
      <c r="I1186" s="4" t="s">
        <v>140</v>
      </c>
      <c r="J1186" s="4" t="s">
        <v>409</v>
      </c>
      <c r="K1186" s="4" t="s">
        <v>143</v>
      </c>
      <c r="L1186" s="4" t="s">
        <v>162</v>
      </c>
      <c r="M1186" s="4" t="s">
        <v>175</v>
      </c>
      <c r="N1186" s="4" t="s">
        <v>155</v>
      </c>
      <c r="O1186" s="4" t="s">
        <v>129</v>
      </c>
      <c r="P1186" s="4"/>
    </row>
    <row r="1187" spans="1:16" ht="15">
      <c r="A1187" s="4" t="s">
        <v>2055</v>
      </c>
      <c r="B1187" s="30">
        <v>39920</v>
      </c>
      <c r="C1187" s="4"/>
      <c r="D1187" s="4" t="s">
        <v>4178</v>
      </c>
      <c r="E1187" s="4" t="s">
        <v>170</v>
      </c>
      <c r="F1187" s="4" t="s">
        <v>155</v>
      </c>
      <c r="G1187" s="4"/>
      <c r="H1187" s="4"/>
      <c r="I1187" s="4" t="s">
        <v>139</v>
      </c>
      <c r="J1187" s="4" t="s">
        <v>178</v>
      </c>
      <c r="K1187" s="4" t="s">
        <v>150</v>
      </c>
      <c r="L1187" s="4" t="s">
        <v>4176</v>
      </c>
      <c r="M1187" s="4" t="s">
        <v>174</v>
      </c>
      <c r="N1187" s="4" t="s">
        <v>156</v>
      </c>
      <c r="O1187" s="4" t="s">
        <v>120</v>
      </c>
      <c r="P1187" s="4" t="s">
        <v>715</v>
      </c>
    </row>
    <row r="1188" spans="1:16" ht="15">
      <c r="A1188" s="4" t="s">
        <v>2056</v>
      </c>
      <c r="B1188" s="30">
        <v>40025</v>
      </c>
      <c r="C1188" s="4" t="s">
        <v>383</v>
      </c>
      <c r="D1188" s="4" t="s">
        <v>193</v>
      </c>
      <c r="E1188" s="4" t="s">
        <v>170</v>
      </c>
      <c r="F1188" s="4" t="s">
        <v>155</v>
      </c>
      <c r="G1188" s="4">
        <v>5</v>
      </c>
      <c r="H1188" s="4">
        <v>5</v>
      </c>
      <c r="I1188" s="4" t="s">
        <v>140</v>
      </c>
      <c r="J1188" s="4" t="s">
        <v>178</v>
      </c>
      <c r="K1188" s="4" t="s">
        <v>144</v>
      </c>
      <c r="L1188" s="4" t="s">
        <v>4181</v>
      </c>
      <c r="M1188" s="4" t="s">
        <v>173</v>
      </c>
      <c r="N1188" s="4" t="s">
        <v>155</v>
      </c>
      <c r="O1188" s="4" t="s">
        <v>510</v>
      </c>
      <c r="P1188" s="4"/>
    </row>
    <row r="1189" spans="1:16" ht="15">
      <c r="A1189" s="4" t="s">
        <v>2057</v>
      </c>
      <c r="B1189" s="30">
        <v>39949</v>
      </c>
      <c r="C1189" s="4"/>
      <c r="D1189" s="4" t="s">
        <v>195</v>
      </c>
      <c r="E1189" s="4" t="s">
        <v>170</v>
      </c>
      <c r="F1189" s="4" t="s">
        <v>155</v>
      </c>
      <c r="G1189" s="4"/>
      <c r="H1189" s="4"/>
      <c r="I1189" s="4" t="s">
        <v>139</v>
      </c>
      <c r="J1189" s="4" t="s">
        <v>184</v>
      </c>
      <c r="K1189" s="4" t="s">
        <v>145</v>
      </c>
      <c r="L1189" s="4" t="s">
        <v>4176</v>
      </c>
      <c r="M1189" s="4" t="s">
        <v>174</v>
      </c>
      <c r="N1189" s="4" t="s">
        <v>157</v>
      </c>
      <c r="O1189" s="4" t="s">
        <v>127</v>
      </c>
      <c r="P1189" s="4" t="s">
        <v>153</v>
      </c>
    </row>
    <row r="1190" spans="1:16" ht="15">
      <c r="A1190" s="4" t="s">
        <v>2058</v>
      </c>
      <c r="B1190" s="30">
        <v>39982</v>
      </c>
      <c r="C1190" s="4"/>
      <c r="D1190" s="4" t="s">
        <v>193</v>
      </c>
      <c r="E1190" s="4" t="s">
        <v>170</v>
      </c>
      <c r="F1190" s="4" t="s">
        <v>155</v>
      </c>
      <c r="G1190" s="4"/>
      <c r="H1190" s="4"/>
      <c r="I1190" s="4" t="s">
        <v>140</v>
      </c>
      <c r="J1190" s="4" t="s">
        <v>184</v>
      </c>
      <c r="K1190" s="4" t="s">
        <v>143</v>
      </c>
      <c r="L1190" s="4" t="s">
        <v>4176</v>
      </c>
      <c r="M1190" s="4" t="s">
        <v>174</v>
      </c>
      <c r="N1190" s="4" t="s">
        <v>156</v>
      </c>
      <c r="O1190" s="4" t="s">
        <v>120</v>
      </c>
      <c r="P1190" s="4" t="s">
        <v>2059</v>
      </c>
    </row>
    <row r="1191" spans="1:16" ht="15">
      <c r="A1191" s="4" t="s">
        <v>2060</v>
      </c>
      <c r="B1191" s="30">
        <v>39969</v>
      </c>
      <c r="C1191" s="4"/>
      <c r="D1191" s="4" t="s">
        <v>195</v>
      </c>
      <c r="E1191" s="4" t="s">
        <v>170</v>
      </c>
      <c r="F1191" s="4" t="s">
        <v>155</v>
      </c>
      <c r="G1191" s="4"/>
      <c r="H1191" s="4"/>
      <c r="I1191" s="4" t="s">
        <v>139</v>
      </c>
      <c r="J1191" s="4" t="s">
        <v>184</v>
      </c>
      <c r="K1191" s="4" t="s">
        <v>145</v>
      </c>
      <c r="L1191" s="4" t="s">
        <v>4176</v>
      </c>
      <c r="M1191" s="4" t="s">
        <v>1123</v>
      </c>
      <c r="N1191" s="4" t="s">
        <v>156</v>
      </c>
      <c r="O1191" s="4" t="s">
        <v>120</v>
      </c>
      <c r="P1191" s="4" t="s">
        <v>2061</v>
      </c>
    </row>
    <row r="1192" spans="1:16" ht="15">
      <c r="A1192" s="4" t="s">
        <v>2062</v>
      </c>
      <c r="B1192" s="30">
        <v>40022</v>
      </c>
      <c r="C1192" s="4" t="s">
        <v>383</v>
      </c>
      <c r="D1192" s="4" t="s">
        <v>197</v>
      </c>
      <c r="E1192" s="4" t="s">
        <v>170</v>
      </c>
      <c r="F1192" s="4" t="s">
        <v>155</v>
      </c>
      <c r="G1192" s="4">
        <v>5</v>
      </c>
      <c r="H1192" s="4">
        <v>5</v>
      </c>
      <c r="I1192" s="4" t="s">
        <v>139</v>
      </c>
      <c r="J1192" s="4" t="s">
        <v>184</v>
      </c>
      <c r="K1192" s="4" t="s">
        <v>146</v>
      </c>
      <c r="L1192" s="4" t="s">
        <v>4181</v>
      </c>
      <c r="M1192" s="4" t="s">
        <v>1032</v>
      </c>
      <c r="N1192" s="4" t="s">
        <v>155</v>
      </c>
      <c r="O1192" s="4" t="s">
        <v>510</v>
      </c>
      <c r="P1192" s="4"/>
    </row>
    <row r="1193" spans="1:16" ht="15">
      <c r="A1193" s="4" t="s">
        <v>2063</v>
      </c>
      <c r="B1193" s="30">
        <v>39946</v>
      </c>
      <c r="C1193" s="4"/>
      <c r="D1193" s="4" t="s">
        <v>194</v>
      </c>
      <c r="E1193" s="4" t="s">
        <v>170</v>
      </c>
      <c r="F1193" s="4" t="s">
        <v>155</v>
      </c>
      <c r="G1193" s="4"/>
      <c r="H1193" s="4"/>
      <c r="I1193" s="4" t="s">
        <v>139</v>
      </c>
      <c r="J1193" s="4" t="s">
        <v>184</v>
      </c>
      <c r="K1193" s="4" t="s">
        <v>147</v>
      </c>
      <c r="L1193" s="4" t="s">
        <v>165</v>
      </c>
      <c r="M1193" s="4" t="s">
        <v>614</v>
      </c>
      <c r="N1193" s="4" t="s">
        <v>158</v>
      </c>
      <c r="O1193" s="4" t="s">
        <v>122</v>
      </c>
      <c r="P1193" s="4"/>
    </row>
    <row r="1194" spans="1:16" ht="15">
      <c r="A1194" s="4" t="s">
        <v>2064</v>
      </c>
      <c r="B1194" s="30">
        <v>39949</v>
      </c>
      <c r="C1194" s="4"/>
      <c r="D1194" s="4" t="s">
        <v>193</v>
      </c>
      <c r="E1194" s="4" t="s">
        <v>170</v>
      </c>
      <c r="F1194" s="4" t="s">
        <v>155</v>
      </c>
      <c r="G1194" s="4"/>
      <c r="H1194" s="4"/>
      <c r="I1194" s="4" t="s">
        <v>140</v>
      </c>
      <c r="J1194" s="4" t="s">
        <v>183</v>
      </c>
      <c r="K1194" s="4" t="s">
        <v>147</v>
      </c>
      <c r="L1194" s="4" t="s">
        <v>4181</v>
      </c>
      <c r="M1194" s="4" t="s">
        <v>173</v>
      </c>
      <c r="N1194" s="4" t="s">
        <v>161</v>
      </c>
      <c r="O1194" s="4" t="s">
        <v>939</v>
      </c>
      <c r="P1194" s="4"/>
    </row>
    <row r="1195" spans="1:16" ht="15">
      <c r="A1195" s="4" t="s">
        <v>2065</v>
      </c>
      <c r="B1195" s="30">
        <v>39986</v>
      </c>
      <c r="C1195" s="4"/>
      <c r="D1195" s="4" t="s">
        <v>193</v>
      </c>
      <c r="E1195" s="4" t="s">
        <v>170</v>
      </c>
      <c r="F1195" s="4" t="s">
        <v>155</v>
      </c>
      <c r="G1195" s="4"/>
      <c r="H1195" s="4"/>
      <c r="I1195" s="4" t="s">
        <v>140</v>
      </c>
      <c r="J1195" s="4" t="s">
        <v>181</v>
      </c>
      <c r="K1195" s="4" t="s">
        <v>146</v>
      </c>
      <c r="L1195" s="4" t="s">
        <v>4181</v>
      </c>
      <c r="M1195" s="4" t="s">
        <v>2066</v>
      </c>
      <c r="N1195" s="4" t="s">
        <v>788</v>
      </c>
      <c r="O1195" s="4" t="s">
        <v>1225</v>
      </c>
      <c r="P1195" s="4"/>
    </row>
    <row r="1196" spans="1:16" ht="15">
      <c r="A1196" s="4" t="s">
        <v>2067</v>
      </c>
      <c r="B1196" s="30">
        <v>40052</v>
      </c>
      <c r="C1196" s="4"/>
      <c r="D1196" s="4" t="s">
        <v>195</v>
      </c>
      <c r="E1196" s="4" t="s">
        <v>170</v>
      </c>
      <c r="F1196" s="4" t="s">
        <v>155</v>
      </c>
      <c r="G1196" s="4">
        <v>5</v>
      </c>
      <c r="H1196" s="4">
        <v>5</v>
      </c>
      <c r="I1196" s="4" t="s">
        <v>139</v>
      </c>
      <c r="J1196" s="4" t="s">
        <v>186</v>
      </c>
      <c r="K1196" s="4" t="s">
        <v>145</v>
      </c>
      <c r="L1196" s="4" t="s">
        <v>4176</v>
      </c>
      <c r="M1196" s="4" t="s">
        <v>2068</v>
      </c>
      <c r="N1196" s="4" t="s">
        <v>156</v>
      </c>
      <c r="O1196" s="4" t="s">
        <v>120</v>
      </c>
      <c r="P1196" s="4" t="s">
        <v>868</v>
      </c>
    </row>
    <row r="1197" spans="1:16" ht="15">
      <c r="A1197" s="4" t="s">
        <v>2069</v>
      </c>
      <c r="B1197" s="30">
        <v>39916</v>
      </c>
      <c r="C1197" s="4"/>
      <c r="D1197" s="4" t="s">
        <v>4179</v>
      </c>
      <c r="E1197" s="4" t="s">
        <v>170</v>
      </c>
      <c r="F1197" s="4" t="s">
        <v>155</v>
      </c>
      <c r="G1197" s="4"/>
      <c r="H1197" s="4"/>
      <c r="I1197" s="4" t="s">
        <v>139</v>
      </c>
      <c r="J1197" s="4" t="s">
        <v>509</v>
      </c>
      <c r="K1197" s="4" t="s">
        <v>148</v>
      </c>
      <c r="L1197" s="4" t="s">
        <v>4176</v>
      </c>
      <c r="M1197" s="4" t="s">
        <v>174</v>
      </c>
      <c r="N1197" s="4" t="s">
        <v>157</v>
      </c>
      <c r="O1197" s="4" t="s">
        <v>434</v>
      </c>
      <c r="P1197" s="4" t="s">
        <v>2070</v>
      </c>
    </row>
    <row r="1198" spans="1:16" ht="15">
      <c r="A1198" s="4" t="s">
        <v>2071</v>
      </c>
      <c r="B1198" s="30">
        <v>39971</v>
      </c>
      <c r="C1198" s="4"/>
      <c r="D1198" s="4" t="s">
        <v>195</v>
      </c>
      <c r="E1198" s="4" t="s">
        <v>170</v>
      </c>
      <c r="F1198" s="4" t="s">
        <v>155</v>
      </c>
      <c r="G1198" s="4"/>
      <c r="H1198" s="4"/>
      <c r="I1198" s="4" t="s">
        <v>139</v>
      </c>
      <c r="J1198" s="4" t="s">
        <v>182</v>
      </c>
      <c r="K1198" s="4" t="s">
        <v>145</v>
      </c>
      <c r="L1198" s="4" t="s">
        <v>4181</v>
      </c>
      <c r="M1198" s="4" t="s">
        <v>173</v>
      </c>
      <c r="N1198" s="4" t="s">
        <v>155</v>
      </c>
      <c r="O1198" s="4" t="s">
        <v>454</v>
      </c>
      <c r="P1198" s="4"/>
    </row>
    <row r="1199" spans="1:16" ht="15">
      <c r="A1199" s="4" t="s">
        <v>2072</v>
      </c>
      <c r="B1199" s="30">
        <v>39978</v>
      </c>
      <c r="C1199" s="4"/>
      <c r="D1199" s="4" t="s">
        <v>193</v>
      </c>
      <c r="E1199" s="4" t="s">
        <v>170</v>
      </c>
      <c r="F1199" s="4" t="s">
        <v>155</v>
      </c>
      <c r="G1199" s="4"/>
      <c r="H1199" s="4"/>
      <c r="I1199" s="4" t="s">
        <v>140</v>
      </c>
      <c r="J1199" s="4" t="s">
        <v>181</v>
      </c>
      <c r="K1199" s="4" t="s">
        <v>145</v>
      </c>
      <c r="L1199" s="4" t="s">
        <v>165</v>
      </c>
      <c r="M1199" s="4" t="s">
        <v>589</v>
      </c>
      <c r="N1199" s="4" t="s">
        <v>158</v>
      </c>
      <c r="O1199" s="4" t="s">
        <v>122</v>
      </c>
      <c r="P1199" s="4"/>
    </row>
    <row r="1200" spans="1:16" ht="15">
      <c r="A1200" s="4" t="s">
        <v>2073</v>
      </c>
      <c r="B1200" s="30">
        <v>39975</v>
      </c>
      <c r="C1200" s="4" t="s">
        <v>383</v>
      </c>
      <c r="D1200" s="4" t="s">
        <v>193</v>
      </c>
      <c r="E1200" s="4" t="s">
        <v>170</v>
      </c>
      <c r="F1200" s="4" t="s">
        <v>155</v>
      </c>
      <c r="G1200" s="4"/>
      <c r="H1200" s="4"/>
      <c r="I1200" s="4" t="s">
        <v>140</v>
      </c>
      <c r="J1200" s="4" t="s">
        <v>186</v>
      </c>
      <c r="K1200" s="4" t="s">
        <v>143</v>
      </c>
      <c r="L1200" s="4" t="s">
        <v>4176</v>
      </c>
      <c r="M1200" s="4" t="s">
        <v>174</v>
      </c>
      <c r="N1200" s="4" t="s">
        <v>157</v>
      </c>
      <c r="O1200" s="4" t="s">
        <v>130</v>
      </c>
      <c r="P1200" s="4" t="s">
        <v>437</v>
      </c>
    </row>
    <row r="1201" spans="1:16" ht="15">
      <c r="A1201" s="4" t="s">
        <v>2074</v>
      </c>
      <c r="B1201" s="30">
        <v>40009</v>
      </c>
      <c r="C1201" s="4"/>
      <c r="D1201" s="4" t="s">
        <v>194</v>
      </c>
      <c r="E1201" s="4" t="s">
        <v>170</v>
      </c>
      <c r="F1201" s="4" t="s">
        <v>155</v>
      </c>
      <c r="G1201" s="4">
        <v>4</v>
      </c>
      <c r="H1201" s="4">
        <v>5</v>
      </c>
      <c r="I1201" s="4" t="s">
        <v>139</v>
      </c>
      <c r="J1201" s="4" t="s">
        <v>181</v>
      </c>
      <c r="K1201" s="4" t="s">
        <v>142</v>
      </c>
      <c r="L1201" s="4" t="s">
        <v>162</v>
      </c>
      <c r="M1201" s="4" t="s">
        <v>175</v>
      </c>
      <c r="N1201" s="4" t="s">
        <v>155</v>
      </c>
      <c r="O1201" s="4" t="s">
        <v>130</v>
      </c>
      <c r="P1201" s="4"/>
    </row>
    <row r="1202" spans="1:16" ht="15">
      <c r="A1202" s="4" t="s">
        <v>2075</v>
      </c>
      <c r="B1202" s="30">
        <v>40019</v>
      </c>
      <c r="C1202" s="4"/>
      <c r="D1202" s="4" t="s">
        <v>193</v>
      </c>
      <c r="E1202" s="4" t="s">
        <v>170</v>
      </c>
      <c r="F1202" s="4" t="s">
        <v>155</v>
      </c>
      <c r="G1202" s="4">
        <v>5</v>
      </c>
      <c r="H1202" s="4">
        <v>5</v>
      </c>
      <c r="I1202" s="4" t="s">
        <v>140</v>
      </c>
      <c r="J1202" s="4" t="s">
        <v>181</v>
      </c>
      <c r="K1202" s="4" t="s">
        <v>151</v>
      </c>
      <c r="L1202" s="4" t="s">
        <v>4176</v>
      </c>
      <c r="M1202" s="4" t="s">
        <v>174</v>
      </c>
      <c r="N1202" s="4" t="s">
        <v>159</v>
      </c>
      <c r="O1202" s="4" t="s">
        <v>123</v>
      </c>
      <c r="P1202" s="4" t="s">
        <v>123</v>
      </c>
    </row>
    <row r="1203" spans="1:16" ht="15">
      <c r="A1203" s="4" t="s">
        <v>2076</v>
      </c>
      <c r="B1203" s="30">
        <v>40008</v>
      </c>
      <c r="C1203" s="4"/>
      <c r="D1203" s="4" t="s">
        <v>194</v>
      </c>
      <c r="E1203" s="4" t="s">
        <v>170</v>
      </c>
      <c r="F1203" s="4" t="s">
        <v>155</v>
      </c>
      <c r="G1203" s="4">
        <v>5</v>
      </c>
      <c r="H1203" s="4">
        <v>5</v>
      </c>
      <c r="I1203" s="4" t="s">
        <v>139</v>
      </c>
      <c r="J1203" s="4" t="s">
        <v>181</v>
      </c>
      <c r="K1203" s="4" t="s">
        <v>145</v>
      </c>
      <c r="L1203" s="4" t="s">
        <v>4176</v>
      </c>
      <c r="M1203" s="4" t="s">
        <v>174</v>
      </c>
      <c r="N1203" s="4" t="s">
        <v>156</v>
      </c>
      <c r="O1203" s="4" t="s">
        <v>120</v>
      </c>
      <c r="P1203" s="4" t="s">
        <v>425</v>
      </c>
    </row>
    <row r="1204" spans="1:16" ht="15">
      <c r="A1204" s="4" t="s">
        <v>2077</v>
      </c>
      <c r="B1204" s="30">
        <v>39925</v>
      </c>
      <c r="C1204" s="4" t="s">
        <v>570</v>
      </c>
      <c r="D1204" s="4" t="s">
        <v>4182</v>
      </c>
      <c r="E1204" s="4" t="s">
        <v>170</v>
      </c>
      <c r="F1204" s="4" t="s">
        <v>155</v>
      </c>
      <c r="G1204" s="4"/>
      <c r="H1204" s="4"/>
      <c r="I1204" s="4" t="s">
        <v>139</v>
      </c>
      <c r="J1204" s="4" t="s">
        <v>183</v>
      </c>
      <c r="K1204" s="4" t="s">
        <v>143</v>
      </c>
      <c r="L1204" s="4" t="s">
        <v>162</v>
      </c>
      <c r="M1204" s="4" t="s">
        <v>175</v>
      </c>
      <c r="N1204" s="4" t="s">
        <v>155</v>
      </c>
      <c r="O1204" s="4" t="s">
        <v>387</v>
      </c>
      <c r="P1204" s="4"/>
    </row>
    <row r="1205" spans="1:16" ht="15">
      <c r="A1205" s="4" t="s">
        <v>2078</v>
      </c>
      <c r="B1205" s="30">
        <v>40060</v>
      </c>
      <c r="C1205" s="4"/>
      <c r="D1205" s="4" t="s">
        <v>196</v>
      </c>
      <c r="E1205" s="4" t="s">
        <v>170</v>
      </c>
      <c r="F1205" s="4" t="s">
        <v>155</v>
      </c>
      <c r="G1205" s="4">
        <v>5</v>
      </c>
      <c r="H1205" s="4">
        <v>5</v>
      </c>
      <c r="I1205" s="4" t="s">
        <v>139</v>
      </c>
      <c r="J1205" s="4" t="s">
        <v>183</v>
      </c>
      <c r="K1205" s="4" t="s">
        <v>146</v>
      </c>
      <c r="L1205" s="4" t="s">
        <v>165</v>
      </c>
      <c r="M1205" s="4" t="s">
        <v>2079</v>
      </c>
      <c r="N1205" s="4" t="s">
        <v>158</v>
      </c>
      <c r="O1205" s="4" t="s">
        <v>122</v>
      </c>
      <c r="P1205" s="4"/>
    </row>
    <row r="1206" spans="1:16" ht="15">
      <c r="A1206" s="4" t="s">
        <v>2080</v>
      </c>
      <c r="B1206" s="30">
        <v>40010</v>
      </c>
      <c r="C1206" s="4"/>
      <c r="D1206" s="4" t="s">
        <v>193</v>
      </c>
      <c r="E1206" s="4" t="s">
        <v>170</v>
      </c>
      <c r="F1206" s="4" t="s">
        <v>155</v>
      </c>
      <c r="G1206" s="4">
        <v>3</v>
      </c>
      <c r="H1206" s="4">
        <v>2</v>
      </c>
      <c r="I1206" s="4" t="s">
        <v>140</v>
      </c>
      <c r="J1206" s="4" t="s">
        <v>183</v>
      </c>
      <c r="K1206" s="4" t="s">
        <v>145</v>
      </c>
      <c r="L1206" s="4" t="s">
        <v>162</v>
      </c>
      <c r="M1206" s="4" t="s">
        <v>2081</v>
      </c>
      <c r="N1206" s="4" t="s">
        <v>155</v>
      </c>
      <c r="O1206" s="4" t="s">
        <v>129</v>
      </c>
      <c r="P1206" s="4"/>
    </row>
    <row r="1207" spans="1:16" ht="15">
      <c r="A1207" s="4" t="s">
        <v>2082</v>
      </c>
      <c r="B1207" s="30">
        <v>40025</v>
      </c>
      <c r="C1207" s="4"/>
      <c r="D1207" s="4" t="s">
        <v>195</v>
      </c>
      <c r="E1207" s="4" t="s">
        <v>170</v>
      </c>
      <c r="F1207" s="4" t="s">
        <v>155</v>
      </c>
      <c r="G1207" s="4">
        <v>5</v>
      </c>
      <c r="H1207" s="4">
        <v>5</v>
      </c>
      <c r="I1207" s="4" t="s">
        <v>139</v>
      </c>
      <c r="J1207" s="4" t="s">
        <v>183</v>
      </c>
      <c r="K1207" s="4" t="s">
        <v>144</v>
      </c>
      <c r="L1207" s="4" t="s">
        <v>4181</v>
      </c>
      <c r="M1207" s="4" t="s">
        <v>173</v>
      </c>
      <c r="N1207" s="4" t="s">
        <v>155</v>
      </c>
      <c r="O1207" s="4" t="s">
        <v>510</v>
      </c>
      <c r="P1207" s="4"/>
    </row>
    <row r="1208" spans="1:16" ht="15">
      <c r="A1208" s="4" t="s">
        <v>2083</v>
      </c>
      <c r="B1208" s="30">
        <v>39931</v>
      </c>
      <c r="C1208" s="4" t="s">
        <v>380</v>
      </c>
      <c r="D1208" s="4" t="s">
        <v>4179</v>
      </c>
      <c r="E1208" s="4" t="s">
        <v>170</v>
      </c>
      <c r="F1208" s="4" t="s">
        <v>155</v>
      </c>
      <c r="G1208" s="4"/>
      <c r="H1208" s="4"/>
      <c r="I1208" s="4" t="s">
        <v>139</v>
      </c>
      <c r="J1208" s="4" t="s">
        <v>178</v>
      </c>
      <c r="K1208" s="4" t="s">
        <v>147</v>
      </c>
      <c r="L1208" s="4" t="s">
        <v>4181</v>
      </c>
      <c r="M1208" s="4" t="s">
        <v>173</v>
      </c>
      <c r="N1208" s="4" t="s">
        <v>155</v>
      </c>
      <c r="O1208" s="4" t="s">
        <v>125</v>
      </c>
      <c r="P1208" s="4"/>
    </row>
    <row r="1209" spans="1:16" ht="15">
      <c r="A1209" s="4" t="s">
        <v>2084</v>
      </c>
      <c r="B1209" s="30">
        <v>39965</v>
      </c>
      <c r="C1209" s="4"/>
      <c r="D1209" s="4" t="s">
        <v>194</v>
      </c>
      <c r="E1209" s="4" t="s">
        <v>170</v>
      </c>
      <c r="F1209" s="4" t="s">
        <v>155</v>
      </c>
      <c r="G1209" s="4"/>
      <c r="H1209" s="4"/>
      <c r="I1209" s="4" t="s">
        <v>139</v>
      </c>
      <c r="J1209" s="4" t="s">
        <v>184</v>
      </c>
      <c r="K1209" s="4" t="s">
        <v>148</v>
      </c>
      <c r="L1209" s="4" t="s">
        <v>4181</v>
      </c>
      <c r="M1209" s="4" t="s">
        <v>173</v>
      </c>
      <c r="N1209" s="4" t="s">
        <v>155</v>
      </c>
      <c r="O1209" s="4" t="s">
        <v>124</v>
      </c>
      <c r="P1209" s="4"/>
    </row>
    <row r="1210" spans="1:16" ht="15">
      <c r="A1210" s="4" t="s">
        <v>2085</v>
      </c>
      <c r="B1210" s="30">
        <v>39946</v>
      </c>
      <c r="C1210" s="4"/>
      <c r="D1210" s="4" t="s">
        <v>193</v>
      </c>
      <c r="E1210" s="4" t="s">
        <v>170</v>
      </c>
      <c r="F1210" s="4" t="s">
        <v>155</v>
      </c>
      <c r="G1210" s="4"/>
      <c r="H1210" s="4"/>
      <c r="I1210" s="4" t="s">
        <v>140</v>
      </c>
      <c r="J1210" s="4" t="s">
        <v>184</v>
      </c>
      <c r="K1210" s="4" t="s">
        <v>142</v>
      </c>
      <c r="L1210" s="4" t="s">
        <v>162</v>
      </c>
      <c r="M1210" s="4" t="s">
        <v>176</v>
      </c>
      <c r="N1210" s="4" t="s">
        <v>155</v>
      </c>
      <c r="O1210" s="4" t="s">
        <v>127</v>
      </c>
      <c r="P1210" s="4"/>
    </row>
    <row r="1211" spans="1:16" ht="15">
      <c r="A1211" s="4" t="s">
        <v>2086</v>
      </c>
      <c r="B1211" s="30">
        <v>39981</v>
      </c>
      <c r="C1211" s="4" t="s">
        <v>9</v>
      </c>
      <c r="D1211" s="4" t="s">
        <v>195</v>
      </c>
      <c r="E1211" s="4" t="s">
        <v>170</v>
      </c>
      <c r="F1211" s="4" t="s">
        <v>155</v>
      </c>
      <c r="G1211" s="4"/>
      <c r="H1211" s="4"/>
      <c r="I1211" s="4" t="s">
        <v>139</v>
      </c>
      <c r="J1211" s="4" t="s">
        <v>184</v>
      </c>
      <c r="K1211" s="4" t="s">
        <v>149</v>
      </c>
      <c r="L1211" s="4" t="s">
        <v>4176</v>
      </c>
      <c r="M1211" s="4" t="s">
        <v>498</v>
      </c>
      <c r="N1211" s="4" t="s">
        <v>156</v>
      </c>
      <c r="O1211" s="4" t="s">
        <v>120</v>
      </c>
      <c r="P1211" s="4" t="s">
        <v>1534</v>
      </c>
    </row>
    <row r="1212" spans="1:16" ht="15">
      <c r="A1212" s="4" t="s">
        <v>2087</v>
      </c>
      <c r="B1212" s="30">
        <v>40055</v>
      </c>
      <c r="C1212" s="4"/>
      <c r="D1212" s="4" t="s">
        <v>193</v>
      </c>
      <c r="E1212" s="4" t="s">
        <v>170</v>
      </c>
      <c r="F1212" s="4" t="s">
        <v>155</v>
      </c>
      <c r="G1212" s="4">
        <v>5</v>
      </c>
      <c r="H1212" s="4">
        <v>3</v>
      </c>
      <c r="I1212" s="4" t="s">
        <v>140</v>
      </c>
      <c r="J1212" s="4" t="s">
        <v>184</v>
      </c>
      <c r="K1212" s="4" t="s">
        <v>144</v>
      </c>
      <c r="L1212" s="4" t="s">
        <v>162</v>
      </c>
      <c r="M1212" s="4" t="s">
        <v>429</v>
      </c>
      <c r="N1212" s="4" t="s">
        <v>155</v>
      </c>
      <c r="O1212" s="4" t="s">
        <v>129</v>
      </c>
      <c r="P1212" s="4"/>
    </row>
    <row r="1213" spans="1:16" ht="15">
      <c r="A1213" s="4" t="s">
        <v>2088</v>
      </c>
      <c r="B1213" s="30">
        <v>40074</v>
      </c>
      <c r="C1213" s="4"/>
      <c r="D1213" s="4" t="s">
        <v>195</v>
      </c>
      <c r="E1213" s="4" t="s">
        <v>170</v>
      </c>
      <c r="F1213" s="4" t="s">
        <v>155</v>
      </c>
      <c r="G1213" s="4">
        <v>5</v>
      </c>
      <c r="H1213" s="4">
        <v>5</v>
      </c>
      <c r="I1213" s="4" t="s">
        <v>139</v>
      </c>
      <c r="J1213" s="4" t="s">
        <v>184</v>
      </c>
      <c r="K1213" s="4" t="s">
        <v>146</v>
      </c>
      <c r="L1213" s="4" t="s">
        <v>4181</v>
      </c>
      <c r="M1213" s="4" t="s">
        <v>173</v>
      </c>
      <c r="N1213" s="4" t="s">
        <v>155</v>
      </c>
      <c r="O1213" s="4" t="s">
        <v>510</v>
      </c>
      <c r="P1213" s="4"/>
    </row>
    <row r="1214" spans="1:16" ht="15">
      <c r="A1214" s="4" t="s">
        <v>2089</v>
      </c>
      <c r="B1214" s="30">
        <v>40006</v>
      </c>
      <c r="C1214" s="4"/>
      <c r="D1214" s="4" t="s">
        <v>196</v>
      </c>
      <c r="E1214" s="4" t="s">
        <v>170</v>
      </c>
      <c r="F1214" s="4" t="s">
        <v>155</v>
      </c>
      <c r="G1214" s="4">
        <v>5</v>
      </c>
      <c r="H1214" s="4">
        <v>5</v>
      </c>
      <c r="I1214" s="4" t="s">
        <v>139</v>
      </c>
      <c r="J1214" s="4" t="s">
        <v>187</v>
      </c>
      <c r="K1214" s="4" t="s">
        <v>151</v>
      </c>
      <c r="L1214" s="4" t="s">
        <v>162</v>
      </c>
      <c r="M1214" s="4" t="s">
        <v>2090</v>
      </c>
      <c r="N1214" s="4" t="s">
        <v>155</v>
      </c>
      <c r="O1214" s="4" t="s">
        <v>130</v>
      </c>
      <c r="P1214" s="4"/>
    </row>
    <row r="1215" spans="1:16" ht="15">
      <c r="A1215" s="4" t="s">
        <v>2091</v>
      </c>
      <c r="B1215" s="30">
        <v>39968</v>
      </c>
      <c r="C1215" s="4"/>
      <c r="D1215" s="4" t="s">
        <v>193</v>
      </c>
      <c r="E1215" s="4" t="s">
        <v>170</v>
      </c>
      <c r="F1215" s="4" t="s">
        <v>155</v>
      </c>
      <c r="G1215" s="4"/>
      <c r="H1215" s="4"/>
      <c r="I1215" s="4" t="s">
        <v>140</v>
      </c>
      <c r="J1215" s="4" t="s">
        <v>187</v>
      </c>
      <c r="K1215" s="4" t="s">
        <v>144</v>
      </c>
      <c r="L1215" s="4" t="s">
        <v>4176</v>
      </c>
      <c r="M1215" s="4" t="s">
        <v>1797</v>
      </c>
      <c r="N1215" s="4" t="s">
        <v>157</v>
      </c>
      <c r="O1215" s="4" t="s">
        <v>127</v>
      </c>
      <c r="P1215" s="4" t="s">
        <v>153</v>
      </c>
    </row>
    <row r="1216" spans="1:16" ht="15">
      <c r="A1216" s="4" t="s">
        <v>2092</v>
      </c>
      <c r="B1216" s="30">
        <v>39966</v>
      </c>
      <c r="C1216" s="4" t="s">
        <v>380</v>
      </c>
      <c r="D1216" s="4" t="s">
        <v>194</v>
      </c>
      <c r="E1216" s="4" t="s">
        <v>170</v>
      </c>
      <c r="F1216" s="4" t="s">
        <v>155</v>
      </c>
      <c r="G1216" s="4"/>
      <c r="H1216" s="4"/>
      <c r="I1216" s="4" t="s">
        <v>139</v>
      </c>
      <c r="J1216" s="4" t="s">
        <v>178</v>
      </c>
      <c r="K1216" s="4" t="s">
        <v>145</v>
      </c>
      <c r="L1216" s="4" t="s">
        <v>4181</v>
      </c>
      <c r="M1216" s="4"/>
      <c r="N1216" s="4" t="s">
        <v>155</v>
      </c>
      <c r="O1216" s="4" t="s">
        <v>124</v>
      </c>
      <c r="P1216" s="4"/>
    </row>
    <row r="1217" spans="1:16" ht="15">
      <c r="A1217" s="4" t="s">
        <v>2093</v>
      </c>
      <c r="B1217" s="30">
        <v>40041</v>
      </c>
      <c r="C1217" s="4" t="s">
        <v>496</v>
      </c>
      <c r="D1217" s="4" t="s">
        <v>193</v>
      </c>
      <c r="E1217" s="4" t="s">
        <v>170</v>
      </c>
      <c r="F1217" s="4" t="s">
        <v>155</v>
      </c>
      <c r="G1217" s="4">
        <v>5</v>
      </c>
      <c r="H1217" s="4">
        <v>5</v>
      </c>
      <c r="I1217" s="4" t="s">
        <v>140</v>
      </c>
      <c r="J1217" s="4" t="s">
        <v>181</v>
      </c>
      <c r="K1217" s="4" t="s">
        <v>142</v>
      </c>
      <c r="L1217" s="4" t="s">
        <v>4176</v>
      </c>
      <c r="M1217" s="4" t="s">
        <v>1797</v>
      </c>
      <c r="N1217" s="4" t="s">
        <v>159</v>
      </c>
      <c r="O1217" s="4" t="s">
        <v>123</v>
      </c>
      <c r="P1217" s="4" t="s">
        <v>123</v>
      </c>
    </row>
    <row r="1218" spans="1:16" ht="15">
      <c r="A1218" s="4" t="s">
        <v>2094</v>
      </c>
      <c r="B1218" s="30">
        <v>39965</v>
      </c>
      <c r="C1218" s="4"/>
      <c r="D1218" s="4" t="s">
        <v>193</v>
      </c>
      <c r="E1218" s="4" t="s">
        <v>170</v>
      </c>
      <c r="F1218" s="4" t="s">
        <v>155</v>
      </c>
      <c r="G1218" s="4"/>
      <c r="H1218" s="4"/>
      <c r="I1218" s="4" t="s">
        <v>140</v>
      </c>
      <c r="J1218" s="4" t="s">
        <v>178</v>
      </c>
      <c r="K1218" s="4" t="s">
        <v>145</v>
      </c>
      <c r="L1218" s="4" t="s">
        <v>4181</v>
      </c>
      <c r="M1218" s="4" t="s">
        <v>173</v>
      </c>
      <c r="N1218" s="4" t="s">
        <v>155</v>
      </c>
      <c r="O1218" s="4" t="s">
        <v>125</v>
      </c>
      <c r="P1218" s="4"/>
    </row>
    <row r="1219" spans="1:16" ht="15">
      <c r="A1219" s="4" t="s">
        <v>2095</v>
      </c>
      <c r="B1219" s="30">
        <v>39933</v>
      </c>
      <c r="C1219" s="4"/>
      <c r="D1219" s="4" t="s">
        <v>4178</v>
      </c>
      <c r="E1219" s="4" t="s">
        <v>170</v>
      </c>
      <c r="F1219" s="4" t="s">
        <v>155</v>
      </c>
      <c r="G1219" s="4"/>
      <c r="H1219" s="4"/>
      <c r="I1219" s="4" t="s">
        <v>139</v>
      </c>
      <c r="J1219" s="4" t="s">
        <v>184</v>
      </c>
      <c r="K1219" s="4" t="s">
        <v>142</v>
      </c>
      <c r="L1219" s="4" t="s">
        <v>4181</v>
      </c>
      <c r="M1219" s="4" t="s">
        <v>173</v>
      </c>
      <c r="N1219" s="4" t="s">
        <v>155</v>
      </c>
      <c r="O1219" s="4" t="s">
        <v>125</v>
      </c>
      <c r="P1219" s="4"/>
    </row>
    <row r="1220" spans="1:16" ht="15">
      <c r="A1220" s="4" t="s">
        <v>2096</v>
      </c>
      <c r="B1220" s="30">
        <v>39972</v>
      </c>
      <c r="C1220" s="4" t="s">
        <v>380</v>
      </c>
      <c r="D1220" s="4" t="s">
        <v>194</v>
      </c>
      <c r="E1220" s="4" t="s">
        <v>170</v>
      </c>
      <c r="F1220" s="4" t="s">
        <v>155</v>
      </c>
      <c r="G1220" s="4"/>
      <c r="H1220" s="4"/>
      <c r="I1220" s="4" t="s">
        <v>139</v>
      </c>
      <c r="J1220" s="4" t="s">
        <v>182</v>
      </c>
      <c r="K1220" s="4" t="s">
        <v>149</v>
      </c>
      <c r="L1220" s="4" t="s">
        <v>162</v>
      </c>
      <c r="M1220" s="4" t="s">
        <v>2097</v>
      </c>
      <c r="N1220" s="4" t="s">
        <v>155</v>
      </c>
      <c r="O1220" s="4" t="s">
        <v>130</v>
      </c>
      <c r="P1220" s="4"/>
    </row>
    <row r="1221" spans="1:16" ht="15">
      <c r="A1221" s="4" t="s">
        <v>2098</v>
      </c>
      <c r="B1221" s="30">
        <v>39926</v>
      </c>
      <c r="C1221" s="4"/>
      <c r="D1221" s="4" t="s">
        <v>4182</v>
      </c>
      <c r="E1221" s="4" t="s">
        <v>170</v>
      </c>
      <c r="F1221" s="4" t="s">
        <v>155</v>
      </c>
      <c r="G1221" s="4"/>
      <c r="H1221" s="4"/>
      <c r="I1221" s="4" t="s">
        <v>139</v>
      </c>
      <c r="J1221" s="4" t="s">
        <v>182</v>
      </c>
      <c r="K1221" s="4" t="s">
        <v>142</v>
      </c>
      <c r="L1221" s="4" t="s">
        <v>4181</v>
      </c>
      <c r="M1221" s="4" t="s">
        <v>173</v>
      </c>
      <c r="N1221" s="4" t="s">
        <v>155</v>
      </c>
      <c r="O1221" s="4" t="s">
        <v>406</v>
      </c>
      <c r="P1221" s="4"/>
    </row>
    <row r="1222" spans="1:16" ht="15">
      <c r="A1222" s="4" t="s">
        <v>2099</v>
      </c>
      <c r="B1222" s="30">
        <v>39920</v>
      </c>
      <c r="C1222" s="4" t="s">
        <v>380</v>
      </c>
      <c r="D1222" s="4" t="s">
        <v>4179</v>
      </c>
      <c r="E1222" s="4" t="s">
        <v>170</v>
      </c>
      <c r="F1222" s="4" t="s">
        <v>155</v>
      </c>
      <c r="G1222" s="4"/>
      <c r="H1222" s="4"/>
      <c r="I1222" s="4" t="s">
        <v>139</v>
      </c>
      <c r="J1222" s="4" t="s">
        <v>184</v>
      </c>
      <c r="K1222" s="4" t="s">
        <v>148</v>
      </c>
      <c r="L1222" s="4" t="s">
        <v>4176</v>
      </c>
      <c r="M1222" s="4" t="s">
        <v>174</v>
      </c>
      <c r="N1222" s="4" t="s">
        <v>156</v>
      </c>
      <c r="O1222" s="4" t="s">
        <v>120</v>
      </c>
      <c r="P1222" s="4" t="s">
        <v>715</v>
      </c>
    </row>
    <row r="1223" spans="1:16" ht="15">
      <c r="A1223" s="4" t="s">
        <v>2100</v>
      </c>
      <c r="B1223" s="30">
        <v>39907</v>
      </c>
      <c r="C1223" s="4"/>
      <c r="D1223" s="4" t="s">
        <v>4185</v>
      </c>
      <c r="E1223" s="4" t="s">
        <v>170</v>
      </c>
      <c r="F1223" s="4" t="s">
        <v>155</v>
      </c>
      <c r="G1223" s="4"/>
      <c r="H1223" s="4"/>
      <c r="I1223" s="4" t="s">
        <v>139</v>
      </c>
      <c r="J1223" s="4" t="s">
        <v>182</v>
      </c>
      <c r="K1223" s="4" t="s">
        <v>142</v>
      </c>
      <c r="L1223" s="4" t="s">
        <v>165</v>
      </c>
      <c r="M1223" s="4"/>
      <c r="N1223" s="4" t="s">
        <v>158</v>
      </c>
      <c r="O1223" s="4" t="s">
        <v>122</v>
      </c>
      <c r="P1223" s="4"/>
    </row>
    <row r="1224" spans="1:16" ht="15">
      <c r="A1224" s="4" t="s">
        <v>2101</v>
      </c>
      <c r="B1224" s="30">
        <v>39965</v>
      </c>
      <c r="C1224" s="4"/>
      <c r="D1224" s="4" t="s">
        <v>193</v>
      </c>
      <c r="E1224" s="4" t="s">
        <v>170</v>
      </c>
      <c r="F1224" s="4" t="s">
        <v>155</v>
      </c>
      <c r="G1224" s="4"/>
      <c r="H1224" s="4"/>
      <c r="I1224" s="4" t="s">
        <v>140</v>
      </c>
      <c r="J1224" s="4" t="s">
        <v>178</v>
      </c>
      <c r="K1224" s="4" t="s">
        <v>144</v>
      </c>
      <c r="L1224" s="4" t="s">
        <v>4181</v>
      </c>
      <c r="M1224" s="4" t="s">
        <v>173</v>
      </c>
      <c r="N1224" s="4" t="s">
        <v>155</v>
      </c>
      <c r="O1224" s="4" t="s">
        <v>125</v>
      </c>
      <c r="P1224" s="4"/>
    </row>
    <row r="1225" spans="1:16" ht="15">
      <c r="A1225" s="4" t="s">
        <v>2102</v>
      </c>
      <c r="B1225" s="30">
        <v>39971</v>
      </c>
      <c r="C1225" s="4" t="s">
        <v>380</v>
      </c>
      <c r="D1225" s="4" t="s">
        <v>193</v>
      </c>
      <c r="E1225" s="4" t="s">
        <v>170</v>
      </c>
      <c r="F1225" s="4" t="s">
        <v>155</v>
      </c>
      <c r="G1225" s="4"/>
      <c r="H1225" s="4"/>
      <c r="I1225" s="4" t="s">
        <v>140</v>
      </c>
      <c r="J1225" s="4" t="s">
        <v>178</v>
      </c>
      <c r="K1225" s="4" t="s">
        <v>143</v>
      </c>
      <c r="L1225" s="4" t="s">
        <v>162</v>
      </c>
      <c r="M1225" s="4" t="s">
        <v>176</v>
      </c>
      <c r="N1225" s="4" t="s">
        <v>155</v>
      </c>
      <c r="O1225" s="4" t="s">
        <v>130</v>
      </c>
      <c r="P1225" s="4"/>
    </row>
    <row r="1226" spans="1:16" ht="15">
      <c r="A1226" s="4" t="s">
        <v>2103</v>
      </c>
      <c r="B1226" s="30">
        <v>40037</v>
      </c>
      <c r="C1226" s="4" t="s">
        <v>9</v>
      </c>
      <c r="D1226" s="4" t="s">
        <v>197</v>
      </c>
      <c r="E1226" s="4" t="s">
        <v>170</v>
      </c>
      <c r="F1226" s="4" t="s">
        <v>155</v>
      </c>
      <c r="G1226" s="4">
        <v>5</v>
      </c>
      <c r="H1226" s="4">
        <v>5</v>
      </c>
      <c r="I1226" s="4" t="s">
        <v>139</v>
      </c>
      <c r="J1226" s="4" t="s">
        <v>191</v>
      </c>
      <c r="K1226" s="4" t="s">
        <v>146</v>
      </c>
      <c r="L1226" s="4" t="s">
        <v>4176</v>
      </c>
      <c r="M1226" s="4" t="s">
        <v>619</v>
      </c>
      <c r="N1226" s="4" t="s">
        <v>156</v>
      </c>
      <c r="O1226" s="4" t="s">
        <v>120</v>
      </c>
      <c r="P1226" s="4" t="s">
        <v>649</v>
      </c>
    </row>
    <row r="1227" spans="1:16" ht="15">
      <c r="A1227" s="4" t="s">
        <v>2104</v>
      </c>
      <c r="B1227" s="30">
        <v>39999</v>
      </c>
      <c r="C1227" s="4"/>
      <c r="D1227" s="4" t="s">
        <v>194</v>
      </c>
      <c r="E1227" s="4" t="s">
        <v>170</v>
      </c>
      <c r="F1227" s="4" t="s">
        <v>155</v>
      </c>
      <c r="G1227" s="4"/>
      <c r="H1227" s="4">
        <v>5</v>
      </c>
      <c r="I1227" s="4" t="s">
        <v>139</v>
      </c>
      <c r="J1227" s="4" t="s">
        <v>191</v>
      </c>
      <c r="K1227" s="4" t="s">
        <v>142</v>
      </c>
      <c r="L1227" s="4" t="s">
        <v>162</v>
      </c>
      <c r="M1227" s="4" t="s">
        <v>459</v>
      </c>
      <c r="N1227" s="4" t="s">
        <v>155</v>
      </c>
      <c r="O1227" s="4" t="s">
        <v>129</v>
      </c>
      <c r="P1227" s="4"/>
    </row>
    <row r="1228" spans="1:16" ht="15">
      <c r="A1228" s="4" t="s">
        <v>2105</v>
      </c>
      <c r="B1228" s="30">
        <v>40010</v>
      </c>
      <c r="C1228" s="4"/>
      <c r="D1228" s="4" t="s">
        <v>193</v>
      </c>
      <c r="E1228" s="4" t="s">
        <v>170</v>
      </c>
      <c r="F1228" s="4" t="s">
        <v>155</v>
      </c>
      <c r="G1228" s="4">
        <v>5</v>
      </c>
      <c r="H1228" s="4">
        <v>5</v>
      </c>
      <c r="I1228" s="4" t="s">
        <v>140</v>
      </c>
      <c r="J1228" s="4" t="s">
        <v>183</v>
      </c>
      <c r="K1228" s="4" t="s">
        <v>144</v>
      </c>
      <c r="L1228" s="4" t="s">
        <v>162</v>
      </c>
      <c r="M1228" s="4" t="s">
        <v>175</v>
      </c>
      <c r="N1228" s="4" t="s">
        <v>155</v>
      </c>
      <c r="O1228" s="4" t="s">
        <v>129</v>
      </c>
      <c r="P1228" s="4"/>
    </row>
    <row r="1229" spans="1:16" ht="15">
      <c r="A1229" s="4" t="s">
        <v>2106</v>
      </c>
      <c r="B1229" s="30">
        <v>39946</v>
      </c>
      <c r="C1229" s="4"/>
      <c r="D1229" s="4" t="s">
        <v>194</v>
      </c>
      <c r="E1229" s="4" t="s">
        <v>170</v>
      </c>
      <c r="F1229" s="4" t="s">
        <v>155</v>
      </c>
      <c r="G1229" s="4"/>
      <c r="H1229" s="4"/>
      <c r="I1229" s="4" t="s">
        <v>139</v>
      </c>
      <c r="J1229" s="4" t="s">
        <v>603</v>
      </c>
      <c r="K1229" s="4" t="s">
        <v>147</v>
      </c>
      <c r="L1229" s="4" t="s">
        <v>4181</v>
      </c>
      <c r="M1229" s="4" t="s">
        <v>173</v>
      </c>
      <c r="N1229" s="4" t="s">
        <v>155</v>
      </c>
      <c r="O1229" s="4" t="s">
        <v>125</v>
      </c>
      <c r="P1229" s="4"/>
    </row>
    <row r="1230" spans="1:16" ht="15">
      <c r="A1230" s="4" t="s">
        <v>2107</v>
      </c>
      <c r="B1230" s="30">
        <v>39942</v>
      </c>
      <c r="C1230" s="4"/>
      <c r="D1230" s="4" t="s">
        <v>194</v>
      </c>
      <c r="E1230" s="4" t="s">
        <v>170</v>
      </c>
      <c r="F1230" s="4" t="s">
        <v>155</v>
      </c>
      <c r="G1230" s="4"/>
      <c r="H1230" s="4"/>
      <c r="I1230" s="4" t="s">
        <v>139</v>
      </c>
      <c r="J1230" s="4" t="s">
        <v>179</v>
      </c>
      <c r="K1230" s="4" t="s">
        <v>150</v>
      </c>
      <c r="L1230" s="4" t="s">
        <v>4181</v>
      </c>
      <c r="M1230" s="4" t="s">
        <v>415</v>
      </c>
      <c r="N1230" s="4" t="s">
        <v>155</v>
      </c>
      <c r="O1230" s="4" t="s">
        <v>125</v>
      </c>
      <c r="P1230" s="4"/>
    </row>
    <row r="1231" spans="1:16" ht="15">
      <c r="A1231" s="4" t="s">
        <v>2108</v>
      </c>
      <c r="B1231" s="30">
        <v>40071</v>
      </c>
      <c r="C1231" s="4"/>
      <c r="D1231" s="4" t="s">
        <v>193</v>
      </c>
      <c r="E1231" s="4" t="s">
        <v>170</v>
      </c>
      <c r="F1231" s="4" t="s">
        <v>155</v>
      </c>
      <c r="G1231" s="4">
        <v>5</v>
      </c>
      <c r="H1231" s="4">
        <v>5</v>
      </c>
      <c r="I1231" s="4" t="s">
        <v>140</v>
      </c>
      <c r="J1231" s="4" t="s">
        <v>189</v>
      </c>
      <c r="K1231" s="4" t="s">
        <v>145</v>
      </c>
      <c r="L1231" s="4" t="s">
        <v>4176</v>
      </c>
      <c r="M1231" s="4" t="s">
        <v>578</v>
      </c>
      <c r="N1231" s="4" t="s">
        <v>157</v>
      </c>
      <c r="O1231" s="4" t="s">
        <v>127</v>
      </c>
      <c r="P1231" s="4" t="s">
        <v>153</v>
      </c>
    </row>
    <row r="1232" spans="1:16" ht="15">
      <c r="A1232" s="4" t="s">
        <v>2109</v>
      </c>
      <c r="B1232" s="30">
        <v>39969</v>
      </c>
      <c r="C1232" s="4"/>
      <c r="D1232" s="4" t="s">
        <v>194</v>
      </c>
      <c r="E1232" s="4" t="s">
        <v>170</v>
      </c>
      <c r="F1232" s="4" t="s">
        <v>155</v>
      </c>
      <c r="G1232" s="4"/>
      <c r="H1232" s="4"/>
      <c r="I1232" s="4" t="s">
        <v>139</v>
      </c>
      <c r="J1232" s="4" t="s">
        <v>603</v>
      </c>
      <c r="K1232" s="4" t="s">
        <v>144</v>
      </c>
      <c r="L1232" s="4" t="s">
        <v>4176</v>
      </c>
      <c r="M1232" s="4" t="s">
        <v>174</v>
      </c>
      <c r="N1232" s="4" t="s">
        <v>157</v>
      </c>
      <c r="O1232" s="4" t="s">
        <v>127</v>
      </c>
      <c r="P1232" s="4" t="s">
        <v>153</v>
      </c>
    </row>
    <row r="1233" spans="1:16" ht="15">
      <c r="A1233" s="4" t="s">
        <v>2110</v>
      </c>
      <c r="B1233" s="30">
        <v>39993</v>
      </c>
      <c r="C1233" s="4"/>
      <c r="D1233" s="4" t="s">
        <v>194</v>
      </c>
      <c r="E1233" s="4" t="s">
        <v>170</v>
      </c>
      <c r="F1233" s="4" t="s">
        <v>155</v>
      </c>
      <c r="G1233" s="4"/>
      <c r="H1233" s="4">
        <v>3</v>
      </c>
      <c r="I1233" s="4" t="s">
        <v>139</v>
      </c>
      <c r="J1233" s="4" t="s">
        <v>179</v>
      </c>
      <c r="K1233" s="4" t="s">
        <v>149</v>
      </c>
      <c r="L1233" s="4" t="s">
        <v>4181</v>
      </c>
      <c r="M1233" s="4" t="s">
        <v>173</v>
      </c>
      <c r="N1233" s="4" t="s">
        <v>155</v>
      </c>
      <c r="O1233" s="4" t="s">
        <v>130</v>
      </c>
      <c r="P1233" s="4"/>
    </row>
    <row r="1234" spans="1:16" ht="15">
      <c r="A1234" s="4" t="s">
        <v>2111</v>
      </c>
      <c r="B1234" s="30">
        <v>39972</v>
      </c>
      <c r="C1234" s="4"/>
      <c r="D1234" s="4" t="s">
        <v>194</v>
      </c>
      <c r="E1234" s="4" t="s">
        <v>170</v>
      </c>
      <c r="F1234" s="4" t="s">
        <v>155</v>
      </c>
      <c r="G1234" s="4"/>
      <c r="H1234" s="4"/>
      <c r="I1234" s="4" t="s">
        <v>139</v>
      </c>
      <c r="J1234" s="4" t="s">
        <v>179</v>
      </c>
      <c r="K1234" s="4" t="s">
        <v>148</v>
      </c>
      <c r="L1234" s="4" t="s">
        <v>4181</v>
      </c>
      <c r="M1234" s="4" t="s">
        <v>173</v>
      </c>
      <c r="N1234" s="4" t="s">
        <v>155</v>
      </c>
      <c r="O1234" s="4" t="s">
        <v>125</v>
      </c>
      <c r="P1234" s="4"/>
    </row>
    <row r="1235" spans="1:16" ht="15">
      <c r="A1235" s="4" t="s">
        <v>2112</v>
      </c>
      <c r="B1235" s="30">
        <v>40005</v>
      </c>
      <c r="C1235" s="4"/>
      <c r="D1235" s="4" t="s">
        <v>193</v>
      </c>
      <c r="E1235" s="4" t="s">
        <v>170</v>
      </c>
      <c r="F1235" s="4" t="s">
        <v>155</v>
      </c>
      <c r="G1235" s="4">
        <v>5</v>
      </c>
      <c r="H1235" s="4">
        <v>5</v>
      </c>
      <c r="I1235" s="4" t="s">
        <v>140</v>
      </c>
      <c r="J1235" s="4" t="s">
        <v>409</v>
      </c>
      <c r="K1235" s="4" t="s">
        <v>143</v>
      </c>
      <c r="L1235" s="4" t="s">
        <v>4181</v>
      </c>
      <c r="M1235" s="4" t="s">
        <v>173</v>
      </c>
      <c r="N1235" s="4" t="s">
        <v>155</v>
      </c>
      <c r="O1235" s="4" t="s">
        <v>125</v>
      </c>
      <c r="P1235" s="4"/>
    </row>
    <row r="1236" spans="1:16" ht="15">
      <c r="A1236" s="4" t="s">
        <v>2113</v>
      </c>
      <c r="B1236" s="30">
        <v>39958</v>
      </c>
      <c r="C1236" s="4" t="s">
        <v>9</v>
      </c>
      <c r="D1236" s="4" t="s">
        <v>194</v>
      </c>
      <c r="E1236" s="4" t="s">
        <v>170</v>
      </c>
      <c r="F1236" s="4" t="s">
        <v>155</v>
      </c>
      <c r="G1236" s="4"/>
      <c r="H1236" s="4"/>
      <c r="I1236" s="4" t="s">
        <v>139</v>
      </c>
      <c r="J1236" s="4" t="s">
        <v>603</v>
      </c>
      <c r="K1236" s="4" t="s">
        <v>144</v>
      </c>
      <c r="L1236" s="4" t="s">
        <v>4176</v>
      </c>
      <c r="M1236" s="4" t="s">
        <v>174</v>
      </c>
      <c r="N1236" s="4" t="s">
        <v>156</v>
      </c>
      <c r="O1236" s="4" t="s">
        <v>120</v>
      </c>
      <c r="P1236" s="4" t="s">
        <v>2114</v>
      </c>
    </row>
    <row r="1237" spans="1:16" ht="15">
      <c r="A1237" s="4" t="s">
        <v>2115</v>
      </c>
      <c r="B1237" s="30">
        <v>39977</v>
      </c>
      <c r="C1237" s="4" t="s">
        <v>380</v>
      </c>
      <c r="D1237" s="4" t="s">
        <v>195</v>
      </c>
      <c r="E1237" s="4" t="s">
        <v>170</v>
      </c>
      <c r="F1237" s="4" t="s">
        <v>155</v>
      </c>
      <c r="G1237" s="4"/>
      <c r="H1237" s="4"/>
      <c r="I1237" s="4" t="s">
        <v>139</v>
      </c>
      <c r="J1237" s="4" t="s">
        <v>188</v>
      </c>
      <c r="K1237" s="4" t="s">
        <v>149</v>
      </c>
      <c r="L1237" s="4" t="s">
        <v>162</v>
      </c>
      <c r="M1237" s="4" t="s">
        <v>2116</v>
      </c>
      <c r="N1237" s="4" t="s">
        <v>155</v>
      </c>
      <c r="O1237" s="4" t="s">
        <v>130</v>
      </c>
      <c r="P1237" s="4"/>
    </row>
    <row r="1238" spans="1:16" ht="15">
      <c r="A1238" s="4" t="s">
        <v>2117</v>
      </c>
      <c r="B1238" s="30">
        <v>39987</v>
      </c>
      <c r="C1238" s="4"/>
      <c r="D1238" s="4" t="s">
        <v>195</v>
      </c>
      <c r="E1238" s="4" t="s">
        <v>170</v>
      </c>
      <c r="F1238" s="4" t="s">
        <v>155</v>
      </c>
      <c r="G1238" s="4"/>
      <c r="H1238" s="4"/>
      <c r="I1238" s="4" t="s">
        <v>139</v>
      </c>
      <c r="J1238" s="4" t="s">
        <v>183</v>
      </c>
      <c r="K1238" s="4" t="s">
        <v>143</v>
      </c>
      <c r="L1238" s="4" t="s">
        <v>4176</v>
      </c>
      <c r="M1238" s="4" t="s">
        <v>174</v>
      </c>
      <c r="N1238" s="4" t="s">
        <v>156</v>
      </c>
      <c r="O1238" s="4" t="s">
        <v>120</v>
      </c>
      <c r="P1238" s="4" t="s">
        <v>1001</v>
      </c>
    </row>
    <row r="1239" spans="1:16" ht="15">
      <c r="A1239" s="4" t="s">
        <v>2118</v>
      </c>
      <c r="B1239" s="30">
        <v>39913</v>
      </c>
      <c r="C1239" s="4"/>
      <c r="D1239" s="4" t="s">
        <v>4179</v>
      </c>
      <c r="E1239" s="4" t="s">
        <v>170</v>
      </c>
      <c r="F1239" s="4" t="s">
        <v>155</v>
      </c>
      <c r="G1239" s="4"/>
      <c r="H1239" s="4"/>
      <c r="I1239" s="4" t="s">
        <v>139</v>
      </c>
      <c r="J1239" s="4" t="s">
        <v>188</v>
      </c>
      <c r="K1239" s="4" t="s">
        <v>151</v>
      </c>
      <c r="L1239" s="4" t="s">
        <v>162</v>
      </c>
      <c r="M1239" s="4" t="s">
        <v>2119</v>
      </c>
      <c r="N1239" s="4" t="s">
        <v>155</v>
      </c>
      <c r="O1239" s="4" t="s">
        <v>439</v>
      </c>
      <c r="P1239" s="4"/>
    </row>
    <row r="1240" spans="1:16" ht="15">
      <c r="A1240" s="4" t="s">
        <v>2120</v>
      </c>
      <c r="B1240" s="30">
        <v>40022</v>
      </c>
      <c r="C1240" s="4"/>
      <c r="D1240" s="4" t="s">
        <v>197</v>
      </c>
      <c r="E1240" s="4" t="s">
        <v>170</v>
      </c>
      <c r="F1240" s="4" t="s">
        <v>155</v>
      </c>
      <c r="G1240" s="4">
        <v>5</v>
      </c>
      <c r="H1240" s="4">
        <v>3</v>
      </c>
      <c r="I1240" s="4" t="s">
        <v>139</v>
      </c>
      <c r="J1240" s="4" t="s">
        <v>189</v>
      </c>
      <c r="K1240" s="4" t="s">
        <v>144</v>
      </c>
      <c r="L1240" s="4" t="s">
        <v>4181</v>
      </c>
      <c r="M1240" s="4" t="s">
        <v>173</v>
      </c>
      <c r="N1240" s="4" t="s">
        <v>155</v>
      </c>
      <c r="O1240" s="4" t="s">
        <v>406</v>
      </c>
      <c r="P1240" s="4"/>
    </row>
    <row r="1241" spans="1:16" ht="15">
      <c r="A1241" s="4" t="s">
        <v>2121</v>
      </c>
      <c r="B1241" s="30">
        <v>39977</v>
      </c>
      <c r="C1241" s="4" t="s">
        <v>9</v>
      </c>
      <c r="D1241" s="4" t="s">
        <v>193</v>
      </c>
      <c r="E1241" s="4" t="s">
        <v>170</v>
      </c>
      <c r="F1241" s="4" t="s">
        <v>155</v>
      </c>
      <c r="G1241" s="4"/>
      <c r="H1241" s="4"/>
      <c r="I1241" s="4" t="s">
        <v>140</v>
      </c>
      <c r="J1241" s="4" t="s">
        <v>178</v>
      </c>
      <c r="K1241" s="4" t="s">
        <v>149</v>
      </c>
      <c r="L1241" s="4" t="s">
        <v>4176</v>
      </c>
      <c r="M1241" s="4"/>
      <c r="N1241" s="4" t="s">
        <v>160</v>
      </c>
      <c r="O1241" s="4" t="s">
        <v>392</v>
      </c>
      <c r="P1241" s="4" t="s">
        <v>393</v>
      </c>
    </row>
    <row r="1242" spans="1:16" ht="15">
      <c r="A1242" s="4" t="s">
        <v>2122</v>
      </c>
      <c r="B1242" s="30">
        <v>40032</v>
      </c>
      <c r="C1242" s="4" t="s">
        <v>380</v>
      </c>
      <c r="D1242" s="4" t="s">
        <v>193</v>
      </c>
      <c r="E1242" s="4" t="s">
        <v>170</v>
      </c>
      <c r="F1242" s="4" t="s">
        <v>155</v>
      </c>
      <c r="G1242" s="4">
        <v>1</v>
      </c>
      <c r="H1242" s="4">
        <v>3</v>
      </c>
      <c r="I1242" s="4" t="s">
        <v>140</v>
      </c>
      <c r="J1242" s="4" t="s">
        <v>178</v>
      </c>
      <c r="K1242" s="4" t="s">
        <v>142</v>
      </c>
      <c r="L1242" s="4" t="s">
        <v>4181</v>
      </c>
      <c r="M1242" s="4" t="s">
        <v>2123</v>
      </c>
      <c r="N1242" s="4" t="s">
        <v>155</v>
      </c>
      <c r="O1242" s="4" t="s">
        <v>125</v>
      </c>
      <c r="P1242" s="4"/>
    </row>
    <row r="1243" spans="1:16" ht="15">
      <c r="A1243" s="4" t="s">
        <v>2124</v>
      </c>
      <c r="B1243" s="30">
        <v>39907</v>
      </c>
      <c r="C1243" s="4"/>
      <c r="D1243" s="4" t="s">
        <v>4180</v>
      </c>
      <c r="E1243" s="4" t="s">
        <v>170</v>
      </c>
      <c r="F1243" s="4" t="s">
        <v>155</v>
      </c>
      <c r="G1243" s="4"/>
      <c r="H1243" s="4"/>
      <c r="I1243" s="4" t="s">
        <v>139</v>
      </c>
      <c r="J1243" s="4" t="s">
        <v>178</v>
      </c>
      <c r="K1243" s="4" t="s">
        <v>147</v>
      </c>
      <c r="L1243" s="4" t="s">
        <v>4181</v>
      </c>
      <c r="M1243" s="4" t="s">
        <v>173</v>
      </c>
      <c r="N1243" s="4" t="s">
        <v>155</v>
      </c>
      <c r="O1243" s="4" t="s">
        <v>434</v>
      </c>
      <c r="P1243" s="4"/>
    </row>
    <row r="1244" spans="1:16" ht="15">
      <c r="A1244" s="4" t="s">
        <v>2125</v>
      </c>
      <c r="B1244" s="30">
        <v>39966</v>
      </c>
      <c r="C1244" s="4"/>
      <c r="D1244" s="4" t="s">
        <v>195</v>
      </c>
      <c r="E1244" s="4" t="s">
        <v>170</v>
      </c>
      <c r="F1244" s="4" t="s">
        <v>155</v>
      </c>
      <c r="G1244" s="4"/>
      <c r="H1244" s="4"/>
      <c r="I1244" s="4" t="s">
        <v>139</v>
      </c>
      <c r="J1244" s="4" t="s">
        <v>178</v>
      </c>
      <c r="K1244" s="4" t="s">
        <v>145</v>
      </c>
      <c r="L1244" s="4" t="s">
        <v>162</v>
      </c>
      <c r="M1244" s="4" t="s">
        <v>175</v>
      </c>
      <c r="N1244" s="4" t="s">
        <v>155</v>
      </c>
      <c r="O1244" s="4" t="s">
        <v>454</v>
      </c>
      <c r="P1244" s="4"/>
    </row>
    <row r="1245" spans="1:16" ht="15">
      <c r="A1245" s="4" t="s">
        <v>2126</v>
      </c>
      <c r="B1245" s="30">
        <v>39974</v>
      </c>
      <c r="C1245" s="4"/>
      <c r="D1245" s="4" t="s">
        <v>194</v>
      </c>
      <c r="E1245" s="4" t="s">
        <v>170</v>
      </c>
      <c r="F1245" s="4" t="s">
        <v>155</v>
      </c>
      <c r="G1245" s="4"/>
      <c r="H1245" s="4"/>
      <c r="I1245" s="4" t="s">
        <v>139</v>
      </c>
      <c r="J1245" s="4" t="s">
        <v>178</v>
      </c>
      <c r="K1245" s="4" t="s">
        <v>146</v>
      </c>
      <c r="L1245" s="4" t="s">
        <v>162</v>
      </c>
      <c r="M1245" s="4" t="s">
        <v>175</v>
      </c>
      <c r="N1245" s="4" t="s">
        <v>155</v>
      </c>
      <c r="O1245" s="4" t="s">
        <v>130</v>
      </c>
      <c r="P1245" s="4"/>
    </row>
    <row r="1246" spans="1:16" ht="15">
      <c r="A1246" s="4" t="s">
        <v>2127</v>
      </c>
      <c r="B1246" s="30">
        <v>39928</v>
      </c>
      <c r="C1246" s="4"/>
      <c r="D1246" s="4" t="s">
        <v>4184</v>
      </c>
      <c r="E1246" s="4" t="s">
        <v>170</v>
      </c>
      <c r="F1246" s="4" t="s">
        <v>155</v>
      </c>
      <c r="G1246" s="4"/>
      <c r="H1246" s="4"/>
      <c r="I1246" s="4" t="s">
        <v>140</v>
      </c>
      <c r="J1246" s="4" t="s">
        <v>178</v>
      </c>
      <c r="K1246" s="4" t="s">
        <v>147</v>
      </c>
      <c r="L1246" s="4" t="s">
        <v>4181</v>
      </c>
      <c r="M1246" s="4" t="s">
        <v>415</v>
      </c>
      <c r="N1246" s="4" t="s">
        <v>155</v>
      </c>
      <c r="O1246" s="4" t="s">
        <v>125</v>
      </c>
      <c r="P1246" s="4"/>
    </row>
    <row r="1247" spans="1:16" ht="15">
      <c r="A1247" s="4" t="s">
        <v>2128</v>
      </c>
      <c r="B1247" s="30">
        <v>40030</v>
      </c>
      <c r="C1247" s="4"/>
      <c r="D1247" s="4" t="s">
        <v>193</v>
      </c>
      <c r="E1247" s="4" t="s">
        <v>170</v>
      </c>
      <c r="F1247" s="4" t="s">
        <v>155</v>
      </c>
      <c r="G1247" s="4">
        <v>5</v>
      </c>
      <c r="H1247" s="4">
        <v>3</v>
      </c>
      <c r="I1247" s="4" t="s">
        <v>140</v>
      </c>
      <c r="J1247" s="4" t="s">
        <v>180</v>
      </c>
      <c r="K1247" s="4" t="s">
        <v>148</v>
      </c>
      <c r="L1247" s="4" t="s">
        <v>4176</v>
      </c>
      <c r="M1247" s="4" t="s">
        <v>174</v>
      </c>
      <c r="N1247" s="4" t="s">
        <v>157</v>
      </c>
      <c r="O1247" s="4" t="s">
        <v>124</v>
      </c>
      <c r="P1247" s="4" t="s">
        <v>2129</v>
      </c>
    </row>
    <row r="1248" spans="1:16" ht="15">
      <c r="A1248" s="4" t="s">
        <v>2130</v>
      </c>
      <c r="B1248" s="30">
        <v>40043</v>
      </c>
      <c r="C1248" s="4"/>
      <c r="D1248" s="4" t="s">
        <v>195</v>
      </c>
      <c r="E1248" s="4" t="s">
        <v>170</v>
      </c>
      <c r="F1248" s="4" t="s">
        <v>155</v>
      </c>
      <c r="G1248" s="4">
        <v>2</v>
      </c>
      <c r="H1248" s="4">
        <v>5</v>
      </c>
      <c r="I1248" s="4" t="s">
        <v>139</v>
      </c>
      <c r="J1248" s="4" t="s">
        <v>180</v>
      </c>
      <c r="K1248" s="4" t="s">
        <v>143</v>
      </c>
      <c r="L1248" s="4" t="s">
        <v>4181</v>
      </c>
      <c r="M1248" s="4" t="s">
        <v>173</v>
      </c>
      <c r="N1248" s="4" t="s">
        <v>155</v>
      </c>
      <c r="O1248" s="4" t="s">
        <v>956</v>
      </c>
      <c r="P1248" s="4"/>
    </row>
    <row r="1249" spans="1:16" ht="15">
      <c r="A1249" s="4" t="s">
        <v>2131</v>
      </c>
      <c r="B1249" s="30">
        <v>39979</v>
      </c>
      <c r="C1249" s="4" t="s">
        <v>383</v>
      </c>
      <c r="D1249" s="4" t="s">
        <v>193</v>
      </c>
      <c r="E1249" s="4" t="s">
        <v>170</v>
      </c>
      <c r="F1249" s="4" t="s">
        <v>155</v>
      </c>
      <c r="G1249" s="4"/>
      <c r="H1249" s="4"/>
      <c r="I1249" s="4" t="s">
        <v>140</v>
      </c>
      <c r="J1249" s="4" t="s">
        <v>180</v>
      </c>
      <c r="K1249" s="4" t="s">
        <v>149</v>
      </c>
      <c r="L1249" s="4" t="s">
        <v>162</v>
      </c>
      <c r="M1249" s="4" t="s">
        <v>175</v>
      </c>
      <c r="N1249" s="4" t="s">
        <v>155</v>
      </c>
      <c r="O1249" s="4" t="s">
        <v>130</v>
      </c>
      <c r="P1249" s="4"/>
    </row>
    <row r="1250" spans="1:16" ht="15">
      <c r="A1250" s="4" t="s">
        <v>2132</v>
      </c>
      <c r="B1250" s="30">
        <v>40048</v>
      </c>
      <c r="C1250" s="4"/>
      <c r="D1250" s="4" t="s">
        <v>193</v>
      </c>
      <c r="E1250" s="4" t="s">
        <v>170</v>
      </c>
      <c r="F1250" s="4" t="s">
        <v>155</v>
      </c>
      <c r="G1250" s="4">
        <v>5</v>
      </c>
      <c r="H1250" s="4">
        <v>3</v>
      </c>
      <c r="I1250" s="4" t="s">
        <v>140</v>
      </c>
      <c r="J1250" s="4" t="s">
        <v>180</v>
      </c>
      <c r="K1250" s="4" t="s">
        <v>144</v>
      </c>
      <c r="L1250" s="4" t="s">
        <v>165</v>
      </c>
      <c r="M1250" s="4" t="s">
        <v>2133</v>
      </c>
      <c r="N1250" s="4" t="s">
        <v>158</v>
      </c>
      <c r="O1250" s="4" t="s">
        <v>122</v>
      </c>
      <c r="P1250" s="4"/>
    </row>
    <row r="1251" spans="1:16" ht="15">
      <c r="A1251" s="4" t="s">
        <v>2134</v>
      </c>
      <c r="B1251" s="30">
        <v>39962</v>
      </c>
      <c r="C1251" s="4"/>
      <c r="D1251" s="4" t="s">
        <v>193</v>
      </c>
      <c r="E1251" s="4" t="s">
        <v>170</v>
      </c>
      <c r="F1251" s="4" t="s">
        <v>155</v>
      </c>
      <c r="G1251" s="4"/>
      <c r="H1251" s="4"/>
      <c r="I1251" s="4" t="s">
        <v>140</v>
      </c>
      <c r="J1251" s="4" t="s">
        <v>180</v>
      </c>
      <c r="K1251" s="4" t="s">
        <v>144</v>
      </c>
      <c r="L1251" s="4" t="s">
        <v>4176</v>
      </c>
      <c r="M1251" s="4"/>
      <c r="N1251" s="4" t="s">
        <v>157</v>
      </c>
      <c r="O1251" s="4" t="s">
        <v>124</v>
      </c>
      <c r="P1251" s="4" t="s">
        <v>2135</v>
      </c>
    </row>
    <row r="1252" spans="1:16" ht="15">
      <c r="A1252" s="4" t="s">
        <v>2136</v>
      </c>
      <c r="B1252" s="30">
        <v>39915</v>
      </c>
      <c r="C1252" s="4"/>
      <c r="D1252" s="4" t="s">
        <v>4179</v>
      </c>
      <c r="E1252" s="4" t="s">
        <v>170</v>
      </c>
      <c r="F1252" s="4" t="s">
        <v>155</v>
      </c>
      <c r="G1252" s="4"/>
      <c r="H1252" s="4"/>
      <c r="I1252" s="4" t="s">
        <v>139</v>
      </c>
      <c r="J1252" s="4" t="s">
        <v>180</v>
      </c>
      <c r="K1252" s="4" t="s">
        <v>147</v>
      </c>
      <c r="L1252" s="4" t="s">
        <v>4176</v>
      </c>
      <c r="M1252" s="4" t="s">
        <v>550</v>
      </c>
      <c r="N1252" s="4" t="s">
        <v>157</v>
      </c>
      <c r="O1252" s="4" t="s">
        <v>434</v>
      </c>
      <c r="P1252" s="4" t="s">
        <v>449</v>
      </c>
    </row>
    <row r="1253" spans="1:16" ht="15">
      <c r="A1253" s="4" t="s">
        <v>2137</v>
      </c>
      <c r="B1253" s="30">
        <v>39969</v>
      </c>
      <c r="C1253" s="4" t="s">
        <v>380</v>
      </c>
      <c r="D1253" s="4" t="s">
        <v>194</v>
      </c>
      <c r="E1253" s="4" t="s">
        <v>170</v>
      </c>
      <c r="F1253" s="4" t="s">
        <v>155</v>
      </c>
      <c r="G1253" s="4"/>
      <c r="H1253" s="4"/>
      <c r="I1253" s="4" t="s">
        <v>139</v>
      </c>
      <c r="J1253" s="4" t="s">
        <v>180</v>
      </c>
      <c r="K1253" s="4" t="s">
        <v>142</v>
      </c>
      <c r="L1253" s="4" t="s">
        <v>165</v>
      </c>
      <c r="M1253" s="4" t="s">
        <v>589</v>
      </c>
      <c r="N1253" s="4" t="s">
        <v>158</v>
      </c>
      <c r="O1253" s="4" t="s">
        <v>122</v>
      </c>
      <c r="P1253" s="4"/>
    </row>
    <row r="1254" spans="1:16" ht="15">
      <c r="A1254" s="4" t="s">
        <v>2138</v>
      </c>
      <c r="B1254" s="30">
        <v>39966</v>
      </c>
      <c r="C1254" s="4"/>
      <c r="D1254" s="4" t="s">
        <v>194</v>
      </c>
      <c r="E1254" s="4" t="s">
        <v>170</v>
      </c>
      <c r="F1254" s="4" t="s">
        <v>155</v>
      </c>
      <c r="G1254" s="4"/>
      <c r="H1254" s="4"/>
      <c r="I1254" s="4" t="s">
        <v>139</v>
      </c>
      <c r="J1254" s="4" t="s">
        <v>178</v>
      </c>
      <c r="K1254" s="4" t="s">
        <v>142</v>
      </c>
      <c r="L1254" s="4" t="s">
        <v>4181</v>
      </c>
      <c r="M1254" s="4" t="s">
        <v>2139</v>
      </c>
      <c r="N1254" s="4" t="s">
        <v>155</v>
      </c>
      <c r="O1254" s="4" t="s">
        <v>387</v>
      </c>
      <c r="P1254" s="4"/>
    </row>
    <row r="1255" spans="1:16" ht="15">
      <c r="A1255" s="4" t="s">
        <v>2140</v>
      </c>
      <c r="B1255" s="30">
        <v>39971</v>
      </c>
      <c r="C1255" s="4"/>
      <c r="D1255" s="4" t="s">
        <v>193</v>
      </c>
      <c r="E1255" s="4" t="s">
        <v>170</v>
      </c>
      <c r="F1255" s="4" t="s">
        <v>155</v>
      </c>
      <c r="G1255" s="4"/>
      <c r="H1255" s="4"/>
      <c r="I1255" s="4" t="s">
        <v>140</v>
      </c>
      <c r="J1255" s="4" t="s">
        <v>180</v>
      </c>
      <c r="K1255" s="4" t="s">
        <v>142</v>
      </c>
      <c r="L1255" s="4" t="s">
        <v>4176</v>
      </c>
      <c r="M1255" s="4" t="s">
        <v>174</v>
      </c>
      <c r="N1255" s="4" t="s">
        <v>157</v>
      </c>
      <c r="O1255" s="4" t="s">
        <v>130</v>
      </c>
      <c r="P1255" s="4" t="s">
        <v>423</v>
      </c>
    </row>
    <row r="1256" spans="1:16" ht="15">
      <c r="A1256" s="4" t="s">
        <v>2141</v>
      </c>
      <c r="B1256" s="30">
        <v>39993</v>
      </c>
      <c r="C1256" s="4" t="s">
        <v>525</v>
      </c>
      <c r="D1256" s="4" t="s">
        <v>196</v>
      </c>
      <c r="E1256" s="4" t="s">
        <v>170</v>
      </c>
      <c r="F1256" s="4" t="s">
        <v>155</v>
      </c>
      <c r="G1256" s="4"/>
      <c r="H1256" s="4">
        <v>3</v>
      </c>
      <c r="I1256" s="4" t="s">
        <v>139</v>
      </c>
      <c r="J1256" s="4" t="s">
        <v>180</v>
      </c>
      <c r="K1256" s="4" t="s">
        <v>151</v>
      </c>
      <c r="L1256" s="4" t="s">
        <v>162</v>
      </c>
      <c r="M1256" s="4" t="s">
        <v>459</v>
      </c>
      <c r="N1256" s="4" t="s">
        <v>155</v>
      </c>
      <c r="O1256" s="4" t="s">
        <v>130</v>
      </c>
      <c r="P1256" s="4"/>
    </row>
    <row r="1257" spans="1:16" ht="15">
      <c r="A1257" s="4" t="s">
        <v>2142</v>
      </c>
      <c r="B1257" s="30">
        <v>39950</v>
      </c>
      <c r="C1257" s="4"/>
      <c r="D1257" s="4" t="s">
        <v>193</v>
      </c>
      <c r="E1257" s="4" t="s">
        <v>170</v>
      </c>
      <c r="F1257" s="4" t="s">
        <v>155</v>
      </c>
      <c r="G1257" s="4"/>
      <c r="H1257" s="4"/>
      <c r="I1257" s="4" t="s">
        <v>140</v>
      </c>
      <c r="J1257" s="4" t="s">
        <v>180</v>
      </c>
      <c r="K1257" s="4" t="s">
        <v>143</v>
      </c>
      <c r="L1257" s="4" t="s">
        <v>4181</v>
      </c>
      <c r="M1257" s="4" t="s">
        <v>173</v>
      </c>
      <c r="N1257" s="4" t="s">
        <v>155</v>
      </c>
      <c r="O1257" s="4" t="s">
        <v>1113</v>
      </c>
      <c r="P1257" s="4"/>
    </row>
    <row r="1258" spans="1:16" ht="15">
      <c r="A1258" s="4" t="s">
        <v>2143</v>
      </c>
      <c r="B1258" s="30">
        <v>39939</v>
      </c>
      <c r="C1258" s="4"/>
      <c r="D1258" s="4" t="s">
        <v>4184</v>
      </c>
      <c r="E1258" s="4" t="s">
        <v>170</v>
      </c>
      <c r="F1258" s="4" t="s">
        <v>155</v>
      </c>
      <c r="G1258" s="4"/>
      <c r="H1258" s="4"/>
      <c r="I1258" s="4" t="s">
        <v>140</v>
      </c>
      <c r="J1258" s="4" t="s">
        <v>180</v>
      </c>
      <c r="K1258" s="4" t="s">
        <v>142</v>
      </c>
      <c r="L1258" s="4" t="s">
        <v>4176</v>
      </c>
      <c r="M1258" s="4" t="s">
        <v>174</v>
      </c>
      <c r="N1258" s="4" t="s">
        <v>160</v>
      </c>
      <c r="O1258" s="4" t="s">
        <v>392</v>
      </c>
      <c r="P1258" s="4" t="s">
        <v>393</v>
      </c>
    </row>
    <row r="1259" spans="1:16" ht="15">
      <c r="A1259" s="4" t="s">
        <v>2144</v>
      </c>
      <c r="B1259" s="30">
        <v>40014</v>
      </c>
      <c r="C1259" s="4"/>
      <c r="D1259" s="4" t="s">
        <v>195</v>
      </c>
      <c r="E1259" s="4" t="s">
        <v>170</v>
      </c>
      <c r="F1259" s="4" t="s">
        <v>155</v>
      </c>
      <c r="G1259" s="4">
        <v>5</v>
      </c>
      <c r="H1259" s="4">
        <v>2</v>
      </c>
      <c r="I1259" s="4" t="s">
        <v>139</v>
      </c>
      <c r="J1259" s="4" t="s">
        <v>180</v>
      </c>
      <c r="K1259" s="4" t="s">
        <v>146</v>
      </c>
      <c r="L1259" s="4" t="s">
        <v>162</v>
      </c>
      <c r="M1259" s="4" t="s">
        <v>2145</v>
      </c>
      <c r="N1259" s="4" t="s">
        <v>155</v>
      </c>
      <c r="O1259" s="4" t="s">
        <v>130</v>
      </c>
      <c r="P1259" s="4"/>
    </row>
    <row r="1260" spans="1:16" ht="15">
      <c r="A1260" s="4" t="s">
        <v>2146</v>
      </c>
      <c r="B1260" s="30">
        <v>40014</v>
      </c>
      <c r="C1260" s="4"/>
      <c r="D1260" s="4" t="s">
        <v>193</v>
      </c>
      <c r="E1260" s="4" t="s">
        <v>170</v>
      </c>
      <c r="F1260" s="4" t="s">
        <v>155</v>
      </c>
      <c r="G1260" s="4">
        <v>1</v>
      </c>
      <c r="H1260" s="4">
        <v>2</v>
      </c>
      <c r="I1260" s="4" t="s">
        <v>140</v>
      </c>
      <c r="J1260" s="4" t="s">
        <v>180</v>
      </c>
      <c r="K1260" s="4" t="s">
        <v>144</v>
      </c>
      <c r="L1260" s="4" t="s">
        <v>162</v>
      </c>
      <c r="M1260" s="4"/>
      <c r="N1260" s="4" t="s">
        <v>155</v>
      </c>
      <c r="O1260" s="4" t="s">
        <v>130</v>
      </c>
      <c r="P1260" s="4"/>
    </row>
    <row r="1261" spans="1:16" ht="15">
      <c r="A1261" s="4" t="s">
        <v>2147</v>
      </c>
      <c r="B1261" s="30">
        <v>40064</v>
      </c>
      <c r="C1261" s="4"/>
      <c r="D1261" s="4" t="s">
        <v>193</v>
      </c>
      <c r="E1261" s="4" t="s">
        <v>170</v>
      </c>
      <c r="F1261" s="4" t="s">
        <v>155</v>
      </c>
      <c r="G1261" s="4">
        <v>5</v>
      </c>
      <c r="H1261" s="4">
        <v>5</v>
      </c>
      <c r="I1261" s="4" t="s">
        <v>140</v>
      </c>
      <c r="J1261" s="4" t="s">
        <v>180</v>
      </c>
      <c r="K1261" s="4" t="s">
        <v>143</v>
      </c>
      <c r="L1261" s="4" t="s">
        <v>4176</v>
      </c>
      <c r="M1261" s="4" t="s">
        <v>619</v>
      </c>
      <c r="N1261" s="4" t="s">
        <v>156</v>
      </c>
      <c r="O1261" s="4" t="s">
        <v>120</v>
      </c>
      <c r="P1261" s="4" t="s">
        <v>794</v>
      </c>
    </row>
    <row r="1262" spans="1:16" ht="15">
      <c r="A1262" s="4" t="s">
        <v>2148</v>
      </c>
      <c r="B1262" s="30">
        <v>39920</v>
      </c>
      <c r="C1262" s="4"/>
      <c r="D1262" s="4" t="s">
        <v>4183</v>
      </c>
      <c r="E1262" s="4" t="s">
        <v>170</v>
      </c>
      <c r="F1262" s="4" t="s">
        <v>155</v>
      </c>
      <c r="G1262" s="4"/>
      <c r="H1262" s="4"/>
      <c r="I1262" s="4" t="s">
        <v>140</v>
      </c>
      <c r="J1262" s="4" t="s">
        <v>180</v>
      </c>
      <c r="K1262" s="4" t="s">
        <v>143</v>
      </c>
      <c r="L1262" s="4" t="s">
        <v>4181</v>
      </c>
      <c r="M1262" s="4" t="s">
        <v>173</v>
      </c>
      <c r="N1262" s="4" t="s">
        <v>155</v>
      </c>
      <c r="O1262" s="4" t="s">
        <v>571</v>
      </c>
      <c r="P1262" s="4"/>
    </row>
    <row r="1263" spans="1:16" ht="15">
      <c r="A1263" s="4" t="s">
        <v>2149</v>
      </c>
      <c r="B1263" s="30">
        <v>39955</v>
      </c>
      <c r="C1263" s="4"/>
      <c r="D1263" s="4" t="s">
        <v>193</v>
      </c>
      <c r="E1263" s="4" t="s">
        <v>170</v>
      </c>
      <c r="F1263" s="4" t="s">
        <v>155</v>
      </c>
      <c r="G1263" s="4"/>
      <c r="H1263" s="4"/>
      <c r="I1263" s="4" t="s">
        <v>140</v>
      </c>
      <c r="J1263" s="4" t="s">
        <v>180</v>
      </c>
      <c r="K1263" s="4" t="s">
        <v>145</v>
      </c>
      <c r="L1263" s="4" t="s">
        <v>162</v>
      </c>
      <c r="M1263" s="4"/>
      <c r="N1263" s="4" t="s">
        <v>155</v>
      </c>
      <c r="O1263" s="4" t="s">
        <v>129</v>
      </c>
      <c r="P1263" s="4"/>
    </row>
    <row r="1264" spans="1:16" ht="15">
      <c r="A1264" s="4" t="s">
        <v>2150</v>
      </c>
      <c r="B1264" s="30">
        <v>40078</v>
      </c>
      <c r="C1264" s="4" t="s">
        <v>496</v>
      </c>
      <c r="D1264" s="4" t="s">
        <v>196</v>
      </c>
      <c r="E1264" s="4" t="s">
        <v>170</v>
      </c>
      <c r="F1264" s="4" t="s">
        <v>155</v>
      </c>
      <c r="G1264" s="4">
        <v>5</v>
      </c>
      <c r="H1264" s="4">
        <v>5</v>
      </c>
      <c r="I1264" s="4" t="s">
        <v>139</v>
      </c>
      <c r="J1264" s="4" t="s">
        <v>180</v>
      </c>
      <c r="K1264" s="4" t="s">
        <v>143</v>
      </c>
      <c r="L1264" s="4" t="s">
        <v>4176</v>
      </c>
      <c r="M1264" s="4" t="s">
        <v>174</v>
      </c>
      <c r="N1264" s="4" t="s">
        <v>159</v>
      </c>
      <c r="O1264" s="4" t="s">
        <v>123</v>
      </c>
      <c r="P1264" s="4" t="s">
        <v>123</v>
      </c>
    </row>
    <row r="1265" spans="1:16" ht="15">
      <c r="A1265" s="4" t="s">
        <v>2151</v>
      </c>
      <c r="B1265" s="30">
        <v>40016</v>
      </c>
      <c r="C1265" s="4"/>
      <c r="D1265" s="4" t="s">
        <v>193</v>
      </c>
      <c r="E1265" s="4" t="s">
        <v>170</v>
      </c>
      <c r="F1265" s="4" t="s">
        <v>155</v>
      </c>
      <c r="G1265" s="4">
        <v>5</v>
      </c>
      <c r="H1265" s="4">
        <v>4</v>
      </c>
      <c r="I1265" s="4" t="s">
        <v>140</v>
      </c>
      <c r="J1265" s="4" t="s">
        <v>180</v>
      </c>
      <c r="K1265" s="4" t="s">
        <v>150</v>
      </c>
      <c r="L1265" s="4" t="s">
        <v>162</v>
      </c>
      <c r="M1265" s="4" t="s">
        <v>597</v>
      </c>
      <c r="N1265" s="4" t="s">
        <v>155</v>
      </c>
      <c r="O1265" s="4" t="s">
        <v>130</v>
      </c>
      <c r="P1265" s="4"/>
    </row>
    <row r="1266" spans="1:16" ht="15">
      <c r="A1266" s="4" t="s">
        <v>2152</v>
      </c>
      <c r="B1266" s="30">
        <v>39946</v>
      </c>
      <c r="C1266" s="4"/>
      <c r="D1266" s="4" t="s">
        <v>194</v>
      </c>
      <c r="E1266" s="4" t="s">
        <v>170</v>
      </c>
      <c r="F1266" s="4" t="s">
        <v>155</v>
      </c>
      <c r="G1266" s="4"/>
      <c r="H1266" s="4"/>
      <c r="I1266" s="4" t="s">
        <v>139</v>
      </c>
      <c r="J1266" s="4" t="s">
        <v>180</v>
      </c>
      <c r="K1266" s="4" t="s">
        <v>142</v>
      </c>
      <c r="L1266" s="4" t="s">
        <v>165</v>
      </c>
      <c r="M1266" s="4"/>
      <c r="N1266" s="4" t="s">
        <v>158</v>
      </c>
      <c r="O1266" s="4" t="s">
        <v>122</v>
      </c>
      <c r="P1266" s="4"/>
    </row>
    <row r="1267" spans="1:16" ht="15">
      <c r="A1267" s="4" t="s">
        <v>2153</v>
      </c>
      <c r="B1267" s="30">
        <v>39924</v>
      </c>
      <c r="C1267" s="4"/>
      <c r="D1267" s="4" t="s">
        <v>4179</v>
      </c>
      <c r="E1267" s="4" t="s">
        <v>170</v>
      </c>
      <c r="F1267" s="4" t="s">
        <v>155</v>
      </c>
      <c r="G1267" s="4"/>
      <c r="H1267" s="4"/>
      <c r="I1267" s="4" t="s">
        <v>139</v>
      </c>
      <c r="J1267" s="4" t="s">
        <v>186</v>
      </c>
      <c r="K1267" s="4" t="s">
        <v>145</v>
      </c>
      <c r="L1267" s="4" t="s">
        <v>165</v>
      </c>
      <c r="M1267" s="4" t="s">
        <v>2154</v>
      </c>
      <c r="N1267" s="4" t="s">
        <v>158</v>
      </c>
      <c r="O1267" s="4" t="s">
        <v>122</v>
      </c>
      <c r="P1267" s="4"/>
    </row>
    <row r="1268" spans="1:16" ht="15">
      <c r="A1268" s="4" t="s">
        <v>2155</v>
      </c>
      <c r="B1268" s="30">
        <v>39954</v>
      </c>
      <c r="C1268" s="4"/>
      <c r="D1268" s="4" t="s">
        <v>193</v>
      </c>
      <c r="E1268" s="4" t="s">
        <v>170</v>
      </c>
      <c r="F1268" s="4" t="s">
        <v>155</v>
      </c>
      <c r="G1268" s="4"/>
      <c r="H1268" s="4"/>
      <c r="I1268" s="4" t="s">
        <v>140</v>
      </c>
      <c r="J1268" s="4" t="s">
        <v>181</v>
      </c>
      <c r="K1268" s="4" t="s">
        <v>147</v>
      </c>
      <c r="L1268" s="4" t="s">
        <v>162</v>
      </c>
      <c r="M1268" s="4" t="s">
        <v>176</v>
      </c>
      <c r="N1268" s="4" t="s">
        <v>155</v>
      </c>
      <c r="O1268" s="4" t="s">
        <v>129</v>
      </c>
      <c r="P1268" s="4"/>
    </row>
    <row r="1269" spans="1:16" ht="15">
      <c r="A1269" s="4" t="s">
        <v>2156</v>
      </c>
      <c r="B1269" s="30">
        <v>39955</v>
      </c>
      <c r="C1269" s="4"/>
      <c r="D1269" s="4" t="s">
        <v>194</v>
      </c>
      <c r="E1269" s="4" t="s">
        <v>170</v>
      </c>
      <c r="F1269" s="4" t="s">
        <v>155</v>
      </c>
      <c r="G1269" s="4"/>
      <c r="H1269" s="4"/>
      <c r="I1269" s="4" t="s">
        <v>139</v>
      </c>
      <c r="J1269" s="4" t="s">
        <v>186</v>
      </c>
      <c r="K1269" s="4" t="s">
        <v>144</v>
      </c>
      <c r="L1269" s="4" t="s">
        <v>4176</v>
      </c>
      <c r="M1269" s="4" t="s">
        <v>174</v>
      </c>
      <c r="N1269" s="4" t="s">
        <v>157</v>
      </c>
      <c r="O1269" s="4" t="s">
        <v>127</v>
      </c>
      <c r="P1269" s="4" t="s">
        <v>153</v>
      </c>
    </row>
    <row r="1270" spans="1:16" ht="15">
      <c r="A1270" s="4" t="s">
        <v>2157</v>
      </c>
      <c r="B1270" s="30">
        <v>40022</v>
      </c>
      <c r="C1270" s="4"/>
      <c r="D1270" s="4" t="s">
        <v>197</v>
      </c>
      <c r="E1270" s="4" t="s">
        <v>170</v>
      </c>
      <c r="F1270" s="4" t="s">
        <v>155</v>
      </c>
      <c r="G1270" s="4">
        <v>5</v>
      </c>
      <c r="H1270" s="4">
        <v>2</v>
      </c>
      <c r="I1270" s="4" t="s">
        <v>139</v>
      </c>
      <c r="J1270" s="4" t="s">
        <v>186</v>
      </c>
      <c r="K1270" s="4" t="s">
        <v>146</v>
      </c>
      <c r="L1270" s="4" t="s">
        <v>4176</v>
      </c>
      <c r="M1270" s="4" t="s">
        <v>175</v>
      </c>
      <c r="N1270" s="4" t="s">
        <v>125</v>
      </c>
      <c r="O1270" s="4" t="s">
        <v>125</v>
      </c>
      <c r="P1270" s="4" t="s">
        <v>2158</v>
      </c>
    </row>
    <row r="1271" spans="1:16" ht="15">
      <c r="A1271" s="4" t="s">
        <v>2159</v>
      </c>
      <c r="B1271" s="30">
        <v>40023</v>
      </c>
      <c r="C1271" s="4"/>
      <c r="D1271" s="4" t="s">
        <v>193</v>
      </c>
      <c r="E1271" s="4" t="s">
        <v>170</v>
      </c>
      <c r="F1271" s="4" t="s">
        <v>155</v>
      </c>
      <c r="G1271" s="4">
        <v>5</v>
      </c>
      <c r="H1271" s="4">
        <v>5</v>
      </c>
      <c r="I1271" s="4" t="s">
        <v>140</v>
      </c>
      <c r="J1271" s="4" t="s">
        <v>184</v>
      </c>
      <c r="K1271" s="4" t="s">
        <v>144</v>
      </c>
      <c r="L1271" s="4" t="s">
        <v>4181</v>
      </c>
      <c r="M1271" s="4" t="s">
        <v>974</v>
      </c>
      <c r="N1271" s="4" t="s">
        <v>155</v>
      </c>
      <c r="O1271" s="4" t="s">
        <v>734</v>
      </c>
      <c r="P1271" s="4"/>
    </row>
    <row r="1272" spans="1:16" ht="15">
      <c r="A1272" s="4" t="s">
        <v>2160</v>
      </c>
      <c r="B1272" s="30">
        <v>39935</v>
      </c>
      <c r="C1272" s="4"/>
      <c r="D1272" s="4" t="s">
        <v>4179</v>
      </c>
      <c r="E1272" s="4" t="s">
        <v>170</v>
      </c>
      <c r="F1272" s="4" t="s">
        <v>155</v>
      </c>
      <c r="G1272" s="4"/>
      <c r="H1272" s="4"/>
      <c r="I1272" s="4" t="s">
        <v>139</v>
      </c>
      <c r="J1272" s="4" t="s">
        <v>186</v>
      </c>
      <c r="K1272" s="4" t="s">
        <v>147</v>
      </c>
      <c r="L1272" s="4" t="s">
        <v>4181</v>
      </c>
      <c r="M1272" s="4" t="s">
        <v>2161</v>
      </c>
      <c r="N1272" s="4" t="s">
        <v>161</v>
      </c>
      <c r="O1272" s="4" t="s">
        <v>1216</v>
      </c>
      <c r="P1272" s="4"/>
    </row>
    <row r="1273" spans="1:16" ht="15">
      <c r="A1273" s="4" t="s">
        <v>2162</v>
      </c>
      <c r="B1273" s="30">
        <v>39997</v>
      </c>
      <c r="C1273" s="4"/>
      <c r="D1273" s="4" t="s">
        <v>193</v>
      </c>
      <c r="E1273" s="4" t="s">
        <v>170</v>
      </c>
      <c r="F1273" s="4" t="s">
        <v>155</v>
      </c>
      <c r="G1273" s="4"/>
      <c r="H1273" s="4">
        <v>4</v>
      </c>
      <c r="I1273" s="4" t="s">
        <v>140</v>
      </c>
      <c r="J1273" s="4" t="s">
        <v>183</v>
      </c>
      <c r="K1273" s="4" t="s">
        <v>149</v>
      </c>
      <c r="L1273" s="4" t="s">
        <v>4176</v>
      </c>
      <c r="M1273" s="4" t="s">
        <v>550</v>
      </c>
      <c r="N1273" s="4" t="s">
        <v>156</v>
      </c>
      <c r="O1273" s="4" t="s">
        <v>120</v>
      </c>
      <c r="P1273" s="4" t="s">
        <v>2163</v>
      </c>
    </row>
    <row r="1274" spans="1:16" ht="15">
      <c r="A1274" s="4" t="s">
        <v>2164</v>
      </c>
      <c r="B1274" s="30">
        <v>39907</v>
      </c>
      <c r="C1274" s="4"/>
      <c r="D1274" s="4" t="s">
        <v>4185</v>
      </c>
      <c r="E1274" s="4" t="s">
        <v>170</v>
      </c>
      <c r="F1274" s="4" t="s">
        <v>155</v>
      </c>
      <c r="G1274" s="4"/>
      <c r="H1274" s="4"/>
      <c r="I1274" s="4" t="s">
        <v>139</v>
      </c>
      <c r="J1274" s="4" t="s">
        <v>183</v>
      </c>
      <c r="K1274" s="4" t="s">
        <v>150</v>
      </c>
      <c r="L1274" s="4" t="s">
        <v>4181</v>
      </c>
      <c r="M1274" s="4"/>
      <c r="N1274" s="4" t="s">
        <v>155</v>
      </c>
      <c r="O1274" s="4" t="s">
        <v>692</v>
      </c>
      <c r="P1274" s="4"/>
    </row>
    <row r="1275" spans="1:16" ht="15">
      <c r="A1275" s="4" t="s">
        <v>2165</v>
      </c>
      <c r="B1275" s="30">
        <v>39953</v>
      </c>
      <c r="C1275" s="4" t="s">
        <v>525</v>
      </c>
      <c r="D1275" s="4" t="s">
        <v>195</v>
      </c>
      <c r="E1275" s="4" t="s">
        <v>170</v>
      </c>
      <c r="F1275" s="4" t="s">
        <v>155</v>
      </c>
      <c r="G1275" s="4"/>
      <c r="H1275" s="4"/>
      <c r="I1275" s="4" t="s">
        <v>139</v>
      </c>
      <c r="J1275" s="4" t="s">
        <v>413</v>
      </c>
      <c r="K1275" s="4" t="s">
        <v>147</v>
      </c>
      <c r="L1275" s="4" t="s">
        <v>4181</v>
      </c>
      <c r="M1275" s="4" t="s">
        <v>173</v>
      </c>
      <c r="N1275" s="4" t="s">
        <v>161</v>
      </c>
      <c r="O1275" s="4" t="s">
        <v>939</v>
      </c>
      <c r="P1275" s="4"/>
    </row>
    <row r="1276" spans="1:16" ht="15">
      <c r="A1276" s="4" t="s">
        <v>2166</v>
      </c>
      <c r="B1276" s="30">
        <v>39927</v>
      </c>
      <c r="C1276" s="4"/>
      <c r="D1276" s="4" t="s">
        <v>4182</v>
      </c>
      <c r="E1276" s="4" t="s">
        <v>170</v>
      </c>
      <c r="F1276" s="4" t="s">
        <v>155</v>
      </c>
      <c r="G1276" s="4"/>
      <c r="H1276" s="4"/>
      <c r="I1276" s="4" t="s">
        <v>139</v>
      </c>
      <c r="J1276" s="4" t="s">
        <v>413</v>
      </c>
      <c r="K1276" s="4" t="s">
        <v>147</v>
      </c>
      <c r="L1276" s="4" t="s">
        <v>4181</v>
      </c>
      <c r="M1276" s="4" t="s">
        <v>173</v>
      </c>
      <c r="N1276" s="4" t="s">
        <v>155</v>
      </c>
      <c r="O1276" s="4" t="s">
        <v>501</v>
      </c>
      <c r="P1276" s="4"/>
    </row>
    <row r="1277" spans="1:16" ht="15">
      <c r="A1277" s="4" t="s">
        <v>2167</v>
      </c>
      <c r="B1277" s="30">
        <v>39923</v>
      </c>
      <c r="C1277" s="4"/>
      <c r="D1277" s="4" t="s">
        <v>4183</v>
      </c>
      <c r="E1277" s="4" t="s">
        <v>170</v>
      </c>
      <c r="F1277" s="4" t="s">
        <v>155</v>
      </c>
      <c r="G1277" s="4"/>
      <c r="H1277" s="4"/>
      <c r="I1277" s="4" t="s">
        <v>140</v>
      </c>
      <c r="J1277" s="4" t="s">
        <v>413</v>
      </c>
      <c r="K1277" s="4" t="s">
        <v>142</v>
      </c>
      <c r="L1277" s="4" t="s">
        <v>4176</v>
      </c>
      <c r="M1277" s="4"/>
      <c r="N1277" s="4" t="s">
        <v>159</v>
      </c>
      <c r="O1277" s="4" t="s">
        <v>126</v>
      </c>
      <c r="P1277" s="4" t="s">
        <v>601</v>
      </c>
    </row>
    <row r="1278" spans="1:16" ht="15">
      <c r="A1278" s="4" t="s">
        <v>2168</v>
      </c>
      <c r="B1278" s="30">
        <v>39947</v>
      </c>
      <c r="C1278" s="4"/>
      <c r="D1278" s="4" t="s">
        <v>194</v>
      </c>
      <c r="E1278" s="4" t="s">
        <v>170</v>
      </c>
      <c r="F1278" s="4" t="s">
        <v>155</v>
      </c>
      <c r="G1278" s="4"/>
      <c r="H1278" s="4"/>
      <c r="I1278" s="4" t="s">
        <v>139</v>
      </c>
      <c r="J1278" s="4" t="s">
        <v>179</v>
      </c>
      <c r="K1278" s="4" t="s">
        <v>147</v>
      </c>
      <c r="L1278" s="4" t="s">
        <v>165</v>
      </c>
      <c r="M1278" s="4" t="s">
        <v>2169</v>
      </c>
      <c r="N1278" s="4" t="s">
        <v>158</v>
      </c>
      <c r="O1278" s="4" t="s">
        <v>122</v>
      </c>
      <c r="P1278" s="4"/>
    </row>
    <row r="1279" spans="1:16" ht="15">
      <c r="A1279" s="4" t="s">
        <v>2170</v>
      </c>
      <c r="B1279" s="30">
        <v>40007</v>
      </c>
      <c r="C1279" s="4" t="s">
        <v>383</v>
      </c>
      <c r="D1279" s="4" t="s">
        <v>195</v>
      </c>
      <c r="E1279" s="4" t="s">
        <v>170</v>
      </c>
      <c r="F1279" s="4" t="s">
        <v>155</v>
      </c>
      <c r="G1279" s="4">
        <v>5</v>
      </c>
      <c r="H1279" s="4">
        <v>3</v>
      </c>
      <c r="I1279" s="4" t="s">
        <v>139</v>
      </c>
      <c r="J1279" s="4" t="s">
        <v>179</v>
      </c>
      <c r="K1279" s="4" t="s">
        <v>144</v>
      </c>
      <c r="L1279" s="4" t="s">
        <v>4176</v>
      </c>
      <c r="M1279" s="4" t="s">
        <v>2171</v>
      </c>
      <c r="N1279" s="4" t="s">
        <v>517</v>
      </c>
      <c r="O1279" s="4" t="s">
        <v>2172</v>
      </c>
      <c r="P1279" s="4" t="s">
        <v>2173</v>
      </c>
    </row>
    <row r="1280" spans="1:16" ht="15">
      <c r="A1280" s="4" t="s">
        <v>2174</v>
      </c>
      <c r="B1280" s="30">
        <v>39980</v>
      </c>
      <c r="C1280" s="4"/>
      <c r="D1280" s="4" t="s">
        <v>193</v>
      </c>
      <c r="E1280" s="4" t="s">
        <v>170</v>
      </c>
      <c r="F1280" s="4" t="s">
        <v>155</v>
      </c>
      <c r="G1280" s="4"/>
      <c r="H1280" s="4"/>
      <c r="I1280" s="4" t="s">
        <v>140</v>
      </c>
      <c r="J1280" s="4" t="s">
        <v>189</v>
      </c>
      <c r="K1280" s="4" t="s">
        <v>142</v>
      </c>
      <c r="L1280" s="4" t="s">
        <v>4176</v>
      </c>
      <c r="M1280" s="4" t="s">
        <v>1184</v>
      </c>
      <c r="N1280" s="4" t="s">
        <v>160</v>
      </c>
      <c r="O1280" s="4" t="s">
        <v>126</v>
      </c>
      <c r="P1280" s="4" t="s">
        <v>665</v>
      </c>
    </row>
    <row r="1281" spans="1:16" ht="15">
      <c r="A1281" s="4" t="s">
        <v>2175</v>
      </c>
      <c r="B1281" s="30">
        <v>39974</v>
      </c>
      <c r="C1281" s="4" t="s">
        <v>496</v>
      </c>
      <c r="D1281" s="4" t="s">
        <v>193</v>
      </c>
      <c r="E1281" s="4" t="s">
        <v>170</v>
      </c>
      <c r="F1281" s="4" t="s">
        <v>155</v>
      </c>
      <c r="G1281" s="4"/>
      <c r="H1281" s="4"/>
      <c r="I1281" s="4" t="s">
        <v>140</v>
      </c>
      <c r="J1281" s="4" t="s">
        <v>179</v>
      </c>
      <c r="K1281" s="4" t="s">
        <v>148</v>
      </c>
      <c r="L1281" s="4" t="s">
        <v>4176</v>
      </c>
      <c r="M1281" s="4" t="s">
        <v>2176</v>
      </c>
      <c r="N1281" s="4" t="s">
        <v>517</v>
      </c>
      <c r="O1281" s="4" t="s">
        <v>123</v>
      </c>
      <c r="P1281" s="4" t="s">
        <v>123</v>
      </c>
    </row>
    <row r="1282" spans="1:16" ht="15">
      <c r="A1282" s="4" t="s">
        <v>2177</v>
      </c>
      <c r="B1282" s="30">
        <v>40039</v>
      </c>
      <c r="C1282" s="4"/>
      <c r="D1282" s="4" t="s">
        <v>193</v>
      </c>
      <c r="E1282" s="4" t="s">
        <v>170</v>
      </c>
      <c r="F1282" s="4" t="s">
        <v>155</v>
      </c>
      <c r="G1282" s="4">
        <v>5</v>
      </c>
      <c r="H1282" s="4">
        <v>4</v>
      </c>
      <c r="I1282" s="4" t="s">
        <v>140</v>
      </c>
      <c r="J1282" s="4" t="s">
        <v>179</v>
      </c>
      <c r="K1282" s="4" t="s">
        <v>146</v>
      </c>
      <c r="L1282" s="4" t="s">
        <v>162</v>
      </c>
      <c r="M1282" s="4" t="s">
        <v>175</v>
      </c>
      <c r="N1282" s="4" t="s">
        <v>155</v>
      </c>
      <c r="O1282" s="4" t="s">
        <v>129</v>
      </c>
      <c r="P1282" s="4"/>
    </row>
    <row r="1283" spans="1:16" ht="15">
      <c r="A1283" s="4" t="s">
        <v>2178</v>
      </c>
      <c r="B1283" s="30">
        <v>40060</v>
      </c>
      <c r="C1283" s="4"/>
      <c r="D1283" s="4" t="s">
        <v>195</v>
      </c>
      <c r="E1283" s="4" t="s">
        <v>170</v>
      </c>
      <c r="F1283" s="4" t="s">
        <v>155</v>
      </c>
      <c r="G1283" s="4">
        <v>5</v>
      </c>
      <c r="H1283" s="4">
        <v>5</v>
      </c>
      <c r="I1283" s="4" t="s">
        <v>139</v>
      </c>
      <c r="J1283" s="4" t="s">
        <v>185</v>
      </c>
      <c r="K1283" s="4" t="s">
        <v>143</v>
      </c>
      <c r="L1283" s="4" t="s">
        <v>4176</v>
      </c>
      <c r="M1283" s="4"/>
      <c r="N1283" s="4" t="s">
        <v>159</v>
      </c>
      <c r="O1283" s="4" t="s">
        <v>126</v>
      </c>
      <c r="P1283" s="4" t="s">
        <v>601</v>
      </c>
    </row>
    <row r="1284" spans="1:16" ht="15">
      <c r="A1284" s="4" t="s">
        <v>2179</v>
      </c>
      <c r="B1284" s="30">
        <v>40035</v>
      </c>
      <c r="C1284" s="4" t="s">
        <v>380</v>
      </c>
      <c r="D1284" s="4" t="s">
        <v>197</v>
      </c>
      <c r="E1284" s="4" t="s">
        <v>170</v>
      </c>
      <c r="F1284" s="4" t="s">
        <v>155</v>
      </c>
      <c r="G1284" s="4">
        <v>5</v>
      </c>
      <c r="H1284" s="4">
        <v>5</v>
      </c>
      <c r="I1284" s="4" t="s">
        <v>139</v>
      </c>
      <c r="J1284" s="4" t="s">
        <v>179</v>
      </c>
      <c r="K1284" s="4" t="s">
        <v>144</v>
      </c>
      <c r="L1284" s="4" t="s">
        <v>4181</v>
      </c>
      <c r="M1284" s="4" t="s">
        <v>173</v>
      </c>
      <c r="N1284" s="4" t="s">
        <v>155</v>
      </c>
      <c r="O1284" s="4" t="s">
        <v>125</v>
      </c>
      <c r="P1284" s="4"/>
    </row>
    <row r="1285" spans="1:16" ht="15">
      <c r="A1285" s="4" t="s">
        <v>2180</v>
      </c>
      <c r="B1285" s="30">
        <v>39979</v>
      </c>
      <c r="C1285" s="4"/>
      <c r="D1285" s="4" t="s">
        <v>195</v>
      </c>
      <c r="E1285" s="4" t="s">
        <v>170</v>
      </c>
      <c r="F1285" s="4" t="s">
        <v>155</v>
      </c>
      <c r="G1285" s="4"/>
      <c r="H1285" s="4"/>
      <c r="I1285" s="4" t="s">
        <v>139</v>
      </c>
      <c r="J1285" s="4" t="s">
        <v>189</v>
      </c>
      <c r="K1285" s="4" t="s">
        <v>145</v>
      </c>
      <c r="L1285" s="4" t="s">
        <v>4181</v>
      </c>
      <c r="M1285" s="4" t="s">
        <v>173</v>
      </c>
      <c r="N1285" s="4" t="s">
        <v>155</v>
      </c>
      <c r="O1285" s="4" t="s">
        <v>406</v>
      </c>
      <c r="P1285" s="4"/>
    </row>
    <row r="1286" spans="1:16" ht="15">
      <c r="A1286" s="4" t="s">
        <v>2181</v>
      </c>
      <c r="B1286" s="30">
        <v>39931</v>
      </c>
      <c r="C1286" s="4"/>
      <c r="D1286" s="4" t="s">
        <v>4183</v>
      </c>
      <c r="E1286" s="4" t="s">
        <v>170</v>
      </c>
      <c r="F1286" s="4" t="s">
        <v>155</v>
      </c>
      <c r="G1286" s="4"/>
      <c r="H1286" s="4"/>
      <c r="I1286" s="4" t="s">
        <v>140</v>
      </c>
      <c r="J1286" s="4" t="s">
        <v>179</v>
      </c>
      <c r="K1286" s="4" t="s">
        <v>142</v>
      </c>
      <c r="L1286" s="4" t="s">
        <v>4181</v>
      </c>
      <c r="M1286" s="4" t="s">
        <v>2182</v>
      </c>
      <c r="N1286" s="4" t="s">
        <v>155</v>
      </c>
      <c r="O1286" s="4" t="s">
        <v>692</v>
      </c>
      <c r="P1286" s="4"/>
    </row>
    <row r="1287" spans="1:16" ht="15">
      <c r="A1287" s="4" t="s">
        <v>2183</v>
      </c>
      <c r="B1287" s="30">
        <v>40000</v>
      </c>
      <c r="C1287" s="4"/>
      <c r="D1287" s="4" t="s">
        <v>193</v>
      </c>
      <c r="E1287" s="4" t="s">
        <v>170</v>
      </c>
      <c r="F1287" s="4" t="s">
        <v>155</v>
      </c>
      <c r="G1287" s="4"/>
      <c r="H1287" s="4">
        <v>3</v>
      </c>
      <c r="I1287" s="4" t="s">
        <v>140</v>
      </c>
      <c r="J1287" s="4" t="s">
        <v>179</v>
      </c>
      <c r="K1287" s="4" t="s">
        <v>144</v>
      </c>
      <c r="L1287" s="4" t="s">
        <v>162</v>
      </c>
      <c r="M1287" s="4" t="s">
        <v>175</v>
      </c>
      <c r="N1287" s="4" t="s">
        <v>155</v>
      </c>
      <c r="O1287" s="4" t="s">
        <v>130</v>
      </c>
      <c r="P1287" s="4"/>
    </row>
    <row r="1288" spans="1:16" ht="15">
      <c r="A1288" s="4" t="s">
        <v>2184</v>
      </c>
      <c r="B1288" s="30">
        <v>40020</v>
      </c>
      <c r="C1288" s="4"/>
      <c r="D1288" s="4" t="s">
        <v>197</v>
      </c>
      <c r="E1288" s="4" t="s">
        <v>170</v>
      </c>
      <c r="F1288" s="4" t="s">
        <v>155</v>
      </c>
      <c r="G1288" s="4">
        <v>4</v>
      </c>
      <c r="H1288" s="4">
        <v>5</v>
      </c>
      <c r="I1288" s="4" t="s">
        <v>139</v>
      </c>
      <c r="J1288" s="4" t="s">
        <v>189</v>
      </c>
      <c r="K1288" s="4" t="s">
        <v>148</v>
      </c>
      <c r="L1288" s="4" t="s">
        <v>4176</v>
      </c>
      <c r="M1288" s="4" t="s">
        <v>174</v>
      </c>
      <c r="N1288" s="4" t="s">
        <v>156</v>
      </c>
      <c r="O1288" s="4" t="s">
        <v>120</v>
      </c>
      <c r="P1288" s="4" t="s">
        <v>715</v>
      </c>
    </row>
    <row r="1289" spans="1:16" ht="15">
      <c r="A1289" s="4" t="s">
        <v>2185</v>
      </c>
      <c r="B1289" s="30">
        <v>40028</v>
      </c>
      <c r="C1289" s="4"/>
      <c r="D1289" s="4" t="s">
        <v>193</v>
      </c>
      <c r="E1289" s="4" t="s">
        <v>170</v>
      </c>
      <c r="F1289" s="4" t="s">
        <v>155</v>
      </c>
      <c r="G1289" s="4">
        <v>5</v>
      </c>
      <c r="H1289" s="4">
        <v>3</v>
      </c>
      <c r="I1289" s="4" t="s">
        <v>140</v>
      </c>
      <c r="J1289" s="4" t="s">
        <v>189</v>
      </c>
      <c r="K1289" s="4" t="s">
        <v>145</v>
      </c>
      <c r="L1289" s="4" t="s">
        <v>4176</v>
      </c>
      <c r="M1289" s="4" t="s">
        <v>659</v>
      </c>
      <c r="N1289" s="4" t="s">
        <v>156</v>
      </c>
      <c r="O1289" s="4" t="s">
        <v>120</v>
      </c>
      <c r="P1289" s="4" t="s">
        <v>1434</v>
      </c>
    </row>
    <row r="1290" spans="1:16" ht="15">
      <c r="A1290" s="4" t="s">
        <v>2186</v>
      </c>
      <c r="B1290" s="30">
        <v>39913</v>
      </c>
      <c r="C1290" s="4"/>
      <c r="D1290" s="4" t="s">
        <v>4177</v>
      </c>
      <c r="E1290" s="4" t="s">
        <v>170</v>
      </c>
      <c r="F1290" s="4" t="s">
        <v>155</v>
      </c>
      <c r="G1290" s="4"/>
      <c r="H1290" s="4"/>
      <c r="I1290" s="4" t="s">
        <v>139</v>
      </c>
      <c r="J1290" s="4" t="s">
        <v>179</v>
      </c>
      <c r="K1290" s="4" t="s">
        <v>142</v>
      </c>
      <c r="L1290" s="4" t="s">
        <v>165</v>
      </c>
      <c r="M1290" s="4" t="s">
        <v>2187</v>
      </c>
      <c r="N1290" s="4" t="s">
        <v>158</v>
      </c>
      <c r="O1290" s="4" t="s">
        <v>122</v>
      </c>
      <c r="P1290" s="4"/>
    </row>
    <row r="1291" spans="1:16" ht="15">
      <c r="A1291" s="4" t="s">
        <v>2188</v>
      </c>
      <c r="B1291" s="30">
        <v>39925</v>
      </c>
      <c r="C1291" s="4" t="s">
        <v>9</v>
      </c>
      <c r="D1291" s="4" t="s">
        <v>4180</v>
      </c>
      <c r="E1291" s="4" t="s">
        <v>170</v>
      </c>
      <c r="F1291" s="4" t="s">
        <v>155</v>
      </c>
      <c r="G1291" s="4"/>
      <c r="H1291" s="4"/>
      <c r="I1291" s="4" t="s">
        <v>139</v>
      </c>
      <c r="J1291" s="4" t="s">
        <v>179</v>
      </c>
      <c r="K1291" s="4" t="s">
        <v>148</v>
      </c>
      <c r="L1291" s="4" t="s">
        <v>4181</v>
      </c>
      <c r="M1291" s="4" t="s">
        <v>173</v>
      </c>
      <c r="N1291" s="4" t="s">
        <v>155</v>
      </c>
      <c r="O1291" s="4" t="s">
        <v>571</v>
      </c>
      <c r="P1291" s="4"/>
    </row>
    <row r="1292" spans="1:16" ht="15">
      <c r="A1292" s="4" t="s">
        <v>2189</v>
      </c>
      <c r="B1292" s="30">
        <v>40064</v>
      </c>
      <c r="C1292" s="4" t="s">
        <v>525</v>
      </c>
      <c r="D1292" s="4" t="s">
        <v>544</v>
      </c>
      <c r="E1292" s="4" t="s">
        <v>170</v>
      </c>
      <c r="F1292" s="4" t="s">
        <v>155</v>
      </c>
      <c r="G1292" s="4">
        <v>5</v>
      </c>
      <c r="H1292" s="4">
        <v>5</v>
      </c>
      <c r="I1292" s="4" t="s">
        <v>139</v>
      </c>
      <c r="J1292" s="4" t="s">
        <v>179</v>
      </c>
      <c r="K1292" s="4" t="s">
        <v>148</v>
      </c>
      <c r="L1292" s="4" t="s">
        <v>4176</v>
      </c>
      <c r="M1292" s="4" t="s">
        <v>174</v>
      </c>
      <c r="N1292" s="4" t="s">
        <v>156</v>
      </c>
      <c r="O1292" s="4" t="s">
        <v>120</v>
      </c>
      <c r="P1292" s="4" t="s">
        <v>794</v>
      </c>
    </row>
    <row r="1293" spans="1:16" ht="15">
      <c r="A1293" s="4" t="s">
        <v>2190</v>
      </c>
      <c r="B1293" s="30">
        <v>40038</v>
      </c>
      <c r="C1293" s="4"/>
      <c r="D1293" s="4" t="s">
        <v>197</v>
      </c>
      <c r="E1293" s="4" t="s">
        <v>170</v>
      </c>
      <c r="F1293" s="4" t="s">
        <v>155</v>
      </c>
      <c r="G1293" s="4">
        <v>5</v>
      </c>
      <c r="H1293" s="4">
        <v>5</v>
      </c>
      <c r="I1293" s="4" t="s">
        <v>139</v>
      </c>
      <c r="J1293" s="4" t="s">
        <v>509</v>
      </c>
      <c r="K1293" s="4" t="s">
        <v>150</v>
      </c>
      <c r="L1293" s="4" t="s">
        <v>4176</v>
      </c>
      <c r="M1293" s="4" t="s">
        <v>174</v>
      </c>
      <c r="N1293" s="4" t="s">
        <v>156</v>
      </c>
      <c r="O1293" s="4" t="s">
        <v>120</v>
      </c>
      <c r="P1293" s="4" t="s">
        <v>425</v>
      </c>
    </row>
    <row r="1294" spans="1:16" ht="15">
      <c r="A1294" s="4" t="s">
        <v>2191</v>
      </c>
      <c r="B1294" s="30">
        <v>39980</v>
      </c>
      <c r="C1294" s="4"/>
      <c r="D1294" s="4" t="s">
        <v>195</v>
      </c>
      <c r="E1294" s="4" t="s">
        <v>170</v>
      </c>
      <c r="F1294" s="4" t="s">
        <v>155</v>
      </c>
      <c r="G1294" s="4"/>
      <c r="H1294" s="4"/>
      <c r="I1294" s="4" t="s">
        <v>139</v>
      </c>
      <c r="J1294" s="4" t="s">
        <v>185</v>
      </c>
      <c r="K1294" s="4" t="s">
        <v>149</v>
      </c>
      <c r="L1294" s="4" t="s">
        <v>4181</v>
      </c>
      <c r="M1294" s="4" t="s">
        <v>173</v>
      </c>
      <c r="N1294" s="4" t="s">
        <v>161</v>
      </c>
      <c r="O1294" s="4" t="s">
        <v>638</v>
      </c>
      <c r="P1294" s="4"/>
    </row>
    <row r="1295" spans="1:16" ht="15">
      <c r="A1295" s="4" t="s">
        <v>2192</v>
      </c>
      <c r="B1295" s="30">
        <v>40074</v>
      </c>
      <c r="C1295" s="4"/>
      <c r="D1295" s="4" t="s">
        <v>195</v>
      </c>
      <c r="E1295" s="4" t="s">
        <v>170</v>
      </c>
      <c r="F1295" s="4" t="s">
        <v>155</v>
      </c>
      <c r="G1295" s="4">
        <v>5</v>
      </c>
      <c r="H1295" s="4">
        <v>5</v>
      </c>
      <c r="I1295" s="4" t="s">
        <v>139</v>
      </c>
      <c r="J1295" s="4" t="s">
        <v>178</v>
      </c>
      <c r="K1295" s="4" t="s">
        <v>143</v>
      </c>
      <c r="L1295" s="4" t="s">
        <v>4176</v>
      </c>
      <c r="M1295" s="4" t="s">
        <v>174</v>
      </c>
      <c r="N1295" s="4" t="s">
        <v>156</v>
      </c>
      <c r="O1295" s="4" t="s">
        <v>120</v>
      </c>
      <c r="P1295" s="4" t="s">
        <v>620</v>
      </c>
    </row>
    <row r="1296" spans="1:16" ht="15">
      <c r="A1296" s="4" t="s">
        <v>2193</v>
      </c>
      <c r="B1296" s="30">
        <v>39988</v>
      </c>
      <c r="C1296" s="4" t="s">
        <v>9</v>
      </c>
      <c r="D1296" s="4" t="s">
        <v>196</v>
      </c>
      <c r="E1296" s="4" t="s">
        <v>170</v>
      </c>
      <c r="F1296" s="4" t="s">
        <v>155</v>
      </c>
      <c r="G1296" s="4"/>
      <c r="H1296" s="4"/>
      <c r="I1296" s="4" t="s">
        <v>139</v>
      </c>
      <c r="J1296" s="4" t="s">
        <v>185</v>
      </c>
      <c r="K1296" s="4" t="s">
        <v>146</v>
      </c>
      <c r="L1296" s="4" t="s">
        <v>4176</v>
      </c>
      <c r="M1296" s="4" t="s">
        <v>2194</v>
      </c>
      <c r="N1296" s="4" t="s">
        <v>159</v>
      </c>
      <c r="O1296" s="4" t="s">
        <v>123</v>
      </c>
      <c r="P1296" s="4" t="s">
        <v>123</v>
      </c>
    </row>
    <row r="1297" spans="1:16" ht="15">
      <c r="A1297" s="4" t="s">
        <v>2195</v>
      </c>
      <c r="B1297" s="30">
        <v>40032</v>
      </c>
      <c r="C1297" s="4"/>
      <c r="D1297" s="4" t="s">
        <v>196</v>
      </c>
      <c r="E1297" s="4" t="s">
        <v>170</v>
      </c>
      <c r="F1297" s="4" t="s">
        <v>155</v>
      </c>
      <c r="G1297" s="4">
        <v>5</v>
      </c>
      <c r="H1297" s="4">
        <v>3</v>
      </c>
      <c r="I1297" s="4" t="s">
        <v>139</v>
      </c>
      <c r="J1297" s="4" t="s">
        <v>185</v>
      </c>
      <c r="K1297" s="4" t="s">
        <v>149</v>
      </c>
      <c r="L1297" s="4" t="s">
        <v>4181</v>
      </c>
      <c r="M1297" s="4" t="s">
        <v>173</v>
      </c>
      <c r="N1297" s="4" t="s">
        <v>155</v>
      </c>
      <c r="O1297" s="4" t="s">
        <v>127</v>
      </c>
      <c r="P1297" s="4"/>
    </row>
    <row r="1298" spans="1:16" ht="15">
      <c r="A1298" s="4" t="s">
        <v>2196</v>
      </c>
      <c r="B1298" s="30">
        <v>40074</v>
      </c>
      <c r="C1298" s="4"/>
      <c r="D1298" s="4" t="s">
        <v>195</v>
      </c>
      <c r="E1298" s="4" t="s">
        <v>170</v>
      </c>
      <c r="F1298" s="4" t="s">
        <v>155</v>
      </c>
      <c r="G1298" s="4">
        <v>5</v>
      </c>
      <c r="H1298" s="4">
        <v>5</v>
      </c>
      <c r="I1298" s="4" t="s">
        <v>139</v>
      </c>
      <c r="J1298" s="4" t="s">
        <v>182</v>
      </c>
      <c r="K1298" s="4" t="s">
        <v>144</v>
      </c>
      <c r="L1298" s="4" t="s">
        <v>4181</v>
      </c>
      <c r="M1298" s="4" t="s">
        <v>173</v>
      </c>
      <c r="N1298" s="4" t="s">
        <v>155</v>
      </c>
      <c r="O1298" s="4" t="s">
        <v>128</v>
      </c>
      <c r="P1298" s="4"/>
    </row>
    <row r="1299" spans="1:16" ht="15">
      <c r="A1299" s="4" t="s">
        <v>2197</v>
      </c>
      <c r="B1299" s="30">
        <v>40083</v>
      </c>
      <c r="C1299" s="4"/>
      <c r="D1299" s="4" t="s">
        <v>193</v>
      </c>
      <c r="E1299" s="4" t="s">
        <v>170</v>
      </c>
      <c r="F1299" s="4" t="s">
        <v>155</v>
      </c>
      <c r="G1299" s="4">
        <v>3</v>
      </c>
      <c r="H1299" s="4">
        <v>2</v>
      </c>
      <c r="I1299" s="4" t="s">
        <v>140</v>
      </c>
      <c r="J1299" s="4" t="s">
        <v>191</v>
      </c>
      <c r="K1299" s="4" t="s">
        <v>145</v>
      </c>
      <c r="L1299" s="4" t="s">
        <v>4181</v>
      </c>
      <c r="M1299" s="4" t="s">
        <v>1042</v>
      </c>
      <c r="N1299" s="4" t="s">
        <v>155</v>
      </c>
      <c r="O1299" s="4" t="s">
        <v>128</v>
      </c>
      <c r="P1299" s="4"/>
    </row>
    <row r="1300" spans="1:16" ht="15">
      <c r="A1300" s="4" t="s">
        <v>2198</v>
      </c>
      <c r="B1300" s="30">
        <v>39917</v>
      </c>
      <c r="C1300" s="4"/>
      <c r="D1300" s="4" t="s">
        <v>4177</v>
      </c>
      <c r="E1300" s="4" t="s">
        <v>170</v>
      </c>
      <c r="F1300" s="4" t="s">
        <v>155</v>
      </c>
      <c r="G1300" s="4"/>
      <c r="H1300" s="4"/>
      <c r="I1300" s="4" t="s">
        <v>139</v>
      </c>
      <c r="J1300" s="4" t="s">
        <v>180</v>
      </c>
      <c r="K1300" s="4" t="s">
        <v>145</v>
      </c>
      <c r="L1300" s="4" t="s">
        <v>162</v>
      </c>
      <c r="M1300" s="4" t="s">
        <v>863</v>
      </c>
      <c r="N1300" s="4" t="s">
        <v>155</v>
      </c>
      <c r="O1300" s="4" t="s">
        <v>439</v>
      </c>
      <c r="P1300" s="4"/>
    </row>
    <row r="1301" spans="1:16" ht="15">
      <c r="A1301" s="4" t="s">
        <v>2199</v>
      </c>
      <c r="B1301" s="30">
        <v>40057</v>
      </c>
      <c r="C1301" s="4" t="s">
        <v>9</v>
      </c>
      <c r="D1301" s="4" t="s">
        <v>193</v>
      </c>
      <c r="E1301" s="4" t="s">
        <v>170</v>
      </c>
      <c r="F1301" s="4" t="s">
        <v>155</v>
      </c>
      <c r="G1301" s="4"/>
      <c r="H1301" s="4"/>
      <c r="I1301" s="4" t="s">
        <v>140</v>
      </c>
      <c r="J1301" s="4" t="s">
        <v>178</v>
      </c>
      <c r="K1301" s="4" t="s">
        <v>145</v>
      </c>
      <c r="L1301" s="4" t="s">
        <v>4176</v>
      </c>
      <c r="M1301" s="4" t="s">
        <v>619</v>
      </c>
      <c r="N1301" s="4" t="s">
        <v>159</v>
      </c>
      <c r="O1301" s="4" t="s">
        <v>123</v>
      </c>
      <c r="P1301" s="4" t="s">
        <v>123</v>
      </c>
    </row>
    <row r="1302" spans="1:16" ht="15">
      <c r="A1302" s="4" t="s">
        <v>2200</v>
      </c>
      <c r="B1302" s="30">
        <v>40043</v>
      </c>
      <c r="C1302" s="4"/>
      <c r="D1302" s="4" t="s">
        <v>195</v>
      </c>
      <c r="E1302" s="4" t="s">
        <v>170</v>
      </c>
      <c r="F1302" s="4" t="s">
        <v>155</v>
      </c>
      <c r="G1302" s="4">
        <v>5</v>
      </c>
      <c r="H1302" s="4">
        <v>2</v>
      </c>
      <c r="I1302" s="4" t="s">
        <v>139</v>
      </c>
      <c r="J1302" s="4" t="s">
        <v>576</v>
      </c>
      <c r="K1302" s="4" t="s">
        <v>142</v>
      </c>
      <c r="L1302" s="4" t="s">
        <v>4176</v>
      </c>
      <c r="M1302" s="4" t="s">
        <v>2201</v>
      </c>
      <c r="N1302" s="4" t="s">
        <v>157</v>
      </c>
      <c r="O1302" s="4" t="s">
        <v>434</v>
      </c>
      <c r="P1302" s="4" t="s">
        <v>435</v>
      </c>
    </row>
    <row r="1303" spans="1:16" ht="15">
      <c r="A1303" s="4" t="s">
        <v>2202</v>
      </c>
      <c r="B1303" s="30">
        <v>39982</v>
      </c>
      <c r="C1303" s="4" t="s">
        <v>9</v>
      </c>
      <c r="D1303" s="4" t="s">
        <v>194</v>
      </c>
      <c r="E1303" s="4" t="s">
        <v>170</v>
      </c>
      <c r="F1303" s="4" t="s">
        <v>155</v>
      </c>
      <c r="G1303" s="4"/>
      <c r="H1303" s="4"/>
      <c r="I1303" s="4" t="s">
        <v>139</v>
      </c>
      <c r="J1303" s="4" t="s">
        <v>937</v>
      </c>
      <c r="K1303" s="4" t="s">
        <v>144</v>
      </c>
      <c r="L1303" s="4" t="s">
        <v>4181</v>
      </c>
      <c r="M1303" s="4" t="s">
        <v>173</v>
      </c>
      <c r="N1303" s="4" t="s">
        <v>155</v>
      </c>
      <c r="O1303" s="4" t="s">
        <v>125</v>
      </c>
      <c r="P1303" s="4"/>
    </row>
    <row r="1304" spans="1:16" ht="15">
      <c r="A1304" s="4" t="s">
        <v>2203</v>
      </c>
      <c r="B1304" s="30">
        <v>40018</v>
      </c>
      <c r="C1304" s="4"/>
      <c r="D1304" s="4" t="s">
        <v>195</v>
      </c>
      <c r="E1304" s="4" t="s">
        <v>170</v>
      </c>
      <c r="F1304" s="4" t="s">
        <v>155</v>
      </c>
      <c r="G1304" s="4">
        <v>5</v>
      </c>
      <c r="H1304" s="4">
        <v>4</v>
      </c>
      <c r="I1304" s="4" t="s">
        <v>139</v>
      </c>
      <c r="J1304" s="4" t="s">
        <v>181</v>
      </c>
      <c r="K1304" s="4" t="s">
        <v>149</v>
      </c>
      <c r="L1304" s="4" t="s">
        <v>162</v>
      </c>
      <c r="M1304" s="4" t="s">
        <v>622</v>
      </c>
      <c r="N1304" s="4" t="s">
        <v>155</v>
      </c>
      <c r="O1304" s="4" t="s">
        <v>130</v>
      </c>
      <c r="P1304" s="4"/>
    </row>
    <row r="1305" spans="1:16" ht="15">
      <c r="A1305" s="4" t="s">
        <v>2204</v>
      </c>
      <c r="B1305" s="30">
        <v>40062</v>
      </c>
      <c r="C1305" s="4" t="s">
        <v>525</v>
      </c>
      <c r="D1305" s="4" t="s">
        <v>196</v>
      </c>
      <c r="E1305" s="4" t="s">
        <v>170</v>
      </c>
      <c r="F1305" s="4" t="s">
        <v>155</v>
      </c>
      <c r="G1305" s="4">
        <v>5</v>
      </c>
      <c r="H1305" s="4">
        <v>3</v>
      </c>
      <c r="I1305" s="4" t="s">
        <v>139</v>
      </c>
      <c r="J1305" s="4" t="s">
        <v>178</v>
      </c>
      <c r="K1305" s="4" t="s">
        <v>146</v>
      </c>
      <c r="L1305" s="4" t="s">
        <v>165</v>
      </c>
      <c r="M1305" s="4"/>
      <c r="N1305" s="4" t="s">
        <v>158</v>
      </c>
      <c r="O1305" s="4" t="s">
        <v>122</v>
      </c>
      <c r="P1305" s="4"/>
    </row>
    <row r="1306" spans="1:16" ht="15">
      <c r="A1306" s="4" t="s">
        <v>2205</v>
      </c>
      <c r="B1306" s="30">
        <v>39929</v>
      </c>
      <c r="C1306" s="4"/>
      <c r="D1306" s="4" t="s">
        <v>4183</v>
      </c>
      <c r="E1306" s="4" t="s">
        <v>170</v>
      </c>
      <c r="F1306" s="4" t="s">
        <v>155</v>
      </c>
      <c r="G1306" s="4"/>
      <c r="H1306" s="4"/>
      <c r="I1306" s="4" t="s">
        <v>140</v>
      </c>
      <c r="J1306" s="4" t="s">
        <v>178</v>
      </c>
      <c r="K1306" s="4" t="s">
        <v>149</v>
      </c>
      <c r="L1306" s="4" t="s">
        <v>4176</v>
      </c>
      <c r="M1306" s="4" t="s">
        <v>174</v>
      </c>
      <c r="N1306" s="4" t="s">
        <v>157</v>
      </c>
      <c r="O1306" s="4" t="s">
        <v>571</v>
      </c>
      <c r="P1306" s="4" t="s">
        <v>1845</v>
      </c>
    </row>
    <row r="1307" spans="1:16" ht="15">
      <c r="A1307" s="4" t="s">
        <v>2206</v>
      </c>
      <c r="B1307" s="30">
        <v>40021</v>
      </c>
      <c r="C1307" s="4"/>
      <c r="D1307" s="4" t="s">
        <v>197</v>
      </c>
      <c r="E1307" s="4" t="s">
        <v>170</v>
      </c>
      <c r="F1307" s="4" t="s">
        <v>155</v>
      </c>
      <c r="G1307" s="4">
        <v>5</v>
      </c>
      <c r="H1307" s="4">
        <v>5</v>
      </c>
      <c r="I1307" s="4" t="s">
        <v>139</v>
      </c>
      <c r="J1307" s="4" t="s">
        <v>576</v>
      </c>
      <c r="K1307" s="4" t="s">
        <v>148</v>
      </c>
      <c r="L1307" s="4" t="s">
        <v>162</v>
      </c>
      <c r="M1307" s="4"/>
      <c r="N1307" s="4" t="s">
        <v>155</v>
      </c>
      <c r="O1307" s="4" t="s">
        <v>130</v>
      </c>
      <c r="P1307" s="4"/>
    </row>
    <row r="1308" spans="1:16" ht="15">
      <c r="A1308" s="4" t="s">
        <v>2207</v>
      </c>
      <c r="B1308" s="30">
        <v>39922</v>
      </c>
      <c r="C1308" s="4"/>
      <c r="D1308" s="4" t="s">
        <v>4180</v>
      </c>
      <c r="E1308" s="4" t="s">
        <v>170</v>
      </c>
      <c r="F1308" s="4" t="s">
        <v>155</v>
      </c>
      <c r="G1308" s="4"/>
      <c r="H1308" s="4"/>
      <c r="I1308" s="4" t="s">
        <v>139</v>
      </c>
      <c r="J1308" s="4" t="s">
        <v>180</v>
      </c>
      <c r="K1308" s="4" t="s">
        <v>145</v>
      </c>
      <c r="L1308" s="4" t="s">
        <v>165</v>
      </c>
      <c r="M1308" s="4" t="s">
        <v>614</v>
      </c>
      <c r="N1308" s="4" t="s">
        <v>158</v>
      </c>
      <c r="O1308" s="4" t="s">
        <v>122</v>
      </c>
      <c r="P1308" s="4"/>
    </row>
    <row r="1309" spans="1:16" ht="15">
      <c r="A1309" s="4" t="s">
        <v>2208</v>
      </c>
      <c r="B1309" s="30">
        <v>40064</v>
      </c>
      <c r="C1309" s="4" t="s">
        <v>496</v>
      </c>
      <c r="D1309" s="4" t="s">
        <v>193</v>
      </c>
      <c r="E1309" s="4" t="s">
        <v>170</v>
      </c>
      <c r="F1309" s="4" t="s">
        <v>155</v>
      </c>
      <c r="G1309" s="4">
        <v>1</v>
      </c>
      <c r="H1309" s="4">
        <v>3</v>
      </c>
      <c r="I1309" s="4" t="s">
        <v>140</v>
      </c>
      <c r="J1309" s="4" t="s">
        <v>189</v>
      </c>
      <c r="K1309" s="4" t="s">
        <v>149</v>
      </c>
      <c r="L1309" s="4" t="s">
        <v>162</v>
      </c>
      <c r="M1309" s="4" t="s">
        <v>175</v>
      </c>
      <c r="N1309" s="4" t="s">
        <v>155</v>
      </c>
      <c r="O1309" s="4" t="s">
        <v>129</v>
      </c>
      <c r="P1309" s="4"/>
    </row>
    <row r="1310" spans="1:16" ht="15">
      <c r="A1310" s="4" t="s">
        <v>2209</v>
      </c>
      <c r="B1310" s="30">
        <v>39941</v>
      </c>
      <c r="C1310" s="4" t="s">
        <v>9</v>
      </c>
      <c r="D1310" s="4" t="s">
        <v>193</v>
      </c>
      <c r="E1310" s="4" t="s">
        <v>170</v>
      </c>
      <c r="F1310" s="4" t="s">
        <v>155</v>
      </c>
      <c r="G1310" s="4"/>
      <c r="H1310" s="4"/>
      <c r="I1310" s="4" t="s">
        <v>140</v>
      </c>
      <c r="J1310" s="4" t="s">
        <v>180</v>
      </c>
      <c r="K1310" s="4" t="s">
        <v>142</v>
      </c>
      <c r="L1310" s="4" t="s">
        <v>4176</v>
      </c>
      <c r="M1310" s="4" t="s">
        <v>174</v>
      </c>
      <c r="N1310" s="4" t="s">
        <v>156</v>
      </c>
      <c r="O1310" s="4" t="s">
        <v>120</v>
      </c>
      <c r="P1310" s="4" t="s">
        <v>557</v>
      </c>
    </row>
    <row r="1311" spans="1:16" ht="15">
      <c r="A1311" s="4" t="s">
        <v>2210</v>
      </c>
      <c r="B1311" s="30">
        <v>39999</v>
      </c>
      <c r="C1311" s="4"/>
      <c r="D1311" s="4" t="s">
        <v>196</v>
      </c>
      <c r="E1311" s="4" t="s">
        <v>170</v>
      </c>
      <c r="F1311" s="4" t="s">
        <v>155</v>
      </c>
      <c r="G1311" s="4"/>
      <c r="H1311" s="4">
        <v>5</v>
      </c>
      <c r="I1311" s="4" t="s">
        <v>139</v>
      </c>
      <c r="J1311" s="4" t="s">
        <v>178</v>
      </c>
      <c r="K1311" s="4" t="s">
        <v>151</v>
      </c>
      <c r="L1311" s="4" t="s">
        <v>4181</v>
      </c>
      <c r="M1311" s="4" t="s">
        <v>173</v>
      </c>
      <c r="N1311" s="4" t="s">
        <v>155</v>
      </c>
      <c r="O1311" s="4" t="s">
        <v>124</v>
      </c>
      <c r="P1311" s="4"/>
    </row>
    <row r="1312" spans="1:16" ht="15">
      <c r="A1312" s="4" t="s">
        <v>2211</v>
      </c>
      <c r="B1312" s="30">
        <v>39981</v>
      </c>
      <c r="C1312" s="4"/>
      <c r="D1312" s="4" t="s">
        <v>196</v>
      </c>
      <c r="E1312" s="4" t="s">
        <v>170</v>
      </c>
      <c r="F1312" s="4" t="s">
        <v>155</v>
      </c>
      <c r="G1312" s="4"/>
      <c r="H1312" s="4"/>
      <c r="I1312" s="4" t="s">
        <v>139</v>
      </c>
      <c r="J1312" s="4" t="s">
        <v>187</v>
      </c>
      <c r="K1312" s="4" t="s">
        <v>145</v>
      </c>
      <c r="L1312" s="4" t="s">
        <v>4181</v>
      </c>
      <c r="M1312" s="4" t="s">
        <v>173</v>
      </c>
      <c r="N1312" s="4" t="s">
        <v>155</v>
      </c>
      <c r="O1312" s="4" t="s">
        <v>734</v>
      </c>
      <c r="P1312" s="4"/>
    </row>
    <row r="1313" spans="1:16" ht="15">
      <c r="A1313" s="4" t="s">
        <v>2212</v>
      </c>
      <c r="B1313" s="30">
        <v>39908</v>
      </c>
      <c r="C1313" s="4"/>
      <c r="D1313" s="4" t="s">
        <v>4179</v>
      </c>
      <c r="E1313" s="4" t="s">
        <v>170</v>
      </c>
      <c r="F1313" s="4" t="s">
        <v>155</v>
      </c>
      <c r="G1313" s="4"/>
      <c r="H1313" s="4"/>
      <c r="I1313" s="4" t="s">
        <v>139</v>
      </c>
      <c r="J1313" s="4" t="s">
        <v>180</v>
      </c>
      <c r="K1313" s="4" t="s">
        <v>147</v>
      </c>
      <c r="L1313" s="4" t="s">
        <v>4181</v>
      </c>
      <c r="M1313" s="4" t="s">
        <v>173</v>
      </c>
      <c r="N1313" s="4" t="s">
        <v>155</v>
      </c>
      <c r="O1313" s="4" t="s">
        <v>501</v>
      </c>
      <c r="P1313" s="4"/>
    </row>
    <row r="1314" spans="1:16" ht="15">
      <c r="A1314" s="4" t="s">
        <v>2213</v>
      </c>
      <c r="B1314" s="30">
        <v>39923</v>
      </c>
      <c r="C1314" s="4"/>
      <c r="D1314" s="4" t="s">
        <v>4180</v>
      </c>
      <c r="E1314" s="4" t="s">
        <v>170</v>
      </c>
      <c r="F1314" s="4" t="s">
        <v>155</v>
      </c>
      <c r="G1314" s="4"/>
      <c r="H1314" s="4"/>
      <c r="I1314" s="4" t="s">
        <v>139</v>
      </c>
      <c r="J1314" s="4" t="s">
        <v>180</v>
      </c>
      <c r="K1314" s="4" t="s">
        <v>145</v>
      </c>
      <c r="L1314" s="4" t="s">
        <v>162</v>
      </c>
      <c r="M1314" s="4" t="s">
        <v>175</v>
      </c>
      <c r="N1314" s="4" t="s">
        <v>155</v>
      </c>
      <c r="O1314" s="4" t="s">
        <v>130</v>
      </c>
      <c r="P1314" s="4"/>
    </row>
    <row r="1315" spans="1:16" ht="15">
      <c r="A1315" s="4" t="s">
        <v>2214</v>
      </c>
      <c r="B1315" s="30">
        <v>39932</v>
      </c>
      <c r="C1315" s="4"/>
      <c r="D1315" s="4" t="s">
        <v>4179</v>
      </c>
      <c r="E1315" s="4" t="s">
        <v>170</v>
      </c>
      <c r="F1315" s="4" t="s">
        <v>155</v>
      </c>
      <c r="G1315" s="4"/>
      <c r="H1315" s="4"/>
      <c r="I1315" s="4" t="s">
        <v>139</v>
      </c>
      <c r="J1315" s="4" t="s">
        <v>180</v>
      </c>
      <c r="K1315" s="4" t="s">
        <v>142</v>
      </c>
      <c r="L1315" s="4" t="s">
        <v>4181</v>
      </c>
      <c r="M1315" s="4" t="s">
        <v>1228</v>
      </c>
      <c r="N1315" s="4" t="s">
        <v>161</v>
      </c>
      <c r="O1315" s="4" t="s">
        <v>1473</v>
      </c>
      <c r="P1315" s="4"/>
    </row>
    <row r="1316" spans="1:16" ht="15">
      <c r="A1316" s="4" t="s">
        <v>2215</v>
      </c>
      <c r="B1316" s="30">
        <v>40073</v>
      </c>
      <c r="C1316" s="4"/>
      <c r="D1316" s="4" t="s">
        <v>197</v>
      </c>
      <c r="E1316" s="4" t="s">
        <v>170</v>
      </c>
      <c r="F1316" s="4" t="s">
        <v>155</v>
      </c>
      <c r="G1316" s="4">
        <v>2</v>
      </c>
      <c r="H1316" s="4">
        <v>3</v>
      </c>
      <c r="I1316" s="4" t="s">
        <v>139</v>
      </c>
      <c r="J1316" s="4" t="s">
        <v>182</v>
      </c>
      <c r="K1316" s="4" t="s">
        <v>142</v>
      </c>
      <c r="L1316" s="4" t="s">
        <v>162</v>
      </c>
      <c r="M1316" s="4" t="s">
        <v>176</v>
      </c>
      <c r="N1316" s="4" t="s">
        <v>155</v>
      </c>
      <c r="O1316" s="4" t="s">
        <v>129</v>
      </c>
      <c r="P1316" s="4"/>
    </row>
    <row r="1317" spans="1:16" ht="15">
      <c r="A1317" s="4" t="s">
        <v>2216</v>
      </c>
      <c r="B1317" s="30">
        <v>39933</v>
      </c>
      <c r="C1317" s="4"/>
      <c r="D1317" s="4" t="s">
        <v>4180</v>
      </c>
      <c r="E1317" s="4" t="s">
        <v>170</v>
      </c>
      <c r="F1317" s="4" t="s">
        <v>155</v>
      </c>
      <c r="G1317" s="4"/>
      <c r="H1317" s="4"/>
      <c r="I1317" s="4" t="s">
        <v>139</v>
      </c>
      <c r="J1317" s="4" t="s">
        <v>180</v>
      </c>
      <c r="K1317" s="4" t="s">
        <v>147</v>
      </c>
      <c r="L1317" s="4" t="s">
        <v>4181</v>
      </c>
      <c r="M1317" s="4" t="s">
        <v>173</v>
      </c>
      <c r="N1317" s="4" t="s">
        <v>155</v>
      </c>
      <c r="O1317" s="4" t="s">
        <v>125</v>
      </c>
      <c r="P1317" s="4"/>
    </row>
    <row r="1318" spans="1:16" ht="15">
      <c r="A1318" s="4" t="s">
        <v>2217</v>
      </c>
      <c r="B1318" s="30">
        <v>40037</v>
      </c>
      <c r="C1318" s="4"/>
      <c r="D1318" s="4" t="s">
        <v>544</v>
      </c>
      <c r="E1318" s="4" t="s">
        <v>170</v>
      </c>
      <c r="F1318" s="4" t="s">
        <v>155</v>
      </c>
      <c r="G1318" s="4">
        <v>5</v>
      </c>
      <c r="H1318" s="4">
        <v>5</v>
      </c>
      <c r="I1318" s="4" t="s">
        <v>139</v>
      </c>
      <c r="J1318" s="4" t="s">
        <v>182</v>
      </c>
      <c r="K1318" s="4" t="s">
        <v>144</v>
      </c>
      <c r="L1318" s="4" t="s">
        <v>4176</v>
      </c>
      <c r="M1318" s="4" t="s">
        <v>174</v>
      </c>
      <c r="N1318" s="4" t="s">
        <v>159</v>
      </c>
      <c r="O1318" s="4" t="s">
        <v>123</v>
      </c>
      <c r="P1318" s="4" t="s">
        <v>123</v>
      </c>
    </row>
    <row r="1319" spans="1:16" ht="15">
      <c r="A1319" s="4" t="s">
        <v>2218</v>
      </c>
      <c r="B1319" s="30">
        <v>39994</v>
      </c>
      <c r="C1319" s="4"/>
      <c r="D1319" s="4" t="s">
        <v>197</v>
      </c>
      <c r="E1319" s="4" t="s">
        <v>170</v>
      </c>
      <c r="F1319" s="4" t="s">
        <v>155</v>
      </c>
      <c r="G1319" s="4"/>
      <c r="H1319" s="4">
        <v>5</v>
      </c>
      <c r="I1319" s="4" t="s">
        <v>139</v>
      </c>
      <c r="J1319" s="4" t="s">
        <v>182</v>
      </c>
      <c r="K1319" s="4" t="s">
        <v>144</v>
      </c>
      <c r="L1319" s="4" t="s">
        <v>162</v>
      </c>
      <c r="M1319" s="4" t="s">
        <v>175</v>
      </c>
      <c r="N1319" s="4" t="s">
        <v>155</v>
      </c>
      <c r="O1319" s="4" t="s">
        <v>127</v>
      </c>
      <c r="P1319" s="4"/>
    </row>
    <row r="1320" spans="1:16" ht="15">
      <c r="A1320" s="4" t="s">
        <v>2219</v>
      </c>
      <c r="B1320" s="30">
        <v>39932</v>
      </c>
      <c r="C1320" s="4"/>
      <c r="D1320" s="4" t="s">
        <v>4179</v>
      </c>
      <c r="E1320" s="4" t="s">
        <v>170</v>
      </c>
      <c r="F1320" s="4" t="s">
        <v>155</v>
      </c>
      <c r="G1320" s="4"/>
      <c r="H1320" s="4"/>
      <c r="I1320" s="4" t="s">
        <v>139</v>
      </c>
      <c r="J1320" s="4" t="s">
        <v>182</v>
      </c>
      <c r="K1320" s="4" t="s">
        <v>148</v>
      </c>
      <c r="L1320" s="4" t="s">
        <v>162</v>
      </c>
      <c r="M1320" s="4" t="s">
        <v>176</v>
      </c>
      <c r="N1320" s="4" t="s">
        <v>155</v>
      </c>
      <c r="O1320" s="4" t="s">
        <v>129</v>
      </c>
      <c r="P1320" s="4"/>
    </row>
    <row r="1321" spans="1:16" ht="15">
      <c r="A1321" s="4" t="s">
        <v>2220</v>
      </c>
      <c r="B1321" s="30">
        <v>40053</v>
      </c>
      <c r="C1321" s="4"/>
      <c r="D1321" s="4" t="s">
        <v>193</v>
      </c>
      <c r="E1321" s="4" t="s">
        <v>170</v>
      </c>
      <c r="F1321" s="4" t="s">
        <v>155</v>
      </c>
      <c r="G1321" s="4"/>
      <c r="H1321" s="4"/>
      <c r="I1321" s="4" t="s">
        <v>140</v>
      </c>
      <c r="J1321" s="4" t="s">
        <v>603</v>
      </c>
      <c r="K1321" s="4" t="s">
        <v>142</v>
      </c>
      <c r="L1321" s="4" t="s">
        <v>4176</v>
      </c>
      <c r="M1321" s="4" t="s">
        <v>174</v>
      </c>
      <c r="N1321" s="4" t="s">
        <v>156</v>
      </c>
      <c r="O1321" s="4" t="s">
        <v>120</v>
      </c>
      <c r="P1321" s="4" t="s">
        <v>1087</v>
      </c>
    </row>
    <row r="1322" spans="1:16" ht="15">
      <c r="A1322" s="4" t="s">
        <v>2221</v>
      </c>
      <c r="B1322" s="30">
        <v>39957</v>
      </c>
      <c r="C1322" s="4"/>
      <c r="D1322" s="4" t="s">
        <v>194</v>
      </c>
      <c r="E1322" s="4" t="s">
        <v>170</v>
      </c>
      <c r="F1322" s="4" t="s">
        <v>155</v>
      </c>
      <c r="G1322" s="4"/>
      <c r="H1322" s="4"/>
      <c r="I1322" s="4" t="s">
        <v>139</v>
      </c>
      <c r="J1322" s="4" t="s">
        <v>178</v>
      </c>
      <c r="K1322" s="4" t="s">
        <v>143</v>
      </c>
      <c r="L1322" s="4" t="s">
        <v>4181</v>
      </c>
      <c r="M1322" s="4" t="s">
        <v>173</v>
      </c>
      <c r="N1322" s="4" t="s">
        <v>155</v>
      </c>
      <c r="O1322" s="4" t="s">
        <v>571</v>
      </c>
      <c r="P1322" s="4"/>
    </row>
    <row r="1323" spans="1:16" ht="15">
      <c r="A1323" s="4" t="s">
        <v>2222</v>
      </c>
      <c r="B1323" s="30">
        <v>40026</v>
      </c>
      <c r="C1323" s="4"/>
      <c r="D1323" s="4" t="s">
        <v>193</v>
      </c>
      <c r="E1323" s="4" t="s">
        <v>170</v>
      </c>
      <c r="F1323" s="4" t="s">
        <v>155</v>
      </c>
      <c r="G1323" s="4">
        <v>5</v>
      </c>
      <c r="H1323" s="4">
        <v>3</v>
      </c>
      <c r="I1323" s="4" t="s">
        <v>140</v>
      </c>
      <c r="J1323" s="4" t="s">
        <v>409</v>
      </c>
      <c r="K1323" s="4" t="s">
        <v>142</v>
      </c>
      <c r="L1323" s="4" t="s">
        <v>4181</v>
      </c>
      <c r="M1323" s="4" t="s">
        <v>173</v>
      </c>
      <c r="N1323" s="4" t="s">
        <v>155</v>
      </c>
      <c r="O1323" s="4" t="s">
        <v>2223</v>
      </c>
      <c r="P1323" s="4"/>
    </row>
    <row r="1324" spans="1:16" ht="15">
      <c r="A1324" s="4" t="s">
        <v>2224</v>
      </c>
      <c r="B1324" s="30">
        <v>40073</v>
      </c>
      <c r="C1324" s="4"/>
      <c r="D1324" s="4" t="s">
        <v>196</v>
      </c>
      <c r="E1324" s="4" t="s">
        <v>170</v>
      </c>
      <c r="F1324" s="4" t="s">
        <v>155</v>
      </c>
      <c r="G1324" s="4">
        <v>5</v>
      </c>
      <c r="H1324" s="4">
        <v>4</v>
      </c>
      <c r="I1324" s="4" t="s">
        <v>139</v>
      </c>
      <c r="J1324" s="4" t="s">
        <v>178</v>
      </c>
      <c r="K1324" s="4" t="s">
        <v>144</v>
      </c>
      <c r="L1324" s="4" t="s">
        <v>4181</v>
      </c>
      <c r="M1324" s="4" t="s">
        <v>1634</v>
      </c>
      <c r="N1324" s="4" t="s">
        <v>155</v>
      </c>
      <c r="O1324" s="4" t="s">
        <v>763</v>
      </c>
      <c r="P1324" s="4"/>
    </row>
    <row r="1325" spans="1:16" ht="15">
      <c r="A1325" s="4" t="s">
        <v>2225</v>
      </c>
      <c r="B1325" s="30">
        <v>40024</v>
      </c>
      <c r="C1325" s="4" t="s">
        <v>9</v>
      </c>
      <c r="D1325" s="4" t="s">
        <v>196</v>
      </c>
      <c r="E1325" s="4" t="s">
        <v>170</v>
      </c>
      <c r="F1325" s="4" t="s">
        <v>155</v>
      </c>
      <c r="G1325" s="4">
        <v>5</v>
      </c>
      <c r="H1325" s="4">
        <v>5</v>
      </c>
      <c r="I1325" s="4" t="s">
        <v>139</v>
      </c>
      <c r="J1325" s="4" t="s">
        <v>178</v>
      </c>
      <c r="K1325" s="4" t="s">
        <v>145</v>
      </c>
      <c r="L1325" s="4" t="s">
        <v>4176</v>
      </c>
      <c r="M1325" s="4" t="s">
        <v>174</v>
      </c>
      <c r="N1325" s="4" t="s">
        <v>156</v>
      </c>
      <c r="O1325" s="4" t="s">
        <v>120</v>
      </c>
      <c r="P1325" s="4" t="s">
        <v>1404</v>
      </c>
    </row>
    <row r="1326" spans="1:16" ht="15">
      <c r="A1326" s="4" t="s">
        <v>2226</v>
      </c>
      <c r="B1326" s="30">
        <v>39922</v>
      </c>
      <c r="C1326" s="4"/>
      <c r="D1326" s="4" t="s">
        <v>4180</v>
      </c>
      <c r="E1326" s="4" t="s">
        <v>170</v>
      </c>
      <c r="F1326" s="4" t="s">
        <v>155</v>
      </c>
      <c r="G1326" s="4"/>
      <c r="H1326" s="4"/>
      <c r="I1326" s="4" t="s">
        <v>139</v>
      </c>
      <c r="J1326" s="4" t="s">
        <v>178</v>
      </c>
      <c r="K1326" s="4" t="s">
        <v>145</v>
      </c>
      <c r="L1326" s="4" t="s">
        <v>4176</v>
      </c>
      <c r="M1326" s="4" t="s">
        <v>174</v>
      </c>
      <c r="N1326" s="4" t="s">
        <v>160</v>
      </c>
      <c r="O1326" s="4" t="s">
        <v>392</v>
      </c>
      <c r="P1326" s="4" t="s">
        <v>393</v>
      </c>
    </row>
    <row r="1327" spans="1:16" ht="15">
      <c r="A1327" s="4" t="s">
        <v>2227</v>
      </c>
      <c r="B1327" s="30">
        <v>40044</v>
      </c>
      <c r="C1327" s="4"/>
      <c r="D1327" s="4" t="s">
        <v>193</v>
      </c>
      <c r="E1327" s="4" t="s">
        <v>170</v>
      </c>
      <c r="F1327" s="4" t="s">
        <v>155</v>
      </c>
      <c r="G1327" s="4">
        <v>5</v>
      </c>
      <c r="H1327" s="4">
        <v>5</v>
      </c>
      <c r="I1327" s="4" t="s">
        <v>140</v>
      </c>
      <c r="J1327" s="4" t="s">
        <v>178</v>
      </c>
      <c r="K1327" s="4" t="s">
        <v>145</v>
      </c>
      <c r="L1327" s="4" t="s">
        <v>4176</v>
      </c>
      <c r="M1327" s="4" t="s">
        <v>174</v>
      </c>
      <c r="N1327" s="4" t="s">
        <v>156</v>
      </c>
      <c r="O1327" s="4" t="s">
        <v>120</v>
      </c>
      <c r="P1327" s="4" t="s">
        <v>2228</v>
      </c>
    </row>
    <row r="1328" spans="1:16" ht="15">
      <c r="A1328" s="4" t="s">
        <v>2229</v>
      </c>
      <c r="B1328" s="30">
        <v>40020</v>
      </c>
      <c r="C1328" s="4" t="s">
        <v>380</v>
      </c>
      <c r="D1328" s="4" t="s">
        <v>193</v>
      </c>
      <c r="E1328" s="4" t="s">
        <v>170</v>
      </c>
      <c r="F1328" s="4" t="s">
        <v>155</v>
      </c>
      <c r="G1328" s="4">
        <v>5</v>
      </c>
      <c r="H1328" s="4">
        <v>3</v>
      </c>
      <c r="I1328" s="4" t="s">
        <v>140</v>
      </c>
      <c r="J1328" s="4" t="s">
        <v>178</v>
      </c>
      <c r="K1328" s="4" t="s">
        <v>143</v>
      </c>
      <c r="L1328" s="4" t="s">
        <v>4176</v>
      </c>
      <c r="M1328" s="4" t="s">
        <v>176</v>
      </c>
      <c r="N1328" s="4" t="s">
        <v>540</v>
      </c>
      <c r="O1328" s="4" t="s">
        <v>123</v>
      </c>
      <c r="P1328" s="4" t="s">
        <v>123</v>
      </c>
    </row>
    <row r="1329" spans="1:16" ht="15">
      <c r="A1329" s="4" t="s">
        <v>2230</v>
      </c>
      <c r="B1329" s="30">
        <v>40055</v>
      </c>
      <c r="C1329" s="4"/>
      <c r="D1329" s="4" t="s">
        <v>195</v>
      </c>
      <c r="E1329" s="4" t="s">
        <v>170</v>
      </c>
      <c r="F1329" s="4" t="s">
        <v>155</v>
      </c>
      <c r="G1329" s="4">
        <v>5</v>
      </c>
      <c r="H1329" s="4">
        <v>5</v>
      </c>
      <c r="I1329" s="4" t="s">
        <v>139</v>
      </c>
      <c r="J1329" s="4" t="s">
        <v>178</v>
      </c>
      <c r="K1329" s="4" t="s">
        <v>143</v>
      </c>
      <c r="L1329" s="4" t="s">
        <v>165</v>
      </c>
      <c r="M1329" s="4" t="s">
        <v>2231</v>
      </c>
      <c r="N1329" s="4" t="s">
        <v>158</v>
      </c>
      <c r="O1329" s="4" t="s">
        <v>122</v>
      </c>
      <c r="P1329" s="4"/>
    </row>
    <row r="1330" spans="1:16" ht="15">
      <c r="A1330" s="4" t="s">
        <v>2232</v>
      </c>
      <c r="B1330" s="30">
        <v>39979</v>
      </c>
      <c r="C1330" s="4"/>
      <c r="D1330" s="4" t="s">
        <v>193</v>
      </c>
      <c r="E1330" s="4" t="s">
        <v>170</v>
      </c>
      <c r="F1330" s="4" t="s">
        <v>155</v>
      </c>
      <c r="G1330" s="4"/>
      <c r="H1330" s="4"/>
      <c r="I1330" s="4" t="s">
        <v>140</v>
      </c>
      <c r="J1330" s="4" t="s">
        <v>178</v>
      </c>
      <c r="K1330" s="4" t="s">
        <v>150</v>
      </c>
      <c r="L1330" s="4" t="s">
        <v>4176</v>
      </c>
      <c r="M1330" s="4" t="s">
        <v>1550</v>
      </c>
      <c r="N1330" s="4" t="s">
        <v>156</v>
      </c>
      <c r="O1330" s="4" t="s">
        <v>120</v>
      </c>
      <c r="P1330" s="4" t="s">
        <v>609</v>
      </c>
    </row>
    <row r="1331" spans="1:16" ht="15">
      <c r="A1331" s="4" t="s">
        <v>2233</v>
      </c>
      <c r="B1331" s="30">
        <v>39919</v>
      </c>
      <c r="C1331" s="4" t="s">
        <v>380</v>
      </c>
      <c r="D1331" s="4" t="s">
        <v>4183</v>
      </c>
      <c r="E1331" s="4" t="s">
        <v>170</v>
      </c>
      <c r="F1331" s="4" t="s">
        <v>155</v>
      </c>
      <c r="G1331" s="4"/>
      <c r="H1331" s="4"/>
      <c r="I1331" s="4" t="s">
        <v>140</v>
      </c>
      <c r="J1331" s="4" t="s">
        <v>178</v>
      </c>
      <c r="K1331" s="4" t="s">
        <v>142</v>
      </c>
      <c r="L1331" s="4" t="s">
        <v>4181</v>
      </c>
      <c r="M1331" s="4" t="s">
        <v>2234</v>
      </c>
      <c r="N1331" s="4" t="s">
        <v>155</v>
      </c>
      <c r="O1331" s="4" t="s">
        <v>1133</v>
      </c>
      <c r="P1331" s="4"/>
    </row>
    <row r="1332" spans="1:16" ht="15">
      <c r="A1332" s="4" t="s">
        <v>2235</v>
      </c>
      <c r="B1332" s="30">
        <v>39991</v>
      </c>
      <c r="C1332" s="4"/>
      <c r="D1332" s="4" t="s">
        <v>544</v>
      </c>
      <c r="E1332" s="4" t="s">
        <v>170</v>
      </c>
      <c r="F1332" s="4" t="s">
        <v>155</v>
      </c>
      <c r="G1332" s="4"/>
      <c r="H1332" s="4">
        <v>5</v>
      </c>
      <c r="I1332" s="4" t="s">
        <v>139</v>
      </c>
      <c r="J1332" s="4" t="s">
        <v>178</v>
      </c>
      <c r="K1332" s="4" t="s">
        <v>142</v>
      </c>
      <c r="L1332" s="4" t="s">
        <v>4176</v>
      </c>
      <c r="M1332" s="4" t="s">
        <v>174</v>
      </c>
      <c r="N1332" s="4" t="s">
        <v>157</v>
      </c>
      <c r="O1332" s="4" t="s">
        <v>571</v>
      </c>
      <c r="P1332" s="4" t="s">
        <v>636</v>
      </c>
    </row>
    <row r="1333" spans="1:16" ht="15">
      <c r="A1333" s="4" t="s">
        <v>2236</v>
      </c>
      <c r="B1333" s="30">
        <v>40055</v>
      </c>
      <c r="C1333" s="4"/>
      <c r="D1333" s="4" t="s">
        <v>193</v>
      </c>
      <c r="E1333" s="4" t="s">
        <v>170</v>
      </c>
      <c r="F1333" s="4" t="s">
        <v>155</v>
      </c>
      <c r="G1333" s="4">
        <v>5</v>
      </c>
      <c r="H1333" s="4">
        <v>2</v>
      </c>
      <c r="I1333" s="4" t="s">
        <v>140</v>
      </c>
      <c r="J1333" s="4" t="s">
        <v>178</v>
      </c>
      <c r="K1333" s="4" t="s">
        <v>142</v>
      </c>
      <c r="L1333" s="4" t="s">
        <v>4176</v>
      </c>
      <c r="M1333" s="4" t="s">
        <v>175</v>
      </c>
      <c r="N1333" s="4" t="s">
        <v>159</v>
      </c>
      <c r="O1333" s="4" t="s">
        <v>126</v>
      </c>
      <c r="P1333" s="4" t="s">
        <v>601</v>
      </c>
    </row>
    <row r="1334" spans="1:16" ht="15">
      <c r="A1334" s="4" t="s">
        <v>2237</v>
      </c>
      <c r="B1334" s="30">
        <v>40004</v>
      </c>
      <c r="C1334" s="4"/>
      <c r="D1334" s="4" t="s">
        <v>193</v>
      </c>
      <c r="E1334" s="4" t="s">
        <v>170</v>
      </c>
      <c r="F1334" s="4" t="s">
        <v>155</v>
      </c>
      <c r="G1334" s="4"/>
      <c r="H1334" s="4">
        <v>4</v>
      </c>
      <c r="I1334" s="4" t="s">
        <v>140</v>
      </c>
      <c r="J1334" s="4" t="s">
        <v>178</v>
      </c>
      <c r="K1334" s="4" t="s">
        <v>148</v>
      </c>
      <c r="L1334" s="4" t="s">
        <v>162</v>
      </c>
      <c r="M1334" s="4" t="s">
        <v>1231</v>
      </c>
      <c r="N1334" s="4" t="s">
        <v>155</v>
      </c>
      <c r="O1334" s="4" t="s">
        <v>130</v>
      </c>
      <c r="P1334" s="4"/>
    </row>
    <row r="1335" spans="1:16" ht="15">
      <c r="A1335" s="4" t="s">
        <v>2238</v>
      </c>
      <c r="B1335" s="30">
        <v>40039</v>
      </c>
      <c r="C1335" s="4"/>
      <c r="D1335" s="4" t="s">
        <v>193</v>
      </c>
      <c r="E1335" s="4" t="s">
        <v>170</v>
      </c>
      <c r="F1335" s="4" t="s">
        <v>155</v>
      </c>
      <c r="G1335" s="4">
        <v>5</v>
      </c>
      <c r="H1335" s="4">
        <v>3</v>
      </c>
      <c r="I1335" s="4" t="s">
        <v>140</v>
      </c>
      <c r="J1335" s="4" t="s">
        <v>178</v>
      </c>
      <c r="K1335" s="4" t="s">
        <v>143</v>
      </c>
      <c r="L1335" s="4" t="s">
        <v>4176</v>
      </c>
      <c r="M1335" s="4"/>
      <c r="N1335" s="4" t="s">
        <v>160</v>
      </c>
      <c r="O1335" s="4" t="s">
        <v>484</v>
      </c>
      <c r="P1335" s="4" t="s">
        <v>924</v>
      </c>
    </row>
    <row r="1336" spans="1:16" ht="15">
      <c r="A1336" s="4" t="s">
        <v>2239</v>
      </c>
      <c r="B1336" s="30">
        <v>40008</v>
      </c>
      <c r="C1336" s="4" t="s">
        <v>380</v>
      </c>
      <c r="D1336" s="4" t="s">
        <v>193</v>
      </c>
      <c r="E1336" s="4" t="s">
        <v>170</v>
      </c>
      <c r="F1336" s="4" t="s">
        <v>155</v>
      </c>
      <c r="G1336" s="4"/>
      <c r="H1336" s="4"/>
      <c r="I1336" s="4" t="s">
        <v>140</v>
      </c>
      <c r="J1336" s="4" t="s">
        <v>178</v>
      </c>
      <c r="K1336" s="4" t="s">
        <v>149</v>
      </c>
      <c r="L1336" s="4" t="s">
        <v>162</v>
      </c>
      <c r="M1336" s="4" t="s">
        <v>175</v>
      </c>
      <c r="N1336" s="4" t="s">
        <v>155</v>
      </c>
      <c r="O1336" s="4" t="s">
        <v>130</v>
      </c>
      <c r="P1336" s="4"/>
    </row>
    <row r="1337" spans="1:16" ht="15">
      <c r="A1337" s="4" t="s">
        <v>2240</v>
      </c>
      <c r="B1337" s="30">
        <v>39917</v>
      </c>
      <c r="C1337" s="4" t="s">
        <v>9</v>
      </c>
      <c r="D1337" s="4" t="s">
        <v>4177</v>
      </c>
      <c r="E1337" s="4" t="s">
        <v>170</v>
      </c>
      <c r="F1337" s="4" t="s">
        <v>155</v>
      </c>
      <c r="G1337" s="4"/>
      <c r="H1337" s="4"/>
      <c r="I1337" s="4" t="s">
        <v>139</v>
      </c>
      <c r="J1337" s="4" t="s">
        <v>178</v>
      </c>
      <c r="K1337" s="4" t="s">
        <v>147</v>
      </c>
      <c r="L1337" s="4" t="s">
        <v>162</v>
      </c>
      <c r="M1337" s="4" t="s">
        <v>175</v>
      </c>
      <c r="N1337" s="4" t="s">
        <v>155</v>
      </c>
      <c r="O1337" s="4" t="s">
        <v>439</v>
      </c>
      <c r="P1337" s="4"/>
    </row>
    <row r="1338" spans="1:16" ht="15">
      <c r="A1338" s="4" t="s">
        <v>2241</v>
      </c>
      <c r="B1338" s="30">
        <v>39966</v>
      </c>
      <c r="C1338" s="4"/>
      <c r="D1338" s="4" t="s">
        <v>195</v>
      </c>
      <c r="E1338" s="4" t="s">
        <v>170</v>
      </c>
      <c r="F1338" s="4" t="s">
        <v>155</v>
      </c>
      <c r="G1338" s="4"/>
      <c r="H1338" s="4"/>
      <c r="I1338" s="4" t="s">
        <v>139</v>
      </c>
      <c r="J1338" s="4" t="s">
        <v>178</v>
      </c>
      <c r="K1338" s="4" t="s">
        <v>145</v>
      </c>
      <c r="L1338" s="4" t="s">
        <v>162</v>
      </c>
      <c r="M1338" s="4" t="s">
        <v>175</v>
      </c>
      <c r="N1338" s="4" t="s">
        <v>155</v>
      </c>
      <c r="O1338" s="4" t="s">
        <v>130</v>
      </c>
      <c r="P1338" s="4"/>
    </row>
    <row r="1339" spans="1:16" ht="15">
      <c r="A1339" s="4" t="s">
        <v>2242</v>
      </c>
      <c r="B1339" s="30">
        <v>39945</v>
      </c>
      <c r="C1339" s="4"/>
      <c r="D1339" s="4" t="s">
        <v>194</v>
      </c>
      <c r="E1339" s="4" t="s">
        <v>170</v>
      </c>
      <c r="F1339" s="4" t="s">
        <v>155</v>
      </c>
      <c r="G1339" s="4"/>
      <c r="H1339" s="4"/>
      <c r="I1339" s="4" t="s">
        <v>139</v>
      </c>
      <c r="J1339" s="4" t="s">
        <v>409</v>
      </c>
      <c r="K1339" s="4" t="s">
        <v>145</v>
      </c>
      <c r="L1339" s="4" t="s">
        <v>4181</v>
      </c>
      <c r="M1339" s="4" t="s">
        <v>415</v>
      </c>
      <c r="N1339" s="4" t="s">
        <v>155</v>
      </c>
      <c r="O1339" s="4" t="s">
        <v>125</v>
      </c>
      <c r="P1339" s="4"/>
    </row>
    <row r="1340" spans="1:16" ht="15">
      <c r="A1340" s="4" t="s">
        <v>2243</v>
      </c>
      <c r="B1340" s="30">
        <v>39956</v>
      </c>
      <c r="C1340" s="4"/>
      <c r="D1340" s="4" t="s">
        <v>195</v>
      </c>
      <c r="E1340" s="4" t="s">
        <v>170</v>
      </c>
      <c r="F1340" s="4" t="s">
        <v>155</v>
      </c>
      <c r="G1340" s="4"/>
      <c r="H1340" s="4"/>
      <c r="I1340" s="4" t="s">
        <v>139</v>
      </c>
      <c r="J1340" s="4" t="s">
        <v>178</v>
      </c>
      <c r="K1340" s="4" t="s">
        <v>143</v>
      </c>
      <c r="L1340" s="4" t="s">
        <v>4176</v>
      </c>
      <c r="M1340" s="4" t="s">
        <v>174</v>
      </c>
      <c r="N1340" s="4" t="s">
        <v>159</v>
      </c>
      <c r="O1340" s="4" t="s">
        <v>126</v>
      </c>
      <c r="P1340" s="4" t="s">
        <v>601</v>
      </c>
    </row>
    <row r="1341" spans="1:16" ht="15">
      <c r="A1341" s="4" t="s">
        <v>2244</v>
      </c>
      <c r="B1341" s="30">
        <v>40056</v>
      </c>
      <c r="C1341" s="4"/>
      <c r="D1341" s="4" t="s">
        <v>193</v>
      </c>
      <c r="E1341" s="4" t="s">
        <v>170</v>
      </c>
      <c r="F1341" s="4" t="s">
        <v>155</v>
      </c>
      <c r="G1341" s="4">
        <v>5</v>
      </c>
      <c r="H1341" s="4">
        <v>5</v>
      </c>
      <c r="I1341" s="4" t="s">
        <v>140</v>
      </c>
      <c r="J1341" s="4" t="s">
        <v>178</v>
      </c>
      <c r="K1341" s="4" t="s">
        <v>144</v>
      </c>
      <c r="L1341" s="4" t="s">
        <v>4176</v>
      </c>
      <c r="M1341" s="4" t="s">
        <v>174</v>
      </c>
      <c r="N1341" s="4" t="s">
        <v>156</v>
      </c>
      <c r="O1341" s="4" t="s">
        <v>120</v>
      </c>
      <c r="P1341" s="4" t="s">
        <v>2245</v>
      </c>
    </row>
    <row r="1342" spans="1:16" ht="15">
      <c r="A1342" s="4" t="s">
        <v>2246</v>
      </c>
      <c r="B1342" s="30">
        <v>40043</v>
      </c>
      <c r="C1342" s="4"/>
      <c r="D1342" s="4" t="s">
        <v>195</v>
      </c>
      <c r="E1342" s="4" t="s">
        <v>170</v>
      </c>
      <c r="F1342" s="4" t="s">
        <v>155</v>
      </c>
      <c r="G1342" s="4">
        <v>5</v>
      </c>
      <c r="H1342" s="4">
        <v>3</v>
      </c>
      <c r="I1342" s="4" t="s">
        <v>139</v>
      </c>
      <c r="J1342" s="4" t="s">
        <v>178</v>
      </c>
      <c r="K1342" s="4" t="s">
        <v>150</v>
      </c>
      <c r="L1342" s="4" t="s">
        <v>4181</v>
      </c>
      <c r="M1342" s="4" t="s">
        <v>173</v>
      </c>
      <c r="N1342" s="4" t="s">
        <v>155</v>
      </c>
      <c r="O1342" s="4" t="s">
        <v>406</v>
      </c>
      <c r="P1342" s="4"/>
    </row>
    <row r="1343" spans="1:16" ht="15">
      <c r="A1343" s="4" t="s">
        <v>2247</v>
      </c>
      <c r="B1343" s="30">
        <v>40054</v>
      </c>
      <c r="C1343" s="4"/>
      <c r="D1343" s="4" t="s">
        <v>193</v>
      </c>
      <c r="E1343" s="4" t="s">
        <v>170</v>
      </c>
      <c r="F1343" s="4" t="s">
        <v>155</v>
      </c>
      <c r="G1343" s="4">
        <v>5</v>
      </c>
      <c r="H1343" s="4">
        <v>3</v>
      </c>
      <c r="I1343" s="4" t="s">
        <v>140</v>
      </c>
      <c r="J1343" s="4" t="s">
        <v>178</v>
      </c>
      <c r="K1343" s="4" t="s">
        <v>145</v>
      </c>
      <c r="L1343" s="4" t="s">
        <v>4176</v>
      </c>
      <c r="M1343" s="4" t="s">
        <v>176</v>
      </c>
      <c r="N1343" s="4" t="s">
        <v>540</v>
      </c>
      <c r="O1343" s="4" t="s">
        <v>123</v>
      </c>
      <c r="P1343" s="4" t="s">
        <v>123</v>
      </c>
    </row>
    <row r="1344" spans="1:16" ht="15">
      <c r="A1344" s="4" t="s">
        <v>2248</v>
      </c>
      <c r="B1344" s="30">
        <v>39954</v>
      </c>
      <c r="C1344" s="4"/>
      <c r="D1344" s="4" t="s">
        <v>193</v>
      </c>
      <c r="E1344" s="4" t="s">
        <v>170</v>
      </c>
      <c r="F1344" s="4" t="s">
        <v>155</v>
      </c>
      <c r="G1344" s="4"/>
      <c r="H1344" s="4"/>
      <c r="I1344" s="4" t="s">
        <v>140</v>
      </c>
      <c r="J1344" s="4" t="s">
        <v>178</v>
      </c>
      <c r="K1344" s="4" t="s">
        <v>145</v>
      </c>
      <c r="L1344" s="4" t="s">
        <v>4181</v>
      </c>
      <c r="M1344" s="4" t="s">
        <v>173</v>
      </c>
      <c r="N1344" s="4" t="s">
        <v>155</v>
      </c>
      <c r="O1344" s="4" t="s">
        <v>406</v>
      </c>
      <c r="P1344" s="4"/>
    </row>
    <row r="1345" spans="1:16" ht="15">
      <c r="A1345" s="4" t="s">
        <v>2249</v>
      </c>
      <c r="B1345" s="30">
        <v>39947</v>
      </c>
      <c r="C1345" s="4"/>
      <c r="D1345" s="4" t="s">
        <v>194</v>
      </c>
      <c r="E1345" s="4" t="s">
        <v>170</v>
      </c>
      <c r="F1345" s="4" t="s">
        <v>155</v>
      </c>
      <c r="G1345" s="4"/>
      <c r="H1345" s="4"/>
      <c r="I1345" s="4" t="s">
        <v>139</v>
      </c>
      <c r="J1345" s="4" t="s">
        <v>178</v>
      </c>
      <c r="K1345" s="4" t="s">
        <v>143</v>
      </c>
      <c r="L1345" s="4" t="s">
        <v>165</v>
      </c>
      <c r="M1345" s="4" t="s">
        <v>1023</v>
      </c>
      <c r="N1345" s="4" t="s">
        <v>158</v>
      </c>
      <c r="O1345" s="4" t="s">
        <v>122</v>
      </c>
      <c r="P1345" s="4"/>
    </row>
    <row r="1346" spans="1:16" ht="15">
      <c r="A1346" s="4" t="s">
        <v>2250</v>
      </c>
      <c r="B1346" s="30">
        <v>39977</v>
      </c>
      <c r="C1346" s="4" t="s">
        <v>9</v>
      </c>
      <c r="D1346" s="4" t="s">
        <v>195</v>
      </c>
      <c r="E1346" s="4" t="s">
        <v>170</v>
      </c>
      <c r="F1346" s="4" t="s">
        <v>155</v>
      </c>
      <c r="G1346" s="4"/>
      <c r="H1346" s="4"/>
      <c r="I1346" s="4" t="s">
        <v>139</v>
      </c>
      <c r="J1346" s="4" t="s">
        <v>189</v>
      </c>
      <c r="K1346" s="4" t="s">
        <v>142</v>
      </c>
      <c r="L1346" s="4" t="s">
        <v>4181</v>
      </c>
      <c r="M1346" s="4" t="s">
        <v>173</v>
      </c>
      <c r="N1346" s="4" t="s">
        <v>155</v>
      </c>
      <c r="O1346" s="4" t="s">
        <v>387</v>
      </c>
      <c r="P1346" s="4"/>
    </row>
    <row r="1347" spans="1:16" ht="15">
      <c r="A1347" s="4" t="s">
        <v>2251</v>
      </c>
      <c r="B1347" s="30">
        <v>39931</v>
      </c>
      <c r="C1347" s="4" t="s">
        <v>9</v>
      </c>
      <c r="D1347" s="4" t="s">
        <v>4178</v>
      </c>
      <c r="E1347" s="4" t="s">
        <v>170</v>
      </c>
      <c r="F1347" s="4" t="s">
        <v>155</v>
      </c>
      <c r="G1347" s="4"/>
      <c r="H1347" s="4"/>
      <c r="I1347" s="4" t="s">
        <v>139</v>
      </c>
      <c r="J1347" s="4" t="s">
        <v>191</v>
      </c>
      <c r="K1347" s="4" t="s">
        <v>143</v>
      </c>
      <c r="L1347" s="4" t="s">
        <v>4181</v>
      </c>
      <c r="M1347" s="4" t="s">
        <v>2234</v>
      </c>
      <c r="N1347" s="4" t="s">
        <v>155</v>
      </c>
      <c r="O1347" s="4" t="s">
        <v>124</v>
      </c>
      <c r="P1347" s="4"/>
    </row>
    <row r="1348" spans="1:16" ht="15">
      <c r="A1348" s="4" t="s">
        <v>2252</v>
      </c>
      <c r="B1348" s="30">
        <v>40031</v>
      </c>
      <c r="C1348" s="4"/>
      <c r="D1348" s="4" t="s">
        <v>193</v>
      </c>
      <c r="E1348" s="4" t="s">
        <v>170</v>
      </c>
      <c r="F1348" s="4" t="s">
        <v>155</v>
      </c>
      <c r="G1348" s="4">
        <v>3</v>
      </c>
      <c r="H1348" s="4">
        <v>2</v>
      </c>
      <c r="I1348" s="4" t="s">
        <v>140</v>
      </c>
      <c r="J1348" s="4" t="s">
        <v>191</v>
      </c>
      <c r="K1348" s="4" t="s">
        <v>146</v>
      </c>
      <c r="L1348" s="4" t="s">
        <v>4176</v>
      </c>
      <c r="M1348" s="4" t="s">
        <v>174</v>
      </c>
      <c r="N1348" s="4" t="s">
        <v>160</v>
      </c>
      <c r="O1348" s="4" t="s">
        <v>126</v>
      </c>
      <c r="P1348" s="4" t="s">
        <v>2253</v>
      </c>
    </row>
    <row r="1349" spans="1:16" ht="15">
      <c r="A1349" s="4" t="s">
        <v>2254</v>
      </c>
      <c r="B1349" s="30">
        <v>39925</v>
      </c>
      <c r="C1349" s="4" t="s">
        <v>9</v>
      </c>
      <c r="D1349" s="4" t="s">
        <v>4183</v>
      </c>
      <c r="E1349" s="4" t="s">
        <v>170</v>
      </c>
      <c r="F1349" s="4" t="s">
        <v>155</v>
      </c>
      <c r="G1349" s="4"/>
      <c r="H1349" s="4"/>
      <c r="I1349" s="4" t="s">
        <v>140</v>
      </c>
      <c r="J1349" s="4" t="s">
        <v>183</v>
      </c>
      <c r="K1349" s="4" t="s">
        <v>150</v>
      </c>
      <c r="L1349" s="4" t="s">
        <v>4181</v>
      </c>
      <c r="M1349" s="4" t="s">
        <v>173</v>
      </c>
      <c r="N1349" s="4" t="s">
        <v>155</v>
      </c>
      <c r="O1349" s="4" t="s">
        <v>454</v>
      </c>
      <c r="P1349" s="4"/>
    </row>
    <row r="1350" spans="1:16" ht="15">
      <c r="A1350" s="4" t="s">
        <v>2255</v>
      </c>
      <c r="B1350" s="30">
        <v>40021</v>
      </c>
      <c r="C1350" s="4"/>
      <c r="D1350" s="4" t="s">
        <v>197</v>
      </c>
      <c r="E1350" s="4" t="s">
        <v>170</v>
      </c>
      <c r="F1350" s="4" t="s">
        <v>155</v>
      </c>
      <c r="G1350" s="4">
        <v>5</v>
      </c>
      <c r="H1350" s="4">
        <v>5</v>
      </c>
      <c r="I1350" s="4" t="s">
        <v>139</v>
      </c>
      <c r="J1350" s="4" t="s">
        <v>191</v>
      </c>
      <c r="K1350" s="4" t="s">
        <v>146</v>
      </c>
      <c r="L1350" s="4" t="s">
        <v>4176</v>
      </c>
      <c r="M1350" s="4" t="s">
        <v>176</v>
      </c>
      <c r="N1350" s="4" t="s">
        <v>159</v>
      </c>
      <c r="O1350" s="4" t="s">
        <v>126</v>
      </c>
      <c r="P1350" s="4" t="s">
        <v>601</v>
      </c>
    </row>
    <row r="1351" spans="1:16" ht="15">
      <c r="A1351" s="4" t="s">
        <v>2256</v>
      </c>
      <c r="B1351" s="30">
        <v>39997</v>
      </c>
      <c r="C1351" s="4"/>
      <c r="D1351" s="4" t="s">
        <v>193</v>
      </c>
      <c r="E1351" s="4" t="s">
        <v>170</v>
      </c>
      <c r="F1351" s="4" t="s">
        <v>155</v>
      </c>
      <c r="G1351" s="4"/>
      <c r="H1351" s="4">
        <v>3</v>
      </c>
      <c r="I1351" s="4" t="s">
        <v>140</v>
      </c>
      <c r="J1351" s="4" t="s">
        <v>184</v>
      </c>
      <c r="K1351" s="4" t="s">
        <v>149</v>
      </c>
      <c r="L1351" s="4" t="s">
        <v>4181</v>
      </c>
      <c r="M1351" s="4"/>
      <c r="N1351" s="4" t="s">
        <v>155</v>
      </c>
      <c r="O1351" s="4" t="s">
        <v>124</v>
      </c>
      <c r="P1351" s="4"/>
    </row>
    <row r="1352" spans="1:16" ht="15">
      <c r="A1352" s="4" t="s">
        <v>2257</v>
      </c>
      <c r="B1352" s="30">
        <v>40001</v>
      </c>
      <c r="C1352" s="4"/>
      <c r="D1352" s="4" t="s">
        <v>194</v>
      </c>
      <c r="E1352" s="4" t="s">
        <v>170</v>
      </c>
      <c r="F1352" s="4" t="s">
        <v>155</v>
      </c>
      <c r="G1352" s="4"/>
      <c r="H1352" s="4">
        <v>4</v>
      </c>
      <c r="I1352" s="4" t="s">
        <v>139</v>
      </c>
      <c r="J1352" s="4" t="s">
        <v>181</v>
      </c>
      <c r="K1352" s="4" t="s">
        <v>144</v>
      </c>
      <c r="L1352" s="4" t="s">
        <v>4176</v>
      </c>
      <c r="M1352" s="4" t="s">
        <v>174</v>
      </c>
      <c r="N1352" s="4" t="s">
        <v>160</v>
      </c>
      <c r="O1352" s="4" t="s">
        <v>392</v>
      </c>
      <c r="P1352" s="4" t="s">
        <v>393</v>
      </c>
    </row>
    <row r="1353" spans="1:16" ht="15">
      <c r="A1353" s="4" t="s">
        <v>2258</v>
      </c>
      <c r="B1353" s="30">
        <v>39911</v>
      </c>
      <c r="C1353" s="4"/>
      <c r="D1353" s="4" t="s">
        <v>4179</v>
      </c>
      <c r="E1353" s="4" t="s">
        <v>170</v>
      </c>
      <c r="F1353" s="4" t="s">
        <v>155</v>
      </c>
      <c r="G1353" s="4"/>
      <c r="H1353" s="4"/>
      <c r="I1353" s="4" t="s">
        <v>139</v>
      </c>
      <c r="J1353" s="4" t="s">
        <v>186</v>
      </c>
      <c r="K1353" s="4" t="s">
        <v>147</v>
      </c>
      <c r="L1353" s="4" t="s">
        <v>162</v>
      </c>
      <c r="M1353" s="4" t="s">
        <v>174</v>
      </c>
      <c r="N1353" s="4" t="s">
        <v>155</v>
      </c>
      <c r="O1353" s="4" t="s">
        <v>439</v>
      </c>
      <c r="P1353" s="4"/>
    </row>
    <row r="1354" spans="1:16" ht="15">
      <c r="A1354" s="4" t="s">
        <v>2259</v>
      </c>
      <c r="B1354" s="30">
        <v>40050</v>
      </c>
      <c r="C1354" s="4"/>
      <c r="D1354" s="4" t="s">
        <v>193</v>
      </c>
      <c r="E1354" s="4" t="s">
        <v>170</v>
      </c>
      <c r="F1354" s="4" t="s">
        <v>155</v>
      </c>
      <c r="G1354" s="4">
        <v>5</v>
      </c>
      <c r="H1354" s="4">
        <v>4</v>
      </c>
      <c r="I1354" s="4" t="s">
        <v>140</v>
      </c>
      <c r="J1354" s="4" t="s">
        <v>447</v>
      </c>
      <c r="K1354" s="4" t="s">
        <v>142</v>
      </c>
      <c r="L1354" s="4" t="s">
        <v>4176</v>
      </c>
      <c r="M1354" s="4" t="s">
        <v>1797</v>
      </c>
      <c r="N1354" s="4" t="s">
        <v>160</v>
      </c>
      <c r="O1354" s="4" t="s">
        <v>129</v>
      </c>
      <c r="P1354" s="4" t="s">
        <v>2260</v>
      </c>
    </row>
    <row r="1355" spans="1:16" ht="15">
      <c r="A1355" s="4" t="s">
        <v>2261</v>
      </c>
      <c r="B1355" s="30">
        <v>40056</v>
      </c>
      <c r="C1355" s="4"/>
      <c r="D1355" s="4" t="s">
        <v>193</v>
      </c>
      <c r="E1355" s="4" t="s">
        <v>170</v>
      </c>
      <c r="F1355" s="4" t="s">
        <v>155</v>
      </c>
      <c r="G1355" s="4">
        <v>5</v>
      </c>
      <c r="H1355" s="4">
        <v>5</v>
      </c>
      <c r="I1355" s="4" t="s">
        <v>140</v>
      </c>
      <c r="J1355" s="4" t="s">
        <v>447</v>
      </c>
      <c r="K1355" s="4" t="s">
        <v>142</v>
      </c>
      <c r="L1355" s="4" t="s">
        <v>4176</v>
      </c>
      <c r="M1355" s="4" t="s">
        <v>1984</v>
      </c>
      <c r="N1355" s="4" t="s">
        <v>159</v>
      </c>
      <c r="O1355" s="4" t="s">
        <v>123</v>
      </c>
      <c r="P1355" s="4" t="s">
        <v>123</v>
      </c>
    </row>
    <row r="1356" spans="1:16" ht="15">
      <c r="A1356" s="4" t="s">
        <v>2262</v>
      </c>
      <c r="B1356" s="30">
        <v>39923</v>
      </c>
      <c r="C1356" s="4"/>
      <c r="D1356" s="4" t="s">
        <v>4183</v>
      </c>
      <c r="E1356" s="4" t="s">
        <v>170</v>
      </c>
      <c r="F1356" s="4" t="s">
        <v>155</v>
      </c>
      <c r="G1356" s="4"/>
      <c r="H1356" s="4"/>
      <c r="I1356" s="4" t="s">
        <v>140</v>
      </c>
      <c r="J1356" s="4" t="s">
        <v>184</v>
      </c>
      <c r="K1356" s="4" t="s">
        <v>145</v>
      </c>
      <c r="L1356" s="4" t="s">
        <v>4176</v>
      </c>
      <c r="M1356" s="4" t="s">
        <v>550</v>
      </c>
      <c r="N1356" s="4" t="s">
        <v>157</v>
      </c>
      <c r="O1356" s="4" t="s">
        <v>130</v>
      </c>
      <c r="P1356" s="4" t="s">
        <v>437</v>
      </c>
    </row>
    <row r="1357" spans="1:16" ht="15">
      <c r="A1357" s="4" t="s">
        <v>2263</v>
      </c>
      <c r="B1357" s="30">
        <v>40084</v>
      </c>
      <c r="C1357" s="4"/>
      <c r="D1357" s="4" t="s">
        <v>197</v>
      </c>
      <c r="E1357" s="4" t="s">
        <v>170</v>
      </c>
      <c r="F1357" s="4" t="s">
        <v>155</v>
      </c>
      <c r="G1357" s="4">
        <v>3</v>
      </c>
      <c r="H1357" s="4">
        <v>2</v>
      </c>
      <c r="I1357" s="4" t="s">
        <v>139</v>
      </c>
      <c r="J1357" s="4" t="s">
        <v>184</v>
      </c>
      <c r="K1357" s="4" t="s">
        <v>144</v>
      </c>
      <c r="L1357" s="4" t="s">
        <v>4176</v>
      </c>
      <c r="M1357" s="4" t="s">
        <v>174</v>
      </c>
      <c r="N1357" s="4" t="s">
        <v>2264</v>
      </c>
      <c r="O1357" s="4" t="s">
        <v>2265</v>
      </c>
      <c r="P1357" s="4" t="s">
        <v>153</v>
      </c>
    </row>
    <row r="1358" spans="1:16" ht="15">
      <c r="A1358" s="4" t="s">
        <v>2266</v>
      </c>
      <c r="B1358" s="30">
        <v>39929</v>
      </c>
      <c r="C1358" s="4"/>
      <c r="D1358" s="4" t="s">
        <v>4183</v>
      </c>
      <c r="E1358" s="4" t="s">
        <v>170</v>
      </c>
      <c r="F1358" s="4" t="s">
        <v>155</v>
      </c>
      <c r="G1358" s="4"/>
      <c r="H1358" s="4"/>
      <c r="I1358" s="4" t="s">
        <v>140</v>
      </c>
      <c r="J1358" s="4" t="s">
        <v>184</v>
      </c>
      <c r="K1358" s="4" t="s">
        <v>149</v>
      </c>
      <c r="L1358" s="4" t="s">
        <v>162</v>
      </c>
      <c r="M1358" s="4" t="s">
        <v>2267</v>
      </c>
      <c r="N1358" s="4" t="s">
        <v>155</v>
      </c>
      <c r="O1358" s="4" t="s">
        <v>130</v>
      </c>
      <c r="P1358" s="4"/>
    </row>
    <row r="1359" spans="1:16" ht="15">
      <c r="A1359" s="4" t="s">
        <v>2268</v>
      </c>
      <c r="B1359" s="30">
        <v>40054</v>
      </c>
      <c r="C1359" s="4"/>
      <c r="D1359" s="4" t="s">
        <v>197</v>
      </c>
      <c r="E1359" s="4" t="s">
        <v>170</v>
      </c>
      <c r="F1359" s="4" t="s">
        <v>155</v>
      </c>
      <c r="G1359" s="4">
        <v>5</v>
      </c>
      <c r="H1359" s="4">
        <v>2</v>
      </c>
      <c r="I1359" s="4" t="s">
        <v>139</v>
      </c>
      <c r="J1359" s="4" t="s">
        <v>189</v>
      </c>
      <c r="K1359" s="4" t="s">
        <v>144</v>
      </c>
      <c r="L1359" s="4" t="s">
        <v>4176</v>
      </c>
      <c r="M1359" s="4" t="s">
        <v>2269</v>
      </c>
      <c r="N1359" s="4" t="s">
        <v>160</v>
      </c>
      <c r="O1359" s="4" t="s">
        <v>126</v>
      </c>
      <c r="P1359" s="4" t="s">
        <v>665</v>
      </c>
    </row>
    <row r="1360" spans="1:16" ht="15">
      <c r="A1360" s="4" t="s">
        <v>2270</v>
      </c>
      <c r="B1360" s="30">
        <v>39947</v>
      </c>
      <c r="C1360" s="4" t="s">
        <v>380</v>
      </c>
      <c r="D1360" s="4" t="s">
        <v>193</v>
      </c>
      <c r="E1360" s="4" t="s">
        <v>170</v>
      </c>
      <c r="F1360" s="4" t="s">
        <v>155</v>
      </c>
      <c r="G1360" s="4"/>
      <c r="H1360" s="4"/>
      <c r="I1360" s="4" t="s">
        <v>140</v>
      </c>
      <c r="J1360" s="4" t="s">
        <v>191</v>
      </c>
      <c r="K1360" s="4" t="s">
        <v>147</v>
      </c>
      <c r="L1360" s="4" t="s">
        <v>165</v>
      </c>
      <c r="M1360" s="4" t="s">
        <v>2016</v>
      </c>
      <c r="N1360" s="4" t="s">
        <v>158</v>
      </c>
      <c r="O1360" s="4" t="s">
        <v>122</v>
      </c>
      <c r="P1360" s="4"/>
    </row>
    <row r="1361" spans="1:16" ht="15">
      <c r="A1361" s="4" t="s">
        <v>2271</v>
      </c>
      <c r="B1361" s="30">
        <v>40002</v>
      </c>
      <c r="C1361" s="4"/>
      <c r="D1361" s="4" t="s">
        <v>196</v>
      </c>
      <c r="E1361" s="4" t="s">
        <v>170</v>
      </c>
      <c r="F1361" s="4" t="s">
        <v>155</v>
      </c>
      <c r="G1361" s="4"/>
      <c r="H1361" s="4">
        <v>4</v>
      </c>
      <c r="I1361" s="4" t="s">
        <v>139</v>
      </c>
      <c r="J1361" s="4" t="s">
        <v>186</v>
      </c>
      <c r="K1361" s="4" t="s">
        <v>142</v>
      </c>
      <c r="L1361" s="4" t="s">
        <v>162</v>
      </c>
      <c r="M1361" s="4" t="s">
        <v>1624</v>
      </c>
      <c r="N1361" s="4" t="s">
        <v>155</v>
      </c>
      <c r="O1361" s="4" t="s">
        <v>130</v>
      </c>
      <c r="P1361" s="4"/>
    </row>
    <row r="1362" spans="1:16" ht="15">
      <c r="A1362" s="4" t="s">
        <v>2272</v>
      </c>
      <c r="B1362" s="30">
        <v>39980</v>
      </c>
      <c r="C1362" s="4" t="s">
        <v>383</v>
      </c>
      <c r="D1362" s="4" t="s">
        <v>194</v>
      </c>
      <c r="E1362" s="4" t="s">
        <v>170</v>
      </c>
      <c r="F1362" s="4" t="s">
        <v>155</v>
      </c>
      <c r="G1362" s="4"/>
      <c r="H1362" s="4"/>
      <c r="I1362" s="4" t="s">
        <v>139</v>
      </c>
      <c r="J1362" s="4" t="s">
        <v>186</v>
      </c>
      <c r="K1362" s="4" t="s">
        <v>144</v>
      </c>
      <c r="L1362" s="4" t="s">
        <v>4176</v>
      </c>
      <c r="M1362" s="4" t="s">
        <v>643</v>
      </c>
      <c r="N1362" s="4" t="s">
        <v>157</v>
      </c>
      <c r="O1362" s="4" t="s">
        <v>130</v>
      </c>
      <c r="P1362" s="4" t="s">
        <v>437</v>
      </c>
    </row>
    <row r="1363" spans="1:16" ht="15">
      <c r="A1363" s="4" t="s">
        <v>2273</v>
      </c>
      <c r="B1363" s="30">
        <v>40083</v>
      </c>
      <c r="C1363" s="4"/>
      <c r="D1363" s="4" t="s">
        <v>193</v>
      </c>
      <c r="E1363" s="4" t="s">
        <v>170</v>
      </c>
      <c r="F1363" s="4" t="s">
        <v>155</v>
      </c>
      <c r="G1363" s="4">
        <v>5</v>
      </c>
      <c r="H1363" s="4">
        <v>3</v>
      </c>
      <c r="I1363" s="4" t="s">
        <v>140</v>
      </c>
      <c r="J1363" s="4" t="s">
        <v>186</v>
      </c>
      <c r="K1363" s="4" t="s">
        <v>144</v>
      </c>
      <c r="L1363" s="4" t="s">
        <v>4181</v>
      </c>
      <c r="M1363" s="4" t="s">
        <v>173</v>
      </c>
      <c r="N1363" s="4" t="s">
        <v>155</v>
      </c>
      <c r="O1363" s="4" t="s">
        <v>125</v>
      </c>
      <c r="P1363" s="4"/>
    </row>
    <row r="1364" spans="1:16" ht="15">
      <c r="A1364" s="4" t="s">
        <v>2274</v>
      </c>
      <c r="B1364" s="30">
        <v>39981</v>
      </c>
      <c r="C1364" s="4"/>
      <c r="D1364" s="4" t="s">
        <v>194</v>
      </c>
      <c r="E1364" s="4" t="s">
        <v>170</v>
      </c>
      <c r="F1364" s="4" t="s">
        <v>155</v>
      </c>
      <c r="G1364" s="4"/>
      <c r="H1364" s="4"/>
      <c r="I1364" s="4" t="s">
        <v>139</v>
      </c>
      <c r="J1364" s="4" t="s">
        <v>186</v>
      </c>
      <c r="K1364" s="4" t="s">
        <v>149</v>
      </c>
      <c r="L1364" s="4" t="s">
        <v>162</v>
      </c>
      <c r="M1364" s="4" t="s">
        <v>175</v>
      </c>
      <c r="N1364" s="4" t="s">
        <v>155</v>
      </c>
      <c r="O1364" s="4" t="s">
        <v>130</v>
      </c>
      <c r="P1364" s="4"/>
    </row>
    <row r="1365" spans="1:16" ht="15">
      <c r="A1365" s="4" t="s">
        <v>2275</v>
      </c>
      <c r="B1365" s="30">
        <v>40017</v>
      </c>
      <c r="C1365" s="4"/>
      <c r="D1365" s="4" t="s">
        <v>197</v>
      </c>
      <c r="E1365" s="4" t="s">
        <v>170</v>
      </c>
      <c r="F1365" s="4" t="s">
        <v>155</v>
      </c>
      <c r="G1365" s="4">
        <v>3</v>
      </c>
      <c r="H1365" s="4">
        <v>3</v>
      </c>
      <c r="I1365" s="4" t="s">
        <v>139</v>
      </c>
      <c r="J1365" s="4" t="s">
        <v>186</v>
      </c>
      <c r="K1365" s="4" t="s">
        <v>150</v>
      </c>
      <c r="L1365" s="4" t="s">
        <v>162</v>
      </c>
      <c r="M1365" s="4" t="s">
        <v>567</v>
      </c>
      <c r="N1365" s="4" t="s">
        <v>155</v>
      </c>
      <c r="O1365" s="4" t="s">
        <v>130</v>
      </c>
      <c r="P1365" s="4"/>
    </row>
    <row r="1366" spans="1:16" ht="15">
      <c r="A1366" s="4" t="s">
        <v>2276</v>
      </c>
      <c r="B1366" s="30">
        <v>39938</v>
      </c>
      <c r="C1366" s="4"/>
      <c r="D1366" s="4" t="s">
        <v>4184</v>
      </c>
      <c r="E1366" s="4" t="s">
        <v>170</v>
      </c>
      <c r="F1366" s="4" t="s">
        <v>155</v>
      </c>
      <c r="G1366" s="4"/>
      <c r="H1366" s="4"/>
      <c r="I1366" s="4" t="s">
        <v>140</v>
      </c>
      <c r="J1366" s="4" t="s">
        <v>479</v>
      </c>
      <c r="K1366" s="4" t="s">
        <v>147</v>
      </c>
      <c r="L1366" s="4" t="s">
        <v>4176</v>
      </c>
      <c r="M1366" s="4" t="s">
        <v>174</v>
      </c>
      <c r="N1366" s="4" t="s">
        <v>157</v>
      </c>
      <c r="O1366" s="4" t="s">
        <v>127</v>
      </c>
      <c r="P1366" s="4" t="s">
        <v>153</v>
      </c>
    </row>
    <row r="1367" spans="1:16" ht="15">
      <c r="A1367" s="4" t="s">
        <v>2277</v>
      </c>
      <c r="B1367" s="30">
        <v>39929</v>
      </c>
      <c r="C1367" s="4"/>
      <c r="D1367" s="4" t="s">
        <v>4177</v>
      </c>
      <c r="E1367" s="4" t="s">
        <v>170</v>
      </c>
      <c r="F1367" s="4" t="s">
        <v>155</v>
      </c>
      <c r="G1367" s="4"/>
      <c r="H1367" s="4"/>
      <c r="I1367" s="4" t="s">
        <v>139</v>
      </c>
      <c r="J1367" s="4" t="s">
        <v>479</v>
      </c>
      <c r="K1367" s="4" t="s">
        <v>148</v>
      </c>
      <c r="L1367" s="4" t="s">
        <v>4181</v>
      </c>
      <c r="M1367" s="4"/>
      <c r="N1367" s="4" t="s">
        <v>155</v>
      </c>
      <c r="O1367" s="4" t="s">
        <v>439</v>
      </c>
      <c r="P1367" s="4"/>
    </row>
    <row r="1368" spans="1:16" ht="15">
      <c r="A1368" s="4" t="s">
        <v>2278</v>
      </c>
      <c r="B1368" s="30">
        <v>40030</v>
      </c>
      <c r="C1368" s="4"/>
      <c r="D1368" s="4" t="s">
        <v>195</v>
      </c>
      <c r="E1368" s="4" t="s">
        <v>170</v>
      </c>
      <c r="F1368" s="4" t="s">
        <v>155</v>
      </c>
      <c r="G1368" s="4">
        <v>5</v>
      </c>
      <c r="H1368" s="4">
        <v>5</v>
      </c>
      <c r="I1368" s="4" t="s">
        <v>139</v>
      </c>
      <c r="J1368" s="4" t="s">
        <v>186</v>
      </c>
      <c r="K1368" s="4" t="s">
        <v>143</v>
      </c>
      <c r="L1368" s="4" t="s">
        <v>4176</v>
      </c>
      <c r="M1368" s="4" t="s">
        <v>498</v>
      </c>
      <c r="N1368" s="4" t="s">
        <v>159</v>
      </c>
      <c r="O1368" s="4" t="s">
        <v>123</v>
      </c>
      <c r="P1368" s="4" t="s">
        <v>123</v>
      </c>
    </row>
    <row r="1369" spans="1:16" ht="15">
      <c r="A1369" s="4" t="s">
        <v>2279</v>
      </c>
      <c r="B1369" s="30">
        <v>40020</v>
      </c>
      <c r="C1369" s="4"/>
      <c r="D1369" s="4" t="s">
        <v>195</v>
      </c>
      <c r="E1369" s="4" t="s">
        <v>170</v>
      </c>
      <c r="F1369" s="4" t="s">
        <v>155</v>
      </c>
      <c r="G1369" s="4">
        <v>3</v>
      </c>
      <c r="H1369" s="4">
        <v>3</v>
      </c>
      <c r="I1369" s="4" t="s">
        <v>139</v>
      </c>
      <c r="J1369" s="4" t="s">
        <v>186</v>
      </c>
      <c r="K1369" s="4" t="s">
        <v>142</v>
      </c>
      <c r="L1369" s="4" t="s">
        <v>162</v>
      </c>
      <c r="M1369" s="4"/>
      <c r="N1369" s="4" t="s">
        <v>155</v>
      </c>
      <c r="O1369" s="4" t="s">
        <v>130</v>
      </c>
      <c r="P1369" s="4"/>
    </row>
    <row r="1370" spans="1:16" ht="15">
      <c r="A1370" s="4" t="s">
        <v>2280</v>
      </c>
      <c r="B1370" s="30">
        <v>39923</v>
      </c>
      <c r="C1370" s="4" t="s">
        <v>380</v>
      </c>
      <c r="D1370" s="4" t="s">
        <v>4183</v>
      </c>
      <c r="E1370" s="4" t="s">
        <v>170</v>
      </c>
      <c r="F1370" s="4" t="s">
        <v>155</v>
      </c>
      <c r="G1370" s="4"/>
      <c r="H1370" s="4"/>
      <c r="I1370" s="4" t="s">
        <v>140</v>
      </c>
      <c r="J1370" s="4" t="s">
        <v>591</v>
      </c>
      <c r="K1370" s="4" t="s">
        <v>142</v>
      </c>
      <c r="L1370" s="4" t="s">
        <v>4181</v>
      </c>
      <c r="M1370" s="4"/>
      <c r="N1370" s="4" t="s">
        <v>155</v>
      </c>
      <c r="O1370" s="4" t="s">
        <v>124</v>
      </c>
      <c r="P1370" s="4"/>
    </row>
    <row r="1371" spans="1:16" ht="15">
      <c r="A1371" s="4" t="s">
        <v>2281</v>
      </c>
      <c r="B1371" s="30">
        <v>39991</v>
      </c>
      <c r="C1371" s="4"/>
      <c r="D1371" s="4" t="s">
        <v>195</v>
      </c>
      <c r="E1371" s="4" t="s">
        <v>170</v>
      </c>
      <c r="F1371" s="4" t="s">
        <v>155</v>
      </c>
      <c r="G1371" s="4"/>
      <c r="H1371" s="4">
        <v>3</v>
      </c>
      <c r="I1371" s="4" t="s">
        <v>139</v>
      </c>
      <c r="J1371" s="4" t="s">
        <v>189</v>
      </c>
      <c r="K1371" s="4" t="s">
        <v>144</v>
      </c>
      <c r="L1371" s="4" t="s">
        <v>4181</v>
      </c>
      <c r="M1371" s="4" t="s">
        <v>173</v>
      </c>
      <c r="N1371" s="4" t="s">
        <v>155</v>
      </c>
      <c r="O1371" s="4" t="s">
        <v>830</v>
      </c>
      <c r="P1371" s="4"/>
    </row>
    <row r="1372" spans="1:16" ht="15">
      <c r="A1372" s="4" t="s">
        <v>2282</v>
      </c>
      <c r="B1372" s="30">
        <v>40026</v>
      </c>
      <c r="C1372" s="4"/>
      <c r="D1372" s="4" t="s">
        <v>196</v>
      </c>
      <c r="E1372" s="4" t="s">
        <v>170</v>
      </c>
      <c r="F1372" s="4" t="s">
        <v>155</v>
      </c>
      <c r="G1372" s="4">
        <v>3</v>
      </c>
      <c r="H1372" s="4">
        <v>4</v>
      </c>
      <c r="I1372" s="4" t="s">
        <v>139</v>
      </c>
      <c r="J1372" s="4" t="s">
        <v>509</v>
      </c>
      <c r="K1372" s="4" t="s">
        <v>142</v>
      </c>
      <c r="L1372" s="4" t="s">
        <v>4181</v>
      </c>
      <c r="M1372" s="4" t="s">
        <v>173</v>
      </c>
      <c r="N1372" s="4" t="s">
        <v>155</v>
      </c>
      <c r="O1372" s="4" t="s">
        <v>454</v>
      </c>
      <c r="P1372" s="4"/>
    </row>
    <row r="1373" spans="1:16" ht="15">
      <c r="A1373" s="4" t="s">
        <v>2283</v>
      </c>
      <c r="B1373" s="30">
        <v>39975</v>
      </c>
      <c r="C1373" s="4"/>
      <c r="D1373" s="4" t="s">
        <v>193</v>
      </c>
      <c r="E1373" s="4" t="s">
        <v>170</v>
      </c>
      <c r="F1373" s="4" t="s">
        <v>155</v>
      </c>
      <c r="G1373" s="4"/>
      <c r="H1373" s="4"/>
      <c r="I1373" s="4" t="s">
        <v>140</v>
      </c>
      <c r="J1373" s="4" t="s">
        <v>179</v>
      </c>
      <c r="K1373" s="4" t="s">
        <v>144</v>
      </c>
      <c r="L1373" s="4" t="s">
        <v>4181</v>
      </c>
      <c r="M1373" s="4" t="s">
        <v>2284</v>
      </c>
      <c r="N1373" s="4" t="s">
        <v>155</v>
      </c>
      <c r="O1373" s="4" t="s">
        <v>792</v>
      </c>
      <c r="P1373" s="4"/>
    </row>
    <row r="1374" spans="1:16" ht="15">
      <c r="A1374" s="4" t="s">
        <v>2285</v>
      </c>
      <c r="B1374" s="30">
        <v>40024</v>
      </c>
      <c r="C1374" s="4"/>
      <c r="D1374" s="4" t="s">
        <v>193</v>
      </c>
      <c r="E1374" s="4" t="s">
        <v>170</v>
      </c>
      <c r="F1374" s="4" t="s">
        <v>155</v>
      </c>
      <c r="G1374" s="4">
        <v>5</v>
      </c>
      <c r="H1374" s="4">
        <v>5</v>
      </c>
      <c r="I1374" s="4" t="s">
        <v>140</v>
      </c>
      <c r="J1374" s="4" t="s">
        <v>184</v>
      </c>
      <c r="K1374" s="4" t="s">
        <v>143</v>
      </c>
      <c r="L1374" s="4" t="s">
        <v>162</v>
      </c>
      <c r="M1374" s="4" t="s">
        <v>459</v>
      </c>
      <c r="N1374" s="4" t="s">
        <v>155</v>
      </c>
      <c r="O1374" s="4" t="s">
        <v>129</v>
      </c>
      <c r="P1374" s="4"/>
    </row>
    <row r="1375" spans="1:16" ht="15">
      <c r="A1375" s="4" t="s">
        <v>2286</v>
      </c>
      <c r="B1375" s="30">
        <v>40010</v>
      </c>
      <c r="C1375" s="4"/>
      <c r="D1375" s="4" t="s">
        <v>193</v>
      </c>
      <c r="E1375" s="4" t="s">
        <v>170</v>
      </c>
      <c r="F1375" s="4" t="s">
        <v>155</v>
      </c>
      <c r="G1375" s="4">
        <v>2</v>
      </c>
      <c r="H1375" s="4">
        <v>3</v>
      </c>
      <c r="I1375" s="4" t="s">
        <v>140</v>
      </c>
      <c r="J1375" s="4" t="s">
        <v>576</v>
      </c>
      <c r="K1375" s="4" t="s">
        <v>146</v>
      </c>
      <c r="L1375" s="4" t="s">
        <v>165</v>
      </c>
      <c r="M1375" s="4" t="s">
        <v>1618</v>
      </c>
      <c r="N1375" s="4" t="s">
        <v>158</v>
      </c>
      <c r="O1375" s="4" t="s">
        <v>122</v>
      </c>
      <c r="P1375" s="4"/>
    </row>
    <row r="1376" spans="1:16" ht="15">
      <c r="A1376" s="4" t="s">
        <v>2287</v>
      </c>
      <c r="B1376" s="30">
        <v>39958</v>
      </c>
      <c r="C1376" s="4"/>
      <c r="D1376" s="4" t="s">
        <v>194</v>
      </c>
      <c r="E1376" s="4" t="s">
        <v>170</v>
      </c>
      <c r="F1376" s="4" t="s">
        <v>155</v>
      </c>
      <c r="G1376" s="4"/>
      <c r="H1376" s="4"/>
      <c r="I1376" s="4" t="s">
        <v>139</v>
      </c>
      <c r="J1376" s="4" t="s">
        <v>182</v>
      </c>
      <c r="K1376" s="4" t="s">
        <v>144</v>
      </c>
      <c r="L1376" s="4" t="s">
        <v>162</v>
      </c>
      <c r="M1376" s="4" t="s">
        <v>175</v>
      </c>
      <c r="N1376" s="4" t="s">
        <v>155</v>
      </c>
      <c r="O1376" s="4" t="s">
        <v>127</v>
      </c>
      <c r="P1376" s="4"/>
    </row>
    <row r="1377" spans="1:16" ht="15">
      <c r="A1377" s="4" t="s">
        <v>2288</v>
      </c>
      <c r="B1377" s="30">
        <v>39917</v>
      </c>
      <c r="C1377" s="4"/>
      <c r="D1377" s="4" t="s">
        <v>4183</v>
      </c>
      <c r="E1377" s="4" t="s">
        <v>170</v>
      </c>
      <c r="F1377" s="4" t="s">
        <v>155</v>
      </c>
      <c r="G1377" s="4"/>
      <c r="H1377" s="4"/>
      <c r="I1377" s="4" t="s">
        <v>140</v>
      </c>
      <c r="J1377" s="4" t="s">
        <v>182</v>
      </c>
      <c r="K1377" s="4" t="s">
        <v>148</v>
      </c>
      <c r="L1377" s="4" t="s">
        <v>4181</v>
      </c>
      <c r="M1377" s="4" t="s">
        <v>173</v>
      </c>
      <c r="N1377" s="4" t="s">
        <v>161</v>
      </c>
      <c r="O1377" s="4" t="s">
        <v>939</v>
      </c>
      <c r="P1377" s="4"/>
    </row>
    <row r="1378" spans="1:16" ht="15">
      <c r="A1378" s="4" t="s">
        <v>2289</v>
      </c>
      <c r="B1378" s="30">
        <v>39914</v>
      </c>
      <c r="C1378" s="4"/>
      <c r="D1378" s="4" t="s">
        <v>4180</v>
      </c>
      <c r="E1378" s="4" t="s">
        <v>170</v>
      </c>
      <c r="F1378" s="4" t="s">
        <v>155</v>
      </c>
      <c r="G1378" s="4"/>
      <c r="H1378" s="4"/>
      <c r="I1378" s="4" t="s">
        <v>139</v>
      </c>
      <c r="J1378" s="4" t="s">
        <v>182</v>
      </c>
      <c r="K1378" s="4" t="s">
        <v>143</v>
      </c>
      <c r="L1378" s="4" t="s">
        <v>162</v>
      </c>
      <c r="M1378" s="4" t="s">
        <v>175</v>
      </c>
      <c r="N1378" s="4" t="s">
        <v>161</v>
      </c>
      <c r="O1378" s="4" t="s">
        <v>387</v>
      </c>
      <c r="P1378" s="4"/>
    </row>
    <row r="1379" spans="1:16" ht="15">
      <c r="A1379" s="4" t="s">
        <v>2290</v>
      </c>
      <c r="B1379" s="30">
        <v>39945</v>
      </c>
      <c r="C1379" s="4"/>
      <c r="D1379" s="4" t="s">
        <v>194</v>
      </c>
      <c r="E1379" s="4" t="s">
        <v>170</v>
      </c>
      <c r="F1379" s="4" t="s">
        <v>155</v>
      </c>
      <c r="G1379" s="4"/>
      <c r="H1379" s="4"/>
      <c r="I1379" s="4" t="s">
        <v>139</v>
      </c>
      <c r="J1379" s="4" t="s">
        <v>179</v>
      </c>
      <c r="K1379" s="4" t="s">
        <v>150</v>
      </c>
      <c r="L1379" s="4" t="s">
        <v>162</v>
      </c>
      <c r="M1379" s="4" t="s">
        <v>459</v>
      </c>
      <c r="N1379" s="4" t="s">
        <v>155</v>
      </c>
      <c r="O1379" s="4" t="s">
        <v>130</v>
      </c>
      <c r="P1379" s="4"/>
    </row>
    <row r="1380" spans="1:16" ht="15">
      <c r="A1380" s="4" t="s">
        <v>2291</v>
      </c>
      <c r="B1380" s="30">
        <v>39960</v>
      </c>
      <c r="C1380" s="4"/>
      <c r="D1380" s="4" t="s">
        <v>193</v>
      </c>
      <c r="E1380" s="4" t="s">
        <v>170</v>
      </c>
      <c r="F1380" s="4" t="s">
        <v>155</v>
      </c>
      <c r="G1380" s="4"/>
      <c r="H1380" s="4"/>
      <c r="I1380" s="4" t="s">
        <v>140</v>
      </c>
      <c r="J1380" s="4" t="s">
        <v>179</v>
      </c>
      <c r="K1380" s="4" t="s">
        <v>144</v>
      </c>
      <c r="L1380" s="4" t="s">
        <v>4176</v>
      </c>
      <c r="M1380" s="4" t="s">
        <v>174</v>
      </c>
      <c r="N1380" s="4" t="s">
        <v>160</v>
      </c>
      <c r="O1380" s="4" t="s">
        <v>126</v>
      </c>
      <c r="P1380" s="4" t="s">
        <v>551</v>
      </c>
    </row>
    <row r="1381" spans="1:16" ht="15">
      <c r="A1381" s="4" t="s">
        <v>2292</v>
      </c>
      <c r="B1381" s="30">
        <v>39980</v>
      </c>
      <c r="C1381" s="4" t="s">
        <v>380</v>
      </c>
      <c r="D1381" s="4" t="s">
        <v>194</v>
      </c>
      <c r="E1381" s="4" t="s">
        <v>170</v>
      </c>
      <c r="F1381" s="4" t="s">
        <v>155</v>
      </c>
      <c r="G1381" s="4"/>
      <c r="H1381" s="4"/>
      <c r="I1381" s="4" t="s">
        <v>139</v>
      </c>
      <c r="J1381" s="4" t="s">
        <v>1034</v>
      </c>
      <c r="K1381" s="4" t="s">
        <v>149</v>
      </c>
      <c r="L1381" s="4" t="s">
        <v>162</v>
      </c>
      <c r="M1381" s="4" t="s">
        <v>522</v>
      </c>
      <c r="N1381" s="4" t="s">
        <v>155</v>
      </c>
      <c r="O1381" s="4" t="s">
        <v>129</v>
      </c>
      <c r="P1381" s="4"/>
    </row>
    <row r="1382" spans="1:16" ht="15">
      <c r="A1382" s="4" t="s">
        <v>2293</v>
      </c>
      <c r="B1382" s="30">
        <v>39980</v>
      </c>
      <c r="C1382" s="4"/>
      <c r="D1382" s="4" t="s">
        <v>193</v>
      </c>
      <c r="E1382" s="4" t="s">
        <v>170</v>
      </c>
      <c r="F1382" s="4" t="s">
        <v>155</v>
      </c>
      <c r="G1382" s="4"/>
      <c r="H1382" s="4"/>
      <c r="I1382" s="4" t="s">
        <v>140</v>
      </c>
      <c r="J1382" s="4" t="s">
        <v>179</v>
      </c>
      <c r="K1382" s="4" t="s">
        <v>145</v>
      </c>
      <c r="L1382" s="4" t="s">
        <v>4181</v>
      </c>
      <c r="M1382" s="4" t="s">
        <v>173</v>
      </c>
      <c r="N1382" s="4" t="s">
        <v>155</v>
      </c>
      <c r="O1382" s="4" t="s">
        <v>1133</v>
      </c>
      <c r="P1382" s="4"/>
    </row>
    <row r="1383" spans="1:16" ht="15">
      <c r="A1383" s="4" t="s">
        <v>2294</v>
      </c>
      <c r="B1383" s="30">
        <v>39949</v>
      </c>
      <c r="C1383" s="4" t="s">
        <v>496</v>
      </c>
      <c r="D1383" s="4" t="s">
        <v>194</v>
      </c>
      <c r="E1383" s="4" t="s">
        <v>170</v>
      </c>
      <c r="F1383" s="4" t="s">
        <v>155</v>
      </c>
      <c r="G1383" s="4"/>
      <c r="H1383" s="4"/>
      <c r="I1383" s="4" t="s">
        <v>139</v>
      </c>
      <c r="J1383" s="4" t="s">
        <v>181</v>
      </c>
      <c r="K1383" s="4" t="s">
        <v>142</v>
      </c>
      <c r="L1383" s="4" t="s">
        <v>4181</v>
      </c>
      <c r="M1383" s="4"/>
      <c r="N1383" s="4" t="s">
        <v>155</v>
      </c>
      <c r="O1383" s="4" t="s">
        <v>392</v>
      </c>
      <c r="P1383" s="4"/>
    </row>
    <row r="1384" spans="1:16" ht="15">
      <c r="A1384" s="4" t="s">
        <v>2295</v>
      </c>
      <c r="B1384" s="30">
        <v>39949</v>
      </c>
      <c r="C1384" s="4"/>
      <c r="D1384" s="4" t="s">
        <v>195</v>
      </c>
      <c r="E1384" s="4" t="s">
        <v>170</v>
      </c>
      <c r="F1384" s="4" t="s">
        <v>155</v>
      </c>
      <c r="G1384" s="4"/>
      <c r="H1384" s="4"/>
      <c r="I1384" s="4" t="s">
        <v>139</v>
      </c>
      <c r="J1384" s="4" t="s">
        <v>181</v>
      </c>
      <c r="K1384" s="4" t="s">
        <v>142</v>
      </c>
      <c r="L1384" s="4" t="s">
        <v>4181</v>
      </c>
      <c r="M1384" s="4"/>
      <c r="N1384" s="4" t="s">
        <v>155</v>
      </c>
      <c r="O1384" s="4" t="s">
        <v>392</v>
      </c>
      <c r="P1384" s="4"/>
    </row>
    <row r="1385" spans="1:16" ht="15">
      <c r="A1385" s="4" t="s">
        <v>2296</v>
      </c>
      <c r="B1385" s="30">
        <v>39910</v>
      </c>
      <c r="C1385" s="4"/>
      <c r="D1385" s="4" t="s">
        <v>4177</v>
      </c>
      <c r="E1385" s="4" t="s">
        <v>170</v>
      </c>
      <c r="F1385" s="4" t="s">
        <v>155</v>
      </c>
      <c r="G1385" s="4"/>
      <c r="H1385" s="4"/>
      <c r="I1385" s="4" t="s">
        <v>139</v>
      </c>
      <c r="J1385" s="4" t="s">
        <v>391</v>
      </c>
      <c r="K1385" s="4" t="s">
        <v>145</v>
      </c>
      <c r="L1385" s="4" t="s">
        <v>4181</v>
      </c>
      <c r="M1385" s="4" t="s">
        <v>2297</v>
      </c>
      <c r="N1385" s="4" t="s">
        <v>155</v>
      </c>
      <c r="O1385" s="4" t="s">
        <v>125</v>
      </c>
      <c r="P1385" s="4"/>
    </row>
    <row r="1386" spans="1:16" ht="15">
      <c r="A1386" s="4" t="s">
        <v>2298</v>
      </c>
      <c r="B1386" s="30">
        <v>39966</v>
      </c>
      <c r="C1386" s="4" t="s">
        <v>383</v>
      </c>
      <c r="D1386" s="4" t="s">
        <v>195</v>
      </c>
      <c r="E1386" s="4" t="s">
        <v>170</v>
      </c>
      <c r="F1386" s="4" t="s">
        <v>155</v>
      </c>
      <c r="G1386" s="4"/>
      <c r="H1386" s="4"/>
      <c r="I1386" s="4" t="s">
        <v>139</v>
      </c>
      <c r="J1386" s="4" t="s">
        <v>181</v>
      </c>
      <c r="K1386" s="4" t="s">
        <v>143</v>
      </c>
      <c r="L1386" s="4" t="s">
        <v>4176</v>
      </c>
      <c r="M1386" s="4" t="s">
        <v>2176</v>
      </c>
      <c r="N1386" s="4" t="s">
        <v>159</v>
      </c>
      <c r="O1386" s="4" t="s">
        <v>126</v>
      </c>
      <c r="P1386" s="4" t="s">
        <v>601</v>
      </c>
    </row>
    <row r="1387" spans="1:16" ht="15">
      <c r="A1387" s="4" t="s">
        <v>2299</v>
      </c>
      <c r="B1387" s="30">
        <v>39970</v>
      </c>
      <c r="C1387" s="4" t="s">
        <v>9</v>
      </c>
      <c r="D1387" s="4" t="s">
        <v>195</v>
      </c>
      <c r="E1387" s="4" t="s">
        <v>170</v>
      </c>
      <c r="F1387" s="4" t="s">
        <v>155</v>
      </c>
      <c r="G1387" s="4"/>
      <c r="H1387" s="4"/>
      <c r="I1387" s="4" t="s">
        <v>139</v>
      </c>
      <c r="J1387" s="4" t="s">
        <v>178</v>
      </c>
      <c r="K1387" s="4" t="s">
        <v>143</v>
      </c>
      <c r="L1387" s="4" t="s">
        <v>4181</v>
      </c>
      <c r="M1387" s="4" t="s">
        <v>173</v>
      </c>
      <c r="N1387" s="4" t="s">
        <v>155</v>
      </c>
      <c r="O1387" s="4" t="s">
        <v>125</v>
      </c>
      <c r="P1387" s="4"/>
    </row>
    <row r="1388" spans="1:16" ht="15">
      <c r="A1388" s="4" t="s">
        <v>2300</v>
      </c>
      <c r="B1388" s="30">
        <v>39911</v>
      </c>
      <c r="C1388" s="4"/>
      <c r="D1388" s="4" t="s">
        <v>4180</v>
      </c>
      <c r="E1388" s="4" t="s">
        <v>170</v>
      </c>
      <c r="F1388" s="4" t="s">
        <v>155</v>
      </c>
      <c r="G1388" s="4"/>
      <c r="H1388" s="4"/>
      <c r="I1388" s="4" t="s">
        <v>139</v>
      </c>
      <c r="J1388" s="4" t="s">
        <v>178</v>
      </c>
      <c r="K1388" s="4" t="s">
        <v>143</v>
      </c>
      <c r="L1388" s="4" t="s">
        <v>4181</v>
      </c>
      <c r="M1388" s="4" t="s">
        <v>173</v>
      </c>
      <c r="N1388" s="4" t="s">
        <v>155</v>
      </c>
      <c r="O1388" s="4" t="s">
        <v>130</v>
      </c>
      <c r="P1388" s="4"/>
    </row>
    <row r="1389" spans="1:16" ht="15">
      <c r="A1389" s="4" t="s">
        <v>2301</v>
      </c>
      <c r="B1389" s="30">
        <v>39930</v>
      </c>
      <c r="C1389" s="4"/>
      <c r="D1389" s="4" t="s">
        <v>4177</v>
      </c>
      <c r="E1389" s="4" t="s">
        <v>170</v>
      </c>
      <c r="F1389" s="4" t="s">
        <v>155</v>
      </c>
      <c r="G1389" s="4"/>
      <c r="H1389" s="4"/>
      <c r="I1389" s="4" t="s">
        <v>139</v>
      </c>
      <c r="J1389" s="4" t="s">
        <v>178</v>
      </c>
      <c r="K1389" s="4" t="s">
        <v>143</v>
      </c>
      <c r="L1389" s="4" t="s">
        <v>4181</v>
      </c>
      <c r="M1389" s="4" t="s">
        <v>1443</v>
      </c>
      <c r="N1389" s="4" t="s">
        <v>155</v>
      </c>
      <c r="O1389" s="4" t="s">
        <v>387</v>
      </c>
      <c r="P1389" s="4"/>
    </row>
    <row r="1390" spans="1:16" ht="15">
      <c r="A1390" s="4" t="s">
        <v>2302</v>
      </c>
      <c r="B1390" s="30">
        <v>39980</v>
      </c>
      <c r="C1390" s="4"/>
      <c r="D1390" s="4" t="s">
        <v>194</v>
      </c>
      <c r="E1390" s="4" t="s">
        <v>170</v>
      </c>
      <c r="F1390" s="4" t="s">
        <v>155</v>
      </c>
      <c r="G1390" s="4"/>
      <c r="H1390" s="4"/>
      <c r="I1390" s="4" t="s">
        <v>139</v>
      </c>
      <c r="J1390" s="4" t="s">
        <v>187</v>
      </c>
      <c r="K1390" s="4" t="s">
        <v>145</v>
      </c>
      <c r="L1390" s="4" t="s">
        <v>162</v>
      </c>
      <c r="M1390" s="4" t="s">
        <v>174</v>
      </c>
      <c r="N1390" s="4" t="s">
        <v>155</v>
      </c>
      <c r="O1390" s="4" t="s">
        <v>127</v>
      </c>
      <c r="P1390" s="4"/>
    </row>
    <row r="1391" spans="1:16" ht="15">
      <c r="A1391" s="4" t="s">
        <v>2303</v>
      </c>
      <c r="B1391" s="30">
        <v>40075</v>
      </c>
      <c r="C1391" s="4"/>
      <c r="D1391" s="4" t="s">
        <v>193</v>
      </c>
      <c r="E1391" s="4" t="s">
        <v>170</v>
      </c>
      <c r="F1391" s="4" t="s">
        <v>155</v>
      </c>
      <c r="G1391" s="4">
        <v>2</v>
      </c>
      <c r="H1391" s="4">
        <v>4</v>
      </c>
      <c r="I1391" s="4" t="s">
        <v>140</v>
      </c>
      <c r="J1391" s="4" t="s">
        <v>180</v>
      </c>
      <c r="K1391" s="4" t="s">
        <v>150</v>
      </c>
      <c r="L1391" s="4" t="s">
        <v>4181</v>
      </c>
      <c r="M1391" s="4" t="s">
        <v>2304</v>
      </c>
      <c r="N1391" s="4" t="s">
        <v>155</v>
      </c>
      <c r="O1391" s="4" t="s">
        <v>387</v>
      </c>
      <c r="P1391" s="4"/>
    </row>
    <row r="1392" spans="1:16" ht="15">
      <c r="A1392" s="4" t="s">
        <v>2305</v>
      </c>
      <c r="B1392" s="30">
        <v>40004</v>
      </c>
      <c r="C1392" s="4" t="s">
        <v>383</v>
      </c>
      <c r="D1392" s="4" t="s">
        <v>193</v>
      </c>
      <c r="E1392" s="4" t="s">
        <v>170</v>
      </c>
      <c r="F1392" s="4" t="s">
        <v>155</v>
      </c>
      <c r="G1392" s="4"/>
      <c r="H1392" s="4">
        <v>5</v>
      </c>
      <c r="I1392" s="4" t="s">
        <v>140</v>
      </c>
      <c r="J1392" s="4" t="s">
        <v>188</v>
      </c>
      <c r="K1392" s="4" t="s">
        <v>144</v>
      </c>
      <c r="L1392" s="4" t="s">
        <v>4176</v>
      </c>
      <c r="M1392" s="4" t="s">
        <v>867</v>
      </c>
      <c r="N1392" s="4" t="s">
        <v>157</v>
      </c>
      <c r="O1392" s="4" t="s">
        <v>127</v>
      </c>
      <c r="P1392" s="4" t="s">
        <v>153</v>
      </c>
    </row>
    <row r="1393" spans="1:16" ht="15">
      <c r="A1393" s="4" t="s">
        <v>2306</v>
      </c>
      <c r="B1393" s="30">
        <v>39992</v>
      </c>
      <c r="C1393" s="4"/>
      <c r="D1393" s="4" t="s">
        <v>194</v>
      </c>
      <c r="E1393" s="4" t="s">
        <v>170</v>
      </c>
      <c r="F1393" s="4" t="s">
        <v>155</v>
      </c>
      <c r="G1393" s="4"/>
      <c r="H1393" s="4">
        <v>2</v>
      </c>
      <c r="I1393" s="4" t="s">
        <v>139</v>
      </c>
      <c r="J1393" s="4" t="s">
        <v>603</v>
      </c>
      <c r="K1393" s="4" t="s">
        <v>146</v>
      </c>
      <c r="L1393" s="4" t="s">
        <v>4181</v>
      </c>
      <c r="M1393" s="4"/>
      <c r="N1393" s="4" t="s">
        <v>155</v>
      </c>
      <c r="O1393" s="4" t="s">
        <v>130</v>
      </c>
      <c r="P1393" s="4"/>
    </row>
    <row r="1394" spans="1:16" ht="15">
      <c r="A1394" s="4" t="s">
        <v>2307</v>
      </c>
      <c r="B1394" s="30">
        <v>40002</v>
      </c>
      <c r="C1394" s="4"/>
      <c r="D1394" s="4" t="s">
        <v>195</v>
      </c>
      <c r="E1394" s="4" t="s">
        <v>170</v>
      </c>
      <c r="F1394" s="4" t="s">
        <v>155</v>
      </c>
      <c r="G1394" s="4"/>
      <c r="H1394" s="4">
        <v>5</v>
      </c>
      <c r="I1394" s="4" t="s">
        <v>139</v>
      </c>
      <c r="J1394" s="4" t="s">
        <v>479</v>
      </c>
      <c r="K1394" s="4" t="s">
        <v>145</v>
      </c>
      <c r="L1394" s="4" t="s">
        <v>162</v>
      </c>
      <c r="M1394" s="4"/>
      <c r="N1394" s="4" t="s">
        <v>155</v>
      </c>
      <c r="O1394" s="4" t="s">
        <v>130</v>
      </c>
      <c r="P1394" s="4"/>
    </row>
    <row r="1395" spans="1:16" ht="15">
      <c r="A1395" s="4" t="s">
        <v>2308</v>
      </c>
      <c r="B1395" s="30">
        <v>39976</v>
      </c>
      <c r="C1395" s="4"/>
      <c r="D1395" s="4" t="s">
        <v>193</v>
      </c>
      <c r="E1395" s="4" t="s">
        <v>170</v>
      </c>
      <c r="F1395" s="4" t="s">
        <v>155</v>
      </c>
      <c r="G1395" s="4"/>
      <c r="H1395" s="4"/>
      <c r="I1395" s="4" t="s">
        <v>140</v>
      </c>
      <c r="J1395" s="4" t="s">
        <v>188</v>
      </c>
      <c r="K1395" s="4" t="s">
        <v>144</v>
      </c>
      <c r="L1395" s="4" t="s">
        <v>162</v>
      </c>
      <c r="M1395" s="4"/>
      <c r="N1395" s="4" t="s">
        <v>155</v>
      </c>
      <c r="O1395" s="4" t="s">
        <v>130</v>
      </c>
      <c r="P1395" s="4"/>
    </row>
    <row r="1396" spans="1:16" ht="15">
      <c r="A1396" s="4" t="s">
        <v>2309</v>
      </c>
      <c r="B1396" s="30">
        <v>39941</v>
      </c>
      <c r="C1396" s="4"/>
      <c r="D1396" s="4" t="s">
        <v>193</v>
      </c>
      <c r="E1396" s="4" t="s">
        <v>170</v>
      </c>
      <c r="F1396" s="4" t="s">
        <v>155</v>
      </c>
      <c r="G1396" s="4"/>
      <c r="H1396" s="4"/>
      <c r="I1396" s="4" t="s">
        <v>140</v>
      </c>
      <c r="J1396" s="4" t="s">
        <v>180</v>
      </c>
      <c r="K1396" s="4" t="s">
        <v>142</v>
      </c>
      <c r="L1396" s="4" t="s">
        <v>4176</v>
      </c>
      <c r="M1396" s="4" t="s">
        <v>174</v>
      </c>
      <c r="N1396" s="4" t="s">
        <v>156</v>
      </c>
      <c r="O1396" s="4" t="s">
        <v>120</v>
      </c>
      <c r="P1396" s="4" t="s">
        <v>2114</v>
      </c>
    </row>
    <row r="1397" spans="1:16" ht="15">
      <c r="A1397" s="4" t="s">
        <v>2310</v>
      </c>
      <c r="B1397" s="30">
        <v>39914</v>
      </c>
      <c r="C1397" s="4" t="s">
        <v>9</v>
      </c>
      <c r="D1397" s="4" t="s">
        <v>4179</v>
      </c>
      <c r="E1397" s="4" t="s">
        <v>170</v>
      </c>
      <c r="F1397" s="4" t="s">
        <v>155</v>
      </c>
      <c r="G1397" s="4"/>
      <c r="H1397" s="4"/>
      <c r="I1397" s="4" t="s">
        <v>139</v>
      </c>
      <c r="J1397" s="4" t="s">
        <v>183</v>
      </c>
      <c r="K1397" s="4" t="s">
        <v>147</v>
      </c>
      <c r="L1397" s="4" t="s">
        <v>165</v>
      </c>
      <c r="M1397" s="4" t="s">
        <v>2169</v>
      </c>
      <c r="N1397" s="4" t="s">
        <v>158</v>
      </c>
      <c r="O1397" s="4" t="s">
        <v>122</v>
      </c>
      <c r="P1397" s="4"/>
    </row>
    <row r="1398" spans="1:16" ht="15">
      <c r="A1398" s="4" t="s">
        <v>2311</v>
      </c>
      <c r="B1398" s="30">
        <v>40011</v>
      </c>
      <c r="C1398" s="4"/>
      <c r="D1398" s="4" t="s">
        <v>195</v>
      </c>
      <c r="E1398" s="4" t="s">
        <v>170</v>
      </c>
      <c r="F1398" s="4" t="s">
        <v>155</v>
      </c>
      <c r="G1398" s="4">
        <v>5</v>
      </c>
      <c r="H1398" s="4">
        <v>5</v>
      </c>
      <c r="I1398" s="4" t="s">
        <v>139</v>
      </c>
      <c r="J1398" s="4" t="s">
        <v>182</v>
      </c>
      <c r="K1398" s="4" t="s">
        <v>148</v>
      </c>
      <c r="L1398" s="4" t="s">
        <v>4181</v>
      </c>
      <c r="M1398" s="4" t="s">
        <v>2312</v>
      </c>
      <c r="N1398" s="4" t="s">
        <v>155</v>
      </c>
      <c r="O1398" s="4" t="s">
        <v>124</v>
      </c>
      <c r="P1398" s="4"/>
    </row>
    <row r="1399" spans="1:16" ht="15">
      <c r="A1399" s="4" t="s">
        <v>2313</v>
      </c>
      <c r="B1399" s="30">
        <v>40054</v>
      </c>
      <c r="C1399" s="4"/>
      <c r="D1399" s="4" t="s">
        <v>195</v>
      </c>
      <c r="E1399" s="4" t="s">
        <v>170</v>
      </c>
      <c r="F1399" s="4" t="s">
        <v>155</v>
      </c>
      <c r="G1399" s="4">
        <v>1</v>
      </c>
      <c r="H1399" s="4">
        <v>4</v>
      </c>
      <c r="I1399" s="4" t="s">
        <v>139</v>
      </c>
      <c r="J1399" s="4" t="s">
        <v>534</v>
      </c>
      <c r="K1399" s="4" t="s">
        <v>145</v>
      </c>
      <c r="L1399" s="4" t="s">
        <v>4176</v>
      </c>
      <c r="M1399" s="4" t="s">
        <v>174</v>
      </c>
      <c r="N1399" s="4" t="s">
        <v>157</v>
      </c>
      <c r="O1399" s="4" t="s">
        <v>127</v>
      </c>
      <c r="P1399" s="4" t="s">
        <v>1005</v>
      </c>
    </row>
    <row r="1400" spans="1:16" ht="15">
      <c r="A1400" s="4" t="s">
        <v>2314</v>
      </c>
      <c r="B1400" s="30">
        <v>39956</v>
      </c>
      <c r="C1400" s="4"/>
      <c r="D1400" s="4" t="s">
        <v>193</v>
      </c>
      <c r="E1400" s="4" t="s">
        <v>170</v>
      </c>
      <c r="F1400" s="4" t="s">
        <v>155</v>
      </c>
      <c r="G1400" s="4"/>
      <c r="H1400" s="4"/>
      <c r="I1400" s="4" t="s">
        <v>140</v>
      </c>
      <c r="J1400" s="4" t="s">
        <v>182</v>
      </c>
      <c r="K1400" s="4" t="s">
        <v>146</v>
      </c>
      <c r="L1400" s="4" t="s">
        <v>4176</v>
      </c>
      <c r="M1400" s="4" t="s">
        <v>550</v>
      </c>
      <c r="N1400" s="4" t="s">
        <v>160</v>
      </c>
      <c r="O1400" s="4" t="s">
        <v>126</v>
      </c>
      <c r="P1400" s="4" t="s">
        <v>2315</v>
      </c>
    </row>
    <row r="1401" spans="1:16" ht="15">
      <c r="A1401" s="4" t="s">
        <v>2316</v>
      </c>
      <c r="B1401" s="30">
        <v>40086</v>
      </c>
      <c r="C1401" s="4"/>
      <c r="D1401" s="4" t="s">
        <v>197</v>
      </c>
      <c r="E1401" s="4" t="s">
        <v>170</v>
      </c>
      <c r="F1401" s="4" t="s">
        <v>155</v>
      </c>
      <c r="G1401" s="4">
        <v>5</v>
      </c>
      <c r="H1401" s="4">
        <v>5</v>
      </c>
      <c r="I1401" s="4" t="s">
        <v>139</v>
      </c>
      <c r="J1401" s="4" t="s">
        <v>534</v>
      </c>
      <c r="K1401" s="4" t="s">
        <v>145</v>
      </c>
      <c r="L1401" s="4" t="s">
        <v>4181</v>
      </c>
      <c r="M1401" s="4" t="s">
        <v>173</v>
      </c>
      <c r="N1401" s="4" t="s">
        <v>155</v>
      </c>
      <c r="O1401" s="4" t="s">
        <v>128</v>
      </c>
      <c r="P1401" s="4"/>
    </row>
    <row r="1402" spans="1:16" ht="15">
      <c r="A1402" s="4" t="s">
        <v>2317</v>
      </c>
      <c r="B1402" s="30">
        <v>39919</v>
      </c>
      <c r="C1402" s="4"/>
      <c r="D1402" s="4" t="s">
        <v>4183</v>
      </c>
      <c r="E1402" s="4" t="s">
        <v>170</v>
      </c>
      <c r="F1402" s="4" t="s">
        <v>155</v>
      </c>
      <c r="G1402" s="4"/>
      <c r="H1402" s="4"/>
      <c r="I1402" s="4" t="s">
        <v>140</v>
      </c>
      <c r="J1402" s="4" t="s">
        <v>180</v>
      </c>
      <c r="K1402" s="4" t="s">
        <v>145</v>
      </c>
      <c r="L1402" s="4" t="s">
        <v>4176</v>
      </c>
      <c r="M1402" s="4" t="s">
        <v>654</v>
      </c>
      <c r="N1402" s="4" t="s">
        <v>157</v>
      </c>
      <c r="O1402" s="4" t="s">
        <v>434</v>
      </c>
      <c r="P1402" s="4" t="s">
        <v>435</v>
      </c>
    </row>
    <row r="1403" spans="1:16" ht="15">
      <c r="A1403" s="4" t="s">
        <v>2318</v>
      </c>
      <c r="B1403" s="30">
        <v>40054</v>
      </c>
      <c r="C1403" s="4" t="s">
        <v>383</v>
      </c>
      <c r="D1403" s="4" t="s">
        <v>197</v>
      </c>
      <c r="E1403" s="4" t="s">
        <v>170</v>
      </c>
      <c r="F1403" s="4" t="s">
        <v>155</v>
      </c>
      <c r="G1403" s="4">
        <v>5</v>
      </c>
      <c r="H1403" s="4">
        <v>5</v>
      </c>
      <c r="I1403" s="4" t="s">
        <v>139</v>
      </c>
      <c r="J1403" s="4" t="s">
        <v>180</v>
      </c>
      <c r="K1403" s="4" t="s">
        <v>145</v>
      </c>
      <c r="L1403" s="4" t="s">
        <v>4176</v>
      </c>
      <c r="M1403" s="4"/>
      <c r="N1403" s="4" t="s">
        <v>157</v>
      </c>
      <c r="O1403" s="4" t="s">
        <v>434</v>
      </c>
      <c r="P1403" s="4" t="s">
        <v>435</v>
      </c>
    </row>
    <row r="1404" spans="1:16" ht="15">
      <c r="A1404" s="4" t="s">
        <v>2319</v>
      </c>
      <c r="B1404" s="30">
        <v>40052</v>
      </c>
      <c r="C1404" s="4"/>
      <c r="D1404" s="4" t="s">
        <v>195</v>
      </c>
      <c r="E1404" s="4" t="s">
        <v>170</v>
      </c>
      <c r="F1404" s="4" t="s">
        <v>155</v>
      </c>
      <c r="G1404" s="4">
        <v>4</v>
      </c>
      <c r="H1404" s="4">
        <v>4</v>
      </c>
      <c r="I1404" s="4" t="s">
        <v>139</v>
      </c>
      <c r="J1404" s="4" t="s">
        <v>186</v>
      </c>
      <c r="K1404" s="4" t="s">
        <v>146</v>
      </c>
      <c r="L1404" s="4" t="s">
        <v>4181</v>
      </c>
      <c r="M1404" s="4" t="s">
        <v>173</v>
      </c>
      <c r="N1404" s="4" t="s">
        <v>155</v>
      </c>
      <c r="O1404" s="4" t="s">
        <v>501</v>
      </c>
      <c r="P1404" s="4"/>
    </row>
    <row r="1405" spans="1:16" ht="15">
      <c r="A1405" s="4" t="s">
        <v>2320</v>
      </c>
      <c r="B1405" s="30">
        <v>39967</v>
      </c>
      <c r="C1405" s="4"/>
      <c r="D1405" s="4" t="s">
        <v>193</v>
      </c>
      <c r="E1405" s="4" t="s">
        <v>170</v>
      </c>
      <c r="F1405" s="4" t="s">
        <v>155</v>
      </c>
      <c r="G1405" s="4"/>
      <c r="H1405" s="4"/>
      <c r="I1405" s="4" t="s">
        <v>140</v>
      </c>
      <c r="J1405" s="4" t="s">
        <v>186</v>
      </c>
      <c r="K1405" s="4" t="s">
        <v>150</v>
      </c>
      <c r="L1405" s="4" t="s">
        <v>4181</v>
      </c>
      <c r="M1405" s="4" t="s">
        <v>173</v>
      </c>
      <c r="N1405" s="4" t="s">
        <v>155</v>
      </c>
      <c r="O1405" s="4" t="s">
        <v>127</v>
      </c>
      <c r="P1405" s="4"/>
    </row>
    <row r="1406" spans="1:16" ht="15">
      <c r="A1406" s="4" t="s">
        <v>2321</v>
      </c>
      <c r="B1406" s="30">
        <v>39960</v>
      </c>
      <c r="C1406" s="4"/>
      <c r="D1406" s="4" t="s">
        <v>195</v>
      </c>
      <c r="E1406" s="4" t="s">
        <v>170</v>
      </c>
      <c r="F1406" s="4" t="s">
        <v>155</v>
      </c>
      <c r="G1406" s="4"/>
      <c r="H1406" s="4"/>
      <c r="I1406" s="4" t="s">
        <v>139</v>
      </c>
      <c r="J1406" s="4" t="s">
        <v>179</v>
      </c>
      <c r="K1406" s="4" t="s">
        <v>144</v>
      </c>
      <c r="L1406" s="4" t="s">
        <v>4181</v>
      </c>
      <c r="M1406" s="4" t="s">
        <v>173</v>
      </c>
      <c r="N1406" s="4" t="s">
        <v>155</v>
      </c>
      <c r="O1406" s="4" t="s">
        <v>704</v>
      </c>
      <c r="P1406" s="4"/>
    </row>
    <row r="1407" spans="1:16" ht="15">
      <c r="A1407" s="4" t="s">
        <v>2322</v>
      </c>
      <c r="B1407" s="30">
        <v>39977</v>
      </c>
      <c r="C1407" s="4"/>
      <c r="D1407" s="4" t="s">
        <v>193</v>
      </c>
      <c r="E1407" s="4" t="s">
        <v>170</v>
      </c>
      <c r="F1407" s="4" t="s">
        <v>155</v>
      </c>
      <c r="G1407" s="4"/>
      <c r="H1407" s="4"/>
      <c r="I1407" s="4" t="s">
        <v>140</v>
      </c>
      <c r="J1407" s="4" t="s">
        <v>179</v>
      </c>
      <c r="K1407" s="4" t="s">
        <v>145</v>
      </c>
      <c r="L1407" s="4" t="s">
        <v>4176</v>
      </c>
      <c r="M1407" s="4" t="s">
        <v>550</v>
      </c>
      <c r="N1407" s="4" t="s">
        <v>156</v>
      </c>
      <c r="O1407" s="4" t="s">
        <v>120</v>
      </c>
      <c r="P1407" s="4" t="s">
        <v>794</v>
      </c>
    </row>
    <row r="1408" spans="1:16" ht="15">
      <c r="A1408" s="4" t="s">
        <v>2323</v>
      </c>
      <c r="B1408" s="30">
        <v>40001</v>
      </c>
      <c r="C1408" s="4"/>
      <c r="D1408" s="4" t="s">
        <v>193</v>
      </c>
      <c r="E1408" s="4" t="s">
        <v>170</v>
      </c>
      <c r="F1408" s="4" t="s">
        <v>155</v>
      </c>
      <c r="G1408" s="4"/>
      <c r="H1408" s="4">
        <v>2</v>
      </c>
      <c r="I1408" s="4" t="s">
        <v>140</v>
      </c>
      <c r="J1408" s="4" t="s">
        <v>179</v>
      </c>
      <c r="K1408" s="4" t="s">
        <v>145</v>
      </c>
      <c r="L1408" s="4" t="s">
        <v>4181</v>
      </c>
      <c r="M1408" s="4"/>
      <c r="N1408" s="4" t="s">
        <v>155</v>
      </c>
      <c r="O1408" s="4" t="s">
        <v>128</v>
      </c>
      <c r="P1408" s="4"/>
    </row>
    <row r="1409" spans="1:16" ht="15">
      <c r="A1409" s="4" t="s">
        <v>2324</v>
      </c>
      <c r="B1409" s="30">
        <v>39959</v>
      </c>
      <c r="C1409" s="4"/>
      <c r="D1409" s="4" t="s">
        <v>193</v>
      </c>
      <c r="E1409" s="4" t="s">
        <v>170</v>
      </c>
      <c r="F1409" s="4" t="s">
        <v>155</v>
      </c>
      <c r="G1409" s="4"/>
      <c r="H1409" s="4"/>
      <c r="I1409" s="4" t="s">
        <v>140</v>
      </c>
      <c r="J1409" s="4" t="s">
        <v>179</v>
      </c>
      <c r="K1409" s="4" t="s">
        <v>148</v>
      </c>
      <c r="L1409" s="4" t="s">
        <v>4176</v>
      </c>
      <c r="M1409" s="4" t="s">
        <v>174</v>
      </c>
      <c r="N1409" s="4" t="s">
        <v>156</v>
      </c>
      <c r="O1409" s="4" t="s">
        <v>120</v>
      </c>
      <c r="P1409" s="4" t="s">
        <v>1479</v>
      </c>
    </row>
    <row r="1410" spans="1:16" ht="15">
      <c r="A1410" s="4" t="s">
        <v>2325</v>
      </c>
      <c r="B1410" s="30">
        <v>39971</v>
      </c>
      <c r="C1410" s="4"/>
      <c r="D1410" s="4" t="s">
        <v>193</v>
      </c>
      <c r="E1410" s="4" t="s">
        <v>170</v>
      </c>
      <c r="F1410" s="4" t="s">
        <v>155</v>
      </c>
      <c r="G1410" s="4"/>
      <c r="H1410" s="4"/>
      <c r="I1410" s="4" t="s">
        <v>140</v>
      </c>
      <c r="J1410" s="4" t="s">
        <v>179</v>
      </c>
      <c r="K1410" s="4" t="s">
        <v>145</v>
      </c>
      <c r="L1410" s="4" t="s">
        <v>4176</v>
      </c>
      <c r="M1410" s="4" t="s">
        <v>2041</v>
      </c>
      <c r="N1410" s="4" t="s">
        <v>160</v>
      </c>
      <c r="O1410" s="4" t="s">
        <v>126</v>
      </c>
      <c r="P1410" s="4" t="s">
        <v>551</v>
      </c>
    </row>
    <row r="1411" spans="1:16" ht="15">
      <c r="A1411" s="4" t="s">
        <v>2326</v>
      </c>
      <c r="B1411" s="30">
        <v>39926</v>
      </c>
      <c r="C1411" s="4" t="s">
        <v>525</v>
      </c>
      <c r="D1411" s="4" t="s">
        <v>4182</v>
      </c>
      <c r="E1411" s="4" t="s">
        <v>170</v>
      </c>
      <c r="F1411" s="4" t="s">
        <v>155</v>
      </c>
      <c r="G1411" s="4"/>
      <c r="H1411" s="4"/>
      <c r="I1411" s="4" t="s">
        <v>139</v>
      </c>
      <c r="J1411" s="4" t="s">
        <v>179</v>
      </c>
      <c r="K1411" s="4" t="s">
        <v>145</v>
      </c>
      <c r="L1411" s="4" t="s">
        <v>4181</v>
      </c>
      <c r="M1411" s="4"/>
      <c r="N1411" s="4" t="s">
        <v>155</v>
      </c>
      <c r="O1411" s="4" t="s">
        <v>387</v>
      </c>
      <c r="P1411" s="4"/>
    </row>
    <row r="1412" spans="1:16" ht="15">
      <c r="A1412" s="4" t="s">
        <v>2327</v>
      </c>
      <c r="B1412" s="30">
        <v>40069</v>
      </c>
      <c r="C1412" s="4" t="s">
        <v>570</v>
      </c>
      <c r="D1412" s="4" t="s">
        <v>544</v>
      </c>
      <c r="E1412" s="4" t="s">
        <v>170</v>
      </c>
      <c r="F1412" s="4" t="s">
        <v>155</v>
      </c>
      <c r="G1412" s="4">
        <v>5</v>
      </c>
      <c r="H1412" s="4">
        <v>3</v>
      </c>
      <c r="I1412" s="4" t="s">
        <v>139</v>
      </c>
      <c r="J1412" s="4" t="s">
        <v>181</v>
      </c>
      <c r="K1412" s="4" t="s">
        <v>143</v>
      </c>
      <c r="L1412" s="4" t="s">
        <v>162</v>
      </c>
      <c r="M1412" s="4" t="s">
        <v>531</v>
      </c>
      <c r="N1412" s="4" t="s">
        <v>155</v>
      </c>
      <c r="O1412" s="4" t="s">
        <v>129</v>
      </c>
      <c r="P1412" s="4"/>
    </row>
    <row r="1413" spans="1:16" ht="15">
      <c r="A1413" s="4" t="s">
        <v>2328</v>
      </c>
      <c r="B1413" s="30">
        <v>39971</v>
      </c>
      <c r="C1413" s="4" t="s">
        <v>383</v>
      </c>
      <c r="D1413" s="4" t="s">
        <v>195</v>
      </c>
      <c r="E1413" s="4" t="s">
        <v>170</v>
      </c>
      <c r="F1413" s="4" t="s">
        <v>155</v>
      </c>
      <c r="G1413" s="4"/>
      <c r="H1413" s="4"/>
      <c r="I1413" s="4" t="s">
        <v>139</v>
      </c>
      <c r="J1413" s="4" t="s">
        <v>179</v>
      </c>
      <c r="K1413" s="4" t="s">
        <v>150</v>
      </c>
      <c r="L1413" s="4" t="s">
        <v>4176</v>
      </c>
      <c r="M1413" s="4" t="s">
        <v>174</v>
      </c>
      <c r="N1413" s="4" t="s">
        <v>157</v>
      </c>
      <c r="O1413" s="4" t="s">
        <v>387</v>
      </c>
      <c r="P1413" s="4" t="s">
        <v>2329</v>
      </c>
    </row>
    <row r="1414" spans="1:16" ht="15">
      <c r="A1414" s="4" t="s">
        <v>2330</v>
      </c>
      <c r="B1414" s="30">
        <v>40028</v>
      </c>
      <c r="C1414" s="4"/>
      <c r="D1414" s="4" t="s">
        <v>195</v>
      </c>
      <c r="E1414" s="4" t="s">
        <v>170</v>
      </c>
      <c r="F1414" s="4" t="s">
        <v>155</v>
      </c>
      <c r="G1414" s="4">
        <v>5</v>
      </c>
      <c r="H1414" s="4">
        <v>5</v>
      </c>
      <c r="I1414" s="4" t="s">
        <v>139</v>
      </c>
      <c r="J1414" s="4" t="s">
        <v>179</v>
      </c>
      <c r="K1414" s="4" t="s">
        <v>146</v>
      </c>
      <c r="L1414" s="4" t="s">
        <v>4176</v>
      </c>
      <c r="M1414" s="4" t="s">
        <v>174</v>
      </c>
      <c r="N1414" s="4" t="s">
        <v>156</v>
      </c>
      <c r="O1414" s="4" t="s">
        <v>120</v>
      </c>
      <c r="P1414" s="4" t="s">
        <v>2331</v>
      </c>
    </row>
    <row r="1415" spans="1:16" ht="15">
      <c r="A1415" s="4" t="s">
        <v>2332</v>
      </c>
      <c r="B1415" s="30">
        <v>40015</v>
      </c>
      <c r="C1415" s="4"/>
      <c r="D1415" s="4" t="s">
        <v>195</v>
      </c>
      <c r="E1415" s="4" t="s">
        <v>170</v>
      </c>
      <c r="F1415" s="4" t="s">
        <v>155</v>
      </c>
      <c r="G1415" s="4">
        <v>5</v>
      </c>
      <c r="H1415" s="4">
        <v>5</v>
      </c>
      <c r="I1415" s="4" t="s">
        <v>139</v>
      </c>
      <c r="J1415" s="4" t="s">
        <v>181</v>
      </c>
      <c r="K1415" s="4" t="s">
        <v>144</v>
      </c>
      <c r="L1415" s="4" t="s">
        <v>4176</v>
      </c>
      <c r="M1415" s="4" t="s">
        <v>174</v>
      </c>
      <c r="N1415" s="4" t="s">
        <v>157</v>
      </c>
      <c r="O1415" s="4" t="s">
        <v>434</v>
      </c>
      <c r="P1415" s="4" t="s">
        <v>435</v>
      </c>
    </row>
    <row r="1416" spans="1:16" ht="15">
      <c r="A1416" s="4" t="s">
        <v>2333</v>
      </c>
      <c r="B1416" s="30">
        <v>40020</v>
      </c>
      <c r="C1416" s="4"/>
      <c r="D1416" s="4" t="s">
        <v>193</v>
      </c>
      <c r="E1416" s="4" t="s">
        <v>170</v>
      </c>
      <c r="F1416" s="4" t="s">
        <v>155</v>
      </c>
      <c r="G1416" s="4">
        <v>5</v>
      </c>
      <c r="H1416" s="4">
        <v>2</v>
      </c>
      <c r="I1416" s="4" t="s">
        <v>140</v>
      </c>
      <c r="J1416" s="4" t="s">
        <v>179</v>
      </c>
      <c r="K1416" s="4" t="s">
        <v>146</v>
      </c>
      <c r="L1416" s="4" t="s">
        <v>162</v>
      </c>
      <c r="M1416" s="4"/>
      <c r="N1416" s="4" t="s">
        <v>155</v>
      </c>
      <c r="O1416" s="4" t="s">
        <v>130</v>
      </c>
      <c r="P1416" s="4"/>
    </row>
    <row r="1417" spans="1:16" ht="15">
      <c r="A1417" s="4" t="s">
        <v>2334</v>
      </c>
      <c r="B1417" s="30">
        <v>40035</v>
      </c>
      <c r="C1417" s="4" t="s">
        <v>380</v>
      </c>
      <c r="D1417" s="4" t="s">
        <v>193</v>
      </c>
      <c r="E1417" s="4" t="s">
        <v>170</v>
      </c>
      <c r="F1417" s="4" t="s">
        <v>155</v>
      </c>
      <c r="G1417" s="4">
        <v>5</v>
      </c>
      <c r="H1417" s="4">
        <v>2</v>
      </c>
      <c r="I1417" s="4" t="s">
        <v>140</v>
      </c>
      <c r="J1417" s="4" t="s">
        <v>179</v>
      </c>
      <c r="K1417" s="4" t="s">
        <v>143</v>
      </c>
      <c r="L1417" s="4" t="s">
        <v>4181</v>
      </c>
      <c r="M1417" s="4" t="s">
        <v>173</v>
      </c>
      <c r="N1417" s="4" t="s">
        <v>155</v>
      </c>
      <c r="O1417" s="4" t="s">
        <v>501</v>
      </c>
      <c r="P1417" s="4"/>
    </row>
    <row r="1418" spans="1:16" ht="15">
      <c r="A1418" s="4" t="s">
        <v>2335</v>
      </c>
      <c r="B1418" s="30">
        <v>39992</v>
      </c>
      <c r="C1418" s="4"/>
      <c r="D1418" s="4" t="s">
        <v>193</v>
      </c>
      <c r="E1418" s="4" t="s">
        <v>170</v>
      </c>
      <c r="F1418" s="4" t="s">
        <v>155</v>
      </c>
      <c r="G1418" s="4"/>
      <c r="H1418" s="4">
        <v>3</v>
      </c>
      <c r="I1418" s="4" t="s">
        <v>140</v>
      </c>
      <c r="J1418" s="4" t="s">
        <v>179</v>
      </c>
      <c r="K1418" s="4" t="s">
        <v>150</v>
      </c>
      <c r="L1418" s="4" t="s">
        <v>4176</v>
      </c>
      <c r="M1418" s="4"/>
      <c r="N1418" s="4" t="s">
        <v>156</v>
      </c>
      <c r="O1418" s="4" t="s">
        <v>120</v>
      </c>
      <c r="P1418" s="4" t="s">
        <v>425</v>
      </c>
    </row>
    <row r="1419" spans="1:16" ht="15">
      <c r="A1419" s="4" t="s">
        <v>2336</v>
      </c>
      <c r="B1419" s="30">
        <v>39910</v>
      </c>
      <c r="C1419" s="4"/>
      <c r="D1419" s="4" t="s">
        <v>4177</v>
      </c>
      <c r="E1419" s="4" t="s">
        <v>170</v>
      </c>
      <c r="F1419" s="4" t="s">
        <v>155</v>
      </c>
      <c r="G1419" s="4"/>
      <c r="H1419" s="4"/>
      <c r="I1419" s="4" t="s">
        <v>139</v>
      </c>
      <c r="J1419" s="4" t="s">
        <v>181</v>
      </c>
      <c r="K1419" s="4" t="s">
        <v>145</v>
      </c>
      <c r="L1419" s="4" t="s">
        <v>165</v>
      </c>
      <c r="M1419" s="4" t="s">
        <v>614</v>
      </c>
      <c r="N1419" s="4" t="s">
        <v>158</v>
      </c>
      <c r="O1419" s="4" t="s">
        <v>122</v>
      </c>
      <c r="P1419" s="4"/>
    </row>
    <row r="1420" spans="1:16" ht="15">
      <c r="A1420" s="4" t="s">
        <v>2337</v>
      </c>
      <c r="B1420" s="30">
        <v>39997</v>
      </c>
      <c r="C1420" s="4" t="s">
        <v>496</v>
      </c>
      <c r="D1420" s="4" t="s">
        <v>197</v>
      </c>
      <c r="E1420" s="4" t="s">
        <v>170</v>
      </c>
      <c r="F1420" s="4" t="s">
        <v>155</v>
      </c>
      <c r="G1420" s="4"/>
      <c r="H1420" s="4">
        <v>5</v>
      </c>
      <c r="I1420" s="4" t="s">
        <v>139</v>
      </c>
      <c r="J1420" s="4" t="s">
        <v>181</v>
      </c>
      <c r="K1420" s="4" t="s">
        <v>143</v>
      </c>
      <c r="L1420" s="4" t="s">
        <v>4181</v>
      </c>
      <c r="M1420" s="4" t="s">
        <v>173</v>
      </c>
      <c r="N1420" s="4" t="s">
        <v>155</v>
      </c>
      <c r="O1420" s="4" t="s">
        <v>124</v>
      </c>
      <c r="P1420" s="4"/>
    </row>
    <row r="1421" spans="1:16" ht="15">
      <c r="A1421" s="4" t="s">
        <v>2338</v>
      </c>
      <c r="B1421" s="30">
        <v>39994</v>
      </c>
      <c r="C1421" s="4" t="s">
        <v>380</v>
      </c>
      <c r="D1421" s="4" t="s">
        <v>193</v>
      </c>
      <c r="E1421" s="4" t="s">
        <v>170</v>
      </c>
      <c r="F1421" s="4" t="s">
        <v>155</v>
      </c>
      <c r="G1421" s="4"/>
      <c r="H1421" s="4">
        <v>2</v>
      </c>
      <c r="I1421" s="4" t="s">
        <v>140</v>
      </c>
      <c r="J1421" s="4" t="s">
        <v>603</v>
      </c>
      <c r="K1421" s="4" t="s">
        <v>143</v>
      </c>
      <c r="L1421" s="4" t="s">
        <v>4181</v>
      </c>
      <c r="M1421" s="4" t="s">
        <v>173</v>
      </c>
      <c r="N1421" s="4" t="s">
        <v>155</v>
      </c>
      <c r="O1421" s="4" t="s">
        <v>127</v>
      </c>
      <c r="P1421" s="4"/>
    </row>
    <row r="1422" spans="1:16" ht="15">
      <c r="A1422" s="4" t="s">
        <v>2339</v>
      </c>
      <c r="B1422" s="30">
        <v>39987</v>
      </c>
      <c r="C1422" s="4" t="s">
        <v>496</v>
      </c>
      <c r="D1422" s="4" t="s">
        <v>196</v>
      </c>
      <c r="E1422" s="4" t="s">
        <v>170</v>
      </c>
      <c r="F1422" s="4" t="s">
        <v>155</v>
      </c>
      <c r="G1422" s="4"/>
      <c r="H1422" s="4"/>
      <c r="I1422" s="4" t="s">
        <v>139</v>
      </c>
      <c r="J1422" s="4" t="s">
        <v>189</v>
      </c>
      <c r="K1422" s="4" t="s">
        <v>142</v>
      </c>
      <c r="L1422" s="4" t="s">
        <v>4181</v>
      </c>
      <c r="M1422" s="4" t="s">
        <v>173</v>
      </c>
      <c r="N1422" s="4" t="s">
        <v>788</v>
      </c>
      <c r="O1422" s="4" t="s">
        <v>1407</v>
      </c>
      <c r="P1422" s="4"/>
    </row>
    <row r="1423" spans="1:16" ht="15">
      <c r="A1423" s="4" t="s">
        <v>2340</v>
      </c>
      <c r="B1423" s="30">
        <v>39911</v>
      </c>
      <c r="C1423" s="4"/>
      <c r="D1423" s="4" t="s">
        <v>4182</v>
      </c>
      <c r="E1423" s="4" t="s">
        <v>170</v>
      </c>
      <c r="F1423" s="4" t="s">
        <v>155</v>
      </c>
      <c r="G1423" s="4"/>
      <c r="H1423" s="4"/>
      <c r="I1423" s="4" t="s">
        <v>139</v>
      </c>
      <c r="J1423" s="4" t="s">
        <v>189</v>
      </c>
      <c r="K1423" s="4" t="s">
        <v>147</v>
      </c>
      <c r="L1423" s="4" t="s">
        <v>4181</v>
      </c>
      <c r="M1423" s="4" t="s">
        <v>173</v>
      </c>
      <c r="N1423" s="4" t="s">
        <v>155</v>
      </c>
      <c r="O1423" s="4" t="s">
        <v>434</v>
      </c>
      <c r="P1423" s="4"/>
    </row>
    <row r="1424" spans="1:16" ht="15">
      <c r="A1424" s="4" t="s">
        <v>2341</v>
      </c>
      <c r="B1424" s="30">
        <v>40042</v>
      </c>
      <c r="C1424" s="4" t="s">
        <v>383</v>
      </c>
      <c r="D1424" s="4" t="s">
        <v>193</v>
      </c>
      <c r="E1424" s="4" t="s">
        <v>170</v>
      </c>
      <c r="F1424" s="4" t="s">
        <v>155</v>
      </c>
      <c r="G1424" s="4">
        <v>5</v>
      </c>
      <c r="H1424" s="4">
        <v>5</v>
      </c>
      <c r="I1424" s="4" t="s">
        <v>140</v>
      </c>
      <c r="J1424" s="4" t="s">
        <v>182</v>
      </c>
      <c r="K1424" s="4" t="s">
        <v>145</v>
      </c>
      <c r="L1424" s="4" t="s">
        <v>4181</v>
      </c>
      <c r="M1424" s="4" t="s">
        <v>2342</v>
      </c>
      <c r="N1424" s="4" t="s">
        <v>155</v>
      </c>
      <c r="O1424" s="4" t="s">
        <v>406</v>
      </c>
      <c r="P1424" s="4"/>
    </row>
    <row r="1425" spans="1:16" ht="15">
      <c r="A1425" s="4" t="s">
        <v>2343</v>
      </c>
      <c r="B1425" s="30">
        <v>39929</v>
      </c>
      <c r="C1425" s="4"/>
      <c r="D1425" s="4" t="s">
        <v>4179</v>
      </c>
      <c r="E1425" s="4" t="s">
        <v>170</v>
      </c>
      <c r="F1425" s="4" t="s">
        <v>155</v>
      </c>
      <c r="G1425" s="4"/>
      <c r="H1425" s="4"/>
      <c r="I1425" s="4" t="s">
        <v>139</v>
      </c>
      <c r="J1425" s="4" t="s">
        <v>182</v>
      </c>
      <c r="K1425" s="4" t="s">
        <v>143</v>
      </c>
      <c r="L1425" s="4" t="s">
        <v>4181</v>
      </c>
      <c r="M1425" s="4" t="s">
        <v>173</v>
      </c>
      <c r="N1425" s="4" t="s">
        <v>155</v>
      </c>
      <c r="O1425" s="4" t="s">
        <v>124</v>
      </c>
      <c r="P1425" s="4"/>
    </row>
    <row r="1426" spans="1:16" ht="15">
      <c r="A1426" s="4" t="s">
        <v>2344</v>
      </c>
      <c r="B1426" s="30">
        <v>39933</v>
      </c>
      <c r="C1426" s="4"/>
      <c r="D1426" s="4" t="s">
        <v>4178</v>
      </c>
      <c r="E1426" s="4" t="s">
        <v>170</v>
      </c>
      <c r="F1426" s="4" t="s">
        <v>155</v>
      </c>
      <c r="G1426" s="4"/>
      <c r="H1426" s="4"/>
      <c r="I1426" s="4" t="s">
        <v>139</v>
      </c>
      <c r="J1426" s="4" t="s">
        <v>179</v>
      </c>
      <c r="K1426" s="4" t="s">
        <v>147</v>
      </c>
      <c r="L1426" s="4" t="s">
        <v>4181</v>
      </c>
      <c r="M1426" s="4" t="s">
        <v>173</v>
      </c>
      <c r="N1426" s="4" t="s">
        <v>155</v>
      </c>
      <c r="O1426" s="4" t="s">
        <v>454</v>
      </c>
      <c r="P1426" s="4"/>
    </row>
    <row r="1427" spans="1:16" ht="15">
      <c r="A1427" s="4" t="s">
        <v>2345</v>
      </c>
      <c r="B1427" s="30">
        <v>40017</v>
      </c>
      <c r="C1427" s="4" t="s">
        <v>9</v>
      </c>
      <c r="D1427" s="4" t="s">
        <v>194</v>
      </c>
      <c r="E1427" s="4" t="s">
        <v>170</v>
      </c>
      <c r="F1427" s="4" t="s">
        <v>155</v>
      </c>
      <c r="G1427" s="4">
        <v>5</v>
      </c>
      <c r="H1427" s="4">
        <v>3</v>
      </c>
      <c r="I1427" s="4" t="s">
        <v>139</v>
      </c>
      <c r="J1427" s="4" t="s">
        <v>178</v>
      </c>
      <c r="K1427" s="4" t="s">
        <v>148</v>
      </c>
      <c r="L1427" s="4" t="s">
        <v>4176</v>
      </c>
      <c r="M1427" s="4" t="s">
        <v>1241</v>
      </c>
      <c r="N1427" s="4" t="s">
        <v>159</v>
      </c>
      <c r="O1427" s="4" t="s">
        <v>123</v>
      </c>
      <c r="P1427" s="4" t="s">
        <v>123</v>
      </c>
    </row>
    <row r="1428" spans="1:16" ht="15">
      <c r="A1428" s="4" t="s">
        <v>2346</v>
      </c>
      <c r="B1428" s="30">
        <v>40015</v>
      </c>
      <c r="C1428" s="4" t="s">
        <v>9</v>
      </c>
      <c r="D1428" s="4" t="s">
        <v>193</v>
      </c>
      <c r="E1428" s="4" t="s">
        <v>170</v>
      </c>
      <c r="F1428" s="4" t="s">
        <v>155</v>
      </c>
      <c r="G1428" s="4">
        <v>5</v>
      </c>
      <c r="H1428" s="4">
        <v>5</v>
      </c>
      <c r="I1428" s="4" t="s">
        <v>140</v>
      </c>
      <c r="J1428" s="4" t="s">
        <v>179</v>
      </c>
      <c r="K1428" s="4" t="s">
        <v>150</v>
      </c>
      <c r="L1428" s="4" t="s">
        <v>162</v>
      </c>
      <c r="M1428" s="4" t="s">
        <v>175</v>
      </c>
      <c r="N1428" s="4" t="s">
        <v>155</v>
      </c>
      <c r="O1428" s="4" t="s">
        <v>387</v>
      </c>
      <c r="P1428" s="4"/>
    </row>
    <row r="1429" spans="1:16" ht="15">
      <c r="A1429" s="4" t="s">
        <v>2347</v>
      </c>
      <c r="B1429" s="30">
        <v>39946</v>
      </c>
      <c r="C1429" s="4"/>
      <c r="D1429" s="4" t="s">
        <v>194</v>
      </c>
      <c r="E1429" s="4" t="s">
        <v>170</v>
      </c>
      <c r="F1429" s="4" t="s">
        <v>155</v>
      </c>
      <c r="G1429" s="4"/>
      <c r="H1429" s="4"/>
      <c r="I1429" s="4" t="s">
        <v>139</v>
      </c>
      <c r="J1429" s="4" t="s">
        <v>179</v>
      </c>
      <c r="K1429" s="4" t="s">
        <v>147</v>
      </c>
      <c r="L1429" s="4" t="s">
        <v>165</v>
      </c>
      <c r="M1429" s="4" t="s">
        <v>2169</v>
      </c>
      <c r="N1429" s="4" t="s">
        <v>158</v>
      </c>
      <c r="O1429" s="4" t="s">
        <v>122</v>
      </c>
      <c r="P1429" s="4"/>
    </row>
    <row r="1430" spans="1:16" ht="15">
      <c r="A1430" s="4" t="s">
        <v>2348</v>
      </c>
      <c r="B1430" s="30">
        <v>40023</v>
      </c>
      <c r="C1430" s="4"/>
      <c r="D1430" s="4" t="s">
        <v>193</v>
      </c>
      <c r="E1430" s="4" t="s">
        <v>170</v>
      </c>
      <c r="F1430" s="4" t="s">
        <v>155</v>
      </c>
      <c r="G1430" s="4">
        <v>5</v>
      </c>
      <c r="H1430" s="4">
        <v>5</v>
      </c>
      <c r="I1430" s="4" t="s">
        <v>140</v>
      </c>
      <c r="J1430" s="4" t="s">
        <v>603</v>
      </c>
      <c r="K1430" s="4" t="s">
        <v>143</v>
      </c>
      <c r="L1430" s="4" t="s">
        <v>162</v>
      </c>
      <c r="M1430" s="4" t="s">
        <v>175</v>
      </c>
      <c r="N1430" s="4" t="s">
        <v>155</v>
      </c>
      <c r="O1430" s="4" t="s">
        <v>129</v>
      </c>
      <c r="P1430" s="4"/>
    </row>
    <row r="1431" spans="1:16" ht="15">
      <c r="A1431" s="4" t="s">
        <v>2349</v>
      </c>
      <c r="B1431" s="30">
        <v>40072</v>
      </c>
      <c r="C1431" s="4"/>
      <c r="D1431" s="4" t="s">
        <v>195</v>
      </c>
      <c r="E1431" s="4" t="s">
        <v>170</v>
      </c>
      <c r="F1431" s="4" t="s">
        <v>155</v>
      </c>
      <c r="G1431" s="4">
        <v>5</v>
      </c>
      <c r="H1431" s="4">
        <v>5</v>
      </c>
      <c r="I1431" s="4" t="s">
        <v>139</v>
      </c>
      <c r="J1431" s="4" t="s">
        <v>603</v>
      </c>
      <c r="K1431" s="4" t="s">
        <v>142</v>
      </c>
      <c r="L1431" s="4" t="s">
        <v>4181</v>
      </c>
      <c r="M1431" s="4" t="s">
        <v>173</v>
      </c>
      <c r="N1431" s="4" t="s">
        <v>155</v>
      </c>
      <c r="O1431" s="4" t="s">
        <v>128</v>
      </c>
      <c r="P1431" s="4"/>
    </row>
    <row r="1432" spans="1:16" ht="15">
      <c r="A1432" s="4" t="s">
        <v>2350</v>
      </c>
      <c r="B1432" s="30">
        <v>40035</v>
      </c>
      <c r="C1432" s="4"/>
      <c r="D1432" s="4" t="s">
        <v>193</v>
      </c>
      <c r="E1432" s="4" t="s">
        <v>170</v>
      </c>
      <c r="F1432" s="4" t="s">
        <v>155</v>
      </c>
      <c r="G1432" s="4">
        <v>5</v>
      </c>
      <c r="H1432" s="4">
        <v>2</v>
      </c>
      <c r="I1432" s="4" t="s">
        <v>140</v>
      </c>
      <c r="J1432" s="4" t="s">
        <v>187</v>
      </c>
      <c r="K1432" s="4" t="s">
        <v>144</v>
      </c>
      <c r="L1432" s="4" t="s">
        <v>4181</v>
      </c>
      <c r="M1432" s="4" t="s">
        <v>173</v>
      </c>
      <c r="N1432" s="4" t="s">
        <v>155</v>
      </c>
      <c r="O1432" s="4" t="s">
        <v>125</v>
      </c>
      <c r="P1432" s="4"/>
    </row>
    <row r="1433" spans="1:16" ht="15">
      <c r="A1433" s="4" t="s">
        <v>2351</v>
      </c>
      <c r="B1433" s="30">
        <v>40017</v>
      </c>
      <c r="C1433" s="4"/>
      <c r="D1433" s="4" t="s">
        <v>193</v>
      </c>
      <c r="E1433" s="4" t="s">
        <v>170</v>
      </c>
      <c r="F1433" s="4" t="s">
        <v>155</v>
      </c>
      <c r="G1433" s="4">
        <v>5</v>
      </c>
      <c r="H1433" s="4">
        <v>2</v>
      </c>
      <c r="I1433" s="4" t="s">
        <v>140</v>
      </c>
      <c r="J1433" s="4" t="s">
        <v>187</v>
      </c>
      <c r="K1433" s="4" t="s">
        <v>142</v>
      </c>
      <c r="L1433" s="4" t="s">
        <v>4181</v>
      </c>
      <c r="M1433" s="4" t="s">
        <v>173</v>
      </c>
      <c r="N1433" s="4" t="s">
        <v>155</v>
      </c>
      <c r="O1433" s="4" t="s">
        <v>125</v>
      </c>
      <c r="P1433" s="4"/>
    </row>
    <row r="1434" spans="1:16" ht="15">
      <c r="A1434" s="4" t="s">
        <v>2352</v>
      </c>
      <c r="B1434" s="30">
        <v>40084</v>
      </c>
      <c r="C1434" s="4"/>
      <c r="D1434" s="4" t="s">
        <v>193</v>
      </c>
      <c r="E1434" s="4" t="s">
        <v>170</v>
      </c>
      <c r="F1434" s="4" t="s">
        <v>155</v>
      </c>
      <c r="G1434" s="4">
        <v>5</v>
      </c>
      <c r="H1434" s="4">
        <v>4</v>
      </c>
      <c r="I1434" s="4" t="s">
        <v>140</v>
      </c>
      <c r="J1434" s="4" t="s">
        <v>181</v>
      </c>
      <c r="K1434" s="4" t="s">
        <v>150</v>
      </c>
      <c r="L1434" s="4" t="s">
        <v>4181</v>
      </c>
      <c r="M1434" s="4" t="s">
        <v>173</v>
      </c>
      <c r="N1434" s="4" t="s">
        <v>155</v>
      </c>
      <c r="O1434" s="4" t="s">
        <v>128</v>
      </c>
      <c r="P1434" s="4"/>
    </row>
    <row r="1435" spans="1:16" ht="15">
      <c r="A1435" s="4" t="s">
        <v>2353</v>
      </c>
      <c r="B1435" s="30">
        <v>39938</v>
      </c>
      <c r="C1435" s="4"/>
      <c r="D1435" s="4" t="s">
        <v>4184</v>
      </c>
      <c r="E1435" s="4" t="s">
        <v>170</v>
      </c>
      <c r="F1435" s="4" t="s">
        <v>155</v>
      </c>
      <c r="G1435" s="4"/>
      <c r="H1435" s="4"/>
      <c r="I1435" s="4" t="s">
        <v>140</v>
      </c>
      <c r="J1435" s="4" t="s">
        <v>181</v>
      </c>
      <c r="K1435" s="4" t="s">
        <v>147</v>
      </c>
      <c r="L1435" s="4" t="s">
        <v>4181</v>
      </c>
      <c r="M1435" s="4" t="s">
        <v>173</v>
      </c>
      <c r="N1435" s="4" t="s">
        <v>155</v>
      </c>
      <c r="O1435" s="4" t="s">
        <v>125</v>
      </c>
      <c r="P1435" s="4"/>
    </row>
    <row r="1436" spans="1:16" ht="15">
      <c r="A1436" s="4" t="s">
        <v>2354</v>
      </c>
      <c r="B1436" s="30">
        <v>39910</v>
      </c>
      <c r="C1436" s="4"/>
      <c r="D1436" s="4" t="s">
        <v>4182</v>
      </c>
      <c r="E1436" s="4" t="s">
        <v>170</v>
      </c>
      <c r="F1436" s="4" t="s">
        <v>155</v>
      </c>
      <c r="G1436" s="4"/>
      <c r="H1436" s="4"/>
      <c r="I1436" s="4" t="s">
        <v>139</v>
      </c>
      <c r="J1436" s="4" t="s">
        <v>181</v>
      </c>
      <c r="K1436" s="4" t="s">
        <v>145</v>
      </c>
      <c r="L1436" s="4" t="s">
        <v>4176</v>
      </c>
      <c r="M1436" s="4" t="s">
        <v>2355</v>
      </c>
      <c r="N1436" s="4" t="s">
        <v>156</v>
      </c>
      <c r="O1436" s="4" t="s">
        <v>120</v>
      </c>
      <c r="P1436" s="4" t="s">
        <v>470</v>
      </c>
    </row>
    <row r="1437" spans="1:16" ht="15">
      <c r="A1437" s="4" t="s">
        <v>2356</v>
      </c>
      <c r="B1437" s="30">
        <v>39927</v>
      </c>
      <c r="C1437" s="4"/>
      <c r="D1437" s="4" t="s">
        <v>4179</v>
      </c>
      <c r="E1437" s="4" t="s">
        <v>170</v>
      </c>
      <c r="F1437" s="4" t="s">
        <v>155</v>
      </c>
      <c r="G1437" s="4"/>
      <c r="H1437" s="4"/>
      <c r="I1437" s="4" t="s">
        <v>139</v>
      </c>
      <c r="J1437" s="4" t="s">
        <v>181</v>
      </c>
      <c r="K1437" s="4" t="s">
        <v>151</v>
      </c>
      <c r="L1437" s="4" t="s">
        <v>4176</v>
      </c>
      <c r="M1437" s="4" t="s">
        <v>174</v>
      </c>
      <c r="N1437" s="4" t="s">
        <v>156</v>
      </c>
      <c r="O1437" s="4" t="s">
        <v>120</v>
      </c>
      <c r="P1437" s="4" t="s">
        <v>2357</v>
      </c>
    </row>
    <row r="1438" spans="1:16" ht="15">
      <c r="A1438" s="4" t="s">
        <v>2358</v>
      </c>
      <c r="B1438" s="30">
        <v>40021</v>
      </c>
      <c r="C1438" s="4"/>
      <c r="D1438" s="4" t="s">
        <v>193</v>
      </c>
      <c r="E1438" s="4" t="s">
        <v>170</v>
      </c>
      <c r="F1438" s="4" t="s">
        <v>155</v>
      </c>
      <c r="G1438" s="4">
        <v>5</v>
      </c>
      <c r="H1438" s="4">
        <v>5</v>
      </c>
      <c r="I1438" s="4" t="s">
        <v>140</v>
      </c>
      <c r="J1438" s="4" t="s">
        <v>190</v>
      </c>
      <c r="K1438" s="4" t="s">
        <v>142</v>
      </c>
      <c r="L1438" s="4" t="s">
        <v>162</v>
      </c>
      <c r="M1438" s="4" t="s">
        <v>567</v>
      </c>
      <c r="N1438" s="4" t="s">
        <v>155</v>
      </c>
      <c r="O1438" s="4" t="s">
        <v>130</v>
      </c>
      <c r="P1438" s="4"/>
    </row>
    <row r="1439" spans="1:16" ht="15">
      <c r="A1439" s="4" t="s">
        <v>2359</v>
      </c>
      <c r="B1439" s="30">
        <v>39964</v>
      </c>
      <c r="C1439" s="4"/>
      <c r="D1439" s="4" t="s">
        <v>195</v>
      </c>
      <c r="E1439" s="4" t="s">
        <v>170</v>
      </c>
      <c r="F1439" s="4" t="s">
        <v>155</v>
      </c>
      <c r="G1439" s="4"/>
      <c r="H1439" s="4"/>
      <c r="I1439" s="4" t="s">
        <v>139</v>
      </c>
      <c r="J1439" s="4" t="s">
        <v>190</v>
      </c>
      <c r="K1439" s="4" t="s">
        <v>143</v>
      </c>
      <c r="L1439" s="4" t="s">
        <v>4181</v>
      </c>
      <c r="M1439" s="4" t="s">
        <v>173</v>
      </c>
      <c r="N1439" s="4" t="s">
        <v>155</v>
      </c>
      <c r="O1439" s="4" t="s">
        <v>704</v>
      </c>
      <c r="P1439" s="4"/>
    </row>
    <row r="1440" spans="1:16" ht="15">
      <c r="A1440" s="4" t="s">
        <v>2360</v>
      </c>
      <c r="B1440" s="30">
        <v>39928</v>
      </c>
      <c r="C1440" s="4"/>
      <c r="D1440" s="4" t="s">
        <v>4183</v>
      </c>
      <c r="E1440" s="4" t="s">
        <v>170</v>
      </c>
      <c r="F1440" s="4" t="s">
        <v>155</v>
      </c>
      <c r="G1440" s="4"/>
      <c r="H1440" s="4"/>
      <c r="I1440" s="4" t="s">
        <v>140</v>
      </c>
      <c r="J1440" s="4" t="s">
        <v>180</v>
      </c>
      <c r="K1440" s="4" t="s">
        <v>142</v>
      </c>
      <c r="L1440" s="4" t="s">
        <v>4181</v>
      </c>
      <c r="M1440" s="4" t="s">
        <v>2361</v>
      </c>
      <c r="N1440" s="4" t="s">
        <v>155</v>
      </c>
      <c r="O1440" s="4" t="s">
        <v>692</v>
      </c>
      <c r="P1440" s="4"/>
    </row>
    <row r="1441" spans="1:16" ht="15">
      <c r="A1441" s="4" t="s">
        <v>2362</v>
      </c>
      <c r="B1441" s="30">
        <v>39994</v>
      </c>
      <c r="C1441" s="4" t="s">
        <v>380</v>
      </c>
      <c r="D1441" s="4" t="s">
        <v>196</v>
      </c>
      <c r="E1441" s="4" t="s">
        <v>170</v>
      </c>
      <c r="F1441" s="4" t="s">
        <v>155</v>
      </c>
      <c r="G1441" s="4"/>
      <c r="H1441" s="4">
        <v>3</v>
      </c>
      <c r="I1441" s="4" t="s">
        <v>139</v>
      </c>
      <c r="J1441" s="4" t="s">
        <v>183</v>
      </c>
      <c r="K1441" s="4" t="s">
        <v>142</v>
      </c>
      <c r="L1441" s="4" t="s">
        <v>4176</v>
      </c>
      <c r="M1441" s="4" t="s">
        <v>174</v>
      </c>
      <c r="N1441" s="4" t="s">
        <v>156</v>
      </c>
      <c r="O1441" s="4" t="s">
        <v>120</v>
      </c>
      <c r="P1441" s="4" t="s">
        <v>1427</v>
      </c>
    </row>
    <row r="1442" spans="1:16" ht="15">
      <c r="A1442" s="4" t="s">
        <v>2363</v>
      </c>
      <c r="B1442" s="30">
        <v>40008</v>
      </c>
      <c r="C1442" s="4"/>
      <c r="D1442" s="4" t="s">
        <v>196</v>
      </c>
      <c r="E1442" s="4" t="s">
        <v>170</v>
      </c>
      <c r="F1442" s="4" t="s">
        <v>155</v>
      </c>
      <c r="G1442" s="4">
        <v>5</v>
      </c>
      <c r="H1442" s="4">
        <v>5</v>
      </c>
      <c r="I1442" s="4" t="s">
        <v>139</v>
      </c>
      <c r="J1442" s="4" t="s">
        <v>183</v>
      </c>
      <c r="K1442" s="4" t="s">
        <v>150</v>
      </c>
      <c r="L1442" s="4" t="s">
        <v>162</v>
      </c>
      <c r="M1442" s="4" t="s">
        <v>176</v>
      </c>
      <c r="N1442" s="4" t="s">
        <v>155</v>
      </c>
      <c r="O1442" s="4" t="s">
        <v>129</v>
      </c>
      <c r="P1442" s="4"/>
    </row>
    <row r="1443" spans="1:16" ht="15">
      <c r="A1443" s="4" t="s">
        <v>2364</v>
      </c>
      <c r="B1443" s="30">
        <v>40080</v>
      </c>
      <c r="C1443" s="4"/>
      <c r="D1443" s="4" t="s">
        <v>544</v>
      </c>
      <c r="E1443" s="4" t="s">
        <v>170</v>
      </c>
      <c r="F1443" s="4" t="s">
        <v>155</v>
      </c>
      <c r="G1443" s="4">
        <v>5</v>
      </c>
      <c r="H1443" s="4">
        <v>5</v>
      </c>
      <c r="I1443" s="4" t="s">
        <v>139</v>
      </c>
      <c r="J1443" s="4" t="s">
        <v>183</v>
      </c>
      <c r="K1443" s="4" t="s">
        <v>144</v>
      </c>
      <c r="L1443" s="4" t="s">
        <v>4181</v>
      </c>
      <c r="M1443" s="4" t="s">
        <v>173</v>
      </c>
      <c r="N1443" s="4" t="s">
        <v>155</v>
      </c>
      <c r="O1443" s="4" t="s">
        <v>128</v>
      </c>
      <c r="P1443" s="4"/>
    </row>
    <row r="1444" spans="1:16" ht="15">
      <c r="A1444" s="4" t="s">
        <v>2365</v>
      </c>
      <c r="B1444" s="30">
        <v>40063</v>
      </c>
      <c r="C1444" s="4"/>
      <c r="D1444" s="4" t="s">
        <v>544</v>
      </c>
      <c r="E1444" s="4" t="s">
        <v>170</v>
      </c>
      <c r="F1444" s="4" t="s">
        <v>155</v>
      </c>
      <c r="G1444" s="4">
        <v>5</v>
      </c>
      <c r="H1444" s="4">
        <v>5</v>
      </c>
      <c r="I1444" s="4" t="s">
        <v>139</v>
      </c>
      <c r="J1444" s="4" t="s">
        <v>183</v>
      </c>
      <c r="K1444" s="4" t="s">
        <v>143</v>
      </c>
      <c r="L1444" s="4" t="s">
        <v>4176</v>
      </c>
      <c r="M1444" s="4" t="s">
        <v>1823</v>
      </c>
      <c r="N1444" s="4" t="s">
        <v>156</v>
      </c>
      <c r="O1444" s="4" t="s">
        <v>120</v>
      </c>
      <c r="P1444" s="4" t="s">
        <v>741</v>
      </c>
    </row>
    <row r="1445" spans="1:16" ht="15">
      <c r="A1445" s="4" t="s">
        <v>2366</v>
      </c>
      <c r="B1445" s="30">
        <v>39941</v>
      </c>
      <c r="C1445" s="4"/>
      <c r="D1445" s="4" t="s">
        <v>194</v>
      </c>
      <c r="E1445" s="4" t="s">
        <v>170</v>
      </c>
      <c r="F1445" s="4" t="s">
        <v>155</v>
      </c>
      <c r="G1445" s="4"/>
      <c r="H1445" s="4"/>
      <c r="I1445" s="4" t="s">
        <v>139</v>
      </c>
      <c r="J1445" s="4" t="s">
        <v>183</v>
      </c>
      <c r="K1445" s="4" t="s">
        <v>143</v>
      </c>
      <c r="L1445" s="4" t="s">
        <v>4181</v>
      </c>
      <c r="M1445" s="4" t="s">
        <v>173</v>
      </c>
      <c r="N1445" s="4" t="s">
        <v>155</v>
      </c>
      <c r="O1445" s="4" t="s">
        <v>692</v>
      </c>
      <c r="P1445" s="4"/>
    </row>
    <row r="1446" spans="1:16" ht="15">
      <c r="A1446" s="4" t="s">
        <v>2367</v>
      </c>
      <c r="B1446" s="30">
        <v>39950</v>
      </c>
      <c r="C1446" s="4"/>
      <c r="D1446" s="4" t="s">
        <v>193</v>
      </c>
      <c r="E1446" s="4" t="s">
        <v>170</v>
      </c>
      <c r="F1446" s="4" t="s">
        <v>155</v>
      </c>
      <c r="G1446" s="4"/>
      <c r="H1446" s="4"/>
      <c r="I1446" s="4" t="s">
        <v>140</v>
      </c>
      <c r="J1446" s="4" t="s">
        <v>183</v>
      </c>
      <c r="K1446" s="4" t="s">
        <v>143</v>
      </c>
      <c r="L1446" s="4" t="s">
        <v>4181</v>
      </c>
      <c r="M1446" s="4" t="s">
        <v>415</v>
      </c>
      <c r="N1446" s="4" t="s">
        <v>155</v>
      </c>
      <c r="O1446" s="4" t="s">
        <v>125</v>
      </c>
      <c r="P1446" s="4"/>
    </row>
    <row r="1447" spans="1:16" ht="15">
      <c r="A1447" s="4" t="s">
        <v>2368</v>
      </c>
      <c r="B1447" s="30">
        <v>39964</v>
      </c>
      <c r="C1447" s="4"/>
      <c r="D1447" s="4" t="s">
        <v>194</v>
      </c>
      <c r="E1447" s="4" t="s">
        <v>170</v>
      </c>
      <c r="F1447" s="4" t="s">
        <v>155</v>
      </c>
      <c r="G1447" s="4"/>
      <c r="H1447" s="4"/>
      <c r="I1447" s="4" t="s">
        <v>139</v>
      </c>
      <c r="J1447" s="4" t="s">
        <v>183</v>
      </c>
      <c r="K1447" s="4" t="s">
        <v>143</v>
      </c>
      <c r="L1447" s="4" t="s">
        <v>162</v>
      </c>
      <c r="M1447" s="4"/>
      <c r="N1447" s="4" t="s">
        <v>155</v>
      </c>
      <c r="O1447" s="4" t="s">
        <v>129</v>
      </c>
      <c r="P1447" s="4"/>
    </row>
    <row r="1448" spans="1:16" ht="15">
      <c r="A1448" s="4" t="s">
        <v>2369</v>
      </c>
      <c r="B1448" s="30">
        <v>40057</v>
      </c>
      <c r="C1448" s="4" t="s">
        <v>496</v>
      </c>
      <c r="D1448" s="4" t="s">
        <v>193</v>
      </c>
      <c r="E1448" s="4" t="s">
        <v>170</v>
      </c>
      <c r="F1448" s="4" t="s">
        <v>155</v>
      </c>
      <c r="G1448" s="4">
        <v>5</v>
      </c>
      <c r="H1448" s="4">
        <v>5</v>
      </c>
      <c r="I1448" s="4" t="s">
        <v>140</v>
      </c>
      <c r="J1448" s="4" t="s">
        <v>188</v>
      </c>
      <c r="K1448" s="4" t="s">
        <v>145</v>
      </c>
      <c r="L1448" s="4" t="s">
        <v>4181</v>
      </c>
      <c r="M1448" s="4" t="s">
        <v>173</v>
      </c>
      <c r="N1448" s="4" t="s">
        <v>155</v>
      </c>
      <c r="O1448" s="4" t="s">
        <v>125</v>
      </c>
      <c r="P1448" s="4"/>
    </row>
    <row r="1449" spans="1:16" ht="15">
      <c r="A1449" s="4" t="s">
        <v>2370</v>
      </c>
      <c r="B1449" s="30">
        <v>40036</v>
      </c>
      <c r="C1449" s="4"/>
      <c r="D1449" s="4" t="s">
        <v>197</v>
      </c>
      <c r="E1449" s="4" t="s">
        <v>170</v>
      </c>
      <c r="F1449" s="4" t="s">
        <v>155</v>
      </c>
      <c r="G1449" s="4">
        <v>5</v>
      </c>
      <c r="H1449" s="4">
        <v>4</v>
      </c>
      <c r="I1449" s="4" t="s">
        <v>139</v>
      </c>
      <c r="J1449" s="4" t="s">
        <v>188</v>
      </c>
      <c r="K1449" s="4" t="s">
        <v>146</v>
      </c>
      <c r="L1449" s="4" t="s">
        <v>162</v>
      </c>
      <c r="M1449" s="4" t="s">
        <v>2371</v>
      </c>
      <c r="N1449" s="4" t="s">
        <v>155</v>
      </c>
      <c r="O1449" s="4" t="s">
        <v>129</v>
      </c>
      <c r="P1449" s="4"/>
    </row>
    <row r="1450" spans="1:16" ht="15">
      <c r="A1450" s="4" t="s">
        <v>2372</v>
      </c>
      <c r="B1450" s="30">
        <v>39939</v>
      </c>
      <c r="C1450" s="4" t="s">
        <v>380</v>
      </c>
      <c r="D1450" s="4" t="s">
        <v>4182</v>
      </c>
      <c r="E1450" s="4" t="s">
        <v>170</v>
      </c>
      <c r="F1450" s="4" t="s">
        <v>155</v>
      </c>
      <c r="G1450" s="4"/>
      <c r="H1450" s="4"/>
      <c r="I1450" s="4" t="s">
        <v>139</v>
      </c>
      <c r="J1450" s="4" t="s">
        <v>810</v>
      </c>
      <c r="K1450" s="4" t="s">
        <v>142</v>
      </c>
      <c r="L1450" s="4" t="s">
        <v>4176</v>
      </c>
      <c r="M1450" s="4" t="s">
        <v>174</v>
      </c>
      <c r="N1450" s="4" t="s">
        <v>157</v>
      </c>
      <c r="O1450" s="4" t="s">
        <v>130</v>
      </c>
      <c r="P1450" s="4" t="s">
        <v>437</v>
      </c>
    </row>
    <row r="1451" spans="1:16" ht="15">
      <c r="A1451" s="4" t="s">
        <v>2373</v>
      </c>
      <c r="B1451" s="30">
        <v>39938</v>
      </c>
      <c r="C1451" s="4"/>
      <c r="D1451" s="4" t="s">
        <v>4179</v>
      </c>
      <c r="E1451" s="4" t="s">
        <v>170</v>
      </c>
      <c r="F1451" s="4" t="s">
        <v>155</v>
      </c>
      <c r="G1451" s="4"/>
      <c r="H1451" s="4"/>
      <c r="I1451" s="4" t="s">
        <v>139</v>
      </c>
      <c r="J1451" s="4" t="s">
        <v>178</v>
      </c>
      <c r="K1451" s="4" t="s">
        <v>143</v>
      </c>
      <c r="L1451" s="4" t="s">
        <v>4176</v>
      </c>
      <c r="M1451" s="4" t="s">
        <v>174</v>
      </c>
      <c r="N1451" s="4" t="s">
        <v>156</v>
      </c>
      <c r="O1451" s="4" t="s">
        <v>120</v>
      </c>
      <c r="P1451" s="4" t="s">
        <v>2374</v>
      </c>
    </row>
    <row r="1452" spans="1:16" ht="15">
      <c r="A1452" s="4" t="s">
        <v>2375</v>
      </c>
      <c r="B1452" s="30">
        <v>39927</v>
      </c>
      <c r="C1452" s="4"/>
      <c r="D1452" s="4" t="s">
        <v>4178</v>
      </c>
      <c r="E1452" s="4" t="s">
        <v>170</v>
      </c>
      <c r="F1452" s="4" t="s">
        <v>155</v>
      </c>
      <c r="G1452" s="4"/>
      <c r="H1452" s="4"/>
      <c r="I1452" s="4" t="s">
        <v>139</v>
      </c>
      <c r="J1452" s="4" t="s">
        <v>183</v>
      </c>
      <c r="K1452" s="4" t="s">
        <v>142</v>
      </c>
      <c r="L1452" s="4" t="s">
        <v>162</v>
      </c>
      <c r="M1452" s="4" t="s">
        <v>2376</v>
      </c>
      <c r="N1452" s="4" t="s">
        <v>155</v>
      </c>
      <c r="O1452" s="4" t="s">
        <v>129</v>
      </c>
      <c r="P1452" s="4"/>
    </row>
    <row r="1453" spans="1:16" ht="15">
      <c r="A1453" s="4" t="s">
        <v>2377</v>
      </c>
      <c r="B1453" s="30">
        <v>39928</v>
      </c>
      <c r="C1453" s="4"/>
      <c r="D1453" s="4" t="s">
        <v>4177</v>
      </c>
      <c r="E1453" s="4" t="s">
        <v>170</v>
      </c>
      <c r="F1453" s="4" t="s">
        <v>155</v>
      </c>
      <c r="G1453" s="4"/>
      <c r="H1453" s="4"/>
      <c r="I1453" s="4" t="s">
        <v>139</v>
      </c>
      <c r="J1453" s="4" t="s">
        <v>186</v>
      </c>
      <c r="K1453" s="4" t="s">
        <v>142</v>
      </c>
      <c r="L1453" s="4" t="s">
        <v>4181</v>
      </c>
      <c r="M1453" s="4"/>
      <c r="N1453" s="4" t="s">
        <v>155</v>
      </c>
      <c r="O1453" s="4" t="s">
        <v>125</v>
      </c>
      <c r="P1453" s="4"/>
    </row>
    <row r="1454" spans="1:16" ht="15">
      <c r="A1454" s="4" t="s">
        <v>2378</v>
      </c>
      <c r="B1454" s="30">
        <v>39980</v>
      </c>
      <c r="C1454" s="4"/>
      <c r="D1454" s="4" t="s">
        <v>193</v>
      </c>
      <c r="E1454" s="4" t="s">
        <v>170</v>
      </c>
      <c r="F1454" s="4" t="s">
        <v>155</v>
      </c>
      <c r="G1454" s="4"/>
      <c r="H1454" s="4"/>
      <c r="I1454" s="4" t="s">
        <v>140</v>
      </c>
      <c r="J1454" s="4" t="s">
        <v>409</v>
      </c>
      <c r="K1454" s="4" t="s">
        <v>148</v>
      </c>
      <c r="L1454" s="4" t="s">
        <v>4181</v>
      </c>
      <c r="M1454" s="4" t="s">
        <v>173</v>
      </c>
      <c r="N1454" s="4" t="s">
        <v>155</v>
      </c>
      <c r="O1454" s="4" t="s">
        <v>467</v>
      </c>
      <c r="P1454" s="4"/>
    </row>
    <row r="1455" spans="1:16" ht="15">
      <c r="A1455" s="4" t="s">
        <v>2379</v>
      </c>
      <c r="B1455" s="30">
        <v>39946</v>
      </c>
      <c r="C1455" s="4"/>
      <c r="D1455" s="4" t="s">
        <v>193</v>
      </c>
      <c r="E1455" s="4" t="s">
        <v>170</v>
      </c>
      <c r="F1455" s="4" t="s">
        <v>155</v>
      </c>
      <c r="G1455" s="4"/>
      <c r="H1455" s="4"/>
      <c r="I1455" s="4" t="s">
        <v>140</v>
      </c>
      <c r="J1455" s="4" t="s">
        <v>188</v>
      </c>
      <c r="K1455" s="4" t="s">
        <v>147</v>
      </c>
      <c r="L1455" s="4" t="s">
        <v>4181</v>
      </c>
      <c r="M1455" s="4" t="s">
        <v>173</v>
      </c>
      <c r="N1455" s="4" t="s">
        <v>155</v>
      </c>
      <c r="O1455" s="4" t="s">
        <v>439</v>
      </c>
      <c r="P1455" s="4"/>
    </row>
    <row r="1456" spans="1:16" ht="15">
      <c r="A1456" s="4" t="s">
        <v>2380</v>
      </c>
      <c r="B1456" s="30">
        <v>39932</v>
      </c>
      <c r="C1456" s="4"/>
      <c r="D1456" s="4" t="s">
        <v>4180</v>
      </c>
      <c r="E1456" s="4" t="s">
        <v>170</v>
      </c>
      <c r="F1456" s="4" t="s">
        <v>155</v>
      </c>
      <c r="G1456" s="4"/>
      <c r="H1456" s="4"/>
      <c r="I1456" s="4" t="s">
        <v>139</v>
      </c>
      <c r="J1456" s="4" t="s">
        <v>190</v>
      </c>
      <c r="K1456" s="4" t="s">
        <v>149</v>
      </c>
      <c r="L1456" s="4" t="s">
        <v>4181</v>
      </c>
      <c r="M1456" s="4" t="s">
        <v>173</v>
      </c>
      <c r="N1456" s="4" t="s">
        <v>155</v>
      </c>
      <c r="O1456" s="4" t="s">
        <v>127</v>
      </c>
      <c r="P1456" s="4"/>
    </row>
    <row r="1457" spans="1:16" ht="15">
      <c r="A1457" s="4" t="s">
        <v>2381</v>
      </c>
      <c r="B1457" s="30">
        <v>40003</v>
      </c>
      <c r="C1457" s="4"/>
      <c r="D1457" s="4" t="s">
        <v>195</v>
      </c>
      <c r="E1457" s="4" t="s">
        <v>170</v>
      </c>
      <c r="F1457" s="4" t="s">
        <v>155</v>
      </c>
      <c r="G1457" s="4"/>
      <c r="H1457" s="4">
        <v>3</v>
      </c>
      <c r="I1457" s="4" t="s">
        <v>139</v>
      </c>
      <c r="J1457" s="4" t="s">
        <v>409</v>
      </c>
      <c r="K1457" s="4" t="s">
        <v>144</v>
      </c>
      <c r="L1457" s="4" t="s">
        <v>162</v>
      </c>
      <c r="M1457" s="4" t="s">
        <v>459</v>
      </c>
      <c r="N1457" s="4" t="s">
        <v>155</v>
      </c>
      <c r="O1457" s="4" t="s">
        <v>130</v>
      </c>
      <c r="P1457" s="4"/>
    </row>
    <row r="1458" spans="1:16" ht="15">
      <c r="A1458" s="4" t="s">
        <v>2382</v>
      </c>
      <c r="B1458" s="30">
        <v>40054</v>
      </c>
      <c r="C1458" s="4" t="s">
        <v>9</v>
      </c>
      <c r="D1458" s="4" t="s">
        <v>544</v>
      </c>
      <c r="E1458" s="4" t="s">
        <v>170</v>
      </c>
      <c r="F1458" s="4" t="s">
        <v>155</v>
      </c>
      <c r="G1458" s="4">
        <v>5</v>
      </c>
      <c r="H1458" s="4">
        <v>4</v>
      </c>
      <c r="I1458" s="4" t="s">
        <v>139</v>
      </c>
      <c r="J1458" s="4" t="s">
        <v>409</v>
      </c>
      <c r="K1458" s="4" t="s">
        <v>145</v>
      </c>
      <c r="L1458" s="4" t="s">
        <v>4176</v>
      </c>
      <c r="M1458" s="4" t="s">
        <v>174</v>
      </c>
      <c r="N1458" s="4" t="s">
        <v>156</v>
      </c>
      <c r="O1458" s="4" t="s">
        <v>120</v>
      </c>
      <c r="P1458" s="4" t="s">
        <v>620</v>
      </c>
    </row>
    <row r="1459" spans="1:16" ht="15">
      <c r="A1459" s="4" t="s">
        <v>2383</v>
      </c>
      <c r="B1459" s="30">
        <v>39991</v>
      </c>
      <c r="C1459" s="4"/>
      <c r="D1459" s="4" t="s">
        <v>193</v>
      </c>
      <c r="E1459" s="4" t="s">
        <v>170</v>
      </c>
      <c r="F1459" s="4" t="s">
        <v>155</v>
      </c>
      <c r="G1459" s="4"/>
      <c r="H1459" s="4">
        <v>3</v>
      </c>
      <c r="I1459" s="4" t="s">
        <v>140</v>
      </c>
      <c r="J1459" s="4" t="s">
        <v>183</v>
      </c>
      <c r="K1459" s="4" t="s">
        <v>144</v>
      </c>
      <c r="L1459" s="4" t="s">
        <v>4181</v>
      </c>
      <c r="M1459" s="4" t="s">
        <v>173</v>
      </c>
      <c r="N1459" s="4" t="s">
        <v>155</v>
      </c>
      <c r="O1459" s="4" t="s">
        <v>124</v>
      </c>
      <c r="P1459" s="4"/>
    </row>
    <row r="1460" spans="1:16" ht="15">
      <c r="A1460" s="4" t="s">
        <v>2384</v>
      </c>
      <c r="B1460" s="30">
        <v>39933</v>
      </c>
      <c r="C1460" s="4"/>
      <c r="D1460" s="4" t="s">
        <v>4178</v>
      </c>
      <c r="E1460" s="4" t="s">
        <v>170</v>
      </c>
      <c r="F1460" s="4" t="s">
        <v>155</v>
      </c>
      <c r="G1460" s="4"/>
      <c r="H1460" s="4"/>
      <c r="I1460" s="4" t="s">
        <v>139</v>
      </c>
      <c r="J1460" s="4" t="s">
        <v>183</v>
      </c>
      <c r="K1460" s="4" t="s">
        <v>142</v>
      </c>
      <c r="L1460" s="4" t="s">
        <v>4176</v>
      </c>
      <c r="M1460" s="4" t="s">
        <v>174</v>
      </c>
      <c r="N1460" s="4" t="s">
        <v>157</v>
      </c>
      <c r="O1460" s="4" t="s">
        <v>434</v>
      </c>
      <c r="P1460" s="4" t="s">
        <v>449</v>
      </c>
    </row>
    <row r="1461" spans="1:16" ht="15">
      <c r="A1461" s="4" t="s">
        <v>2385</v>
      </c>
      <c r="B1461" s="30">
        <v>40054</v>
      </c>
      <c r="C1461" s="4"/>
      <c r="D1461" s="4" t="s">
        <v>193</v>
      </c>
      <c r="E1461" s="4" t="s">
        <v>170</v>
      </c>
      <c r="F1461" s="4" t="s">
        <v>155</v>
      </c>
      <c r="G1461" s="4">
        <v>5</v>
      </c>
      <c r="H1461" s="4">
        <v>5</v>
      </c>
      <c r="I1461" s="4" t="s">
        <v>140</v>
      </c>
      <c r="J1461" s="4" t="s">
        <v>188</v>
      </c>
      <c r="K1461" s="4" t="s">
        <v>142</v>
      </c>
      <c r="L1461" s="4" t="s">
        <v>4181</v>
      </c>
      <c r="M1461" s="4" t="s">
        <v>173</v>
      </c>
      <c r="N1461" s="4" t="s">
        <v>155</v>
      </c>
      <c r="O1461" s="4" t="s">
        <v>125</v>
      </c>
      <c r="P1461" s="4"/>
    </row>
    <row r="1462" spans="1:16" ht="15">
      <c r="A1462" s="4" t="s">
        <v>2386</v>
      </c>
      <c r="B1462" s="30">
        <v>39931</v>
      </c>
      <c r="C1462" s="4"/>
      <c r="D1462" s="4" t="s">
        <v>4178</v>
      </c>
      <c r="E1462" s="4" t="s">
        <v>170</v>
      </c>
      <c r="F1462" s="4" t="s">
        <v>155</v>
      </c>
      <c r="G1462" s="4"/>
      <c r="H1462" s="4"/>
      <c r="I1462" s="4" t="s">
        <v>139</v>
      </c>
      <c r="J1462" s="4" t="s">
        <v>184</v>
      </c>
      <c r="K1462" s="4" t="s">
        <v>142</v>
      </c>
      <c r="L1462" s="4" t="s">
        <v>162</v>
      </c>
      <c r="M1462" s="4" t="s">
        <v>175</v>
      </c>
      <c r="N1462" s="4" t="s">
        <v>155</v>
      </c>
      <c r="O1462" s="4" t="s">
        <v>129</v>
      </c>
      <c r="P1462" s="4"/>
    </row>
    <row r="1463" spans="1:16" ht="15">
      <c r="A1463" s="4" t="s">
        <v>2387</v>
      </c>
      <c r="B1463" s="30">
        <v>39934</v>
      </c>
      <c r="C1463" s="4"/>
      <c r="D1463" s="4" t="s">
        <v>4180</v>
      </c>
      <c r="E1463" s="4" t="s">
        <v>170</v>
      </c>
      <c r="F1463" s="4" t="s">
        <v>155</v>
      </c>
      <c r="G1463" s="4"/>
      <c r="H1463" s="4"/>
      <c r="I1463" s="4" t="s">
        <v>139</v>
      </c>
      <c r="J1463" s="4" t="s">
        <v>178</v>
      </c>
      <c r="K1463" s="4" t="s">
        <v>147</v>
      </c>
      <c r="L1463" s="4" t="s">
        <v>4181</v>
      </c>
      <c r="M1463" s="4" t="s">
        <v>173</v>
      </c>
      <c r="N1463" s="4" t="s">
        <v>155</v>
      </c>
      <c r="O1463" s="4" t="s">
        <v>125</v>
      </c>
      <c r="P1463" s="4"/>
    </row>
    <row r="1464" spans="1:16" ht="15">
      <c r="A1464" s="4" t="s">
        <v>2388</v>
      </c>
      <c r="B1464" s="30">
        <v>40007</v>
      </c>
      <c r="C1464" s="4"/>
      <c r="D1464" s="4" t="s">
        <v>193</v>
      </c>
      <c r="E1464" s="4" t="s">
        <v>170</v>
      </c>
      <c r="F1464" s="4" t="s">
        <v>155</v>
      </c>
      <c r="G1464" s="4">
        <v>5</v>
      </c>
      <c r="H1464" s="4">
        <v>4</v>
      </c>
      <c r="I1464" s="4" t="s">
        <v>140</v>
      </c>
      <c r="J1464" s="4" t="s">
        <v>183</v>
      </c>
      <c r="K1464" s="4" t="s">
        <v>143</v>
      </c>
      <c r="L1464" s="4" t="s">
        <v>4176</v>
      </c>
      <c r="M1464" s="4" t="s">
        <v>867</v>
      </c>
      <c r="N1464" s="4" t="s">
        <v>157</v>
      </c>
      <c r="O1464" s="4" t="s">
        <v>127</v>
      </c>
      <c r="P1464" s="4" t="s">
        <v>153</v>
      </c>
    </row>
    <row r="1465" spans="1:16" ht="15">
      <c r="A1465" s="4" t="s">
        <v>2389</v>
      </c>
      <c r="B1465" s="30">
        <v>39959</v>
      </c>
      <c r="C1465" s="4"/>
      <c r="D1465" s="4" t="s">
        <v>194</v>
      </c>
      <c r="E1465" s="4" t="s">
        <v>170</v>
      </c>
      <c r="F1465" s="4" t="s">
        <v>155</v>
      </c>
      <c r="G1465" s="4"/>
      <c r="H1465" s="4"/>
      <c r="I1465" s="4" t="s">
        <v>139</v>
      </c>
      <c r="J1465" s="4" t="s">
        <v>409</v>
      </c>
      <c r="K1465" s="4" t="s">
        <v>149</v>
      </c>
      <c r="L1465" s="4" t="s">
        <v>162</v>
      </c>
      <c r="M1465" s="4" t="s">
        <v>176</v>
      </c>
      <c r="N1465" s="4" t="s">
        <v>155</v>
      </c>
      <c r="O1465" s="4" t="s">
        <v>130</v>
      </c>
      <c r="P1465" s="4"/>
    </row>
    <row r="1466" spans="1:16" ht="15">
      <c r="A1466" s="4" t="s">
        <v>2390</v>
      </c>
      <c r="B1466" s="30">
        <v>39983</v>
      </c>
      <c r="C1466" s="4" t="s">
        <v>383</v>
      </c>
      <c r="D1466" s="4" t="s">
        <v>193</v>
      </c>
      <c r="E1466" s="4" t="s">
        <v>170</v>
      </c>
      <c r="F1466" s="4" t="s">
        <v>155</v>
      </c>
      <c r="G1466" s="4"/>
      <c r="H1466" s="4"/>
      <c r="I1466" s="4" t="s">
        <v>140</v>
      </c>
      <c r="J1466" s="4" t="s">
        <v>409</v>
      </c>
      <c r="K1466" s="4" t="s">
        <v>148</v>
      </c>
      <c r="L1466" s="4" t="s">
        <v>4181</v>
      </c>
      <c r="M1466" s="4" t="s">
        <v>173</v>
      </c>
      <c r="N1466" s="4" t="s">
        <v>788</v>
      </c>
      <c r="O1466" s="4" t="s">
        <v>903</v>
      </c>
      <c r="P1466" s="4"/>
    </row>
    <row r="1467" spans="1:16" ht="15">
      <c r="A1467" s="4" t="s">
        <v>2391</v>
      </c>
      <c r="B1467" s="30">
        <v>39980</v>
      </c>
      <c r="C1467" s="4"/>
      <c r="D1467" s="4" t="s">
        <v>193</v>
      </c>
      <c r="E1467" s="4" t="s">
        <v>170</v>
      </c>
      <c r="F1467" s="4" t="s">
        <v>155</v>
      </c>
      <c r="G1467" s="4"/>
      <c r="H1467" s="4"/>
      <c r="I1467" s="4" t="s">
        <v>140</v>
      </c>
      <c r="J1467" s="4" t="s">
        <v>409</v>
      </c>
      <c r="K1467" s="4" t="s">
        <v>145</v>
      </c>
      <c r="L1467" s="4" t="s">
        <v>4181</v>
      </c>
      <c r="M1467" s="4" t="s">
        <v>415</v>
      </c>
      <c r="N1467" s="4" t="s">
        <v>155</v>
      </c>
      <c r="O1467" s="4" t="s">
        <v>125</v>
      </c>
      <c r="P1467" s="4"/>
    </row>
    <row r="1468" spans="1:16" ht="15">
      <c r="A1468" s="4" t="s">
        <v>2392</v>
      </c>
      <c r="B1468" s="30">
        <v>39969</v>
      </c>
      <c r="C1468" s="4" t="s">
        <v>383</v>
      </c>
      <c r="D1468" s="4" t="s">
        <v>193</v>
      </c>
      <c r="E1468" s="4" t="s">
        <v>170</v>
      </c>
      <c r="F1468" s="4" t="s">
        <v>155</v>
      </c>
      <c r="G1468" s="4"/>
      <c r="H1468" s="4"/>
      <c r="I1468" s="4" t="s">
        <v>140</v>
      </c>
      <c r="J1468" s="4" t="s">
        <v>409</v>
      </c>
      <c r="K1468" s="4" t="s">
        <v>150</v>
      </c>
      <c r="L1468" s="4" t="s">
        <v>4181</v>
      </c>
      <c r="M1468" s="4" t="s">
        <v>2393</v>
      </c>
      <c r="N1468" s="4" t="s">
        <v>155</v>
      </c>
      <c r="O1468" s="4" t="s">
        <v>1133</v>
      </c>
      <c r="P1468" s="4"/>
    </row>
    <row r="1469" spans="1:16" ht="15">
      <c r="A1469" s="4" t="s">
        <v>2394</v>
      </c>
      <c r="B1469" s="30">
        <v>39922</v>
      </c>
      <c r="C1469" s="4"/>
      <c r="D1469" s="4" t="s">
        <v>4177</v>
      </c>
      <c r="E1469" s="4" t="s">
        <v>170</v>
      </c>
      <c r="F1469" s="4" t="s">
        <v>155</v>
      </c>
      <c r="G1469" s="4"/>
      <c r="H1469" s="4"/>
      <c r="I1469" s="4" t="s">
        <v>139</v>
      </c>
      <c r="J1469" s="4" t="s">
        <v>178</v>
      </c>
      <c r="K1469" s="4" t="s">
        <v>150</v>
      </c>
      <c r="L1469" s="4" t="s">
        <v>4176</v>
      </c>
      <c r="M1469" s="4" t="s">
        <v>174</v>
      </c>
      <c r="N1469" s="4" t="s">
        <v>156</v>
      </c>
      <c r="O1469" s="4" t="s">
        <v>120</v>
      </c>
      <c r="P1469" s="4" t="s">
        <v>794</v>
      </c>
    </row>
    <row r="1470" spans="1:16" ht="15">
      <c r="A1470" s="4" t="s">
        <v>2395</v>
      </c>
      <c r="B1470" s="30">
        <v>39987</v>
      </c>
      <c r="C1470" s="4"/>
      <c r="D1470" s="4" t="s">
        <v>196</v>
      </c>
      <c r="E1470" s="4" t="s">
        <v>170</v>
      </c>
      <c r="F1470" s="4" t="s">
        <v>155</v>
      </c>
      <c r="G1470" s="4"/>
      <c r="H1470" s="4"/>
      <c r="I1470" s="4" t="s">
        <v>139</v>
      </c>
      <c r="J1470" s="4" t="s">
        <v>509</v>
      </c>
      <c r="K1470" s="4" t="s">
        <v>144</v>
      </c>
      <c r="L1470" s="4" t="s">
        <v>162</v>
      </c>
      <c r="M1470" s="4" t="s">
        <v>1550</v>
      </c>
      <c r="N1470" s="4" t="s">
        <v>155</v>
      </c>
      <c r="O1470" s="4" t="s">
        <v>129</v>
      </c>
      <c r="P1470" s="4"/>
    </row>
    <row r="1471" spans="1:16" ht="15">
      <c r="A1471" s="4" t="s">
        <v>2396</v>
      </c>
      <c r="B1471" s="30">
        <v>39921</v>
      </c>
      <c r="C1471" s="4"/>
      <c r="D1471" s="4" t="s">
        <v>4183</v>
      </c>
      <c r="E1471" s="4" t="s">
        <v>170</v>
      </c>
      <c r="F1471" s="4" t="s">
        <v>155</v>
      </c>
      <c r="G1471" s="4"/>
      <c r="H1471" s="4"/>
      <c r="I1471" s="4" t="s">
        <v>140</v>
      </c>
      <c r="J1471" s="4" t="s">
        <v>178</v>
      </c>
      <c r="K1471" s="4" t="s">
        <v>150</v>
      </c>
      <c r="L1471" s="4" t="s">
        <v>4181</v>
      </c>
      <c r="M1471" s="4" t="s">
        <v>173</v>
      </c>
      <c r="N1471" s="4" t="s">
        <v>161</v>
      </c>
      <c r="O1471" s="4" t="s">
        <v>939</v>
      </c>
      <c r="P1471" s="4"/>
    </row>
    <row r="1472" spans="1:16" ht="15">
      <c r="A1472" s="4" t="s">
        <v>2397</v>
      </c>
      <c r="B1472" s="30">
        <v>39976</v>
      </c>
      <c r="C1472" s="4" t="s">
        <v>9</v>
      </c>
      <c r="D1472" s="4" t="s">
        <v>193</v>
      </c>
      <c r="E1472" s="4" t="s">
        <v>170</v>
      </c>
      <c r="F1472" s="4" t="s">
        <v>155</v>
      </c>
      <c r="G1472" s="4"/>
      <c r="H1472" s="4"/>
      <c r="I1472" s="4" t="s">
        <v>140</v>
      </c>
      <c r="J1472" s="4" t="s">
        <v>183</v>
      </c>
      <c r="K1472" s="4" t="s">
        <v>149</v>
      </c>
      <c r="L1472" s="4" t="s">
        <v>4181</v>
      </c>
      <c r="M1472" s="4" t="s">
        <v>1042</v>
      </c>
      <c r="N1472" s="4" t="s">
        <v>155</v>
      </c>
      <c r="O1472" s="4" t="s">
        <v>124</v>
      </c>
      <c r="P1472" s="4"/>
    </row>
    <row r="1473" spans="1:16" ht="15">
      <c r="A1473" s="4" t="s">
        <v>2398</v>
      </c>
      <c r="B1473" s="30">
        <v>39956</v>
      </c>
      <c r="C1473" s="4"/>
      <c r="D1473" s="4" t="s">
        <v>193</v>
      </c>
      <c r="E1473" s="4" t="s">
        <v>170</v>
      </c>
      <c r="F1473" s="4" t="s">
        <v>155</v>
      </c>
      <c r="G1473" s="4"/>
      <c r="H1473" s="4"/>
      <c r="I1473" s="4" t="s">
        <v>140</v>
      </c>
      <c r="J1473" s="4" t="s">
        <v>810</v>
      </c>
      <c r="K1473" s="4" t="s">
        <v>146</v>
      </c>
      <c r="L1473" s="4" t="s">
        <v>162</v>
      </c>
      <c r="M1473" s="4" t="s">
        <v>2399</v>
      </c>
      <c r="N1473" s="4" t="s">
        <v>155</v>
      </c>
      <c r="O1473" s="4" t="s">
        <v>129</v>
      </c>
      <c r="P1473" s="4"/>
    </row>
    <row r="1474" spans="1:16" ht="15">
      <c r="A1474" s="4" t="s">
        <v>2400</v>
      </c>
      <c r="B1474" s="30">
        <v>39979</v>
      </c>
      <c r="C1474" s="4" t="s">
        <v>380</v>
      </c>
      <c r="D1474" s="4" t="s">
        <v>194</v>
      </c>
      <c r="E1474" s="4" t="s">
        <v>170</v>
      </c>
      <c r="F1474" s="4" t="s">
        <v>155</v>
      </c>
      <c r="G1474" s="4"/>
      <c r="H1474" s="4"/>
      <c r="I1474" s="4" t="s">
        <v>139</v>
      </c>
      <c r="J1474" s="4" t="s">
        <v>190</v>
      </c>
      <c r="K1474" s="4" t="s">
        <v>144</v>
      </c>
      <c r="L1474" s="4" t="s">
        <v>4181</v>
      </c>
      <c r="M1474" s="4" t="s">
        <v>1042</v>
      </c>
      <c r="N1474" s="4" t="s">
        <v>155</v>
      </c>
      <c r="O1474" s="4" t="s">
        <v>406</v>
      </c>
      <c r="P1474" s="4"/>
    </row>
    <row r="1475" spans="1:16" ht="15">
      <c r="A1475" s="4" t="s">
        <v>2401</v>
      </c>
      <c r="B1475" s="30">
        <v>39966</v>
      </c>
      <c r="C1475" s="4"/>
      <c r="D1475" s="4" t="s">
        <v>194</v>
      </c>
      <c r="E1475" s="4" t="s">
        <v>170</v>
      </c>
      <c r="F1475" s="4" t="s">
        <v>155</v>
      </c>
      <c r="G1475" s="4"/>
      <c r="H1475" s="4"/>
      <c r="I1475" s="4" t="s">
        <v>139</v>
      </c>
      <c r="J1475" s="4" t="s">
        <v>603</v>
      </c>
      <c r="K1475" s="4" t="s">
        <v>142</v>
      </c>
      <c r="L1475" s="4" t="s">
        <v>165</v>
      </c>
      <c r="M1475" s="4" t="s">
        <v>2402</v>
      </c>
      <c r="N1475" s="4" t="s">
        <v>158</v>
      </c>
      <c r="O1475" s="4" t="s">
        <v>122</v>
      </c>
      <c r="P1475" s="4"/>
    </row>
    <row r="1476" spans="1:16" ht="15">
      <c r="A1476" s="4" t="s">
        <v>2403</v>
      </c>
      <c r="B1476" s="30">
        <v>39917</v>
      </c>
      <c r="C1476" s="4"/>
      <c r="D1476" s="4" t="s">
        <v>4177</v>
      </c>
      <c r="E1476" s="4" t="s">
        <v>170</v>
      </c>
      <c r="F1476" s="4" t="s">
        <v>155</v>
      </c>
      <c r="G1476" s="4"/>
      <c r="H1476" s="4"/>
      <c r="I1476" s="4" t="s">
        <v>139</v>
      </c>
      <c r="J1476" s="4" t="s">
        <v>190</v>
      </c>
      <c r="K1476" s="4" t="s">
        <v>148</v>
      </c>
      <c r="L1476" s="4" t="s">
        <v>4176</v>
      </c>
      <c r="M1476" s="4" t="s">
        <v>174</v>
      </c>
      <c r="N1476" s="4" t="s">
        <v>156</v>
      </c>
      <c r="O1476" s="4" t="s">
        <v>120</v>
      </c>
      <c r="P1476" s="4" t="s">
        <v>794</v>
      </c>
    </row>
    <row r="1477" spans="1:16" ht="15">
      <c r="A1477" s="4" t="s">
        <v>2404</v>
      </c>
      <c r="B1477" s="30">
        <v>40057</v>
      </c>
      <c r="C1477" s="4"/>
      <c r="D1477" s="4" t="s">
        <v>197</v>
      </c>
      <c r="E1477" s="4" t="s">
        <v>170</v>
      </c>
      <c r="F1477" s="4" t="s">
        <v>155</v>
      </c>
      <c r="G1477" s="4">
        <v>1</v>
      </c>
      <c r="H1477" s="4">
        <v>5</v>
      </c>
      <c r="I1477" s="4" t="s">
        <v>139</v>
      </c>
      <c r="J1477" s="4" t="s">
        <v>603</v>
      </c>
      <c r="K1477" s="4" t="s">
        <v>146</v>
      </c>
      <c r="L1477" s="4" t="s">
        <v>4181</v>
      </c>
      <c r="M1477" s="4" t="s">
        <v>173</v>
      </c>
      <c r="N1477" s="4" t="s">
        <v>155</v>
      </c>
      <c r="O1477" s="4" t="s">
        <v>406</v>
      </c>
      <c r="P1477" s="4"/>
    </row>
    <row r="1478" spans="1:16" ht="15">
      <c r="A1478" s="4" t="s">
        <v>2405</v>
      </c>
      <c r="B1478" s="30">
        <v>40085</v>
      </c>
      <c r="C1478" s="4" t="s">
        <v>383</v>
      </c>
      <c r="D1478" s="4" t="s">
        <v>196</v>
      </c>
      <c r="E1478" s="4" t="s">
        <v>170</v>
      </c>
      <c r="F1478" s="4" t="s">
        <v>155</v>
      </c>
      <c r="G1478" s="4">
        <v>2</v>
      </c>
      <c r="H1478" s="4">
        <v>4</v>
      </c>
      <c r="I1478" s="4" t="s">
        <v>139</v>
      </c>
      <c r="J1478" s="4" t="s">
        <v>180</v>
      </c>
      <c r="K1478" s="4" t="s">
        <v>144</v>
      </c>
      <c r="L1478" s="4" t="s">
        <v>4176</v>
      </c>
      <c r="M1478" s="4" t="s">
        <v>578</v>
      </c>
      <c r="N1478" s="4" t="s">
        <v>2264</v>
      </c>
      <c r="O1478" s="4" t="s">
        <v>2265</v>
      </c>
      <c r="P1478" s="4" t="s">
        <v>153</v>
      </c>
    </row>
    <row r="1479" spans="1:16" ht="15">
      <c r="A1479" s="4" t="s">
        <v>2406</v>
      </c>
      <c r="B1479" s="30">
        <v>39971</v>
      </c>
      <c r="C1479" s="4"/>
      <c r="D1479" s="4" t="s">
        <v>195</v>
      </c>
      <c r="E1479" s="4" t="s">
        <v>170</v>
      </c>
      <c r="F1479" s="4" t="s">
        <v>155</v>
      </c>
      <c r="G1479" s="4"/>
      <c r="H1479" s="4"/>
      <c r="I1479" s="4" t="s">
        <v>139</v>
      </c>
      <c r="J1479" s="4" t="s">
        <v>188</v>
      </c>
      <c r="K1479" s="4" t="s">
        <v>146</v>
      </c>
      <c r="L1479" s="4" t="s">
        <v>4181</v>
      </c>
      <c r="M1479" s="4" t="s">
        <v>173</v>
      </c>
      <c r="N1479" s="4" t="s">
        <v>155</v>
      </c>
      <c r="O1479" s="4" t="s">
        <v>406</v>
      </c>
      <c r="P1479" s="4"/>
    </row>
    <row r="1480" spans="1:16" ht="15">
      <c r="A1480" s="4" t="s">
        <v>2407</v>
      </c>
      <c r="B1480" s="30">
        <v>40012</v>
      </c>
      <c r="C1480" s="4" t="s">
        <v>380</v>
      </c>
      <c r="D1480" s="4" t="s">
        <v>196</v>
      </c>
      <c r="E1480" s="4" t="s">
        <v>170</v>
      </c>
      <c r="F1480" s="4" t="s">
        <v>155</v>
      </c>
      <c r="G1480" s="4">
        <v>3</v>
      </c>
      <c r="H1480" s="4">
        <v>2</v>
      </c>
      <c r="I1480" s="4" t="s">
        <v>139</v>
      </c>
      <c r="J1480" s="4" t="s">
        <v>181</v>
      </c>
      <c r="K1480" s="4" t="s">
        <v>144</v>
      </c>
      <c r="L1480" s="4" t="s">
        <v>4176</v>
      </c>
      <c r="M1480" s="4" t="s">
        <v>174</v>
      </c>
      <c r="N1480" s="4" t="s">
        <v>157</v>
      </c>
      <c r="O1480" s="4" t="s">
        <v>127</v>
      </c>
      <c r="P1480" s="4" t="s">
        <v>1005</v>
      </c>
    </row>
    <row r="1481" spans="1:16" ht="15">
      <c r="A1481" s="4" t="s">
        <v>2408</v>
      </c>
      <c r="B1481" s="30">
        <v>39964</v>
      </c>
      <c r="C1481" s="4"/>
      <c r="D1481" s="4" t="s">
        <v>193</v>
      </c>
      <c r="E1481" s="4" t="s">
        <v>170</v>
      </c>
      <c r="F1481" s="4" t="s">
        <v>155</v>
      </c>
      <c r="G1481" s="4"/>
      <c r="H1481" s="4"/>
      <c r="I1481" s="4" t="s">
        <v>140</v>
      </c>
      <c r="J1481" s="4" t="s">
        <v>179</v>
      </c>
      <c r="K1481" s="4" t="s">
        <v>142</v>
      </c>
      <c r="L1481" s="4" t="s">
        <v>162</v>
      </c>
      <c r="M1481" s="4" t="s">
        <v>176</v>
      </c>
      <c r="N1481" s="4" t="s">
        <v>155</v>
      </c>
      <c r="O1481" s="4" t="s">
        <v>130</v>
      </c>
      <c r="P1481" s="4"/>
    </row>
    <row r="1482" spans="1:16" ht="15">
      <c r="A1482" s="4" t="s">
        <v>2409</v>
      </c>
      <c r="B1482" s="30">
        <v>40001</v>
      </c>
      <c r="C1482" s="4" t="s">
        <v>380</v>
      </c>
      <c r="D1482" s="4" t="s">
        <v>196</v>
      </c>
      <c r="E1482" s="4" t="s">
        <v>170</v>
      </c>
      <c r="F1482" s="4" t="s">
        <v>155</v>
      </c>
      <c r="G1482" s="4"/>
      <c r="H1482" s="4">
        <v>3</v>
      </c>
      <c r="I1482" s="4" t="s">
        <v>139</v>
      </c>
      <c r="J1482" s="4" t="s">
        <v>180</v>
      </c>
      <c r="K1482" s="4" t="s">
        <v>144</v>
      </c>
      <c r="L1482" s="4" t="s">
        <v>4176</v>
      </c>
      <c r="M1482" s="4" t="s">
        <v>506</v>
      </c>
      <c r="N1482" s="4" t="s">
        <v>156</v>
      </c>
      <c r="O1482" s="4" t="s">
        <v>120</v>
      </c>
      <c r="P1482" s="4" t="s">
        <v>2410</v>
      </c>
    </row>
    <row r="1483" spans="1:16" ht="15">
      <c r="A1483" s="4" t="s">
        <v>2411</v>
      </c>
      <c r="B1483" s="30">
        <v>39950</v>
      </c>
      <c r="C1483" s="4"/>
      <c r="D1483" s="4" t="s">
        <v>193</v>
      </c>
      <c r="E1483" s="4" t="s">
        <v>170</v>
      </c>
      <c r="F1483" s="4" t="s">
        <v>155</v>
      </c>
      <c r="G1483" s="4"/>
      <c r="H1483" s="4"/>
      <c r="I1483" s="4" t="s">
        <v>140</v>
      </c>
      <c r="J1483" s="4" t="s">
        <v>182</v>
      </c>
      <c r="K1483" s="4" t="s">
        <v>147</v>
      </c>
      <c r="L1483" s="4" t="s">
        <v>4176</v>
      </c>
      <c r="M1483" s="4" t="s">
        <v>174</v>
      </c>
      <c r="N1483" s="4" t="s">
        <v>157</v>
      </c>
      <c r="O1483" s="4" t="s">
        <v>406</v>
      </c>
      <c r="P1483" s="4" t="s">
        <v>891</v>
      </c>
    </row>
    <row r="1484" spans="1:16" ht="15">
      <c r="A1484" s="4" t="s">
        <v>2412</v>
      </c>
      <c r="B1484" s="30">
        <v>39955</v>
      </c>
      <c r="C1484" s="4"/>
      <c r="D1484" s="4" t="s">
        <v>195</v>
      </c>
      <c r="E1484" s="4" t="s">
        <v>170</v>
      </c>
      <c r="F1484" s="4" t="s">
        <v>155</v>
      </c>
      <c r="G1484" s="4"/>
      <c r="H1484" s="4"/>
      <c r="I1484" s="4" t="s">
        <v>139</v>
      </c>
      <c r="J1484" s="4" t="s">
        <v>810</v>
      </c>
      <c r="K1484" s="4" t="s">
        <v>142</v>
      </c>
      <c r="L1484" s="4" t="s">
        <v>4176</v>
      </c>
      <c r="M1484" s="4" t="s">
        <v>176</v>
      </c>
      <c r="N1484" s="4" t="s">
        <v>159</v>
      </c>
      <c r="O1484" s="4" t="s">
        <v>126</v>
      </c>
      <c r="P1484" s="4" t="s">
        <v>601</v>
      </c>
    </row>
    <row r="1485" spans="1:16" ht="15">
      <c r="A1485" s="4" t="s">
        <v>2413</v>
      </c>
      <c r="B1485" s="30">
        <v>39910</v>
      </c>
      <c r="C1485" s="4"/>
      <c r="D1485" s="4" t="s">
        <v>4177</v>
      </c>
      <c r="E1485" s="4" t="s">
        <v>170</v>
      </c>
      <c r="F1485" s="4" t="s">
        <v>155</v>
      </c>
      <c r="G1485" s="4"/>
      <c r="H1485" s="4"/>
      <c r="I1485" s="4" t="s">
        <v>139</v>
      </c>
      <c r="J1485" s="4" t="s">
        <v>186</v>
      </c>
      <c r="K1485" s="4" t="s">
        <v>142</v>
      </c>
      <c r="L1485" s="4" t="s">
        <v>162</v>
      </c>
      <c r="M1485" s="4" t="s">
        <v>2371</v>
      </c>
      <c r="N1485" s="4" t="s">
        <v>155</v>
      </c>
      <c r="O1485" s="4" t="s">
        <v>130</v>
      </c>
      <c r="P1485" s="4"/>
    </row>
    <row r="1486" spans="1:16" ht="15">
      <c r="A1486" s="4" t="s">
        <v>2414</v>
      </c>
      <c r="B1486" s="30">
        <v>40079</v>
      </c>
      <c r="C1486" s="4"/>
      <c r="D1486" s="4" t="s">
        <v>196</v>
      </c>
      <c r="E1486" s="4" t="s">
        <v>170</v>
      </c>
      <c r="F1486" s="4" t="s">
        <v>155</v>
      </c>
      <c r="G1486" s="4">
        <v>1</v>
      </c>
      <c r="H1486" s="4">
        <v>3</v>
      </c>
      <c r="I1486" s="4" t="s">
        <v>139</v>
      </c>
      <c r="J1486" s="4" t="s">
        <v>179</v>
      </c>
      <c r="K1486" s="4" t="s">
        <v>145</v>
      </c>
      <c r="L1486" s="4" t="s">
        <v>4176</v>
      </c>
      <c r="M1486" s="4" t="s">
        <v>174</v>
      </c>
      <c r="N1486" s="4" t="s">
        <v>159</v>
      </c>
      <c r="O1486" s="4" t="s">
        <v>123</v>
      </c>
      <c r="P1486" s="4" t="s">
        <v>123</v>
      </c>
    </row>
    <row r="1487" spans="1:16" ht="15">
      <c r="A1487" s="4" t="s">
        <v>2415</v>
      </c>
      <c r="B1487" s="30">
        <v>39911</v>
      </c>
      <c r="C1487" s="4" t="s">
        <v>9</v>
      </c>
      <c r="D1487" s="4" t="s">
        <v>4183</v>
      </c>
      <c r="E1487" s="4" t="s">
        <v>170</v>
      </c>
      <c r="F1487" s="4" t="s">
        <v>155</v>
      </c>
      <c r="G1487" s="4"/>
      <c r="H1487" s="4"/>
      <c r="I1487" s="4" t="s">
        <v>140</v>
      </c>
      <c r="J1487" s="4" t="s">
        <v>183</v>
      </c>
      <c r="K1487" s="4" t="s">
        <v>142</v>
      </c>
      <c r="L1487" s="4" t="s">
        <v>162</v>
      </c>
      <c r="M1487" s="4" t="s">
        <v>175</v>
      </c>
      <c r="N1487" s="4" t="s">
        <v>155</v>
      </c>
      <c r="O1487" s="4" t="s">
        <v>439</v>
      </c>
      <c r="P1487" s="4"/>
    </row>
    <row r="1488" spans="1:16" ht="15">
      <c r="A1488" s="4" t="s">
        <v>2416</v>
      </c>
      <c r="B1488" s="30">
        <v>40034</v>
      </c>
      <c r="C1488" s="4"/>
      <c r="D1488" s="4" t="s">
        <v>195</v>
      </c>
      <c r="E1488" s="4" t="s">
        <v>170</v>
      </c>
      <c r="F1488" s="4" t="s">
        <v>155</v>
      </c>
      <c r="G1488" s="4">
        <v>3</v>
      </c>
      <c r="H1488" s="4">
        <v>4</v>
      </c>
      <c r="I1488" s="4" t="s">
        <v>139</v>
      </c>
      <c r="J1488" s="4" t="s">
        <v>186</v>
      </c>
      <c r="K1488" s="4" t="s">
        <v>142</v>
      </c>
      <c r="L1488" s="4" t="s">
        <v>4181</v>
      </c>
      <c r="M1488" s="4" t="s">
        <v>2234</v>
      </c>
      <c r="N1488" s="4" t="s">
        <v>155</v>
      </c>
      <c r="O1488" s="4" t="s">
        <v>692</v>
      </c>
      <c r="P1488" s="4"/>
    </row>
    <row r="1489" spans="1:16" ht="15">
      <c r="A1489" s="4" t="s">
        <v>2417</v>
      </c>
      <c r="B1489" s="30">
        <v>39924</v>
      </c>
      <c r="C1489" s="4" t="s">
        <v>525</v>
      </c>
      <c r="D1489" s="4" t="s">
        <v>4182</v>
      </c>
      <c r="E1489" s="4" t="s">
        <v>170</v>
      </c>
      <c r="F1489" s="4" t="s">
        <v>155</v>
      </c>
      <c r="G1489" s="4"/>
      <c r="H1489" s="4"/>
      <c r="I1489" s="4" t="s">
        <v>139</v>
      </c>
      <c r="J1489" s="4" t="s">
        <v>179</v>
      </c>
      <c r="K1489" s="4" t="s">
        <v>143</v>
      </c>
      <c r="L1489" s="4" t="s">
        <v>4176</v>
      </c>
      <c r="M1489" s="4" t="s">
        <v>174</v>
      </c>
      <c r="N1489" s="4" t="s">
        <v>156</v>
      </c>
      <c r="O1489" s="4" t="s">
        <v>120</v>
      </c>
      <c r="P1489" s="4" t="s">
        <v>715</v>
      </c>
    </row>
    <row r="1490" spans="1:16" ht="15">
      <c r="A1490" s="4" t="s">
        <v>2418</v>
      </c>
      <c r="B1490" s="30">
        <v>39915</v>
      </c>
      <c r="C1490" s="4"/>
      <c r="D1490" s="4" t="s">
        <v>4180</v>
      </c>
      <c r="E1490" s="4" t="s">
        <v>170</v>
      </c>
      <c r="F1490" s="4" t="s">
        <v>155</v>
      </c>
      <c r="G1490" s="4"/>
      <c r="H1490" s="4"/>
      <c r="I1490" s="4" t="s">
        <v>139</v>
      </c>
      <c r="J1490" s="4" t="s">
        <v>179</v>
      </c>
      <c r="K1490" s="4" t="s">
        <v>143</v>
      </c>
      <c r="L1490" s="4" t="s">
        <v>4176</v>
      </c>
      <c r="M1490" s="4" t="s">
        <v>550</v>
      </c>
      <c r="N1490" s="4" t="s">
        <v>157</v>
      </c>
      <c r="O1490" s="4" t="s">
        <v>434</v>
      </c>
      <c r="P1490" s="4" t="s">
        <v>449</v>
      </c>
    </row>
    <row r="1491" spans="1:16" ht="15">
      <c r="A1491" s="4" t="s">
        <v>2419</v>
      </c>
      <c r="B1491" s="30">
        <v>40021</v>
      </c>
      <c r="C1491" s="4"/>
      <c r="D1491" s="4" t="s">
        <v>193</v>
      </c>
      <c r="E1491" s="4" t="s">
        <v>170</v>
      </c>
      <c r="F1491" s="4" t="s">
        <v>155</v>
      </c>
      <c r="G1491" s="4">
        <v>5</v>
      </c>
      <c r="H1491" s="4">
        <v>4</v>
      </c>
      <c r="I1491" s="4" t="s">
        <v>140</v>
      </c>
      <c r="J1491" s="4" t="s">
        <v>509</v>
      </c>
      <c r="K1491" s="4" t="s">
        <v>149</v>
      </c>
      <c r="L1491" s="4" t="s">
        <v>162</v>
      </c>
      <c r="M1491" s="4" t="s">
        <v>175</v>
      </c>
      <c r="N1491" s="4" t="s">
        <v>155</v>
      </c>
      <c r="O1491" s="4" t="s">
        <v>130</v>
      </c>
      <c r="P1491" s="4"/>
    </row>
    <row r="1492" spans="1:16" ht="15">
      <c r="A1492" s="4" t="s">
        <v>2420</v>
      </c>
      <c r="B1492" s="30">
        <v>39930</v>
      </c>
      <c r="C1492" s="4"/>
      <c r="D1492" s="4" t="s">
        <v>4178</v>
      </c>
      <c r="E1492" s="4" t="s">
        <v>170</v>
      </c>
      <c r="F1492" s="4" t="s">
        <v>155</v>
      </c>
      <c r="G1492" s="4"/>
      <c r="H1492" s="4"/>
      <c r="I1492" s="4" t="s">
        <v>139</v>
      </c>
      <c r="J1492" s="4" t="s">
        <v>181</v>
      </c>
      <c r="K1492" s="4" t="s">
        <v>143</v>
      </c>
      <c r="L1492" s="4" t="s">
        <v>4181</v>
      </c>
      <c r="M1492" s="4" t="s">
        <v>173</v>
      </c>
      <c r="N1492" s="4" t="s">
        <v>155</v>
      </c>
      <c r="O1492" s="4" t="s">
        <v>510</v>
      </c>
      <c r="P1492" s="4"/>
    </row>
    <row r="1493" spans="1:16" ht="15">
      <c r="A1493" s="4" t="s">
        <v>2421</v>
      </c>
      <c r="B1493" s="30">
        <v>40040</v>
      </c>
      <c r="C1493" s="4"/>
      <c r="D1493" s="4" t="s">
        <v>193</v>
      </c>
      <c r="E1493" s="4" t="s">
        <v>170</v>
      </c>
      <c r="F1493" s="4" t="s">
        <v>155</v>
      </c>
      <c r="G1493" s="4">
        <v>5</v>
      </c>
      <c r="H1493" s="4">
        <v>5</v>
      </c>
      <c r="I1493" s="4" t="s">
        <v>140</v>
      </c>
      <c r="J1493" s="4" t="s">
        <v>184</v>
      </c>
      <c r="K1493" s="4" t="s">
        <v>146</v>
      </c>
      <c r="L1493" s="4" t="s">
        <v>162</v>
      </c>
      <c r="M1493" s="4" t="s">
        <v>175</v>
      </c>
      <c r="N1493" s="4" t="s">
        <v>155</v>
      </c>
      <c r="O1493" s="4" t="s">
        <v>129</v>
      </c>
      <c r="P1493" s="4"/>
    </row>
    <row r="1494" spans="1:16" ht="15">
      <c r="A1494" s="4" t="s">
        <v>2422</v>
      </c>
      <c r="B1494" s="30">
        <v>39983</v>
      </c>
      <c r="C1494" s="4" t="s">
        <v>380</v>
      </c>
      <c r="D1494" s="4" t="s">
        <v>196</v>
      </c>
      <c r="E1494" s="4" t="s">
        <v>170</v>
      </c>
      <c r="F1494" s="4" t="s">
        <v>155</v>
      </c>
      <c r="G1494" s="4"/>
      <c r="H1494" s="4"/>
      <c r="I1494" s="4" t="s">
        <v>139</v>
      </c>
      <c r="J1494" s="4" t="s">
        <v>182</v>
      </c>
      <c r="K1494" s="4" t="s">
        <v>144</v>
      </c>
      <c r="L1494" s="4" t="s">
        <v>4181</v>
      </c>
      <c r="M1494" s="4" t="s">
        <v>173</v>
      </c>
      <c r="N1494" s="4" t="s">
        <v>788</v>
      </c>
      <c r="O1494" s="4" t="s">
        <v>2423</v>
      </c>
      <c r="P1494" s="4"/>
    </row>
    <row r="1495" spans="1:16" ht="15">
      <c r="A1495" s="4" t="s">
        <v>2424</v>
      </c>
      <c r="B1495" s="30">
        <v>40055</v>
      </c>
      <c r="C1495" s="4"/>
      <c r="D1495" s="4" t="s">
        <v>196</v>
      </c>
      <c r="E1495" s="4" t="s">
        <v>170</v>
      </c>
      <c r="F1495" s="4" t="s">
        <v>155</v>
      </c>
      <c r="G1495" s="4">
        <v>1</v>
      </c>
      <c r="H1495" s="4">
        <v>5</v>
      </c>
      <c r="I1495" s="4" t="s">
        <v>139</v>
      </c>
      <c r="J1495" s="4" t="s">
        <v>509</v>
      </c>
      <c r="K1495" s="4" t="s">
        <v>151</v>
      </c>
      <c r="L1495" s="4" t="s">
        <v>4181</v>
      </c>
      <c r="M1495" s="4" t="s">
        <v>173</v>
      </c>
      <c r="N1495" s="4" t="s">
        <v>155</v>
      </c>
      <c r="O1495" s="4" t="s">
        <v>692</v>
      </c>
      <c r="P1495" s="4"/>
    </row>
    <row r="1496" spans="1:16" ht="15">
      <c r="A1496" s="4" t="s">
        <v>2425</v>
      </c>
      <c r="B1496" s="30">
        <v>40074</v>
      </c>
      <c r="C1496" s="4" t="s">
        <v>496</v>
      </c>
      <c r="D1496" s="4" t="s">
        <v>195</v>
      </c>
      <c r="E1496" s="4" t="s">
        <v>170</v>
      </c>
      <c r="F1496" s="4" t="s">
        <v>155</v>
      </c>
      <c r="G1496" s="4">
        <v>5</v>
      </c>
      <c r="H1496" s="4">
        <v>5</v>
      </c>
      <c r="I1496" s="4" t="s">
        <v>139</v>
      </c>
      <c r="J1496" s="4" t="s">
        <v>509</v>
      </c>
      <c r="K1496" s="4" t="s">
        <v>144</v>
      </c>
      <c r="L1496" s="4" t="s">
        <v>4181</v>
      </c>
      <c r="M1496" s="4" t="s">
        <v>173</v>
      </c>
      <c r="N1496" s="4" t="s">
        <v>155</v>
      </c>
      <c r="O1496" s="4" t="s">
        <v>128</v>
      </c>
      <c r="P1496" s="4"/>
    </row>
    <row r="1497" spans="1:16" ht="15">
      <c r="A1497" s="4" t="s">
        <v>2426</v>
      </c>
      <c r="B1497" s="30">
        <v>39916</v>
      </c>
      <c r="C1497" s="4"/>
      <c r="D1497" s="4" t="s">
        <v>4178</v>
      </c>
      <c r="E1497" s="4" t="s">
        <v>170</v>
      </c>
      <c r="F1497" s="4" t="s">
        <v>155</v>
      </c>
      <c r="G1497" s="4"/>
      <c r="H1497" s="4"/>
      <c r="I1497" s="4" t="s">
        <v>139</v>
      </c>
      <c r="J1497" s="4" t="s">
        <v>603</v>
      </c>
      <c r="K1497" s="4" t="s">
        <v>143</v>
      </c>
      <c r="L1497" s="4" t="s">
        <v>4181</v>
      </c>
      <c r="M1497" s="4" t="s">
        <v>173</v>
      </c>
      <c r="N1497" s="4" t="s">
        <v>155</v>
      </c>
      <c r="O1497" s="4" t="s">
        <v>125</v>
      </c>
      <c r="P1497" s="4"/>
    </row>
    <row r="1498" spans="1:16" ht="15">
      <c r="A1498" s="4" t="s">
        <v>2427</v>
      </c>
      <c r="B1498" s="30">
        <v>40065</v>
      </c>
      <c r="C1498" s="4" t="s">
        <v>383</v>
      </c>
      <c r="D1498" s="4" t="s">
        <v>197</v>
      </c>
      <c r="E1498" s="4" t="s">
        <v>170</v>
      </c>
      <c r="F1498" s="4" t="s">
        <v>155</v>
      </c>
      <c r="G1498" s="4">
        <v>5</v>
      </c>
      <c r="H1498" s="4">
        <v>5</v>
      </c>
      <c r="I1498" s="4" t="s">
        <v>139</v>
      </c>
      <c r="J1498" s="4" t="s">
        <v>603</v>
      </c>
      <c r="K1498" s="4" t="s">
        <v>144</v>
      </c>
      <c r="L1498" s="4" t="s">
        <v>4181</v>
      </c>
      <c r="M1498" s="4" t="s">
        <v>173</v>
      </c>
      <c r="N1498" s="4" t="s">
        <v>155</v>
      </c>
      <c r="O1498" s="4" t="s">
        <v>125</v>
      </c>
      <c r="P1498" s="4"/>
    </row>
    <row r="1499" spans="1:16" ht="15">
      <c r="A1499" s="4" t="s">
        <v>2428</v>
      </c>
      <c r="B1499" s="30">
        <v>39934</v>
      </c>
      <c r="C1499" s="4"/>
      <c r="D1499" s="4" t="s">
        <v>4179</v>
      </c>
      <c r="E1499" s="4" t="s">
        <v>170</v>
      </c>
      <c r="F1499" s="4" t="s">
        <v>155</v>
      </c>
      <c r="G1499" s="4"/>
      <c r="H1499" s="4"/>
      <c r="I1499" s="4" t="s">
        <v>139</v>
      </c>
      <c r="J1499" s="4" t="s">
        <v>179</v>
      </c>
      <c r="K1499" s="4" t="s">
        <v>147</v>
      </c>
      <c r="L1499" s="4" t="s">
        <v>4176</v>
      </c>
      <c r="M1499" s="4" t="s">
        <v>2429</v>
      </c>
      <c r="N1499" s="4" t="s">
        <v>157</v>
      </c>
      <c r="O1499" s="4" t="s">
        <v>130</v>
      </c>
      <c r="P1499" s="4" t="s">
        <v>437</v>
      </c>
    </row>
    <row r="1500" spans="1:16" ht="15">
      <c r="A1500" s="4" t="s">
        <v>2430</v>
      </c>
      <c r="B1500" s="30">
        <v>39908</v>
      </c>
      <c r="C1500" s="4"/>
      <c r="D1500" s="4" t="s">
        <v>4179</v>
      </c>
      <c r="E1500" s="4" t="s">
        <v>170</v>
      </c>
      <c r="F1500" s="4" t="s">
        <v>155</v>
      </c>
      <c r="G1500" s="4"/>
      <c r="H1500" s="4"/>
      <c r="I1500" s="4" t="s">
        <v>139</v>
      </c>
      <c r="J1500" s="4" t="s">
        <v>179</v>
      </c>
      <c r="K1500" s="4" t="s">
        <v>143</v>
      </c>
      <c r="L1500" s="4" t="s">
        <v>4181</v>
      </c>
      <c r="M1500" s="4" t="s">
        <v>173</v>
      </c>
      <c r="N1500" s="4" t="s">
        <v>161</v>
      </c>
      <c r="O1500" s="4" t="s">
        <v>939</v>
      </c>
      <c r="P1500" s="4"/>
    </row>
    <row r="1501" spans="1:16" ht="15">
      <c r="A1501" s="4" t="s">
        <v>2431</v>
      </c>
      <c r="B1501" s="30">
        <v>39944</v>
      </c>
      <c r="C1501" s="4"/>
      <c r="D1501" s="4" t="s">
        <v>195</v>
      </c>
      <c r="E1501" s="4" t="s">
        <v>170</v>
      </c>
      <c r="F1501" s="4" t="s">
        <v>155</v>
      </c>
      <c r="G1501" s="4"/>
      <c r="H1501" s="4"/>
      <c r="I1501" s="4" t="s">
        <v>139</v>
      </c>
      <c r="J1501" s="4" t="s">
        <v>179</v>
      </c>
      <c r="K1501" s="4" t="s">
        <v>147</v>
      </c>
      <c r="L1501" s="4" t="s">
        <v>4176</v>
      </c>
      <c r="M1501" s="4" t="s">
        <v>2432</v>
      </c>
      <c r="N1501" s="4" t="s">
        <v>157</v>
      </c>
      <c r="O1501" s="4" t="s">
        <v>127</v>
      </c>
      <c r="P1501" s="4" t="s">
        <v>153</v>
      </c>
    </row>
    <row r="1502" spans="1:16" ht="15">
      <c r="A1502" s="4" t="s">
        <v>2433</v>
      </c>
      <c r="B1502" s="30">
        <v>39982</v>
      </c>
      <c r="C1502" s="4"/>
      <c r="D1502" s="4" t="s">
        <v>193</v>
      </c>
      <c r="E1502" s="4" t="s">
        <v>170</v>
      </c>
      <c r="F1502" s="4" t="s">
        <v>155</v>
      </c>
      <c r="G1502" s="4"/>
      <c r="H1502" s="4"/>
      <c r="I1502" s="4" t="s">
        <v>140</v>
      </c>
      <c r="J1502" s="4" t="s">
        <v>189</v>
      </c>
      <c r="K1502" s="4" t="s">
        <v>146</v>
      </c>
      <c r="L1502" s="4" t="s">
        <v>4181</v>
      </c>
      <c r="M1502" s="4" t="s">
        <v>173</v>
      </c>
      <c r="N1502" s="4" t="s">
        <v>155</v>
      </c>
      <c r="O1502" s="4" t="s">
        <v>125</v>
      </c>
      <c r="P1502" s="4"/>
    </row>
    <row r="1503" spans="1:16" ht="15">
      <c r="A1503" s="4" t="s">
        <v>2434</v>
      </c>
      <c r="B1503" s="30">
        <v>39961</v>
      </c>
      <c r="C1503" s="4"/>
      <c r="D1503" s="4" t="s">
        <v>195</v>
      </c>
      <c r="E1503" s="4" t="s">
        <v>170</v>
      </c>
      <c r="F1503" s="4" t="s">
        <v>155</v>
      </c>
      <c r="G1503" s="4"/>
      <c r="H1503" s="4"/>
      <c r="I1503" s="4" t="s">
        <v>139</v>
      </c>
      <c r="J1503" s="4" t="s">
        <v>179</v>
      </c>
      <c r="K1503" s="4" t="s">
        <v>143</v>
      </c>
      <c r="L1503" s="4" t="s">
        <v>4181</v>
      </c>
      <c r="M1503" s="4" t="s">
        <v>173</v>
      </c>
      <c r="N1503" s="4" t="s">
        <v>155</v>
      </c>
      <c r="O1503" s="4" t="s">
        <v>127</v>
      </c>
      <c r="P1503" s="4"/>
    </row>
    <row r="1504" spans="1:16" ht="15">
      <c r="A1504" s="4" t="s">
        <v>2435</v>
      </c>
      <c r="B1504" s="30">
        <v>40022</v>
      </c>
      <c r="C1504" s="4" t="s">
        <v>9</v>
      </c>
      <c r="D1504" s="4" t="s">
        <v>195</v>
      </c>
      <c r="E1504" s="4" t="s">
        <v>170</v>
      </c>
      <c r="F1504" s="4" t="s">
        <v>155</v>
      </c>
      <c r="G1504" s="4">
        <v>1</v>
      </c>
      <c r="H1504" s="4">
        <v>5</v>
      </c>
      <c r="I1504" s="4" t="s">
        <v>139</v>
      </c>
      <c r="J1504" s="4" t="s">
        <v>179</v>
      </c>
      <c r="K1504" s="4" t="s">
        <v>146</v>
      </c>
      <c r="L1504" s="4" t="s">
        <v>162</v>
      </c>
      <c r="M1504" s="4"/>
      <c r="N1504" s="4" t="s">
        <v>155</v>
      </c>
      <c r="O1504" s="4" t="s">
        <v>127</v>
      </c>
      <c r="P1504" s="4"/>
    </row>
    <row r="1505" spans="1:16" ht="15">
      <c r="A1505" s="4" t="s">
        <v>2436</v>
      </c>
      <c r="B1505" s="30">
        <v>40058</v>
      </c>
      <c r="C1505" s="4"/>
      <c r="D1505" s="4" t="s">
        <v>193</v>
      </c>
      <c r="E1505" s="4" t="s">
        <v>170</v>
      </c>
      <c r="F1505" s="4" t="s">
        <v>155</v>
      </c>
      <c r="G1505" s="4">
        <v>2</v>
      </c>
      <c r="H1505" s="4">
        <v>3</v>
      </c>
      <c r="I1505" s="4" t="s">
        <v>140</v>
      </c>
      <c r="J1505" s="4" t="s">
        <v>179</v>
      </c>
      <c r="K1505" s="4" t="s">
        <v>143</v>
      </c>
      <c r="L1505" s="4" t="s">
        <v>4181</v>
      </c>
      <c r="M1505" s="4" t="s">
        <v>173</v>
      </c>
      <c r="N1505" s="4" t="s">
        <v>155</v>
      </c>
      <c r="O1505" s="4" t="s">
        <v>127</v>
      </c>
      <c r="P1505" s="4"/>
    </row>
    <row r="1506" spans="1:16" ht="15">
      <c r="A1506" s="4" t="s">
        <v>2437</v>
      </c>
      <c r="B1506" s="30">
        <v>40024</v>
      </c>
      <c r="C1506" s="4"/>
      <c r="D1506" s="4" t="s">
        <v>195</v>
      </c>
      <c r="E1506" s="4" t="s">
        <v>170</v>
      </c>
      <c r="F1506" s="4" t="s">
        <v>155</v>
      </c>
      <c r="G1506" s="4">
        <v>5</v>
      </c>
      <c r="H1506" s="4">
        <v>5</v>
      </c>
      <c r="I1506" s="4" t="s">
        <v>139</v>
      </c>
      <c r="J1506" s="4" t="s">
        <v>189</v>
      </c>
      <c r="K1506" s="4" t="s">
        <v>142</v>
      </c>
      <c r="L1506" s="4" t="s">
        <v>4176</v>
      </c>
      <c r="M1506" s="4" t="s">
        <v>2438</v>
      </c>
      <c r="N1506" s="4" t="s">
        <v>157</v>
      </c>
      <c r="O1506" s="4" t="s">
        <v>406</v>
      </c>
      <c r="P1506" s="4" t="s">
        <v>2439</v>
      </c>
    </row>
    <row r="1507" spans="1:16" ht="15">
      <c r="A1507" s="4" t="s">
        <v>2440</v>
      </c>
      <c r="B1507" s="30">
        <v>39914</v>
      </c>
      <c r="C1507" s="4" t="s">
        <v>380</v>
      </c>
      <c r="D1507" s="4" t="s">
        <v>4180</v>
      </c>
      <c r="E1507" s="4" t="s">
        <v>170</v>
      </c>
      <c r="F1507" s="4" t="s">
        <v>155</v>
      </c>
      <c r="G1507" s="4"/>
      <c r="H1507" s="4"/>
      <c r="I1507" s="4" t="s">
        <v>139</v>
      </c>
      <c r="J1507" s="4" t="s">
        <v>189</v>
      </c>
      <c r="K1507" s="4" t="s">
        <v>145</v>
      </c>
      <c r="L1507" s="4" t="s">
        <v>165</v>
      </c>
      <c r="M1507" s="4" t="s">
        <v>758</v>
      </c>
      <c r="N1507" s="4" t="s">
        <v>158</v>
      </c>
      <c r="O1507" s="4" t="s">
        <v>122</v>
      </c>
      <c r="P1507" s="4"/>
    </row>
    <row r="1508" spans="1:16" ht="15">
      <c r="A1508" s="4" t="s">
        <v>2441</v>
      </c>
      <c r="B1508" s="30">
        <v>39909</v>
      </c>
      <c r="C1508" s="4" t="s">
        <v>9</v>
      </c>
      <c r="D1508" s="4" t="s">
        <v>4182</v>
      </c>
      <c r="E1508" s="4" t="s">
        <v>170</v>
      </c>
      <c r="F1508" s="4" t="s">
        <v>155</v>
      </c>
      <c r="G1508" s="4"/>
      <c r="H1508" s="4"/>
      <c r="I1508" s="4" t="s">
        <v>139</v>
      </c>
      <c r="J1508" s="4" t="s">
        <v>189</v>
      </c>
      <c r="K1508" s="4" t="s">
        <v>143</v>
      </c>
      <c r="L1508" s="4" t="s">
        <v>165</v>
      </c>
      <c r="M1508" s="4" t="s">
        <v>2442</v>
      </c>
      <c r="N1508" s="4" t="s">
        <v>158</v>
      </c>
      <c r="O1508" s="4" t="s">
        <v>122</v>
      </c>
      <c r="P1508" s="4"/>
    </row>
    <row r="1509" spans="1:16" ht="15">
      <c r="A1509" s="4" t="s">
        <v>2443</v>
      </c>
      <c r="B1509" s="30">
        <v>39942</v>
      </c>
      <c r="C1509" s="4" t="s">
        <v>496</v>
      </c>
      <c r="D1509" s="4" t="s">
        <v>195</v>
      </c>
      <c r="E1509" s="4" t="s">
        <v>170</v>
      </c>
      <c r="F1509" s="4" t="s">
        <v>155</v>
      </c>
      <c r="G1509" s="4"/>
      <c r="H1509" s="4"/>
      <c r="I1509" s="4" t="s">
        <v>139</v>
      </c>
      <c r="J1509" s="4" t="s">
        <v>179</v>
      </c>
      <c r="K1509" s="4" t="s">
        <v>151</v>
      </c>
      <c r="L1509" s="4" t="s">
        <v>162</v>
      </c>
      <c r="M1509" s="4" t="s">
        <v>567</v>
      </c>
      <c r="N1509" s="4" t="s">
        <v>155</v>
      </c>
      <c r="O1509" s="4" t="s">
        <v>130</v>
      </c>
      <c r="P1509" s="4"/>
    </row>
    <row r="1510" spans="1:16" ht="15">
      <c r="A1510" s="4" t="s">
        <v>2444</v>
      </c>
      <c r="B1510" s="30">
        <v>39952</v>
      </c>
      <c r="C1510" s="4"/>
      <c r="D1510" s="4" t="s">
        <v>193</v>
      </c>
      <c r="E1510" s="4" t="s">
        <v>170</v>
      </c>
      <c r="F1510" s="4" t="s">
        <v>155</v>
      </c>
      <c r="G1510" s="4"/>
      <c r="H1510" s="4"/>
      <c r="I1510" s="4" t="s">
        <v>140</v>
      </c>
      <c r="J1510" s="4" t="s">
        <v>189</v>
      </c>
      <c r="K1510" s="4" t="s">
        <v>147</v>
      </c>
      <c r="L1510" s="4" t="s">
        <v>162</v>
      </c>
      <c r="M1510" s="4" t="s">
        <v>175</v>
      </c>
      <c r="N1510" s="4" t="s">
        <v>155</v>
      </c>
      <c r="O1510" s="4" t="s">
        <v>129</v>
      </c>
      <c r="P1510" s="4"/>
    </row>
    <row r="1511" spans="1:16" ht="15">
      <c r="A1511" s="4" t="s">
        <v>2445</v>
      </c>
      <c r="B1511" s="30">
        <v>40005</v>
      </c>
      <c r="C1511" s="4" t="s">
        <v>9</v>
      </c>
      <c r="D1511" s="4" t="s">
        <v>194</v>
      </c>
      <c r="E1511" s="4" t="s">
        <v>170</v>
      </c>
      <c r="F1511" s="4" t="s">
        <v>155</v>
      </c>
      <c r="G1511" s="4">
        <v>5</v>
      </c>
      <c r="H1511" s="4">
        <v>5</v>
      </c>
      <c r="I1511" s="4" t="s">
        <v>139</v>
      </c>
      <c r="J1511" s="4" t="s">
        <v>179</v>
      </c>
      <c r="K1511" s="4" t="s">
        <v>142</v>
      </c>
      <c r="L1511" s="4" t="s">
        <v>4176</v>
      </c>
      <c r="M1511" s="4" t="s">
        <v>174</v>
      </c>
      <c r="N1511" s="4" t="s">
        <v>156</v>
      </c>
      <c r="O1511" s="4" t="s">
        <v>120</v>
      </c>
      <c r="P1511" s="4" t="s">
        <v>832</v>
      </c>
    </row>
    <row r="1512" spans="1:16" ht="15">
      <c r="A1512" s="4" t="s">
        <v>2446</v>
      </c>
      <c r="B1512" s="30">
        <v>40019</v>
      </c>
      <c r="C1512" s="4"/>
      <c r="D1512" s="4" t="s">
        <v>193</v>
      </c>
      <c r="E1512" s="4" t="s">
        <v>170</v>
      </c>
      <c r="F1512" s="4" t="s">
        <v>155</v>
      </c>
      <c r="G1512" s="4">
        <v>5</v>
      </c>
      <c r="H1512" s="4">
        <v>5</v>
      </c>
      <c r="I1512" s="4" t="s">
        <v>140</v>
      </c>
      <c r="J1512" s="4" t="s">
        <v>179</v>
      </c>
      <c r="K1512" s="4" t="s">
        <v>151</v>
      </c>
      <c r="L1512" s="4" t="s">
        <v>4181</v>
      </c>
      <c r="M1512" s="4" t="s">
        <v>2447</v>
      </c>
      <c r="N1512" s="4" t="s">
        <v>155</v>
      </c>
      <c r="O1512" s="4" t="s">
        <v>127</v>
      </c>
      <c r="P1512" s="4"/>
    </row>
    <row r="1513" spans="1:16" ht="15">
      <c r="A1513" s="4" t="s">
        <v>2448</v>
      </c>
      <c r="B1513" s="30">
        <v>40075</v>
      </c>
      <c r="C1513" s="4"/>
      <c r="D1513" s="4" t="s">
        <v>196</v>
      </c>
      <c r="E1513" s="4" t="s">
        <v>170</v>
      </c>
      <c r="F1513" s="4" t="s">
        <v>155</v>
      </c>
      <c r="G1513" s="4">
        <v>5</v>
      </c>
      <c r="H1513" s="4">
        <v>5</v>
      </c>
      <c r="I1513" s="4" t="s">
        <v>139</v>
      </c>
      <c r="J1513" s="4" t="s">
        <v>179</v>
      </c>
      <c r="K1513" s="4" t="s">
        <v>144</v>
      </c>
      <c r="L1513" s="4" t="s">
        <v>4176</v>
      </c>
      <c r="M1513" s="4" t="s">
        <v>174</v>
      </c>
      <c r="N1513" s="4" t="s">
        <v>156</v>
      </c>
      <c r="O1513" s="4" t="s">
        <v>120</v>
      </c>
      <c r="P1513" s="4" t="s">
        <v>1868</v>
      </c>
    </row>
    <row r="1514" spans="1:16" ht="15">
      <c r="A1514" s="4" t="s">
        <v>2449</v>
      </c>
      <c r="B1514" s="30">
        <v>39991</v>
      </c>
      <c r="C1514" s="4"/>
      <c r="D1514" s="4" t="s">
        <v>193</v>
      </c>
      <c r="E1514" s="4" t="s">
        <v>170</v>
      </c>
      <c r="F1514" s="4" t="s">
        <v>155</v>
      </c>
      <c r="G1514" s="4"/>
      <c r="H1514" s="4">
        <v>5</v>
      </c>
      <c r="I1514" s="4" t="s">
        <v>140</v>
      </c>
      <c r="J1514" s="4" t="s">
        <v>189</v>
      </c>
      <c r="K1514" s="4" t="s">
        <v>142</v>
      </c>
      <c r="L1514" s="4" t="s">
        <v>4181</v>
      </c>
      <c r="M1514" s="4"/>
      <c r="N1514" s="4" t="s">
        <v>155</v>
      </c>
      <c r="O1514" s="4" t="s">
        <v>125</v>
      </c>
      <c r="P1514" s="4"/>
    </row>
    <row r="1515" spans="1:16" ht="15">
      <c r="A1515" s="4" t="s">
        <v>2450</v>
      </c>
      <c r="B1515" s="30">
        <v>40085</v>
      </c>
      <c r="C1515" s="4"/>
      <c r="D1515" s="4" t="s">
        <v>193</v>
      </c>
      <c r="E1515" s="4" t="s">
        <v>170</v>
      </c>
      <c r="F1515" s="4" t="s">
        <v>155</v>
      </c>
      <c r="G1515" s="4">
        <v>5</v>
      </c>
      <c r="H1515" s="4">
        <v>5</v>
      </c>
      <c r="I1515" s="4" t="s">
        <v>140</v>
      </c>
      <c r="J1515" s="4" t="s">
        <v>179</v>
      </c>
      <c r="K1515" s="4" t="s">
        <v>143</v>
      </c>
      <c r="L1515" s="4" t="s">
        <v>4181</v>
      </c>
      <c r="M1515" s="4" t="s">
        <v>173</v>
      </c>
      <c r="N1515" s="4" t="s">
        <v>155</v>
      </c>
      <c r="O1515" s="4" t="s">
        <v>128</v>
      </c>
      <c r="P1515" s="4"/>
    </row>
    <row r="1516" spans="1:16" ht="15">
      <c r="A1516" s="4" t="s">
        <v>2451</v>
      </c>
      <c r="B1516" s="30">
        <v>39927</v>
      </c>
      <c r="C1516" s="4" t="s">
        <v>9</v>
      </c>
      <c r="D1516" s="4" t="s">
        <v>4184</v>
      </c>
      <c r="E1516" s="4" t="s">
        <v>170</v>
      </c>
      <c r="F1516" s="4" t="s">
        <v>155</v>
      </c>
      <c r="G1516" s="4"/>
      <c r="H1516" s="4"/>
      <c r="I1516" s="4" t="s">
        <v>140</v>
      </c>
      <c r="J1516" s="4" t="s">
        <v>603</v>
      </c>
      <c r="K1516" s="4" t="s">
        <v>148</v>
      </c>
      <c r="L1516" s="4" t="s">
        <v>4181</v>
      </c>
      <c r="M1516" s="4" t="s">
        <v>173</v>
      </c>
      <c r="N1516" s="4" t="s">
        <v>155</v>
      </c>
      <c r="O1516" s="4" t="s">
        <v>734</v>
      </c>
      <c r="P1516" s="4"/>
    </row>
    <row r="1517" spans="1:16" ht="15">
      <c r="A1517" s="4" t="s">
        <v>2452</v>
      </c>
      <c r="B1517" s="30">
        <v>40058</v>
      </c>
      <c r="C1517" s="4"/>
      <c r="D1517" s="4" t="s">
        <v>193</v>
      </c>
      <c r="E1517" s="4" t="s">
        <v>170</v>
      </c>
      <c r="F1517" s="4" t="s">
        <v>155</v>
      </c>
      <c r="G1517" s="4">
        <v>5</v>
      </c>
      <c r="H1517" s="4">
        <v>5</v>
      </c>
      <c r="I1517" s="4" t="s">
        <v>140</v>
      </c>
      <c r="J1517" s="4" t="s">
        <v>179</v>
      </c>
      <c r="K1517" s="4" t="s">
        <v>144</v>
      </c>
      <c r="L1517" s="4" t="s">
        <v>165</v>
      </c>
      <c r="M1517" s="4" t="s">
        <v>948</v>
      </c>
      <c r="N1517" s="4" t="s">
        <v>158</v>
      </c>
      <c r="O1517" s="4" t="s">
        <v>122</v>
      </c>
      <c r="P1517" s="4"/>
    </row>
    <row r="1518" spans="1:16" ht="15">
      <c r="A1518" s="4" t="s">
        <v>2453</v>
      </c>
      <c r="B1518" s="30">
        <v>39956</v>
      </c>
      <c r="C1518" s="4"/>
      <c r="D1518" s="4" t="s">
        <v>194</v>
      </c>
      <c r="E1518" s="4" t="s">
        <v>170</v>
      </c>
      <c r="F1518" s="4" t="s">
        <v>155</v>
      </c>
      <c r="G1518" s="4"/>
      <c r="H1518" s="4"/>
      <c r="I1518" s="4" t="s">
        <v>139</v>
      </c>
      <c r="J1518" s="4" t="s">
        <v>603</v>
      </c>
      <c r="K1518" s="4" t="s">
        <v>145</v>
      </c>
      <c r="L1518" s="4" t="s">
        <v>4181</v>
      </c>
      <c r="M1518" s="4" t="s">
        <v>173</v>
      </c>
      <c r="N1518" s="4" t="s">
        <v>155</v>
      </c>
      <c r="O1518" s="4" t="s">
        <v>406</v>
      </c>
      <c r="P1518" s="4"/>
    </row>
    <row r="1519" spans="1:16" ht="15">
      <c r="A1519" s="4" t="s">
        <v>2454</v>
      </c>
      <c r="B1519" s="30">
        <v>39958</v>
      </c>
      <c r="C1519" s="4"/>
      <c r="D1519" s="4" t="s">
        <v>194</v>
      </c>
      <c r="E1519" s="4" t="s">
        <v>170</v>
      </c>
      <c r="F1519" s="4" t="s">
        <v>155</v>
      </c>
      <c r="G1519" s="4"/>
      <c r="H1519" s="4"/>
      <c r="I1519" s="4" t="s">
        <v>139</v>
      </c>
      <c r="J1519" s="4" t="s">
        <v>179</v>
      </c>
      <c r="K1519" s="4" t="s">
        <v>146</v>
      </c>
      <c r="L1519" s="4" t="s">
        <v>2455</v>
      </c>
      <c r="M1519" s="4" t="s">
        <v>2456</v>
      </c>
      <c r="N1519" s="4" t="s">
        <v>123</v>
      </c>
      <c r="O1519" s="4" t="s">
        <v>601</v>
      </c>
      <c r="P1519" s="4"/>
    </row>
    <row r="1520" spans="1:16" ht="15">
      <c r="A1520" s="4" t="s">
        <v>2457</v>
      </c>
      <c r="B1520" s="30">
        <v>39999</v>
      </c>
      <c r="C1520" s="4" t="s">
        <v>380</v>
      </c>
      <c r="D1520" s="4" t="s">
        <v>193</v>
      </c>
      <c r="E1520" s="4" t="s">
        <v>170</v>
      </c>
      <c r="F1520" s="4" t="s">
        <v>155</v>
      </c>
      <c r="G1520" s="4"/>
      <c r="H1520" s="4">
        <v>2</v>
      </c>
      <c r="I1520" s="4" t="s">
        <v>140</v>
      </c>
      <c r="J1520" s="4" t="s">
        <v>179</v>
      </c>
      <c r="K1520" s="4" t="s">
        <v>144</v>
      </c>
      <c r="L1520" s="4" t="s">
        <v>162</v>
      </c>
      <c r="M1520" s="4"/>
      <c r="N1520" s="4" t="s">
        <v>155</v>
      </c>
      <c r="O1520" s="4" t="s">
        <v>130</v>
      </c>
      <c r="P1520" s="4"/>
    </row>
    <row r="1521" spans="1:16" ht="15">
      <c r="A1521" s="4" t="s">
        <v>2458</v>
      </c>
      <c r="B1521" s="30">
        <v>39971</v>
      </c>
      <c r="C1521" s="4"/>
      <c r="D1521" s="4" t="s">
        <v>195</v>
      </c>
      <c r="E1521" s="4" t="s">
        <v>170</v>
      </c>
      <c r="F1521" s="4" t="s">
        <v>155</v>
      </c>
      <c r="G1521" s="4"/>
      <c r="H1521" s="4"/>
      <c r="I1521" s="4" t="s">
        <v>139</v>
      </c>
      <c r="J1521" s="4" t="s">
        <v>179</v>
      </c>
      <c r="K1521" s="4" t="s">
        <v>144</v>
      </c>
      <c r="L1521" s="4" t="s">
        <v>4176</v>
      </c>
      <c r="M1521" s="4" t="s">
        <v>174</v>
      </c>
      <c r="N1521" s="4" t="s">
        <v>156</v>
      </c>
      <c r="O1521" s="4" t="s">
        <v>120</v>
      </c>
      <c r="P1521" s="4" t="s">
        <v>2459</v>
      </c>
    </row>
    <row r="1522" spans="1:16" ht="15">
      <c r="A1522" s="4" t="s">
        <v>2460</v>
      </c>
      <c r="B1522" s="30">
        <v>40033</v>
      </c>
      <c r="C1522" s="4"/>
      <c r="D1522" s="4" t="s">
        <v>193</v>
      </c>
      <c r="E1522" s="4" t="s">
        <v>170</v>
      </c>
      <c r="F1522" s="4" t="s">
        <v>155</v>
      </c>
      <c r="G1522" s="4">
        <v>5</v>
      </c>
      <c r="H1522" s="4">
        <v>5</v>
      </c>
      <c r="I1522" s="4" t="s">
        <v>140</v>
      </c>
      <c r="J1522" s="4" t="s">
        <v>180</v>
      </c>
      <c r="K1522" s="4" t="s">
        <v>146</v>
      </c>
      <c r="L1522" s="4" t="s">
        <v>162</v>
      </c>
      <c r="M1522" s="4" t="s">
        <v>175</v>
      </c>
      <c r="N1522" s="4" t="s">
        <v>155</v>
      </c>
      <c r="O1522" s="4" t="s">
        <v>129</v>
      </c>
      <c r="P1522" s="4"/>
    </row>
    <row r="1523" spans="1:16" ht="15">
      <c r="A1523" s="4" t="s">
        <v>2461</v>
      </c>
      <c r="B1523" s="30">
        <v>39999</v>
      </c>
      <c r="C1523" s="4" t="s">
        <v>9</v>
      </c>
      <c r="D1523" s="4" t="s">
        <v>196</v>
      </c>
      <c r="E1523" s="4" t="s">
        <v>170</v>
      </c>
      <c r="F1523" s="4" t="s">
        <v>155</v>
      </c>
      <c r="G1523" s="4"/>
      <c r="H1523" s="4">
        <v>5</v>
      </c>
      <c r="I1523" s="4" t="s">
        <v>139</v>
      </c>
      <c r="J1523" s="4" t="s">
        <v>178</v>
      </c>
      <c r="K1523" s="4" t="s">
        <v>151</v>
      </c>
      <c r="L1523" s="4" t="s">
        <v>4181</v>
      </c>
      <c r="M1523" s="4" t="s">
        <v>1182</v>
      </c>
      <c r="N1523" s="4" t="s">
        <v>155</v>
      </c>
      <c r="O1523" s="4" t="s">
        <v>746</v>
      </c>
      <c r="P1523" s="4"/>
    </row>
    <row r="1524" spans="1:16" ht="15">
      <c r="A1524" s="4" t="s">
        <v>2462</v>
      </c>
      <c r="B1524" s="30">
        <v>40051</v>
      </c>
      <c r="C1524" s="4" t="s">
        <v>383</v>
      </c>
      <c r="D1524" s="4" t="s">
        <v>195</v>
      </c>
      <c r="E1524" s="4" t="s">
        <v>170</v>
      </c>
      <c r="F1524" s="4" t="s">
        <v>155</v>
      </c>
      <c r="G1524" s="4">
        <v>5</v>
      </c>
      <c r="H1524" s="4">
        <v>3</v>
      </c>
      <c r="I1524" s="4" t="s">
        <v>139</v>
      </c>
      <c r="J1524" s="4" t="s">
        <v>189</v>
      </c>
      <c r="K1524" s="4" t="s">
        <v>145</v>
      </c>
      <c r="L1524" s="4" t="s">
        <v>4181</v>
      </c>
      <c r="M1524" s="4" t="s">
        <v>1308</v>
      </c>
      <c r="N1524" s="4" t="s">
        <v>155</v>
      </c>
      <c r="O1524" s="4" t="s">
        <v>510</v>
      </c>
      <c r="P1524" s="4"/>
    </row>
    <row r="1525" spans="1:16" ht="15">
      <c r="A1525" s="4" t="s">
        <v>2463</v>
      </c>
      <c r="B1525" s="30">
        <v>40036</v>
      </c>
      <c r="C1525" s="4" t="s">
        <v>383</v>
      </c>
      <c r="D1525" s="4" t="s">
        <v>195</v>
      </c>
      <c r="E1525" s="4" t="s">
        <v>170</v>
      </c>
      <c r="F1525" s="4" t="s">
        <v>155</v>
      </c>
      <c r="G1525" s="4">
        <v>5</v>
      </c>
      <c r="H1525" s="4">
        <v>5</v>
      </c>
      <c r="I1525" s="4" t="s">
        <v>139</v>
      </c>
      <c r="J1525" s="4" t="s">
        <v>188</v>
      </c>
      <c r="K1525" s="4" t="s">
        <v>149</v>
      </c>
      <c r="L1525" s="4" t="s">
        <v>4181</v>
      </c>
      <c r="M1525" s="4" t="s">
        <v>974</v>
      </c>
      <c r="N1525" s="4" t="s">
        <v>155</v>
      </c>
      <c r="O1525" s="4" t="s">
        <v>439</v>
      </c>
      <c r="P1525" s="4"/>
    </row>
    <row r="1526" spans="1:16" ht="15">
      <c r="A1526" s="4" t="s">
        <v>2464</v>
      </c>
      <c r="B1526" s="30">
        <v>39916</v>
      </c>
      <c r="C1526" s="4"/>
      <c r="D1526" s="4" t="s">
        <v>4177</v>
      </c>
      <c r="E1526" s="4" t="s">
        <v>170</v>
      </c>
      <c r="F1526" s="4" t="s">
        <v>155</v>
      </c>
      <c r="G1526" s="4"/>
      <c r="H1526" s="4"/>
      <c r="I1526" s="4" t="s">
        <v>139</v>
      </c>
      <c r="J1526" s="4" t="s">
        <v>185</v>
      </c>
      <c r="K1526" s="4" t="s">
        <v>142</v>
      </c>
      <c r="L1526" s="4" t="s">
        <v>4176</v>
      </c>
      <c r="M1526" s="4" t="s">
        <v>506</v>
      </c>
      <c r="N1526" s="4" t="s">
        <v>156</v>
      </c>
      <c r="O1526" s="4" t="s">
        <v>120</v>
      </c>
      <c r="P1526" s="4" t="s">
        <v>2465</v>
      </c>
    </row>
    <row r="1527" spans="1:16" ht="15">
      <c r="A1527" s="4" t="s">
        <v>2466</v>
      </c>
      <c r="B1527" s="30">
        <v>39966</v>
      </c>
      <c r="C1527" s="4"/>
      <c r="D1527" s="4" t="s">
        <v>193</v>
      </c>
      <c r="E1527" s="4" t="s">
        <v>170</v>
      </c>
      <c r="F1527" s="4" t="s">
        <v>155</v>
      </c>
      <c r="G1527" s="4"/>
      <c r="H1527" s="4"/>
      <c r="I1527" s="4" t="s">
        <v>140</v>
      </c>
      <c r="J1527" s="4" t="s">
        <v>185</v>
      </c>
      <c r="K1527" s="4" t="s">
        <v>148</v>
      </c>
      <c r="L1527" s="4" t="s">
        <v>162</v>
      </c>
      <c r="M1527" s="4" t="s">
        <v>597</v>
      </c>
      <c r="N1527" s="4" t="s">
        <v>155</v>
      </c>
      <c r="O1527" s="4" t="s">
        <v>130</v>
      </c>
      <c r="P1527" s="4"/>
    </row>
    <row r="1528" spans="1:16" ht="15">
      <c r="A1528" s="4" t="s">
        <v>2467</v>
      </c>
      <c r="B1528" s="30">
        <v>39922</v>
      </c>
      <c r="C1528" s="4" t="s">
        <v>525</v>
      </c>
      <c r="D1528" s="4" t="s">
        <v>4183</v>
      </c>
      <c r="E1528" s="4" t="s">
        <v>170</v>
      </c>
      <c r="F1528" s="4" t="s">
        <v>155</v>
      </c>
      <c r="G1528" s="4"/>
      <c r="H1528" s="4"/>
      <c r="I1528" s="4" t="s">
        <v>140</v>
      </c>
      <c r="J1528" s="4" t="s">
        <v>810</v>
      </c>
      <c r="K1528" s="4" t="s">
        <v>151</v>
      </c>
      <c r="L1528" s="4" t="s">
        <v>4181</v>
      </c>
      <c r="M1528" s="4" t="s">
        <v>173</v>
      </c>
      <c r="N1528" s="4" t="s">
        <v>161</v>
      </c>
      <c r="O1528" s="4" t="s">
        <v>420</v>
      </c>
      <c r="P1528" s="4"/>
    </row>
    <row r="1529" spans="1:16" ht="15">
      <c r="A1529" s="4" t="s">
        <v>2468</v>
      </c>
      <c r="B1529" s="30">
        <v>39954</v>
      </c>
      <c r="C1529" s="4"/>
      <c r="D1529" s="4" t="s">
        <v>193</v>
      </c>
      <c r="E1529" s="4" t="s">
        <v>170</v>
      </c>
      <c r="F1529" s="4" t="s">
        <v>155</v>
      </c>
      <c r="G1529" s="4"/>
      <c r="H1529" s="4"/>
      <c r="I1529" s="4" t="s">
        <v>140</v>
      </c>
      <c r="J1529" s="4" t="s">
        <v>188</v>
      </c>
      <c r="K1529" s="4" t="s">
        <v>145</v>
      </c>
      <c r="L1529" s="4" t="s">
        <v>4181</v>
      </c>
      <c r="M1529" s="4" t="s">
        <v>797</v>
      </c>
      <c r="N1529" s="4" t="s">
        <v>155</v>
      </c>
      <c r="O1529" s="4" t="s">
        <v>124</v>
      </c>
      <c r="P1529" s="4"/>
    </row>
    <row r="1530" spans="1:16" ht="15">
      <c r="A1530" s="4" t="s">
        <v>2469</v>
      </c>
      <c r="B1530" s="30">
        <v>39981</v>
      </c>
      <c r="C1530" s="4" t="s">
        <v>570</v>
      </c>
      <c r="D1530" s="4" t="s">
        <v>193</v>
      </c>
      <c r="E1530" s="4" t="s">
        <v>170</v>
      </c>
      <c r="F1530" s="4" t="s">
        <v>155</v>
      </c>
      <c r="G1530" s="4"/>
      <c r="H1530" s="4"/>
      <c r="I1530" s="4" t="s">
        <v>140</v>
      </c>
      <c r="J1530" s="4" t="s">
        <v>191</v>
      </c>
      <c r="K1530" s="4" t="s">
        <v>146</v>
      </c>
      <c r="L1530" s="4" t="s">
        <v>4181</v>
      </c>
      <c r="M1530" s="4" t="s">
        <v>173</v>
      </c>
      <c r="N1530" s="4" t="s">
        <v>155</v>
      </c>
      <c r="O1530" s="4" t="s">
        <v>125</v>
      </c>
      <c r="P1530" s="4"/>
    </row>
    <row r="1531" spans="1:16" ht="15">
      <c r="A1531" s="4" t="s">
        <v>2470</v>
      </c>
      <c r="B1531" s="30">
        <v>39982</v>
      </c>
      <c r="C1531" s="4"/>
      <c r="D1531" s="4" t="s">
        <v>193</v>
      </c>
      <c r="E1531" s="4" t="s">
        <v>170</v>
      </c>
      <c r="F1531" s="4" t="s">
        <v>155</v>
      </c>
      <c r="G1531" s="4"/>
      <c r="H1531" s="4"/>
      <c r="I1531" s="4" t="s">
        <v>140</v>
      </c>
      <c r="J1531" s="4" t="s">
        <v>191</v>
      </c>
      <c r="K1531" s="4" t="s">
        <v>143</v>
      </c>
      <c r="L1531" s="4" t="s">
        <v>162</v>
      </c>
      <c r="M1531" s="4" t="s">
        <v>176</v>
      </c>
      <c r="N1531" s="4" t="s">
        <v>155</v>
      </c>
      <c r="O1531" s="4" t="s">
        <v>454</v>
      </c>
      <c r="P1531" s="4"/>
    </row>
    <row r="1532" spans="1:16" ht="15">
      <c r="A1532" s="4" t="s">
        <v>2471</v>
      </c>
      <c r="B1532" s="30">
        <v>39991</v>
      </c>
      <c r="C1532" s="4"/>
      <c r="D1532" s="4" t="s">
        <v>193</v>
      </c>
      <c r="E1532" s="4" t="s">
        <v>170</v>
      </c>
      <c r="F1532" s="4" t="s">
        <v>155</v>
      </c>
      <c r="G1532" s="4"/>
      <c r="H1532" s="4">
        <v>3</v>
      </c>
      <c r="I1532" s="4" t="s">
        <v>140</v>
      </c>
      <c r="J1532" s="4" t="s">
        <v>189</v>
      </c>
      <c r="K1532" s="4" t="s">
        <v>144</v>
      </c>
      <c r="L1532" s="4" t="s">
        <v>4181</v>
      </c>
      <c r="M1532" s="4" t="s">
        <v>173</v>
      </c>
      <c r="N1532" s="4" t="s">
        <v>155</v>
      </c>
      <c r="O1532" s="4" t="s">
        <v>962</v>
      </c>
      <c r="P1532" s="4"/>
    </row>
    <row r="1533" spans="1:16" ht="15">
      <c r="A1533" s="4" t="s">
        <v>2472</v>
      </c>
      <c r="B1533" s="30">
        <v>39984</v>
      </c>
      <c r="C1533" s="4" t="s">
        <v>525</v>
      </c>
      <c r="D1533" s="4" t="s">
        <v>196</v>
      </c>
      <c r="E1533" s="4" t="s">
        <v>170</v>
      </c>
      <c r="F1533" s="4" t="s">
        <v>155</v>
      </c>
      <c r="G1533" s="4"/>
      <c r="H1533" s="4"/>
      <c r="I1533" s="4" t="s">
        <v>139</v>
      </c>
      <c r="J1533" s="4" t="s">
        <v>181</v>
      </c>
      <c r="K1533" s="4" t="s">
        <v>149</v>
      </c>
      <c r="L1533" s="4" t="s">
        <v>162</v>
      </c>
      <c r="M1533" s="4" t="s">
        <v>175</v>
      </c>
      <c r="N1533" s="4" t="s">
        <v>155</v>
      </c>
      <c r="O1533" s="4" t="s">
        <v>130</v>
      </c>
      <c r="P1533" s="4"/>
    </row>
    <row r="1534" spans="1:16" ht="15">
      <c r="A1534" s="4" t="s">
        <v>2473</v>
      </c>
      <c r="B1534" s="30">
        <v>39944</v>
      </c>
      <c r="C1534" s="4"/>
      <c r="D1534" s="4" t="s">
        <v>193</v>
      </c>
      <c r="E1534" s="4" t="s">
        <v>170</v>
      </c>
      <c r="F1534" s="4" t="s">
        <v>155</v>
      </c>
      <c r="G1534" s="4"/>
      <c r="H1534" s="4"/>
      <c r="I1534" s="4" t="s">
        <v>140</v>
      </c>
      <c r="J1534" s="4" t="s">
        <v>184</v>
      </c>
      <c r="K1534" s="4" t="s">
        <v>143</v>
      </c>
      <c r="L1534" s="4" t="s">
        <v>165</v>
      </c>
      <c r="M1534" s="4" t="s">
        <v>2169</v>
      </c>
      <c r="N1534" s="4" t="s">
        <v>158</v>
      </c>
      <c r="O1534" s="4" t="s">
        <v>122</v>
      </c>
      <c r="P1534" s="4"/>
    </row>
    <row r="1535" spans="1:16" ht="15">
      <c r="A1535" s="4" t="s">
        <v>2474</v>
      </c>
      <c r="B1535" s="30">
        <v>40082</v>
      </c>
      <c r="C1535" s="4"/>
      <c r="D1535" s="4" t="s">
        <v>197</v>
      </c>
      <c r="E1535" s="4" t="s">
        <v>170</v>
      </c>
      <c r="F1535" s="4" t="s">
        <v>155</v>
      </c>
      <c r="G1535" s="4">
        <v>5</v>
      </c>
      <c r="H1535" s="4">
        <v>5</v>
      </c>
      <c r="I1535" s="4" t="s">
        <v>139</v>
      </c>
      <c r="J1535" s="4" t="s">
        <v>184</v>
      </c>
      <c r="K1535" s="4" t="s">
        <v>144</v>
      </c>
      <c r="L1535" s="4" t="s">
        <v>162</v>
      </c>
      <c r="M1535" s="4" t="s">
        <v>175</v>
      </c>
      <c r="N1535" s="4" t="s">
        <v>155</v>
      </c>
      <c r="O1535" s="4" t="s">
        <v>129</v>
      </c>
      <c r="P1535" s="4"/>
    </row>
    <row r="1536" spans="1:16" ht="15">
      <c r="A1536" s="4" t="s">
        <v>2475</v>
      </c>
      <c r="B1536" s="30">
        <v>39920</v>
      </c>
      <c r="C1536" s="4" t="s">
        <v>9</v>
      </c>
      <c r="D1536" s="4" t="s">
        <v>4184</v>
      </c>
      <c r="E1536" s="4" t="s">
        <v>170</v>
      </c>
      <c r="F1536" s="4" t="s">
        <v>155</v>
      </c>
      <c r="G1536" s="4"/>
      <c r="H1536" s="4"/>
      <c r="I1536" s="4" t="s">
        <v>140</v>
      </c>
      <c r="J1536" s="4" t="s">
        <v>184</v>
      </c>
      <c r="K1536" s="4" t="s">
        <v>145</v>
      </c>
      <c r="L1536" s="4" t="s">
        <v>4181</v>
      </c>
      <c r="M1536" s="4" t="s">
        <v>2476</v>
      </c>
      <c r="N1536" s="4" t="s">
        <v>155</v>
      </c>
      <c r="O1536" s="4" t="s">
        <v>439</v>
      </c>
      <c r="P1536" s="4"/>
    </row>
    <row r="1537" spans="1:16" ht="15">
      <c r="A1537" s="4" t="s">
        <v>2477</v>
      </c>
      <c r="B1537" s="30">
        <v>39912</v>
      </c>
      <c r="C1537" s="4"/>
      <c r="D1537" s="4" t="s">
        <v>4184</v>
      </c>
      <c r="E1537" s="4" t="s">
        <v>170</v>
      </c>
      <c r="F1537" s="4" t="s">
        <v>155</v>
      </c>
      <c r="G1537" s="4"/>
      <c r="H1537" s="4"/>
      <c r="I1537" s="4" t="s">
        <v>140</v>
      </c>
      <c r="J1537" s="4" t="s">
        <v>181</v>
      </c>
      <c r="K1537" s="4" t="s">
        <v>145</v>
      </c>
      <c r="L1537" s="4" t="s">
        <v>4181</v>
      </c>
      <c r="M1537" s="4" t="s">
        <v>173</v>
      </c>
      <c r="N1537" s="4" t="s">
        <v>155</v>
      </c>
      <c r="O1537" s="4" t="s">
        <v>127</v>
      </c>
      <c r="P1537" s="4"/>
    </row>
    <row r="1538" spans="1:16" ht="15">
      <c r="A1538" s="4" t="s">
        <v>2478</v>
      </c>
      <c r="B1538" s="30">
        <v>39973</v>
      </c>
      <c r="C1538" s="4"/>
      <c r="D1538" s="4" t="s">
        <v>193</v>
      </c>
      <c r="E1538" s="4" t="s">
        <v>170</v>
      </c>
      <c r="F1538" s="4" t="s">
        <v>155</v>
      </c>
      <c r="G1538" s="4"/>
      <c r="H1538" s="4"/>
      <c r="I1538" s="4" t="s">
        <v>140</v>
      </c>
      <c r="J1538" s="4" t="s">
        <v>181</v>
      </c>
      <c r="K1538" s="4" t="s">
        <v>143</v>
      </c>
      <c r="L1538" s="4" t="s">
        <v>162</v>
      </c>
      <c r="M1538" s="4" t="s">
        <v>175</v>
      </c>
      <c r="N1538" s="4" t="s">
        <v>155</v>
      </c>
      <c r="O1538" s="4" t="s">
        <v>129</v>
      </c>
      <c r="P1538" s="4"/>
    </row>
    <row r="1539" spans="1:16" ht="15">
      <c r="A1539" s="4" t="s">
        <v>2479</v>
      </c>
      <c r="B1539" s="30">
        <v>39994</v>
      </c>
      <c r="C1539" s="4" t="s">
        <v>496</v>
      </c>
      <c r="D1539" s="4" t="s">
        <v>193</v>
      </c>
      <c r="E1539" s="4" t="s">
        <v>170</v>
      </c>
      <c r="F1539" s="4" t="s">
        <v>155</v>
      </c>
      <c r="G1539" s="4"/>
      <c r="H1539" s="4">
        <v>3</v>
      </c>
      <c r="I1539" s="4" t="s">
        <v>140</v>
      </c>
      <c r="J1539" s="4" t="s">
        <v>178</v>
      </c>
      <c r="K1539" s="4" t="s">
        <v>150</v>
      </c>
      <c r="L1539" s="4" t="s">
        <v>4181</v>
      </c>
      <c r="M1539" s="4" t="s">
        <v>415</v>
      </c>
      <c r="N1539" s="4" t="s">
        <v>155</v>
      </c>
      <c r="O1539" s="4" t="s">
        <v>125</v>
      </c>
      <c r="P1539" s="4"/>
    </row>
    <row r="1540" spans="1:16" ht="15">
      <c r="A1540" s="4" t="s">
        <v>2480</v>
      </c>
      <c r="B1540" s="30">
        <v>39964</v>
      </c>
      <c r="C1540" s="4"/>
      <c r="D1540" s="4" t="s">
        <v>193</v>
      </c>
      <c r="E1540" s="4" t="s">
        <v>170</v>
      </c>
      <c r="F1540" s="4" t="s">
        <v>155</v>
      </c>
      <c r="G1540" s="4"/>
      <c r="H1540" s="4"/>
      <c r="I1540" s="4" t="s">
        <v>140</v>
      </c>
      <c r="J1540" s="4" t="s">
        <v>178</v>
      </c>
      <c r="K1540" s="4" t="s">
        <v>149</v>
      </c>
      <c r="L1540" s="4" t="s">
        <v>4176</v>
      </c>
      <c r="M1540" s="4" t="s">
        <v>175</v>
      </c>
      <c r="N1540" s="4" t="s">
        <v>125</v>
      </c>
      <c r="O1540" s="4" t="s">
        <v>628</v>
      </c>
      <c r="P1540" s="4" t="s">
        <v>2481</v>
      </c>
    </row>
    <row r="1541" spans="1:16" ht="15">
      <c r="A1541" s="4" t="s">
        <v>2482</v>
      </c>
      <c r="B1541" s="30">
        <v>39953</v>
      </c>
      <c r="C1541" s="4"/>
      <c r="D1541" s="4" t="s">
        <v>194</v>
      </c>
      <c r="E1541" s="4" t="s">
        <v>170</v>
      </c>
      <c r="F1541" s="4" t="s">
        <v>155</v>
      </c>
      <c r="G1541" s="4"/>
      <c r="H1541" s="4"/>
      <c r="I1541" s="4" t="s">
        <v>139</v>
      </c>
      <c r="J1541" s="4" t="s">
        <v>178</v>
      </c>
      <c r="K1541" s="4" t="s">
        <v>148</v>
      </c>
      <c r="L1541" s="4" t="s">
        <v>4181</v>
      </c>
      <c r="M1541" s="4" t="s">
        <v>415</v>
      </c>
      <c r="N1541" s="4" t="s">
        <v>155</v>
      </c>
      <c r="O1541" s="4" t="s">
        <v>125</v>
      </c>
      <c r="P1541" s="4"/>
    </row>
    <row r="1542" spans="1:16" ht="15">
      <c r="A1542" s="4" t="s">
        <v>2483</v>
      </c>
      <c r="B1542" s="30">
        <v>40015</v>
      </c>
      <c r="C1542" s="4" t="s">
        <v>380</v>
      </c>
      <c r="D1542" s="4" t="s">
        <v>193</v>
      </c>
      <c r="E1542" s="4" t="s">
        <v>170</v>
      </c>
      <c r="F1542" s="4" t="s">
        <v>155</v>
      </c>
      <c r="G1542" s="4">
        <v>5</v>
      </c>
      <c r="H1542" s="4">
        <v>5</v>
      </c>
      <c r="I1542" s="4" t="s">
        <v>140</v>
      </c>
      <c r="J1542" s="4" t="s">
        <v>178</v>
      </c>
      <c r="K1542" s="4" t="s">
        <v>145</v>
      </c>
      <c r="L1542" s="4" t="s">
        <v>4181</v>
      </c>
      <c r="M1542" s="4" t="s">
        <v>2123</v>
      </c>
      <c r="N1542" s="4" t="s">
        <v>155</v>
      </c>
      <c r="O1542" s="4" t="s">
        <v>387</v>
      </c>
      <c r="P1542" s="4"/>
    </row>
    <row r="1543" spans="1:16" ht="15">
      <c r="A1543" s="4" t="s">
        <v>2484</v>
      </c>
      <c r="B1543" s="30">
        <v>40066</v>
      </c>
      <c r="C1543" s="4" t="s">
        <v>380</v>
      </c>
      <c r="D1543" s="4" t="s">
        <v>193</v>
      </c>
      <c r="E1543" s="4" t="s">
        <v>170</v>
      </c>
      <c r="F1543" s="4" t="s">
        <v>155</v>
      </c>
      <c r="G1543" s="4">
        <v>3</v>
      </c>
      <c r="H1543" s="4">
        <v>4</v>
      </c>
      <c r="I1543" s="4" t="s">
        <v>140</v>
      </c>
      <c r="J1543" s="4" t="s">
        <v>178</v>
      </c>
      <c r="K1543" s="4" t="s">
        <v>151</v>
      </c>
      <c r="L1543" s="4" t="s">
        <v>162</v>
      </c>
      <c r="M1543" s="4" t="s">
        <v>459</v>
      </c>
      <c r="N1543" s="4" t="s">
        <v>155</v>
      </c>
      <c r="O1543" s="4" t="s">
        <v>129</v>
      </c>
      <c r="P1543" s="4"/>
    </row>
    <row r="1544" spans="1:16" ht="15">
      <c r="A1544" s="4" t="s">
        <v>2485</v>
      </c>
      <c r="B1544" s="30">
        <v>39942</v>
      </c>
      <c r="C1544" s="4"/>
      <c r="D1544" s="4" t="s">
        <v>194</v>
      </c>
      <c r="E1544" s="4" t="s">
        <v>170</v>
      </c>
      <c r="F1544" s="4" t="s">
        <v>155</v>
      </c>
      <c r="G1544" s="4"/>
      <c r="H1544" s="4"/>
      <c r="I1544" s="4" t="s">
        <v>139</v>
      </c>
      <c r="J1544" s="4" t="s">
        <v>178</v>
      </c>
      <c r="K1544" s="4" t="s">
        <v>142</v>
      </c>
      <c r="L1544" s="4" t="s">
        <v>4181</v>
      </c>
      <c r="M1544" s="4"/>
      <c r="N1544" s="4" t="s">
        <v>155</v>
      </c>
      <c r="O1544" s="4" t="s">
        <v>2486</v>
      </c>
      <c r="P1544" s="4"/>
    </row>
    <row r="1545" spans="1:16" ht="15">
      <c r="A1545" s="4" t="s">
        <v>2487</v>
      </c>
      <c r="B1545" s="30">
        <v>39960</v>
      </c>
      <c r="C1545" s="4" t="s">
        <v>525</v>
      </c>
      <c r="D1545" s="4" t="s">
        <v>195</v>
      </c>
      <c r="E1545" s="4" t="s">
        <v>170</v>
      </c>
      <c r="F1545" s="4" t="s">
        <v>155</v>
      </c>
      <c r="G1545" s="4"/>
      <c r="H1545" s="4"/>
      <c r="I1545" s="4" t="s">
        <v>139</v>
      </c>
      <c r="J1545" s="4" t="s">
        <v>178</v>
      </c>
      <c r="K1545" s="4" t="s">
        <v>144</v>
      </c>
      <c r="L1545" s="4" t="s">
        <v>4176</v>
      </c>
      <c r="M1545" s="4" t="s">
        <v>174</v>
      </c>
      <c r="N1545" s="4" t="s">
        <v>157</v>
      </c>
      <c r="O1545" s="4" t="s">
        <v>127</v>
      </c>
      <c r="P1545" s="4" t="s">
        <v>153</v>
      </c>
    </row>
    <row r="1546" spans="1:16" ht="15">
      <c r="A1546" s="4" t="s">
        <v>2488</v>
      </c>
      <c r="B1546" s="30">
        <v>40025</v>
      </c>
      <c r="C1546" s="4"/>
      <c r="D1546" s="4" t="s">
        <v>193</v>
      </c>
      <c r="E1546" s="4" t="s">
        <v>170</v>
      </c>
      <c r="F1546" s="4" t="s">
        <v>155</v>
      </c>
      <c r="G1546" s="4">
        <v>1</v>
      </c>
      <c r="H1546" s="4">
        <v>4</v>
      </c>
      <c r="I1546" s="4" t="s">
        <v>140</v>
      </c>
      <c r="J1546" s="4" t="s">
        <v>178</v>
      </c>
      <c r="K1546" s="4" t="s">
        <v>145</v>
      </c>
      <c r="L1546" s="4" t="s">
        <v>4181</v>
      </c>
      <c r="M1546" s="4" t="s">
        <v>173</v>
      </c>
      <c r="N1546" s="4" t="s">
        <v>155</v>
      </c>
      <c r="O1546" s="4" t="s">
        <v>751</v>
      </c>
      <c r="P1546" s="4"/>
    </row>
    <row r="1547" spans="1:16" ht="15">
      <c r="A1547" s="4" t="s">
        <v>2489</v>
      </c>
      <c r="B1547" s="30">
        <v>39937</v>
      </c>
      <c r="C1547" s="4"/>
      <c r="D1547" s="4" t="s">
        <v>4180</v>
      </c>
      <c r="E1547" s="4" t="s">
        <v>170</v>
      </c>
      <c r="F1547" s="4" t="s">
        <v>155</v>
      </c>
      <c r="G1547" s="4"/>
      <c r="H1547" s="4"/>
      <c r="I1547" s="4" t="s">
        <v>139</v>
      </c>
      <c r="J1547" s="4" t="s">
        <v>178</v>
      </c>
      <c r="K1547" s="4" t="s">
        <v>147</v>
      </c>
      <c r="L1547" s="4" t="s">
        <v>4181</v>
      </c>
      <c r="M1547" s="4" t="s">
        <v>173</v>
      </c>
      <c r="N1547" s="4" t="s">
        <v>155</v>
      </c>
      <c r="O1547" s="4" t="s">
        <v>454</v>
      </c>
      <c r="P1547" s="4"/>
    </row>
    <row r="1548" spans="1:16" ht="15">
      <c r="A1548" s="4" t="s">
        <v>2490</v>
      </c>
      <c r="B1548" s="30">
        <v>39925</v>
      </c>
      <c r="C1548" s="4"/>
      <c r="D1548" s="4" t="s">
        <v>4179</v>
      </c>
      <c r="E1548" s="4" t="s">
        <v>170</v>
      </c>
      <c r="F1548" s="4" t="s">
        <v>155</v>
      </c>
      <c r="G1548" s="4"/>
      <c r="H1548" s="4"/>
      <c r="I1548" s="4" t="s">
        <v>139</v>
      </c>
      <c r="J1548" s="4" t="s">
        <v>182</v>
      </c>
      <c r="K1548" s="4" t="s">
        <v>145</v>
      </c>
      <c r="L1548" s="4" t="s">
        <v>4181</v>
      </c>
      <c r="M1548" s="4" t="s">
        <v>1679</v>
      </c>
      <c r="N1548" s="4" t="s">
        <v>155</v>
      </c>
      <c r="O1548" s="4" t="s">
        <v>125</v>
      </c>
      <c r="P1548" s="4"/>
    </row>
    <row r="1549" spans="1:16" ht="15">
      <c r="A1549" s="4" t="s">
        <v>2491</v>
      </c>
      <c r="B1549" s="30">
        <v>40036</v>
      </c>
      <c r="C1549" s="4"/>
      <c r="D1549" s="4" t="s">
        <v>197</v>
      </c>
      <c r="E1549" s="4" t="s">
        <v>170</v>
      </c>
      <c r="F1549" s="4" t="s">
        <v>155</v>
      </c>
      <c r="G1549" s="4">
        <v>1</v>
      </c>
      <c r="H1549" s="4">
        <v>4</v>
      </c>
      <c r="I1549" s="4" t="s">
        <v>139</v>
      </c>
      <c r="J1549" s="4" t="s">
        <v>178</v>
      </c>
      <c r="K1549" s="4" t="s">
        <v>144</v>
      </c>
      <c r="L1549" s="4" t="s">
        <v>4176</v>
      </c>
      <c r="M1549" s="4" t="s">
        <v>867</v>
      </c>
      <c r="N1549" s="4" t="s">
        <v>157</v>
      </c>
      <c r="O1549" s="4" t="s">
        <v>127</v>
      </c>
      <c r="P1549" s="4" t="s">
        <v>153</v>
      </c>
    </row>
    <row r="1550" spans="1:16" ht="15">
      <c r="A1550" s="4" t="s">
        <v>2492</v>
      </c>
      <c r="B1550" s="30">
        <v>39995</v>
      </c>
      <c r="C1550" s="4"/>
      <c r="D1550" s="4" t="s">
        <v>193</v>
      </c>
      <c r="E1550" s="4" t="s">
        <v>170</v>
      </c>
      <c r="F1550" s="4" t="s">
        <v>155</v>
      </c>
      <c r="G1550" s="4"/>
      <c r="H1550" s="4">
        <v>3</v>
      </c>
      <c r="I1550" s="4" t="s">
        <v>140</v>
      </c>
      <c r="J1550" s="4" t="s">
        <v>178</v>
      </c>
      <c r="K1550" s="4" t="s">
        <v>145</v>
      </c>
      <c r="L1550" s="4" t="s">
        <v>4181</v>
      </c>
      <c r="M1550" s="4" t="s">
        <v>2234</v>
      </c>
      <c r="N1550" s="4" t="s">
        <v>155</v>
      </c>
      <c r="O1550" s="4" t="s">
        <v>1302</v>
      </c>
      <c r="P1550" s="4"/>
    </row>
    <row r="1551" spans="1:16" ht="15">
      <c r="A1551" s="4" t="s">
        <v>2493</v>
      </c>
      <c r="B1551" s="30">
        <v>39938</v>
      </c>
      <c r="C1551" s="4"/>
      <c r="D1551" s="4" t="s">
        <v>4178</v>
      </c>
      <c r="E1551" s="4" t="s">
        <v>170</v>
      </c>
      <c r="F1551" s="4" t="s">
        <v>155</v>
      </c>
      <c r="G1551" s="4"/>
      <c r="H1551" s="4"/>
      <c r="I1551" s="4" t="s">
        <v>139</v>
      </c>
      <c r="J1551" s="4" t="s">
        <v>178</v>
      </c>
      <c r="K1551" s="4" t="s">
        <v>147</v>
      </c>
      <c r="L1551" s="4" t="s">
        <v>4176</v>
      </c>
      <c r="M1551" s="4" t="s">
        <v>429</v>
      </c>
      <c r="N1551" s="4" t="s">
        <v>159</v>
      </c>
      <c r="O1551" s="4" t="s">
        <v>126</v>
      </c>
      <c r="P1551" s="4" t="s">
        <v>601</v>
      </c>
    </row>
    <row r="1552" spans="1:16" ht="15">
      <c r="A1552" s="4" t="s">
        <v>2494</v>
      </c>
      <c r="B1552" s="30">
        <v>39912</v>
      </c>
      <c r="C1552" s="4"/>
      <c r="D1552" s="4" t="s">
        <v>4179</v>
      </c>
      <c r="E1552" s="4" t="s">
        <v>170</v>
      </c>
      <c r="F1552" s="4" t="s">
        <v>155</v>
      </c>
      <c r="G1552" s="4"/>
      <c r="H1552" s="4"/>
      <c r="I1552" s="4" t="s">
        <v>139</v>
      </c>
      <c r="J1552" s="4" t="s">
        <v>178</v>
      </c>
      <c r="K1552" s="4" t="s">
        <v>143</v>
      </c>
      <c r="L1552" s="4" t="s">
        <v>4181</v>
      </c>
      <c r="M1552" s="4" t="s">
        <v>173</v>
      </c>
      <c r="N1552" s="4" t="s">
        <v>155</v>
      </c>
      <c r="O1552" s="4" t="s">
        <v>124</v>
      </c>
      <c r="P1552" s="4"/>
    </row>
    <row r="1553" spans="1:16" ht="15">
      <c r="A1553" s="4" t="s">
        <v>2495</v>
      </c>
      <c r="B1553" s="30">
        <v>39945</v>
      </c>
      <c r="C1553" s="4"/>
      <c r="D1553" s="4" t="s">
        <v>193</v>
      </c>
      <c r="E1553" s="4" t="s">
        <v>170</v>
      </c>
      <c r="F1553" s="4" t="s">
        <v>155</v>
      </c>
      <c r="G1553" s="4"/>
      <c r="H1553" s="4"/>
      <c r="I1553" s="4" t="s">
        <v>140</v>
      </c>
      <c r="J1553" s="4" t="s">
        <v>528</v>
      </c>
      <c r="K1553" s="4" t="s">
        <v>143</v>
      </c>
      <c r="L1553" s="4" t="s">
        <v>4181</v>
      </c>
      <c r="M1553" s="4" t="s">
        <v>173</v>
      </c>
      <c r="N1553" s="4" t="s">
        <v>155</v>
      </c>
      <c r="O1553" s="4" t="s">
        <v>501</v>
      </c>
      <c r="P1553" s="4"/>
    </row>
    <row r="1554" spans="1:16" ht="15">
      <c r="A1554" s="4" t="s">
        <v>2496</v>
      </c>
      <c r="B1554" s="30">
        <v>40083</v>
      </c>
      <c r="C1554" s="4" t="s">
        <v>570</v>
      </c>
      <c r="D1554" s="4" t="s">
        <v>197</v>
      </c>
      <c r="E1554" s="4" t="s">
        <v>170</v>
      </c>
      <c r="F1554" s="4" t="s">
        <v>155</v>
      </c>
      <c r="G1554" s="4">
        <v>5</v>
      </c>
      <c r="H1554" s="4">
        <v>5</v>
      </c>
      <c r="I1554" s="4" t="s">
        <v>139</v>
      </c>
      <c r="J1554" s="4" t="s">
        <v>528</v>
      </c>
      <c r="K1554" s="4" t="s">
        <v>149</v>
      </c>
      <c r="L1554" s="4" t="s">
        <v>4181</v>
      </c>
      <c r="M1554" s="4" t="s">
        <v>173</v>
      </c>
      <c r="N1554" s="4" t="s">
        <v>155</v>
      </c>
      <c r="O1554" s="4" t="s">
        <v>127</v>
      </c>
      <c r="P1554" s="4"/>
    </row>
    <row r="1555" spans="1:16" ht="15">
      <c r="A1555" s="4" t="s">
        <v>2497</v>
      </c>
      <c r="B1555" s="30">
        <v>39982</v>
      </c>
      <c r="C1555" s="4" t="s">
        <v>525</v>
      </c>
      <c r="D1555" s="4" t="s">
        <v>193</v>
      </c>
      <c r="E1555" s="4" t="s">
        <v>170</v>
      </c>
      <c r="F1555" s="4" t="s">
        <v>155</v>
      </c>
      <c r="G1555" s="4"/>
      <c r="H1555" s="4"/>
      <c r="I1555" s="4" t="s">
        <v>140</v>
      </c>
      <c r="J1555" s="4" t="s">
        <v>528</v>
      </c>
      <c r="K1555" s="4" t="s">
        <v>145</v>
      </c>
      <c r="L1555" s="4" t="s">
        <v>4181</v>
      </c>
      <c r="M1555" s="4" t="s">
        <v>2498</v>
      </c>
      <c r="N1555" s="4" t="s">
        <v>155</v>
      </c>
      <c r="O1555" s="4" t="s">
        <v>734</v>
      </c>
      <c r="P1555" s="4"/>
    </row>
    <row r="1556" spans="1:16" ht="15">
      <c r="A1556" s="4" t="s">
        <v>2499</v>
      </c>
      <c r="B1556" s="30">
        <v>40041</v>
      </c>
      <c r="C1556" s="4"/>
      <c r="D1556" s="4" t="s">
        <v>196</v>
      </c>
      <c r="E1556" s="4" t="s">
        <v>170</v>
      </c>
      <c r="F1556" s="4" t="s">
        <v>155</v>
      </c>
      <c r="G1556" s="4">
        <v>5</v>
      </c>
      <c r="H1556" s="4">
        <v>5</v>
      </c>
      <c r="I1556" s="4" t="s">
        <v>139</v>
      </c>
      <c r="J1556" s="4" t="s">
        <v>528</v>
      </c>
      <c r="K1556" s="4" t="s">
        <v>146</v>
      </c>
      <c r="L1556" s="4" t="s">
        <v>162</v>
      </c>
      <c r="M1556" s="4" t="s">
        <v>1899</v>
      </c>
      <c r="N1556" s="4" t="s">
        <v>155</v>
      </c>
      <c r="O1556" s="4" t="s">
        <v>127</v>
      </c>
      <c r="P1556" s="4"/>
    </row>
    <row r="1557" spans="1:16" ht="15">
      <c r="A1557" s="4" t="s">
        <v>2500</v>
      </c>
      <c r="B1557" s="30">
        <v>39915</v>
      </c>
      <c r="C1557" s="4" t="s">
        <v>9</v>
      </c>
      <c r="D1557" s="4" t="s">
        <v>4178</v>
      </c>
      <c r="E1557" s="4" t="s">
        <v>170</v>
      </c>
      <c r="F1557" s="4" t="s">
        <v>155</v>
      </c>
      <c r="G1557" s="4"/>
      <c r="H1557" s="4"/>
      <c r="I1557" s="4" t="s">
        <v>139</v>
      </c>
      <c r="J1557" s="4" t="s">
        <v>182</v>
      </c>
      <c r="K1557" s="4" t="s">
        <v>142</v>
      </c>
      <c r="L1557" s="4" t="s">
        <v>4181</v>
      </c>
      <c r="M1557" s="4" t="s">
        <v>173</v>
      </c>
      <c r="N1557" s="4" t="s">
        <v>155</v>
      </c>
      <c r="O1557" s="4" t="s">
        <v>484</v>
      </c>
      <c r="P1557" s="4"/>
    </row>
    <row r="1558" spans="1:16" ht="15">
      <c r="A1558" s="4" t="s">
        <v>2501</v>
      </c>
      <c r="B1558" s="30">
        <v>39927</v>
      </c>
      <c r="C1558" s="4"/>
      <c r="D1558" s="4" t="s">
        <v>4179</v>
      </c>
      <c r="E1558" s="4" t="s">
        <v>170</v>
      </c>
      <c r="F1558" s="4" t="s">
        <v>155</v>
      </c>
      <c r="G1558" s="4"/>
      <c r="H1558" s="4"/>
      <c r="I1558" s="4" t="s">
        <v>139</v>
      </c>
      <c r="J1558" s="4" t="s">
        <v>179</v>
      </c>
      <c r="K1558" s="4" t="s">
        <v>142</v>
      </c>
      <c r="L1558" s="4" t="s">
        <v>4181</v>
      </c>
      <c r="M1558" s="4" t="s">
        <v>173</v>
      </c>
      <c r="N1558" s="4" t="s">
        <v>155</v>
      </c>
      <c r="O1558" s="4" t="s">
        <v>406</v>
      </c>
      <c r="P1558" s="4"/>
    </row>
    <row r="1559" spans="1:16" ht="15">
      <c r="A1559" s="4" t="s">
        <v>2502</v>
      </c>
      <c r="B1559" s="30">
        <v>40047</v>
      </c>
      <c r="C1559" s="4"/>
      <c r="D1559" s="4" t="s">
        <v>193</v>
      </c>
      <c r="E1559" s="4" t="s">
        <v>170</v>
      </c>
      <c r="F1559" s="4" t="s">
        <v>155</v>
      </c>
      <c r="G1559" s="4">
        <v>5</v>
      </c>
      <c r="H1559" s="4">
        <v>2</v>
      </c>
      <c r="I1559" s="4" t="s">
        <v>140</v>
      </c>
      <c r="J1559" s="4" t="s">
        <v>183</v>
      </c>
      <c r="K1559" s="4" t="s">
        <v>143</v>
      </c>
      <c r="L1559" s="4" t="s">
        <v>4176</v>
      </c>
      <c r="M1559" s="4" t="s">
        <v>174</v>
      </c>
      <c r="N1559" s="4" t="s">
        <v>159</v>
      </c>
      <c r="O1559" s="4" t="s">
        <v>123</v>
      </c>
      <c r="P1559" s="4" t="s">
        <v>123</v>
      </c>
    </row>
    <row r="1560" spans="1:16" ht="15">
      <c r="A1560" s="4" t="s">
        <v>2503</v>
      </c>
      <c r="B1560" s="30">
        <v>40074</v>
      </c>
      <c r="C1560" s="4"/>
      <c r="D1560" s="4" t="s">
        <v>193</v>
      </c>
      <c r="E1560" s="4" t="s">
        <v>170</v>
      </c>
      <c r="F1560" s="4" t="s">
        <v>155</v>
      </c>
      <c r="G1560" s="4">
        <v>5</v>
      </c>
      <c r="H1560" s="4">
        <v>3</v>
      </c>
      <c r="I1560" s="4" t="s">
        <v>140</v>
      </c>
      <c r="J1560" s="4" t="s">
        <v>183</v>
      </c>
      <c r="K1560" s="4" t="s">
        <v>142</v>
      </c>
      <c r="L1560" s="4" t="s">
        <v>162</v>
      </c>
      <c r="M1560" s="4" t="s">
        <v>176</v>
      </c>
      <c r="N1560" s="4" t="s">
        <v>155</v>
      </c>
      <c r="O1560" s="4" t="s">
        <v>129</v>
      </c>
      <c r="P1560" s="4"/>
    </row>
    <row r="1561" spans="1:16" ht="15">
      <c r="A1561" s="4" t="s">
        <v>2504</v>
      </c>
      <c r="B1561" s="30">
        <v>39940</v>
      </c>
      <c r="C1561" s="4" t="s">
        <v>380</v>
      </c>
      <c r="D1561" s="4" t="s">
        <v>195</v>
      </c>
      <c r="E1561" s="4" t="s">
        <v>170</v>
      </c>
      <c r="F1561" s="4" t="s">
        <v>155</v>
      </c>
      <c r="G1561" s="4"/>
      <c r="H1561" s="4"/>
      <c r="I1561" s="4" t="s">
        <v>139</v>
      </c>
      <c r="J1561" s="4" t="s">
        <v>179</v>
      </c>
      <c r="K1561" s="4" t="s">
        <v>148</v>
      </c>
      <c r="L1561" s="4" t="s">
        <v>4176</v>
      </c>
      <c r="M1561" s="4" t="s">
        <v>174</v>
      </c>
      <c r="N1561" s="4" t="s">
        <v>157</v>
      </c>
      <c r="O1561" s="4" t="s">
        <v>434</v>
      </c>
      <c r="P1561" s="4" t="s">
        <v>435</v>
      </c>
    </row>
    <row r="1562" spans="1:16" ht="15">
      <c r="A1562" s="4" t="s">
        <v>2505</v>
      </c>
      <c r="B1562" s="30">
        <v>39971</v>
      </c>
      <c r="C1562" s="4" t="s">
        <v>380</v>
      </c>
      <c r="D1562" s="4" t="s">
        <v>193</v>
      </c>
      <c r="E1562" s="4" t="s">
        <v>170</v>
      </c>
      <c r="F1562" s="4" t="s">
        <v>155</v>
      </c>
      <c r="G1562" s="4"/>
      <c r="H1562" s="4"/>
      <c r="I1562" s="4" t="s">
        <v>140</v>
      </c>
      <c r="J1562" s="4" t="s">
        <v>184</v>
      </c>
      <c r="K1562" s="4" t="s">
        <v>145</v>
      </c>
      <c r="L1562" s="4" t="s">
        <v>4181</v>
      </c>
      <c r="M1562" s="4" t="s">
        <v>173</v>
      </c>
      <c r="N1562" s="4" t="s">
        <v>155</v>
      </c>
      <c r="O1562" s="4" t="s">
        <v>124</v>
      </c>
      <c r="P1562" s="4"/>
    </row>
    <row r="1563" spans="1:16" ht="15">
      <c r="A1563" s="4" t="s">
        <v>2506</v>
      </c>
      <c r="B1563" s="30">
        <v>40022</v>
      </c>
      <c r="C1563" s="4"/>
      <c r="D1563" s="4" t="s">
        <v>193</v>
      </c>
      <c r="E1563" s="4" t="s">
        <v>170</v>
      </c>
      <c r="F1563" s="4" t="s">
        <v>155</v>
      </c>
      <c r="G1563" s="4">
        <v>5</v>
      </c>
      <c r="H1563" s="4">
        <v>5</v>
      </c>
      <c r="I1563" s="4" t="s">
        <v>140</v>
      </c>
      <c r="J1563" s="4" t="s">
        <v>447</v>
      </c>
      <c r="K1563" s="4" t="s">
        <v>144</v>
      </c>
      <c r="L1563" s="4" t="s">
        <v>4176</v>
      </c>
      <c r="M1563" s="4" t="s">
        <v>174</v>
      </c>
      <c r="N1563" s="4" t="s">
        <v>159</v>
      </c>
      <c r="O1563" s="4" t="s">
        <v>123</v>
      </c>
      <c r="P1563" s="4" t="s">
        <v>123</v>
      </c>
    </row>
    <row r="1564" spans="1:16" ht="15">
      <c r="A1564" s="4" t="s">
        <v>2507</v>
      </c>
      <c r="B1564" s="30">
        <v>39915</v>
      </c>
      <c r="C1564" s="4"/>
      <c r="D1564" s="4" t="s">
        <v>4177</v>
      </c>
      <c r="E1564" s="4" t="s">
        <v>170</v>
      </c>
      <c r="F1564" s="4" t="s">
        <v>155</v>
      </c>
      <c r="G1564" s="4"/>
      <c r="H1564" s="4"/>
      <c r="I1564" s="4" t="s">
        <v>139</v>
      </c>
      <c r="J1564" s="4" t="s">
        <v>528</v>
      </c>
      <c r="K1564" s="4" t="s">
        <v>142</v>
      </c>
      <c r="L1564" s="4" t="s">
        <v>165</v>
      </c>
      <c r="M1564" s="4" t="s">
        <v>948</v>
      </c>
      <c r="N1564" s="4" t="s">
        <v>158</v>
      </c>
      <c r="O1564" s="4" t="s">
        <v>122</v>
      </c>
      <c r="P1564" s="4"/>
    </row>
    <row r="1565" spans="1:16" ht="15">
      <c r="A1565" s="4" t="s">
        <v>2508</v>
      </c>
      <c r="B1565" s="30">
        <v>39991</v>
      </c>
      <c r="C1565" s="4"/>
      <c r="D1565" s="4" t="s">
        <v>196</v>
      </c>
      <c r="E1565" s="4" t="s">
        <v>170</v>
      </c>
      <c r="F1565" s="4" t="s">
        <v>155</v>
      </c>
      <c r="G1565" s="4"/>
      <c r="H1565" s="4">
        <v>4</v>
      </c>
      <c r="I1565" s="4" t="s">
        <v>139</v>
      </c>
      <c r="J1565" s="4" t="s">
        <v>528</v>
      </c>
      <c r="K1565" s="4" t="s">
        <v>142</v>
      </c>
      <c r="L1565" s="4" t="s">
        <v>162</v>
      </c>
      <c r="M1565" s="4" t="s">
        <v>175</v>
      </c>
      <c r="N1565" s="4" t="s">
        <v>155</v>
      </c>
      <c r="O1565" s="4" t="s">
        <v>130</v>
      </c>
      <c r="P1565" s="4"/>
    </row>
    <row r="1566" spans="1:16" ht="15">
      <c r="A1566" s="4" t="s">
        <v>2509</v>
      </c>
      <c r="B1566" s="30">
        <v>39999</v>
      </c>
      <c r="C1566" s="4"/>
      <c r="D1566" s="4" t="s">
        <v>193</v>
      </c>
      <c r="E1566" s="4" t="s">
        <v>170</v>
      </c>
      <c r="F1566" s="4" t="s">
        <v>155</v>
      </c>
      <c r="G1566" s="4"/>
      <c r="H1566" s="4">
        <v>3</v>
      </c>
      <c r="I1566" s="4" t="s">
        <v>140</v>
      </c>
      <c r="J1566" s="4" t="s">
        <v>187</v>
      </c>
      <c r="K1566" s="4" t="s">
        <v>142</v>
      </c>
      <c r="L1566" s="4" t="s">
        <v>4176</v>
      </c>
      <c r="M1566" s="4" t="s">
        <v>174</v>
      </c>
      <c r="N1566" s="4" t="s">
        <v>159</v>
      </c>
      <c r="O1566" s="4" t="s">
        <v>123</v>
      </c>
      <c r="P1566" s="4" t="s">
        <v>123</v>
      </c>
    </row>
    <row r="1567" spans="1:16" ht="15">
      <c r="A1567" s="4" t="s">
        <v>2510</v>
      </c>
      <c r="B1567" s="30">
        <v>40021</v>
      </c>
      <c r="C1567" s="4"/>
      <c r="D1567" s="4" t="s">
        <v>193</v>
      </c>
      <c r="E1567" s="4" t="s">
        <v>170</v>
      </c>
      <c r="F1567" s="4" t="s">
        <v>155</v>
      </c>
      <c r="G1567" s="4">
        <v>5</v>
      </c>
      <c r="H1567" s="4">
        <v>5</v>
      </c>
      <c r="I1567" s="4" t="s">
        <v>140</v>
      </c>
      <c r="J1567" s="4" t="s">
        <v>187</v>
      </c>
      <c r="K1567" s="4" t="s">
        <v>142</v>
      </c>
      <c r="L1567" s="4" t="s">
        <v>4176</v>
      </c>
      <c r="M1567" s="4" t="s">
        <v>174</v>
      </c>
      <c r="N1567" s="4" t="s">
        <v>156</v>
      </c>
      <c r="O1567" s="4" t="s">
        <v>120</v>
      </c>
      <c r="P1567" s="4" t="s">
        <v>2511</v>
      </c>
    </row>
    <row r="1568" spans="1:16" ht="15">
      <c r="A1568" s="4" t="s">
        <v>2512</v>
      </c>
      <c r="B1568" s="30">
        <v>39972</v>
      </c>
      <c r="C1568" s="4" t="s">
        <v>380</v>
      </c>
      <c r="D1568" s="4" t="s">
        <v>193</v>
      </c>
      <c r="E1568" s="4" t="s">
        <v>170</v>
      </c>
      <c r="F1568" s="4" t="s">
        <v>155</v>
      </c>
      <c r="G1568" s="4"/>
      <c r="H1568" s="4"/>
      <c r="I1568" s="4" t="s">
        <v>140</v>
      </c>
      <c r="J1568" s="4" t="s">
        <v>180</v>
      </c>
      <c r="K1568" s="4" t="s">
        <v>148</v>
      </c>
      <c r="L1568" s="4" t="s">
        <v>162</v>
      </c>
      <c r="M1568" s="4" t="s">
        <v>175</v>
      </c>
      <c r="N1568" s="4" t="s">
        <v>155</v>
      </c>
      <c r="O1568" s="4" t="s">
        <v>129</v>
      </c>
      <c r="P1568" s="4"/>
    </row>
    <row r="1569" spans="1:16" ht="15">
      <c r="A1569" s="4" t="s">
        <v>2513</v>
      </c>
      <c r="B1569" s="30">
        <v>39917</v>
      </c>
      <c r="C1569" s="4"/>
      <c r="D1569" s="4" t="s">
        <v>4182</v>
      </c>
      <c r="E1569" s="4" t="s">
        <v>170</v>
      </c>
      <c r="F1569" s="4" t="s">
        <v>155</v>
      </c>
      <c r="G1569" s="4"/>
      <c r="H1569" s="4"/>
      <c r="I1569" s="4" t="s">
        <v>139</v>
      </c>
      <c r="J1569" s="4" t="s">
        <v>433</v>
      </c>
      <c r="K1569" s="4" t="s">
        <v>147</v>
      </c>
      <c r="L1569" s="4" t="s">
        <v>162</v>
      </c>
      <c r="M1569" s="4" t="s">
        <v>176</v>
      </c>
      <c r="N1569" s="4" t="s">
        <v>155</v>
      </c>
      <c r="O1569" s="4" t="s">
        <v>439</v>
      </c>
      <c r="P1569" s="4"/>
    </row>
    <row r="1570" spans="1:16" ht="15">
      <c r="A1570" s="4" t="s">
        <v>2514</v>
      </c>
      <c r="B1570" s="30">
        <v>40016</v>
      </c>
      <c r="C1570" s="4" t="s">
        <v>383</v>
      </c>
      <c r="D1570" s="4" t="s">
        <v>194</v>
      </c>
      <c r="E1570" s="4" t="s">
        <v>170</v>
      </c>
      <c r="F1570" s="4" t="s">
        <v>155</v>
      </c>
      <c r="G1570" s="4">
        <v>5</v>
      </c>
      <c r="H1570" s="4">
        <v>5</v>
      </c>
      <c r="I1570" s="4" t="s">
        <v>139</v>
      </c>
      <c r="J1570" s="4" t="s">
        <v>180</v>
      </c>
      <c r="K1570" s="4" t="s">
        <v>143</v>
      </c>
      <c r="L1570" s="4" t="s">
        <v>162</v>
      </c>
      <c r="M1570" s="4" t="s">
        <v>567</v>
      </c>
      <c r="N1570" s="4" t="s">
        <v>155</v>
      </c>
      <c r="O1570" s="4" t="s">
        <v>130</v>
      </c>
      <c r="P1570" s="4"/>
    </row>
    <row r="1571" spans="1:16" ht="15">
      <c r="A1571" s="4" t="s">
        <v>2515</v>
      </c>
      <c r="B1571" s="30">
        <v>39908</v>
      </c>
      <c r="C1571" s="4"/>
      <c r="D1571" s="4" t="s">
        <v>4178</v>
      </c>
      <c r="E1571" s="4" t="s">
        <v>170</v>
      </c>
      <c r="F1571" s="4" t="s">
        <v>155</v>
      </c>
      <c r="G1571" s="4"/>
      <c r="H1571" s="4"/>
      <c r="I1571" s="4" t="s">
        <v>139</v>
      </c>
      <c r="J1571" s="4" t="s">
        <v>191</v>
      </c>
      <c r="K1571" s="4" t="s">
        <v>145</v>
      </c>
      <c r="L1571" s="4" t="s">
        <v>165</v>
      </c>
      <c r="M1571" s="4"/>
      <c r="N1571" s="4" t="s">
        <v>158</v>
      </c>
      <c r="O1571" s="4" t="s">
        <v>122</v>
      </c>
      <c r="P1571" s="4"/>
    </row>
    <row r="1572" spans="1:16" ht="15">
      <c r="A1572" s="4" t="s">
        <v>2516</v>
      </c>
      <c r="B1572" s="30">
        <v>39977</v>
      </c>
      <c r="C1572" s="4"/>
      <c r="D1572" s="4" t="s">
        <v>193</v>
      </c>
      <c r="E1572" s="4" t="s">
        <v>170</v>
      </c>
      <c r="F1572" s="4" t="s">
        <v>155</v>
      </c>
      <c r="G1572" s="4"/>
      <c r="H1572" s="4"/>
      <c r="I1572" s="4" t="s">
        <v>140</v>
      </c>
      <c r="J1572" s="4" t="s">
        <v>433</v>
      </c>
      <c r="K1572" s="4" t="s">
        <v>143</v>
      </c>
      <c r="L1572" s="4" t="s">
        <v>4176</v>
      </c>
      <c r="M1572" s="4" t="s">
        <v>174</v>
      </c>
      <c r="N1572" s="4" t="s">
        <v>156</v>
      </c>
      <c r="O1572" s="4" t="s">
        <v>120</v>
      </c>
      <c r="P1572" s="4" t="s">
        <v>1479</v>
      </c>
    </row>
    <row r="1573" spans="1:16" ht="15">
      <c r="A1573" s="4" t="s">
        <v>2517</v>
      </c>
      <c r="B1573" s="30">
        <v>39938</v>
      </c>
      <c r="C1573" s="4"/>
      <c r="D1573" s="4" t="s">
        <v>4183</v>
      </c>
      <c r="E1573" s="4" t="s">
        <v>170</v>
      </c>
      <c r="F1573" s="4" t="s">
        <v>155</v>
      </c>
      <c r="G1573" s="4"/>
      <c r="H1573" s="4"/>
      <c r="I1573" s="4" t="s">
        <v>140</v>
      </c>
      <c r="J1573" s="4" t="s">
        <v>537</v>
      </c>
      <c r="K1573" s="4" t="s">
        <v>149</v>
      </c>
      <c r="L1573" s="4" t="s">
        <v>4181</v>
      </c>
      <c r="M1573" s="4" t="s">
        <v>173</v>
      </c>
      <c r="N1573" s="4" t="s">
        <v>155</v>
      </c>
      <c r="O1573" s="4" t="s">
        <v>692</v>
      </c>
      <c r="P1573" s="4"/>
    </row>
    <row r="1574" spans="1:16" ht="15">
      <c r="A1574" s="4" t="s">
        <v>2518</v>
      </c>
      <c r="B1574" s="30">
        <v>39912</v>
      </c>
      <c r="C1574" s="4"/>
      <c r="D1574" s="4" t="s">
        <v>4182</v>
      </c>
      <c r="E1574" s="4" t="s">
        <v>170</v>
      </c>
      <c r="F1574" s="4" t="s">
        <v>155</v>
      </c>
      <c r="G1574" s="4"/>
      <c r="H1574" s="4"/>
      <c r="I1574" s="4" t="s">
        <v>139</v>
      </c>
      <c r="J1574" s="4" t="s">
        <v>178</v>
      </c>
      <c r="K1574" s="4" t="s">
        <v>142</v>
      </c>
      <c r="L1574" s="4" t="s">
        <v>4176</v>
      </c>
      <c r="M1574" s="4" t="s">
        <v>933</v>
      </c>
      <c r="N1574" s="4" t="s">
        <v>159</v>
      </c>
      <c r="O1574" s="4" t="s">
        <v>126</v>
      </c>
      <c r="P1574" s="4" t="s">
        <v>601</v>
      </c>
    </row>
    <row r="1575" spans="1:16" ht="15">
      <c r="A1575" s="4" t="s">
        <v>2519</v>
      </c>
      <c r="B1575" s="30">
        <v>40071</v>
      </c>
      <c r="C1575" s="4" t="s">
        <v>383</v>
      </c>
      <c r="D1575" s="4" t="s">
        <v>197</v>
      </c>
      <c r="E1575" s="4" t="s">
        <v>170</v>
      </c>
      <c r="F1575" s="4" t="s">
        <v>155</v>
      </c>
      <c r="G1575" s="4">
        <v>5</v>
      </c>
      <c r="H1575" s="4">
        <v>3</v>
      </c>
      <c r="I1575" s="4" t="s">
        <v>139</v>
      </c>
      <c r="J1575" s="4" t="s">
        <v>178</v>
      </c>
      <c r="K1575" s="4" t="s">
        <v>144</v>
      </c>
      <c r="L1575" s="4" t="s">
        <v>4181</v>
      </c>
      <c r="M1575" s="4" t="s">
        <v>173</v>
      </c>
      <c r="N1575" s="4" t="s">
        <v>155</v>
      </c>
      <c r="O1575" s="4" t="s">
        <v>128</v>
      </c>
      <c r="P1575" s="4"/>
    </row>
    <row r="1576" spans="1:16" ht="15">
      <c r="A1576" s="4" t="s">
        <v>2520</v>
      </c>
      <c r="B1576" s="30">
        <v>40075</v>
      </c>
      <c r="C1576" s="4"/>
      <c r="D1576" s="4" t="s">
        <v>195</v>
      </c>
      <c r="E1576" s="4" t="s">
        <v>170</v>
      </c>
      <c r="F1576" s="4" t="s">
        <v>155</v>
      </c>
      <c r="G1576" s="4">
        <v>5</v>
      </c>
      <c r="H1576" s="4">
        <v>5</v>
      </c>
      <c r="I1576" s="4" t="s">
        <v>139</v>
      </c>
      <c r="J1576" s="4" t="s">
        <v>178</v>
      </c>
      <c r="K1576" s="4" t="s">
        <v>145</v>
      </c>
      <c r="L1576" s="4" t="s">
        <v>4176</v>
      </c>
      <c r="M1576" s="4" t="s">
        <v>429</v>
      </c>
      <c r="N1576" s="4" t="s">
        <v>540</v>
      </c>
      <c r="O1576" s="4" t="s">
        <v>123</v>
      </c>
      <c r="P1576" s="4" t="s">
        <v>123</v>
      </c>
    </row>
    <row r="1577" spans="1:16" ht="15">
      <c r="A1577" s="4" t="s">
        <v>2521</v>
      </c>
      <c r="B1577" s="30">
        <v>39932</v>
      </c>
      <c r="C1577" s="4" t="s">
        <v>9</v>
      </c>
      <c r="D1577" s="4" t="s">
        <v>4180</v>
      </c>
      <c r="E1577" s="4" t="s">
        <v>170</v>
      </c>
      <c r="F1577" s="4" t="s">
        <v>155</v>
      </c>
      <c r="G1577" s="4"/>
      <c r="H1577" s="4"/>
      <c r="I1577" s="4" t="s">
        <v>139</v>
      </c>
      <c r="J1577" s="4" t="s">
        <v>178</v>
      </c>
      <c r="K1577" s="4" t="s">
        <v>145</v>
      </c>
      <c r="L1577" s="4" t="s">
        <v>4181</v>
      </c>
      <c r="M1577" s="4" t="s">
        <v>173</v>
      </c>
      <c r="N1577" s="4" t="s">
        <v>155</v>
      </c>
      <c r="O1577" s="4" t="s">
        <v>692</v>
      </c>
      <c r="P1577" s="4"/>
    </row>
    <row r="1578" spans="1:16" ht="15">
      <c r="A1578" s="4" t="s">
        <v>2522</v>
      </c>
      <c r="B1578" s="30">
        <v>39965</v>
      </c>
      <c r="C1578" s="4"/>
      <c r="D1578" s="4" t="s">
        <v>195</v>
      </c>
      <c r="E1578" s="4" t="s">
        <v>170</v>
      </c>
      <c r="F1578" s="4" t="s">
        <v>155</v>
      </c>
      <c r="G1578" s="4"/>
      <c r="H1578" s="4"/>
      <c r="I1578" s="4" t="s">
        <v>139</v>
      </c>
      <c r="J1578" s="4" t="s">
        <v>178</v>
      </c>
      <c r="K1578" s="4" t="s">
        <v>143</v>
      </c>
      <c r="L1578" s="4" t="s">
        <v>4181</v>
      </c>
      <c r="M1578" s="4" t="s">
        <v>173</v>
      </c>
      <c r="N1578" s="4" t="s">
        <v>155</v>
      </c>
      <c r="O1578" s="4" t="s">
        <v>128</v>
      </c>
      <c r="P1578" s="4"/>
    </row>
    <row r="1579" spans="1:16" ht="15">
      <c r="A1579" s="4" t="s">
        <v>2523</v>
      </c>
      <c r="B1579" s="30">
        <v>39990</v>
      </c>
      <c r="C1579" s="4"/>
      <c r="D1579" s="4" t="s">
        <v>193</v>
      </c>
      <c r="E1579" s="4" t="s">
        <v>170</v>
      </c>
      <c r="F1579" s="4" t="s">
        <v>155</v>
      </c>
      <c r="G1579" s="4"/>
      <c r="H1579" s="4">
        <v>5</v>
      </c>
      <c r="I1579" s="4" t="s">
        <v>140</v>
      </c>
      <c r="J1579" s="4" t="s">
        <v>178</v>
      </c>
      <c r="K1579" s="4" t="s">
        <v>149</v>
      </c>
      <c r="L1579" s="4" t="s">
        <v>4176</v>
      </c>
      <c r="M1579" s="4" t="s">
        <v>174</v>
      </c>
      <c r="N1579" s="4" t="s">
        <v>157</v>
      </c>
      <c r="O1579" s="4" t="s">
        <v>127</v>
      </c>
      <c r="P1579" s="4" t="s">
        <v>808</v>
      </c>
    </row>
    <row r="1580" spans="1:16" ht="15">
      <c r="A1580" s="4" t="s">
        <v>2524</v>
      </c>
      <c r="B1580" s="30">
        <v>39973</v>
      </c>
      <c r="C1580" s="4"/>
      <c r="D1580" s="4" t="s">
        <v>193</v>
      </c>
      <c r="E1580" s="4" t="s">
        <v>170</v>
      </c>
      <c r="F1580" s="4" t="s">
        <v>155</v>
      </c>
      <c r="G1580" s="4"/>
      <c r="H1580" s="4"/>
      <c r="I1580" s="4" t="s">
        <v>140</v>
      </c>
      <c r="J1580" s="4" t="s">
        <v>179</v>
      </c>
      <c r="K1580" s="4" t="s">
        <v>146</v>
      </c>
      <c r="L1580" s="4" t="s">
        <v>4181</v>
      </c>
      <c r="M1580" s="4" t="s">
        <v>173</v>
      </c>
      <c r="N1580" s="4" t="s">
        <v>155</v>
      </c>
      <c r="O1580" s="4" t="s">
        <v>670</v>
      </c>
      <c r="P1580" s="4"/>
    </row>
    <row r="1581" spans="1:16" ht="15">
      <c r="A1581" s="4" t="s">
        <v>2525</v>
      </c>
      <c r="B1581" s="30">
        <v>39940</v>
      </c>
      <c r="C1581" s="4"/>
      <c r="D1581" s="4" t="s">
        <v>194</v>
      </c>
      <c r="E1581" s="4" t="s">
        <v>170</v>
      </c>
      <c r="F1581" s="4" t="s">
        <v>155</v>
      </c>
      <c r="G1581" s="4"/>
      <c r="H1581" s="4"/>
      <c r="I1581" s="4" t="s">
        <v>139</v>
      </c>
      <c r="J1581" s="4" t="s">
        <v>409</v>
      </c>
      <c r="K1581" s="4" t="s">
        <v>145</v>
      </c>
      <c r="L1581" s="4" t="s">
        <v>4176</v>
      </c>
      <c r="M1581" s="4" t="s">
        <v>174</v>
      </c>
      <c r="N1581" s="4" t="s">
        <v>157</v>
      </c>
      <c r="O1581" s="4" t="s">
        <v>130</v>
      </c>
      <c r="P1581" s="4" t="s">
        <v>437</v>
      </c>
    </row>
    <row r="1582" spans="1:16" ht="15">
      <c r="A1582" s="4" t="s">
        <v>2526</v>
      </c>
      <c r="B1582" s="30">
        <v>40056</v>
      </c>
      <c r="C1582" s="4"/>
      <c r="D1582" s="4" t="s">
        <v>195</v>
      </c>
      <c r="E1582" s="4" t="s">
        <v>170</v>
      </c>
      <c r="F1582" s="4" t="s">
        <v>155</v>
      </c>
      <c r="G1582" s="4">
        <v>5</v>
      </c>
      <c r="H1582" s="4">
        <v>5</v>
      </c>
      <c r="I1582" s="4" t="s">
        <v>139</v>
      </c>
      <c r="J1582" s="4" t="s">
        <v>178</v>
      </c>
      <c r="K1582" s="4" t="s">
        <v>144</v>
      </c>
      <c r="L1582" s="4" t="s">
        <v>4181</v>
      </c>
      <c r="M1582" s="4" t="s">
        <v>173</v>
      </c>
      <c r="N1582" s="4" t="s">
        <v>155</v>
      </c>
      <c r="O1582" s="4" t="s">
        <v>127</v>
      </c>
      <c r="P1582" s="4"/>
    </row>
    <row r="1583" spans="1:16" ht="15">
      <c r="A1583" s="4" t="s">
        <v>2527</v>
      </c>
      <c r="B1583" s="30">
        <v>39972</v>
      </c>
      <c r="C1583" s="4"/>
      <c r="D1583" s="4" t="s">
        <v>193</v>
      </c>
      <c r="E1583" s="4" t="s">
        <v>170</v>
      </c>
      <c r="F1583" s="4" t="s">
        <v>155</v>
      </c>
      <c r="G1583" s="4"/>
      <c r="H1583" s="4"/>
      <c r="I1583" s="4" t="s">
        <v>140</v>
      </c>
      <c r="J1583" s="4" t="s">
        <v>178</v>
      </c>
      <c r="K1583" s="4" t="s">
        <v>146</v>
      </c>
      <c r="L1583" s="4" t="s">
        <v>4181</v>
      </c>
      <c r="M1583" s="4" t="s">
        <v>415</v>
      </c>
      <c r="N1583" s="4" t="s">
        <v>155</v>
      </c>
      <c r="O1583" s="4" t="s">
        <v>125</v>
      </c>
      <c r="P1583" s="4"/>
    </row>
    <row r="1584" spans="1:16" ht="15">
      <c r="A1584" s="4" t="s">
        <v>2528</v>
      </c>
      <c r="B1584" s="30">
        <v>39978</v>
      </c>
      <c r="C1584" s="4" t="s">
        <v>496</v>
      </c>
      <c r="D1584" s="4" t="s">
        <v>193</v>
      </c>
      <c r="E1584" s="4" t="s">
        <v>170</v>
      </c>
      <c r="F1584" s="4" t="s">
        <v>155</v>
      </c>
      <c r="G1584" s="4"/>
      <c r="H1584" s="4"/>
      <c r="I1584" s="4" t="s">
        <v>140</v>
      </c>
      <c r="J1584" s="4" t="s">
        <v>178</v>
      </c>
      <c r="K1584" s="4" t="s">
        <v>142</v>
      </c>
      <c r="L1584" s="4" t="s">
        <v>4181</v>
      </c>
      <c r="M1584" s="4" t="s">
        <v>415</v>
      </c>
      <c r="N1584" s="4" t="s">
        <v>155</v>
      </c>
      <c r="O1584" s="4" t="s">
        <v>125</v>
      </c>
      <c r="P1584" s="4"/>
    </row>
    <row r="1585" spans="1:16" ht="15">
      <c r="A1585" s="4" t="s">
        <v>2529</v>
      </c>
      <c r="B1585" s="30">
        <v>40082</v>
      </c>
      <c r="C1585" s="4"/>
      <c r="D1585" s="4" t="s">
        <v>193</v>
      </c>
      <c r="E1585" s="4" t="s">
        <v>170</v>
      </c>
      <c r="F1585" s="4" t="s">
        <v>155</v>
      </c>
      <c r="G1585" s="4">
        <v>5</v>
      </c>
      <c r="H1585" s="4">
        <v>5</v>
      </c>
      <c r="I1585" s="4" t="s">
        <v>140</v>
      </c>
      <c r="J1585" s="4" t="s">
        <v>178</v>
      </c>
      <c r="K1585" s="4" t="s">
        <v>145</v>
      </c>
      <c r="L1585" s="4" t="s">
        <v>4181</v>
      </c>
      <c r="M1585" s="4" t="s">
        <v>173</v>
      </c>
      <c r="N1585" s="4" t="s">
        <v>155</v>
      </c>
      <c r="O1585" s="4" t="s">
        <v>128</v>
      </c>
      <c r="P1585" s="4"/>
    </row>
    <row r="1586" spans="1:16" ht="15">
      <c r="A1586" s="4" t="s">
        <v>2530</v>
      </c>
      <c r="B1586" s="30">
        <v>40081</v>
      </c>
      <c r="C1586" s="4"/>
      <c r="D1586" s="4" t="s">
        <v>193</v>
      </c>
      <c r="E1586" s="4" t="s">
        <v>170</v>
      </c>
      <c r="F1586" s="4" t="s">
        <v>155</v>
      </c>
      <c r="G1586" s="4">
        <v>2</v>
      </c>
      <c r="H1586" s="4">
        <v>5</v>
      </c>
      <c r="I1586" s="4" t="s">
        <v>140</v>
      </c>
      <c r="J1586" s="4" t="s">
        <v>178</v>
      </c>
      <c r="K1586" s="4" t="s">
        <v>145</v>
      </c>
      <c r="L1586" s="4" t="s">
        <v>4176</v>
      </c>
      <c r="M1586" s="4" t="s">
        <v>1624</v>
      </c>
      <c r="N1586" s="4" t="s">
        <v>540</v>
      </c>
      <c r="O1586" s="4" t="s">
        <v>123</v>
      </c>
      <c r="P1586" s="4" t="s">
        <v>123</v>
      </c>
    </row>
    <row r="1587" spans="1:16" ht="15">
      <c r="A1587" s="4" t="s">
        <v>2531</v>
      </c>
      <c r="B1587" s="30">
        <v>40002</v>
      </c>
      <c r="C1587" s="4" t="s">
        <v>9</v>
      </c>
      <c r="D1587" s="4" t="s">
        <v>195</v>
      </c>
      <c r="E1587" s="4" t="s">
        <v>170</v>
      </c>
      <c r="F1587" s="4" t="s">
        <v>155</v>
      </c>
      <c r="G1587" s="4"/>
      <c r="H1587" s="4">
        <v>5</v>
      </c>
      <c r="I1587" s="4" t="s">
        <v>139</v>
      </c>
      <c r="J1587" s="4" t="s">
        <v>178</v>
      </c>
      <c r="K1587" s="4" t="s">
        <v>143</v>
      </c>
      <c r="L1587" s="4" t="s">
        <v>4176</v>
      </c>
      <c r="M1587" s="4"/>
      <c r="N1587" s="4" t="s">
        <v>160</v>
      </c>
      <c r="O1587" s="4" t="s">
        <v>454</v>
      </c>
      <c r="P1587" s="4" t="s">
        <v>2532</v>
      </c>
    </row>
    <row r="1588" spans="1:16" ht="15">
      <c r="A1588" s="4" t="s">
        <v>2533</v>
      </c>
      <c r="B1588" s="30">
        <v>39936</v>
      </c>
      <c r="C1588" s="4" t="s">
        <v>496</v>
      </c>
      <c r="D1588" s="4" t="s">
        <v>4179</v>
      </c>
      <c r="E1588" s="4" t="s">
        <v>170</v>
      </c>
      <c r="F1588" s="4" t="s">
        <v>155</v>
      </c>
      <c r="G1588" s="4"/>
      <c r="H1588" s="4"/>
      <c r="I1588" s="4" t="s">
        <v>139</v>
      </c>
      <c r="J1588" s="4" t="s">
        <v>603</v>
      </c>
      <c r="K1588" s="4" t="s">
        <v>142</v>
      </c>
      <c r="L1588" s="4" t="s">
        <v>162</v>
      </c>
      <c r="M1588" s="4"/>
      <c r="N1588" s="4" t="s">
        <v>155</v>
      </c>
      <c r="O1588" s="4" t="s">
        <v>129</v>
      </c>
      <c r="P1588" s="4"/>
    </row>
    <row r="1589" spans="1:16" ht="15">
      <c r="A1589" s="4" t="s">
        <v>2534</v>
      </c>
      <c r="B1589" s="30">
        <v>39944</v>
      </c>
      <c r="C1589" s="4" t="s">
        <v>380</v>
      </c>
      <c r="D1589" s="4" t="s">
        <v>193</v>
      </c>
      <c r="E1589" s="4" t="s">
        <v>170</v>
      </c>
      <c r="F1589" s="4" t="s">
        <v>155</v>
      </c>
      <c r="G1589" s="4"/>
      <c r="H1589" s="4"/>
      <c r="I1589" s="4" t="s">
        <v>140</v>
      </c>
      <c r="J1589" s="4" t="s">
        <v>178</v>
      </c>
      <c r="K1589" s="4" t="s">
        <v>147</v>
      </c>
      <c r="L1589" s="4" t="s">
        <v>4181</v>
      </c>
      <c r="M1589" s="4" t="s">
        <v>173</v>
      </c>
      <c r="N1589" s="4" t="s">
        <v>155</v>
      </c>
      <c r="O1589" s="4" t="s">
        <v>501</v>
      </c>
      <c r="P1589" s="4"/>
    </row>
    <row r="1590" spans="1:16" ht="15">
      <c r="A1590" s="4" t="s">
        <v>2535</v>
      </c>
      <c r="B1590" s="30">
        <v>39983</v>
      </c>
      <c r="C1590" s="4"/>
      <c r="D1590" s="4" t="s">
        <v>195</v>
      </c>
      <c r="E1590" s="4" t="s">
        <v>170</v>
      </c>
      <c r="F1590" s="4" t="s">
        <v>155</v>
      </c>
      <c r="G1590" s="4"/>
      <c r="H1590" s="4"/>
      <c r="I1590" s="4" t="s">
        <v>139</v>
      </c>
      <c r="J1590" s="4" t="s">
        <v>181</v>
      </c>
      <c r="K1590" s="4" t="s">
        <v>142</v>
      </c>
      <c r="L1590" s="4" t="s">
        <v>162</v>
      </c>
      <c r="M1590" s="4" t="s">
        <v>459</v>
      </c>
      <c r="N1590" s="4" t="s">
        <v>155</v>
      </c>
      <c r="O1590" s="4" t="s">
        <v>129</v>
      </c>
      <c r="P1590" s="4"/>
    </row>
    <row r="1591" spans="1:16" ht="15">
      <c r="A1591" s="4" t="s">
        <v>2536</v>
      </c>
      <c r="B1591" s="30">
        <v>39947</v>
      </c>
      <c r="C1591" s="4" t="s">
        <v>525</v>
      </c>
      <c r="D1591" s="4" t="s">
        <v>193</v>
      </c>
      <c r="E1591" s="4" t="s">
        <v>170</v>
      </c>
      <c r="F1591" s="4" t="s">
        <v>155</v>
      </c>
      <c r="G1591" s="4"/>
      <c r="H1591" s="4"/>
      <c r="I1591" s="4" t="s">
        <v>140</v>
      </c>
      <c r="J1591" s="4" t="s">
        <v>178</v>
      </c>
      <c r="K1591" s="4" t="s">
        <v>143</v>
      </c>
      <c r="L1591" s="4" t="s">
        <v>4181</v>
      </c>
      <c r="M1591" s="4" t="s">
        <v>2537</v>
      </c>
      <c r="N1591" s="4" t="s">
        <v>155</v>
      </c>
      <c r="O1591" s="4" t="s">
        <v>127</v>
      </c>
      <c r="P1591" s="4"/>
    </row>
    <row r="1592" spans="1:16" ht="15">
      <c r="A1592" s="4" t="s">
        <v>2538</v>
      </c>
      <c r="B1592" s="30">
        <v>39967</v>
      </c>
      <c r="C1592" s="4" t="s">
        <v>383</v>
      </c>
      <c r="D1592" s="4" t="s">
        <v>195</v>
      </c>
      <c r="E1592" s="4" t="s">
        <v>170</v>
      </c>
      <c r="F1592" s="4" t="s">
        <v>155</v>
      </c>
      <c r="G1592" s="4"/>
      <c r="H1592" s="4"/>
      <c r="I1592" s="4" t="s">
        <v>139</v>
      </c>
      <c r="J1592" s="4" t="s">
        <v>183</v>
      </c>
      <c r="K1592" s="4" t="s">
        <v>143</v>
      </c>
      <c r="L1592" s="4" t="s">
        <v>4176</v>
      </c>
      <c r="M1592" s="4" t="s">
        <v>550</v>
      </c>
      <c r="N1592" s="4" t="s">
        <v>160</v>
      </c>
      <c r="O1592" s="4" t="s">
        <v>126</v>
      </c>
      <c r="P1592" s="4" t="s">
        <v>685</v>
      </c>
    </row>
    <row r="1593" spans="1:16" ht="15">
      <c r="A1593" s="4" t="s">
        <v>2539</v>
      </c>
      <c r="B1593" s="30">
        <v>39961</v>
      </c>
      <c r="C1593" s="4"/>
      <c r="D1593" s="4" t="s">
        <v>193</v>
      </c>
      <c r="E1593" s="4" t="s">
        <v>170</v>
      </c>
      <c r="F1593" s="4" t="s">
        <v>155</v>
      </c>
      <c r="G1593" s="4"/>
      <c r="H1593" s="4"/>
      <c r="I1593" s="4" t="s">
        <v>140</v>
      </c>
      <c r="J1593" s="4" t="s">
        <v>191</v>
      </c>
      <c r="K1593" s="4" t="s">
        <v>143</v>
      </c>
      <c r="L1593" s="4" t="s">
        <v>4176</v>
      </c>
      <c r="M1593" s="4" t="s">
        <v>985</v>
      </c>
      <c r="N1593" s="4" t="s">
        <v>156</v>
      </c>
      <c r="O1593" s="4" t="s">
        <v>120</v>
      </c>
      <c r="P1593" s="4" t="s">
        <v>1001</v>
      </c>
    </row>
    <row r="1594" spans="1:16" ht="15">
      <c r="A1594" s="4" t="s">
        <v>2540</v>
      </c>
      <c r="B1594" s="30">
        <v>40018</v>
      </c>
      <c r="C1594" s="4" t="s">
        <v>383</v>
      </c>
      <c r="D1594" s="4" t="s">
        <v>193</v>
      </c>
      <c r="E1594" s="4" t="s">
        <v>170</v>
      </c>
      <c r="F1594" s="4" t="s">
        <v>155</v>
      </c>
      <c r="G1594" s="4">
        <v>5</v>
      </c>
      <c r="H1594" s="4">
        <v>3</v>
      </c>
      <c r="I1594" s="4" t="s">
        <v>140</v>
      </c>
      <c r="J1594" s="4" t="s">
        <v>433</v>
      </c>
      <c r="K1594" s="4" t="s">
        <v>143</v>
      </c>
      <c r="L1594" s="4" t="s">
        <v>162</v>
      </c>
      <c r="M1594" s="4"/>
      <c r="N1594" s="4" t="s">
        <v>155</v>
      </c>
      <c r="O1594" s="4" t="s">
        <v>130</v>
      </c>
      <c r="P1594" s="4"/>
    </row>
    <row r="1595" spans="1:16" ht="15">
      <c r="A1595" s="4" t="s">
        <v>2541</v>
      </c>
      <c r="B1595" s="30">
        <v>40010</v>
      </c>
      <c r="C1595" s="4"/>
      <c r="D1595" s="4" t="s">
        <v>195</v>
      </c>
      <c r="E1595" s="4" t="s">
        <v>170</v>
      </c>
      <c r="F1595" s="4" t="s">
        <v>155</v>
      </c>
      <c r="G1595" s="4">
        <v>5</v>
      </c>
      <c r="H1595" s="4">
        <v>3</v>
      </c>
      <c r="I1595" s="4" t="s">
        <v>139</v>
      </c>
      <c r="J1595" s="4" t="s">
        <v>433</v>
      </c>
      <c r="K1595" s="4" t="s">
        <v>142</v>
      </c>
      <c r="L1595" s="4" t="s">
        <v>165</v>
      </c>
      <c r="M1595" s="4" t="s">
        <v>589</v>
      </c>
      <c r="N1595" s="4" t="s">
        <v>158</v>
      </c>
      <c r="O1595" s="4" t="s">
        <v>122</v>
      </c>
      <c r="P1595" s="4"/>
    </row>
    <row r="1596" spans="1:16" ht="15">
      <c r="A1596" s="4" t="s">
        <v>2542</v>
      </c>
      <c r="B1596" s="30">
        <v>39990</v>
      </c>
      <c r="C1596" s="4" t="s">
        <v>525</v>
      </c>
      <c r="D1596" s="4" t="s">
        <v>193</v>
      </c>
      <c r="E1596" s="4" t="s">
        <v>170</v>
      </c>
      <c r="F1596" s="4" t="s">
        <v>155</v>
      </c>
      <c r="G1596" s="4"/>
      <c r="H1596" s="4">
        <v>2</v>
      </c>
      <c r="I1596" s="4" t="s">
        <v>140</v>
      </c>
      <c r="J1596" s="4" t="s">
        <v>433</v>
      </c>
      <c r="K1596" s="4" t="s">
        <v>142</v>
      </c>
      <c r="L1596" s="4" t="s">
        <v>4176</v>
      </c>
      <c r="M1596" s="4" t="s">
        <v>619</v>
      </c>
      <c r="N1596" s="4" t="s">
        <v>160</v>
      </c>
      <c r="O1596" s="4" t="s">
        <v>726</v>
      </c>
      <c r="P1596" s="4" t="s">
        <v>2543</v>
      </c>
    </row>
    <row r="1597" spans="1:16" ht="15">
      <c r="A1597" s="4" t="s">
        <v>2544</v>
      </c>
      <c r="B1597" s="30">
        <v>39964</v>
      </c>
      <c r="C1597" s="4" t="s">
        <v>9</v>
      </c>
      <c r="D1597" s="4" t="s">
        <v>193</v>
      </c>
      <c r="E1597" s="4" t="s">
        <v>170</v>
      </c>
      <c r="F1597" s="4" t="s">
        <v>155</v>
      </c>
      <c r="G1597" s="4"/>
      <c r="H1597" s="4"/>
      <c r="I1597" s="4" t="s">
        <v>140</v>
      </c>
      <c r="J1597" s="4" t="s">
        <v>186</v>
      </c>
      <c r="K1597" s="4" t="s">
        <v>142</v>
      </c>
      <c r="L1597" s="4" t="s">
        <v>2455</v>
      </c>
      <c r="M1597" s="4" t="s">
        <v>2456</v>
      </c>
      <c r="N1597" s="4" t="s">
        <v>123</v>
      </c>
      <c r="O1597" s="4" t="s">
        <v>601</v>
      </c>
      <c r="P1597" s="4"/>
    </row>
    <row r="1598" spans="1:16" ht="15">
      <c r="A1598" s="4" t="s">
        <v>2545</v>
      </c>
      <c r="B1598" s="30">
        <v>39937</v>
      </c>
      <c r="C1598" s="4"/>
      <c r="D1598" s="4" t="s">
        <v>4182</v>
      </c>
      <c r="E1598" s="4" t="s">
        <v>170</v>
      </c>
      <c r="F1598" s="4" t="s">
        <v>155</v>
      </c>
      <c r="G1598" s="4"/>
      <c r="H1598" s="4"/>
      <c r="I1598" s="4" t="s">
        <v>139</v>
      </c>
      <c r="J1598" s="4" t="s">
        <v>186</v>
      </c>
      <c r="K1598" s="4" t="s">
        <v>147</v>
      </c>
      <c r="L1598" s="4" t="s">
        <v>4181</v>
      </c>
      <c r="M1598" s="4" t="s">
        <v>173</v>
      </c>
      <c r="N1598" s="4" t="s">
        <v>155</v>
      </c>
      <c r="O1598" s="4" t="s">
        <v>406</v>
      </c>
      <c r="P1598" s="4"/>
    </row>
    <row r="1599" spans="1:16" ht="15">
      <c r="A1599" s="4" t="s">
        <v>2546</v>
      </c>
      <c r="B1599" s="30">
        <v>39943</v>
      </c>
      <c r="C1599" s="4"/>
      <c r="D1599" s="4" t="s">
        <v>194</v>
      </c>
      <c r="E1599" s="4" t="s">
        <v>170</v>
      </c>
      <c r="F1599" s="4" t="s">
        <v>155</v>
      </c>
      <c r="G1599" s="4"/>
      <c r="H1599" s="4"/>
      <c r="I1599" s="4" t="s">
        <v>139</v>
      </c>
      <c r="J1599" s="4" t="s">
        <v>186</v>
      </c>
      <c r="K1599" s="4" t="s">
        <v>148</v>
      </c>
      <c r="L1599" s="4" t="s">
        <v>4181</v>
      </c>
      <c r="M1599" s="4" t="s">
        <v>415</v>
      </c>
      <c r="N1599" s="4" t="s">
        <v>155</v>
      </c>
      <c r="O1599" s="4" t="s">
        <v>125</v>
      </c>
      <c r="P1599" s="4"/>
    </row>
    <row r="1600" spans="1:16" ht="15">
      <c r="A1600" s="4" t="s">
        <v>2547</v>
      </c>
      <c r="B1600" s="30">
        <v>39942</v>
      </c>
      <c r="C1600" s="4"/>
      <c r="D1600" s="4" t="s">
        <v>193</v>
      </c>
      <c r="E1600" s="4" t="s">
        <v>170</v>
      </c>
      <c r="F1600" s="4" t="s">
        <v>155</v>
      </c>
      <c r="G1600" s="4"/>
      <c r="H1600" s="4"/>
      <c r="I1600" s="4" t="s">
        <v>140</v>
      </c>
      <c r="J1600" s="4" t="s">
        <v>186</v>
      </c>
      <c r="K1600" s="4" t="s">
        <v>143</v>
      </c>
      <c r="L1600" s="4" t="s">
        <v>4181</v>
      </c>
      <c r="M1600" s="4" t="s">
        <v>415</v>
      </c>
      <c r="N1600" s="4" t="s">
        <v>155</v>
      </c>
      <c r="O1600" s="4" t="s">
        <v>125</v>
      </c>
      <c r="P1600" s="4"/>
    </row>
    <row r="1601" spans="1:16" ht="15">
      <c r="A1601" s="4" t="s">
        <v>2548</v>
      </c>
      <c r="B1601" s="30">
        <v>39992</v>
      </c>
      <c r="C1601" s="4"/>
      <c r="D1601" s="4" t="s">
        <v>193</v>
      </c>
      <c r="E1601" s="4" t="s">
        <v>170</v>
      </c>
      <c r="F1601" s="4" t="s">
        <v>155</v>
      </c>
      <c r="G1601" s="4"/>
      <c r="H1601" s="4">
        <v>5</v>
      </c>
      <c r="I1601" s="4" t="s">
        <v>140</v>
      </c>
      <c r="J1601" s="4" t="s">
        <v>180</v>
      </c>
      <c r="K1601" s="4" t="s">
        <v>145</v>
      </c>
      <c r="L1601" s="4" t="s">
        <v>162</v>
      </c>
      <c r="M1601" s="4" t="s">
        <v>175</v>
      </c>
      <c r="N1601" s="4" t="s">
        <v>155</v>
      </c>
      <c r="O1601" s="4" t="s">
        <v>129</v>
      </c>
      <c r="P1601" s="4"/>
    </row>
    <row r="1602" spans="1:16" ht="15">
      <c r="A1602" s="4" t="s">
        <v>2549</v>
      </c>
      <c r="B1602" s="30">
        <v>40082</v>
      </c>
      <c r="C1602" s="4"/>
      <c r="D1602" s="4" t="s">
        <v>193</v>
      </c>
      <c r="E1602" s="4" t="s">
        <v>170</v>
      </c>
      <c r="F1602" s="4" t="s">
        <v>155</v>
      </c>
      <c r="G1602" s="4">
        <v>3</v>
      </c>
      <c r="H1602" s="4">
        <v>2</v>
      </c>
      <c r="I1602" s="4" t="s">
        <v>140</v>
      </c>
      <c r="J1602" s="4" t="s">
        <v>178</v>
      </c>
      <c r="K1602" s="4" t="s">
        <v>143</v>
      </c>
      <c r="L1602" s="4" t="s">
        <v>4181</v>
      </c>
      <c r="M1602" s="4" t="s">
        <v>173</v>
      </c>
      <c r="N1602" s="4" t="s">
        <v>155</v>
      </c>
      <c r="O1602" s="4" t="s">
        <v>128</v>
      </c>
      <c r="P1602" s="4"/>
    </row>
    <row r="1603" spans="1:16" ht="15">
      <c r="A1603" s="4" t="s">
        <v>2550</v>
      </c>
      <c r="B1603" s="30">
        <v>39932</v>
      </c>
      <c r="C1603" s="4" t="s">
        <v>380</v>
      </c>
      <c r="D1603" s="4" t="s">
        <v>4180</v>
      </c>
      <c r="E1603" s="4" t="s">
        <v>170</v>
      </c>
      <c r="F1603" s="4" t="s">
        <v>155</v>
      </c>
      <c r="G1603" s="4"/>
      <c r="H1603" s="4"/>
      <c r="I1603" s="4" t="s">
        <v>139</v>
      </c>
      <c r="J1603" s="4" t="s">
        <v>186</v>
      </c>
      <c r="K1603" s="4" t="s">
        <v>149</v>
      </c>
      <c r="L1603" s="4" t="s">
        <v>4181</v>
      </c>
      <c r="M1603" s="4" t="s">
        <v>173</v>
      </c>
      <c r="N1603" s="4" t="s">
        <v>155</v>
      </c>
      <c r="O1603" s="4" t="s">
        <v>692</v>
      </c>
      <c r="P1603" s="4"/>
    </row>
    <row r="1604" spans="1:16" ht="15">
      <c r="A1604" s="4" t="s">
        <v>2551</v>
      </c>
      <c r="B1604" s="30">
        <v>40008</v>
      </c>
      <c r="C1604" s="4"/>
      <c r="D1604" s="4" t="s">
        <v>193</v>
      </c>
      <c r="E1604" s="4" t="s">
        <v>170</v>
      </c>
      <c r="F1604" s="4" t="s">
        <v>155</v>
      </c>
      <c r="G1604" s="4">
        <v>5</v>
      </c>
      <c r="H1604" s="4">
        <v>4</v>
      </c>
      <c r="I1604" s="4" t="s">
        <v>140</v>
      </c>
      <c r="J1604" s="4" t="s">
        <v>180</v>
      </c>
      <c r="K1604" s="4" t="s">
        <v>145</v>
      </c>
      <c r="L1604" s="4" t="s">
        <v>4176</v>
      </c>
      <c r="M1604" s="4" t="s">
        <v>175</v>
      </c>
      <c r="N1604" s="4" t="s">
        <v>159</v>
      </c>
      <c r="O1604" s="4" t="s">
        <v>126</v>
      </c>
      <c r="P1604" s="4" t="s">
        <v>601</v>
      </c>
    </row>
    <row r="1605" spans="1:16" ht="15">
      <c r="A1605" s="4" t="s">
        <v>2552</v>
      </c>
      <c r="B1605" s="30">
        <v>39998</v>
      </c>
      <c r="C1605" s="4" t="s">
        <v>383</v>
      </c>
      <c r="D1605" s="4" t="s">
        <v>194</v>
      </c>
      <c r="E1605" s="4" t="s">
        <v>170</v>
      </c>
      <c r="F1605" s="4" t="s">
        <v>155</v>
      </c>
      <c r="G1605" s="4"/>
      <c r="H1605" s="4">
        <v>3</v>
      </c>
      <c r="I1605" s="4" t="s">
        <v>139</v>
      </c>
      <c r="J1605" s="4" t="s">
        <v>180</v>
      </c>
      <c r="K1605" s="4" t="s">
        <v>150</v>
      </c>
      <c r="L1605" s="4" t="s">
        <v>162</v>
      </c>
      <c r="M1605" s="4" t="s">
        <v>1957</v>
      </c>
      <c r="N1605" s="4" t="s">
        <v>155</v>
      </c>
      <c r="O1605" s="4" t="s">
        <v>130</v>
      </c>
      <c r="P1605" s="4"/>
    </row>
    <row r="1606" spans="1:16" ht="15">
      <c r="A1606" s="4" t="s">
        <v>2553</v>
      </c>
      <c r="B1606" s="30">
        <v>40020</v>
      </c>
      <c r="C1606" s="4" t="s">
        <v>383</v>
      </c>
      <c r="D1606" s="4" t="s">
        <v>193</v>
      </c>
      <c r="E1606" s="4" t="s">
        <v>170</v>
      </c>
      <c r="F1606" s="4" t="s">
        <v>155</v>
      </c>
      <c r="G1606" s="4">
        <v>3</v>
      </c>
      <c r="H1606" s="4">
        <v>4</v>
      </c>
      <c r="I1606" s="4" t="s">
        <v>140</v>
      </c>
      <c r="J1606" s="4" t="s">
        <v>180</v>
      </c>
      <c r="K1606" s="4" t="s">
        <v>142</v>
      </c>
      <c r="L1606" s="4" t="s">
        <v>162</v>
      </c>
      <c r="M1606" s="4"/>
      <c r="N1606" s="4" t="s">
        <v>155</v>
      </c>
      <c r="O1606" s="4" t="s">
        <v>130</v>
      </c>
      <c r="P1606" s="4"/>
    </row>
    <row r="1607" spans="1:16" ht="15">
      <c r="A1607" s="4" t="s">
        <v>2554</v>
      </c>
      <c r="B1607" s="30">
        <v>39982</v>
      </c>
      <c r="C1607" s="4"/>
      <c r="D1607" s="4" t="s">
        <v>193</v>
      </c>
      <c r="E1607" s="4" t="s">
        <v>170</v>
      </c>
      <c r="F1607" s="4" t="s">
        <v>155</v>
      </c>
      <c r="G1607" s="4"/>
      <c r="H1607" s="4"/>
      <c r="I1607" s="4" t="s">
        <v>140</v>
      </c>
      <c r="J1607" s="4" t="s">
        <v>180</v>
      </c>
      <c r="K1607" s="4" t="s">
        <v>146</v>
      </c>
      <c r="L1607" s="4" t="s">
        <v>4181</v>
      </c>
      <c r="M1607" s="4" t="s">
        <v>173</v>
      </c>
      <c r="N1607" s="4" t="s">
        <v>155</v>
      </c>
      <c r="O1607" s="4" t="s">
        <v>467</v>
      </c>
      <c r="P1607" s="4"/>
    </row>
    <row r="1608" spans="1:16" ht="15">
      <c r="A1608" s="4" t="s">
        <v>2555</v>
      </c>
      <c r="B1608" s="30">
        <v>39911</v>
      </c>
      <c r="C1608" s="4" t="s">
        <v>9</v>
      </c>
      <c r="D1608" s="4" t="s">
        <v>4177</v>
      </c>
      <c r="E1608" s="4" t="s">
        <v>170</v>
      </c>
      <c r="F1608" s="4" t="s">
        <v>155</v>
      </c>
      <c r="G1608" s="4"/>
      <c r="H1608" s="4"/>
      <c r="I1608" s="4" t="s">
        <v>139</v>
      </c>
      <c r="J1608" s="4" t="s">
        <v>179</v>
      </c>
      <c r="K1608" s="4" t="s">
        <v>145</v>
      </c>
      <c r="L1608" s="4" t="s">
        <v>4176</v>
      </c>
      <c r="M1608" s="4" t="s">
        <v>175</v>
      </c>
      <c r="N1608" s="4" t="s">
        <v>517</v>
      </c>
      <c r="O1608" s="4" t="s">
        <v>123</v>
      </c>
      <c r="P1608" s="4" t="s">
        <v>123</v>
      </c>
    </row>
    <row r="1609" spans="1:16" ht="15">
      <c r="A1609" s="4" t="s">
        <v>2556</v>
      </c>
      <c r="B1609" s="30">
        <v>39932</v>
      </c>
      <c r="C1609" s="4"/>
      <c r="D1609" s="4" t="s">
        <v>4180</v>
      </c>
      <c r="E1609" s="4" t="s">
        <v>170</v>
      </c>
      <c r="F1609" s="4" t="s">
        <v>155</v>
      </c>
      <c r="G1609" s="4"/>
      <c r="H1609" s="4"/>
      <c r="I1609" s="4" t="s">
        <v>139</v>
      </c>
      <c r="J1609" s="4" t="s">
        <v>183</v>
      </c>
      <c r="K1609" s="4" t="s">
        <v>147</v>
      </c>
      <c r="L1609" s="4" t="s">
        <v>4181</v>
      </c>
      <c r="M1609" s="4" t="s">
        <v>2557</v>
      </c>
      <c r="N1609" s="4" t="s">
        <v>155</v>
      </c>
      <c r="O1609" s="4" t="s">
        <v>454</v>
      </c>
      <c r="P1609" s="4"/>
    </row>
    <row r="1610" spans="1:16" ht="15">
      <c r="A1610" s="4" t="s">
        <v>2558</v>
      </c>
      <c r="B1610" s="30">
        <v>39994</v>
      </c>
      <c r="C1610" s="4"/>
      <c r="D1610" s="4" t="s">
        <v>544</v>
      </c>
      <c r="E1610" s="4" t="s">
        <v>170</v>
      </c>
      <c r="F1610" s="4" t="s">
        <v>155</v>
      </c>
      <c r="G1610" s="4"/>
      <c r="H1610" s="4">
        <v>5</v>
      </c>
      <c r="I1610" s="4" t="s">
        <v>139</v>
      </c>
      <c r="J1610" s="4" t="s">
        <v>447</v>
      </c>
      <c r="K1610" s="4" t="s">
        <v>144</v>
      </c>
      <c r="L1610" s="4" t="s">
        <v>165</v>
      </c>
      <c r="M1610" s="4" t="s">
        <v>589</v>
      </c>
      <c r="N1610" s="4" t="s">
        <v>158</v>
      </c>
      <c r="O1610" s="4" t="s">
        <v>122</v>
      </c>
      <c r="P1610" s="4"/>
    </row>
    <row r="1611" spans="1:16" ht="15">
      <c r="A1611" s="4" t="s">
        <v>2559</v>
      </c>
      <c r="B1611" s="30">
        <v>39980</v>
      </c>
      <c r="C1611" s="4" t="s">
        <v>380</v>
      </c>
      <c r="D1611" s="4" t="s">
        <v>195</v>
      </c>
      <c r="E1611" s="4" t="s">
        <v>170</v>
      </c>
      <c r="F1611" s="4" t="s">
        <v>155</v>
      </c>
      <c r="G1611" s="4"/>
      <c r="H1611" s="4"/>
      <c r="I1611" s="4" t="s">
        <v>139</v>
      </c>
      <c r="J1611" s="4" t="s">
        <v>183</v>
      </c>
      <c r="K1611" s="4" t="s">
        <v>144</v>
      </c>
      <c r="L1611" s="4" t="s">
        <v>4176</v>
      </c>
      <c r="M1611" s="4" t="s">
        <v>175</v>
      </c>
      <c r="N1611" s="4" t="s">
        <v>159</v>
      </c>
      <c r="O1611" s="4" t="s">
        <v>126</v>
      </c>
      <c r="P1611" s="4" t="s">
        <v>601</v>
      </c>
    </row>
    <row r="1612" spans="1:16" ht="15">
      <c r="A1612" s="4" t="s">
        <v>2560</v>
      </c>
      <c r="B1612" s="30">
        <v>40080</v>
      </c>
      <c r="C1612" s="4"/>
      <c r="D1612" s="4" t="s">
        <v>193</v>
      </c>
      <c r="E1612" s="4" t="s">
        <v>170</v>
      </c>
      <c r="F1612" s="4" t="s">
        <v>155</v>
      </c>
      <c r="G1612" s="4">
        <v>5</v>
      </c>
      <c r="H1612" s="4">
        <v>3</v>
      </c>
      <c r="I1612" s="4" t="s">
        <v>140</v>
      </c>
      <c r="J1612" s="4" t="s">
        <v>191</v>
      </c>
      <c r="K1612" s="4" t="s">
        <v>148</v>
      </c>
      <c r="L1612" s="4" t="s">
        <v>162</v>
      </c>
      <c r="M1612" s="4" t="s">
        <v>175</v>
      </c>
      <c r="N1612" s="4" t="s">
        <v>155</v>
      </c>
      <c r="O1612" s="4" t="s">
        <v>129</v>
      </c>
      <c r="P1612" s="4"/>
    </row>
    <row r="1613" spans="1:16" ht="15">
      <c r="A1613" s="4" t="s">
        <v>2561</v>
      </c>
      <c r="B1613" s="30">
        <v>39906</v>
      </c>
      <c r="C1613" s="4" t="s">
        <v>9</v>
      </c>
      <c r="D1613" s="4" t="s">
        <v>4182</v>
      </c>
      <c r="E1613" s="4" t="s">
        <v>170</v>
      </c>
      <c r="F1613" s="4" t="s">
        <v>155</v>
      </c>
      <c r="G1613" s="4"/>
      <c r="H1613" s="4"/>
      <c r="I1613" s="4" t="s">
        <v>139</v>
      </c>
      <c r="J1613" s="4" t="s">
        <v>186</v>
      </c>
      <c r="K1613" s="4" t="s">
        <v>147</v>
      </c>
      <c r="L1613" s="4" t="s">
        <v>4181</v>
      </c>
      <c r="M1613" s="4" t="s">
        <v>173</v>
      </c>
      <c r="N1613" s="4" t="s">
        <v>155</v>
      </c>
      <c r="O1613" s="4" t="s">
        <v>127</v>
      </c>
      <c r="P1613" s="4"/>
    </row>
    <row r="1614" spans="1:16" ht="15">
      <c r="A1614" s="4" t="s">
        <v>2562</v>
      </c>
      <c r="B1614" s="30">
        <v>39914</v>
      </c>
      <c r="C1614" s="4"/>
      <c r="D1614" s="4" t="s">
        <v>4180</v>
      </c>
      <c r="E1614" s="4" t="s">
        <v>170</v>
      </c>
      <c r="F1614" s="4" t="s">
        <v>155</v>
      </c>
      <c r="G1614" s="4"/>
      <c r="H1614" s="4"/>
      <c r="I1614" s="4" t="s">
        <v>139</v>
      </c>
      <c r="J1614" s="4" t="s">
        <v>183</v>
      </c>
      <c r="K1614" s="4" t="s">
        <v>147</v>
      </c>
      <c r="L1614" s="4" t="s">
        <v>4176</v>
      </c>
      <c r="M1614" s="4" t="s">
        <v>175</v>
      </c>
      <c r="N1614" s="4" t="s">
        <v>159</v>
      </c>
      <c r="O1614" s="4" t="s">
        <v>126</v>
      </c>
      <c r="P1614" s="4" t="s">
        <v>601</v>
      </c>
    </row>
    <row r="1615" spans="1:16" ht="15">
      <c r="A1615" s="4" t="s">
        <v>2563</v>
      </c>
      <c r="B1615" s="30">
        <v>40058</v>
      </c>
      <c r="C1615" s="4" t="s">
        <v>383</v>
      </c>
      <c r="D1615" s="4" t="s">
        <v>193</v>
      </c>
      <c r="E1615" s="4" t="s">
        <v>170</v>
      </c>
      <c r="F1615" s="4" t="s">
        <v>155</v>
      </c>
      <c r="G1615" s="4">
        <v>2</v>
      </c>
      <c r="H1615" s="4">
        <v>5</v>
      </c>
      <c r="I1615" s="4" t="s">
        <v>140</v>
      </c>
      <c r="J1615" s="4" t="s">
        <v>186</v>
      </c>
      <c r="K1615" s="4" t="s">
        <v>143</v>
      </c>
      <c r="L1615" s="4" t="s">
        <v>165</v>
      </c>
      <c r="M1615" s="4" t="s">
        <v>2564</v>
      </c>
      <c r="N1615" s="4" t="s">
        <v>158</v>
      </c>
      <c r="O1615" s="4" t="s">
        <v>122</v>
      </c>
      <c r="P1615" s="4"/>
    </row>
    <row r="1616" spans="1:16" ht="15">
      <c r="A1616" s="4" t="s">
        <v>2565</v>
      </c>
      <c r="B1616" s="30">
        <v>39982</v>
      </c>
      <c r="C1616" s="4"/>
      <c r="D1616" s="4" t="s">
        <v>193</v>
      </c>
      <c r="E1616" s="4" t="s">
        <v>170</v>
      </c>
      <c r="F1616" s="4" t="s">
        <v>155</v>
      </c>
      <c r="G1616" s="4"/>
      <c r="H1616" s="4"/>
      <c r="I1616" s="4" t="s">
        <v>140</v>
      </c>
      <c r="J1616" s="4" t="s">
        <v>537</v>
      </c>
      <c r="K1616" s="4" t="s">
        <v>144</v>
      </c>
      <c r="L1616" s="4" t="s">
        <v>4181</v>
      </c>
      <c r="M1616" s="4" t="s">
        <v>173</v>
      </c>
      <c r="N1616" s="4" t="s">
        <v>155</v>
      </c>
      <c r="O1616" s="4" t="s">
        <v>439</v>
      </c>
      <c r="P1616" s="4"/>
    </row>
    <row r="1617" spans="1:16" ht="15">
      <c r="A1617" s="4" t="s">
        <v>2566</v>
      </c>
      <c r="B1617" s="30">
        <v>39929</v>
      </c>
      <c r="C1617" s="4"/>
      <c r="D1617" s="4" t="s">
        <v>4182</v>
      </c>
      <c r="E1617" s="4" t="s">
        <v>170</v>
      </c>
      <c r="F1617" s="4" t="s">
        <v>155</v>
      </c>
      <c r="G1617" s="4"/>
      <c r="H1617" s="4"/>
      <c r="I1617" s="4" t="s">
        <v>139</v>
      </c>
      <c r="J1617" s="4" t="s">
        <v>537</v>
      </c>
      <c r="K1617" s="4" t="s">
        <v>147</v>
      </c>
      <c r="L1617" s="4" t="s">
        <v>4176</v>
      </c>
      <c r="M1617" s="4" t="s">
        <v>174</v>
      </c>
      <c r="N1617" s="4" t="s">
        <v>156</v>
      </c>
      <c r="O1617" s="4" t="s">
        <v>120</v>
      </c>
      <c r="P1617" s="4" t="s">
        <v>2567</v>
      </c>
    </row>
    <row r="1618" spans="1:16" ht="15">
      <c r="A1618" s="4" t="s">
        <v>2568</v>
      </c>
      <c r="B1618" s="30">
        <v>40065</v>
      </c>
      <c r="C1618" s="4" t="s">
        <v>496</v>
      </c>
      <c r="D1618" s="4" t="s">
        <v>193</v>
      </c>
      <c r="E1618" s="4" t="s">
        <v>170</v>
      </c>
      <c r="F1618" s="4" t="s">
        <v>155</v>
      </c>
      <c r="G1618" s="4">
        <v>5</v>
      </c>
      <c r="H1618" s="4">
        <v>5</v>
      </c>
      <c r="I1618" s="4" t="s">
        <v>140</v>
      </c>
      <c r="J1618" s="4" t="s">
        <v>186</v>
      </c>
      <c r="K1618" s="4" t="s">
        <v>143</v>
      </c>
      <c r="L1618" s="4" t="s">
        <v>4176</v>
      </c>
      <c r="M1618" s="4" t="s">
        <v>2569</v>
      </c>
      <c r="N1618" s="4" t="s">
        <v>159</v>
      </c>
      <c r="O1618" s="4" t="s">
        <v>123</v>
      </c>
      <c r="P1618" s="4" t="s">
        <v>123</v>
      </c>
    </row>
    <row r="1619" spans="1:16" ht="15">
      <c r="A1619" s="4" t="s">
        <v>2570</v>
      </c>
      <c r="B1619" s="30">
        <v>39982</v>
      </c>
      <c r="C1619" s="4" t="s">
        <v>383</v>
      </c>
      <c r="D1619" s="4" t="s">
        <v>195</v>
      </c>
      <c r="E1619" s="4" t="s">
        <v>170</v>
      </c>
      <c r="F1619" s="4" t="s">
        <v>155</v>
      </c>
      <c r="G1619" s="4"/>
      <c r="H1619" s="4"/>
      <c r="I1619" s="4" t="s">
        <v>139</v>
      </c>
      <c r="J1619" s="4" t="s">
        <v>181</v>
      </c>
      <c r="K1619" s="4" t="s">
        <v>142</v>
      </c>
      <c r="L1619" s="4" t="s">
        <v>162</v>
      </c>
      <c r="M1619" s="4" t="s">
        <v>175</v>
      </c>
      <c r="N1619" s="4" t="s">
        <v>155</v>
      </c>
      <c r="O1619" s="4" t="s">
        <v>130</v>
      </c>
      <c r="P1619" s="4"/>
    </row>
    <row r="1620" spans="1:16" ht="15">
      <c r="A1620" s="4" t="s">
        <v>2571</v>
      </c>
      <c r="B1620" s="30">
        <v>40006</v>
      </c>
      <c r="C1620" s="4"/>
      <c r="D1620" s="4" t="s">
        <v>193</v>
      </c>
      <c r="E1620" s="4" t="s">
        <v>170</v>
      </c>
      <c r="F1620" s="4" t="s">
        <v>155</v>
      </c>
      <c r="G1620" s="4">
        <v>5</v>
      </c>
      <c r="H1620" s="4">
        <v>5</v>
      </c>
      <c r="I1620" s="4" t="s">
        <v>140</v>
      </c>
      <c r="J1620" s="4" t="s">
        <v>191</v>
      </c>
      <c r="K1620" s="4" t="s">
        <v>143</v>
      </c>
      <c r="L1620" s="4" t="s">
        <v>162</v>
      </c>
      <c r="M1620" s="4" t="s">
        <v>459</v>
      </c>
      <c r="N1620" s="4" t="s">
        <v>155</v>
      </c>
      <c r="O1620" s="4" t="s">
        <v>129</v>
      </c>
      <c r="P1620" s="4"/>
    </row>
    <row r="1621" spans="1:16" ht="15">
      <c r="A1621" s="4" t="s">
        <v>2572</v>
      </c>
      <c r="B1621" s="30">
        <v>40038</v>
      </c>
      <c r="C1621" s="4"/>
      <c r="D1621" s="4" t="s">
        <v>193</v>
      </c>
      <c r="E1621" s="4" t="s">
        <v>170</v>
      </c>
      <c r="F1621" s="4" t="s">
        <v>155</v>
      </c>
      <c r="G1621" s="4">
        <v>3</v>
      </c>
      <c r="H1621" s="4">
        <v>3</v>
      </c>
      <c r="I1621" s="4" t="s">
        <v>140</v>
      </c>
      <c r="J1621" s="4" t="s">
        <v>191</v>
      </c>
      <c r="K1621" s="4" t="s">
        <v>146</v>
      </c>
      <c r="L1621" s="4" t="s">
        <v>4176</v>
      </c>
      <c r="M1621" s="4" t="s">
        <v>174</v>
      </c>
      <c r="N1621" s="4" t="s">
        <v>156</v>
      </c>
      <c r="O1621" s="4" t="s">
        <v>120</v>
      </c>
      <c r="P1621" s="4" t="s">
        <v>827</v>
      </c>
    </row>
    <row r="1622" spans="1:16" ht="15">
      <c r="A1622" s="4" t="s">
        <v>2573</v>
      </c>
      <c r="B1622" s="30">
        <v>40074</v>
      </c>
      <c r="C1622" s="4"/>
      <c r="D1622" s="4" t="s">
        <v>195</v>
      </c>
      <c r="E1622" s="4" t="s">
        <v>170</v>
      </c>
      <c r="F1622" s="4" t="s">
        <v>155</v>
      </c>
      <c r="G1622" s="4">
        <v>3</v>
      </c>
      <c r="H1622" s="4">
        <v>4</v>
      </c>
      <c r="I1622" s="4" t="s">
        <v>139</v>
      </c>
      <c r="J1622" s="4" t="s">
        <v>534</v>
      </c>
      <c r="K1622" s="4" t="s">
        <v>146</v>
      </c>
      <c r="L1622" s="4" t="s">
        <v>4181</v>
      </c>
      <c r="M1622" s="4" t="s">
        <v>2574</v>
      </c>
      <c r="N1622" s="4" t="s">
        <v>155</v>
      </c>
      <c r="O1622" s="4" t="s">
        <v>128</v>
      </c>
      <c r="P1622" s="4"/>
    </row>
    <row r="1623" spans="1:16" ht="15">
      <c r="A1623" s="4" t="s">
        <v>2575</v>
      </c>
      <c r="B1623" s="30">
        <v>40074</v>
      </c>
      <c r="C1623" s="4"/>
      <c r="D1623" s="4" t="s">
        <v>196</v>
      </c>
      <c r="E1623" s="4" t="s">
        <v>170</v>
      </c>
      <c r="F1623" s="4" t="s">
        <v>155</v>
      </c>
      <c r="G1623" s="4">
        <v>5</v>
      </c>
      <c r="H1623" s="4">
        <v>5</v>
      </c>
      <c r="I1623" s="4" t="s">
        <v>139</v>
      </c>
      <c r="J1623" s="4" t="s">
        <v>534</v>
      </c>
      <c r="K1623" s="4" t="s">
        <v>151</v>
      </c>
      <c r="L1623" s="4" t="s">
        <v>4181</v>
      </c>
      <c r="M1623" s="4" t="s">
        <v>2574</v>
      </c>
      <c r="N1623" s="4" t="s">
        <v>155</v>
      </c>
      <c r="O1623" s="4" t="s">
        <v>128</v>
      </c>
      <c r="P1623" s="4"/>
    </row>
    <row r="1624" spans="1:16" ht="15">
      <c r="A1624" s="4" t="s">
        <v>2576</v>
      </c>
      <c r="B1624" s="30">
        <v>39971</v>
      </c>
      <c r="C1624" s="4"/>
      <c r="D1624" s="4" t="s">
        <v>195</v>
      </c>
      <c r="E1624" s="4" t="s">
        <v>170</v>
      </c>
      <c r="F1624" s="4" t="s">
        <v>155</v>
      </c>
      <c r="G1624" s="4"/>
      <c r="H1624" s="4"/>
      <c r="I1624" s="4" t="s">
        <v>139</v>
      </c>
      <c r="J1624" s="4" t="s">
        <v>534</v>
      </c>
      <c r="K1624" s="4" t="s">
        <v>144</v>
      </c>
      <c r="L1624" s="4" t="s">
        <v>4181</v>
      </c>
      <c r="M1624" s="4" t="s">
        <v>173</v>
      </c>
      <c r="N1624" s="4" t="s">
        <v>155</v>
      </c>
      <c r="O1624" s="4" t="s">
        <v>454</v>
      </c>
      <c r="P1624" s="4"/>
    </row>
    <row r="1625" spans="1:16" ht="15">
      <c r="A1625" s="4" t="s">
        <v>2577</v>
      </c>
      <c r="B1625" s="30">
        <v>39929</v>
      </c>
      <c r="C1625" s="4" t="s">
        <v>9</v>
      </c>
      <c r="D1625" s="4" t="s">
        <v>4184</v>
      </c>
      <c r="E1625" s="4" t="s">
        <v>170</v>
      </c>
      <c r="F1625" s="4" t="s">
        <v>155</v>
      </c>
      <c r="G1625" s="4"/>
      <c r="H1625" s="4"/>
      <c r="I1625" s="4" t="s">
        <v>140</v>
      </c>
      <c r="J1625" s="4" t="s">
        <v>534</v>
      </c>
      <c r="K1625" s="4" t="s">
        <v>151</v>
      </c>
      <c r="L1625" s="4" t="s">
        <v>4176</v>
      </c>
      <c r="M1625" s="4" t="s">
        <v>174</v>
      </c>
      <c r="N1625" s="4" t="s">
        <v>156</v>
      </c>
      <c r="O1625" s="4" t="s">
        <v>120</v>
      </c>
      <c r="P1625" s="4" t="s">
        <v>620</v>
      </c>
    </row>
    <row r="1626" spans="1:16" ht="15">
      <c r="A1626" s="4" t="s">
        <v>2578</v>
      </c>
      <c r="B1626" s="30">
        <v>39927</v>
      </c>
      <c r="C1626" s="4"/>
      <c r="D1626" s="4" t="s">
        <v>4183</v>
      </c>
      <c r="E1626" s="4" t="s">
        <v>170</v>
      </c>
      <c r="F1626" s="4" t="s">
        <v>155</v>
      </c>
      <c r="G1626" s="4"/>
      <c r="H1626" s="4"/>
      <c r="I1626" s="4" t="s">
        <v>140</v>
      </c>
      <c r="J1626" s="4" t="s">
        <v>180</v>
      </c>
      <c r="K1626" s="4" t="s">
        <v>147</v>
      </c>
      <c r="L1626" s="4" t="s">
        <v>4176</v>
      </c>
      <c r="M1626" s="4" t="s">
        <v>174</v>
      </c>
      <c r="N1626" s="4" t="s">
        <v>160</v>
      </c>
      <c r="O1626" s="4" t="s">
        <v>126</v>
      </c>
      <c r="P1626" s="4" t="s">
        <v>685</v>
      </c>
    </row>
    <row r="1627" spans="1:16" ht="15">
      <c r="A1627" s="4" t="s">
        <v>2579</v>
      </c>
      <c r="B1627" s="30">
        <v>39997</v>
      </c>
      <c r="C1627" s="4"/>
      <c r="D1627" s="4" t="s">
        <v>194</v>
      </c>
      <c r="E1627" s="4" t="s">
        <v>170</v>
      </c>
      <c r="F1627" s="4" t="s">
        <v>155</v>
      </c>
      <c r="G1627" s="4"/>
      <c r="H1627" s="4">
        <v>2</v>
      </c>
      <c r="I1627" s="4" t="s">
        <v>139</v>
      </c>
      <c r="J1627" s="4" t="s">
        <v>180</v>
      </c>
      <c r="K1627" s="4" t="s">
        <v>151</v>
      </c>
      <c r="L1627" s="4" t="s">
        <v>4176</v>
      </c>
      <c r="M1627" s="4" t="s">
        <v>1572</v>
      </c>
      <c r="N1627" s="4" t="s">
        <v>157</v>
      </c>
      <c r="O1627" s="4" t="s">
        <v>406</v>
      </c>
      <c r="P1627" s="4" t="s">
        <v>922</v>
      </c>
    </row>
    <row r="1628" spans="1:16" ht="15">
      <c r="A1628" s="4" t="s">
        <v>2580</v>
      </c>
      <c r="B1628" s="30">
        <v>40065</v>
      </c>
      <c r="C1628" s="4"/>
      <c r="D1628" s="4" t="s">
        <v>193</v>
      </c>
      <c r="E1628" s="4" t="s">
        <v>170</v>
      </c>
      <c r="F1628" s="4" t="s">
        <v>155</v>
      </c>
      <c r="G1628" s="4">
        <v>5</v>
      </c>
      <c r="H1628" s="4">
        <v>3</v>
      </c>
      <c r="I1628" s="4" t="s">
        <v>140</v>
      </c>
      <c r="J1628" s="4" t="s">
        <v>433</v>
      </c>
      <c r="K1628" s="4" t="s">
        <v>143</v>
      </c>
      <c r="L1628" s="4" t="s">
        <v>165</v>
      </c>
      <c r="M1628" s="4" t="s">
        <v>2581</v>
      </c>
      <c r="N1628" s="4" t="s">
        <v>158</v>
      </c>
      <c r="O1628" s="4" t="s">
        <v>122</v>
      </c>
      <c r="P1628" s="4"/>
    </row>
    <row r="1629" spans="1:16" ht="15">
      <c r="A1629" s="4" t="s">
        <v>2582</v>
      </c>
      <c r="B1629" s="30">
        <v>40020</v>
      </c>
      <c r="C1629" s="4"/>
      <c r="D1629" s="4" t="s">
        <v>196</v>
      </c>
      <c r="E1629" s="4" t="s">
        <v>170</v>
      </c>
      <c r="F1629" s="4" t="s">
        <v>155</v>
      </c>
      <c r="G1629" s="4">
        <v>5</v>
      </c>
      <c r="H1629" s="4">
        <v>5</v>
      </c>
      <c r="I1629" s="4" t="s">
        <v>139</v>
      </c>
      <c r="J1629" s="4" t="s">
        <v>433</v>
      </c>
      <c r="K1629" s="4" t="s">
        <v>151</v>
      </c>
      <c r="L1629" s="4" t="s">
        <v>162</v>
      </c>
      <c r="M1629" s="4" t="s">
        <v>176</v>
      </c>
      <c r="N1629" s="4" t="s">
        <v>155</v>
      </c>
      <c r="O1629" s="4" t="s">
        <v>127</v>
      </c>
      <c r="P1629" s="4"/>
    </row>
    <row r="1630" spans="1:16" ht="15">
      <c r="A1630" s="4" t="s">
        <v>2583</v>
      </c>
      <c r="B1630" s="30">
        <v>40057</v>
      </c>
      <c r="C1630" s="4"/>
      <c r="D1630" s="4" t="s">
        <v>195</v>
      </c>
      <c r="E1630" s="4" t="s">
        <v>170</v>
      </c>
      <c r="F1630" s="4" t="s">
        <v>155</v>
      </c>
      <c r="G1630" s="4">
        <v>5</v>
      </c>
      <c r="H1630" s="4">
        <v>3</v>
      </c>
      <c r="I1630" s="4" t="s">
        <v>139</v>
      </c>
      <c r="J1630" s="4" t="s">
        <v>191</v>
      </c>
      <c r="K1630" s="4" t="s">
        <v>143</v>
      </c>
      <c r="L1630" s="4" t="s">
        <v>162</v>
      </c>
      <c r="M1630" s="4" t="s">
        <v>802</v>
      </c>
      <c r="N1630" s="4" t="s">
        <v>155</v>
      </c>
      <c r="O1630" s="4" t="s">
        <v>129</v>
      </c>
      <c r="P1630" s="4"/>
    </row>
    <row r="1631" spans="1:16" ht="15">
      <c r="A1631" s="4" t="s">
        <v>2584</v>
      </c>
      <c r="B1631" s="30">
        <v>40060</v>
      </c>
      <c r="C1631" s="4" t="s">
        <v>383</v>
      </c>
      <c r="D1631" s="4" t="s">
        <v>193</v>
      </c>
      <c r="E1631" s="4" t="s">
        <v>170</v>
      </c>
      <c r="F1631" s="4" t="s">
        <v>155</v>
      </c>
      <c r="G1631" s="4">
        <v>5</v>
      </c>
      <c r="H1631" s="4">
        <v>3</v>
      </c>
      <c r="I1631" s="4" t="s">
        <v>140</v>
      </c>
      <c r="J1631" s="4" t="s">
        <v>191</v>
      </c>
      <c r="K1631" s="4" t="s">
        <v>146</v>
      </c>
      <c r="L1631" s="4" t="s">
        <v>4176</v>
      </c>
      <c r="M1631" s="4" t="s">
        <v>619</v>
      </c>
      <c r="N1631" s="4" t="s">
        <v>157</v>
      </c>
      <c r="O1631" s="4" t="s">
        <v>830</v>
      </c>
      <c r="P1631" s="4" t="s">
        <v>1610</v>
      </c>
    </row>
    <row r="1632" spans="1:16" ht="15">
      <c r="A1632" s="4" t="s">
        <v>2585</v>
      </c>
      <c r="B1632" s="30">
        <v>40022</v>
      </c>
      <c r="C1632" s="4"/>
      <c r="D1632" s="4" t="s">
        <v>193</v>
      </c>
      <c r="E1632" s="4" t="s">
        <v>170</v>
      </c>
      <c r="F1632" s="4" t="s">
        <v>155</v>
      </c>
      <c r="G1632" s="4">
        <v>4</v>
      </c>
      <c r="H1632" s="4">
        <v>5</v>
      </c>
      <c r="I1632" s="4" t="s">
        <v>140</v>
      </c>
      <c r="J1632" s="4" t="s">
        <v>191</v>
      </c>
      <c r="K1632" s="4" t="s">
        <v>144</v>
      </c>
      <c r="L1632" s="4" t="s">
        <v>4176</v>
      </c>
      <c r="M1632" s="4" t="s">
        <v>1728</v>
      </c>
      <c r="N1632" s="4" t="s">
        <v>157</v>
      </c>
      <c r="O1632" s="4" t="s">
        <v>127</v>
      </c>
      <c r="P1632" s="4" t="s">
        <v>153</v>
      </c>
    </row>
    <row r="1633" spans="1:16" ht="15">
      <c r="A1633" s="4" t="s">
        <v>2586</v>
      </c>
      <c r="B1633" s="30">
        <v>39905</v>
      </c>
      <c r="C1633" s="4"/>
      <c r="D1633" s="4" t="s">
        <v>4182</v>
      </c>
      <c r="E1633" s="4" t="s">
        <v>170</v>
      </c>
      <c r="F1633" s="4" t="s">
        <v>155</v>
      </c>
      <c r="G1633" s="4"/>
      <c r="H1633" s="4"/>
      <c r="I1633" s="4" t="s">
        <v>139</v>
      </c>
      <c r="J1633" s="4" t="s">
        <v>180</v>
      </c>
      <c r="K1633" s="4" t="s">
        <v>147</v>
      </c>
      <c r="L1633" s="4" t="s">
        <v>165</v>
      </c>
      <c r="M1633" s="4" t="s">
        <v>614</v>
      </c>
      <c r="N1633" s="4" t="s">
        <v>158</v>
      </c>
      <c r="O1633" s="4" t="s">
        <v>122</v>
      </c>
      <c r="P1633" s="4"/>
    </row>
    <row r="1634" spans="1:16" ht="15">
      <c r="A1634" s="4" t="s">
        <v>2587</v>
      </c>
      <c r="B1634" s="30">
        <v>40064</v>
      </c>
      <c r="C1634" s="4" t="s">
        <v>570</v>
      </c>
      <c r="D1634" s="4" t="s">
        <v>195</v>
      </c>
      <c r="E1634" s="4" t="s">
        <v>170</v>
      </c>
      <c r="F1634" s="4" t="s">
        <v>155</v>
      </c>
      <c r="G1634" s="4"/>
      <c r="H1634" s="4"/>
      <c r="I1634" s="4" t="s">
        <v>139</v>
      </c>
      <c r="J1634" s="4" t="s">
        <v>180</v>
      </c>
      <c r="K1634" s="4" t="s">
        <v>145</v>
      </c>
      <c r="L1634" s="4" t="s">
        <v>4176</v>
      </c>
      <c r="M1634" s="4" t="s">
        <v>1123</v>
      </c>
      <c r="N1634" s="4" t="s">
        <v>156</v>
      </c>
      <c r="O1634" s="4" t="s">
        <v>120</v>
      </c>
      <c r="P1634" s="4" t="s">
        <v>1087</v>
      </c>
    </row>
    <row r="1635" spans="1:16" ht="15">
      <c r="A1635" s="4" t="s">
        <v>2588</v>
      </c>
      <c r="B1635" s="30">
        <v>40013</v>
      </c>
      <c r="C1635" s="4" t="s">
        <v>9</v>
      </c>
      <c r="D1635" s="4" t="s">
        <v>195</v>
      </c>
      <c r="E1635" s="4" t="s">
        <v>170</v>
      </c>
      <c r="F1635" s="4" t="s">
        <v>155</v>
      </c>
      <c r="G1635" s="4">
        <v>5</v>
      </c>
      <c r="H1635" s="4">
        <v>4</v>
      </c>
      <c r="I1635" s="4" t="s">
        <v>139</v>
      </c>
      <c r="J1635" s="4" t="s">
        <v>447</v>
      </c>
      <c r="K1635" s="4" t="s">
        <v>148</v>
      </c>
      <c r="L1635" s="4" t="s">
        <v>162</v>
      </c>
      <c r="M1635" s="4" t="s">
        <v>176</v>
      </c>
      <c r="N1635" s="4" t="s">
        <v>155</v>
      </c>
      <c r="O1635" s="4" t="s">
        <v>129</v>
      </c>
      <c r="P1635" s="4"/>
    </row>
    <row r="1636" spans="1:16" ht="15">
      <c r="A1636" s="4" t="s">
        <v>2589</v>
      </c>
      <c r="B1636" s="30">
        <v>40076</v>
      </c>
      <c r="C1636" s="4"/>
      <c r="D1636" s="4" t="s">
        <v>196</v>
      </c>
      <c r="E1636" s="4" t="s">
        <v>170</v>
      </c>
      <c r="F1636" s="4" t="s">
        <v>155</v>
      </c>
      <c r="G1636" s="4">
        <v>5</v>
      </c>
      <c r="H1636" s="4">
        <v>5</v>
      </c>
      <c r="I1636" s="4" t="s">
        <v>139</v>
      </c>
      <c r="J1636" s="4" t="s">
        <v>447</v>
      </c>
      <c r="K1636" s="4" t="s">
        <v>148</v>
      </c>
      <c r="L1636" s="4" t="s">
        <v>4176</v>
      </c>
      <c r="M1636" s="4" t="s">
        <v>174</v>
      </c>
      <c r="N1636" s="4" t="s">
        <v>156</v>
      </c>
      <c r="O1636" s="4" t="s">
        <v>120</v>
      </c>
      <c r="P1636" s="4" t="s">
        <v>2590</v>
      </c>
    </row>
    <row r="1637" spans="1:16" ht="15">
      <c r="A1637" s="4" t="s">
        <v>2591</v>
      </c>
      <c r="B1637" s="30">
        <v>39952</v>
      </c>
      <c r="C1637" s="4"/>
      <c r="D1637" s="4" t="s">
        <v>194</v>
      </c>
      <c r="E1637" s="4" t="s">
        <v>170</v>
      </c>
      <c r="F1637" s="4" t="s">
        <v>155</v>
      </c>
      <c r="G1637" s="4"/>
      <c r="H1637" s="4"/>
      <c r="I1637" s="4" t="s">
        <v>139</v>
      </c>
      <c r="J1637" s="4" t="s">
        <v>180</v>
      </c>
      <c r="K1637" s="4" t="s">
        <v>147</v>
      </c>
      <c r="L1637" s="4" t="s">
        <v>4181</v>
      </c>
      <c r="M1637" s="4" t="s">
        <v>173</v>
      </c>
      <c r="N1637" s="4" t="s">
        <v>155</v>
      </c>
      <c r="O1637" s="4" t="s">
        <v>406</v>
      </c>
      <c r="P1637" s="4"/>
    </row>
    <row r="1638" spans="1:16" ht="15">
      <c r="A1638" s="4" t="s">
        <v>2592</v>
      </c>
      <c r="B1638" s="30">
        <v>39934</v>
      </c>
      <c r="C1638" s="4" t="s">
        <v>9</v>
      </c>
      <c r="D1638" s="4" t="s">
        <v>4178</v>
      </c>
      <c r="E1638" s="4" t="s">
        <v>170</v>
      </c>
      <c r="F1638" s="4" t="s">
        <v>155</v>
      </c>
      <c r="G1638" s="4"/>
      <c r="H1638" s="4"/>
      <c r="I1638" s="4" t="s">
        <v>139</v>
      </c>
      <c r="J1638" s="4" t="s">
        <v>178</v>
      </c>
      <c r="K1638" s="4" t="s">
        <v>148</v>
      </c>
      <c r="L1638" s="4" t="s">
        <v>4181</v>
      </c>
      <c r="M1638" s="4" t="s">
        <v>173</v>
      </c>
      <c r="N1638" s="4" t="s">
        <v>161</v>
      </c>
      <c r="O1638" s="4" t="s">
        <v>939</v>
      </c>
      <c r="P1638" s="4"/>
    </row>
    <row r="1639" spans="1:16" ht="15">
      <c r="A1639" s="4" t="s">
        <v>2593</v>
      </c>
      <c r="B1639" s="30">
        <v>40020</v>
      </c>
      <c r="C1639" s="4"/>
      <c r="D1639" s="4" t="s">
        <v>193</v>
      </c>
      <c r="E1639" s="4" t="s">
        <v>170</v>
      </c>
      <c r="F1639" s="4" t="s">
        <v>155</v>
      </c>
      <c r="G1639" s="4">
        <v>5</v>
      </c>
      <c r="H1639" s="4">
        <v>5</v>
      </c>
      <c r="I1639" s="4" t="s">
        <v>140</v>
      </c>
      <c r="J1639" s="4" t="s">
        <v>178</v>
      </c>
      <c r="K1639" s="4" t="s">
        <v>149</v>
      </c>
      <c r="L1639" s="4" t="s">
        <v>4181</v>
      </c>
      <c r="M1639" s="4" t="s">
        <v>173</v>
      </c>
      <c r="N1639" s="4" t="s">
        <v>155</v>
      </c>
      <c r="O1639" s="4" t="s">
        <v>406</v>
      </c>
      <c r="P1639" s="4"/>
    </row>
    <row r="1640" spans="1:16" ht="15">
      <c r="A1640" s="4" t="s">
        <v>2594</v>
      </c>
      <c r="B1640" s="30">
        <v>39937</v>
      </c>
      <c r="C1640" s="4"/>
      <c r="D1640" s="4" t="s">
        <v>4183</v>
      </c>
      <c r="E1640" s="4" t="s">
        <v>170</v>
      </c>
      <c r="F1640" s="4" t="s">
        <v>155</v>
      </c>
      <c r="G1640" s="4"/>
      <c r="H1640" s="4"/>
      <c r="I1640" s="4" t="s">
        <v>140</v>
      </c>
      <c r="J1640" s="4" t="s">
        <v>180</v>
      </c>
      <c r="K1640" s="4" t="s">
        <v>147</v>
      </c>
      <c r="L1640" s="4" t="s">
        <v>4176</v>
      </c>
      <c r="M1640" s="4" t="s">
        <v>933</v>
      </c>
      <c r="N1640" s="4" t="s">
        <v>159</v>
      </c>
      <c r="O1640" s="4" t="s">
        <v>126</v>
      </c>
      <c r="P1640" s="4" t="s">
        <v>601</v>
      </c>
    </row>
    <row r="1641" spans="1:16" ht="15">
      <c r="A1641" s="4" t="s">
        <v>2595</v>
      </c>
      <c r="B1641" s="30">
        <v>39969</v>
      </c>
      <c r="C1641" s="4"/>
      <c r="D1641" s="4" t="s">
        <v>194</v>
      </c>
      <c r="E1641" s="4" t="s">
        <v>170</v>
      </c>
      <c r="F1641" s="4" t="s">
        <v>155</v>
      </c>
      <c r="G1641" s="4"/>
      <c r="H1641" s="4"/>
      <c r="I1641" s="4" t="s">
        <v>139</v>
      </c>
      <c r="J1641" s="4" t="s">
        <v>180</v>
      </c>
      <c r="K1641" s="4" t="s">
        <v>144</v>
      </c>
      <c r="L1641" s="4" t="s">
        <v>4176</v>
      </c>
      <c r="M1641" s="4" t="s">
        <v>867</v>
      </c>
      <c r="N1641" s="4" t="s">
        <v>157</v>
      </c>
      <c r="O1641" s="4" t="s">
        <v>127</v>
      </c>
      <c r="P1641" s="4" t="s">
        <v>153</v>
      </c>
    </row>
    <row r="1642" spans="1:16" ht="15">
      <c r="A1642" s="4" t="s">
        <v>2596</v>
      </c>
      <c r="B1642" s="30">
        <v>39953</v>
      </c>
      <c r="C1642" s="4"/>
      <c r="D1642" s="4" t="s">
        <v>195</v>
      </c>
      <c r="E1642" s="4" t="s">
        <v>170</v>
      </c>
      <c r="F1642" s="4" t="s">
        <v>155</v>
      </c>
      <c r="G1642" s="4"/>
      <c r="H1642" s="4"/>
      <c r="I1642" s="4" t="s">
        <v>139</v>
      </c>
      <c r="J1642" s="4" t="s">
        <v>186</v>
      </c>
      <c r="K1642" s="4" t="s">
        <v>142</v>
      </c>
      <c r="L1642" s="4" t="s">
        <v>4181</v>
      </c>
      <c r="M1642" s="4" t="s">
        <v>2597</v>
      </c>
      <c r="N1642" s="4" t="s">
        <v>155</v>
      </c>
      <c r="O1642" s="4" t="s">
        <v>125</v>
      </c>
      <c r="P1642" s="4"/>
    </row>
    <row r="1643" spans="1:16" ht="15">
      <c r="A1643" s="4" t="s">
        <v>2598</v>
      </c>
      <c r="B1643" s="30">
        <v>39947</v>
      </c>
      <c r="C1643" s="4"/>
      <c r="D1643" s="4" t="s">
        <v>194</v>
      </c>
      <c r="E1643" s="4" t="s">
        <v>170</v>
      </c>
      <c r="F1643" s="4" t="s">
        <v>155</v>
      </c>
      <c r="G1643" s="4"/>
      <c r="H1643" s="4"/>
      <c r="I1643" s="4" t="s">
        <v>139</v>
      </c>
      <c r="J1643" s="4" t="s">
        <v>186</v>
      </c>
      <c r="K1643" s="4" t="s">
        <v>143</v>
      </c>
      <c r="L1643" s="4" t="s">
        <v>162</v>
      </c>
      <c r="M1643" s="4" t="s">
        <v>175</v>
      </c>
      <c r="N1643" s="4" t="s">
        <v>155</v>
      </c>
      <c r="O1643" s="4" t="s">
        <v>129</v>
      </c>
      <c r="P1643" s="4"/>
    </row>
    <row r="1644" spans="1:16" ht="15">
      <c r="A1644" s="4" t="s">
        <v>2599</v>
      </c>
      <c r="B1644" s="30">
        <v>39948</v>
      </c>
      <c r="C1644" s="4" t="s">
        <v>380</v>
      </c>
      <c r="D1644" s="4" t="s">
        <v>193</v>
      </c>
      <c r="E1644" s="4" t="s">
        <v>170</v>
      </c>
      <c r="F1644" s="4" t="s">
        <v>155</v>
      </c>
      <c r="G1644" s="4"/>
      <c r="H1644" s="4"/>
      <c r="I1644" s="4" t="s">
        <v>140</v>
      </c>
      <c r="J1644" s="4" t="s">
        <v>433</v>
      </c>
      <c r="K1644" s="4" t="s">
        <v>147</v>
      </c>
      <c r="L1644" s="4" t="s">
        <v>162</v>
      </c>
      <c r="M1644" s="4" t="s">
        <v>175</v>
      </c>
      <c r="N1644" s="4" t="s">
        <v>155</v>
      </c>
      <c r="O1644" s="4" t="s">
        <v>129</v>
      </c>
      <c r="P1644" s="4"/>
    </row>
    <row r="1645" spans="1:16" ht="15">
      <c r="A1645" s="4" t="s">
        <v>2600</v>
      </c>
      <c r="B1645" s="30">
        <v>39987</v>
      </c>
      <c r="C1645" s="4"/>
      <c r="D1645" s="4" t="s">
        <v>193</v>
      </c>
      <c r="E1645" s="4" t="s">
        <v>170</v>
      </c>
      <c r="F1645" s="4" t="s">
        <v>155</v>
      </c>
      <c r="G1645" s="4"/>
      <c r="H1645" s="4"/>
      <c r="I1645" s="4" t="s">
        <v>140</v>
      </c>
      <c r="J1645" s="4" t="s">
        <v>182</v>
      </c>
      <c r="K1645" s="4" t="s">
        <v>150</v>
      </c>
      <c r="L1645" s="4" t="s">
        <v>162</v>
      </c>
      <c r="M1645" s="4" t="s">
        <v>176</v>
      </c>
      <c r="N1645" s="4" t="s">
        <v>155</v>
      </c>
      <c r="O1645" s="4" t="s">
        <v>130</v>
      </c>
      <c r="P1645" s="4"/>
    </row>
    <row r="1646" spans="1:16" ht="15">
      <c r="A1646" s="4" t="s">
        <v>2601</v>
      </c>
      <c r="B1646" s="30">
        <v>39980</v>
      </c>
      <c r="C1646" s="4"/>
      <c r="D1646" s="4" t="s">
        <v>194</v>
      </c>
      <c r="E1646" s="4" t="s">
        <v>170</v>
      </c>
      <c r="F1646" s="4" t="s">
        <v>155</v>
      </c>
      <c r="G1646" s="4"/>
      <c r="H1646" s="4"/>
      <c r="I1646" s="4" t="s">
        <v>139</v>
      </c>
      <c r="J1646" s="4" t="s">
        <v>178</v>
      </c>
      <c r="K1646" s="4" t="s">
        <v>146</v>
      </c>
      <c r="L1646" s="4" t="s">
        <v>4181</v>
      </c>
      <c r="M1646" s="4" t="s">
        <v>173</v>
      </c>
      <c r="N1646" s="4" t="s">
        <v>161</v>
      </c>
      <c r="O1646" s="4" t="s">
        <v>420</v>
      </c>
      <c r="P1646" s="4"/>
    </row>
    <row r="1647" spans="1:16" ht="15">
      <c r="A1647" s="4" t="s">
        <v>2602</v>
      </c>
      <c r="B1647" s="30">
        <v>39920</v>
      </c>
      <c r="C1647" s="4"/>
      <c r="D1647" s="4" t="s">
        <v>4179</v>
      </c>
      <c r="E1647" s="4" t="s">
        <v>170</v>
      </c>
      <c r="F1647" s="4" t="s">
        <v>155</v>
      </c>
      <c r="G1647" s="4"/>
      <c r="H1647" s="4"/>
      <c r="I1647" s="4" t="s">
        <v>139</v>
      </c>
      <c r="J1647" s="4" t="s">
        <v>181</v>
      </c>
      <c r="K1647" s="4" t="s">
        <v>147</v>
      </c>
      <c r="L1647" s="4" t="s">
        <v>4181</v>
      </c>
      <c r="M1647" s="4" t="s">
        <v>2603</v>
      </c>
      <c r="N1647" s="4" t="s">
        <v>161</v>
      </c>
      <c r="O1647" s="4" t="s">
        <v>1323</v>
      </c>
      <c r="P1647" s="4"/>
    </row>
    <row r="1648" spans="1:16" ht="15">
      <c r="A1648" s="4" t="s">
        <v>2604</v>
      </c>
      <c r="B1648" s="30">
        <v>39936</v>
      </c>
      <c r="C1648" s="4"/>
      <c r="D1648" s="4" t="s">
        <v>4177</v>
      </c>
      <c r="E1648" s="4" t="s">
        <v>170</v>
      </c>
      <c r="F1648" s="4" t="s">
        <v>155</v>
      </c>
      <c r="G1648" s="4"/>
      <c r="H1648" s="4"/>
      <c r="I1648" s="4" t="s">
        <v>139</v>
      </c>
      <c r="J1648" s="4" t="s">
        <v>181</v>
      </c>
      <c r="K1648" s="4" t="s">
        <v>142</v>
      </c>
      <c r="L1648" s="4" t="s">
        <v>162</v>
      </c>
      <c r="M1648" s="4" t="s">
        <v>175</v>
      </c>
      <c r="N1648" s="4" t="s">
        <v>155</v>
      </c>
      <c r="O1648" s="4" t="s">
        <v>129</v>
      </c>
      <c r="P1648" s="4"/>
    </row>
    <row r="1649" spans="1:16" ht="15">
      <c r="A1649" s="4" t="s">
        <v>2605</v>
      </c>
      <c r="B1649" s="30">
        <v>40068</v>
      </c>
      <c r="C1649" s="4" t="s">
        <v>9</v>
      </c>
      <c r="D1649" s="4" t="s">
        <v>196</v>
      </c>
      <c r="E1649" s="4" t="s">
        <v>170</v>
      </c>
      <c r="F1649" s="4" t="s">
        <v>155</v>
      </c>
      <c r="G1649" s="4">
        <v>5</v>
      </c>
      <c r="H1649" s="4">
        <v>5</v>
      </c>
      <c r="I1649" s="4" t="s">
        <v>139</v>
      </c>
      <c r="J1649" s="4" t="s">
        <v>409</v>
      </c>
      <c r="K1649" s="4" t="s">
        <v>142</v>
      </c>
      <c r="L1649" s="4" t="s">
        <v>4181</v>
      </c>
      <c r="M1649" s="4" t="s">
        <v>173</v>
      </c>
      <c r="N1649" s="4" t="s">
        <v>161</v>
      </c>
      <c r="O1649" s="4" t="s">
        <v>1364</v>
      </c>
      <c r="P1649" s="4"/>
    </row>
    <row r="1650" spans="1:16" ht="15">
      <c r="A1650" s="4" t="s">
        <v>2606</v>
      </c>
      <c r="B1650" s="30">
        <v>40051</v>
      </c>
      <c r="C1650" s="4"/>
      <c r="D1650" s="4" t="s">
        <v>193</v>
      </c>
      <c r="E1650" s="4" t="s">
        <v>170</v>
      </c>
      <c r="F1650" s="4" t="s">
        <v>155</v>
      </c>
      <c r="G1650" s="4">
        <v>5</v>
      </c>
      <c r="H1650" s="4">
        <v>2</v>
      </c>
      <c r="I1650" s="4" t="s">
        <v>140</v>
      </c>
      <c r="J1650" s="4" t="s">
        <v>384</v>
      </c>
      <c r="K1650" s="4" t="s">
        <v>142</v>
      </c>
      <c r="L1650" s="4" t="s">
        <v>162</v>
      </c>
      <c r="M1650" s="4" t="s">
        <v>2607</v>
      </c>
      <c r="N1650" s="4" t="s">
        <v>155</v>
      </c>
      <c r="O1650" s="4" t="s">
        <v>127</v>
      </c>
      <c r="P1650" s="4"/>
    </row>
    <row r="1651" spans="1:16" ht="15">
      <c r="A1651" s="4" t="s">
        <v>2608</v>
      </c>
      <c r="B1651" s="30">
        <v>40075</v>
      </c>
      <c r="C1651" s="4"/>
      <c r="D1651" s="4" t="s">
        <v>193</v>
      </c>
      <c r="E1651" s="4" t="s">
        <v>170</v>
      </c>
      <c r="F1651" s="4" t="s">
        <v>155</v>
      </c>
      <c r="G1651" s="4">
        <v>5</v>
      </c>
      <c r="H1651" s="4">
        <v>3</v>
      </c>
      <c r="I1651" s="4" t="s">
        <v>140</v>
      </c>
      <c r="J1651" s="4" t="s">
        <v>409</v>
      </c>
      <c r="K1651" s="4" t="s">
        <v>143</v>
      </c>
      <c r="L1651" s="4" t="s">
        <v>162</v>
      </c>
      <c r="M1651" s="4" t="s">
        <v>459</v>
      </c>
      <c r="N1651" s="4" t="s">
        <v>155</v>
      </c>
      <c r="O1651" s="4" t="s">
        <v>129</v>
      </c>
      <c r="P1651" s="4"/>
    </row>
    <row r="1652" spans="1:16" ht="15">
      <c r="A1652" s="4" t="s">
        <v>2609</v>
      </c>
      <c r="B1652" s="30">
        <v>40044</v>
      </c>
      <c r="C1652" s="4"/>
      <c r="D1652" s="4" t="s">
        <v>197</v>
      </c>
      <c r="E1652" s="4" t="s">
        <v>170</v>
      </c>
      <c r="F1652" s="4" t="s">
        <v>155</v>
      </c>
      <c r="G1652" s="4">
        <v>5</v>
      </c>
      <c r="H1652" s="4">
        <v>4</v>
      </c>
      <c r="I1652" s="4" t="s">
        <v>139</v>
      </c>
      <c r="J1652" s="4" t="s">
        <v>181</v>
      </c>
      <c r="K1652" s="4" t="s">
        <v>146</v>
      </c>
      <c r="L1652" s="4" t="s">
        <v>162</v>
      </c>
      <c r="M1652" s="4" t="s">
        <v>175</v>
      </c>
      <c r="N1652" s="4" t="s">
        <v>161</v>
      </c>
      <c r="O1652" s="4" t="s">
        <v>571</v>
      </c>
      <c r="P1652" s="4"/>
    </row>
    <row r="1653" spans="1:16" ht="15">
      <c r="A1653" s="4" t="s">
        <v>2610</v>
      </c>
      <c r="B1653" s="30">
        <v>39974</v>
      </c>
      <c r="C1653" s="4"/>
      <c r="D1653" s="4" t="s">
        <v>193</v>
      </c>
      <c r="E1653" s="4" t="s">
        <v>170</v>
      </c>
      <c r="F1653" s="4" t="s">
        <v>155</v>
      </c>
      <c r="G1653" s="4"/>
      <c r="H1653" s="4"/>
      <c r="I1653" s="4" t="s">
        <v>140</v>
      </c>
      <c r="J1653" s="4" t="s">
        <v>181</v>
      </c>
      <c r="K1653" s="4" t="s">
        <v>144</v>
      </c>
      <c r="L1653" s="4" t="s">
        <v>4176</v>
      </c>
      <c r="M1653" s="4" t="s">
        <v>174</v>
      </c>
      <c r="N1653" s="4" t="s">
        <v>157</v>
      </c>
      <c r="O1653" s="4" t="s">
        <v>127</v>
      </c>
      <c r="P1653" s="4" t="s">
        <v>153</v>
      </c>
    </row>
    <row r="1654" spans="1:16" ht="15">
      <c r="A1654" s="4" t="s">
        <v>2611</v>
      </c>
      <c r="B1654" s="30">
        <v>40059</v>
      </c>
      <c r="C1654" s="4"/>
      <c r="D1654" s="4" t="s">
        <v>193</v>
      </c>
      <c r="E1654" s="4" t="s">
        <v>170</v>
      </c>
      <c r="F1654" s="4" t="s">
        <v>155</v>
      </c>
      <c r="G1654" s="4">
        <v>1</v>
      </c>
      <c r="H1654" s="4">
        <v>4</v>
      </c>
      <c r="I1654" s="4" t="s">
        <v>140</v>
      </c>
      <c r="J1654" s="4" t="s">
        <v>182</v>
      </c>
      <c r="K1654" s="4" t="s">
        <v>143</v>
      </c>
      <c r="L1654" s="4" t="s">
        <v>162</v>
      </c>
      <c r="M1654" s="4" t="s">
        <v>175</v>
      </c>
      <c r="N1654" s="4" t="s">
        <v>155</v>
      </c>
      <c r="O1654" s="4" t="s">
        <v>129</v>
      </c>
      <c r="P1654" s="4"/>
    </row>
    <row r="1655" spans="1:16" ht="15">
      <c r="A1655" s="4" t="s">
        <v>2612</v>
      </c>
      <c r="B1655" s="30">
        <v>40036</v>
      </c>
      <c r="C1655" s="4"/>
      <c r="D1655" s="4" t="s">
        <v>193</v>
      </c>
      <c r="E1655" s="4" t="s">
        <v>170</v>
      </c>
      <c r="F1655" s="4" t="s">
        <v>155</v>
      </c>
      <c r="G1655" s="4">
        <v>5</v>
      </c>
      <c r="H1655" s="4">
        <v>3</v>
      </c>
      <c r="I1655" s="4" t="s">
        <v>140</v>
      </c>
      <c r="J1655" s="4" t="s">
        <v>178</v>
      </c>
      <c r="K1655" s="4" t="s">
        <v>144</v>
      </c>
      <c r="L1655" s="4" t="s">
        <v>4176</v>
      </c>
      <c r="M1655" s="4" t="s">
        <v>1241</v>
      </c>
      <c r="N1655" s="4" t="s">
        <v>156</v>
      </c>
      <c r="O1655" s="4" t="s">
        <v>120</v>
      </c>
      <c r="P1655" s="4" t="s">
        <v>1481</v>
      </c>
    </row>
    <row r="1656" spans="1:16" ht="15">
      <c r="A1656" s="4" t="s">
        <v>2613</v>
      </c>
      <c r="B1656" s="30">
        <v>39978</v>
      </c>
      <c r="C1656" s="4"/>
      <c r="D1656" s="4" t="s">
        <v>193</v>
      </c>
      <c r="E1656" s="4" t="s">
        <v>170</v>
      </c>
      <c r="F1656" s="4" t="s">
        <v>155</v>
      </c>
      <c r="G1656" s="4"/>
      <c r="H1656" s="4"/>
      <c r="I1656" s="4" t="s">
        <v>140</v>
      </c>
      <c r="J1656" s="4" t="s">
        <v>178</v>
      </c>
      <c r="K1656" s="4" t="s">
        <v>142</v>
      </c>
      <c r="L1656" s="4" t="s">
        <v>4176</v>
      </c>
      <c r="M1656" s="4" t="s">
        <v>174</v>
      </c>
      <c r="N1656" s="4" t="s">
        <v>156</v>
      </c>
      <c r="O1656" s="4" t="s">
        <v>120</v>
      </c>
      <c r="P1656" s="4" t="s">
        <v>2614</v>
      </c>
    </row>
    <row r="1657" spans="1:16" ht="15">
      <c r="A1657" s="4" t="s">
        <v>2615</v>
      </c>
      <c r="B1657" s="30">
        <v>39922</v>
      </c>
      <c r="C1657" s="4"/>
      <c r="D1657" s="4" t="s">
        <v>4183</v>
      </c>
      <c r="E1657" s="4" t="s">
        <v>170</v>
      </c>
      <c r="F1657" s="4" t="s">
        <v>155</v>
      </c>
      <c r="G1657" s="4"/>
      <c r="H1657" s="4"/>
      <c r="I1657" s="4" t="s">
        <v>140</v>
      </c>
      <c r="J1657" s="4" t="s">
        <v>183</v>
      </c>
      <c r="K1657" s="4" t="s">
        <v>147</v>
      </c>
      <c r="L1657" s="4" t="s">
        <v>4181</v>
      </c>
      <c r="M1657" s="4" t="s">
        <v>173</v>
      </c>
      <c r="N1657" s="4" t="s">
        <v>161</v>
      </c>
      <c r="O1657" s="4" t="s">
        <v>586</v>
      </c>
      <c r="P1657" s="4"/>
    </row>
    <row r="1658" spans="1:16" ht="15">
      <c r="A1658" s="4" t="s">
        <v>2616</v>
      </c>
      <c r="B1658" s="30">
        <v>39980</v>
      </c>
      <c r="C1658" s="4" t="s">
        <v>380</v>
      </c>
      <c r="D1658" s="4" t="s">
        <v>196</v>
      </c>
      <c r="E1658" s="4" t="s">
        <v>170</v>
      </c>
      <c r="F1658" s="4" t="s">
        <v>155</v>
      </c>
      <c r="G1658" s="4"/>
      <c r="H1658" s="4"/>
      <c r="I1658" s="4" t="s">
        <v>139</v>
      </c>
      <c r="J1658" s="4" t="s">
        <v>181</v>
      </c>
      <c r="K1658" s="4" t="s">
        <v>146</v>
      </c>
      <c r="L1658" s="4" t="s">
        <v>162</v>
      </c>
      <c r="M1658" s="4" t="s">
        <v>175</v>
      </c>
      <c r="N1658" s="4" t="s">
        <v>155</v>
      </c>
      <c r="O1658" s="4" t="s">
        <v>130</v>
      </c>
      <c r="P1658" s="4"/>
    </row>
    <row r="1659" spans="1:16" ht="15">
      <c r="A1659" s="4" t="s">
        <v>2617</v>
      </c>
      <c r="B1659" s="30">
        <v>40019</v>
      </c>
      <c r="C1659" s="4" t="s">
        <v>383</v>
      </c>
      <c r="D1659" s="4" t="s">
        <v>197</v>
      </c>
      <c r="E1659" s="4" t="s">
        <v>170</v>
      </c>
      <c r="F1659" s="4" t="s">
        <v>155</v>
      </c>
      <c r="G1659" s="4">
        <v>5</v>
      </c>
      <c r="H1659" s="4">
        <v>4</v>
      </c>
      <c r="I1659" s="4" t="s">
        <v>139</v>
      </c>
      <c r="J1659" s="4" t="s">
        <v>184</v>
      </c>
      <c r="K1659" s="4" t="s">
        <v>142</v>
      </c>
      <c r="L1659" s="4" t="s">
        <v>162</v>
      </c>
      <c r="M1659" s="4" t="s">
        <v>175</v>
      </c>
      <c r="N1659" s="4" t="s">
        <v>155</v>
      </c>
      <c r="O1659" s="4" t="s">
        <v>130</v>
      </c>
      <c r="P1659" s="4"/>
    </row>
    <row r="1660" spans="1:16" ht="15">
      <c r="A1660" s="4" t="s">
        <v>2618</v>
      </c>
      <c r="B1660" s="30">
        <v>39983</v>
      </c>
      <c r="C1660" s="4" t="s">
        <v>525</v>
      </c>
      <c r="D1660" s="4" t="s">
        <v>196</v>
      </c>
      <c r="E1660" s="4" t="s">
        <v>170</v>
      </c>
      <c r="F1660" s="4" t="s">
        <v>155</v>
      </c>
      <c r="G1660" s="4"/>
      <c r="H1660" s="4"/>
      <c r="I1660" s="4" t="s">
        <v>139</v>
      </c>
      <c r="J1660" s="4" t="s">
        <v>186</v>
      </c>
      <c r="K1660" s="4" t="s">
        <v>144</v>
      </c>
      <c r="L1660" s="4" t="s">
        <v>4176</v>
      </c>
      <c r="M1660" s="4" t="s">
        <v>174</v>
      </c>
      <c r="N1660" s="4" t="s">
        <v>157</v>
      </c>
      <c r="O1660" s="4" t="s">
        <v>127</v>
      </c>
      <c r="P1660" s="4" t="s">
        <v>153</v>
      </c>
    </row>
    <row r="1661" spans="1:16" ht="15">
      <c r="A1661" s="4" t="s">
        <v>2619</v>
      </c>
      <c r="B1661" s="30">
        <v>39981</v>
      </c>
      <c r="C1661" s="4"/>
      <c r="D1661" s="4" t="s">
        <v>193</v>
      </c>
      <c r="E1661" s="4" t="s">
        <v>170</v>
      </c>
      <c r="F1661" s="4" t="s">
        <v>155</v>
      </c>
      <c r="G1661" s="4"/>
      <c r="H1661" s="4"/>
      <c r="I1661" s="4" t="s">
        <v>140</v>
      </c>
      <c r="J1661" s="4" t="s">
        <v>183</v>
      </c>
      <c r="K1661" s="4" t="s">
        <v>151</v>
      </c>
      <c r="L1661" s="4" t="s">
        <v>4181</v>
      </c>
      <c r="M1661" s="4"/>
      <c r="N1661" s="4" t="s">
        <v>155</v>
      </c>
      <c r="O1661" s="4" t="s">
        <v>454</v>
      </c>
      <c r="P1661" s="4"/>
    </row>
    <row r="1662" spans="1:16" ht="15">
      <c r="A1662" s="4" t="s">
        <v>2620</v>
      </c>
      <c r="B1662" s="30">
        <v>40004</v>
      </c>
      <c r="C1662" s="4"/>
      <c r="D1662" s="4" t="s">
        <v>193</v>
      </c>
      <c r="E1662" s="4" t="s">
        <v>170</v>
      </c>
      <c r="F1662" s="4" t="s">
        <v>155</v>
      </c>
      <c r="G1662" s="4"/>
      <c r="H1662" s="4">
        <v>3</v>
      </c>
      <c r="I1662" s="4" t="s">
        <v>140</v>
      </c>
      <c r="J1662" s="4" t="s">
        <v>187</v>
      </c>
      <c r="K1662" s="4" t="s">
        <v>142</v>
      </c>
      <c r="L1662" s="4" t="s">
        <v>162</v>
      </c>
      <c r="M1662" s="4" t="s">
        <v>175</v>
      </c>
      <c r="N1662" s="4" t="s">
        <v>155</v>
      </c>
      <c r="O1662" s="4" t="s">
        <v>130</v>
      </c>
      <c r="P1662" s="4"/>
    </row>
    <row r="1663" spans="1:16" ht="15">
      <c r="A1663" s="4" t="s">
        <v>2621</v>
      </c>
      <c r="B1663" s="30">
        <v>39983</v>
      </c>
      <c r="C1663" s="4" t="s">
        <v>9</v>
      </c>
      <c r="D1663" s="4" t="s">
        <v>193</v>
      </c>
      <c r="E1663" s="4" t="s">
        <v>170</v>
      </c>
      <c r="F1663" s="4" t="s">
        <v>155</v>
      </c>
      <c r="G1663" s="4"/>
      <c r="H1663" s="4"/>
      <c r="I1663" s="4" t="s">
        <v>140</v>
      </c>
      <c r="J1663" s="4" t="s">
        <v>187</v>
      </c>
      <c r="K1663" s="4" t="s">
        <v>148</v>
      </c>
      <c r="L1663" s="4" t="s">
        <v>4176</v>
      </c>
      <c r="M1663" s="4" t="s">
        <v>1797</v>
      </c>
      <c r="N1663" s="4" t="s">
        <v>157</v>
      </c>
      <c r="O1663" s="4" t="s">
        <v>127</v>
      </c>
      <c r="P1663" s="4" t="s">
        <v>153</v>
      </c>
    </row>
    <row r="1664" spans="1:16" ht="15">
      <c r="A1664" s="4" t="s">
        <v>2622</v>
      </c>
      <c r="B1664" s="30">
        <v>40028</v>
      </c>
      <c r="C1664" s="4" t="s">
        <v>9</v>
      </c>
      <c r="D1664" s="4" t="s">
        <v>197</v>
      </c>
      <c r="E1664" s="4" t="s">
        <v>170</v>
      </c>
      <c r="F1664" s="4" t="s">
        <v>155</v>
      </c>
      <c r="G1664" s="4">
        <v>5</v>
      </c>
      <c r="H1664" s="4">
        <v>5</v>
      </c>
      <c r="I1664" s="4" t="s">
        <v>139</v>
      </c>
      <c r="J1664" s="4" t="s">
        <v>187</v>
      </c>
      <c r="K1664" s="4" t="s">
        <v>146</v>
      </c>
      <c r="L1664" s="4" t="s">
        <v>4176</v>
      </c>
      <c r="M1664" s="4" t="s">
        <v>174</v>
      </c>
      <c r="N1664" s="4" t="s">
        <v>159</v>
      </c>
      <c r="O1664" s="4" t="s">
        <v>123</v>
      </c>
      <c r="P1664" s="4" t="s">
        <v>123</v>
      </c>
    </row>
    <row r="1665" spans="1:16" ht="15">
      <c r="A1665" s="4" t="s">
        <v>2623</v>
      </c>
      <c r="B1665" s="30">
        <v>40060</v>
      </c>
      <c r="C1665" s="4" t="s">
        <v>380</v>
      </c>
      <c r="D1665" s="4" t="s">
        <v>193</v>
      </c>
      <c r="E1665" s="4" t="s">
        <v>170</v>
      </c>
      <c r="F1665" s="4" t="s">
        <v>155</v>
      </c>
      <c r="G1665" s="4">
        <v>5</v>
      </c>
      <c r="H1665" s="4">
        <v>3</v>
      </c>
      <c r="I1665" s="4" t="s">
        <v>140</v>
      </c>
      <c r="J1665" s="4" t="s">
        <v>191</v>
      </c>
      <c r="K1665" s="4" t="s">
        <v>143</v>
      </c>
      <c r="L1665" s="4" t="s">
        <v>165</v>
      </c>
      <c r="M1665" s="4" t="s">
        <v>2624</v>
      </c>
      <c r="N1665" s="4" t="s">
        <v>158</v>
      </c>
      <c r="O1665" s="4" t="s">
        <v>122</v>
      </c>
      <c r="P1665" s="4"/>
    </row>
    <row r="1666" spans="1:16" ht="15">
      <c r="A1666" s="4" t="s">
        <v>2625</v>
      </c>
      <c r="B1666" s="30">
        <v>39910</v>
      </c>
      <c r="C1666" s="4"/>
      <c r="D1666" s="4" t="s">
        <v>4182</v>
      </c>
      <c r="E1666" s="4" t="s">
        <v>170</v>
      </c>
      <c r="F1666" s="4" t="s">
        <v>155</v>
      </c>
      <c r="G1666" s="4"/>
      <c r="H1666" s="4"/>
      <c r="I1666" s="4" t="s">
        <v>139</v>
      </c>
      <c r="J1666" s="4" t="s">
        <v>188</v>
      </c>
      <c r="K1666" s="4" t="s">
        <v>143</v>
      </c>
      <c r="L1666" s="4" t="s">
        <v>4176</v>
      </c>
      <c r="M1666" s="4" t="s">
        <v>174</v>
      </c>
      <c r="N1666" s="4" t="s">
        <v>157</v>
      </c>
      <c r="O1666" s="4" t="s">
        <v>127</v>
      </c>
      <c r="P1666" s="4" t="s">
        <v>153</v>
      </c>
    </row>
    <row r="1667" spans="1:16" ht="15">
      <c r="A1667" s="4" t="s">
        <v>2626</v>
      </c>
      <c r="B1667" s="30">
        <v>40059</v>
      </c>
      <c r="C1667" s="4"/>
      <c r="D1667" s="4" t="s">
        <v>193</v>
      </c>
      <c r="E1667" s="4" t="s">
        <v>170</v>
      </c>
      <c r="F1667" s="4" t="s">
        <v>155</v>
      </c>
      <c r="G1667" s="4">
        <v>5</v>
      </c>
      <c r="H1667" s="4">
        <v>5</v>
      </c>
      <c r="I1667" s="4" t="s">
        <v>140</v>
      </c>
      <c r="J1667" s="4" t="s">
        <v>179</v>
      </c>
      <c r="K1667" s="4" t="s">
        <v>145</v>
      </c>
      <c r="L1667" s="4" t="s">
        <v>162</v>
      </c>
      <c r="M1667" s="4" t="s">
        <v>175</v>
      </c>
      <c r="N1667" s="4" t="s">
        <v>155</v>
      </c>
      <c r="O1667" s="4" t="s">
        <v>129</v>
      </c>
      <c r="P1667" s="4"/>
    </row>
    <row r="1668" spans="1:16" ht="15">
      <c r="A1668" s="4" t="s">
        <v>2627</v>
      </c>
      <c r="B1668" s="30">
        <v>39956</v>
      </c>
      <c r="C1668" s="4"/>
      <c r="D1668" s="4" t="s">
        <v>195</v>
      </c>
      <c r="E1668" s="4" t="s">
        <v>170</v>
      </c>
      <c r="F1668" s="4" t="s">
        <v>155</v>
      </c>
      <c r="G1668" s="4"/>
      <c r="H1668" s="4"/>
      <c r="I1668" s="4" t="s">
        <v>139</v>
      </c>
      <c r="J1668" s="4" t="s">
        <v>528</v>
      </c>
      <c r="K1668" s="4" t="s">
        <v>149</v>
      </c>
      <c r="L1668" s="4" t="s">
        <v>4181</v>
      </c>
      <c r="M1668" s="4" t="s">
        <v>173</v>
      </c>
      <c r="N1668" s="4" t="s">
        <v>161</v>
      </c>
      <c r="O1668" s="4" t="s">
        <v>586</v>
      </c>
      <c r="P1668" s="4"/>
    </row>
    <row r="1669" spans="1:16" ht="15">
      <c r="A1669" s="4" t="s">
        <v>2628</v>
      </c>
      <c r="B1669" s="30">
        <v>39965</v>
      </c>
      <c r="C1669" s="4" t="s">
        <v>9</v>
      </c>
      <c r="D1669" s="4" t="s">
        <v>194</v>
      </c>
      <c r="E1669" s="4" t="s">
        <v>170</v>
      </c>
      <c r="F1669" s="4" t="s">
        <v>155</v>
      </c>
      <c r="G1669" s="4"/>
      <c r="H1669" s="4"/>
      <c r="I1669" s="4" t="s">
        <v>139</v>
      </c>
      <c r="J1669" s="4" t="s">
        <v>413</v>
      </c>
      <c r="K1669" s="4" t="s">
        <v>143</v>
      </c>
      <c r="L1669" s="4" t="s">
        <v>4181</v>
      </c>
      <c r="M1669" s="4" t="s">
        <v>2629</v>
      </c>
      <c r="N1669" s="4" t="s">
        <v>155</v>
      </c>
      <c r="O1669" s="4" t="s">
        <v>1441</v>
      </c>
      <c r="P1669" s="4"/>
    </row>
    <row r="1670" spans="1:16" ht="15">
      <c r="A1670" s="4" t="s">
        <v>2630</v>
      </c>
      <c r="B1670" s="30">
        <v>40086</v>
      </c>
      <c r="C1670" s="4" t="s">
        <v>383</v>
      </c>
      <c r="D1670" s="4" t="s">
        <v>195</v>
      </c>
      <c r="E1670" s="4" t="s">
        <v>170</v>
      </c>
      <c r="F1670" s="4" t="s">
        <v>155</v>
      </c>
      <c r="G1670" s="4">
        <v>5</v>
      </c>
      <c r="H1670" s="4">
        <v>3</v>
      </c>
      <c r="I1670" s="4" t="s">
        <v>139</v>
      </c>
      <c r="J1670" s="4" t="s">
        <v>413</v>
      </c>
      <c r="K1670" s="4" t="s">
        <v>144</v>
      </c>
      <c r="L1670" s="4" t="s">
        <v>4176</v>
      </c>
      <c r="M1670" s="4" t="s">
        <v>174</v>
      </c>
      <c r="N1670" s="4" t="s">
        <v>160</v>
      </c>
      <c r="O1670" s="4" t="s">
        <v>484</v>
      </c>
      <c r="P1670" s="4" t="s">
        <v>924</v>
      </c>
    </row>
    <row r="1671" spans="1:16" ht="15">
      <c r="A1671" s="4" t="s">
        <v>2631</v>
      </c>
      <c r="B1671" s="30">
        <v>40077</v>
      </c>
      <c r="C1671" s="4" t="s">
        <v>9</v>
      </c>
      <c r="D1671" s="4" t="s">
        <v>193</v>
      </c>
      <c r="E1671" s="4" t="s">
        <v>170</v>
      </c>
      <c r="F1671" s="4" t="s">
        <v>155</v>
      </c>
      <c r="G1671" s="4">
        <v>5</v>
      </c>
      <c r="H1671" s="4">
        <v>3</v>
      </c>
      <c r="I1671" s="4" t="s">
        <v>140</v>
      </c>
      <c r="J1671" s="4" t="s">
        <v>185</v>
      </c>
      <c r="K1671" s="4" t="s">
        <v>144</v>
      </c>
      <c r="L1671" s="4" t="s">
        <v>4176</v>
      </c>
      <c r="M1671" s="4" t="s">
        <v>174</v>
      </c>
      <c r="N1671" s="4" t="s">
        <v>157</v>
      </c>
      <c r="O1671" s="4" t="s">
        <v>434</v>
      </c>
      <c r="P1671" s="4" t="s">
        <v>2632</v>
      </c>
    </row>
    <row r="1672" spans="1:16" ht="15">
      <c r="A1672" s="4" t="s">
        <v>2633</v>
      </c>
      <c r="B1672" s="30">
        <v>40070</v>
      </c>
      <c r="C1672" s="4"/>
      <c r="D1672" s="4" t="s">
        <v>197</v>
      </c>
      <c r="E1672" s="4" t="s">
        <v>170</v>
      </c>
      <c r="F1672" s="4" t="s">
        <v>155</v>
      </c>
      <c r="G1672" s="4">
        <v>5</v>
      </c>
      <c r="H1672" s="4">
        <v>3</v>
      </c>
      <c r="I1672" s="4" t="s">
        <v>139</v>
      </c>
      <c r="J1672" s="4" t="s">
        <v>185</v>
      </c>
      <c r="K1672" s="4" t="s">
        <v>143</v>
      </c>
      <c r="L1672" s="4" t="s">
        <v>162</v>
      </c>
      <c r="M1672" s="4" t="s">
        <v>597</v>
      </c>
      <c r="N1672" s="4" t="s">
        <v>155</v>
      </c>
      <c r="O1672" s="4" t="s">
        <v>127</v>
      </c>
      <c r="P1672" s="4"/>
    </row>
    <row r="1673" spans="1:16" ht="15">
      <c r="A1673" s="4" t="s">
        <v>2634</v>
      </c>
      <c r="B1673" s="30">
        <v>39908</v>
      </c>
      <c r="C1673" s="4"/>
      <c r="D1673" s="4" t="s">
        <v>4180</v>
      </c>
      <c r="E1673" s="4" t="s">
        <v>170</v>
      </c>
      <c r="F1673" s="4" t="s">
        <v>155</v>
      </c>
      <c r="G1673" s="4"/>
      <c r="H1673" s="4"/>
      <c r="I1673" s="4" t="s">
        <v>139</v>
      </c>
      <c r="J1673" s="4" t="s">
        <v>188</v>
      </c>
      <c r="K1673" s="4" t="s">
        <v>145</v>
      </c>
      <c r="L1673" s="4" t="s">
        <v>4181</v>
      </c>
      <c r="M1673" s="4" t="s">
        <v>173</v>
      </c>
      <c r="N1673" s="4" t="s">
        <v>155</v>
      </c>
      <c r="O1673" s="4" t="s">
        <v>454</v>
      </c>
      <c r="P1673" s="4"/>
    </row>
    <row r="1674" spans="1:16" ht="15">
      <c r="A1674" s="4" t="s">
        <v>2635</v>
      </c>
      <c r="B1674" s="30">
        <v>39967</v>
      </c>
      <c r="C1674" s="4"/>
      <c r="D1674" s="4" t="s">
        <v>194</v>
      </c>
      <c r="E1674" s="4" t="s">
        <v>170</v>
      </c>
      <c r="F1674" s="4" t="s">
        <v>155</v>
      </c>
      <c r="G1674" s="4"/>
      <c r="H1674" s="4"/>
      <c r="I1674" s="4" t="s">
        <v>139</v>
      </c>
      <c r="J1674" s="4" t="s">
        <v>479</v>
      </c>
      <c r="K1674" s="4" t="s">
        <v>142</v>
      </c>
      <c r="L1674" s="4" t="s">
        <v>4181</v>
      </c>
      <c r="M1674" s="4" t="s">
        <v>173</v>
      </c>
      <c r="N1674" s="4" t="s">
        <v>155</v>
      </c>
      <c r="O1674" s="4" t="s">
        <v>125</v>
      </c>
      <c r="P1674" s="4"/>
    </row>
    <row r="1675" spans="1:16" ht="15">
      <c r="A1675" s="4" t="s">
        <v>2636</v>
      </c>
      <c r="B1675" s="30">
        <v>39923</v>
      </c>
      <c r="C1675" s="4" t="s">
        <v>496</v>
      </c>
      <c r="D1675" s="4" t="s">
        <v>4177</v>
      </c>
      <c r="E1675" s="4" t="s">
        <v>170</v>
      </c>
      <c r="F1675" s="4" t="s">
        <v>155</v>
      </c>
      <c r="G1675" s="4"/>
      <c r="H1675" s="4"/>
      <c r="I1675" s="4" t="s">
        <v>139</v>
      </c>
      <c r="J1675" s="4" t="s">
        <v>391</v>
      </c>
      <c r="K1675" s="4" t="s">
        <v>149</v>
      </c>
      <c r="L1675" s="4" t="s">
        <v>4181</v>
      </c>
      <c r="M1675" s="4" t="s">
        <v>173</v>
      </c>
      <c r="N1675" s="4" t="s">
        <v>155</v>
      </c>
      <c r="O1675" s="4" t="s">
        <v>439</v>
      </c>
      <c r="P1675" s="4"/>
    </row>
    <row r="1676" spans="1:16" ht="15">
      <c r="A1676" s="4" t="s">
        <v>2637</v>
      </c>
      <c r="B1676" s="30">
        <v>39961</v>
      </c>
      <c r="C1676" s="4" t="s">
        <v>525</v>
      </c>
      <c r="D1676" s="4" t="s">
        <v>193</v>
      </c>
      <c r="E1676" s="4" t="s">
        <v>170</v>
      </c>
      <c r="F1676" s="4" t="s">
        <v>155</v>
      </c>
      <c r="G1676" s="4"/>
      <c r="H1676" s="4"/>
      <c r="I1676" s="4" t="s">
        <v>140</v>
      </c>
      <c r="J1676" s="4" t="s">
        <v>185</v>
      </c>
      <c r="K1676" s="4" t="s">
        <v>142</v>
      </c>
      <c r="L1676" s="4" t="s">
        <v>4181</v>
      </c>
      <c r="M1676" s="4" t="s">
        <v>1308</v>
      </c>
      <c r="N1676" s="4" t="s">
        <v>161</v>
      </c>
      <c r="O1676" s="4" t="s">
        <v>1840</v>
      </c>
      <c r="P1676" s="4"/>
    </row>
    <row r="1677" spans="1:16" ht="15">
      <c r="A1677" s="4" t="s">
        <v>2638</v>
      </c>
      <c r="B1677" s="30">
        <v>39996</v>
      </c>
      <c r="C1677" s="4"/>
      <c r="D1677" s="4" t="s">
        <v>193</v>
      </c>
      <c r="E1677" s="4" t="s">
        <v>170</v>
      </c>
      <c r="F1677" s="4" t="s">
        <v>155</v>
      </c>
      <c r="G1677" s="4"/>
      <c r="H1677" s="4">
        <v>5</v>
      </c>
      <c r="I1677" s="4" t="s">
        <v>140</v>
      </c>
      <c r="J1677" s="4" t="s">
        <v>413</v>
      </c>
      <c r="K1677" s="4" t="s">
        <v>150</v>
      </c>
      <c r="L1677" s="4" t="s">
        <v>4181</v>
      </c>
      <c r="M1677" s="4" t="s">
        <v>173</v>
      </c>
      <c r="N1677" s="4" t="s">
        <v>155</v>
      </c>
      <c r="O1677" s="4" t="s">
        <v>124</v>
      </c>
      <c r="P1677" s="4"/>
    </row>
    <row r="1678" spans="1:16" ht="15">
      <c r="A1678" s="4" t="s">
        <v>2639</v>
      </c>
      <c r="B1678" s="30">
        <v>40044</v>
      </c>
      <c r="C1678" s="4"/>
      <c r="D1678" s="4" t="s">
        <v>196</v>
      </c>
      <c r="E1678" s="4" t="s">
        <v>170</v>
      </c>
      <c r="F1678" s="4" t="s">
        <v>155</v>
      </c>
      <c r="G1678" s="4">
        <v>5</v>
      </c>
      <c r="H1678" s="4">
        <v>5</v>
      </c>
      <c r="I1678" s="4" t="s">
        <v>139</v>
      </c>
      <c r="J1678" s="4" t="s">
        <v>185</v>
      </c>
      <c r="K1678" s="4" t="s">
        <v>144</v>
      </c>
      <c r="L1678" s="4" t="s">
        <v>162</v>
      </c>
      <c r="M1678" s="4" t="s">
        <v>176</v>
      </c>
      <c r="N1678" s="4" t="s">
        <v>155</v>
      </c>
      <c r="O1678" s="4" t="s">
        <v>129</v>
      </c>
      <c r="P1678" s="4"/>
    </row>
    <row r="1679" spans="1:16" ht="15">
      <c r="A1679" s="4" t="s">
        <v>2640</v>
      </c>
      <c r="B1679" s="30">
        <v>39993</v>
      </c>
      <c r="C1679" s="4" t="s">
        <v>9</v>
      </c>
      <c r="D1679" s="4" t="s">
        <v>195</v>
      </c>
      <c r="E1679" s="4" t="s">
        <v>170</v>
      </c>
      <c r="F1679" s="4" t="s">
        <v>155</v>
      </c>
      <c r="G1679" s="4"/>
      <c r="H1679" s="4">
        <v>3</v>
      </c>
      <c r="I1679" s="4" t="s">
        <v>139</v>
      </c>
      <c r="J1679" s="4" t="s">
        <v>185</v>
      </c>
      <c r="K1679" s="4" t="s">
        <v>148</v>
      </c>
      <c r="L1679" s="4" t="s">
        <v>4181</v>
      </c>
      <c r="M1679" s="4" t="s">
        <v>797</v>
      </c>
      <c r="N1679" s="4" t="s">
        <v>155</v>
      </c>
      <c r="O1679" s="4" t="s">
        <v>124</v>
      </c>
      <c r="P1679" s="4"/>
    </row>
    <row r="1680" spans="1:16" ht="15">
      <c r="A1680" s="4" t="s">
        <v>2641</v>
      </c>
      <c r="B1680" s="30">
        <v>40026</v>
      </c>
      <c r="C1680" s="4" t="s">
        <v>9</v>
      </c>
      <c r="D1680" s="4" t="s">
        <v>197</v>
      </c>
      <c r="E1680" s="4" t="s">
        <v>170</v>
      </c>
      <c r="F1680" s="4" t="s">
        <v>155</v>
      </c>
      <c r="G1680" s="4">
        <v>5</v>
      </c>
      <c r="H1680" s="4">
        <v>3</v>
      </c>
      <c r="I1680" s="4" t="s">
        <v>139</v>
      </c>
      <c r="J1680" s="4" t="s">
        <v>185</v>
      </c>
      <c r="K1680" s="4" t="s">
        <v>150</v>
      </c>
      <c r="L1680" s="4" t="s">
        <v>4181</v>
      </c>
      <c r="M1680" s="4"/>
      <c r="N1680" s="4" t="s">
        <v>155</v>
      </c>
      <c r="O1680" s="4" t="s">
        <v>128</v>
      </c>
      <c r="P1680" s="4"/>
    </row>
    <row r="1681" spans="1:16" ht="15">
      <c r="A1681" s="4" t="s">
        <v>2642</v>
      </c>
      <c r="B1681" s="30">
        <v>40032</v>
      </c>
      <c r="C1681" s="4"/>
      <c r="D1681" s="4" t="s">
        <v>193</v>
      </c>
      <c r="E1681" s="4" t="s">
        <v>170</v>
      </c>
      <c r="F1681" s="4" t="s">
        <v>155</v>
      </c>
      <c r="G1681" s="4">
        <v>5</v>
      </c>
      <c r="H1681" s="4">
        <v>4</v>
      </c>
      <c r="I1681" s="4" t="s">
        <v>140</v>
      </c>
      <c r="J1681" s="4" t="s">
        <v>528</v>
      </c>
      <c r="K1681" s="4" t="s">
        <v>146</v>
      </c>
      <c r="L1681" s="4" t="s">
        <v>4181</v>
      </c>
      <c r="M1681" s="4" t="s">
        <v>902</v>
      </c>
      <c r="N1681" s="4" t="s">
        <v>155</v>
      </c>
      <c r="O1681" s="4" t="s">
        <v>125</v>
      </c>
      <c r="P1681" s="4"/>
    </row>
    <row r="1682" spans="1:16" ht="15">
      <c r="A1682" s="4" t="s">
        <v>2643</v>
      </c>
      <c r="B1682" s="30">
        <v>39997</v>
      </c>
      <c r="C1682" s="4"/>
      <c r="D1682" s="4" t="s">
        <v>193</v>
      </c>
      <c r="E1682" s="4" t="s">
        <v>170</v>
      </c>
      <c r="F1682" s="4" t="s">
        <v>155</v>
      </c>
      <c r="G1682" s="4"/>
      <c r="H1682" s="4">
        <v>3</v>
      </c>
      <c r="I1682" s="4" t="s">
        <v>140</v>
      </c>
      <c r="J1682" s="4" t="s">
        <v>185</v>
      </c>
      <c r="K1682" s="4" t="s">
        <v>142</v>
      </c>
      <c r="L1682" s="4" t="s">
        <v>4176</v>
      </c>
      <c r="M1682" s="4" t="s">
        <v>174</v>
      </c>
      <c r="N1682" s="4" t="s">
        <v>156</v>
      </c>
      <c r="O1682" s="4" t="s">
        <v>120</v>
      </c>
      <c r="P1682" s="4" t="s">
        <v>1932</v>
      </c>
    </row>
    <row r="1683" spans="1:16" ht="15">
      <c r="A1683" s="4" t="s">
        <v>2644</v>
      </c>
      <c r="B1683" s="30">
        <v>39918</v>
      </c>
      <c r="C1683" s="4" t="s">
        <v>380</v>
      </c>
      <c r="D1683" s="4" t="s">
        <v>4179</v>
      </c>
      <c r="E1683" s="4" t="s">
        <v>170</v>
      </c>
      <c r="F1683" s="4" t="s">
        <v>155</v>
      </c>
      <c r="G1683" s="4"/>
      <c r="H1683" s="4"/>
      <c r="I1683" s="4" t="s">
        <v>139</v>
      </c>
      <c r="J1683" s="4" t="s">
        <v>479</v>
      </c>
      <c r="K1683" s="4" t="s">
        <v>149</v>
      </c>
      <c r="L1683" s="4" t="s">
        <v>4176</v>
      </c>
      <c r="M1683" s="4" t="s">
        <v>174</v>
      </c>
      <c r="N1683" s="4" t="s">
        <v>157</v>
      </c>
      <c r="O1683" s="4" t="s">
        <v>130</v>
      </c>
      <c r="P1683" s="4" t="s">
        <v>437</v>
      </c>
    </row>
    <row r="1684" spans="1:16" ht="15">
      <c r="A1684" s="4" t="s">
        <v>2645</v>
      </c>
      <c r="B1684" s="30">
        <v>40040</v>
      </c>
      <c r="C1684" s="4" t="s">
        <v>383</v>
      </c>
      <c r="D1684" s="4" t="s">
        <v>196</v>
      </c>
      <c r="E1684" s="4" t="s">
        <v>170</v>
      </c>
      <c r="F1684" s="4" t="s">
        <v>155</v>
      </c>
      <c r="G1684" s="4">
        <v>1</v>
      </c>
      <c r="H1684" s="4">
        <v>5</v>
      </c>
      <c r="I1684" s="4" t="s">
        <v>139</v>
      </c>
      <c r="J1684" s="4" t="s">
        <v>188</v>
      </c>
      <c r="K1684" s="4" t="s">
        <v>144</v>
      </c>
      <c r="L1684" s="4" t="s">
        <v>4176</v>
      </c>
      <c r="M1684" s="4" t="s">
        <v>174</v>
      </c>
      <c r="N1684" s="4" t="s">
        <v>157</v>
      </c>
      <c r="O1684" s="4" t="s">
        <v>434</v>
      </c>
      <c r="P1684" s="4" t="s">
        <v>435</v>
      </c>
    </row>
    <row r="1685" spans="1:16" ht="15">
      <c r="A1685" s="4" t="s">
        <v>2646</v>
      </c>
      <c r="B1685" s="30">
        <v>40031</v>
      </c>
      <c r="C1685" s="4"/>
      <c r="D1685" s="4" t="s">
        <v>193</v>
      </c>
      <c r="E1685" s="4" t="s">
        <v>170</v>
      </c>
      <c r="F1685" s="4" t="s">
        <v>155</v>
      </c>
      <c r="G1685" s="4">
        <v>5</v>
      </c>
      <c r="H1685" s="4">
        <v>5</v>
      </c>
      <c r="I1685" s="4" t="s">
        <v>140</v>
      </c>
      <c r="J1685" s="4" t="s">
        <v>191</v>
      </c>
      <c r="K1685" s="4" t="s">
        <v>142</v>
      </c>
      <c r="L1685" s="4" t="s">
        <v>162</v>
      </c>
      <c r="M1685" s="4" t="s">
        <v>573</v>
      </c>
      <c r="N1685" s="4" t="s">
        <v>155</v>
      </c>
      <c r="O1685" s="4" t="s">
        <v>127</v>
      </c>
      <c r="P1685" s="4"/>
    </row>
    <row r="1686" spans="1:16" ht="15">
      <c r="A1686" s="4" t="s">
        <v>2647</v>
      </c>
      <c r="B1686" s="30">
        <v>39984</v>
      </c>
      <c r="C1686" s="4"/>
      <c r="D1686" s="4" t="s">
        <v>193</v>
      </c>
      <c r="E1686" s="4" t="s">
        <v>170</v>
      </c>
      <c r="F1686" s="4" t="s">
        <v>155</v>
      </c>
      <c r="G1686" s="4"/>
      <c r="H1686" s="4"/>
      <c r="I1686" s="4" t="s">
        <v>140</v>
      </c>
      <c r="J1686" s="4" t="s">
        <v>181</v>
      </c>
      <c r="K1686" s="4" t="s">
        <v>143</v>
      </c>
      <c r="L1686" s="4" t="s">
        <v>4176</v>
      </c>
      <c r="M1686" s="4" t="s">
        <v>174</v>
      </c>
      <c r="N1686" s="4" t="s">
        <v>157</v>
      </c>
      <c r="O1686" s="4" t="s">
        <v>127</v>
      </c>
      <c r="P1686" s="4" t="s">
        <v>153</v>
      </c>
    </row>
    <row r="1687" spans="1:16" ht="15">
      <c r="A1687" s="4" t="s">
        <v>2648</v>
      </c>
      <c r="B1687" s="30">
        <v>39984</v>
      </c>
      <c r="C1687" s="4"/>
      <c r="D1687" s="4" t="s">
        <v>193</v>
      </c>
      <c r="E1687" s="4" t="s">
        <v>170</v>
      </c>
      <c r="F1687" s="4" t="s">
        <v>155</v>
      </c>
      <c r="G1687" s="4"/>
      <c r="H1687" s="4"/>
      <c r="I1687" s="4" t="s">
        <v>140</v>
      </c>
      <c r="J1687" s="4" t="s">
        <v>181</v>
      </c>
      <c r="K1687" s="4" t="s">
        <v>142</v>
      </c>
      <c r="L1687" s="4" t="s">
        <v>162</v>
      </c>
      <c r="M1687" s="4" t="s">
        <v>622</v>
      </c>
      <c r="N1687" s="4" t="s">
        <v>155</v>
      </c>
      <c r="O1687" s="4" t="s">
        <v>130</v>
      </c>
      <c r="P1687" s="4"/>
    </row>
    <row r="1688" spans="1:16" ht="15">
      <c r="A1688" s="4" t="s">
        <v>2649</v>
      </c>
      <c r="B1688" s="30">
        <v>40076</v>
      </c>
      <c r="C1688" s="4"/>
      <c r="D1688" s="4" t="s">
        <v>544</v>
      </c>
      <c r="E1688" s="4" t="s">
        <v>170</v>
      </c>
      <c r="F1688" s="4" t="s">
        <v>155</v>
      </c>
      <c r="G1688" s="4">
        <v>3</v>
      </c>
      <c r="H1688" s="4">
        <v>3</v>
      </c>
      <c r="I1688" s="4" t="s">
        <v>139</v>
      </c>
      <c r="J1688" s="4" t="s">
        <v>384</v>
      </c>
      <c r="K1688" s="4" t="s">
        <v>144</v>
      </c>
      <c r="L1688" s="4" t="s">
        <v>4181</v>
      </c>
      <c r="M1688" s="4" t="s">
        <v>173</v>
      </c>
      <c r="N1688" s="4" t="s">
        <v>155</v>
      </c>
      <c r="O1688" s="4" t="s">
        <v>128</v>
      </c>
      <c r="P1688" s="4"/>
    </row>
    <row r="1689" spans="1:16" ht="15">
      <c r="A1689" s="4" t="s">
        <v>2650</v>
      </c>
      <c r="B1689" s="30">
        <v>40084</v>
      </c>
      <c r="C1689" s="4"/>
      <c r="D1689" s="4" t="s">
        <v>196</v>
      </c>
      <c r="E1689" s="4" t="s">
        <v>170</v>
      </c>
      <c r="F1689" s="4" t="s">
        <v>155</v>
      </c>
      <c r="G1689" s="4">
        <v>5</v>
      </c>
      <c r="H1689" s="4">
        <v>5</v>
      </c>
      <c r="I1689" s="4" t="s">
        <v>139</v>
      </c>
      <c r="J1689" s="4" t="s">
        <v>433</v>
      </c>
      <c r="K1689" s="4" t="s">
        <v>142</v>
      </c>
      <c r="L1689" s="4" t="s">
        <v>4176</v>
      </c>
      <c r="M1689" s="4" t="s">
        <v>174</v>
      </c>
      <c r="N1689" s="4" t="s">
        <v>157</v>
      </c>
      <c r="O1689" s="4" t="s">
        <v>434</v>
      </c>
      <c r="P1689" s="4" t="s">
        <v>435</v>
      </c>
    </row>
    <row r="1690" spans="1:16" ht="15">
      <c r="A1690" s="4" t="s">
        <v>2651</v>
      </c>
      <c r="B1690" s="30">
        <v>39991</v>
      </c>
      <c r="C1690" s="4"/>
      <c r="D1690" s="4" t="s">
        <v>195</v>
      </c>
      <c r="E1690" s="4" t="s">
        <v>170</v>
      </c>
      <c r="F1690" s="4" t="s">
        <v>155</v>
      </c>
      <c r="G1690" s="4"/>
      <c r="H1690" s="4">
        <v>3</v>
      </c>
      <c r="I1690" s="4" t="s">
        <v>139</v>
      </c>
      <c r="J1690" s="4" t="s">
        <v>576</v>
      </c>
      <c r="K1690" s="4" t="s">
        <v>144</v>
      </c>
      <c r="L1690" s="4" t="s">
        <v>165</v>
      </c>
      <c r="M1690" s="4" t="s">
        <v>589</v>
      </c>
      <c r="N1690" s="4" t="s">
        <v>158</v>
      </c>
      <c r="O1690" s="4" t="s">
        <v>122</v>
      </c>
      <c r="P1690" s="4"/>
    </row>
    <row r="1691" spans="1:16" ht="15">
      <c r="A1691" s="4" t="s">
        <v>2652</v>
      </c>
      <c r="B1691" s="30">
        <v>39909</v>
      </c>
      <c r="C1691" s="4"/>
      <c r="D1691" s="4" t="s">
        <v>4179</v>
      </c>
      <c r="E1691" s="4" t="s">
        <v>170</v>
      </c>
      <c r="F1691" s="4" t="s">
        <v>155</v>
      </c>
      <c r="G1691" s="4"/>
      <c r="H1691" s="4"/>
      <c r="I1691" s="4" t="s">
        <v>139</v>
      </c>
      <c r="J1691" s="4" t="s">
        <v>191</v>
      </c>
      <c r="K1691" s="4" t="s">
        <v>148</v>
      </c>
      <c r="L1691" s="4" t="s">
        <v>4176</v>
      </c>
      <c r="M1691" s="4" t="s">
        <v>2438</v>
      </c>
      <c r="N1691" s="4" t="s">
        <v>160</v>
      </c>
      <c r="O1691" s="4" t="s">
        <v>392</v>
      </c>
      <c r="P1691" s="4" t="s">
        <v>393</v>
      </c>
    </row>
    <row r="1692" spans="1:16" ht="15">
      <c r="A1692" s="4" t="s">
        <v>2653</v>
      </c>
      <c r="B1692" s="30">
        <v>40028</v>
      </c>
      <c r="C1692" s="4" t="s">
        <v>496</v>
      </c>
      <c r="D1692" s="4" t="s">
        <v>196</v>
      </c>
      <c r="E1692" s="4" t="s">
        <v>170</v>
      </c>
      <c r="F1692" s="4" t="s">
        <v>155</v>
      </c>
      <c r="G1692" s="4">
        <v>2</v>
      </c>
      <c r="H1692" s="4">
        <v>3</v>
      </c>
      <c r="I1692" s="4" t="s">
        <v>139</v>
      </c>
      <c r="J1692" s="4" t="s">
        <v>185</v>
      </c>
      <c r="K1692" s="4" t="s">
        <v>145</v>
      </c>
      <c r="L1692" s="4" t="s">
        <v>162</v>
      </c>
      <c r="M1692" s="4" t="s">
        <v>175</v>
      </c>
      <c r="N1692" s="4" t="s">
        <v>155</v>
      </c>
      <c r="O1692" s="4" t="s">
        <v>129</v>
      </c>
      <c r="P1692" s="4"/>
    </row>
    <row r="1693" spans="1:16" ht="15">
      <c r="A1693" s="4" t="s">
        <v>2654</v>
      </c>
      <c r="B1693" s="30">
        <v>40038</v>
      </c>
      <c r="C1693" s="4"/>
      <c r="D1693" s="4" t="s">
        <v>196</v>
      </c>
      <c r="E1693" s="4" t="s">
        <v>170</v>
      </c>
      <c r="F1693" s="4" t="s">
        <v>155</v>
      </c>
      <c r="G1693" s="4">
        <v>5</v>
      </c>
      <c r="H1693" s="4">
        <v>4</v>
      </c>
      <c r="I1693" s="4" t="s">
        <v>139</v>
      </c>
      <c r="J1693" s="4" t="s">
        <v>528</v>
      </c>
      <c r="K1693" s="4" t="s">
        <v>144</v>
      </c>
      <c r="L1693" s="4" t="s">
        <v>4176</v>
      </c>
      <c r="M1693" s="4" t="s">
        <v>1728</v>
      </c>
      <c r="N1693" s="4" t="s">
        <v>157</v>
      </c>
      <c r="O1693" s="4" t="s">
        <v>127</v>
      </c>
      <c r="P1693" s="4" t="s">
        <v>153</v>
      </c>
    </row>
    <row r="1694" spans="1:16" ht="15">
      <c r="A1694" s="4" t="s">
        <v>2655</v>
      </c>
      <c r="B1694" s="30">
        <v>39968</v>
      </c>
      <c r="C1694" s="4"/>
      <c r="D1694" s="4" t="s">
        <v>193</v>
      </c>
      <c r="E1694" s="4" t="s">
        <v>170</v>
      </c>
      <c r="F1694" s="4" t="s">
        <v>155</v>
      </c>
      <c r="G1694" s="4"/>
      <c r="H1694" s="4"/>
      <c r="I1694" s="4" t="s">
        <v>140</v>
      </c>
      <c r="J1694" s="4" t="s">
        <v>185</v>
      </c>
      <c r="K1694" s="4" t="s">
        <v>144</v>
      </c>
      <c r="L1694" s="4" t="s">
        <v>4176</v>
      </c>
      <c r="M1694" s="4" t="s">
        <v>174</v>
      </c>
      <c r="N1694" s="4" t="s">
        <v>157</v>
      </c>
      <c r="O1694" s="4" t="s">
        <v>130</v>
      </c>
      <c r="P1694" s="4" t="s">
        <v>437</v>
      </c>
    </row>
    <row r="1695" spans="1:16" ht="15">
      <c r="A1695" s="4" t="s">
        <v>2656</v>
      </c>
      <c r="B1695" s="30">
        <v>40020</v>
      </c>
      <c r="C1695" s="4"/>
      <c r="D1695" s="4" t="s">
        <v>193</v>
      </c>
      <c r="E1695" s="4" t="s">
        <v>170</v>
      </c>
      <c r="F1695" s="4" t="s">
        <v>155</v>
      </c>
      <c r="G1695" s="4">
        <v>5</v>
      </c>
      <c r="H1695" s="4">
        <v>5</v>
      </c>
      <c r="I1695" s="4" t="s">
        <v>140</v>
      </c>
      <c r="J1695" s="4" t="s">
        <v>184</v>
      </c>
      <c r="K1695" s="4" t="s">
        <v>148</v>
      </c>
      <c r="L1695" s="4" t="s">
        <v>162</v>
      </c>
      <c r="M1695" s="4"/>
      <c r="N1695" s="4" t="s">
        <v>155</v>
      </c>
      <c r="O1695" s="4" t="s">
        <v>130</v>
      </c>
      <c r="P1695" s="4"/>
    </row>
    <row r="1696" spans="1:16" ht="15">
      <c r="A1696" s="4" t="s">
        <v>2657</v>
      </c>
      <c r="B1696" s="30">
        <v>39922</v>
      </c>
      <c r="C1696" s="4" t="s">
        <v>9</v>
      </c>
      <c r="D1696" s="4" t="s">
        <v>4177</v>
      </c>
      <c r="E1696" s="4" t="s">
        <v>170</v>
      </c>
      <c r="F1696" s="4" t="s">
        <v>155</v>
      </c>
      <c r="G1696" s="4"/>
      <c r="H1696" s="4"/>
      <c r="I1696" s="4" t="s">
        <v>139</v>
      </c>
      <c r="J1696" s="4" t="s">
        <v>184</v>
      </c>
      <c r="K1696" s="4" t="s">
        <v>151</v>
      </c>
      <c r="L1696" s="4" t="s">
        <v>4176</v>
      </c>
      <c r="M1696" s="4" t="s">
        <v>174</v>
      </c>
      <c r="N1696" s="4" t="s">
        <v>156</v>
      </c>
      <c r="O1696" s="4" t="s">
        <v>120</v>
      </c>
      <c r="P1696" s="4" t="s">
        <v>1868</v>
      </c>
    </row>
    <row r="1697" spans="1:16" ht="15">
      <c r="A1697" s="4" t="s">
        <v>2658</v>
      </c>
      <c r="B1697" s="30">
        <v>40048</v>
      </c>
      <c r="C1697" s="4"/>
      <c r="D1697" s="4" t="s">
        <v>195</v>
      </c>
      <c r="E1697" s="4" t="s">
        <v>170</v>
      </c>
      <c r="F1697" s="4" t="s">
        <v>155</v>
      </c>
      <c r="G1697" s="4">
        <v>5</v>
      </c>
      <c r="H1697" s="4">
        <v>2</v>
      </c>
      <c r="I1697" s="4" t="s">
        <v>139</v>
      </c>
      <c r="J1697" s="4" t="s">
        <v>182</v>
      </c>
      <c r="K1697" s="4" t="s">
        <v>146</v>
      </c>
      <c r="L1697" s="4" t="s">
        <v>4176</v>
      </c>
      <c r="M1697" s="4" t="s">
        <v>174</v>
      </c>
      <c r="N1697" s="4" t="s">
        <v>157</v>
      </c>
      <c r="O1697" s="4" t="s">
        <v>127</v>
      </c>
      <c r="P1697" s="4" t="s">
        <v>1005</v>
      </c>
    </row>
    <row r="1698" spans="1:16" ht="15">
      <c r="A1698" s="4" t="s">
        <v>2659</v>
      </c>
      <c r="B1698" s="30">
        <v>39976</v>
      </c>
      <c r="C1698" s="4"/>
      <c r="D1698" s="4" t="s">
        <v>195</v>
      </c>
      <c r="E1698" s="4" t="s">
        <v>170</v>
      </c>
      <c r="F1698" s="4" t="s">
        <v>155</v>
      </c>
      <c r="G1698" s="4"/>
      <c r="H1698" s="4"/>
      <c r="I1698" s="4" t="s">
        <v>139</v>
      </c>
      <c r="J1698" s="4" t="s">
        <v>182</v>
      </c>
      <c r="K1698" s="4" t="s">
        <v>145</v>
      </c>
      <c r="L1698" s="4" t="s">
        <v>165</v>
      </c>
      <c r="M1698" s="4" t="s">
        <v>589</v>
      </c>
      <c r="N1698" s="4" t="s">
        <v>158</v>
      </c>
      <c r="O1698" s="4" t="s">
        <v>122</v>
      </c>
      <c r="P1698" s="4"/>
    </row>
    <row r="1699" spans="1:16" ht="15">
      <c r="A1699" s="4" t="s">
        <v>2660</v>
      </c>
      <c r="B1699" s="30">
        <v>39908</v>
      </c>
      <c r="C1699" s="4" t="s">
        <v>380</v>
      </c>
      <c r="D1699" s="4" t="s">
        <v>4180</v>
      </c>
      <c r="E1699" s="4" t="s">
        <v>170</v>
      </c>
      <c r="F1699" s="4" t="s">
        <v>155</v>
      </c>
      <c r="G1699" s="4"/>
      <c r="H1699" s="4"/>
      <c r="I1699" s="4" t="s">
        <v>139</v>
      </c>
      <c r="J1699" s="4" t="s">
        <v>182</v>
      </c>
      <c r="K1699" s="4" t="s">
        <v>148</v>
      </c>
      <c r="L1699" s="4" t="s">
        <v>4181</v>
      </c>
      <c r="M1699" s="4" t="s">
        <v>1206</v>
      </c>
      <c r="N1699" s="4" t="s">
        <v>155</v>
      </c>
      <c r="O1699" s="4" t="s">
        <v>127</v>
      </c>
      <c r="P1699" s="4"/>
    </row>
    <row r="1700" spans="1:16" ht="15">
      <c r="A1700" s="4" t="s">
        <v>2661</v>
      </c>
      <c r="B1700" s="30">
        <v>40018</v>
      </c>
      <c r="C1700" s="4"/>
      <c r="D1700" s="4" t="s">
        <v>195</v>
      </c>
      <c r="E1700" s="4" t="s">
        <v>170</v>
      </c>
      <c r="F1700" s="4" t="s">
        <v>155</v>
      </c>
      <c r="G1700" s="4">
        <v>4</v>
      </c>
      <c r="H1700" s="4">
        <v>4</v>
      </c>
      <c r="I1700" s="4" t="s">
        <v>139</v>
      </c>
      <c r="J1700" s="4" t="s">
        <v>182</v>
      </c>
      <c r="K1700" s="4" t="s">
        <v>144</v>
      </c>
      <c r="L1700" s="4" t="s">
        <v>162</v>
      </c>
      <c r="M1700" s="4"/>
      <c r="N1700" s="4" t="s">
        <v>155</v>
      </c>
      <c r="O1700" s="4" t="s">
        <v>130</v>
      </c>
      <c r="P1700" s="4"/>
    </row>
    <row r="1701" spans="1:16" ht="15">
      <c r="A1701" s="4" t="s">
        <v>2662</v>
      </c>
      <c r="B1701" s="30">
        <v>40022</v>
      </c>
      <c r="C1701" s="4"/>
      <c r="D1701" s="4" t="s">
        <v>195</v>
      </c>
      <c r="E1701" s="4" t="s">
        <v>170</v>
      </c>
      <c r="F1701" s="4" t="s">
        <v>155</v>
      </c>
      <c r="G1701" s="4">
        <v>5</v>
      </c>
      <c r="H1701" s="4">
        <v>3</v>
      </c>
      <c r="I1701" s="4" t="s">
        <v>139</v>
      </c>
      <c r="J1701" s="4" t="s">
        <v>182</v>
      </c>
      <c r="K1701" s="4" t="s">
        <v>145</v>
      </c>
      <c r="L1701" s="4" t="s">
        <v>4181</v>
      </c>
      <c r="M1701" s="4" t="s">
        <v>2663</v>
      </c>
      <c r="N1701" s="4" t="s">
        <v>155</v>
      </c>
      <c r="O1701" s="4" t="s">
        <v>128</v>
      </c>
      <c r="P1701" s="4"/>
    </row>
    <row r="1702" spans="1:16" ht="15">
      <c r="A1702" s="4" t="s">
        <v>2664</v>
      </c>
      <c r="B1702" s="30">
        <v>40004</v>
      </c>
      <c r="C1702" s="4"/>
      <c r="D1702" s="4" t="s">
        <v>193</v>
      </c>
      <c r="E1702" s="4" t="s">
        <v>170</v>
      </c>
      <c r="F1702" s="4" t="s">
        <v>155</v>
      </c>
      <c r="G1702" s="4"/>
      <c r="H1702" s="4">
        <v>3</v>
      </c>
      <c r="I1702" s="4" t="s">
        <v>140</v>
      </c>
      <c r="J1702" s="4" t="s">
        <v>191</v>
      </c>
      <c r="K1702" s="4" t="s">
        <v>143</v>
      </c>
      <c r="L1702" s="4" t="s">
        <v>162</v>
      </c>
      <c r="M1702" s="4" t="s">
        <v>176</v>
      </c>
      <c r="N1702" s="4" t="s">
        <v>155</v>
      </c>
      <c r="O1702" s="4" t="s">
        <v>129</v>
      </c>
      <c r="P1702" s="4"/>
    </row>
    <row r="1703" spans="1:16" ht="15">
      <c r="A1703" s="4" t="s">
        <v>2665</v>
      </c>
      <c r="B1703" s="30">
        <v>40019</v>
      </c>
      <c r="C1703" s="4"/>
      <c r="D1703" s="4" t="s">
        <v>196</v>
      </c>
      <c r="E1703" s="4" t="s">
        <v>170</v>
      </c>
      <c r="F1703" s="4" t="s">
        <v>155</v>
      </c>
      <c r="G1703" s="4">
        <v>5</v>
      </c>
      <c r="H1703" s="4">
        <v>5</v>
      </c>
      <c r="I1703" s="4" t="s">
        <v>139</v>
      </c>
      <c r="J1703" s="4" t="s">
        <v>191</v>
      </c>
      <c r="K1703" s="4" t="s">
        <v>144</v>
      </c>
      <c r="L1703" s="4" t="s">
        <v>4176</v>
      </c>
      <c r="M1703" s="4" t="s">
        <v>1728</v>
      </c>
      <c r="N1703" s="4" t="s">
        <v>157</v>
      </c>
      <c r="O1703" s="4" t="s">
        <v>127</v>
      </c>
      <c r="P1703" s="4" t="s">
        <v>153</v>
      </c>
    </row>
    <row r="1704" spans="1:16" ht="15">
      <c r="A1704" s="4" t="s">
        <v>2666</v>
      </c>
      <c r="B1704" s="30">
        <v>39992</v>
      </c>
      <c r="C1704" s="4"/>
      <c r="D1704" s="4" t="s">
        <v>196</v>
      </c>
      <c r="E1704" s="4" t="s">
        <v>170</v>
      </c>
      <c r="F1704" s="4" t="s">
        <v>155</v>
      </c>
      <c r="G1704" s="4"/>
      <c r="H1704" s="4">
        <v>3</v>
      </c>
      <c r="I1704" s="4" t="s">
        <v>139</v>
      </c>
      <c r="J1704" s="4" t="s">
        <v>183</v>
      </c>
      <c r="K1704" s="4" t="s">
        <v>145</v>
      </c>
      <c r="L1704" s="4" t="s">
        <v>162</v>
      </c>
      <c r="M1704" s="4" t="s">
        <v>1624</v>
      </c>
      <c r="N1704" s="4" t="s">
        <v>155</v>
      </c>
      <c r="O1704" s="4" t="s">
        <v>130</v>
      </c>
      <c r="P1704" s="4"/>
    </row>
    <row r="1705" spans="1:16" ht="15">
      <c r="A1705" s="4" t="s">
        <v>2667</v>
      </c>
      <c r="B1705" s="30">
        <v>39930</v>
      </c>
      <c r="C1705" s="4"/>
      <c r="D1705" s="4" t="s">
        <v>4183</v>
      </c>
      <c r="E1705" s="4" t="s">
        <v>170</v>
      </c>
      <c r="F1705" s="4" t="s">
        <v>155</v>
      </c>
      <c r="G1705" s="4"/>
      <c r="H1705" s="4"/>
      <c r="I1705" s="4" t="s">
        <v>140</v>
      </c>
      <c r="J1705" s="4" t="s">
        <v>178</v>
      </c>
      <c r="K1705" s="4" t="s">
        <v>148</v>
      </c>
      <c r="L1705" s="4" t="s">
        <v>4181</v>
      </c>
      <c r="M1705" s="4" t="s">
        <v>173</v>
      </c>
      <c r="N1705" s="4" t="s">
        <v>155</v>
      </c>
      <c r="O1705" s="4" t="s">
        <v>692</v>
      </c>
      <c r="P1705" s="4"/>
    </row>
    <row r="1706" spans="1:16" ht="15">
      <c r="A1706" s="4" t="s">
        <v>2668</v>
      </c>
      <c r="B1706" s="30">
        <v>39949</v>
      </c>
      <c r="C1706" s="4"/>
      <c r="D1706" s="4" t="s">
        <v>195</v>
      </c>
      <c r="E1706" s="4" t="s">
        <v>170</v>
      </c>
      <c r="F1706" s="4" t="s">
        <v>155</v>
      </c>
      <c r="G1706" s="4"/>
      <c r="H1706" s="4"/>
      <c r="I1706" s="4" t="s">
        <v>139</v>
      </c>
      <c r="J1706" s="4" t="s">
        <v>182</v>
      </c>
      <c r="K1706" s="4" t="s">
        <v>147</v>
      </c>
      <c r="L1706" s="4" t="s">
        <v>4181</v>
      </c>
      <c r="M1706" s="4" t="s">
        <v>173</v>
      </c>
      <c r="N1706" s="4" t="s">
        <v>155</v>
      </c>
      <c r="O1706" s="4" t="s">
        <v>454</v>
      </c>
      <c r="P1706" s="4"/>
    </row>
    <row r="1707" spans="1:16" ht="15">
      <c r="A1707" s="4" t="s">
        <v>2669</v>
      </c>
      <c r="B1707" s="30">
        <v>39954</v>
      </c>
      <c r="C1707" s="4"/>
      <c r="D1707" s="4" t="s">
        <v>193</v>
      </c>
      <c r="E1707" s="4" t="s">
        <v>170</v>
      </c>
      <c r="F1707" s="4" t="s">
        <v>155</v>
      </c>
      <c r="G1707" s="4"/>
      <c r="H1707" s="4"/>
      <c r="I1707" s="4" t="s">
        <v>140</v>
      </c>
      <c r="J1707" s="4" t="s">
        <v>182</v>
      </c>
      <c r="K1707" s="4" t="s">
        <v>147</v>
      </c>
      <c r="L1707" s="4" t="s">
        <v>4181</v>
      </c>
      <c r="M1707" s="4" t="s">
        <v>173</v>
      </c>
      <c r="N1707" s="4" t="s">
        <v>155</v>
      </c>
      <c r="O1707" s="4" t="s">
        <v>406</v>
      </c>
      <c r="P1707" s="4"/>
    </row>
    <row r="1708" spans="1:16" ht="15">
      <c r="A1708" s="4" t="s">
        <v>2670</v>
      </c>
      <c r="B1708" s="30">
        <v>39976</v>
      </c>
      <c r="C1708" s="4" t="s">
        <v>380</v>
      </c>
      <c r="D1708" s="4" t="s">
        <v>194</v>
      </c>
      <c r="E1708" s="4" t="s">
        <v>170</v>
      </c>
      <c r="F1708" s="4" t="s">
        <v>155</v>
      </c>
      <c r="G1708" s="4"/>
      <c r="H1708" s="4"/>
      <c r="I1708" s="4" t="s">
        <v>139</v>
      </c>
      <c r="J1708" s="4" t="s">
        <v>186</v>
      </c>
      <c r="K1708" s="4" t="s">
        <v>143</v>
      </c>
      <c r="L1708" s="4" t="s">
        <v>4176</v>
      </c>
      <c r="M1708" s="4" t="s">
        <v>174</v>
      </c>
      <c r="N1708" s="4" t="s">
        <v>156</v>
      </c>
      <c r="O1708" s="4" t="s">
        <v>120</v>
      </c>
      <c r="P1708" s="4" t="s">
        <v>794</v>
      </c>
    </row>
    <row r="1709" spans="1:16" ht="15">
      <c r="A1709" s="4" t="s">
        <v>2671</v>
      </c>
      <c r="B1709" s="30">
        <v>39983</v>
      </c>
      <c r="C1709" s="4" t="s">
        <v>380</v>
      </c>
      <c r="D1709" s="4" t="s">
        <v>194</v>
      </c>
      <c r="E1709" s="4" t="s">
        <v>170</v>
      </c>
      <c r="F1709" s="4" t="s">
        <v>155</v>
      </c>
      <c r="G1709" s="4"/>
      <c r="H1709" s="4"/>
      <c r="I1709" s="4" t="s">
        <v>139</v>
      </c>
      <c r="J1709" s="4" t="s">
        <v>186</v>
      </c>
      <c r="K1709" s="4" t="s">
        <v>143</v>
      </c>
      <c r="L1709" s="4" t="s">
        <v>4176</v>
      </c>
      <c r="M1709" s="4" t="s">
        <v>174</v>
      </c>
      <c r="N1709" s="4" t="s">
        <v>156</v>
      </c>
      <c r="O1709" s="4" t="s">
        <v>120</v>
      </c>
      <c r="P1709" s="4" t="s">
        <v>794</v>
      </c>
    </row>
    <row r="1710" spans="1:16" ht="15">
      <c r="A1710" s="4" t="s">
        <v>2672</v>
      </c>
      <c r="B1710" s="30">
        <v>39914</v>
      </c>
      <c r="C1710" s="4"/>
      <c r="D1710" s="4" t="s">
        <v>4178</v>
      </c>
      <c r="E1710" s="4" t="s">
        <v>170</v>
      </c>
      <c r="F1710" s="4" t="s">
        <v>155</v>
      </c>
      <c r="G1710" s="4"/>
      <c r="H1710" s="4"/>
      <c r="I1710" s="4" t="s">
        <v>139</v>
      </c>
      <c r="J1710" s="4" t="s">
        <v>186</v>
      </c>
      <c r="K1710" s="4" t="s">
        <v>150</v>
      </c>
      <c r="L1710" s="4" t="s">
        <v>162</v>
      </c>
      <c r="M1710" s="4" t="s">
        <v>176</v>
      </c>
      <c r="N1710" s="4" t="s">
        <v>155</v>
      </c>
      <c r="O1710" s="4" t="s">
        <v>439</v>
      </c>
      <c r="P1710" s="4"/>
    </row>
    <row r="1711" spans="1:16" ht="15">
      <c r="A1711" s="4" t="s">
        <v>2673</v>
      </c>
      <c r="B1711" s="30">
        <v>40015</v>
      </c>
      <c r="C1711" s="4"/>
      <c r="D1711" s="4" t="s">
        <v>193</v>
      </c>
      <c r="E1711" s="4" t="s">
        <v>170</v>
      </c>
      <c r="F1711" s="4" t="s">
        <v>155</v>
      </c>
      <c r="G1711" s="4">
        <v>5</v>
      </c>
      <c r="H1711" s="4">
        <v>3</v>
      </c>
      <c r="I1711" s="4" t="s">
        <v>140</v>
      </c>
      <c r="J1711" s="4" t="s">
        <v>180</v>
      </c>
      <c r="K1711" s="4" t="s">
        <v>146</v>
      </c>
      <c r="L1711" s="4" t="s">
        <v>4176</v>
      </c>
      <c r="M1711" s="4" t="s">
        <v>174</v>
      </c>
      <c r="N1711" s="4" t="s">
        <v>156</v>
      </c>
      <c r="O1711" s="4" t="s">
        <v>120</v>
      </c>
      <c r="P1711" s="4" t="s">
        <v>2674</v>
      </c>
    </row>
    <row r="1712" spans="1:16" ht="15">
      <c r="A1712" s="4" t="s">
        <v>2675</v>
      </c>
      <c r="B1712" s="30">
        <v>39924</v>
      </c>
      <c r="C1712" s="4"/>
      <c r="D1712" s="4" t="s">
        <v>4178</v>
      </c>
      <c r="E1712" s="4" t="s">
        <v>170</v>
      </c>
      <c r="F1712" s="4" t="s">
        <v>155</v>
      </c>
      <c r="G1712" s="4"/>
      <c r="H1712" s="4"/>
      <c r="I1712" s="4" t="s">
        <v>139</v>
      </c>
      <c r="J1712" s="4" t="s">
        <v>180</v>
      </c>
      <c r="K1712" s="4" t="s">
        <v>145</v>
      </c>
      <c r="L1712" s="4" t="s">
        <v>4176</v>
      </c>
      <c r="M1712" s="4" t="s">
        <v>174</v>
      </c>
      <c r="N1712" s="4" t="s">
        <v>156</v>
      </c>
      <c r="O1712" s="4" t="s">
        <v>120</v>
      </c>
      <c r="P1712" s="4" t="s">
        <v>2676</v>
      </c>
    </row>
    <row r="1713" spans="1:16" ht="15">
      <c r="A1713" s="4" t="s">
        <v>2677</v>
      </c>
      <c r="B1713" s="30">
        <v>39953</v>
      </c>
      <c r="C1713" s="4"/>
      <c r="D1713" s="4" t="s">
        <v>194</v>
      </c>
      <c r="E1713" s="4" t="s">
        <v>170</v>
      </c>
      <c r="F1713" s="4" t="s">
        <v>155</v>
      </c>
      <c r="G1713" s="4"/>
      <c r="H1713" s="4"/>
      <c r="I1713" s="4" t="s">
        <v>139</v>
      </c>
      <c r="J1713" s="4" t="s">
        <v>183</v>
      </c>
      <c r="K1713" s="4" t="s">
        <v>149</v>
      </c>
      <c r="L1713" s="4" t="s">
        <v>162</v>
      </c>
      <c r="M1713" s="4"/>
      <c r="N1713" s="4" t="s">
        <v>155</v>
      </c>
      <c r="O1713" s="4" t="s">
        <v>129</v>
      </c>
      <c r="P1713" s="4"/>
    </row>
    <row r="1714" spans="1:16" ht="15">
      <c r="A1714" s="4" t="s">
        <v>2678</v>
      </c>
      <c r="B1714" s="30">
        <v>40020</v>
      </c>
      <c r="C1714" s="4"/>
      <c r="D1714" s="4" t="s">
        <v>193</v>
      </c>
      <c r="E1714" s="4" t="s">
        <v>170</v>
      </c>
      <c r="F1714" s="4" t="s">
        <v>155</v>
      </c>
      <c r="G1714" s="4">
        <v>5</v>
      </c>
      <c r="H1714" s="4">
        <v>3</v>
      </c>
      <c r="I1714" s="4" t="s">
        <v>140</v>
      </c>
      <c r="J1714" s="4" t="s">
        <v>180</v>
      </c>
      <c r="K1714" s="4" t="s">
        <v>142</v>
      </c>
      <c r="L1714" s="4" t="s">
        <v>4176</v>
      </c>
      <c r="M1714" s="4" t="s">
        <v>174</v>
      </c>
      <c r="N1714" s="4" t="s">
        <v>156</v>
      </c>
      <c r="O1714" s="4" t="s">
        <v>120</v>
      </c>
      <c r="P1714" s="4" t="s">
        <v>998</v>
      </c>
    </row>
    <row r="1715" spans="1:16" ht="15">
      <c r="A1715" s="4" t="s">
        <v>2679</v>
      </c>
      <c r="B1715" s="30">
        <v>39948</v>
      </c>
      <c r="C1715" s="4"/>
      <c r="D1715" s="4" t="s">
        <v>193</v>
      </c>
      <c r="E1715" s="4" t="s">
        <v>170</v>
      </c>
      <c r="F1715" s="4" t="s">
        <v>155</v>
      </c>
      <c r="G1715" s="4"/>
      <c r="H1715" s="4"/>
      <c r="I1715" s="4" t="s">
        <v>140</v>
      </c>
      <c r="J1715" s="4" t="s">
        <v>183</v>
      </c>
      <c r="K1715" s="4" t="s">
        <v>149</v>
      </c>
      <c r="L1715" s="4" t="s">
        <v>165</v>
      </c>
      <c r="M1715" s="4"/>
      <c r="N1715" s="4" t="s">
        <v>158</v>
      </c>
      <c r="O1715" s="4" t="s">
        <v>122</v>
      </c>
      <c r="P1715" s="4"/>
    </row>
    <row r="1716" spans="1:16" ht="15">
      <c r="A1716" s="4" t="s">
        <v>2680</v>
      </c>
      <c r="B1716" s="30">
        <v>39974</v>
      </c>
      <c r="C1716" s="4" t="s">
        <v>383</v>
      </c>
      <c r="D1716" s="4" t="s">
        <v>193</v>
      </c>
      <c r="E1716" s="4" t="s">
        <v>170</v>
      </c>
      <c r="F1716" s="4" t="s">
        <v>155</v>
      </c>
      <c r="G1716" s="4"/>
      <c r="H1716" s="4"/>
      <c r="I1716" s="4" t="s">
        <v>140</v>
      </c>
      <c r="J1716" s="4" t="s">
        <v>183</v>
      </c>
      <c r="K1716" s="4" t="s">
        <v>142</v>
      </c>
      <c r="L1716" s="4" t="s">
        <v>4181</v>
      </c>
      <c r="M1716" s="4" t="s">
        <v>500</v>
      </c>
      <c r="N1716" s="4" t="s">
        <v>155</v>
      </c>
      <c r="O1716" s="4" t="s">
        <v>501</v>
      </c>
      <c r="P1716" s="4"/>
    </row>
    <row r="1717" spans="1:16" ht="15">
      <c r="A1717" s="4" t="s">
        <v>2681</v>
      </c>
      <c r="B1717" s="30">
        <v>39920</v>
      </c>
      <c r="C1717" s="4"/>
      <c r="D1717" s="4" t="s">
        <v>4182</v>
      </c>
      <c r="E1717" s="4" t="s">
        <v>170</v>
      </c>
      <c r="F1717" s="4" t="s">
        <v>155</v>
      </c>
      <c r="G1717" s="4"/>
      <c r="H1717" s="4"/>
      <c r="I1717" s="4" t="s">
        <v>139</v>
      </c>
      <c r="J1717" s="4" t="s">
        <v>183</v>
      </c>
      <c r="K1717" s="4" t="s">
        <v>147</v>
      </c>
      <c r="L1717" s="4" t="s">
        <v>4176</v>
      </c>
      <c r="M1717" s="4" t="s">
        <v>578</v>
      </c>
      <c r="N1717" s="4" t="s">
        <v>157</v>
      </c>
      <c r="O1717" s="4" t="s">
        <v>127</v>
      </c>
      <c r="P1717" s="4" t="s">
        <v>153</v>
      </c>
    </row>
    <row r="1718" spans="1:16" ht="15">
      <c r="A1718" s="4" t="s">
        <v>2682</v>
      </c>
      <c r="B1718" s="30">
        <v>40007</v>
      </c>
      <c r="C1718" s="4" t="s">
        <v>380</v>
      </c>
      <c r="D1718" s="4" t="s">
        <v>193</v>
      </c>
      <c r="E1718" s="4" t="s">
        <v>170</v>
      </c>
      <c r="F1718" s="4" t="s">
        <v>155</v>
      </c>
      <c r="G1718" s="4"/>
      <c r="H1718" s="4"/>
      <c r="I1718" s="4" t="s">
        <v>140</v>
      </c>
      <c r="J1718" s="4" t="s">
        <v>186</v>
      </c>
      <c r="K1718" s="4" t="s">
        <v>145</v>
      </c>
      <c r="L1718" s="4" t="s">
        <v>4176</v>
      </c>
      <c r="M1718" s="4" t="s">
        <v>2683</v>
      </c>
      <c r="N1718" s="4" t="s">
        <v>156</v>
      </c>
      <c r="O1718" s="4" t="s">
        <v>120</v>
      </c>
      <c r="P1718" s="4" t="s">
        <v>857</v>
      </c>
    </row>
    <row r="1719" spans="1:16" ht="15">
      <c r="A1719" s="4" t="s">
        <v>2684</v>
      </c>
      <c r="B1719" s="30">
        <v>39965</v>
      </c>
      <c r="C1719" s="4"/>
      <c r="D1719" s="4" t="s">
        <v>193</v>
      </c>
      <c r="E1719" s="4" t="s">
        <v>170</v>
      </c>
      <c r="F1719" s="4" t="s">
        <v>155</v>
      </c>
      <c r="G1719" s="4"/>
      <c r="H1719" s="4"/>
      <c r="I1719" s="4" t="s">
        <v>140</v>
      </c>
      <c r="J1719" s="4" t="s">
        <v>179</v>
      </c>
      <c r="K1719" s="4" t="s">
        <v>146</v>
      </c>
      <c r="L1719" s="4" t="s">
        <v>4176</v>
      </c>
      <c r="M1719" s="4" t="s">
        <v>174</v>
      </c>
      <c r="N1719" s="4" t="s">
        <v>156</v>
      </c>
      <c r="O1719" s="4" t="s">
        <v>120</v>
      </c>
      <c r="P1719" s="4" t="s">
        <v>715</v>
      </c>
    </row>
    <row r="1720" spans="1:16" ht="15">
      <c r="A1720" s="4" t="s">
        <v>2685</v>
      </c>
      <c r="B1720" s="30">
        <v>39954</v>
      </c>
      <c r="C1720" s="4"/>
      <c r="D1720" s="4" t="s">
        <v>194</v>
      </c>
      <c r="E1720" s="4" t="s">
        <v>170</v>
      </c>
      <c r="F1720" s="4" t="s">
        <v>155</v>
      </c>
      <c r="G1720" s="4"/>
      <c r="H1720" s="4"/>
      <c r="I1720" s="4" t="s">
        <v>139</v>
      </c>
      <c r="J1720" s="4" t="s">
        <v>181</v>
      </c>
      <c r="K1720" s="4" t="s">
        <v>143</v>
      </c>
      <c r="L1720" s="4" t="s">
        <v>4176</v>
      </c>
      <c r="M1720" s="4" t="s">
        <v>174</v>
      </c>
      <c r="N1720" s="4" t="s">
        <v>156</v>
      </c>
      <c r="O1720" s="4" t="s">
        <v>120</v>
      </c>
      <c r="P1720" s="4" t="s">
        <v>1399</v>
      </c>
    </row>
    <row r="1721" spans="1:16" ht="15">
      <c r="A1721" s="4" t="s">
        <v>2686</v>
      </c>
      <c r="B1721" s="30">
        <v>39992</v>
      </c>
      <c r="C1721" s="4"/>
      <c r="D1721" s="4" t="s">
        <v>195</v>
      </c>
      <c r="E1721" s="4" t="s">
        <v>170</v>
      </c>
      <c r="F1721" s="4" t="s">
        <v>155</v>
      </c>
      <c r="G1721" s="4"/>
      <c r="H1721" s="4">
        <v>4</v>
      </c>
      <c r="I1721" s="4" t="s">
        <v>139</v>
      </c>
      <c r="J1721" s="4" t="s">
        <v>413</v>
      </c>
      <c r="K1721" s="4" t="s">
        <v>142</v>
      </c>
      <c r="L1721" s="4" t="s">
        <v>4176</v>
      </c>
      <c r="M1721" s="4" t="s">
        <v>175</v>
      </c>
      <c r="N1721" s="4" t="s">
        <v>159</v>
      </c>
      <c r="O1721" s="4" t="s">
        <v>126</v>
      </c>
      <c r="P1721" s="4" t="s">
        <v>601</v>
      </c>
    </row>
    <row r="1722" spans="1:16" ht="15">
      <c r="A1722" s="4" t="s">
        <v>2687</v>
      </c>
      <c r="B1722" s="30">
        <v>39996</v>
      </c>
      <c r="C1722" s="4" t="s">
        <v>380</v>
      </c>
      <c r="D1722" s="4" t="s">
        <v>193</v>
      </c>
      <c r="E1722" s="4" t="s">
        <v>170</v>
      </c>
      <c r="F1722" s="4" t="s">
        <v>155</v>
      </c>
      <c r="G1722" s="4"/>
      <c r="H1722" s="4">
        <v>5</v>
      </c>
      <c r="I1722" s="4" t="s">
        <v>140</v>
      </c>
      <c r="J1722" s="4" t="s">
        <v>185</v>
      </c>
      <c r="K1722" s="4" t="s">
        <v>148</v>
      </c>
      <c r="L1722" s="4" t="s">
        <v>162</v>
      </c>
      <c r="M1722" s="4"/>
      <c r="N1722" s="4" t="s">
        <v>155</v>
      </c>
      <c r="O1722" s="4" t="s">
        <v>130</v>
      </c>
      <c r="P1722" s="4"/>
    </row>
    <row r="1723" spans="1:16" ht="15">
      <c r="A1723" s="4" t="s">
        <v>2688</v>
      </c>
      <c r="B1723" s="30">
        <v>39982</v>
      </c>
      <c r="C1723" s="4" t="s">
        <v>380</v>
      </c>
      <c r="D1723" s="4" t="s">
        <v>194</v>
      </c>
      <c r="E1723" s="4" t="s">
        <v>170</v>
      </c>
      <c r="F1723" s="4" t="s">
        <v>155</v>
      </c>
      <c r="G1723" s="4"/>
      <c r="H1723" s="4"/>
      <c r="I1723" s="4" t="s">
        <v>139</v>
      </c>
      <c r="J1723" s="4" t="s">
        <v>185</v>
      </c>
      <c r="K1723" s="4" t="s">
        <v>146</v>
      </c>
      <c r="L1723" s="4" t="s">
        <v>4181</v>
      </c>
      <c r="M1723" s="4" t="s">
        <v>173</v>
      </c>
      <c r="N1723" s="4" t="s">
        <v>155</v>
      </c>
      <c r="O1723" s="4" t="s">
        <v>125</v>
      </c>
      <c r="P1723" s="4"/>
    </row>
    <row r="1724" spans="1:16" ht="15">
      <c r="A1724" s="4" t="s">
        <v>2689</v>
      </c>
      <c r="B1724" s="30">
        <v>40016</v>
      </c>
      <c r="C1724" s="4"/>
      <c r="D1724" s="4" t="s">
        <v>193</v>
      </c>
      <c r="E1724" s="4" t="s">
        <v>170</v>
      </c>
      <c r="F1724" s="4" t="s">
        <v>155</v>
      </c>
      <c r="G1724" s="4">
        <v>5</v>
      </c>
      <c r="H1724" s="4">
        <v>5</v>
      </c>
      <c r="I1724" s="4" t="s">
        <v>140</v>
      </c>
      <c r="J1724" s="4" t="s">
        <v>188</v>
      </c>
      <c r="K1724" s="4" t="s">
        <v>143</v>
      </c>
      <c r="L1724" s="4" t="s">
        <v>4181</v>
      </c>
      <c r="M1724" s="4" t="s">
        <v>1042</v>
      </c>
      <c r="N1724" s="4" t="s">
        <v>155</v>
      </c>
      <c r="O1724" s="4" t="s">
        <v>125</v>
      </c>
      <c r="P1724" s="4"/>
    </row>
    <row r="1725" spans="1:16" ht="15">
      <c r="A1725" s="4" t="s">
        <v>2690</v>
      </c>
      <c r="B1725" s="30">
        <v>40015</v>
      </c>
      <c r="C1725" s="4"/>
      <c r="D1725" s="4" t="s">
        <v>193</v>
      </c>
      <c r="E1725" s="4" t="s">
        <v>170</v>
      </c>
      <c r="F1725" s="4" t="s">
        <v>155</v>
      </c>
      <c r="G1725" s="4">
        <v>5</v>
      </c>
      <c r="H1725" s="4">
        <v>5</v>
      </c>
      <c r="I1725" s="4" t="s">
        <v>140</v>
      </c>
      <c r="J1725" s="4" t="s">
        <v>188</v>
      </c>
      <c r="K1725" s="4" t="s">
        <v>143</v>
      </c>
      <c r="L1725" s="4" t="s">
        <v>4176</v>
      </c>
      <c r="M1725" s="4" t="s">
        <v>174</v>
      </c>
      <c r="N1725" s="4" t="s">
        <v>156</v>
      </c>
      <c r="O1725" s="4" t="s">
        <v>120</v>
      </c>
      <c r="P1725" s="4" t="s">
        <v>715</v>
      </c>
    </row>
    <row r="1726" spans="1:16" ht="15">
      <c r="A1726" s="4" t="s">
        <v>2691</v>
      </c>
      <c r="B1726" s="30">
        <v>39923</v>
      </c>
      <c r="C1726" s="4" t="s">
        <v>9</v>
      </c>
      <c r="D1726" s="4" t="s">
        <v>4184</v>
      </c>
      <c r="E1726" s="4" t="s">
        <v>170</v>
      </c>
      <c r="F1726" s="4" t="s">
        <v>155</v>
      </c>
      <c r="G1726" s="4"/>
      <c r="H1726" s="4"/>
      <c r="I1726" s="4" t="s">
        <v>140</v>
      </c>
      <c r="J1726" s="4" t="s">
        <v>479</v>
      </c>
      <c r="K1726" s="4" t="s">
        <v>143</v>
      </c>
      <c r="L1726" s="4" t="s">
        <v>4176</v>
      </c>
      <c r="M1726" s="4" t="s">
        <v>174</v>
      </c>
      <c r="N1726" s="4" t="s">
        <v>156</v>
      </c>
      <c r="O1726" s="4" t="s">
        <v>120</v>
      </c>
      <c r="P1726" s="4" t="s">
        <v>715</v>
      </c>
    </row>
    <row r="1727" spans="1:16" ht="15">
      <c r="A1727" s="4" t="s">
        <v>2692</v>
      </c>
      <c r="B1727" s="30">
        <v>40029</v>
      </c>
      <c r="C1727" s="4"/>
      <c r="D1727" s="4" t="s">
        <v>193</v>
      </c>
      <c r="E1727" s="4" t="s">
        <v>170</v>
      </c>
      <c r="F1727" s="4" t="s">
        <v>155</v>
      </c>
      <c r="G1727" s="4">
        <v>5</v>
      </c>
      <c r="H1727" s="4">
        <v>2</v>
      </c>
      <c r="I1727" s="4" t="s">
        <v>140</v>
      </c>
      <c r="J1727" s="4" t="s">
        <v>179</v>
      </c>
      <c r="K1727" s="4" t="s">
        <v>148</v>
      </c>
      <c r="L1727" s="4" t="s">
        <v>162</v>
      </c>
      <c r="M1727" s="4" t="s">
        <v>459</v>
      </c>
      <c r="N1727" s="4" t="s">
        <v>155</v>
      </c>
      <c r="O1727" s="4" t="s">
        <v>129</v>
      </c>
      <c r="P1727" s="4"/>
    </row>
    <row r="1728" spans="1:16" ht="15">
      <c r="A1728" s="4" t="s">
        <v>2693</v>
      </c>
      <c r="B1728" s="30">
        <v>40071</v>
      </c>
      <c r="C1728" s="4"/>
      <c r="D1728" s="4" t="s">
        <v>193</v>
      </c>
      <c r="E1728" s="4" t="s">
        <v>170</v>
      </c>
      <c r="F1728" s="4" t="s">
        <v>155</v>
      </c>
      <c r="G1728" s="4">
        <v>1</v>
      </c>
      <c r="H1728" s="4">
        <v>3</v>
      </c>
      <c r="I1728" s="4" t="s">
        <v>140</v>
      </c>
      <c r="J1728" s="4" t="s">
        <v>179</v>
      </c>
      <c r="K1728" s="4" t="s">
        <v>142</v>
      </c>
      <c r="L1728" s="4" t="s">
        <v>4181</v>
      </c>
      <c r="M1728" s="4" t="s">
        <v>173</v>
      </c>
      <c r="N1728" s="4" t="s">
        <v>155</v>
      </c>
      <c r="O1728" s="4" t="s">
        <v>763</v>
      </c>
      <c r="P1728" s="4"/>
    </row>
    <row r="1729" spans="1:16" ht="15">
      <c r="A1729" s="4" t="s">
        <v>2694</v>
      </c>
      <c r="B1729" s="30">
        <v>39911</v>
      </c>
      <c r="C1729" s="4"/>
      <c r="D1729" s="4" t="s">
        <v>4179</v>
      </c>
      <c r="E1729" s="4" t="s">
        <v>170</v>
      </c>
      <c r="F1729" s="4" t="s">
        <v>155</v>
      </c>
      <c r="G1729" s="4"/>
      <c r="H1729" s="4"/>
      <c r="I1729" s="4" t="s">
        <v>139</v>
      </c>
      <c r="J1729" s="4" t="s">
        <v>181</v>
      </c>
      <c r="K1729" s="4" t="s">
        <v>143</v>
      </c>
      <c r="L1729" s="4" t="s">
        <v>4176</v>
      </c>
      <c r="M1729" s="4" t="s">
        <v>174</v>
      </c>
      <c r="N1729" s="4" t="s">
        <v>157</v>
      </c>
      <c r="O1729" s="4" t="s">
        <v>130</v>
      </c>
      <c r="P1729" s="4" t="s">
        <v>437</v>
      </c>
    </row>
    <row r="1730" spans="1:16" ht="15">
      <c r="A1730" s="4" t="s">
        <v>2695</v>
      </c>
      <c r="B1730" s="30">
        <v>39920</v>
      </c>
      <c r="C1730" s="4" t="s">
        <v>380</v>
      </c>
      <c r="D1730" s="4" t="s">
        <v>4182</v>
      </c>
      <c r="E1730" s="4" t="s">
        <v>170</v>
      </c>
      <c r="F1730" s="4" t="s">
        <v>155</v>
      </c>
      <c r="G1730" s="4"/>
      <c r="H1730" s="4"/>
      <c r="I1730" s="4" t="s">
        <v>139</v>
      </c>
      <c r="J1730" s="4" t="s">
        <v>409</v>
      </c>
      <c r="K1730" s="4" t="s">
        <v>148</v>
      </c>
      <c r="L1730" s="4" t="s">
        <v>4181</v>
      </c>
      <c r="M1730" s="4" t="s">
        <v>173</v>
      </c>
      <c r="N1730" s="4" t="s">
        <v>155</v>
      </c>
      <c r="O1730" s="4" t="s">
        <v>692</v>
      </c>
      <c r="P1730" s="4"/>
    </row>
    <row r="1731" spans="1:16" ht="15">
      <c r="A1731" s="4" t="s">
        <v>2696</v>
      </c>
      <c r="B1731" s="30">
        <v>40039</v>
      </c>
      <c r="C1731" s="4"/>
      <c r="D1731" s="4" t="s">
        <v>195</v>
      </c>
      <c r="E1731" s="4" t="s">
        <v>170</v>
      </c>
      <c r="F1731" s="4" t="s">
        <v>155</v>
      </c>
      <c r="G1731" s="4">
        <v>5</v>
      </c>
      <c r="H1731" s="4">
        <v>2</v>
      </c>
      <c r="I1731" s="4" t="s">
        <v>139</v>
      </c>
      <c r="J1731" s="4" t="s">
        <v>409</v>
      </c>
      <c r="K1731" s="4" t="s">
        <v>145</v>
      </c>
      <c r="L1731" s="4" t="s">
        <v>4176</v>
      </c>
      <c r="M1731" s="4"/>
      <c r="N1731" s="4" t="s">
        <v>157</v>
      </c>
      <c r="O1731" s="4" t="s">
        <v>434</v>
      </c>
      <c r="P1731" s="4" t="s">
        <v>449</v>
      </c>
    </row>
    <row r="1732" spans="1:16" ht="15">
      <c r="A1732" s="4" t="s">
        <v>2697</v>
      </c>
      <c r="B1732" s="30">
        <v>40078</v>
      </c>
      <c r="C1732" s="4"/>
      <c r="D1732" s="4" t="s">
        <v>193</v>
      </c>
      <c r="E1732" s="4" t="s">
        <v>170</v>
      </c>
      <c r="F1732" s="4" t="s">
        <v>155</v>
      </c>
      <c r="G1732" s="4">
        <v>5</v>
      </c>
      <c r="H1732" s="4">
        <v>5</v>
      </c>
      <c r="I1732" s="4" t="s">
        <v>140</v>
      </c>
      <c r="J1732" s="4" t="s">
        <v>189</v>
      </c>
      <c r="K1732" s="4" t="s">
        <v>143</v>
      </c>
      <c r="L1732" s="4" t="s">
        <v>4176</v>
      </c>
      <c r="M1732" s="4" t="s">
        <v>619</v>
      </c>
      <c r="N1732" s="4" t="s">
        <v>156</v>
      </c>
      <c r="O1732" s="4" t="s">
        <v>120</v>
      </c>
      <c r="P1732" s="4" t="s">
        <v>2698</v>
      </c>
    </row>
    <row r="1733" spans="1:16" ht="15">
      <c r="A1733" s="4" t="s">
        <v>2699</v>
      </c>
      <c r="B1733" s="30">
        <v>39913</v>
      </c>
      <c r="C1733" s="4" t="s">
        <v>525</v>
      </c>
      <c r="D1733" s="4" t="s">
        <v>4180</v>
      </c>
      <c r="E1733" s="4" t="s">
        <v>170</v>
      </c>
      <c r="F1733" s="4" t="s">
        <v>155</v>
      </c>
      <c r="G1733" s="4"/>
      <c r="H1733" s="4"/>
      <c r="I1733" s="4" t="s">
        <v>139</v>
      </c>
      <c r="J1733" s="4" t="s">
        <v>189</v>
      </c>
      <c r="K1733" s="4" t="s">
        <v>147</v>
      </c>
      <c r="L1733" s="4" t="s">
        <v>162</v>
      </c>
      <c r="M1733" s="4" t="s">
        <v>429</v>
      </c>
      <c r="N1733" s="4" t="s">
        <v>155</v>
      </c>
      <c r="O1733" s="4" t="s">
        <v>130</v>
      </c>
      <c r="P1733" s="4"/>
    </row>
    <row r="1734" spans="1:16" ht="15">
      <c r="A1734" s="4" t="s">
        <v>2700</v>
      </c>
      <c r="B1734" s="30">
        <v>39992</v>
      </c>
      <c r="C1734" s="4"/>
      <c r="D1734" s="4" t="s">
        <v>195</v>
      </c>
      <c r="E1734" s="4" t="s">
        <v>170</v>
      </c>
      <c r="F1734" s="4" t="s">
        <v>155</v>
      </c>
      <c r="G1734" s="4"/>
      <c r="H1734" s="4">
        <v>5</v>
      </c>
      <c r="I1734" s="4" t="s">
        <v>139</v>
      </c>
      <c r="J1734" s="4" t="s">
        <v>179</v>
      </c>
      <c r="K1734" s="4" t="s">
        <v>148</v>
      </c>
      <c r="L1734" s="4" t="s">
        <v>162</v>
      </c>
      <c r="M1734" s="4" t="s">
        <v>175</v>
      </c>
      <c r="N1734" s="4" t="s">
        <v>155</v>
      </c>
      <c r="O1734" s="4" t="s">
        <v>130</v>
      </c>
      <c r="P1734" s="4"/>
    </row>
    <row r="1735" spans="1:16" ht="15">
      <c r="A1735" s="4" t="s">
        <v>2701</v>
      </c>
      <c r="B1735" s="30">
        <v>39925</v>
      </c>
      <c r="C1735" s="4"/>
      <c r="D1735" s="4" t="s">
        <v>4177</v>
      </c>
      <c r="E1735" s="4" t="s">
        <v>170</v>
      </c>
      <c r="F1735" s="4" t="s">
        <v>155</v>
      </c>
      <c r="G1735" s="4"/>
      <c r="H1735" s="4"/>
      <c r="I1735" s="4" t="s">
        <v>139</v>
      </c>
      <c r="J1735" s="4" t="s">
        <v>409</v>
      </c>
      <c r="K1735" s="4" t="s">
        <v>149</v>
      </c>
      <c r="L1735" s="4" t="s">
        <v>4181</v>
      </c>
      <c r="M1735" s="4" t="s">
        <v>173</v>
      </c>
      <c r="N1735" s="4" t="s">
        <v>155</v>
      </c>
      <c r="O1735" s="4" t="s">
        <v>406</v>
      </c>
      <c r="P1735" s="4"/>
    </row>
    <row r="1736" spans="1:16" ht="15">
      <c r="A1736" s="4" t="s">
        <v>2702</v>
      </c>
      <c r="B1736" s="30">
        <v>39947</v>
      </c>
      <c r="C1736" s="4"/>
      <c r="D1736" s="4" t="s">
        <v>195</v>
      </c>
      <c r="E1736" s="4" t="s">
        <v>170</v>
      </c>
      <c r="F1736" s="4" t="s">
        <v>155</v>
      </c>
      <c r="G1736" s="4"/>
      <c r="H1736" s="4"/>
      <c r="I1736" s="4" t="s">
        <v>139</v>
      </c>
      <c r="J1736" s="4" t="s">
        <v>181</v>
      </c>
      <c r="K1736" s="4" t="s">
        <v>147</v>
      </c>
      <c r="L1736" s="4" t="s">
        <v>4181</v>
      </c>
      <c r="M1736" s="4" t="s">
        <v>173</v>
      </c>
      <c r="N1736" s="4" t="s">
        <v>155</v>
      </c>
      <c r="O1736" s="4" t="s">
        <v>1113</v>
      </c>
      <c r="P1736" s="4"/>
    </row>
    <row r="1737" spans="1:16" ht="15">
      <c r="A1737" s="4" t="s">
        <v>2703</v>
      </c>
      <c r="B1737" s="30">
        <v>39993</v>
      </c>
      <c r="C1737" s="4" t="s">
        <v>383</v>
      </c>
      <c r="D1737" s="4" t="s">
        <v>193</v>
      </c>
      <c r="E1737" s="4" t="s">
        <v>170</v>
      </c>
      <c r="F1737" s="4" t="s">
        <v>155</v>
      </c>
      <c r="G1737" s="4"/>
      <c r="H1737" s="4">
        <v>3</v>
      </c>
      <c r="I1737" s="4" t="s">
        <v>140</v>
      </c>
      <c r="J1737" s="4" t="s">
        <v>189</v>
      </c>
      <c r="K1737" s="4" t="s">
        <v>143</v>
      </c>
      <c r="L1737" s="4" t="s">
        <v>4176</v>
      </c>
      <c r="M1737" s="4" t="s">
        <v>175</v>
      </c>
      <c r="N1737" s="4" t="s">
        <v>159</v>
      </c>
      <c r="O1737" s="4" t="s">
        <v>126</v>
      </c>
      <c r="P1737" s="4" t="s">
        <v>601</v>
      </c>
    </row>
    <row r="1738" spans="1:16" ht="15">
      <c r="A1738" s="4" t="s">
        <v>2704</v>
      </c>
      <c r="B1738" s="30">
        <v>39914</v>
      </c>
      <c r="C1738" s="4"/>
      <c r="D1738" s="4" t="s">
        <v>4184</v>
      </c>
      <c r="E1738" s="4" t="s">
        <v>170</v>
      </c>
      <c r="F1738" s="4" t="s">
        <v>155</v>
      </c>
      <c r="G1738" s="4"/>
      <c r="H1738" s="4"/>
      <c r="I1738" s="4" t="s">
        <v>140</v>
      </c>
      <c r="J1738" s="4" t="s">
        <v>191</v>
      </c>
      <c r="K1738" s="4" t="s">
        <v>151</v>
      </c>
      <c r="L1738" s="4" t="s">
        <v>165</v>
      </c>
      <c r="M1738" s="4" t="s">
        <v>614</v>
      </c>
      <c r="N1738" s="4" t="s">
        <v>158</v>
      </c>
      <c r="O1738" s="4" t="s">
        <v>122</v>
      </c>
      <c r="P1738" s="4"/>
    </row>
    <row r="1739" spans="1:16" ht="15">
      <c r="A1739" s="4" t="s">
        <v>2705</v>
      </c>
      <c r="B1739" s="30">
        <v>40023</v>
      </c>
      <c r="C1739" s="4"/>
      <c r="D1739" s="4" t="s">
        <v>193</v>
      </c>
      <c r="E1739" s="4" t="s">
        <v>170</v>
      </c>
      <c r="F1739" s="4" t="s">
        <v>155</v>
      </c>
      <c r="G1739" s="4">
        <v>5</v>
      </c>
      <c r="H1739" s="4">
        <v>5</v>
      </c>
      <c r="I1739" s="4" t="s">
        <v>140</v>
      </c>
      <c r="J1739" s="4" t="s">
        <v>528</v>
      </c>
      <c r="K1739" s="4" t="s">
        <v>144</v>
      </c>
      <c r="L1739" s="4" t="s">
        <v>162</v>
      </c>
      <c r="M1739" s="4" t="s">
        <v>175</v>
      </c>
      <c r="N1739" s="4" t="s">
        <v>155</v>
      </c>
      <c r="O1739" s="4" t="s">
        <v>129</v>
      </c>
      <c r="P1739" s="4"/>
    </row>
    <row r="1740" spans="1:16" ht="15">
      <c r="A1740" s="4" t="s">
        <v>2706</v>
      </c>
      <c r="B1740" s="30">
        <v>40063</v>
      </c>
      <c r="C1740" s="4"/>
      <c r="D1740" s="4" t="s">
        <v>193</v>
      </c>
      <c r="E1740" s="4" t="s">
        <v>170</v>
      </c>
      <c r="F1740" s="4" t="s">
        <v>155</v>
      </c>
      <c r="G1740" s="4">
        <v>5</v>
      </c>
      <c r="H1740" s="4">
        <v>5</v>
      </c>
      <c r="I1740" s="4" t="s">
        <v>140</v>
      </c>
      <c r="J1740" s="4" t="s">
        <v>534</v>
      </c>
      <c r="K1740" s="4" t="s">
        <v>143</v>
      </c>
      <c r="L1740" s="4" t="s">
        <v>4181</v>
      </c>
      <c r="M1740" s="4" t="s">
        <v>173</v>
      </c>
      <c r="N1740" s="4" t="s">
        <v>155</v>
      </c>
      <c r="O1740" s="4" t="s">
        <v>128</v>
      </c>
      <c r="P1740" s="4"/>
    </row>
    <row r="1741" spans="1:16" ht="15">
      <c r="A1741" s="4" t="s">
        <v>2707</v>
      </c>
      <c r="B1741" s="30">
        <v>39977</v>
      </c>
      <c r="C1741" s="4" t="s">
        <v>383</v>
      </c>
      <c r="D1741" s="4" t="s">
        <v>193</v>
      </c>
      <c r="E1741" s="4" t="s">
        <v>170</v>
      </c>
      <c r="F1741" s="4" t="s">
        <v>155</v>
      </c>
      <c r="G1741" s="4"/>
      <c r="H1741" s="4"/>
      <c r="I1741" s="4" t="s">
        <v>140</v>
      </c>
      <c r="J1741" s="4" t="s">
        <v>534</v>
      </c>
      <c r="K1741" s="4" t="s">
        <v>148</v>
      </c>
      <c r="L1741" s="4" t="s">
        <v>162</v>
      </c>
      <c r="M1741" s="4" t="s">
        <v>459</v>
      </c>
      <c r="N1741" s="4" t="s">
        <v>155</v>
      </c>
      <c r="O1741" s="4" t="s">
        <v>130</v>
      </c>
      <c r="P1741" s="4"/>
    </row>
    <row r="1742" spans="1:16" ht="15">
      <c r="A1742" s="4" t="s">
        <v>2708</v>
      </c>
      <c r="B1742" s="30">
        <v>39919</v>
      </c>
      <c r="C1742" s="4"/>
      <c r="D1742" s="4" t="s">
        <v>4184</v>
      </c>
      <c r="E1742" s="4" t="s">
        <v>170</v>
      </c>
      <c r="F1742" s="4" t="s">
        <v>155</v>
      </c>
      <c r="G1742" s="4"/>
      <c r="H1742" s="4"/>
      <c r="I1742" s="4" t="s">
        <v>140</v>
      </c>
      <c r="J1742" s="4" t="s">
        <v>183</v>
      </c>
      <c r="K1742" s="4" t="s">
        <v>149</v>
      </c>
      <c r="L1742" s="4" t="s">
        <v>4176</v>
      </c>
      <c r="M1742" s="4" t="s">
        <v>429</v>
      </c>
      <c r="N1742" s="4" t="s">
        <v>159</v>
      </c>
      <c r="O1742" s="4" t="s">
        <v>126</v>
      </c>
      <c r="P1742" s="4" t="s">
        <v>601</v>
      </c>
    </row>
    <row r="1743" spans="1:16" ht="15">
      <c r="A1743" s="4" t="s">
        <v>2709</v>
      </c>
      <c r="B1743" s="30">
        <v>39958</v>
      </c>
      <c r="C1743" s="4"/>
      <c r="D1743" s="4" t="s">
        <v>193</v>
      </c>
      <c r="E1743" s="4" t="s">
        <v>170</v>
      </c>
      <c r="F1743" s="4" t="s">
        <v>155</v>
      </c>
      <c r="G1743" s="4"/>
      <c r="H1743" s="4"/>
      <c r="I1743" s="4" t="s">
        <v>140</v>
      </c>
      <c r="J1743" s="4" t="s">
        <v>183</v>
      </c>
      <c r="K1743" s="4" t="s">
        <v>144</v>
      </c>
      <c r="L1743" s="4" t="s">
        <v>4181</v>
      </c>
      <c r="M1743" s="4" t="s">
        <v>173</v>
      </c>
      <c r="N1743" s="4" t="s">
        <v>155</v>
      </c>
      <c r="O1743" s="4" t="s">
        <v>406</v>
      </c>
      <c r="P1743" s="4"/>
    </row>
    <row r="1744" spans="1:16" ht="15">
      <c r="A1744" s="4" t="s">
        <v>2710</v>
      </c>
      <c r="B1744" s="30">
        <v>40045</v>
      </c>
      <c r="C1744" s="4"/>
      <c r="D1744" s="4" t="s">
        <v>195</v>
      </c>
      <c r="E1744" s="4" t="s">
        <v>170</v>
      </c>
      <c r="F1744" s="4" t="s">
        <v>155</v>
      </c>
      <c r="G1744" s="4">
        <v>5</v>
      </c>
      <c r="H1744" s="4">
        <v>5</v>
      </c>
      <c r="I1744" s="4" t="s">
        <v>139</v>
      </c>
      <c r="J1744" s="4" t="s">
        <v>183</v>
      </c>
      <c r="K1744" s="4" t="s">
        <v>142</v>
      </c>
      <c r="L1744" s="4" t="s">
        <v>4181</v>
      </c>
      <c r="M1744" s="4" t="s">
        <v>173</v>
      </c>
      <c r="N1744" s="4" t="s">
        <v>155</v>
      </c>
      <c r="O1744" s="4" t="s">
        <v>501</v>
      </c>
      <c r="P1744" s="4"/>
    </row>
    <row r="1745" spans="1:16" ht="15">
      <c r="A1745" s="4" t="s">
        <v>2711</v>
      </c>
      <c r="B1745" s="30">
        <v>39962</v>
      </c>
      <c r="C1745" s="4"/>
      <c r="D1745" s="4" t="s">
        <v>194</v>
      </c>
      <c r="E1745" s="4" t="s">
        <v>170</v>
      </c>
      <c r="F1745" s="4" t="s">
        <v>155</v>
      </c>
      <c r="G1745" s="4"/>
      <c r="H1745" s="4"/>
      <c r="I1745" s="4" t="s">
        <v>139</v>
      </c>
      <c r="J1745" s="4" t="s">
        <v>178</v>
      </c>
      <c r="K1745" s="4" t="s">
        <v>148</v>
      </c>
      <c r="L1745" s="4" t="s">
        <v>162</v>
      </c>
      <c r="M1745" s="4"/>
      <c r="N1745" s="4" t="s">
        <v>155</v>
      </c>
      <c r="O1745" s="4" t="s">
        <v>130</v>
      </c>
      <c r="P1745" s="4"/>
    </row>
    <row r="1746" spans="1:16" ht="15">
      <c r="A1746" s="4" t="s">
        <v>2712</v>
      </c>
      <c r="B1746" s="30">
        <v>40028</v>
      </c>
      <c r="C1746" s="4" t="s">
        <v>383</v>
      </c>
      <c r="D1746" s="4" t="s">
        <v>197</v>
      </c>
      <c r="E1746" s="4" t="s">
        <v>170</v>
      </c>
      <c r="F1746" s="4" t="s">
        <v>155</v>
      </c>
      <c r="G1746" s="4">
        <v>5</v>
      </c>
      <c r="H1746" s="4">
        <v>3</v>
      </c>
      <c r="I1746" s="4" t="s">
        <v>139</v>
      </c>
      <c r="J1746" s="4" t="s">
        <v>178</v>
      </c>
      <c r="K1746" s="4" t="s">
        <v>150</v>
      </c>
      <c r="L1746" s="4" t="s">
        <v>4181</v>
      </c>
      <c r="M1746" s="4" t="s">
        <v>173</v>
      </c>
      <c r="N1746" s="4" t="s">
        <v>155</v>
      </c>
      <c r="O1746" s="4" t="s">
        <v>1133</v>
      </c>
      <c r="P1746" s="4"/>
    </row>
    <row r="1747" spans="1:16" ht="15">
      <c r="A1747" s="4" t="s">
        <v>2713</v>
      </c>
      <c r="B1747" s="30">
        <v>40036</v>
      </c>
      <c r="C1747" s="4" t="s">
        <v>383</v>
      </c>
      <c r="D1747" s="4" t="s">
        <v>193</v>
      </c>
      <c r="E1747" s="4" t="s">
        <v>170</v>
      </c>
      <c r="F1747" s="4" t="s">
        <v>155</v>
      </c>
      <c r="G1747" s="4">
        <v>4</v>
      </c>
      <c r="H1747" s="4">
        <v>3</v>
      </c>
      <c r="I1747" s="4" t="s">
        <v>140</v>
      </c>
      <c r="J1747" s="4" t="s">
        <v>178</v>
      </c>
      <c r="K1747" s="4" t="s">
        <v>144</v>
      </c>
      <c r="L1747" s="4" t="s">
        <v>4176</v>
      </c>
      <c r="M1747" s="4" t="s">
        <v>174</v>
      </c>
      <c r="N1747" s="4" t="s">
        <v>156</v>
      </c>
      <c r="O1747" s="4" t="s">
        <v>120</v>
      </c>
      <c r="P1747" s="4" t="s">
        <v>794</v>
      </c>
    </row>
    <row r="1748" spans="1:16" ht="15">
      <c r="A1748" s="4" t="s">
        <v>2714</v>
      </c>
      <c r="B1748" s="30">
        <v>39984</v>
      </c>
      <c r="C1748" s="4"/>
      <c r="D1748" s="4" t="s">
        <v>195</v>
      </c>
      <c r="E1748" s="4" t="s">
        <v>170</v>
      </c>
      <c r="F1748" s="4" t="s">
        <v>155</v>
      </c>
      <c r="G1748" s="4"/>
      <c r="H1748" s="4"/>
      <c r="I1748" s="4" t="s">
        <v>139</v>
      </c>
      <c r="J1748" s="4" t="s">
        <v>184</v>
      </c>
      <c r="K1748" s="4" t="s">
        <v>144</v>
      </c>
      <c r="L1748" s="4" t="s">
        <v>4181</v>
      </c>
      <c r="M1748" s="4" t="s">
        <v>173</v>
      </c>
      <c r="N1748" s="4" t="s">
        <v>788</v>
      </c>
      <c r="O1748" s="4" t="s">
        <v>2715</v>
      </c>
      <c r="P1748" s="4"/>
    </row>
    <row r="1749" spans="1:16" ht="15">
      <c r="A1749" s="4" t="s">
        <v>2716</v>
      </c>
      <c r="B1749" s="30">
        <v>39924</v>
      </c>
      <c r="C1749" s="4" t="s">
        <v>380</v>
      </c>
      <c r="D1749" s="4" t="s">
        <v>4177</v>
      </c>
      <c r="E1749" s="4" t="s">
        <v>170</v>
      </c>
      <c r="F1749" s="4" t="s">
        <v>155</v>
      </c>
      <c r="G1749" s="4"/>
      <c r="H1749" s="4"/>
      <c r="I1749" s="4" t="s">
        <v>139</v>
      </c>
      <c r="J1749" s="4" t="s">
        <v>183</v>
      </c>
      <c r="K1749" s="4" t="s">
        <v>143</v>
      </c>
      <c r="L1749" s="4" t="s">
        <v>4181</v>
      </c>
      <c r="M1749" s="4" t="s">
        <v>173</v>
      </c>
      <c r="N1749" s="4" t="s">
        <v>155</v>
      </c>
      <c r="O1749" s="4" t="s">
        <v>406</v>
      </c>
      <c r="P1749" s="4"/>
    </row>
    <row r="1750" spans="1:16" ht="15">
      <c r="A1750" s="4" t="s">
        <v>2717</v>
      </c>
      <c r="B1750" s="30">
        <v>39986</v>
      </c>
      <c r="C1750" s="4"/>
      <c r="D1750" s="4" t="s">
        <v>196</v>
      </c>
      <c r="E1750" s="4" t="s">
        <v>170</v>
      </c>
      <c r="F1750" s="4" t="s">
        <v>155</v>
      </c>
      <c r="G1750" s="4"/>
      <c r="H1750" s="4"/>
      <c r="I1750" s="4" t="s">
        <v>139</v>
      </c>
      <c r="J1750" s="4" t="s">
        <v>433</v>
      </c>
      <c r="K1750" s="4" t="s">
        <v>143</v>
      </c>
      <c r="L1750" s="4" t="s">
        <v>4176</v>
      </c>
      <c r="M1750" s="4" t="s">
        <v>174</v>
      </c>
      <c r="N1750" s="4" t="s">
        <v>157</v>
      </c>
      <c r="O1750" s="4" t="s">
        <v>130</v>
      </c>
      <c r="P1750" s="4" t="s">
        <v>423</v>
      </c>
    </row>
    <row r="1751" spans="1:16" ht="15">
      <c r="A1751" s="4" t="s">
        <v>2718</v>
      </c>
      <c r="B1751" s="30">
        <v>39983</v>
      </c>
      <c r="C1751" s="4"/>
      <c r="D1751" s="4" t="s">
        <v>195</v>
      </c>
      <c r="E1751" s="4" t="s">
        <v>170</v>
      </c>
      <c r="F1751" s="4" t="s">
        <v>155</v>
      </c>
      <c r="G1751" s="4"/>
      <c r="H1751" s="4"/>
      <c r="I1751" s="4" t="s">
        <v>139</v>
      </c>
      <c r="J1751" s="4" t="s">
        <v>178</v>
      </c>
      <c r="K1751" s="4" t="s">
        <v>146</v>
      </c>
      <c r="L1751" s="4" t="s">
        <v>4181</v>
      </c>
      <c r="M1751" s="4" t="s">
        <v>173</v>
      </c>
      <c r="N1751" s="4" t="s">
        <v>788</v>
      </c>
      <c r="O1751" s="4" t="s">
        <v>2719</v>
      </c>
      <c r="P1751" s="4"/>
    </row>
    <row r="1752" spans="1:16" ht="15">
      <c r="A1752" s="4" t="s">
        <v>2720</v>
      </c>
      <c r="B1752" s="30">
        <v>39934</v>
      </c>
      <c r="C1752" s="4"/>
      <c r="D1752" s="4" t="s">
        <v>4179</v>
      </c>
      <c r="E1752" s="4" t="s">
        <v>170</v>
      </c>
      <c r="F1752" s="4" t="s">
        <v>155</v>
      </c>
      <c r="G1752" s="4"/>
      <c r="H1752" s="4"/>
      <c r="I1752" s="4" t="s">
        <v>139</v>
      </c>
      <c r="J1752" s="4" t="s">
        <v>187</v>
      </c>
      <c r="K1752" s="4" t="s">
        <v>147</v>
      </c>
      <c r="L1752" s="4" t="s">
        <v>4176</v>
      </c>
      <c r="M1752" s="4" t="s">
        <v>498</v>
      </c>
      <c r="N1752" s="4" t="s">
        <v>160</v>
      </c>
      <c r="O1752" s="4" t="s">
        <v>126</v>
      </c>
      <c r="P1752" s="4" t="s">
        <v>1770</v>
      </c>
    </row>
    <row r="1753" spans="1:16" ht="15">
      <c r="A1753" s="4" t="s">
        <v>2721</v>
      </c>
      <c r="B1753" s="30">
        <v>40083</v>
      </c>
      <c r="C1753" s="4" t="s">
        <v>496</v>
      </c>
      <c r="D1753" s="4" t="s">
        <v>193</v>
      </c>
      <c r="E1753" s="4" t="s">
        <v>170</v>
      </c>
      <c r="F1753" s="4" t="s">
        <v>155</v>
      </c>
      <c r="G1753" s="4">
        <v>5</v>
      </c>
      <c r="H1753" s="4">
        <v>4</v>
      </c>
      <c r="I1753" s="4" t="s">
        <v>140</v>
      </c>
      <c r="J1753" s="4" t="s">
        <v>384</v>
      </c>
      <c r="K1753" s="4" t="s">
        <v>146</v>
      </c>
      <c r="L1753" s="4" t="s">
        <v>4181</v>
      </c>
      <c r="M1753" s="4" t="s">
        <v>173</v>
      </c>
      <c r="N1753" s="4" t="s">
        <v>155</v>
      </c>
      <c r="O1753" s="4" t="s">
        <v>125</v>
      </c>
      <c r="P1753" s="4"/>
    </row>
    <row r="1754" spans="1:16" ht="15">
      <c r="A1754" s="4" t="s">
        <v>2722</v>
      </c>
      <c r="B1754" s="30">
        <v>40039</v>
      </c>
      <c r="C1754" s="4"/>
      <c r="D1754" s="4" t="s">
        <v>195</v>
      </c>
      <c r="E1754" s="4" t="s">
        <v>170</v>
      </c>
      <c r="F1754" s="4" t="s">
        <v>155</v>
      </c>
      <c r="G1754" s="4">
        <v>3</v>
      </c>
      <c r="H1754" s="4">
        <v>3</v>
      </c>
      <c r="I1754" s="4" t="s">
        <v>139</v>
      </c>
      <c r="J1754" s="4" t="s">
        <v>178</v>
      </c>
      <c r="K1754" s="4" t="s">
        <v>145</v>
      </c>
      <c r="L1754" s="4" t="s">
        <v>165</v>
      </c>
      <c r="M1754" s="4" t="s">
        <v>2723</v>
      </c>
      <c r="N1754" s="4" t="s">
        <v>158</v>
      </c>
      <c r="O1754" s="4" t="s">
        <v>122</v>
      </c>
      <c r="P1754" s="4"/>
    </row>
    <row r="1755" spans="1:16" ht="15">
      <c r="A1755" s="4" t="s">
        <v>2724</v>
      </c>
      <c r="B1755" s="30">
        <v>40049</v>
      </c>
      <c r="C1755" s="4"/>
      <c r="D1755" s="4" t="s">
        <v>196</v>
      </c>
      <c r="E1755" s="4" t="s">
        <v>170</v>
      </c>
      <c r="F1755" s="4" t="s">
        <v>155</v>
      </c>
      <c r="G1755" s="4">
        <v>5</v>
      </c>
      <c r="H1755" s="4">
        <v>5</v>
      </c>
      <c r="I1755" s="4" t="s">
        <v>139</v>
      </c>
      <c r="J1755" s="4" t="s">
        <v>384</v>
      </c>
      <c r="K1755" s="4" t="s">
        <v>146</v>
      </c>
      <c r="L1755" s="4" t="s">
        <v>4181</v>
      </c>
      <c r="M1755" s="4" t="s">
        <v>173</v>
      </c>
      <c r="N1755" s="4" t="s">
        <v>155</v>
      </c>
      <c r="O1755" s="4" t="s">
        <v>746</v>
      </c>
      <c r="P1755" s="4"/>
    </row>
    <row r="1756" spans="1:16" ht="15">
      <c r="A1756" s="4" t="s">
        <v>2725</v>
      </c>
      <c r="B1756" s="30">
        <v>39959</v>
      </c>
      <c r="C1756" s="4"/>
      <c r="D1756" s="4" t="s">
        <v>193</v>
      </c>
      <c r="E1756" s="4" t="s">
        <v>170</v>
      </c>
      <c r="F1756" s="4" t="s">
        <v>155</v>
      </c>
      <c r="G1756" s="4"/>
      <c r="H1756" s="4"/>
      <c r="I1756" s="4" t="s">
        <v>140</v>
      </c>
      <c r="J1756" s="4" t="s">
        <v>528</v>
      </c>
      <c r="K1756" s="4" t="s">
        <v>143</v>
      </c>
      <c r="L1756" s="4" t="s">
        <v>4176</v>
      </c>
      <c r="M1756" s="4" t="s">
        <v>174</v>
      </c>
      <c r="N1756" s="4" t="s">
        <v>160</v>
      </c>
      <c r="O1756" s="4" t="s">
        <v>392</v>
      </c>
      <c r="P1756" s="4" t="s">
        <v>393</v>
      </c>
    </row>
    <row r="1757" spans="1:16" ht="15">
      <c r="A1757" s="4" t="s">
        <v>2726</v>
      </c>
      <c r="B1757" s="30">
        <v>40012</v>
      </c>
      <c r="C1757" s="4" t="s">
        <v>383</v>
      </c>
      <c r="D1757" s="4" t="s">
        <v>193</v>
      </c>
      <c r="E1757" s="4" t="s">
        <v>170</v>
      </c>
      <c r="F1757" s="4" t="s">
        <v>155</v>
      </c>
      <c r="G1757" s="4">
        <v>2</v>
      </c>
      <c r="H1757" s="4">
        <v>4</v>
      </c>
      <c r="I1757" s="4" t="s">
        <v>140</v>
      </c>
      <c r="J1757" s="4" t="s">
        <v>178</v>
      </c>
      <c r="K1757" s="4" t="s">
        <v>151</v>
      </c>
      <c r="L1757" s="4" t="s">
        <v>162</v>
      </c>
      <c r="M1757" s="4" t="s">
        <v>175</v>
      </c>
      <c r="N1757" s="4" t="s">
        <v>155</v>
      </c>
      <c r="O1757" s="4" t="s">
        <v>130</v>
      </c>
      <c r="P1757" s="4"/>
    </row>
    <row r="1758" spans="1:16" ht="15">
      <c r="A1758" s="4" t="s">
        <v>2727</v>
      </c>
      <c r="B1758" s="30">
        <v>39960</v>
      </c>
      <c r="C1758" s="4" t="s">
        <v>380</v>
      </c>
      <c r="D1758" s="4" t="s">
        <v>195</v>
      </c>
      <c r="E1758" s="4" t="s">
        <v>170</v>
      </c>
      <c r="F1758" s="4" t="s">
        <v>155</v>
      </c>
      <c r="G1758" s="4"/>
      <c r="H1758" s="4"/>
      <c r="I1758" s="4" t="s">
        <v>139</v>
      </c>
      <c r="J1758" s="4" t="s">
        <v>178</v>
      </c>
      <c r="K1758" s="4" t="s">
        <v>144</v>
      </c>
      <c r="L1758" s="4" t="s">
        <v>4181</v>
      </c>
      <c r="M1758" s="4" t="s">
        <v>173</v>
      </c>
      <c r="N1758" s="4" t="s">
        <v>155</v>
      </c>
      <c r="O1758" s="4" t="s">
        <v>439</v>
      </c>
      <c r="P1758" s="4"/>
    </row>
    <row r="1759" spans="1:16" ht="15">
      <c r="A1759" s="4" t="s">
        <v>2728</v>
      </c>
      <c r="B1759" s="30">
        <v>39965</v>
      </c>
      <c r="C1759" s="4" t="s">
        <v>496</v>
      </c>
      <c r="D1759" s="4" t="s">
        <v>193</v>
      </c>
      <c r="E1759" s="4" t="s">
        <v>170</v>
      </c>
      <c r="F1759" s="4" t="s">
        <v>155</v>
      </c>
      <c r="G1759" s="4"/>
      <c r="H1759" s="4"/>
      <c r="I1759" s="4" t="s">
        <v>140</v>
      </c>
      <c r="J1759" s="4" t="s">
        <v>178</v>
      </c>
      <c r="K1759" s="4" t="s">
        <v>150</v>
      </c>
      <c r="L1759" s="4" t="s">
        <v>4181</v>
      </c>
      <c r="M1759" s="4" t="s">
        <v>1679</v>
      </c>
      <c r="N1759" s="4" t="s">
        <v>155</v>
      </c>
      <c r="O1759" s="4" t="s">
        <v>830</v>
      </c>
      <c r="P1759" s="4"/>
    </row>
    <row r="1760" spans="1:16" ht="15">
      <c r="A1760" s="4" t="s">
        <v>2729</v>
      </c>
      <c r="B1760" s="30">
        <v>40019</v>
      </c>
      <c r="C1760" s="4" t="s">
        <v>383</v>
      </c>
      <c r="D1760" s="4" t="s">
        <v>196</v>
      </c>
      <c r="E1760" s="4" t="s">
        <v>170</v>
      </c>
      <c r="F1760" s="4" t="s">
        <v>155</v>
      </c>
      <c r="G1760" s="4">
        <v>5</v>
      </c>
      <c r="H1760" s="4">
        <v>5</v>
      </c>
      <c r="I1760" s="4" t="s">
        <v>139</v>
      </c>
      <c r="J1760" s="4" t="s">
        <v>447</v>
      </c>
      <c r="K1760" s="4" t="s">
        <v>148</v>
      </c>
      <c r="L1760" s="4" t="s">
        <v>162</v>
      </c>
      <c r="M1760" s="4" t="s">
        <v>573</v>
      </c>
      <c r="N1760" s="4" t="s">
        <v>155</v>
      </c>
      <c r="O1760" s="4" t="s">
        <v>130</v>
      </c>
      <c r="P1760" s="4"/>
    </row>
    <row r="1761" spans="1:16" ht="15">
      <c r="A1761" s="4" t="s">
        <v>2730</v>
      </c>
      <c r="B1761" s="30">
        <v>40021</v>
      </c>
      <c r="C1761" s="4" t="s">
        <v>383</v>
      </c>
      <c r="D1761" s="4" t="s">
        <v>196</v>
      </c>
      <c r="E1761" s="4" t="s">
        <v>170</v>
      </c>
      <c r="F1761" s="4" t="s">
        <v>155</v>
      </c>
      <c r="G1761" s="4">
        <v>5</v>
      </c>
      <c r="H1761" s="4">
        <v>3</v>
      </c>
      <c r="I1761" s="4" t="s">
        <v>139</v>
      </c>
      <c r="J1761" s="4" t="s">
        <v>181</v>
      </c>
      <c r="K1761" s="4" t="s">
        <v>143</v>
      </c>
      <c r="L1761" s="4" t="s">
        <v>4176</v>
      </c>
      <c r="M1761" s="4" t="s">
        <v>550</v>
      </c>
      <c r="N1761" s="4" t="s">
        <v>159</v>
      </c>
      <c r="O1761" s="4" t="s">
        <v>123</v>
      </c>
      <c r="P1761" s="4" t="s">
        <v>123</v>
      </c>
    </row>
    <row r="1762" spans="1:16" ht="15">
      <c r="A1762" s="4" t="s">
        <v>2731</v>
      </c>
      <c r="B1762" s="30">
        <v>39961</v>
      </c>
      <c r="C1762" s="4"/>
      <c r="D1762" s="4" t="s">
        <v>195</v>
      </c>
      <c r="E1762" s="4" t="s">
        <v>170</v>
      </c>
      <c r="F1762" s="4" t="s">
        <v>155</v>
      </c>
      <c r="G1762" s="4"/>
      <c r="H1762" s="4"/>
      <c r="I1762" s="4" t="s">
        <v>139</v>
      </c>
      <c r="J1762" s="4" t="s">
        <v>181</v>
      </c>
      <c r="K1762" s="4" t="s">
        <v>144</v>
      </c>
      <c r="L1762" s="4" t="s">
        <v>4181</v>
      </c>
      <c r="M1762" s="4" t="s">
        <v>173</v>
      </c>
      <c r="N1762" s="4" t="s">
        <v>155</v>
      </c>
      <c r="O1762" s="4" t="s">
        <v>734</v>
      </c>
      <c r="P1762" s="4"/>
    </row>
    <row r="1763" spans="1:16" ht="15">
      <c r="A1763" s="4" t="s">
        <v>2732</v>
      </c>
      <c r="B1763" s="30">
        <v>39996</v>
      </c>
      <c r="C1763" s="4"/>
      <c r="D1763" s="4" t="s">
        <v>193</v>
      </c>
      <c r="E1763" s="4" t="s">
        <v>170</v>
      </c>
      <c r="F1763" s="4" t="s">
        <v>155</v>
      </c>
      <c r="G1763" s="4"/>
      <c r="H1763" s="4">
        <v>2</v>
      </c>
      <c r="I1763" s="4" t="s">
        <v>140</v>
      </c>
      <c r="J1763" s="4" t="s">
        <v>189</v>
      </c>
      <c r="K1763" s="4" t="s">
        <v>149</v>
      </c>
      <c r="L1763" s="4" t="s">
        <v>162</v>
      </c>
      <c r="M1763" s="4" t="s">
        <v>459</v>
      </c>
      <c r="N1763" s="4" t="s">
        <v>155</v>
      </c>
      <c r="O1763" s="4" t="s">
        <v>130</v>
      </c>
      <c r="P1763" s="4"/>
    </row>
    <row r="1764" spans="1:16" ht="15">
      <c r="A1764" s="4" t="s">
        <v>2733</v>
      </c>
      <c r="B1764" s="30">
        <v>40042</v>
      </c>
      <c r="C1764" s="4"/>
      <c r="D1764" s="4" t="s">
        <v>193</v>
      </c>
      <c r="E1764" s="4" t="s">
        <v>170</v>
      </c>
      <c r="F1764" s="4" t="s">
        <v>155</v>
      </c>
      <c r="G1764" s="4">
        <v>2</v>
      </c>
      <c r="H1764" s="4">
        <v>3</v>
      </c>
      <c r="I1764" s="4" t="s">
        <v>140</v>
      </c>
      <c r="J1764" s="4" t="s">
        <v>178</v>
      </c>
      <c r="K1764" s="4" t="s">
        <v>146</v>
      </c>
      <c r="L1764" s="4" t="s">
        <v>162</v>
      </c>
      <c r="M1764" s="4" t="s">
        <v>573</v>
      </c>
      <c r="N1764" s="4" t="s">
        <v>155</v>
      </c>
      <c r="O1764" s="4" t="s">
        <v>129</v>
      </c>
      <c r="P1764" s="4"/>
    </row>
    <row r="1765" spans="1:16" ht="15">
      <c r="A1765" s="4" t="s">
        <v>2734</v>
      </c>
      <c r="B1765" s="30">
        <v>40076</v>
      </c>
      <c r="C1765" s="4"/>
      <c r="D1765" s="4" t="s">
        <v>193</v>
      </c>
      <c r="E1765" s="4" t="s">
        <v>170</v>
      </c>
      <c r="F1765" s="4" t="s">
        <v>155</v>
      </c>
      <c r="G1765" s="4">
        <v>5</v>
      </c>
      <c r="H1765" s="4">
        <v>2</v>
      </c>
      <c r="I1765" s="4" t="s">
        <v>140</v>
      </c>
      <c r="J1765" s="4" t="s">
        <v>178</v>
      </c>
      <c r="K1765" s="4" t="s">
        <v>145</v>
      </c>
      <c r="L1765" s="4" t="s">
        <v>4181</v>
      </c>
      <c r="M1765" s="4" t="s">
        <v>173</v>
      </c>
      <c r="N1765" s="4" t="s">
        <v>155</v>
      </c>
      <c r="O1765" s="4" t="s">
        <v>128</v>
      </c>
      <c r="P1765" s="4"/>
    </row>
    <row r="1766" spans="1:16" ht="15">
      <c r="A1766" s="4" t="s">
        <v>2735</v>
      </c>
      <c r="B1766" s="30">
        <v>39953</v>
      </c>
      <c r="C1766" s="4"/>
      <c r="D1766" s="4" t="s">
        <v>194</v>
      </c>
      <c r="E1766" s="4" t="s">
        <v>170</v>
      </c>
      <c r="F1766" s="4" t="s">
        <v>155</v>
      </c>
      <c r="G1766" s="4"/>
      <c r="H1766" s="4"/>
      <c r="I1766" s="4" t="s">
        <v>139</v>
      </c>
      <c r="J1766" s="4" t="s">
        <v>376</v>
      </c>
      <c r="K1766" s="4" t="s">
        <v>143</v>
      </c>
      <c r="L1766" s="4" t="s">
        <v>4181</v>
      </c>
      <c r="M1766" s="4" t="s">
        <v>173</v>
      </c>
      <c r="N1766" s="4" t="s">
        <v>155</v>
      </c>
      <c r="O1766" s="4" t="s">
        <v>124</v>
      </c>
      <c r="P1766" s="4"/>
    </row>
    <row r="1767" spans="1:16" ht="15">
      <c r="A1767" s="4" t="s">
        <v>2736</v>
      </c>
      <c r="B1767" s="30">
        <v>40030</v>
      </c>
      <c r="C1767" s="4"/>
      <c r="D1767" s="4" t="s">
        <v>196</v>
      </c>
      <c r="E1767" s="4" t="s">
        <v>170</v>
      </c>
      <c r="F1767" s="4" t="s">
        <v>155</v>
      </c>
      <c r="G1767" s="4">
        <v>1</v>
      </c>
      <c r="H1767" s="4">
        <v>5</v>
      </c>
      <c r="I1767" s="4" t="s">
        <v>139</v>
      </c>
      <c r="J1767" s="4" t="s">
        <v>189</v>
      </c>
      <c r="K1767" s="4" t="s">
        <v>150</v>
      </c>
      <c r="L1767" s="4" t="s">
        <v>4176</v>
      </c>
      <c r="M1767" s="4" t="s">
        <v>174</v>
      </c>
      <c r="N1767" s="4" t="s">
        <v>157</v>
      </c>
      <c r="O1767" s="4" t="s">
        <v>571</v>
      </c>
      <c r="P1767" s="4" t="s">
        <v>636</v>
      </c>
    </row>
    <row r="1768" spans="1:16" ht="15">
      <c r="A1768" s="4" t="s">
        <v>2737</v>
      </c>
      <c r="B1768" s="30">
        <v>40035</v>
      </c>
      <c r="C1768" s="4"/>
      <c r="D1768" s="4" t="s">
        <v>193</v>
      </c>
      <c r="E1768" s="4" t="s">
        <v>170</v>
      </c>
      <c r="F1768" s="4" t="s">
        <v>155</v>
      </c>
      <c r="G1768" s="4">
        <v>5</v>
      </c>
      <c r="H1768" s="4">
        <v>5</v>
      </c>
      <c r="I1768" s="4" t="s">
        <v>140</v>
      </c>
      <c r="J1768" s="4" t="s">
        <v>181</v>
      </c>
      <c r="K1768" s="4" t="s">
        <v>142</v>
      </c>
      <c r="L1768" s="4" t="s">
        <v>4176</v>
      </c>
      <c r="M1768" s="4" t="s">
        <v>174</v>
      </c>
      <c r="N1768" s="4" t="s">
        <v>156</v>
      </c>
      <c r="O1768" s="4" t="s">
        <v>120</v>
      </c>
      <c r="P1768" s="4" t="s">
        <v>1399</v>
      </c>
    </row>
    <row r="1769" spans="1:16" ht="15">
      <c r="A1769" s="4" t="s">
        <v>2738</v>
      </c>
      <c r="B1769" s="30">
        <v>40036</v>
      </c>
      <c r="C1769" s="4" t="s">
        <v>380</v>
      </c>
      <c r="D1769" s="4" t="s">
        <v>193</v>
      </c>
      <c r="E1769" s="4" t="s">
        <v>170</v>
      </c>
      <c r="F1769" s="4" t="s">
        <v>155</v>
      </c>
      <c r="G1769" s="4">
        <v>5</v>
      </c>
      <c r="H1769" s="4">
        <v>5</v>
      </c>
      <c r="I1769" s="4" t="s">
        <v>140</v>
      </c>
      <c r="J1769" s="4" t="s">
        <v>181</v>
      </c>
      <c r="K1769" s="4" t="s">
        <v>145</v>
      </c>
      <c r="L1769" s="4" t="s">
        <v>4176</v>
      </c>
      <c r="M1769" s="4" t="s">
        <v>174</v>
      </c>
      <c r="N1769" s="4" t="s">
        <v>156</v>
      </c>
      <c r="O1769" s="4" t="s">
        <v>120</v>
      </c>
      <c r="P1769" s="4" t="s">
        <v>832</v>
      </c>
    </row>
    <row r="1770" spans="1:16" ht="15">
      <c r="A1770" s="4" t="s">
        <v>2739</v>
      </c>
      <c r="B1770" s="30">
        <v>40002</v>
      </c>
      <c r="C1770" s="4" t="s">
        <v>383</v>
      </c>
      <c r="D1770" s="4" t="s">
        <v>193</v>
      </c>
      <c r="E1770" s="4" t="s">
        <v>170</v>
      </c>
      <c r="F1770" s="4" t="s">
        <v>155</v>
      </c>
      <c r="G1770" s="4"/>
      <c r="H1770" s="4">
        <v>5</v>
      </c>
      <c r="I1770" s="4" t="s">
        <v>140</v>
      </c>
      <c r="J1770" s="4" t="s">
        <v>181</v>
      </c>
      <c r="K1770" s="4" t="s">
        <v>142</v>
      </c>
      <c r="L1770" s="4" t="s">
        <v>162</v>
      </c>
      <c r="M1770" s="4"/>
      <c r="N1770" s="4" t="s">
        <v>155</v>
      </c>
      <c r="O1770" s="4" t="s">
        <v>130</v>
      </c>
      <c r="P1770" s="4"/>
    </row>
    <row r="1771" spans="1:16" ht="15">
      <c r="A1771" s="4" t="s">
        <v>2740</v>
      </c>
      <c r="B1771" s="30">
        <v>39924</v>
      </c>
      <c r="C1771" s="4"/>
      <c r="D1771" s="4" t="s">
        <v>4177</v>
      </c>
      <c r="E1771" s="4" t="s">
        <v>170</v>
      </c>
      <c r="F1771" s="4" t="s">
        <v>155</v>
      </c>
      <c r="G1771" s="4"/>
      <c r="H1771" s="4"/>
      <c r="I1771" s="4" t="s">
        <v>139</v>
      </c>
      <c r="J1771" s="4" t="s">
        <v>181</v>
      </c>
      <c r="K1771" s="4" t="s">
        <v>147</v>
      </c>
      <c r="L1771" s="4" t="s">
        <v>4181</v>
      </c>
      <c r="M1771" s="4" t="s">
        <v>1574</v>
      </c>
      <c r="N1771" s="4" t="s">
        <v>155</v>
      </c>
      <c r="O1771" s="4" t="s">
        <v>392</v>
      </c>
      <c r="P1771" s="4"/>
    </row>
    <row r="1772" spans="1:16" ht="15">
      <c r="A1772" s="4" t="s">
        <v>2741</v>
      </c>
      <c r="B1772" s="30">
        <v>39948</v>
      </c>
      <c r="C1772" s="4"/>
      <c r="D1772" s="4" t="s">
        <v>193</v>
      </c>
      <c r="E1772" s="4" t="s">
        <v>170</v>
      </c>
      <c r="F1772" s="4" t="s">
        <v>155</v>
      </c>
      <c r="G1772" s="4"/>
      <c r="H1772" s="4"/>
      <c r="I1772" s="4" t="s">
        <v>140</v>
      </c>
      <c r="J1772" s="4" t="s">
        <v>190</v>
      </c>
      <c r="K1772" s="4" t="s">
        <v>142</v>
      </c>
      <c r="L1772" s="4" t="s">
        <v>4181</v>
      </c>
      <c r="M1772" s="4" t="s">
        <v>441</v>
      </c>
      <c r="N1772" s="4" t="s">
        <v>155</v>
      </c>
      <c r="O1772" s="4" t="s">
        <v>2742</v>
      </c>
      <c r="P1772" s="4"/>
    </row>
    <row r="1773" spans="1:16" ht="15">
      <c r="A1773" s="4" t="s">
        <v>2743</v>
      </c>
      <c r="B1773" s="30">
        <v>40047</v>
      </c>
      <c r="C1773" s="4"/>
      <c r="D1773" s="4" t="s">
        <v>193</v>
      </c>
      <c r="E1773" s="4" t="s">
        <v>170</v>
      </c>
      <c r="F1773" s="4" t="s">
        <v>155</v>
      </c>
      <c r="G1773" s="4">
        <v>5</v>
      </c>
      <c r="H1773" s="4">
        <v>5</v>
      </c>
      <c r="I1773" s="4" t="s">
        <v>140</v>
      </c>
      <c r="J1773" s="4" t="s">
        <v>181</v>
      </c>
      <c r="K1773" s="4" t="s">
        <v>144</v>
      </c>
      <c r="L1773" s="4" t="s">
        <v>4176</v>
      </c>
      <c r="M1773" s="4" t="s">
        <v>174</v>
      </c>
      <c r="N1773" s="4" t="s">
        <v>157</v>
      </c>
      <c r="O1773" s="4" t="s">
        <v>571</v>
      </c>
      <c r="P1773" s="4" t="s">
        <v>2744</v>
      </c>
    </row>
    <row r="1774" spans="1:16" ht="15">
      <c r="A1774" s="4" t="s">
        <v>2745</v>
      </c>
      <c r="B1774" s="30">
        <v>39965</v>
      </c>
      <c r="C1774" s="4"/>
      <c r="D1774" s="4" t="s">
        <v>193</v>
      </c>
      <c r="E1774" s="4" t="s">
        <v>170</v>
      </c>
      <c r="F1774" s="4" t="s">
        <v>155</v>
      </c>
      <c r="G1774" s="4"/>
      <c r="H1774" s="4"/>
      <c r="I1774" s="4" t="s">
        <v>140</v>
      </c>
      <c r="J1774" s="4" t="s">
        <v>190</v>
      </c>
      <c r="K1774" s="4" t="s">
        <v>143</v>
      </c>
      <c r="L1774" s="4" t="s">
        <v>4181</v>
      </c>
      <c r="M1774" s="4"/>
      <c r="N1774" s="4" t="s">
        <v>155</v>
      </c>
      <c r="O1774" s="4" t="s">
        <v>406</v>
      </c>
      <c r="P1774" s="4"/>
    </row>
    <row r="1775" spans="1:16" ht="15">
      <c r="A1775" s="4" t="s">
        <v>2746</v>
      </c>
      <c r="B1775" s="30">
        <v>40002</v>
      </c>
      <c r="C1775" s="4"/>
      <c r="D1775" s="4" t="s">
        <v>194</v>
      </c>
      <c r="E1775" s="4" t="s">
        <v>170</v>
      </c>
      <c r="F1775" s="4" t="s">
        <v>155</v>
      </c>
      <c r="G1775" s="4"/>
      <c r="H1775" s="4">
        <v>5</v>
      </c>
      <c r="I1775" s="4" t="s">
        <v>139</v>
      </c>
      <c r="J1775" s="4" t="s">
        <v>181</v>
      </c>
      <c r="K1775" s="4" t="s">
        <v>144</v>
      </c>
      <c r="L1775" s="4" t="s">
        <v>4176</v>
      </c>
      <c r="M1775" s="4" t="s">
        <v>174</v>
      </c>
      <c r="N1775" s="4" t="s">
        <v>157</v>
      </c>
      <c r="O1775" s="4" t="s">
        <v>127</v>
      </c>
      <c r="P1775" s="4" t="s">
        <v>153</v>
      </c>
    </row>
    <row r="1776" spans="1:16" ht="15">
      <c r="A1776" s="4" t="s">
        <v>2747</v>
      </c>
      <c r="B1776" s="30">
        <v>40038</v>
      </c>
      <c r="C1776" s="4"/>
      <c r="D1776" s="4" t="s">
        <v>196</v>
      </c>
      <c r="E1776" s="4" t="s">
        <v>170</v>
      </c>
      <c r="F1776" s="4" t="s">
        <v>155</v>
      </c>
      <c r="G1776" s="4">
        <v>5</v>
      </c>
      <c r="H1776" s="4">
        <v>3</v>
      </c>
      <c r="I1776" s="4" t="s">
        <v>139</v>
      </c>
      <c r="J1776" s="4" t="s">
        <v>181</v>
      </c>
      <c r="K1776" s="4" t="s">
        <v>146</v>
      </c>
      <c r="L1776" s="4" t="s">
        <v>4176</v>
      </c>
      <c r="M1776" s="4" t="s">
        <v>2748</v>
      </c>
      <c r="N1776" s="4" t="s">
        <v>156</v>
      </c>
      <c r="O1776" s="4" t="s">
        <v>120</v>
      </c>
      <c r="P1776" s="4" t="s">
        <v>741</v>
      </c>
    </row>
    <row r="1777" spans="1:16" ht="15">
      <c r="A1777" s="4" t="s">
        <v>2749</v>
      </c>
      <c r="B1777" s="30">
        <v>40021</v>
      </c>
      <c r="C1777" s="4" t="s">
        <v>383</v>
      </c>
      <c r="D1777" s="4" t="s">
        <v>193</v>
      </c>
      <c r="E1777" s="4" t="s">
        <v>170</v>
      </c>
      <c r="F1777" s="4" t="s">
        <v>155</v>
      </c>
      <c r="G1777" s="4">
        <v>5</v>
      </c>
      <c r="H1777" s="4">
        <v>5</v>
      </c>
      <c r="I1777" s="4" t="s">
        <v>140</v>
      </c>
      <c r="J1777" s="4" t="s">
        <v>181</v>
      </c>
      <c r="K1777" s="4" t="s">
        <v>146</v>
      </c>
      <c r="L1777" s="4" t="s">
        <v>162</v>
      </c>
      <c r="M1777" s="4" t="s">
        <v>175</v>
      </c>
      <c r="N1777" s="4" t="s">
        <v>155</v>
      </c>
      <c r="O1777" s="4" t="s">
        <v>130</v>
      </c>
      <c r="P1777" s="4"/>
    </row>
    <row r="1778" spans="1:16" ht="15">
      <c r="A1778" s="4" t="s">
        <v>2750</v>
      </c>
      <c r="B1778" s="30">
        <v>40016</v>
      </c>
      <c r="C1778" s="4" t="s">
        <v>383</v>
      </c>
      <c r="D1778" s="4" t="s">
        <v>195</v>
      </c>
      <c r="E1778" s="4" t="s">
        <v>170</v>
      </c>
      <c r="F1778" s="4" t="s">
        <v>155</v>
      </c>
      <c r="G1778" s="4">
        <v>3</v>
      </c>
      <c r="H1778" s="4">
        <v>3</v>
      </c>
      <c r="I1778" s="4" t="s">
        <v>139</v>
      </c>
      <c r="J1778" s="4" t="s">
        <v>528</v>
      </c>
      <c r="K1778" s="4" t="s">
        <v>148</v>
      </c>
      <c r="L1778" s="4" t="s">
        <v>4181</v>
      </c>
      <c r="M1778" s="4" t="s">
        <v>173</v>
      </c>
      <c r="N1778" s="4" t="s">
        <v>155</v>
      </c>
      <c r="O1778" s="4" t="s">
        <v>124</v>
      </c>
      <c r="P1778" s="4"/>
    </row>
    <row r="1779" spans="1:16" ht="15">
      <c r="A1779" s="4" t="s">
        <v>2751</v>
      </c>
      <c r="B1779" s="30">
        <v>39949</v>
      </c>
      <c r="C1779" s="4" t="s">
        <v>525</v>
      </c>
      <c r="D1779" s="4" t="s">
        <v>193</v>
      </c>
      <c r="E1779" s="4" t="s">
        <v>170</v>
      </c>
      <c r="F1779" s="4" t="s">
        <v>155</v>
      </c>
      <c r="G1779" s="4"/>
      <c r="H1779" s="4"/>
      <c r="I1779" s="4" t="s">
        <v>140</v>
      </c>
      <c r="J1779" s="4" t="s">
        <v>185</v>
      </c>
      <c r="K1779" s="4" t="s">
        <v>147</v>
      </c>
      <c r="L1779" s="4" t="s">
        <v>4181</v>
      </c>
      <c r="M1779" s="4" t="s">
        <v>2752</v>
      </c>
      <c r="N1779" s="4" t="s">
        <v>155</v>
      </c>
      <c r="O1779" s="4" t="s">
        <v>129</v>
      </c>
      <c r="P1779" s="4"/>
    </row>
    <row r="1780" spans="1:16" ht="15">
      <c r="A1780" s="4" t="s">
        <v>2753</v>
      </c>
      <c r="B1780" s="30">
        <v>39997</v>
      </c>
      <c r="C1780" s="4"/>
      <c r="D1780" s="4" t="s">
        <v>193</v>
      </c>
      <c r="E1780" s="4" t="s">
        <v>170</v>
      </c>
      <c r="F1780" s="4" t="s">
        <v>155</v>
      </c>
      <c r="G1780" s="4"/>
      <c r="H1780" s="4">
        <v>4</v>
      </c>
      <c r="I1780" s="4" t="s">
        <v>140</v>
      </c>
      <c r="J1780" s="4" t="s">
        <v>185</v>
      </c>
      <c r="K1780" s="4" t="s">
        <v>143</v>
      </c>
      <c r="L1780" s="4" t="s">
        <v>4176</v>
      </c>
      <c r="M1780" s="4" t="s">
        <v>550</v>
      </c>
      <c r="N1780" s="4" t="s">
        <v>156</v>
      </c>
      <c r="O1780" s="4" t="s">
        <v>120</v>
      </c>
      <c r="P1780" s="4" t="s">
        <v>1001</v>
      </c>
    </row>
    <row r="1781" spans="1:16" ht="15">
      <c r="A1781" s="4" t="s">
        <v>2754</v>
      </c>
      <c r="B1781" s="30">
        <v>39935</v>
      </c>
      <c r="C1781" s="4"/>
      <c r="D1781" s="4" t="s">
        <v>4179</v>
      </c>
      <c r="E1781" s="4" t="s">
        <v>170</v>
      </c>
      <c r="F1781" s="4" t="s">
        <v>155</v>
      </c>
      <c r="G1781" s="4"/>
      <c r="H1781" s="4"/>
      <c r="I1781" s="4" t="s">
        <v>139</v>
      </c>
      <c r="J1781" s="4" t="s">
        <v>185</v>
      </c>
      <c r="K1781" s="4" t="s">
        <v>149</v>
      </c>
      <c r="L1781" s="4" t="s">
        <v>4176</v>
      </c>
      <c r="M1781" s="4" t="s">
        <v>174</v>
      </c>
      <c r="N1781" s="4" t="s">
        <v>156</v>
      </c>
      <c r="O1781" s="4" t="s">
        <v>120</v>
      </c>
      <c r="P1781" s="4" t="s">
        <v>995</v>
      </c>
    </row>
    <row r="1782" spans="1:16" ht="15">
      <c r="A1782" s="4" t="s">
        <v>2755</v>
      </c>
      <c r="B1782" s="30">
        <v>40064</v>
      </c>
      <c r="C1782" s="4" t="s">
        <v>496</v>
      </c>
      <c r="D1782" s="4" t="s">
        <v>195</v>
      </c>
      <c r="E1782" s="4" t="s">
        <v>170</v>
      </c>
      <c r="F1782" s="4" t="s">
        <v>155</v>
      </c>
      <c r="G1782" s="4">
        <v>1</v>
      </c>
      <c r="H1782" s="4">
        <v>3</v>
      </c>
      <c r="I1782" s="4" t="s">
        <v>139</v>
      </c>
      <c r="J1782" s="4" t="s">
        <v>185</v>
      </c>
      <c r="K1782" s="4" t="s">
        <v>143</v>
      </c>
      <c r="L1782" s="4" t="s">
        <v>162</v>
      </c>
      <c r="M1782" s="4" t="s">
        <v>176</v>
      </c>
      <c r="N1782" s="4" t="s">
        <v>155</v>
      </c>
      <c r="O1782" s="4" t="s">
        <v>129</v>
      </c>
      <c r="P1782" s="4"/>
    </row>
    <row r="1783" spans="1:16" ht="15">
      <c r="A1783" s="4" t="s">
        <v>2756</v>
      </c>
      <c r="B1783" s="30">
        <v>39973</v>
      </c>
      <c r="C1783" s="4" t="s">
        <v>9</v>
      </c>
      <c r="D1783" s="4" t="s">
        <v>193</v>
      </c>
      <c r="E1783" s="4" t="s">
        <v>170</v>
      </c>
      <c r="F1783" s="4" t="s">
        <v>155</v>
      </c>
      <c r="G1783" s="4"/>
      <c r="H1783" s="4"/>
      <c r="I1783" s="4" t="s">
        <v>140</v>
      </c>
      <c r="J1783" s="4" t="s">
        <v>189</v>
      </c>
      <c r="K1783" s="4" t="s">
        <v>146</v>
      </c>
      <c r="L1783" s="4" t="s">
        <v>4181</v>
      </c>
      <c r="M1783" s="4" t="s">
        <v>1159</v>
      </c>
      <c r="N1783" s="4" t="s">
        <v>161</v>
      </c>
      <c r="O1783" s="4" t="s">
        <v>1253</v>
      </c>
      <c r="P1783" s="4"/>
    </row>
    <row r="1784" spans="1:16" ht="15">
      <c r="A1784" s="4" t="s">
        <v>2757</v>
      </c>
      <c r="B1784" s="30">
        <v>39925</v>
      </c>
      <c r="C1784" s="4"/>
      <c r="D1784" s="4" t="s">
        <v>4182</v>
      </c>
      <c r="E1784" s="4" t="s">
        <v>170</v>
      </c>
      <c r="F1784" s="4" t="s">
        <v>155</v>
      </c>
      <c r="G1784" s="4"/>
      <c r="H1784" s="4"/>
      <c r="I1784" s="4" t="s">
        <v>139</v>
      </c>
      <c r="J1784" s="4" t="s">
        <v>189</v>
      </c>
      <c r="K1784" s="4" t="s">
        <v>142</v>
      </c>
      <c r="L1784" s="4" t="s">
        <v>4176</v>
      </c>
      <c r="M1784" s="4" t="s">
        <v>550</v>
      </c>
      <c r="N1784" s="4" t="s">
        <v>157</v>
      </c>
      <c r="O1784" s="4" t="s">
        <v>130</v>
      </c>
      <c r="P1784" s="4" t="s">
        <v>437</v>
      </c>
    </row>
    <row r="1785" spans="1:16" ht="15">
      <c r="A1785" s="4" t="s">
        <v>2758</v>
      </c>
      <c r="B1785" s="30">
        <v>39960</v>
      </c>
      <c r="C1785" s="4"/>
      <c r="D1785" s="4" t="s">
        <v>193</v>
      </c>
      <c r="E1785" s="4" t="s">
        <v>170</v>
      </c>
      <c r="F1785" s="4" t="s">
        <v>155</v>
      </c>
      <c r="G1785" s="4"/>
      <c r="H1785" s="4"/>
      <c r="I1785" s="4" t="s">
        <v>140</v>
      </c>
      <c r="J1785" s="4" t="s">
        <v>509</v>
      </c>
      <c r="K1785" s="4" t="s">
        <v>144</v>
      </c>
      <c r="L1785" s="4" t="s">
        <v>4181</v>
      </c>
      <c r="M1785" s="4"/>
      <c r="N1785" s="4" t="s">
        <v>155</v>
      </c>
      <c r="O1785" s="4" t="s">
        <v>124</v>
      </c>
      <c r="P1785" s="4"/>
    </row>
    <row r="1786" spans="1:16" ht="15">
      <c r="A1786" s="4" t="s">
        <v>2759</v>
      </c>
      <c r="B1786" s="30">
        <v>39991</v>
      </c>
      <c r="C1786" s="4"/>
      <c r="D1786" s="4" t="s">
        <v>196</v>
      </c>
      <c r="E1786" s="4" t="s">
        <v>170</v>
      </c>
      <c r="F1786" s="4" t="s">
        <v>155</v>
      </c>
      <c r="G1786" s="4"/>
      <c r="H1786" s="4">
        <v>5</v>
      </c>
      <c r="I1786" s="4" t="s">
        <v>139</v>
      </c>
      <c r="J1786" s="4" t="s">
        <v>185</v>
      </c>
      <c r="K1786" s="4" t="s">
        <v>143</v>
      </c>
      <c r="L1786" s="4" t="s">
        <v>162</v>
      </c>
      <c r="M1786" s="4" t="s">
        <v>175</v>
      </c>
      <c r="N1786" s="4" t="s">
        <v>155</v>
      </c>
      <c r="O1786" s="4" t="s">
        <v>129</v>
      </c>
      <c r="P1786" s="4"/>
    </row>
    <row r="1787" spans="1:16" ht="15">
      <c r="A1787" s="4" t="s">
        <v>2760</v>
      </c>
      <c r="B1787" s="30">
        <v>39969</v>
      </c>
      <c r="C1787" s="4"/>
      <c r="D1787" s="4" t="s">
        <v>194</v>
      </c>
      <c r="E1787" s="4" t="s">
        <v>170</v>
      </c>
      <c r="F1787" s="4" t="s">
        <v>155</v>
      </c>
      <c r="G1787" s="4"/>
      <c r="H1787" s="4"/>
      <c r="I1787" s="4" t="s">
        <v>139</v>
      </c>
      <c r="J1787" s="4" t="s">
        <v>180</v>
      </c>
      <c r="K1787" s="4" t="s">
        <v>143</v>
      </c>
      <c r="L1787" s="4" t="s">
        <v>4181</v>
      </c>
      <c r="M1787" s="4" t="s">
        <v>173</v>
      </c>
      <c r="N1787" s="4" t="s">
        <v>161</v>
      </c>
      <c r="O1787" s="4" t="s">
        <v>1364</v>
      </c>
      <c r="P1787" s="4"/>
    </row>
    <row r="1788" spans="1:16" ht="15">
      <c r="A1788" s="4" t="s">
        <v>2761</v>
      </c>
      <c r="B1788" s="30">
        <v>40023</v>
      </c>
      <c r="C1788" s="4" t="s">
        <v>9</v>
      </c>
      <c r="D1788" s="4" t="s">
        <v>193</v>
      </c>
      <c r="E1788" s="4" t="s">
        <v>170</v>
      </c>
      <c r="F1788" s="4" t="s">
        <v>155</v>
      </c>
      <c r="G1788" s="4">
        <v>5</v>
      </c>
      <c r="H1788" s="4">
        <v>5</v>
      </c>
      <c r="I1788" s="4" t="s">
        <v>140</v>
      </c>
      <c r="J1788" s="4" t="s">
        <v>509</v>
      </c>
      <c r="K1788" s="4" t="s">
        <v>146</v>
      </c>
      <c r="L1788" s="4" t="s">
        <v>4176</v>
      </c>
      <c r="M1788" s="4" t="s">
        <v>1572</v>
      </c>
      <c r="N1788" s="4" t="s">
        <v>157</v>
      </c>
      <c r="O1788" s="4" t="s">
        <v>501</v>
      </c>
      <c r="P1788" s="4" t="s">
        <v>2762</v>
      </c>
    </row>
    <row r="1789" spans="1:16" ht="15">
      <c r="A1789" s="4" t="s">
        <v>2763</v>
      </c>
      <c r="B1789" s="30">
        <v>40056</v>
      </c>
      <c r="C1789" s="4"/>
      <c r="D1789" s="4" t="s">
        <v>544</v>
      </c>
      <c r="E1789" s="4" t="s">
        <v>170</v>
      </c>
      <c r="F1789" s="4" t="s">
        <v>155</v>
      </c>
      <c r="G1789" s="4">
        <v>5</v>
      </c>
      <c r="H1789" s="4">
        <v>3</v>
      </c>
      <c r="I1789" s="4" t="s">
        <v>139</v>
      </c>
      <c r="J1789" s="4" t="s">
        <v>179</v>
      </c>
      <c r="K1789" s="4" t="s">
        <v>144</v>
      </c>
      <c r="L1789" s="4" t="s">
        <v>4176</v>
      </c>
      <c r="M1789" s="4" t="s">
        <v>1728</v>
      </c>
      <c r="N1789" s="4" t="s">
        <v>157</v>
      </c>
      <c r="O1789" s="4" t="s">
        <v>127</v>
      </c>
      <c r="P1789" s="4" t="s">
        <v>153</v>
      </c>
    </row>
    <row r="1790" spans="1:16" ht="15">
      <c r="A1790" s="4" t="s">
        <v>2764</v>
      </c>
      <c r="B1790" s="30">
        <v>39914</v>
      </c>
      <c r="C1790" s="4" t="s">
        <v>380</v>
      </c>
      <c r="D1790" s="4" t="s">
        <v>4183</v>
      </c>
      <c r="E1790" s="4" t="s">
        <v>170</v>
      </c>
      <c r="F1790" s="4" t="s">
        <v>155</v>
      </c>
      <c r="G1790" s="4"/>
      <c r="H1790" s="4"/>
      <c r="I1790" s="4" t="s">
        <v>140</v>
      </c>
      <c r="J1790" s="4" t="s">
        <v>185</v>
      </c>
      <c r="K1790" s="4" t="s">
        <v>143</v>
      </c>
      <c r="L1790" s="4" t="s">
        <v>4176</v>
      </c>
      <c r="M1790" s="4" t="s">
        <v>174</v>
      </c>
      <c r="N1790" s="4" t="s">
        <v>157</v>
      </c>
      <c r="O1790" s="4" t="s">
        <v>124</v>
      </c>
      <c r="P1790" s="4" t="s">
        <v>885</v>
      </c>
    </row>
    <row r="1791" spans="1:16" ht="15">
      <c r="A1791" s="4" t="s">
        <v>2765</v>
      </c>
      <c r="B1791" s="30">
        <v>39933</v>
      </c>
      <c r="C1791" s="4"/>
      <c r="D1791" s="4" t="s">
        <v>4180</v>
      </c>
      <c r="E1791" s="4" t="s">
        <v>170</v>
      </c>
      <c r="F1791" s="4" t="s">
        <v>155</v>
      </c>
      <c r="G1791" s="4"/>
      <c r="H1791" s="4"/>
      <c r="I1791" s="4" t="s">
        <v>139</v>
      </c>
      <c r="J1791" s="4" t="s">
        <v>185</v>
      </c>
      <c r="K1791" s="4" t="s">
        <v>145</v>
      </c>
      <c r="L1791" s="4" t="s">
        <v>4176</v>
      </c>
      <c r="M1791" s="4" t="s">
        <v>174</v>
      </c>
      <c r="N1791" s="4" t="s">
        <v>157</v>
      </c>
      <c r="O1791" s="4" t="s">
        <v>434</v>
      </c>
      <c r="P1791" s="4" t="s">
        <v>435</v>
      </c>
    </row>
    <row r="1792" spans="1:16" ht="15">
      <c r="A1792" s="4" t="s">
        <v>2766</v>
      </c>
      <c r="B1792" s="30">
        <v>40021</v>
      </c>
      <c r="C1792" s="4"/>
      <c r="D1792" s="4" t="s">
        <v>193</v>
      </c>
      <c r="E1792" s="4" t="s">
        <v>170</v>
      </c>
      <c r="F1792" s="4" t="s">
        <v>155</v>
      </c>
      <c r="G1792" s="4">
        <v>5</v>
      </c>
      <c r="H1792" s="4">
        <v>5</v>
      </c>
      <c r="I1792" s="4" t="s">
        <v>140</v>
      </c>
      <c r="J1792" s="4" t="s">
        <v>185</v>
      </c>
      <c r="K1792" s="4" t="s">
        <v>146</v>
      </c>
      <c r="L1792" s="4" t="s">
        <v>4176</v>
      </c>
      <c r="M1792" s="4" t="s">
        <v>2767</v>
      </c>
      <c r="N1792" s="4" t="s">
        <v>156</v>
      </c>
      <c r="O1792" s="4" t="s">
        <v>120</v>
      </c>
      <c r="P1792" s="4" t="s">
        <v>2768</v>
      </c>
    </row>
    <row r="1793" spans="1:16" ht="15">
      <c r="A1793" s="4" t="s">
        <v>2769</v>
      </c>
      <c r="B1793" s="30">
        <v>40065</v>
      </c>
      <c r="C1793" s="4"/>
      <c r="D1793" s="4" t="s">
        <v>196</v>
      </c>
      <c r="E1793" s="4" t="s">
        <v>170</v>
      </c>
      <c r="F1793" s="4" t="s">
        <v>155</v>
      </c>
      <c r="G1793" s="4">
        <v>3</v>
      </c>
      <c r="H1793" s="4">
        <v>3</v>
      </c>
      <c r="I1793" s="4" t="s">
        <v>139</v>
      </c>
      <c r="J1793" s="4" t="s">
        <v>185</v>
      </c>
      <c r="K1793" s="4" t="s">
        <v>146</v>
      </c>
      <c r="L1793" s="4" t="s">
        <v>165</v>
      </c>
      <c r="M1793" s="4" t="s">
        <v>589</v>
      </c>
      <c r="N1793" s="4" t="s">
        <v>158</v>
      </c>
      <c r="O1793" s="4" t="s">
        <v>122</v>
      </c>
      <c r="P1793" s="4"/>
    </row>
    <row r="1794" spans="1:16" ht="15">
      <c r="A1794" s="4" t="s">
        <v>2770</v>
      </c>
      <c r="B1794" s="30">
        <v>39938</v>
      </c>
      <c r="C1794" s="4"/>
      <c r="D1794" s="4" t="s">
        <v>4180</v>
      </c>
      <c r="E1794" s="4" t="s">
        <v>170</v>
      </c>
      <c r="F1794" s="4" t="s">
        <v>155</v>
      </c>
      <c r="G1794" s="4"/>
      <c r="H1794" s="4"/>
      <c r="I1794" s="4" t="s">
        <v>139</v>
      </c>
      <c r="J1794" s="4" t="s">
        <v>179</v>
      </c>
      <c r="K1794" s="4" t="s">
        <v>143</v>
      </c>
      <c r="L1794" s="4" t="s">
        <v>4176</v>
      </c>
      <c r="M1794" s="4" t="s">
        <v>429</v>
      </c>
      <c r="N1794" s="4" t="s">
        <v>159</v>
      </c>
      <c r="O1794" s="4" t="s">
        <v>126</v>
      </c>
      <c r="P1794" s="4" t="s">
        <v>601</v>
      </c>
    </row>
    <row r="1795" spans="1:16" ht="15">
      <c r="A1795" s="4" t="s">
        <v>2771</v>
      </c>
      <c r="B1795" s="30">
        <v>40059</v>
      </c>
      <c r="C1795" s="4"/>
      <c r="D1795" s="4" t="s">
        <v>193</v>
      </c>
      <c r="E1795" s="4" t="s">
        <v>170</v>
      </c>
      <c r="F1795" s="4" t="s">
        <v>155</v>
      </c>
      <c r="G1795" s="4">
        <v>5</v>
      </c>
      <c r="H1795" s="4">
        <v>3</v>
      </c>
      <c r="I1795" s="4" t="s">
        <v>140</v>
      </c>
      <c r="J1795" s="4" t="s">
        <v>179</v>
      </c>
      <c r="K1795" s="4" t="s">
        <v>142</v>
      </c>
      <c r="L1795" s="4" t="s">
        <v>4181</v>
      </c>
      <c r="M1795" s="4" t="s">
        <v>173</v>
      </c>
      <c r="N1795" s="4" t="s">
        <v>161</v>
      </c>
      <c r="O1795" s="4" t="s">
        <v>2772</v>
      </c>
      <c r="P1795" s="4"/>
    </row>
    <row r="1796" spans="1:16" ht="15">
      <c r="A1796" s="4" t="s">
        <v>2773</v>
      </c>
      <c r="B1796" s="30">
        <v>40047</v>
      </c>
      <c r="C1796" s="4"/>
      <c r="D1796" s="4" t="s">
        <v>195</v>
      </c>
      <c r="E1796" s="4" t="s">
        <v>170</v>
      </c>
      <c r="F1796" s="4" t="s">
        <v>155</v>
      </c>
      <c r="G1796" s="4">
        <v>5</v>
      </c>
      <c r="H1796" s="4">
        <v>4</v>
      </c>
      <c r="I1796" s="4" t="s">
        <v>139</v>
      </c>
      <c r="J1796" s="4" t="s">
        <v>179</v>
      </c>
      <c r="K1796" s="4" t="s">
        <v>145</v>
      </c>
      <c r="L1796" s="4" t="s">
        <v>4181</v>
      </c>
      <c r="M1796" s="4" t="s">
        <v>173</v>
      </c>
      <c r="N1796" s="4" t="s">
        <v>155</v>
      </c>
      <c r="O1796" s="4" t="s">
        <v>956</v>
      </c>
      <c r="P1796" s="4"/>
    </row>
    <row r="1797" spans="1:16" ht="15">
      <c r="A1797" s="4" t="s">
        <v>2774</v>
      </c>
      <c r="B1797" s="30">
        <v>39945</v>
      </c>
      <c r="C1797" s="4"/>
      <c r="D1797" s="4" t="s">
        <v>193</v>
      </c>
      <c r="E1797" s="4" t="s">
        <v>170</v>
      </c>
      <c r="F1797" s="4" t="s">
        <v>155</v>
      </c>
      <c r="G1797" s="4"/>
      <c r="H1797" s="4"/>
      <c r="I1797" s="4" t="s">
        <v>140</v>
      </c>
      <c r="J1797" s="4" t="s">
        <v>179</v>
      </c>
      <c r="K1797" s="4" t="s">
        <v>147</v>
      </c>
      <c r="L1797" s="4" t="s">
        <v>4181</v>
      </c>
      <c r="M1797" s="4" t="s">
        <v>2775</v>
      </c>
      <c r="N1797" s="4" t="s">
        <v>155</v>
      </c>
      <c r="O1797" s="4" t="s">
        <v>124</v>
      </c>
      <c r="P1797" s="4"/>
    </row>
    <row r="1798" spans="1:16" ht="15">
      <c r="A1798" s="4" t="s">
        <v>2776</v>
      </c>
      <c r="B1798" s="30">
        <v>40008</v>
      </c>
      <c r="C1798" s="4"/>
      <c r="D1798" s="4" t="s">
        <v>193</v>
      </c>
      <c r="E1798" s="4" t="s">
        <v>170</v>
      </c>
      <c r="F1798" s="4" t="s">
        <v>155</v>
      </c>
      <c r="G1798" s="4">
        <v>5</v>
      </c>
      <c r="H1798" s="4">
        <v>5</v>
      </c>
      <c r="I1798" s="4" t="s">
        <v>140</v>
      </c>
      <c r="J1798" s="4" t="s">
        <v>179</v>
      </c>
      <c r="K1798" s="4" t="s">
        <v>150</v>
      </c>
      <c r="L1798" s="4" t="s">
        <v>162</v>
      </c>
      <c r="M1798" s="4" t="s">
        <v>175</v>
      </c>
      <c r="N1798" s="4" t="s">
        <v>155</v>
      </c>
      <c r="O1798" s="4" t="s">
        <v>130</v>
      </c>
      <c r="P1798" s="4"/>
    </row>
    <row r="1799" spans="1:16" ht="15">
      <c r="A1799" s="4" t="s">
        <v>2777</v>
      </c>
      <c r="B1799" s="30">
        <v>40014</v>
      </c>
      <c r="C1799" s="4" t="s">
        <v>383</v>
      </c>
      <c r="D1799" s="4" t="s">
        <v>194</v>
      </c>
      <c r="E1799" s="4" t="s">
        <v>170</v>
      </c>
      <c r="F1799" s="4" t="s">
        <v>155</v>
      </c>
      <c r="G1799" s="4">
        <v>5</v>
      </c>
      <c r="H1799" s="4">
        <v>3</v>
      </c>
      <c r="I1799" s="4" t="s">
        <v>139</v>
      </c>
      <c r="J1799" s="4" t="s">
        <v>603</v>
      </c>
      <c r="K1799" s="4" t="s">
        <v>144</v>
      </c>
      <c r="L1799" s="4" t="s">
        <v>4181</v>
      </c>
      <c r="M1799" s="4" t="s">
        <v>173</v>
      </c>
      <c r="N1799" s="4" t="s">
        <v>161</v>
      </c>
      <c r="O1799" s="4" t="s">
        <v>1364</v>
      </c>
      <c r="P1799" s="4"/>
    </row>
    <row r="1800" spans="1:16" ht="15">
      <c r="A1800" s="4" t="s">
        <v>2778</v>
      </c>
      <c r="B1800" s="30">
        <v>39922</v>
      </c>
      <c r="C1800" s="4"/>
      <c r="D1800" s="4" t="s">
        <v>4179</v>
      </c>
      <c r="E1800" s="4" t="s">
        <v>170</v>
      </c>
      <c r="F1800" s="4" t="s">
        <v>155</v>
      </c>
      <c r="G1800" s="4"/>
      <c r="H1800" s="4"/>
      <c r="I1800" s="4" t="s">
        <v>139</v>
      </c>
      <c r="J1800" s="4" t="s">
        <v>179</v>
      </c>
      <c r="K1800" s="4" t="s">
        <v>147</v>
      </c>
      <c r="L1800" s="4" t="s">
        <v>4181</v>
      </c>
      <c r="M1800" s="4" t="s">
        <v>173</v>
      </c>
      <c r="N1800" s="4" t="s">
        <v>155</v>
      </c>
      <c r="O1800" s="4" t="s">
        <v>406</v>
      </c>
      <c r="P1800" s="4"/>
    </row>
    <row r="1801" spans="1:16" ht="15">
      <c r="A1801" s="4" t="s">
        <v>2779</v>
      </c>
      <c r="B1801" s="30">
        <v>40009</v>
      </c>
      <c r="C1801" s="4"/>
      <c r="D1801" s="4" t="s">
        <v>193</v>
      </c>
      <c r="E1801" s="4" t="s">
        <v>170</v>
      </c>
      <c r="F1801" s="4" t="s">
        <v>155</v>
      </c>
      <c r="G1801" s="4">
        <v>5</v>
      </c>
      <c r="H1801" s="4">
        <v>4</v>
      </c>
      <c r="I1801" s="4" t="s">
        <v>140</v>
      </c>
      <c r="J1801" s="4" t="s">
        <v>179</v>
      </c>
      <c r="K1801" s="4" t="s">
        <v>142</v>
      </c>
      <c r="L1801" s="4" t="s">
        <v>4181</v>
      </c>
      <c r="M1801" s="4" t="s">
        <v>173</v>
      </c>
      <c r="N1801" s="4" t="s">
        <v>155</v>
      </c>
      <c r="O1801" s="4" t="s">
        <v>1441</v>
      </c>
      <c r="P1801" s="4"/>
    </row>
    <row r="1802" spans="1:16" ht="15">
      <c r="A1802" s="4" t="s">
        <v>2780</v>
      </c>
      <c r="B1802" s="30">
        <v>40009</v>
      </c>
      <c r="C1802" s="4"/>
      <c r="D1802" s="4" t="s">
        <v>195</v>
      </c>
      <c r="E1802" s="4" t="s">
        <v>170</v>
      </c>
      <c r="F1802" s="4" t="s">
        <v>155</v>
      </c>
      <c r="G1802" s="4">
        <v>3</v>
      </c>
      <c r="H1802" s="4">
        <v>3</v>
      </c>
      <c r="I1802" s="4" t="s">
        <v>139</v>
      </c>
      <c r="J1802" s="4" t="s">
        <v>179</v>
      </c>
      <c r="K1802" s="4" t="s">
        <v>148</v>
      </c>
      <c r="L1802" s="4" t="s">
        <v>162</v>
      </c>
      <c r="M1802" s="4" t="s">
        <v>175</v>
      </c>
      <c r="N1802" s="4" t="s">
        <v>155</v>
      </c>
      <c r="O1802" s="4" t="s">
        <v>130</v>
      </c>
      <c r="P1802" s="4"/>
    </row>
    <row r="1803" spans="1:16" ht="15">
      <c r="A1803" s="4" t="s">
        <v>2781</v>
      </c>
      <c r="B1803" s="30">
        <v>40072</v>
      </c>
      <c r="C1803" s="4"/>
      <c r="D1803" s="4" t="s">
        <v>193</v>
      </c>
      <c r="E1803" s="4" t="s">
        <v>170</v>
      </c>
      <c r="F1803" s="4" t="s">
        <v>155</v>
      </c>
      <c r="G1803" s="4">
        <v>2</v>
      </c>
      <c r="H1803" s="4">
        <v>2</v>
      </c>
      <c r="I1803" s="4" t="s">
        <v>140</v>
      </c>
      <c r="J1803" s="4" t="s">
        <v>181</v>
      </c>
      <c r="K1803" s="4" t="s">
        <v>143</v>
      </c>
      <c r="L1803" s="4" t="s">
        <v>4176</v>
      </c>
      <c r="M1803" s="4"/>
      <c r="N1803" s="4" t="s">
        <v>156</v>
      </c>
      <c r="O1803" s="4" t="s">
        <v>120</v>
      </c>
      <c r="P1803" s="4" t="s">
        <v>1001</v>
      </c>
    </row>
    <row r="1804" spans="1:16" ht="15">
      <c r="A1804" s="4" t="s">
        <v>2782</v>
      </c>
      <c r="B1804" s="30">
        <v>39915</v>
      </c>
      <c r="C1804" s="4" t="s">
        <v>496</v>
      </c>
      <c r="D1804" s="4" t="s">
        <v>4184</v>
      </c>
      <c r="E1804" s="4" t="s">
        <v>170</v>
      </c>
      <c r="F1804" s="4" t="s">
        <v>155</v>
      </c>
      <c r="G1804" s="4"/>
      <c r="H1804" s="4"/>
      <c r="I1804" s="4" t="s">
        <v>140</v>
      </c>
      <c r="J1804" s="4" t="s">
        <v>181</v>
      </c>
      <c r="K1804" s="4" t="s">
        <v>142</v>
      </c>
      <c r="L1804" s="4" t="s">
        <v>165</v>
      </c>
      <c r="M1804" s="4" t="s">
        <v>2783</v>
      </c>
      <c r="N1804" s="4" t="s">
        <v>158</v>
      </c>
      <c r="O1804" s="4" t="s">
        <v>122</v>
      </c>
      <c r="P1804" s="4"/>
    </row>
    <row r="1805" spans="1:16" ht="15">
      <c r="A1805" s="4" t="s">
        <v>2784</v>
      </c>
      <c r="B1805" s="30">
        <v>39976</v>
      </c>
      <c r="C1805" s="4" t="s">
        <v>383</v>
      </c>
      <c r="D1805" s="4" t="s">
        <v>193</v>
      </c>
      <c r="E1805" s="4" t="s">
        <v>170</v>
      </c>
      <c r="F1805" s="4" t="s">
        <v>155</v>
      </c>
      <c r="G1805" s="4"/>
      <c r="H1805" s="4"/>
      <c r="I1805" s="4" t="s">
        <v>140</v>
      </c>
      <c r="J1805" s="4" t="s">
        <v>181</v>
      </c>
      <c r="K1805" s="4" t="s">
        <v>144</v>
      </c>
      <c r="L1805" s="4" t="s">
        <v>4181</v>
      </c>
      <c r="M1805" s="4"/>
      <c r="N1805" s="4" t="s">
        <v>155</v>
      </c>
      <c r="O1805" s="4" t="s">
        <v>124</v>
      </c>
      <c r="P1805" s="4"/>
    </row>
    <row r="1806" spans="1:16" ht="15">
      <c r="A1806" s="4" t="s">
        <v>2785</v>
      </c>
      <c r="B1806" s="30">
        <v>39948</v>
      </c>
      <c r="C1806" s="4" t="s">
        <v>9</v>
      </c>
      <c r="D1806" s="4" t="s">
        <v>193</v>
      </c>
      <c r="E1806" s="4" t="s">
        <v>170</v>
      </c>
      <c r="F1806" s="4" t="s">
        <v>155</v>
      </c>
      <c r="G1806" s="4"/>
      <c r="H1806" s="4"/>
      <c r="I1806" s="4" t="s">
        <v>140</v>
      </c>
      <c r="J1806" s="4" t="s">
        <v>181</v>
      </c>
      <c r="K1806" s="4" t="s">
        <v>151</v>
      </c>
      <c r="L1806" s="4" t="s">
        <v>165</v>
      </c>
      <c r="M1806" s="4"/>
      <c r="N1806" s="4" t="s">
        <v>158</v>
      </c>
      <c r="O1806" s="4" t="s">
        <v>122</v>
      </c>
      <c r="P1806" s="4"/>
    </row>
    <row r="1807" spans="1:16" ht="15">
      <c r="A1807" s="4" t="s">
        <v>2786</v>
      </c>
      <c r="B1807" s="30">
        <v>39915</v>
      </c>
      <c r="C1807" s="4"/>
      <c r="D1807" s="4" t="s">
        <v>4182</v>
      </c>
      <c r="E1807" s="4" t="s">
        <v>170</v>
      </c>
      <c r="F1807" s="4" t="s">
        <v>155</v>
      </c>
      <c r="G1807" s="4"/>
      <c r="H1807" s="4"/>
      <c r="I1807" s="4" t="s">
        <v>139</v>
      </c>
      <c r="J1807" s="4" t="s">
        <v>181</v>
      </c>
      <c r="K1807" s="4" t="s">
        <v>142</v>
      </c>
      <c r="L1807" s="4" t="s">
        <v>4176</v>
      </c>
      <c r="M1807" s="4" t="s">
        <v>1609</v>
      </c>
      <c r="N1807" s="4" t="s">
        <v>157</v>
      </c>
      <c r="O1807" s="4" t="s">
        <v>130</v>
      </c>
      <c r="P1807" s="4" t="s">
        <v>423</v>
      </c>
    </row>
    <row r="1808" spans="1:16" ht="15">
      <c r="A1808" s="4" t="s">
        <v>2787</v>
      </c>
      <c r="B1808" s="30">
        <v>40029</v>
      </c>
      <c r="C1808" s="4"/>
      <c r="D1808" s="4" t="s">
        <v>193</v>
      </c>
      <c r="E1808" s="4" t="s">
        <v>170</v>
      </c>
      <c r="F1808" s="4" t="s">
        <v>155</v>
      </c>
      <c r="G1808" s="4">
        <v>5</v>
      </c>
      <c r="H1808" s="4">
        <v>5</v>
      </c>
      <c r="I1808" s="4" t="s">
        <v>140</v>
      </c>
      <c r="J1808" s="4" t="s">
        <v>181</v>
      </c>
      <c r="K1808" s="4" t="s">
        <v>143</v>
      </c>
      <c r="L1808" s="4" t="s">
        <v>4176</v>
      </c>
      <c r="M1808" s="4" t="s">
        <v>174</v>
      </c>
      <c r="N1808" s="4" t="s">
        <v>156</v>
      </c>
      <c r="O1808" s="4" t="s">
        <v>120</v>
      </c>
      <c r="P1808" s="4" t="s">
        <v>649</v>
      </c>
    </row>
    <row r="1809" spans="1:16" ht="15">
      <c r="A1809" s="4" t="s">
        <v>2788</v>
      </c>
      <c r="B1809" s="30">
        <v>39950</v>
      </c>
      <c r="C1809" s="4"/>
      <c r="D1809" s="4" t="s">
        <v>195</v>
      </c>
      <c r="E1809" s="4" t="s">
        <v>170</v>
      </c>
      <c r="F1809" s="4" t="s">
        <v>155</v>
      </c>
      <c r="G1809" s="4"/>
      <c r="H1809" s="4"/>
      <c r="I1809" s="4" t="s">
        <v>139</v>
      </c>
      <c r="J1809" s="4" t="s">
        <v>181</v>
      </c>
      <c r="K1809" s="4" t="s">
        <v>143</v>
      </c>
      <c r="L1809" s="4" t="s">
        <v>162</v>
      </c>
      <c r="M1809" s="4" t="s">
        <v>1550</v>
      </c>
      <c r="N1809" s="4" t="s">
        <v>155</v>
      </c>
      <c r="O1809" s="4" t="s">
        <v>129</v>
      </c>
      <c r="P1809" s="4"/>
    </row>
    <row r="1810" spans="1:16" ht="15">
      <c r="A1810" s="4" t="s">
        <v>2789</v>
      </c>
      <c r="B1810" s="30">
        <v>39971</v>
      </c>
      <c r="C1810" s="4"/>
      <c r="D1810" s="4" t="s">
        <v>193</v>
      </c>
      <c r="E1810" s="4" t="s">
        <v>170</v>
      </c>
      <c r="F1810" s="4" t="s">
        <v>155</v>
      </c>
      <c r="G1810" s="4"/>
      <c r="H1810" s="4"/>
      <c r="I1810" s="4" t="s">
        <v>140</v>
      </c>
      <c r="J1810" s="4" t="s">
        <v>181</v>
      </c>
      <c r="K1810" s="4" t="s">
        <v>142</v>
      </c>
      <c r="L1810" s="4" t="s">
        <v>4176</v>
      </c>
      <c r="M1810" s="4" t="s">
        <v>174</v>
      </c>
      <c r="N1810" s="4" t="s">
        <v>157</v>
      </c>
      <c r="O1810" s="4" t="s">
        <v>1302</v>
      </c>
      <c r="P1810" s="4" t="s">
        <v>2790</v>
      </c>
    </row>
    <row r="1811" spans="1:16" ht="15">
      <c r="A1811" s="4" t="s">
        <v>2791</v>
      </c>
      <c r="B1811" s="30">
        <v>40042</v>
      </c>
      <c r="C1811" s="4" t="s">
        <v>380</v>
      </c>
      <c r="D1811" s="4" t="s">
        <v>195</v>
      </c>
      <c r="E1811" s="4" t="s">
        <v>170</v>
      </c>
      <c r="F1811" s="4" t="s">
        <v>155</v>
      </c>
      <c r="G1811" s="4">
        <v>5</v>
      </c>
      <c r="H1811" s="4">
        <v>3</v>
      </c>
      <c r="I1811" s="4" t="s">
        <v>139</v>
      </c>
      <c r="J1811" s="4" t="s">
        <v>181</v>
      </c>
      <c r="K1811" s="4" t="s">
        <v>145</v>
      </c>
      <c r="L1811" s="4" t="s">
        <v>4181</v>
      </c>
      <c r="M1811" s="4" t="s">
        <v>589</v>
      </c>
      <c r="N1811" s="4" t="s">
        <v>155</v>
      </c>
      <c r="O1811" s="4" t="s">
        <v>125</v>
      </c>
      <c r="P1811" s="4"/>
    </row>
    <row r="1812" spans="1:16" ht="15">
      <c r="A1812" s="4" t="s">
        <v>2792</v>
      </c>
      <c r="B1812" s="30">
        <v>39916</v>
      </c>
      <c r="C1812" s="4"/>
      <c r="D1812" s="4" t="s">
        <v>4178</v>
      </c>
      <c r="E1812" s="4" t="s">
        <v>170</v>
      </c>
      <c r="F1812" s="4" t="s">
        <v>155</v>
      </c>
      <c r="G1812" s="4"/>
      <c r="H1812" s="4"/>
      <c r="I1812" s="4" t="s">
        <v>139</v>
      </c>
      <c r="J1812" s="4" t="s">
        <v>179</v>
      </c>
      <c r="K1812" s="4" t="s">
        <v>143</v>
      </c>
      <c r="L1812" s="4" t="s">
        <v>4176</v>
      </c>
      <c r="M1812" s="4" t="s">
        <v>174</v>
      </c>
      <c r="N1812" s="4" t="s">
        <v>157</v>
      </c>
      <c r="O1812" s="4" t="s">
        <v>439</v>
      </c>
      <c r="P1812" s="4" t="s">
        <v>2793</v>
      </c>
    </row>
    <row r="1813" spans="1:16" ht="15">
      <c r="A1813" s="4" t="s">
        <v>2794</v>
      </c>
      <c r="B1813" s="30">
        <v>39949</v>
      </c>
      <c r="C1813" s="4" t="s">
        <v>9</v>
      </c>
      <c r="D1813" s="4" t="s">
        <v>193</v>
      </c>
      <c r="E1813" s="4" t="s">
        <v>170</v>
      </c>
      <c r="F1813" s="4" t="s">
        <v>155</v>
      </c>
      <c r="G1813" s="4"/>
      <c r="H1813" s="4"/>
      <c r="I1813" s="4" t="s">
        <v>140</v>
      </c>
      <c r="J1813" s="4" t="s">
        <v>179</v>
      </c>
      <c r="K1813" s="4" t="s">
        <v>150</v>
      </c>
      <c r="L1813" s="4" t="s">
        <v>4181</v>
      </c>
      <c r="M1813" s="4" t="s">
        <v>173</v>
      </c>
      <c r="N1813" s="4" t="s">
        <v>155</v>
      </c>
      <c r="O1813" s="4" t="s">
        <v>125</v>
      </c>
      <c r="P1813" s="4"/>
    </row>
    <row r="1814" spans="1:16" ht="15">
      <c r="A1814" s="4" t="s">
        <v>2795</v>
      </c>
      <c r="B1814" s="30">
        <v>39973</v>
      </c>
      <c r="C1814" s="4"/>
      <c r="D1814" s="4" t="s">
        <v>194</v>
      </c>
      <c r="E1814" s="4" t="s">
        <v>170</v>
      </c>
      <c r="F1814" s="4" t="s">
        <v>155</v>
      </c>
      <c r="G1814" s="4"/>
      <c r="H1814" s="4"/>
      <c r="I1814" s="4" t="s">
        <v>139</v>
      </c>
      <c r="J1814" s="4" t="s">
        <v>179</v>
      </c>
      <c r="K1814" s="4" t="s">
        <v>151</v>
      </c>
      <c r="L1814" s="4" t="s">
        <v>162</v>
      </c>
      <c r="M1814" s="4" t="s">
        <v>459</v>
      </c>
      <c r="N1814" s="4" t="s">
        <v>155</v>
      </c>
      <c r="O1814" s="4" t="s">
        <v>130</v>
      </c>
      <c r="P1814" s="4"/>
    </row>
    <row r="1815" spans="1:16" ht="15">
      <c r="A1815" s="4" t="s">
        <v>2796</v>
      </c>
      <c r="B1815" s="30">
        <v>39920</v>
      </c>
      <c r="C1815" s="4"/>
      <c r="D1815" s="4" t="s">
        <v>4178</v>
      </c>
      <c r="E1815" s="4" t="s">
        <v>170</v>
      </c>
      <c r="F1815" s="4" t="s">
        <v>155</v>
      </c>
      <c r="G1815" s="4"/>
      <c r="H1815" s="4"/>
      <c r="I1815" s="4" t="s">
        <v>139</v>
      </c>
      <c r="J1815" s="4" t="s">
        <v>179</v>
      </c>
      <c r="K1815" s="4" t="s">
        <v>147</v>
      </c>
      <c r="L1815" s="4" t="s">
        <v>4181</v>
      </c>
      <c r="M1815" s="4" t="s">
        <v>415</v>
      </c>
      <c r="N1815" s="4" t="s">
        <v>155</v>
      </c>
      <c r="O1815" s="4" t="s">
        <v>125</v>
      </c>
      <c r="P1815" s="4"/>
    </row>
    <row r="1816" spans="1:16" ht="15">
      <c r="A1816" s="4" t="s">
        <v>2797</v>
      </c>
      <c r="B1816" s="30">
        <v>39925</v>
      </c>
      <c r="C1816" s="4"/>
      <c r="D1816" s="4" t="s">
        <v>4177</v>
      </c>
      <c r="E1816" s="4" t="s">
        <v>170</v>
      </c>
      <c r="F1816" s="4" t="s">
        <v>155</v>
      </c>
      <c r="G1816" s="4"/>
      <c r="H1816" s="4"/>
      <c r="I1816" s="4" t="s">
        <v>139</v>
      </c>
      <c r="J1816" s="4" t="s">
        <v>179</v>
      </c>
      <c r="K1816" s="4" t="s">
        <v>147</v>
      </c>
      <c r="L1816" s="4" t="s">
        <v>4181</v>
      </c>
      <c r="M1816" s="4" t="s">
        <v>173</v>
      </c>
      <c r="N1816" s="4" t="s">
        <v>155</v>
      </c>
      <c r="O1816" s="4" t="s">
        <v>406</v>
      </c>
      <c r="P1816" s="4"/>
    </row>
    <row r="1817" spans="1:16" ht="15">
      <c r="A1817" s="4" t="s">
        <v>2798</v>
      </c>
      <c r="B1817" s="30">
        <v>39940</v>
      </c>
      <c r="C1817" s="4" t="s">
        <v>9</v>
      </c>
      <c r="D1817" s="4" t="s">
        <v>4184</v>
      </c>
      <c r="E1817" s="4" t="s">
        <v>170</v>
      </c>
      <c r="F1817" s="4" t="s">
        <v>155</v>
      </c>
      <c r="G1817" s="4"/>
      <c r="H1817" s="4"/>
      <c r="I1817" s="4" t="s">
        <v>140</v>
      </c>
      <c r="J1817" s="4" t="s">
        <v>179</v>
      </c>
      <c r="K1817" s="4" t="s">
        <v>147</v>
      </c>
      <c r="L1817" s="4" t="s">
        <v>4176</v>
      </c>
      <c r="M1817" s="4" t="s">
        <v>174</v>
      </c>
      <c r="N1817" s="4" t="s">
        <v>156</v>
      </c>
      <c r="O1817" s="4" t="s">
        <v>120</v>
      </c>
      <c r="P1817" s="4" t="s">
        <v>470</v>
      </c>
    </row>
    <row r="1818" spans="1:16" ht="15">
      <c r="A1818" s="4" t="s">
        <v>2799</v>
      </c>
      <c r="B1818" s="30">
        <v>39945</v>
      </c>
      <c r="C1818" s="4" t="s">
        <v>496</v>
      </c>
      <c r="D1818" s="4" t="s">
        <v>193</v>
      </c>
      <c r="E1818" s="4" t="s">
        <v>170</v>
      </c>
      <c r="F1818" s="4" t="s">
        <v>155</v>
      </c>
      <c r="G1818" s="4"/>
      <c r="H1818" s="4"/>
      <c r="I1818" s="4" t="s">
        <v>140</v>
      </c>
      <c r="J1818" s="4" t="s">
        <v>409</v>
      </c>
      <c r="K1818" s="4" t="s">
        <v>142</v>
      </c>
      <c r="L1818" s="4" t="s">
        <v>4181</v>
      </c>
      <c r="M1818" s="4" t="s">
        <v>173</v>
      </c>
      <c r="N1818" s="4" t="s">
        <v>155</v>
      </c>
      <c r="O1818" s="4" t="s">
        <v>128</v>
      </c>
      <c r="P1818" s="4"/>
    </row>
    <row r="1819" spans="1:16" ht="15">
      <c r="A1819" s="4" t="s">
        <v>2800</v>
      </c>
      <c r="B1819" s="30">
        <v>39963</v>
      </c>
      <c r="C1819" s="4"/>
      <c r="D1819" s="4" t="s">
        <v>193</v>
      </c>
      <c r="E1819" s="4" t="s">
        <v>170</v>
      </c>
      <c r="F1819" s="4" t="s">
        <v>155</v>
      </c>
      <c r="G1819" s="4"/>
      <c r="H1819" s="4"/>
      <c r="I1819" s="4" t="s">
        <v>140</v>
      </c>
      <c r="J1819" s="4" t="s">
        <v>409</v>
      </c>
      <c r="K1819" s="4" t="s">
        <v>150</v>
      </c>
      <c r="L1819" s="4" t="s">
        <v>162</v>
      </c>
      <c r="M1819" s="4" t="s">
        <v>175</v>
      </c>
      <c r="N1819" s="4" t="s">
        <v>155</v>
      </c>
      <c r="O1819" s="4" t="s">
        <v>129</v>
      </c>
      <c r="P1819" s="4"/>
    </row>
    <row r="1820" spans="1:16" ht="15">
      <c r="A1820" s="4" t="s">
        <v>2801</v>
      </c>
      <c r="B1820" s="30">
        <v>39916</v>
      </c>
      <c r="C1820" s="4"/>
      <c r="D1820" s="4" t="s">
        <v>4178</v>
      </c>
      <c r="E1820" s="4" t="s">
        <v>170</v>
      </c>
      <c r="F1820" s="4" t="s">
        <v>155</v>
      </c>
      <c r="G1820" s="4"/>
      <c r="H1820" s="4"/>
      <c r="I1820" s="4" t="s">
        <v>139</v>
      </c>
      <c r="J1820" s="4" t="s">
        <v>178</v>
      </c>
      <c r="K1820" s="4" t="s">
        <v>145</v>
      </c>
      <c r="L1820" s="4" t="s">
        <v>4176</v>
      </c>
      <c r="M1820" s="4" t="s">
        <v>174</v>
      </c>
      <c r="N1820" s="4" t="s">
        <v>156</v>
      </c>
      <c r="O1820" s="4" t="s">
        <v>120</v>
      </c>
      <c r="P1820" s="4" t="s">
        <v>1001</v>
      </c>
    </row>
    <row r="1821" spans="1:16" ht="15">
      <c r="A1821" s="4" t="s">
        <v>2802</v>
      </c>
      <c r="B1821" s="30">
        <v>39914</v>
      </c>
      <c r="C1821" s="4"/>
      <c r="D1821" s="4" t="s">
        <v>4178</v>
      </c>
      <c r="E1821" s="4" t="s">
        <v>170</v>
      </c>
      <c r="F1821" s="4" t="s">
        <v>155</v>
      </c>
      <c r="G1821" s="4"/>
      <c r="H1821" s="4"/>
      <c r="I1821" s="4" t="s">
        <v>139</v>
      </c>
      <c r="J1821" s="4" t="s">
        <v>183</v>
      </c>
      <c r="K1821" s="4" t="s">
        <v>142</v>
      </c>
      <c r="L1821" s="4" t="s">
        <v>4181</v>
      </c>
      <c r="M1821" s="4" t="s">
        <v>173</v>
      </c>
      <c r="N1821" s="4" t="s">
        <v>155</v>
      </c>
      <c r="O1821" s="4" t="s">
        <v>125</v>
      </c>
      <c r="P1821" s="4"/>
    </row>
    <row r="1822" spans="1:16" ht="15">
      <c r="A1822" s="4" t="s">
        <v>2803</v>
      </c>
      <c r="B1822" s="30">
        <v>39910</v>
      </c>
      <c r="C1822" s="4"/>
      <c r="D1822" s="4" t="s">
        <v>4183</v>
      </c>
      <c r="E1822" s="4" t="s">
        <v>170</v>
      </c>
      <c r="F1822" s="4" t="s">
        <v>155</v>
      </c>
      <c r="G1822" s="4"/>
      <c r="H1822" s="4"/>
      <c r="I1822" s="4" t="s">
        <v>140</v>
      </c>
      <c r="J1822" s="4" t="s">
        <v>178</v>
      </c>
      <c r="K1822" s="4" t="s">
        <v>143</v>
      </c>
      <c r="L1822" s="4" t="s">
        <v>4176</v>
      </c>
      <c r="M1822" s="4" t="s">
        <v>174</v>
      </c>
      <c r="N1822" s="4" t="s">
        <v>160</v>
      </c>
      <c r="O1822" s="4" t="s">
        <v>726</v>
      </c>
      <c r="P1822" s="4" t="s">
        <v>2804</v>
      </c>
    </row>
    <row r="1823" spans="1:16" ht="15">
      <c r="A1823" s="4" t="s">
        <v>2805</v>
      </c>
      <c r="B1823" s="30">
        <v>40015</v>
      </c>
      <c r="C1823" s="4"/>
      <c r="D1823" s="4" t="s">
        <v>194</v>
      </c>
      <c r="E1823" s="4" t="s">
        <v>170</v>
      </c>
      <c r="F1823" s="4" t="s">
        <v>155</v>
      </c>
      <c r="G1823" s="4">
        <v>5</v>
      </c>
      <c r="H1823" s="4">
        <v>5</v>
      </c>
      <c r="I1823" s="4" t="s">
        <v>139</v>
      </c>
      <c r="J1823" s="4" t="s">
        <v>178</v>
      </c>
      <c r="K1823" s="4" t="s">
        <v>144</v>
      </c>
      <c r="L1823" s="4" t="s">
        <v>162</v>
      </c>
      <c r="M1823" s="4" t="s">
        <v>176</v>
      </c>
      <c r="N1823" s="4" t="s">
        <v>155</v>
      </c>
      <c r="O1823" s="4" t="s">
        <v>129</v>
      </c>
      <c r="P1823" s="4"/>
    </row>
    <row r="1824" spans="1:16" ht="15">
      <c r="A1824" s="4" t="s">
        <v>2806</v>
      </c>
      <c r="B1824" s="30">
        <v>40013</v>
      </c>
      <c r="C1824" s="4"/>
      <c r="D1824" s="4" t="s">
        <v>194</v>
      </c>
      <c r="E1824" s="4" t="s">
        <v>170</v>
      </c>
      <c r="F1824" s="4" t="s">
        <v>155</v>
      </c>
      <c r="G1824" s="4">
        <v>5</v>
      </c>
      <c r="H1824" s="4">
        <v>5</v>
      </c>
      <c r="I1824" s="4" t="s">
        <v>139</v>
      </c>
      <c r="J1824" s="4" t="s">
        <v>178</v>
      </c>
      <c r="K1824" s="4" t="s">
        <v>142</v>
      </c>
      <c r="L1824" s="4" t="s">
        <v>162</v>
      </c>
      <c r="M1824" s="4" t="s">
        <v>175</v>
      </c>
      <c r="N1824" s="4" t="s">
        <v>155</v>
      </c>
      <c r="O1824" s="4" t="s">
        <v>130</v>
      </c>
      <c r="P1824" s="4"/>
    </row>
    <row r="1825" spans="1:16" ht="15">
      <c r="A1825" s="4" t="s">
        <v>2807</v>
      </c>
      <c r="B1825" s="30">
        <v>39959</v>
      </c>
      <c r="C1825" s="4"/>
      <c r="D1825" s="4" t="s">
        <v>193</v>
      </c>
      <c r="E1825" s="4" t="s">
        <v>170</v>
      </c>
      <c r="F1825" s="4" t="s">
        <v>155</v>
      </c>
      <c r="G1825" s="4"/>
      <c r="H1825" s="4"/>
      <c r="I1825" s="4" t="s">
        <v>140</v>
      </c>
      <c r="J1825" s="4" t="s">
        <v>178</v>
      </c>
      <c r="K1825" s="4" t="s">
        <v>148</v>
      </c>
      <c r="L1825" s="4" t="s">
        <v>2455</v>
      </c>
      <c r="M1825" s="4" t="s">
        <v>1413</v>
      </c>
      <c r="N1825" s="4" t="s">
        <v>123</v>
      </c>
      <c r="O1825" s="4" t="s">
        <v>601</v>
      </c>
      <c r="P1825" s="4"/>
    </row>
    <row r="1826" spans="1:16" ht="15">
      <c r="A1826" s="4" t="s">
        <v>2808</v>
      </c>
      <c r="B1826" s="30">
        <v>39928</v>
      </c>
      <c r="C1826" s="4"/>
      <c r="D1826" s="4" t="s">
        <v>4179</v>
      </c>
      <c r="E1826" s="4" t="s">
        <v>170</v>
      </c>
      <c r="F1826" s="4" t="s">
        <v>155</v>
      </c>
      <c r="G1826" s="4"/>
      <c r="H1826" s="4"/>
      <c r="I1826" s="4" t="s">
        <v>139</v>
      </c>
      <c r="J1826" s="4" t="s">
        <v>603</v>
      </c>
      <c r="K1826" s="4" t="s">
        <v>143</v>
      </c>
      <c r="L1826" s="4" t="s">
        <v>4181</v>
      </c>
      <c r="M1826" s="4" t="s">
        <v>173</v>
      </c>
      <c r="N1826" s="4" t="s">
        <v>155</v>
      </c>
      <c r="O1826" s="4" t="s">
        <v>125</v>
      </c>
      <c r="P1826" s="4"/>
    </row>
    <row r="1827" spans="1:16" ht="15">
      <c r="A1827" s="4" t="s">
        <v>2809</v>
      </c>
      <c r="B1827" s="30">
        <v>40001</v>
      </c>
      <c r="C1827" s="4"/>
      <c r="D1827" s="4" t="s">
        <v>193</v>
      </c>
      <c r="E1827" s="4" t="s">
        <v>170</v>
      </c>
      <c r="F1827" s="4" t="s">
        <v>155</v>
      </c>
      <c r="G1827" s="4"/>
      <c r="H1827" s="4">
        <v>2</v>
      </c>
      <c r="I1827" s="4" t="s">
        <v>140</v>
      </c>
      <c r="J1827" s="4" t="s">
        <v>178</v>
      </c>
      <c r="K1827" s="4" t="s">
        <v>148</v>
      </c>
      <c r="L1827" s="4" t="s">
        <v>4176</v>
      </c>
      <c r="M1827" s="4" t="s">
        <v>578</v>
      </c>
      <c r="N1827" s="4" t="s">
        <v>157</v>
      </c>
      <c r="O1827" s="4" t="s">
        <v>127</v>
      </c>
      <c r="P1827" s="4" t="s">
        <v>153</v>
      </c>
    </row>
    <row r="1828" spans="1:16" ht="15">
      <c r="A1828" s="4" t="s">
        <v>2810</v>
      </c>
      <c r="B1828" s="30">
        <v>39925</v>
      </c>
      <c r="C1828" s="4" t="s">
        <v>525</v>
      </c>
      <c r="D1828" s="4" t="s">
        <v>4183</v>
      </c>
      <c r="E1828" s="4" t="s">
        <v>170</v>
      </c>
      <c r="F1828" s="4" t="s">
        <v>155</v>
      </c>
      <c r="G1828" s="4"/>
      <c r="H1828" s="4"/>
      <c r="I1828" s="4" t="s">
        <v>140</v>
      </c>
      <c r="J1828" s="4" t="s">
        <v>179</v>
      </c>
      <c r="K1828" s="4" t="s">
        <v>143</v>
      </c>
      <c r="L1828" s="4" t="s">
        <v>4181</v>
      </c>
      <c r="M1828" s="4" t="s">
        <v>173</v>
      </c>
      <c r="N1828" s="4" t="s">
        <v>155</v>
      </c>
      <c r="O1828" s="4" t="s">
        <v>434</v>
      </c>
      <c r="P1828" s="4"/>
    </row>
    <row r="1829" spans="1:16" ht="15">
      <c r="A1829" s="4" t="s">
        <v>2811</v>
      </c>
      <c r="B1829" s="30">
        <v>39938</v>
      </c>
      <c r="C1829" s="4"/>
      <c r="D1829" s="4" t="s">
        <v>4179</v>
      </c>
      <c r="E1829" s="4" t="s">
        <v>170</v>
      </c>
      <c r="F1829" s="4" t="s">
        <v>155</v>
      </c>
      <c r="G1829" s="4"/>
      <c r="H1829" s="4"/>
      <c r="I1829" s="4" t="s">
        <v>139</v>
      </c>
      <c r="J1829" s="4" t="s">
        <v>1034</v>
      </c>
      <c r="K1829" s="4" t="s">
        <v>147</v>
      </c>
      <c r="L1829" s="4" t="s">
        <v>4181</v>
      </c>
      <c r="M1829" s="4" t="s">
        <v>415</v>
      </c>
      <c r="N1829" s="4" t="s">
        <v>155</v>
      </c>
      <c r="O1829" s="4" t="s">
        <v>125</v>
      </c>
      <c r="P1829" s="4"/>
    </row>
    <row r="1830" spans="1:16" ht="15">
      <c r="A1830" s="4" t="s">
        <v>2812</v>
      </c>
      <c r="B1830" s="30">
        <v>39967</v>
      </c>
      <c r="C1830" s="4" t="s">
        <v>383</v>
      </c>
      <c r="D1830" s="4" t="s">
        <v>193</v>
      </c>
      <c r="E1830" s="4" t="s">
        <v>170</v>
      </c>
      <c r="F1830" s="4" t="s">
        <v>155</v>
      </c>
      <c r="G1830" s="4"/>
      <c r="H1830" s="4"/>
      <c r="I1830" s="4" t="s">
        <v>140</v>
      </c>
      <c r="J1830" s="4" t="s">
        <v>188</v>
      </c>
      <c r="K1830" s="4" t="s">
        <v>143</v>
      </c>
      <c r="L1830" s="4" t="s">
        <v>162</v>
      </c>
      <c r="M1830" s="4" t="s">
        <v>175</v>
      </c>
      <c r="N1830" s="4" t="s">
        <v>155</v>
      </c>
      <c r="O1830" s="4" t="s">
        <v>130</v>
      </c>
      <c r="P1830" s="4"/>
    </row>
    <row r="1831" spans="1:16" ht="15">
      <c r="A1831" s="4" t="s">
        <v>2813</v>
      </c>
      <c r="B1831" s="30">
        <v>40085</v>
      </c>
      <c r="C1831" s="4" t="s">
        <v>525</v>
      </c>
      <c r="D1831" s="4" t="s">
        <v>193</v>
      </c>
      <c r="E1831" s="4" t="s">
        <v>170</v>
      </c>
      <c r="F1831" s="4" t="s">
        <v>155</v>
      </c>
      <c r="G1831" s="4">
        <v>5</v>
      </c>
      <c r="H1831" s="4">
        <v>3</v>
      </c>
      <c r="I1831" s="4" t="s">
        <v>140</v>
      </c>
      <c r="J1831" s="4" t="s">
        <v>188</v>
      </c>
      <c r="K1831" s="4" t="s">
        <v>143</v>
      </c>
      <c r="L1831" s="4" t="s">
        <v>4181</v>
      </c>
      <c r="M1831" s="4" t="s">
        <v>173</v>
      </c>
      <c r="N1831" s="4" t="s">
        <v>155</v>
      </c>
      <c r="O1831" s="4" t="s">
        <v>128</v>
      </c>
      <c r="P1831" s="4"/>
    </row>
    <row r="1832" spans="1:16" ht="15">
      <c r="A1832" s="4" t="s">
        <v>2814</v>
      </c>
      <c r="B1832" s="30">
        <v>39949</v>
      </c>
      <c r="C1832" s="4" t="s">
        <v>496</v>
      </c>
      <c r="D1832" s="4" t="s">
        <v>193</v>
      </c>
      <c r="E1832" s="4" t="s">
        <v>170</v>
      </c>
      <c r="F1832" s="4" t="s">
        <v>155</v>
      </c>
      <c r="G1832" s="4"/>
      <c r="H1832" s="4"/>
      <c r="I1832" s="4" t="s">
        <v>140</v>
      </c>
      <c r="J1832" s="4" t="s">
        <v>183</v>
      </c>
      <c r="K1832" s="4" t="s">
        <v>143</v>
      </c>
      <c r="L1832" s="4" t="s">
        <v>4181</v>
      </c>
      <c r="M1832" s="4" t="s">
        <v>173</v>
      </c>
      <c r="N1832" s="4" t="s">
        <v>161</v>
      </c>
      <c r="O1832" s="4" t="s">
        <v>420</v>
      </c>
      <c r="P1832" s="4"/>
    </row>
    <row r="1833" spans="1:16" ht="15">
      <c r="A1833" s="4" t="s">
        <v>2815</v>
      </c>
      <c r="B1833" s="30">
        <v>40037</v>
      </c>
      <c r="C1833" s="4" t="s">
        <v>383</v>
      </c>
      <c r="D1833" s="4" t="s">
        <v>193</v>
      </c>
      <c r="E1833" s="4" t="s">
        <v>170</v>
      </c>
      <c r="F1833" s="4" t="s">
        <v>155</v>
      </c>
      <c r="G1833" s="4">
        <v>2</v>
      </c>
      <c r="H1833" s="4">
        <v>5</v>
      </c>
      <c r="I1833" s="4" t="s">
        <v>140</v>
      </c>
      <c r="J1833" s="4" t="s">
        <v>183</v>
      </c>
      <c r="K1833" s="4" t="s">
        <v>149</v>
      </c>
      <c r="L1833" s="4" t="s">
        <v>4176</v>
      </c>
      <c r="M1833" s="4" t="s">
        <v>700</v>
      </c>
      <c r="N1833" s="4" t="s">
        <v>156</v>
      </c>
      <c r="O1833" s="4" t="s">
        <v>120</v>
      </c>
      <c r="P1833" s="4" t="s">
        <v>2816</v>
      </c>
    </row>
    <row r="1834" spans="1:16" ht="15">
      <c r="A1834" s="4" t="s">
        <v>2817</v>
      </c>
      <c r="B1834" s="30">
        <v>40083</v>
      </c>
      <c r="C1834" s="4" t="s">
        <v>496</v>
      </c>
      <c r="D1834" s="4" t="s">
        <v>193</v>
      </c>
      <c r="E1834" s="4" t="s">
        <v>170</v>
      </c>
      <c r="F1834" s="4" t="s">
        <v>155</v>
      </c>
      <c r="G1834" s="4">
        <v>5</v>
      </c>
      <c r="H1834" s="4">
        <v>3</v>
      </c>
      <c r="I1834" s="4" t="s">
        <v>140</v>
      </c>
      <c r="J1834" s="4" t="s">
        <v>810</v>
      </c>
      <c r="K1834" s="4" t="s">
        <v>143</v>
      </c>
      <c r="L1834" s="4" t="s">
        <v>4181</v>
      </c>
      <c r="M1834" s="4" t="s">
        <v>902</v>
      </c>
      <c r="N1834" s="4" t="s">
        <v>155</v>
      </c>
      <c r="O1834" s="4" t="s">
        <v>125</v>
      </c>
      <c r="P1834" s="4"/>
    </row>
    <row r="1835" spans="1:16" ht="15">
      <c r="A1835" s="4" t="s">
        <v>2818</v>
      </c>
      <c r="B1835" s="30">
        <v>40080</v>
      </c>
      <c r="C1835" s="4" t="s">
        <v>9</v>
      </c>
      <c r="D1835" s="4" t="s">
        <v>193</v>
      </c>
      <c r="E1835" s="4" t="s">
        <v>170</v>
      </c>
      <c r="F1835" s="4" t="s">
        <v>155</v>
      </c>
      <c r="G1835" s="4">
        <v>5</v>
      </c>
      <c r="H1835" s="4">
        <v>5</v>
      </c>
      <c r="I1835" s="4" t="s">
        <v>140</v>
      </c>
      <c r="J1835" s="4" t="s">
        <v>576</v>
      </c>
      <c r="K1835" s="4" t="s">
        <v>143</v>
      </c>
      <c r="L1835" s="4" t="s">
        <v>162</v>
      </c>
      <c r="M1835" s="4" t="s">
        <v>175</v>
      </c>
      <c r="N1835" s="4" t="s">
        <v>161</v>
      </c>
      <c r="O1835" s="4" t="s">
        <v>571</v>
      </c>
      <c r="P1835" s="4"/>
    </row>
    <row r="1836" spans="1:16" ht="15">
      <c r="A1836" s="4" t="s">
        <v>2819</v>
      </c>
      <c r="B1836" s="30">
        <v>39964</v>
      </c>
      <c r="C1836" s="4"/>
      <c r="D1836" s="4" t="s">
        <v>193</v>
      </c>
      <c r="E1836" s="4" t="s">
        <v>170</v>
      </c>
      <c r="F1836" s="4" t="s">
        <v>155</v>
      </c>
      <c r="G1836" s="4"/>
      <c r="H1836" s="4"/>
      <c r="I1836" s="4" t="s">
        <v>140</v>
      </c>
      <c r="J1836" s="4" t="s">
        <v>178</v>
      </c>
      <c r="K1836" s="4" t="s">
        <v>145</v>
      </c>
      <c r="L1836" s="4" t="s">
        <v>4181</v>
      </c>
      <c r="M1836" s="4" t="s">
        <v>2820</v>
      </c>
      <c r="N1836" s="4" t="s">
        <v>155</v>
      </c>
      <c r="O1836" s="4" t="s">
        <v>454</v>
      </c>
      <c r="P1836" s="4"/>
    </row>
    <row r="1837" spans="1:16" ht="15">
      <c r="A1837" s="4" t="s">
        <v>2821</v>
      </c>
      <c r="B1837" s="30">
        <v>39982</v>
      </c>
      <c r="C1837" s="4"/>
      <c r="D1837" s="4" t="s">
        <v>194</v>
      </c>
      <c r="E1837" s="4" t="s">
        <v>170</v>
      </c>
      <c r="F1837" s="4" t="s">
        <v>155</v>
      </c>
      <c r="G1837" s="4"/>
      <c r="H1837" s="4"/>
      <c r="I1837" s="4" t="s">
        <v>139</v>
      </c>
      <c r="J1837" s="4" t="s">
        <v>181</v>
      </c>
      <c r="K1837" s="4" t="s">
        <v>149</v>
      </c>
      <c r="L1837" s="4" t="s">
        <v>4176</v>
      </c>
      <c r="M1837" s="4" t="s">
        <v>174</v>
      </c>
      <c r="N1837" s="4" t="s">
        <v>157</v>
      </c>
      <c r="O1837" s="4" t="s">
        <v>406</v>
      </c>
      <c r="P1837" s="4" t="s">
        <v>922</v>
      </c>
    </row>
    <row r="1838" spans="1:16" ht="15">
      <c r="A1838" s="4" t="s">
        <v>2822</v>
      </c>
      <c r="B1838" s="30">
        <v>40011</v>
      </c>
      <c r="C1838" s="4" t="s">
        <v>383</v>
      </c>
      <c r="D1838" s="4" t="s">
        <v>196</v>
      </c>
      <c r="E1838" s="4" t="s">
        <v>170</v>
      </c>
      <c r="F1838" s="4" t="s">
        <v>155</v>
      </c>
      <c r="G1838" s="4">
        <v>5</v>
      </c>
      <c r="H1838" s="4">
        <v>5</v>
      </c>
      <c r="I1838" s="4" t="s">
        <v>139</v>
      </c>
      <c r="J1838" s="4" t="s">
        <v>178</v>
      </c>
      <c r="K1838" s="4" t="s">
        <v>142</v>
      </c>
      <c r="L1838" s="4" t="s">
        <v>4181</v>
      </c>
      <c r="M1838" s="4" t="s">
        <v>1206</v>
      </c>
      <c r="N1838" s="4" t="s">
        <v>155</v>
      </c>
      <c r="O1838" s="4" t="s">
        <v>510</v>
      </c>
      <c r="P1838" s="4"/>
    </row>
    <row r="1839" spans="1:16" ht="15">
      <c r="A1839" s="4" t="s">
        <v>2823</v>
      </c>
      <c r="B1839" s="30">
        <v>39993</v>
      </c>
      <c r="C1839" s="4" t="s">
        <v>496</v>
      </c>
      <c r="D1839" s="4" t="s">
        <v>196</v>
      </c>
      <c r="E1839" s="4" t="s">
        <v>170</v>
      </c>
      <c r="F1839" s="4" t="s">
        <v>155</v>
      </c>
      <c r="G1839" s="4"/>
      <c r="H1839" s="4">
        <v>5</v>
      </c>
      <c r="I1839" s="4" t="s">
        <v>139</v>
      </c>
      <c r="J1839" s="4" t="s">
        <v>183</v>
      </c>
      <c r="K1839" s="4" t="s">
        <v>143</v>
      </c>
      <c r="L1839" s="4" t="s">
        <v>162</v>
      </c>
      <c r="M1839" s="4" t="s">
        <v>431</v>
      </c>
      <c r="N1839" s="4" t="s">
        <v>155</v>
      </c>
      <c r="O1839" s="4" t="s">
        <v>130</v>
      </c>
      <c r="P1839" s="4"/>
    </row>
    <row r="1840" spans="1:16" ht="15">
      <c r="A1840" s="4" t="s">
        <v>2824</v>
      </c>
      <c r="B1840" s="30">
        <v>40082</v>
      </c>
      <c r="C1840" s="4"/>
      <c r="D1840" s="4" t="s">
        <v>195</v>
      </c>
      <c r="E1840" s="4" t="s">
        <v>170</v>
      </c>
      <c r="F1840" s="4" t="s">
        <v>155</v>
      </c>
      <c r="G1840" s="4">
        <v>3</v>
      </c>
      <c r="H1840" s="4">
        <v>3</v>
      </c>
      <c r="I1840" s="4" t="s">
        <v>139</v>
      </c>
      <c r="J1840" s="4" t="s">
        <v>183</v>
      </c>
      <c r="K1840" s="4" t="s">
        <v>146</v>
      </c>
      <c r="L1840" s="4" t="s">
        <v>165</v>
      </c>
      <c r="M1840" s="4"/>
      <c r="N1840" s="4" t="s">
        <v>158</v>
      </c>
      <c r="O1840" s="4" t="s">
        <v>122</v>
      </c>
      <c r="P1840" s="4"/>
    </row>
    <row r="1841" spans="1:16" ht="15">
      <c r="A1841" s="4" t="s">
        <v>2825</v>
      </c>
      <c r="B1841" s="30">
        <v>40085</v>
      </c>
      <c r="C1841" s="4"/>
      <c r="D1841" s="4" t="s">
        <v>193</v>
      </c>
      <c r="E1841" s="4" t="s">
        <v>170</v>
      </c>
      <c r="F1841" s="4" t="s">
        <v>155</v>
      </c>
      <c r="G1841" s="4">
        <v>5</v>
      </c>
      <c r="H1841" s="4">
        <v>3</v>
      </c>
      <c r="I1841" s="4" t="s">
        <v>140</v>
      </c>
      <c r="J1841" s="4" t="s">
        <v>178</v>
      </c>
      <c r="K1841" s="4" t="s">
        <v>142</v>
      </c>
      <c r="L1841" s="4" t="s">
        <v>4181</v>
      </c>
      <c r="M1841" s="4" t="s">
        <v>1032</v>
      </c>
      <c r="N1841" s="4" t="s">
        <v>155</v>
      </c>
      <c r="O1841" s="4" t="s">
        <v>510</v>
      </c>
      <c r="P1841" s="4"/>
    </row>
    <row r="1842" spans="1:16" ht="15">
      <c r="A1842" s="4" t="s">
        <v>2826</v>
      </c>
      <c r="B1842" s="30">
        <v>39924</v>
      </c>
      <c r="C1842" s="4"/>
      <c r="D1842" s="4" t="s">
        <v>4179</v>
      </c>
      <c r="E1842" s="4" t="s">
        <v>170</v>
      </c>
      <c r="F1842" s="4" t="s">
        <v>155</v>
      </c>
      <c r="G1842" s="4"/>
      <c r="H1842" s="4"/>
      <c r="I1842" s="4" t="s">
        <v>139</v>
      </c>
      <c r="J1842" s="4" t="s">
        <v>178</v>
      </c>
      <c r="K1842" s="4" t="s">
        <v>143</v>
      </c>
      <c r="L1842" s="4" t="s">
        <v>4181</v>
      </c>
      <c r="M1842" s="4" t="s">
        <v>173</v>
      </c>
      <c r="N1842" s="4" t="s">
        <v>161</v>
      </c>
      <c r="O1842" s="4" t="s">
        <v>2027</v>
      </c>
      <c r="P1842" s="4"/>
    </row>
    <row r="1843" spans="1:16" ht="15">
      <c r="A1843" s="4" t="s">
        <v>2827</v>
      </c>
      <c r="B1843" s="30">
        <v>39946</v>
      </c>
      <c r="C1843" s="4"/>
      <c r="D1843" s="4" t="s">
        <v>195</v>
      </c>
      <c r="E1843" s="4" t="s">
        <v>170</v>
      </c>
      <c r="F1843" s="4" t="s">
        <v>155</v>
      </c>
      <c r="G1843" s="4"/>
      <c r="H1843" s="4"/>
      <c r="I1843" s="4" t="s">
        <v>139</v>
      </c>
      <c r="J1843" s="4" t="s">
        <v>178</v>
      </c>
      <c r="K1843" s="4" t="s">
        <v>145</v>
      </c>
      <c r="L1843" s="4" t="s">
        <v>4181</v>
      </c>
      <c r="M1843" s="4" t="s">
        <v>173</v>
      </c>
      <c r="N1843" s="4" t="s">
        <v>155</v>
      </c>
      <c r="O1843" s="4" t="s">
        <v>406</v>
      </c>
      <c r="P1843" s="4"/>
    </row>
    <row r="1844" spans="1:16" ht="15">
      <c r="A1844" s="4" t="s">
        <v>2828</v>
      </c>
      <c r="B1844" s="30">
        <v>40021</v>
      </c>
      <c r="C1844" s="4"/>
      <c r="D1844" s="4" t="s">
        <v>193</v>
      </c>
      <c r="E1844" s="4" t="s">
        <v>170</v>
      </c>
      <c r="F1844" s="4" t="s">
        <v>155</v>
      </c>
      <c r="G1844" s="4">
        <v>3</v>
      </c>
      <c r="H1844" s="4">
        <v>4</v>
      </c>
      <c r="I1844" s="4" t="s">
        <v>140</v>
      </c>
      <c r="J1844" s="4" t="s">
        <v>188</v>
      </c>
      <c r="K1844" s="4" t="s">
        <v>151</v>
      </c>
      <c r="L1844" s="4" t="s">
        <v>162</v>
      </c>
      <c r="M1844" s="4" t="s">
        <v>597</v>
      </c>
      <c r="N1844" s="4" t="s">
        <v>155</v>
      </c>
      <c r="O1844" s="4" t="s">
        <v>130</v>
      </c>
      <c r="P1844" s="4"/>
    </row>
    <row r="1845" spans="1:16" ht="15">
      <c r="A1845" s="4" t="s">
        <v>2829</v>
      </c>
      <c r="B1845" s="30">
        <v>39937</v>
      </c>
      <c r="C1845" s="4" t="s">
        <v>9</v>
      </c>
      <c r="D1845" s="4" t="s">
        <v>4184</v>
      </c>
      <c r="E1845" s="4" t="s">
        <v>170</v>
      </c>
      <c r="F1845" s="4" t="s">
        <v>155</v>
      </c>
      <c r="G1845" s="4"/>
      <c r="H1845" s="4"/>
      <c r="I1845" s="4" t="s">
        <v>140</v>
      </c>
      <c r="J1845" s="4" t="s">
        <v>188</v>
      </c>
      <c r="K1845" s="4" t="s">
        <v>150</v>
      </c>
      <c r="L1845" s="4" t="s">
        <v>162</v>
      </c>
      <c r="M1845" s="4" t="s">
        <v>175</v>
      </c>
      <c r="N1845" s="4" t="s">
        <v>155</v>
      </c>
      <c r="O1845" s="4" t="s">
        <v>571</v>
      </c>
      <c r="P1845" s="4"/>
    </row>
    <row r="1846" spans="1:16" ht="15">
      <c r="A1846" s="4" t="s">
        <v>2830</v>
      </c>
      <c r="B1846" s="30">
        <v>39949</v>
      </c>
      <c r="C1846" s="4"/>
      <c r="D1846" s="4" t="s">
        <v>194</v>
      </c>
      <c r="E1846" s="4" t="s">
        <v>170</v>
      </c>
      <c r="F1846" s="4" t="s">
        <v>155</v>
      </c>
      <c r="G1846" s="4"/>
      <c r="H1846" s="4"/>
      <c r="I1846" s="4" t="s">
        <v>139</v>
      </c>
      <c r="J1846" s="4" t="s">
        <v>180</v>
      </c>
      <c r="K1846" s="4" t="s">
        <v>142</v>
      </c>
      <c r="L1846" s="4" t="s">
        <v>4181</v>
      </c>
      <c r="M1846" s="4" t="s">
        <v>415</v>
      </c>
      <c r="N1846" s="4" t="s">
        <v>155</v>
      </c>
      <c r="O1846" s="4" t="s">
        <v>125</v>
      </c>
      <c r="P1846" s="4"/>
    </row>
    <row r="1847" spans="1:16" ht="15">
      <c r="A1847" s="4" t="s">
        <v>2831</v>
      </c>
      <c r="B1847" s="30">
        <v>39915</v>
      </c>
      <c r="C1847" s="4"/>
      <c r="D1847" s="4" t="s">
        <v>4178</v>
      </c>
      <c r="E1847" s="4" t="s">
        <v>170</v>
      </c>
      <c r="F1847" s="4" t="s">
        <v>155</v>
      </c>
      <c r="G1847" s="4"/>
      <c r="H1847" s="4"/>
      <c r="I1847" s="4" t="s">
        <v>139</v>
      </c>
      <c r="J1847" s="4" t="s">
        <v>180</v>
      </c>
      <c r="K1847" s="4" t="s">
        <v>142</v>
      </c>
      <c r="L1847" s="4" t="s">
        <v>4181</v>
      </c>
      <c r="M1847" s="4" t="s">
        <v>2832</v>
      </c>
      <c r="N1847" s="4" t="s">
        <v>155</v>
      </c>
      <c r="O1847" s="4" t="s">
        <v>692</v>
      </c>
      <c r="P1847" s="4"/>
    </row>
    <row r="1848" spans="1:16" ht="15">
      <c r="A1848" s="4" t="s">
        <v>2833</v>
      </c>
      <c r="B1848" s="30">
        <v>40018</v>
      </c>
      <c r="C1848" s="4"/>
      <c r="D1848" s="4" t="s">
        <v>195</v>
      </c>
      <c r="E1848" s="4" t="s">
        <v>170</v>
      </c>
      <c r="F1848" s="4" t="s">
        <v>155</v>
      </c>
      <c r="G1848" s="4">
        <v>5</v>
      </c>
      <c r="H1848" s="4">
        <v>2</v>
      </c>
      <c r="I1848" s="4" t="s">
        <v>139</v>
      </c>
      <c r="J1848" s="4" t="s">
        <v>180</v>
      </c>
      <c r="K1848" s="4" t="s">
        <v>145</v>
      </c>
      <c r="L1848" s="4" t="s">
        <v>4176</v>
      </c>
      <c r="M1848" s="4" t="s">
        <v>550</v>
      </c>
      <c r="N1848" s="4" t="s">
        <v>157</v>
      </c>
      <c r="O1848" s="4" t="s">
        <v>439</v>
      </c>
      <c r="P1848" s="4" t="s">
        <v>561</v>
      </c>
    </row>
    <row r="1849" spans="1:16" ht="15">
      <c r="A1849" s="4" t="s">
        <v>2834</v>
      </c>
      <c r="B1849" s="30">
        <v>39925</v>
      </c>
      <c r="C1849" s="4"/>
      <c r="D1849" s="4" t="s">
        <v>4179</v>
      </c>
      <c r="E1849" s="4" t="s">
        <v>170</v>
      </c>
      <c r="F1849" s="4" t="s">
        <v>155</v>
      </c>
      <c r="G1849" s="4"/>
      <c r="H1849" s="4"/>
      <c r="I1849" s="4" t="s">
        <v>139</v>
      </c>
      <c r="J1849" s="4" t="s">
        <v>180</v>
      </c>
      <c r="K1849" s="4" t="s">
        <v>151</v>
      </c>
      <c r="L1849" s="4" t="s">
        <v>4181</v>
      </c>
      <c r="M1849" s="4" t="s">
        <v>173</v>
      </c>
      <c r="N1849" s="4" t="s">
        <v>155</v>
      </c>
      <c r="O1849" s="4" t="s">
        <v>125</v>
      </c>
      <c r="P1849" s="4"/>
    </row>
    <row r="1850" spans="1:16" ht="15">
      <c r="A1850" s="4" t="s">
        <v>2835</v>
      </c>
      <c r="B1850" s="30">
        <v>39931</v>
      </c>
      <c r="C1850" s="4"/>
      <c r="D1850" s="4" t="s">
        <v>4179</v>
      </c>
      <c r="E1850" s="4" t="s">
        <v>170</v>
      </c>
      <c r="F1850" s="4" t="s">
        <v>155</v>
      </c>
      <c r="G1850" s="4"/>
      <c r="H1850" s="4"/>
      <c r="I1850" s="4" t="s">
        <v>139</v>
      </c>
      <c r="J1850" s="4" t="s">
        <v>180</v>
      </c>
      <c r="K1850" s="4" t="s">
        <v>145</v>
      </c>
      <c r="L1850" s="4" t="s">
        <v>4176</v>
      </c>
      <c r="M1850" s="4" t="s">
        <v>2836</v>
      </c>
      <c r="N1850" s="4" t="s">
        <v>157</v>
      </c>
      <c r="O1850" s="4" t="s">
        <v>501</v>
      </c>
      <c r="P1850" s="4" t="s">
        <v>2837</v>
      </c>
    </row>
    <row r="1851" spans="1:16" ht="15">
      <c r="A1851" s="4" t="s">
        <v>2838</v>
      </c>
      <c r="B1851" s="30">
        <v>39996</v>
      </c>
      <c r="C1851" s="4"/>
      <c r="D1851" s="4" t="s">
        <v>193</v>
      </c>
      <c r="E1851" s="4" t="s">
        <v>170</v>
      </c>
      <c r="F1851" s="4" t="s">
        <v>155</v>
      </c>
      <c r="G1851" s="4"/>
      <c r="H1851" s="4">
        <v>3</v>
      </c>
      <c r="I1851" s="4" t="s">
        <v>140</v>
      </c>
      <c r="J1851" s="4" t="s">
        <v>180</v>
      </c>
      <c r="K1851" s="4" t="s">
        <v>144</v>
      </c>
      <c r="L1851" s="4" t="s">
        <v>4176</v>
      </c>
      <c r="M1851" s="4" t="s">
        <v>174</v>
      </c>
      <c r="N1851" s="4" t="s">
        <v>157</v>
      </c>
      <c r="O1851" s="4" t="s">
        <v>127</v>
      </c>
      <c r="P1851" s="4" t="s">
        <v>153</v>
      </c>
    </row>
    <row r="1852" spans="1:16" ht="15">
      <c r="A1852" s="4" t="s">
        <v>2839</v>
      </c>
      <c r="B1852" s="30">
        <v>39937</v>
      </c>
      <c r="C1852" s="4"/>
      <c r="D1852" s="4" t="s">
        <v>4179</v>
      </c>
      <c r="E1852" s="4" t="s">
        <v>170</v>
      </c>
      <c r="F1852" s="4" t="s">
        <v>155</v>
      </c>
      <c r="G1852" s="4"/>
      <c r="H1852" s="4"/>
      <c r="I1852" s="4" t="s">
        <v>139</v>
      </c>
      <c r="J1852" s="4" t="s">
        <v>180</v>
      </c>
      <c r="K1852" s="4" t="s">
        <v>148</v>
      </c>
      <c r="L1852" s="4" t="s">
        <v>4176</v>
      </c>
      <c r="M1852" s="4" t="s">
        <v>459</v>
      </c>
      <c r="N1852" s="4" t="s">
        <v>159</v>
      </c>
      <c r="O1852" s="4" t="s">
        <v>126</v>
      </c>
      <c r="P1852" s="4" t="s">
        <v>601</v>
      </c>
    </row>
    <row r="1853" spans="1:16" ht="15">
      <c r="A1853" s="4" t="s">
        <v>2840</v>
      </c>
      <c r="B1853" s="30">
        <v>40015</v>
      </c>
      <c r="C1853" s="4"/>
      <c r="D1853" s="4" t="s">
        <v>196</v>
      </c>
      <c r="E1853" s="4" t="s">
        <v>170</v>
      </c>
      <c r="F1853" s="4" t="s">
        <v>155</v>
      </c>
      <c r="G1853" s="4">
        <v>5</v>
      </c>
      <c r="H1853" s="4">
        <v>2</v>
      </c>
      <c r="I1853" s="4" t="s">
        <v>139</v>
      </c>
      <c r="J1853" s="4" t="s">
        <v>534</v>
      </c>
      <c r="K1853" s="4" t="s">
        <v>142</v>
      </c>
      <c r="L1853" s="4" t="s">
        <v>162</v>
      </c>
      <c r="M1853" s="4"/>
      <c r="N1853" s="4" t="s">
        <v>155</v>
      </c>
      <c r="O1853" s="4" t="s">
        <v>130</v>
      </c>
      <c r="P1853" s="4"/>
    </row>
    <row r="1854" spans="1:16" ht="15">
      <c r="A1854" s="4" t="s">
        <v>2841</v>
      </c>
      <c r="B1854" s="30">
        <v>40058</v>
      </c>
      <c r="C1854" s="4"/>
      <c r="D1854" s="4" t="s">
        <v>544</v>
      </c>
      <c r="E1854" s="4" t="s">
        <v>170</v>
      </c>
      <c r="F1854" s="4" t="s">
        <v>155</v>
      </c>
      <c r="G1854" s="4">
        <v>5</v>
      </c>
      <c r="H1854" s="4">
        <v>3</v>
      </c>
      <c r="I1854" s="4" t="s">
        <v>139</v>
      </c>
      <c r="J1854" s="4" t="s">
        <v>180</v>
      </c>
      <c r="K1854" s="4" t="s">
        <v>144</v>
      </c>
      <c r="L1854" s="4" t="s">
        <v>162</v>
      </c>
      <c r="M1854" s="4"/>
      <c r="N1854" s="4" t="s">
        <v>155</v>
      </c>
      <c r="O1854" s="4" t="s">
        <v>127</v>
      </c>
      <c r="P1854" s="4"/>
    </row>
    <row r="1855" spans="1:16" ht="15">
      <c r="A1855" s="4" t="s">
        <v>2842</v>
      </c>
      <c r="B1855" s="30">
        <v>39952</v>
      </c>
      <c r="C1855" s="4"/>
      <c r="D1855" s="4" t="s">
        <v>193</v>
      </c>
      <c r="E1855" s="4" t="s">
        <v>170</v>
      </c>
      <c r="F1855" s="4" t="s">
        <v>155</v>
      </c>
      <c r="G1855" s="4"/>
      <c r="H1855" s="4"/>
      <c r="I1855" s="4" t="s">
        <v>140</v>
      </c>
      <c r="J1855" s="4" t="s">
        <v>376</v>
      </c>
      <c r="K1855" s="4" t="s">
        <v>147</v>
      </c>
      <c r="L1855" s="4" t="s">
        <v>162</v>
      </c>
      <c r="M1855" s="4" t="s">
        <v>863</v>
      </c>
      <c r="N1855" s="4" t="s">
        <v>155</v>
      </c>
      <c r="O1855" s="4" t="s">
        <v>129</v>
      </c>
      <c r="P1855" s="4"/>
    </row>
    <row r="1856" spans="1:16" ht="15">
      <c r="A1856" s="4" t="s">
        <v>2843</v>
      </c>
      <c r="B1856" s="30">
        <v>40022</v>
      </c>
      <c r="C1856" s="4"/>
      <c r="D1856" s="4" t="s">
        <v>195</v>
      </c>
      <c r="E1856" s="4" t="s">
        <v>170</v>
      </c>
      <c r="F1856" s="4" t="s">
        <v>155</v>
      </c>
      <c r="G1856" s="4">
        <v>5</v>
      </c>
      <c r="H1856" s="4">
        <v>5</v>
      </c>
      <c r="I1856" s="4" t="s">
        <v>139</v>
      </c>
      <c r="J1856" s="4" t="s">
        <v>376</v>
      </c>
      <c r="K1856" s="4" t="s">
        <v>142</v>
      </c>
      <c r="L1856" s="4" t="s">
        <v>4176</v>
      </c>
      <c r="M1856" s="4" t="s">
        <v>175</v>
      </c>
      <c r="N1856" s="4" t="s">
        <v>125</v>
      </c>
      <c r="O1856" s="4" t="s">
        <v>125</v>
      </c>
      <c r="P1856" s="4" t="s">
        <v>1497</v>
      </c>
    </row>
    <row r="1857" spans="1:16" ht="15">
      <c r="A1857" s="4" t="s">
        <v>2844</v>
      </c>
      <c r="B1857" s="30">
        <v>40061</v>
      </c>
      <c r="C1857" s="4"/>
      <c r="D1857" s="4" t="s">
        <v>193</v>
      </c>
      <c r="E1857" s="4" t="s">
        <v>170</v>
      </c>
      <c r="F1857" s="4" t="s">
        <v>155</v>
      </c>
      <c r="G1857" s="4">
        <v>5</v>
      </c>
      <c r="H1857" s="4">
        <v>5</v>
      </c>
      <c r="I1857" s="4" t="s">
        <v>140</v>
      </c>
      <c r="J1857" s="4" t="s">
        <v>376</v>
      </c>
      <c r="K1857" s="4" t="s">
        <v>144</v>
      </c>
      <c r="L1857" s="4" t="s">
        <v>4176</v>
      </c>
      <c r="M1857" s="4" t="s">
        <v>174</v>
      </c>
      <c r="N1857" s="4" t="s">
        <v>156</v>
      </c>
      <c r="O1857" s="4" t="s">
        <v>120</v>
      </c>
      <c r="P1857" s="4" t="s">
        <v>2845</v>
      </c>
    </row>
    <row r="1858" spans="1:16" ht="15">
      <c r="A1858" s="4" t="s">
        <v>2846</v>
      </c>
      <c r="B1858" s="30">
        <v>39947</v>
      </c>
      <c r="C1858" s="4"/>
      <c r="D1858" s="4" t="s">
        <v>194</v>
      </c>
      <c r="E1858" s="4" t="s">
        <v>170</v>
      </c>
      <c r="F1858" s="4" t="s">
        <v>155</v>
      </c>
      <c r="G1858" s="4"/>
      <c r="H1858" s="4"/>
      <c r="I1858" s="4" t="s">
        <v>139</v>
      </c>
      <c r="J1858" s="4" t="s">
        <v>376</v>
      </c>
      <c r="K1858" s="4" t="s">
        <v>150</v>
      </c>
      <c r="L1858" s="4" t="s">
        <v>162</v>
      </c>
      <c r="M1858" s="4" t="s">
        <v>567</v>
      </c>
      <c r="N1858" s="4" t="s">
        <v>155</v>
      </c>
      <c r="O1858" s="4" t="s">
        <v>130</v>
      </c>
      <c r="P1858" s="4"/>
    </row>
    <row r="1859" spans="1:16" ht="15">
      <c r="A1859" s="4" t="s">
        <v>2847</v>
      </c>
      <c r="B1859" s="30">
        <v>40076</v>
      </c>
      <c r="C1859" s="4"/>
      <c r="D1859" s="4" t="s">
        <v>196</v>
      </c>
      <c r="E1859" s="4" t="s">
        <v>170</v>
      </c>
      <c r="F1859" s="4" t="s">
        <v>155</v>
      </c>
      <c r="G1859" s="4">
        <v>5</v>
      </c>
      <c r="H1859" s="4">
        <v>3</v>
      </c>
      <c r="I1859" s="4" t="s">
        <v>139</v>
      </c>
      <c r="J1859" s="4" t="s">
        <v>376</v>
      </c>
      <c r="K1859" s="4" t="s">
        <v>144</v>
      </c>
      <c r="L1859" s="4" t="s">
        <v>162</v>
      </c>
      <c r="M1859" s="4" t="s">
        <v>802</v>
      </c>
      <c r="N1859" s="4" t="s">
        <v>155</v>
      </c>
      <c r="O1859" s="4" t="s">
        <v>129</v>
      </c>
      <c r="P1859" s="4"/>
    </row>
    <row r="1860" spans="1:16" ht="15">
      <c r="A1860" s="4" t="s">
        <v>2848</v>
      </c>
      <c r="B1860" s="30">
        <v>39930</v>
      </c>
      <c r="C1860" s="4" t="s">
        <v>525</v>
      </c>
      <c r="D1860" s="4" t="s">
        <v>4178</v>
      </c>
      <c r="E1860" s="4" t="s">
        <v>170</v>
      </c>
      <c r="F1860" s="4" t="s">
        <v>155</v>
      </c>
      <c r="G1860" s="4"/>
      <c r="H1860" s="4"/>
      <c r="I1860" s="4" t="s">
        <v>139</v>
      </c>
      <c r="J1860" s="4" t="s">
        <v>376</v>
      </c>
      <c r="K1860" s="4" t="s">
        <v>147</v>
      </c>
      <c r="L1860" s="4" t="s">
        <v>4181</v>
      </c>
      <c r="M1860" s="4" t="s">
        <v>173</v>
      </c>
      <c r="N1860" s="4" t="s">
        <v>155</v>
      </c>
      <c r="O1860" s="4" t="s">
        <v>124</v>
      </c>
      <c r="P1860" s="4"/>
    </row>
    <row r="1861" spans="1:16" ht="15">
      <c r="A1861" s="4" t="s">
        <v>2849</v>
      </c>
      <c r="B1861" s="30">
        <v>39981</v>
      </c>
      <c r="C1861" s="4"/>
      <c r="D1861" s="4" t="s">
        <v>194</v>
      </c>
      <c r="E1861" s="4" t="s">
        <v>170</v>
      </c>
      <c r="F1861" s="4" t="s">
        <v>155</v>
      </c>
      <c r="G1861" s="4"/>
      <c r="H1861" s="4"/>
      <c r="I1861" s="4" t="s">
        <v>139</v>
      </c>
      <c r="J1861" s="4" t="s">
        <v>376</v>
      </c>
      <c r="K1861" s="4" t="s">
        <v>150</v>
      </c>
      <c r="L1861" s="4" t="s">
        <v>4176</v>
      </c>
      <c r="M1861" s="4" t="s">
        <v>1553</v>
      </c>
      <c r="N1861" s="4" t="s">
        <v>159</v>
      </c>
      <c r="O1861" s="4" t="s">
        <v>126</v>
      </c>
      <c r="P1861" s="4" t="s">
        <v>601</v>
      </c>
    </row>
    <row r="1862" spans="1:16" ht="15">
      <c r="A1862" s="4" t="s">
        <v>2850</v>
      </c>
      <c r="B1862" s="30">
        <v>40075</v>
      </c>
      <c r="C1862" s="4"/>
      <c r="D1862" s="4" t="s">
        <v>197</v>
      </c>
      <c r="E1862" s="4" t="s">
        <v>170</v>
      </c>
      <c r="F1862" s="4" t="s">
        <v>155</v>
      </c>
      <c r="G1862" s="4">
        <v>1</v>
      </c>
      <c r="H1862" s="4">
        <v>5</v>
      </c>
      <c r="I1862" s="4" t="s">
        <v>139</v>
      </c>
      <c r="J1862" s="4" t="s">
        <v>183</v>
      </c>
      <c r="K1862" s="4" t="s">
        <v>144</v>
      </c>
      <c r="L1862" s="4" t="s">
        <v>4176</v>
      </c>
      <c r="M1862" s="4" t="s">
        <v>174</v>
      </c>
      <c r="N1862" s="4" t="s">
        <v>156</v>
      </c>
      <c r="O1862" s="4" t="s">
        <v>120</v>
      </c>
      <c r="P1862" s="4" t="s">
        <v>741</v>
      </c>
    </row>
    <row r="1863" spans="1:16" ht="15">
      <c r="A1863" s="4" t="s">
        <v>2851</v>
      </c>
      <c r="B1863" s="30">
        <v>40035</v>
      </c>
      <c r="C1863" s="4"/>
      <c r="D1863" s="4" t="s">
        <v>193</v>
      </c>
      <c r="E1863" s="4" t="s">
        <v>170</v>
      </c>
      <c r="F1863" s="4" t="s">
        <v>155</v>
      </c>
      <c r="G1863" s="4">
        <v>2</v>
      </c>
      <c r="H1863" s="4">
        <v>5</v>
      </c>
      <c r="I1863" s="4" t="s">
        <v>140</v>
      </c>
      <c r="J1863" s="4" t="s">
        <v>1034</v>
      </c>
      <c r="K1863" s="4" t="s">
        <v>145</v>
      </c>
      <c r="L1863" s="4" t="s">
        <v>162</v>
      </c>
      <c r="M1863" s="4" t="s">
        <v>459</v>
      </c>
      <c r="N1863" s="4" t="s">
        <v>155</v>
      </c>
      <c r="O1863" s="4" t="s">
        <v>129</v>
      </c>
      <c r="P1863" s="4"/>
    </row>
    <row r="1864" spans="1:16" ht="15">
      <c r="A1864" s="4" t="s">
        <v>2852</v>
      </c>
      <c r="B1864" s="30">
        <v>39933</v>
      </c>
      <c r="C1864" s="4" t="s">
        <v>380</v>
      </c>
      <c r="D1864" s="4" t="s">
        <v>4183</v>
      </c>
      <c r="E1864" s="4" t="s">
        <v>170</v>
      </c>
      <c r="F1864" s="4" t="s">
        <v>155</v>
      </c>
      <c r="G1864" s="4"/>
      <c r="H1864" s="4"/>
      <c r="I1864" s="4" t="s">
        <v>140</v>
      </c>
      <c r="J1864" s="4" t="s">
        <v>179</v>
      </c>
      <c r="K1864" s="4" t="s">
        <v>145</v>
      </c>
      <c r="L1864" s="4" t="s">
        <v>4176</v>
      </c>
      <c r="M1864" s="4" t="s">
        <v>174</v>
      </c>
      <c r="N1864" s="4" t="s">
        <v>159</v>
      </c>
      <c r="O1864" s="4" t="s">
        <v>123</v>
      </c>
      <c r="P1864" s="4" t="s">
        <v>123</v>
      </c>
    </row>
    <row r="1865" spans="1:16" ht="15">
      <c r="A1865" s="4" t="s">
        <v>2853</v>
      </c>
      <c r="B1865" s="30">
        <v>39906</v>
      </c>
      <c r="C1865" s="4" t="s">
        <v>496</v>
      </c>
      <c r="D1865" s="4" t="s">
        <v>4179</v>
      </c>
      <c r="E1865" s="4" t="s">
        <v>170</v>
      </c>
      <c r="F1865" s="4" t="s">
        <v>155</v>
      </c>
      <c r="G1865" s="4"/>
      <c r="H1865" s="4"/>
      <c r="I1865" s="4" t="s">
        <v>139</v>
      </c>
      <c r="J1865" s="4" t="s">
        <v>433</v>
      </c>
      <c r="K1865" s="4" t="s">
        <v>147</v>
      </c>
      <c r="L1865" s="4" t="s">
        <v>165</v>
      </c>
      <c r="M1865" s="4" t="s">
        <v>2854</v>
      </c>
      <c r="N1865" s="4" t="s">
        <v>158</v>
      </c>
      <c r="O1865" s="4" t="s">
        <v>122</v>
      </c>
      <c r="P1865" s="4"/>
    </row>
    <row r="1866" spans="1:16" ht="15">
      <c r="A1866" s="4" t="s">
        <v>2855</v>
      </c>
      <c r="B1866" s="30">
        <v>39965</v>
      </c>
      <c r="C1866" s="4" t="s">
        <v>525</v>
      </c>
      <c r="D1866" s="4" t="s">
        <v>195</v>
      </c>
      <c r="E1866" s="4" t="s">
        <v>170</v>
      </c>
      <c r="F1866" s="4" t="s">
        <v>155</v>
      </c>
      <c r="G1866" s="4"/>
      <c r="H1866" s="4"/>
      <c r="I1866" s="4" t="s">
        <v>139</v>
      </c>
      <c r="J1866" s="4" t="s">
        <v>178</v>
      </c>
      <c r="K1866" s="4" t="s">
        <v>144</v>
      </c>
      <c r="L1866" s="4" t="s">
        <v>4176</v>
      </c>
      <c r="M1866" s="4" t="s">
        <v>174</v>
      </c>
      <c r="N1866" s="4" t="s">
        <v>157</v>
      </c>
      <c r="O1866" s="4" t="s">
        <v>127</v>
      </c>
      <c r="P1866" s="4" t="s">
        <v>153</v>
      </c>
    </row>
    <row r="1867" spans="1:16" ht="15">
      <c r="A1867" s="4" t="s">
        <v>2856</v>
      </c>
      <c r="B1867" s="30">
        <v>39973</v>
      </c>
      <c r="C1867" s="4"/>
      <c r="D1867" s="4" t="s">
        <v>194</v>
      </c>
      <c r="E1867" s="4" t="s">
        <v>170</v>
      </c>
      <c r="F1867" s="4" t="s">
        <v>155</v>
      </c>
      <c r="G1867" s="4"/>
      <c r="H1867" s="4"/>
      <c r="I1867" s="4" t="s">
        <v>139</v>
      </c>
      <c r="J1867" s="4" t="s">
        <v>409</v>
      </c>
      <c r="K1867" s="4" t="s">
        <v>146</v>
      </c>
      <c r="L1867" s="4" t="s">
        <v>162</v>
      </c>
      <c r="M1867" s="4" t="s">
        <v>175</v>
      </c>
      <c r="N1867" s="4" t="s">
        <v>155</v>
      </c>
      <c r="O1867" s="4" t="s">
        <v>129</v>
      </c>
      <c r="P1867" s="4"/>
    </row>
    <row r="1868" spans="1:16" ht="15">
      <c r="A1868" s="4" t="s">
        <v>2857</v>
      </c>
      <c r="B1868" s="30">
        <v>40021</v>
      </c>
      <c r="C1868" s="4"/>
      <c r="D1868" s="4" t="s">
        <v>193</v>
      </c>
      <c r="E1868" s="4" t="s">
        <v>170</v>
      </c>
      <c r="F1868" s="4" t="s">
        <v>155</v>
      </c>
      <c r="G1868" s="4">
        <v>1</v>
      </c>
      <c r="H1868" s="4">
        <v>5</v>
      </c>
      <c r="I1868" s="4" t="s">
        <v>140</v>
      </c>
      <c r="J1868" s="4" t="s">
        <v>179</v>
      </c>
      <c r="K1868" s="4" t="s">
        <v>142</v>
      </c>
      <c r="L1868" s="4" t="s">
        <v>4176</v>
      </c>
      <c r="M1868" s="4" t="s">
        <v>2438</v>
      </c>
      <c r="N1868" s="4" t="s">
        <v>159</v>
      </c>
      <c r="O1868" s="4" t="s">
        <v>123</v>
      </c>
      <c r="P1868" s="4" t="s">
        <v>123</v>
      </c>
    </row>
    <row r="1869" spans="1:16" ht="15">
      <c r="A1869" s="4" t="s">
        <v>2858</v>
      </c>
      <c r="B1869" s="30">
        <v>40037</v>
      </c>
      <c r="C1869" s="4" t="s">
        <v>9</v>
      </c>
      <c r="D1869" s="4" t="s">
        <v>196</v>
      </c>
      <c r="E1869" s="4" t="s">
        <v>170</v>
      </c>
      <c r="F1869" s="4" t="s">
        <v>155</v>
      </c>
      <c r="G1869" s="4">
        <v>2</v>
      </c>
      <c r="H1869" s="4">
        <v>5</v>
      </c>
      <c r="I1869" s="4" t="s">
        <v>139</v>
      </c>
      <c r="J1869" s="4" t="s">
        <v>376</v>
      </c>
      <c r="K1869" s="4" t="s">
        <v>142</v>
      </c>
      <c r="L1869" s="4" t="s">
        <v>165</v>
      </c>
      <c r="M1869" s="4" t="s">
        <v>2023</v>
      </c>
      <c r="N1869" s="4" t="s">
        <v>158</v>
      </c>
      <c r="O1869" s="4" t="s">
        <v>122</v>
      </c>
      <c r="P1869" s="4"/>
    </row>
    <row r="1870" spans="1:16" ht="15">
      <c r="A1870" s="4" t="s">
        <v>2859</v>
      </c>
      <c r="B1870" s="30">
        <v>40031</v>
      </c>
      <c r="C1870" s="4"/>
      <c r="D1870" s="4" t="s">
        <v>196</v>
      </c>
      <c r="E1870" s="4" t="s">
        <v>170</v>
      </c>
      <c r="F1870" s="4" t="s">
        <v>155</v>
      </c>
      <c r="G1870" s="4">
        <v>5</v>
      </c>
      <c r="H1870" s="4">
        <v>5</v>
      </c>
      <c r="I1870" s="4" t="s">
        <v>139</v>
      </c>
      <c r="J1870" s="4" t="s">
        <v>376</v>
      </c>
      <c r="K1870" s="4" t="s">
        <v>144</v>
      </c>
      <c r="L1870" s="4" t="s">
        <v>4181</v>
      </c>
      <c r="M1870" s="4" t="s">
        <v>173</v>
      </c>
      <c r="N1870" s="4" t="s">
        <v>155</v>
      </c>
      <c r="O1870" s="4" t="s">
        <v>751</v>
      </c>
      <c r="P1870" s="4"/>
    </row>
    <row r="1871" spans="1:16" ht="15">
      <c r="A1871" s="4" t="s">
        <v>2860</v>
      </c>
      <c r="B1871" s="30">
        <v>40041</v>
      </c>
      <c r="C1871" s="4"/>
      <c r="D1871" s="4" t="s">
        <v>196</v>
      </c>
      <c r="E1871" s="4" t="s">
        <v>170</v>
      </c>
      <c r="F1871" s="4" t="s">
        <v>155</v>
      </c>
      <c r="G1871" s="4">
        <v>5</v>
      </c>
      <c r="H1871" s="4">
        <v>4</v>
      </c>
      <c r="I1871" s="4" t="s">
        <v>139</v>
      </c>
      <c r="J1871" s="4" t="s">
        <v>376</v>
      </c>
      <c r="K1871" s="4" t="s">
        <v>144</v>
      </c>
      <c r="L1871" s="4" t="s">
        <v>162</v>
      </c>
      <c r="M1871" s="4" t="s">
        <v>176</v>
      </c>
      <c r="N1871" s="4" t="s">
        <v>155</v>
      </c>
      <c r="O1871" s="4" t="s">
        <v>129</v>
      </c>
      <c r="P1871" s="4"/>
    </row>
    <row r="1872" spans="1:16" ht="15">
      <c r="A1872" s="4" t="s">
        <v>2861</v>
      </c>
      <c r="B1872" s="30">
        <v>40000</v>
      </c>
      <c r="C1872" s="4"/>
      <c r="D1872" s="4" t="s">
        <v>194</v>
      </c>
      <c r="E1872" s="4" t="s">
        <v>170</v>
      </c>
      <c r="F1872" s="4" t="s">
        <v>155</v>
      </c>
      <c r="G1872" s="4"/>
      <c r="H1872" s="4">
        <v>3</v>
      </c>
      <c r="I1872" s="4" t="s">
        <v>139</v>
      </c>
      <c r="J1872" s="4" t="s">
        <v>179</v>
      </c>
      <c r="K1872" s="4" t="s">
        <v>145</v>
      </c>
      <c r="L1872" s="4" t="s">
        <v>162</v>
      </c>
      <c r="M1872" s="4" t="s">
        <v>176</v>
      </c>
      <c r="N1872" s="4" t="s">
        <v>155</v>
      </c>
      <c r="O1872" s="4" t="s">
        <v>130</v>
      </c>
      <c r="P1872" s="4"/>
    </row>
    <row r="1873" spans="1:16" ht="15">
      <c r="A1873" s="4" t="s">
        <v>2862</v>
      </c>
      <c r="B1873" s="30">
        <v>39959</v>
      </c>
      <c r="C1873" s="4" t="s">
        <v>525</v>
      </c>
      <c r="D1873" s="4" t="s">
        <v>193</v>
      </c>
      <c r="E1873" s="4" t="s">
        <v>170</v>
      </c>
      <c r="F1873" s="4" t="s">
        <v>155</v>
      </c>
      <c r="G1873" s="4"/>
      <c r="H1873" s="4"/>
      <c r="I1873" s="4" t="s">
        <v>140</v>
      </c>
      <c r="J1873" s="4" t="s">
        <v>186</v>
      </c>
      <c r="K1873" s="4" t="s">
        <v>149</v>
      </c>
      <c r="L1873" s="4" t="s">
        <v>162</v>
      </c>
      <c r="M1873" s="4" t="s">
        <v>567</v>
      </c>
      <c r="N1873" s="4" t="s">
        <v>155</v>
      </c>
      <c r="O1873" s="4" t="s">
        <v>130</v>
      </c>
      <c r="P1873" s="4"/>
    </row>
    <row r="1874" spans="1:16" ht="15">
      <c r="A1874" s="4" t="s">
        <v>2863</v>
      </c>
      <c r="B1874" s="30">
        <v>40065</v>
      </c>
      <c r="C1874" s="4" t="s">
        <v>9</v>
      </c>
      <c r="D1874" s="4" t="s">
        <v>193</v>
      </c>
      <c r="E1874" s="4" t="s">
        <v>170</v>
      </c>
      <c r="F1874" s="4" t="s">
        <v>155</v>
      </c>
      <c r="G1874" s="4">
        <v>1</v>
      </c>
      <c r="H1874" s="4">
        <v>3</v>
      </c>
      <c r="I1874" s="4" t="s">
        <v>140</v>
      </c>
      <c r="J1874" s="4" t="s">
        <v>603</v>
      </c>
      <c r="K1874" s="4" t="s">
        <v>146</v>
      </c>
      <c r="L1874" s="4" t="s">
        <v>4176</v>
      </c>
      <c r="M1874" s="4" t="s">
        <v>174</v>
      </c>
      <c r="N1874" s="4" t="s">
        <v>156</v>
      </c>
      <c r="O1874" s="4" t="s">
        <v>120</v>
      </c>
      <c r="P1874" s="4" t="s">
        <v>425</v>
      </c>
    </row>
    <row r="1875" spans="1:16" ht="15">
      <c r="A1875" s="4" t="s">
        <v>2864</v>
      </c>
      <c r="B1875" s="30">
        <v>40011</v>
      </c>
      <c r="C1875" s="4"/>
      <c r="D1875" s="4" t="s">
        <v>195</v>
      </c>
      <c r="E1875" s="4" t="s">
        <v>170</v>
      </c>
      <c r="F1875" s="4" t="s">
        <v>155</v>
      </c>
      <c r="G1875" s="4">
        <v>5</v>
      </c>
      <c r="H1875" s="4">
        <v>4</v>
      </c>
      <c r="I1875" s="4" t="s">
        <v>139</v>
      </c>
      <c r="J1875" s="4" t="s">
        <v>186</v>
      </c>
      <c r="K1875" s="4" t="s">
        <v>143</v>
      </c>
      <c r="L1875" s="4" t="s">
        <v>162</v>
      </c>
      <c r="M1875" s="4" t="s">
        <v>459</v>
      </c>
      <c r="N1875" s="4" t="s">
        <v>155</v>
      </c>
      <c r="O1875" s="4" t="s">
        <v>129</v>
      </c>
      <c r="P1875" s="4"/>
    </row>
    <row r="1876" spans="1:16" ht="15">
      <c r="A1876" s="4" t="s">
        <v>2865</v>
      </c>
      <c r="B1876" s="30">
        <v>39946</v>
      </c>
      <c r="C1876" s="4" t="s">
        <v>380</v>
      </c>
      <c r="D1876" s="4" t="s">
        <v>193</v>
      </c>
      <c r="E1876" s="4" t="s">
        <v>170</v>
      </c>
      <c r="F1876" s="4" t="s">
        <v>155</v>
      </c>
      <c r="G1876" s="4"/>
      <c r="H1876" s="4"/>
      <c r="I1876" s="4" t="s">
        <v>140</v>
      </c>
      <c r="J1876" s="4" t="s">
        <v>603</v>
      </c>
      <c r="K1876" s="4" t="s">
        <v>145</v>
      </c>
      <c r="L1876" s="4" t="s">
        <v>4176</v>
      </c>
      <c r="M1876" s="4" t="s">
        <v>174</v>
      </c>
      <c r="N1876" s="4" t="s">
        <v>156</v>
      </c>
      <c r="O1876" s="4" t="s">
        <v>120</v>
      </c>
      <c r="P1876" s="4" t="s">
        <v>1868</v>
      </c>
    </row>
    <row r="1877" spans="1:16" ht="15">
      <c r="A1877" s="4" t="s">
        <v>2866</v>
      </c>
      <c r="B1877" s="30">
        <v>39952</v>
      </c>
      <c r="C1877" s="4"/>
      <c r="D1877" s="4" t="s">
        <v>193</v>
      </c>
      <c r="E1877" s="4" t="s">
        <v>170</v>
      </c>
      <c r="F1877" s="4" t="s">
        <v>155</v>
      </c>
      <c r="G1877" s="4"/>
      <c r="H1877" s="4"/>
      <c r="I1877" s="4" t="s">
        <v>140</v>
      </c>
      <c r="J1877" s="4" t="s">
        <v>603</v>
      </c>
      <c r="K1877" s="4" t="s">
        <v>145</v>
      </c>
      <c r="L1877" s="4" t="s">
        <v>4176</v>
      </c>
      <c r="M1877" s="4" t="s">
        <v>174</v>
      </c>
      <c r="N1877" s="4" t="s">
        <v>156</v>
      </c>
      <c r="O1877" s="4" t="s">
        <v>120</v>
      </c>
      <c r="P1877" s="4" t="s">
        <v>1868</v>
      </c>
    </row>
    <row r="1878" spans="1:16" ht="15">
      <c r="A1878" s="4" t="s">
        <v>2867</v>
      </c>
      <c r="B1878" s="30">
        <v>39947</v>
      </c>
      <c r="C1878" s="4"/>
      <c r="D1878" s="4" t="s">
        <v>193</v>
      </c>
      <c r="E1878" s="4" t="s">
        <v>170</v>
      </c>
      <c r="F1878" s="4" t="s">
        <v>155</v>
      </c>
      <c r="G1878" s="4"/>
      <c r="H1878" s="4"/>
      <c r="I1878" s="4" t="s">
        <v>140</v>
      </c>
      <c r="J1878" s="4" t="s">
        <v>179</v>
      </c>
      <c r="K1878" s="4" t="s">
        <v>143</v>
      </c>
      <c r="L1878" s="4" t="s">
        <v>4181</v>
      </c>
      <c r="M1878" s="4" t="s">
        <v>173</v>
      </c>
      <c r="N1878" s="4" t="s">
        <v>155</v>
      </c>
      <c r="O1878" s="4" t="s">
        <v>484</v>
      </c>
      <c r="P1878" s="4"/>
    </row>
    <row r="1879" spans="1:16" ht="15">
      <c r="A1879" s="4" t="s">
        <v>2868</v>
      </c>
      <c r="B1879" s="30">
        <v>40022</v>
      </c>
      <c r="C1879" s="4"/>
      <c r="D1879" s="4" t="s">
        <v>196</v>
      </c>
      <c r="E1879" s="4" t="s">
        <v>170</v>
      </c>
      <c r="F1879" s="4" t="s">
        <v>155</v>
      </c>
      <c r="G1879" s="4">
        <v>1</v>
      </c>
      <c r="H1879" s="4">
        <v>4</v>
      </c>
      <c r="I1879" s="4" t="s">
        <v>139</v>
      </c>
      <c r="J1879" s="4" t="s">
        <v>182</v>
      </c>
      <c r="K1879" s="4" t="s">
        <v>149</v>
      </c>
      <c r="L1879" s="4" t="s">
        <v>4176</v>
      </c>
      <c r="M1879" s="4" t="s">
        <v>459</v>
      </c>
      <c r="N1879" s="4" t="s">
        <v>125</v>
      </c>
      <c r="O1879" s="4" t="s">
        <v>628</v>
      </c>
      <c r="P1879" s="4" t="s">
        <v>629</v>
      </c>
    </row>
    <row r="1880" spans="1:16" ht="15">
      <c r="A1880" s="4" t="s">
        <v>2869</v>
      </c>
      <c r="B1880" s="30">
        <v>40017</v>
      </c>
      <c r="C1880" s="4"/>
      <c r="D1880" s="4" t="s">
        <v>193</v>
      </c>
      <c r="E1880" s="4" t="s">
        <v>170</v>
      </c>
      <c r="F1880" s="4" t="s">
        <v>155</v>
      </c>
      <c r="G1880" s="4">
        <v>5</v>
      </c>
      <c r="H1880" s="4">
        <v>5</v>
      </c>
      <c r="I1880" s="4" t="s">
        <v>140</v>
      </c>
      <c r="J1880" s="4" t="s">
        <v>178</v>
      </c>
      <c r="K1880" s="4" t="s">
        <v>148</v>
      </c>
      <c r="L1880" s="4" t="s">
        <v>162</v>
      </c>
      <c r="M1880" s="4" t="s">
        <v>176</v>
      </c>
      <c r="N1880" s="4" t="s">
        <v>155</v>
      </c>
      <c r="O1880" s="4" t="s">
        <v>129</v>
      </c>
      <c r="P1880" s="4"/>
    </row>
    <row r="1881" spans="1:16" ht="15">
      <c r="A1881" s="4" t="s">
        <v>2870</v>
      </c>
      <c r="B1881" s="30">
        <v>39964</v>
      </c>
      <c r="C1881" s="4"/>
      <c r="D1881" s="4" t="s">
        <v>193</v>
      </c>
      <c r="E1881" s="4" t="s">
        <v>170</v>
      </c>
      <c r="F1881" s="4" t="s">
        <v>155</v>
      </c>
      <c r="G1881" s="4"/>
      <c r="H1881" s="4"/>
      <c r="I1881" s="4" t="s">
        <v>140</v>
      </c>
      <c r="J1881" s="4" t="s">
        <v>180</v>
      </c>
      <c r="K1881" s="4" t="s">
        <v>150</v>
      </c>
      <c r="L1881" s="4" t="s">
        <v>4181</v>
      </c>
      <c r="M1881" s="4" t="s">
        <v>173</v>
      </c>
      <c r="N1881" s="4" t="s">
        <v>155</v>
      </c>
      <c r="O1881" s="4" t="s">
        <v>124</v>
      </c>
      <c r="P1881" s="4"/>
    </row>
    <row r="1882" spans="1:16" ht="15">
      <c r="A1882" s="4" t="s">
        <v>2871</v>
      </c>
      <c r="B1882" s="30">
        <v>39924</v>
      </c>
      <c r="C1882" s="4"/>
      <c r="D1882" s="4" t="s">
        <v>4180</v>
      </c>
      <c r="E1882" s="4" t="s">
        <v>170</v>
      </c>
      <c r="F1882" s="4" t="s">
        <v>155</v>
      </c>
      <c r="G1882" s="4"/>
      <c r="H1882" s="4"/>
      <c r="I1882" s="4" t="s">
        <v>139</v>
      </c>
      <c r="J1882" s="4" t="s">
        <v>534</v>
      </c>
      <c r="K1882" s="4" t="s">
        <v>145</v>
      </c>
      <c r="L1882" s="4" t="s">
        <v>162</v>
      </c>
      <c r="M1882" s="4" t="s">
        <v>175</v>
      </c>
      <c r="N1882" s="4" t="s">
        <v>155</v>
      </c>
      <c r="O1882" s="4" t="s">
        <v>129</v>
      </c>
      <c r="P1882" s="4"/>
    </row>
    <row r="1883" spans="1:16" ht="15">
      <c r="A1883" s="4" t="s">
        <v>2872</v>
      </c>
      <c r="B1883" s="30">
        <v>40058</v>
      </c>
      <c r="C1883" s="4"/>
      <c r="D1883" s="4" t="s">
        <v>544</v>
      </c>
      <c r="E1883" s="4" t="s">
        <v>170</v>
      </c>
      <c r="F1883" s="4" t="s">
        <v>155</v>
      </c>
      <c r="G1883" s="4">
        <v>1</v>
      </c>
      <c r="H1883" s="4">
        <v>4</v>
      </c>
      <c r="I1883" s="4" t="s">
        <v>139</v>
      </c>
      <c r="J1883" s="4" t="s">
        <v>534</v>
      </c>
      <c r="K1883" s="4" t="s">
        <v>143</v>
      </c>
      <c r="L1883" s="4" t="s">
        <v>4176</v>
      </c>
      <c r="M1883" s="4" t="s">
        <v>2873</v>
      </c>
      <c r="N1883" s="4" t="s">
        <v>156</v>
      </c>
      <c r="O1883" s="4" t="s">
        <v>120</v>
      </c>
      <c r="P1883" s="4" t="s">
        <v>2874</v>
      </c>
    </row>
    <row r="1884" spans="1:16" ht="15">
      <c r="A1884" s="4" t="s">
        <v>2875</v>
      </c>
      <c r="B1884" s="30">
        <v>40038</v>
      </c>
      <c r="C1884" s="4"/>
      <c r="D1884" s="4" t="s">
        <v>195</v>
      </c>
      <c r="E1884" s="4" t="s">
        <v>170</v>
      </c>
      <c r="F1884" s="4" t="s">
        <v>155</v>
      </c>
      <c r="G1884" s="4">
        <v>5</v>
      </c>
      <c r="H1884" s="4">
        <v>5</v>
      </c>
      <c r="I1884" s="4" t="s">
        <v>139</v>
      </c>
      <c r="J1884" s="4" t="s">
        <v>180</v>
      </c>
      <c r="K1884" s="4" t="s">
        <v>146</v>
      </c>
      <c r="L1884" s="4" t="s">
        <v>4176</v>
      </c>
      <c r="M1884" s="4" t="s">
        <v>174</v>
      </c>
      <c r="N1884" s="4" t="s">
        <v>156</v>
      </c>
      <c r="O1884" s="4" t="s">
        <v>120</v>
      </c>
      <c r="P1884" s="4" t="s">
        <v>715</v>
      </c>
    </row>
    <row r="1885" spans="1:16" ht="15">
      <c r="A1885" s="4" t="s">
        <v>2876</v>
      </c>
      <c r="B1885" s="30">
        <v>39922</v>
      </c>
      <c r="C1885" s="4"/>
      <c r="D1885" s="4" t="s">
        <v>4184</v>
      </c>
      <c r="E1885" s="4" t="s">
        <v>170</v>
      </c>
      <c r="F1885" s="4" t="s">
        <v>155</v>
      </c>
      <c r="G1885" s="4"/>
      <c r="H1885" s="4"/>
      <c r="I1885" s="4" t="s">
        <v>140</v>
      </c>
      <c r="J1885" s="4" t="s">
        <v>183</v>
      </c>
      <c r="K1885" s="4" t="s">
        <v>145</v>
      </c>
      <c r="L1885" s="4" t="s">
        <v>4181</v>
      </c>
      <c r="M1885" s="4" t="s">
        <v>173</v>
      </c>
      <c r="N1885" s="4" t="s">
        <v>155</v>
      </c>
      <c r="O1885" s="4" t="s">
        <v>124</v>
      </c>
      <c r="P1885" s="4"/>
    </row>
    <row r="1886" spans="1:16" ht="15">
      <c r="A1886" s="4" t="s">
        <v>2877</v>
      </c>
      <c r="B1886" s="30">
        <v>39954</v>
      </c>
      <c r="C1886" s="4"/>
      <c r="D1886" s="4" t="s">
        <v>193</v>
      </c>
      <c r="E1886" s="4" t="s">
        <v>170</v>
      </c>
      <c r="F1886" s="4" t="s">
        <v>155</v>
      </c>
      <c r="G1886" s="4"/>
      <c r="H1886" s="4"/>
      <c r="I1886" s="4" t="s">
        <v>140</v>
      </c>
      <c r="J1886" s="4" t="s">
        <v>182</v>
      </c>
      <c r="K1886" s="4" t="s">
        <v>147</v>
      </c>
      <c r="L1886" s="4" t="s">
        <v>162</v>
      </c>
      <c r="M1886" s="4" t="s">
        <v>459</v>
      </c>
      <c r="N1886" s="4" t="s">
        <v>155</v>
      </c>
      <c r="O1886" s="4" t="s">
        <v>130</v>
      </c>
      <c r="P1886" s="4"/>
    </row>
    <row r="1887" spans="1:16" ht="15">
      <c r="A1887" s="4" t="s">
        <v>2878</v>
      </c>
      <c r="B1887" s="30">
        <v>39976</v>
      </c>
      <c r="C1887" s="4"/>
      <c r="D1887" s="4" t="s">
        <v>195</v>
      </c>
      <c r="E1887" s="4" t="s">
        <v>170</v>
      </c>
      <c r="F1887" s="4" t="s">
        <v>155</v>
      </c>
      <c r="G1887" s="4"/>
      <c r="H1887" s="4"/>
      <c r="I1887" s="4" t="s">
        <v>139</v>
      </c>
      <c r="J1887" s="4" t="s">
        <v>182</v>
      </c>
      <c r="K1887" s="4" t="s">
        <v>144</v>
      </c>
      <c r="L1887" s="4" t="s">
        <v>4181</v>
      </c>
      <c r="M1887" s="4" t="s">
        <v>173</v>
      </c>
      <c r="N1887" s="4" t="s">
        <v>155</v>
      </c>
      <c r="O1887" s="4" t="s">
        <v>124</v>
      </c>
      <c r="P1887" s="4"/>
    </row>
    <row r="1888" spans="1:16" ht="15">
      <c r="A1888" s="4" t="s">
        <v>2879</v>
      </c>
      <c r="B1888" s="30">
        <v>39914</v>
      </c>
      <c r="C1888" s="4"/>
      <c r="D1888" s="4" t="s">
        <v>4178</v>
      </c>
      <c r="E1888" s="4" t="s">
        <v>170</v>
      </c>
      <c r="F1888" s="4" t="s">
        <v>155</v>
      </c>
      <c r="G1888" s="4"/>
      <c r="H1888" s="4"/>
      <c r="I1888" s="4" t="s">
        <v>139</v>
      </c>
      <c r="J1888" s="4" t="s">
        <v>433</v>
      </c>
      <c r="K1888" s="4" t="s">
        <v>143</v>
      </c>
      <c r="L1888" s="4" t="s">
        <v>4181</v>
      </c>
      <c r="M1888" s="4" t="s">
        <v>173</v>
      </c>
      <c r="N1888" s="4" t="s">
        <v>155</v>
      </c>
      <c r="O1888" s="4" t="s">
        <v>125</v>
      </c>
      <c r="P1888" s="4"/>
    </row>
    <row r="1889" spans="1:16" ht="15">
      <c r="A1889" s="4" t="s">
        <v>2880</v>
      </c>
      <c r="B1889" s="30">
        <v>39968</v>
      </c>
      <c r="C1889" s="4"/>
      <c r="D1889" s="4" t="s">
        <v>194</v>
      </c>
      <c r="E1889" s="4" t="s">
        <v>170</v>
      </c>
      <c r="F1889" s="4" t="s">
        <v>155</v>
      </c>
      <c r="G1889" s="4"/>
      <c r="H1889" s="4"/>
      <c r="I1889" s="4" t="s">
        <v>139</v>
      </c>
      <c r="J1889" s="4" t="s">
        <v>433</v>
      </c>
      <c r="K1889" s="4" t="s">
        <v>146</v>
      </c>
      <c r="L1889" s="4" t="s">
        <v>4176</v>
      </c>
      <c r="M1889" s="4" t="s">
        <v>174</v>
      </c>
      <c r="N1889" s="4" t="s">
        <v>159</v>
      </c>
      <c r="O1889" s="4" t="s">
        <v>123</v>
      </c>
      <c r="P1889" s="4" t="s">
        <v>123</v>
      </c>
    </row>
    <row r="1890" spans="1:16" ht="15">
      <c r="A1890" s="4" t="s">
        <v>2881</v>
      </c>
      <c r="B1890" s="30">
        <v>40067</v>
      </c>
      <c r="C1890" s="4"/>
      <c r="D1890" s="4" t="s">
        <v>196</v>
      </c>
      <c r="E1890" s="4" t="s">
        <v>170</v>
      </c>
      <c r="F1890" s="4" t="s">
        <v>155</v>
      </c>
      <c r="G1890" s="4">
        <v>1</v>
      </c>
      <c r="H1890" s="4">
        <v>5</v>
      </c>
      <c r="I1890" s="4" t="s">
        <v>139</v>
      </c>
      <c r="J1890" s="4" t="s">
        <v>433</v>
      </c>
      <c r="K1890" s="4" t="s">
        <v>146</v>
      </c>
      <c r="L1890" s="4" t="s">
        <v>165</v>
      </c>
      <c r="M1890" s="4" t="s">
        <v>589</v>
      </c>
      <c r="N1890" s="4" t="s">
        <v>158</v>
      </c>
      <c r="O1890" s="4" t="s">
        <v>122</v>
      </c>
      <c r="P1890" s="4"/>
    </row>
    <row r="1891" spans="1:16" ht="15">
      <c r="A1891" s="4" t="s">
        <v>2882</v>
      </c>
      <c r="B1891" s="30">
        <v>40057</v>
      </c>
      <c r="C1891" s="4"/>
      <c r="D1891" s="4" t="s">
        <v>195</v>
      </c>
      <c r="E1891" s="4" t="s">
        <v>170</v>
      </c>
      <c r="F1891" s="4" t="s">
        <v>155</v>
      </c>
      <c r="G1891" s="4">
        <v>5</v>
      </c>
      <c r="H1891" s="4">
        <v>2</v>
      </c>
      <c r="I1891" s="4" t="s">
        <v>139</v>
      </c>
      <c r="J1891" s="4" t="s">
        <v>433</v>
      </c>
      <c r="K1891" s="4" t="s">
        <v>144</v>
      </c>
      <c r="L1891" s="4" t="s">
        <v>4176</v>
      </c>
      <c r="M1891" s="4" t="s">
        <v>174</v>
      </c>
      <c r="N1891" s="4" t="s">
        <v>157</v>
      </c>
      <c r="O1891" s="4" t="s">
        <v>127</v>
      </c>
      <c r="P1891" s="4" t="s">
        <v>153</v>
      </c>
    </row>
    <row r="1892" spans="1:16" ht="15">
      <c r="A1892" s="4" t="s">
        <v>2883</v>
      </c>
      <c r="B1892" s="30">
        <v>40047</v>
      </c>
      <c r="C1892" s="4"/>
      <c r="D1892" s="4" t="s">
        <v>195</v>
      </c>
      <c r="E1892" s="4" t="s">
        <v>170</v>
      </c>
      <c r="F1892" s="4" t="s">
        <v>155</v>
      </c>
      <c r="G1892" s="4">
        <v>5</v>
      </c>
      <c r="H1892" s="4">
        <v>5</v>
      </c>
      <c r="I1892" s="4" t="s">
        <v>139</v>
      </c>
      <c r="J1892" s="4" t="s">
        <v>433</v>
      </c>
      <c r="K1892" s="4" t="s">
        <v>149</v>
      </c>
      <c r="L1892" s="4" t="s">
        <v>4176</v>
      </c>
      <c r="M1892" s="4" t="s">
        <v>174</v>
      </c>
      <c r="N1892" s="4" t="s">
        <v>157</v>
      </c>
      <c r="O1892" s="4" t="s">
        <v>1302</v>
      </c>
      <c r="P1892" s="4" t="s">
        <v>2884</v>
      </c>
    </row>
    <row r="1893" spans="1:16" ht="15">
      <c r="A1893" s="4" t="s">
        <v>2885</v>
      </c>
      <c r="B1893" s="30">
        <v>40084</v>
      </c>
      <c r="C1893" s="4"/>
      <c r="D1893" s="4" t="s">
        <v>195</v>
      </c>
      <c r="E1893" s="4" t="s">
        <v>170</v>
      </c>
      <c r="F1893" s="4" t="s">
        <v>155</v>
      </c>
      <c r="G1893" s="4">
        <v>4</v>
      </c>
      <c r="H1893" s="4">
        <v>3</v>
      </c>
      <c r="I1893" s="4" t="s">
        <v>139</v>
      </c>
      <c r="J1893" s="4" t="s">
        <v>191</v>
      </c>
      <c r="K1893" s="4" t="s">
        <v>144</v>
      </c>
      <c r="L1893" s="4" t="s">
        <v>4181</v>
      </c>
      <c r="M1893" s="4" t="s">
        <v>173</v>
      </c>
      <c r="N1893" s="4" t="s">
        <v>155</v>
      </c>
      <c r="O1893" s="4" t="s">
        <v>128</v>
      </c>
      <c r="P1893" s="4"/>
    </row>
    <row r="1894" spans="1:16" ht="15">
      <c r="A1894" s="4" t="s">
        <v>2886</v>
      </c>
      <c r="B1894" s="30">
        <v>40077</v>
      </c>
      <c r="C1894" s="4"/>
      <c r="D1894" s="4" t="s">
        <v>193</v>
      </c>
      <c r="E1894" s="4" t="s">
        <v>170</v>
      </c>
      <c r="F1894" s="4" t="s">
        <v>155</v>
      </c>
      <c r="G1894" s="4">
        <v>5</v>
      </c>
      <c r="H1894" s="4">
        <v>5</v>
      </c>
      <c r="I1894" s="4" t="s">
        <v>140</v>
      </c>
      <c r="J1894" s="4" t="s">
        <v>179</v>
      </c>
      <c r="K1894" s="4" t="s">
        <v>145</v>
      </c>
      <c r="L1894" s="4" t="s">
        <v>165</v>
      </c>
      <c r="M1894" s="4" t="s">
        <v>1468</v>
      </c>
      <c r="N1894" s="4" t="s">
        <v>158</v>
      </c>
      <c r="O1894" s="4" t="s">
        <v>123</v>
      </c>
      <c r="P1894" s="4"/>
    </row>
    <row r="1895" spans="1:16" ht="15">
      <c r="A1895" s="4" t="s">
        <v>2887</v>
      </c>
      <c r="B1895" s="30">
        <v>39925</v>
      </c>
      <c r="C1895" s="4" t="s">
        <v>9</v>
      </c>
      <c r="D1895" s="4" t="s">
        <v>4182</v>
      </c>
      <c r="E1895" s="4" t="s">
        <v>170</v>
      </c>
      <c r="F1895" s="4" t="s">
        <v>155</v>
      </c>
      <c r="G1895" s="4"/>
      <c r="H1895" s="4"/>
      <c r="I1895" s="4" t="s">
        <v>139</v>
      </c>
      <c r="J1895" s="4" t="s">
        <v>433</v>
      </c>
      <c r="K1895" s="4" t="s">
        <v>142</v>
      </c>
      <c r="L1895" s="4" t="s">
        <v>4176</v>
      </c>
      <c r="M1895" s="4" t="s">
        <v>176</v>
      </c>
      <c r="N1895" s="4" t="s">
        <v>159</v>
      </c>
      <c r="O1895" s="4" t="s">
        <v>126</v>
      </c>
      <c r="P1895" s="4" t="s">
        <v>601</v>
      </c>
    </row>
    <row r="1896" spans="1:16" ht="15">
      <c r="A1896" s="4" t="s">
        <v>2888</v>
      </c>
      <c r="B1896" s="30">
        <v>40022</v>
      </c>
      <c r="C1896" s="4"/>
      <c r="D1896" s="4" t="s">
        <v>193</v>
      </c>
      <c r="E1896" s="4" t="s">
        <v>170</v>
      </c>
      <c r="F1896" s="4" t="s">
        <v>155</v>
      </c>
      <c r="G1896" s="4">
        <v>5</v>
      </c>
      <c r="H1896" s="4">
        <v>5</v>
      </c>
      <c r="I1896" s="4" t="s">
        <v>140</v>
      </c>
      <c r="J1896" s="4" t="s">
        <v>191</v>
      </c>
      <c r="K1896" s="4" t="s">
        <v>144</v>
      </c>
      <c r="L1896" s="4" t="s">
        <v>162</v>
      </c>
      <c r="M1896" s="4" t="s">
        <v>1624</v>
      </c>
      <c r="N1896" s="4" t="s">
        <v>155</v>
      </c>
      <c r="O1896" s="4" t="s">
        <v>129</v>
      </c>
      <c r="P1896" s="4"/>
    </row>
    <row r="1897" spans="1:16" ht="15">
      <c r="A1897" s="4" t="s">
        <v>2889</v>
      </c>
      <c r="B1897" s="30">
        <v>39979</v>
      </c>
      <c r="C1897" s="4"/>
      <c r="D1897" s="4" t="s">
        <v>195</v>
      </c>
      <c r="E1897" s="4" t="s">
        <v>170</v>
      </c>
      <c r="F1897" s="4" t="s">
        <v>155</v>
      </c>
      <c r="G1897" s="4"/>
      <c r="H1897" s="4"/>
      <c r="I1897" s="4" t="s">
        <v>139</v>
      </c>
      <c r="J1897" s="4" t="s">
        <v>191</v>
      </c>
      <c r="K1897" s="4" t="s">
        <v>146</v>
      </c>
      <c r="L1897" s="4" t="s">
        <v>162</v>
      </c>
      <c r="M1897" s="4" t="s">
        <v>175</v>
      </c>
      <c r="N1897" s="4" t="s">
        <v>155</v>
      </c>
      <c r="O1897" s="4" t="s">
        <v>129</v>
      </c>
      <c r="P1897" s="4"/>
    </row>
    <row r="1898" spans="1:16" ht="15">
      <c r="A1898" s="4" t="s">
        <v>2890</v>
      </c>
      <c r="B1898" s="30">
        <v>39987</v>
      </c>
      <c r="C1898" s="4"/>
      <c r="D1898" s="4" t="s">
        <v>195</v>
      </c>
      <c r="E1898" s="4" t="s">
        <v>170</v>
      </c>
      <c r="F1898" s="4" t="s">
        <v>155</v>
      </c>
      <c r="G1898" s="4"/>
      <c r="H1898" s="4"/>
      <c r="I1898" s="4" t="s">
        <v>139</v>
      </c>
      <c r="J1898" s="4" t="s">
        <v>186</v>
      </c>
      <c r="K1898" s="4" t="s">
        <v>144</v>
      </c>
      <c r="L1898" s="4" t="s">
        <v>4181</v>
      </c>
      <c r="M1898" s="4" t="s">
        <v>173</v>
      </c>
      <c r="N1898" s="4" t="s">
        <v>788</v>
      </c>
      <c r="O1898" s="4" t="s">
        <v>789</v>
      </c>
      <c r="P1898" s="4"/>
    </row>
    <row r="1899" spans="1:16" ht="15">
      <c r="A1899" s="4" t="s">
        <v>2891</v>
      </c>
      <c r="B1899" s="30">
        <v>40037</v>
      </c>
      <c r="C1899" s="4"/>
      <c r="D1899" s="4" t="s">
        <v>193</v>
      </c>
      <c r="E1899" s="4" t="s">
        <v>170</v>
      </c>
      <c r="F1899" s="4" t="s">
        <v>155</v>
      </c>
      <c r="G1899" s="4">
        <v>1</v>
      </c>
      <c r="H1899" s="4">
        <v>4</v>
      </c>
      <c r="I1899" s="4" t="s">
        <v>140</v>
      </c>
      <c r="J1899" s="4" t="s">
        <v>191</v>
      </c>
      <c r="K1899" s="4" t="s">
        <v>150</v>
      </c>
      <c r="L1899" s="4" t="s">
        <v>4176</v>
      </c>
      <c r="M1899" s="4"/>
      <c r="N1899" s="4" t="s">
        <v>125</v>
      </c>
      <c r="O1899" s="4" t="s">
        <v>628</v>
      </c>
      <c r="P1899" s="4" t="s">
        <v>629</v>
      </c>
    </row>
    <row r="1900" spans="1:16" ht="15">
      <c r="A1900" s="4" t="s">
        <v>2892</v>
      </c>
      <c r="B1900" s="30">
        <v>40000</v>
      </c>
      <c r="C1900" s="4"/>
      <c r="D1900" s="4" t="s">
        <v>196</v>
      </c>
      <c r="E1900" s="4" t="s">
        <v>170</v>
      </c>
      <c r="F1900" s="4" t="s">
        <v>155</v>
      </c>
      <c r="G1900" s="4"/>
      <c r="H1900" s="4">
        <v>4</v>
      </c>
      <c r="I1900" s="4" t="s">
        <v>139</v>
      </c>
      <c r="J1900" s="4" t="s">
        <v>181</v>
      </c>
      <c r="K1900" s="4" t="s">
        <v>143</v>
      </c>
      <c r="L1900" s="4" t="s">
        <v>4176</v>
      </c>
      <c r="M1900" s="4" t="s">
        <v>1184</v>
      </c>
      <c r="N1900" s="4" t="s">
        <v>156</v>
      </c>
      <c r="O1900" s="4" t="s">
        <v>120</v>
      </c>
      <c r="P1900" s="4" t="s">
        <v>857</v>
      </c>
    </row>
    <row r="1901" spans="1:16" ht="15">
      <c r="A1901" s="4" t="s">
        <v>2893</v>
      </c>
      <c r="B1901" s="30">
        <v>40002</v>
      </c>
      <c r="C1901" s="4"/>
      <c r="D1901" s="4" t="s">
        <v>193</v>
      </c>
      <c r="E1901" s="4" t="s">
        <v>170</v>
      </c>
      <c r="F1901" s="4" t="s">
        <v>155</v>
      </c>
      <c r="G1901" s="4"/>
      <c r="H1901" s="4">
        <v>5</v>
      </c>
      <c r="I1901" s="4" t="s">
        <v>140</v>
      </c>
      <c r="J1901" s="4" t="s">
        <v>181</v>
      </c>
      <c r="K1901" s="4" t="s">
        <v>149</v>
      </c>
      <c r="L1901" s="4" t="s">
        <v>162</v>
      </c>
      <c r="M1901" s="4"/>
      <c r="N1901" s="4" t="s">
        <v>155</v>
      </c>
      <c r="O1901" s="4" t="s">
        <v>130</v>
      </c>
      <c r="P1901" s="4"/>
    </row>
    <row r="1902" spans="1:16" ht="15">
      <c r="A1902" s="4" t="s">
        <v>2894</v>
      </c>
      <c r="B1902" s="30">
        <v>40033</v>
      </c>
      <c r="C1902" s="4"/>
      <c r="D1902" s="4" t="s">
        <v>195</v>
      </c>
      <c r="E1902" s="4" t="s">
        <v>170</v>
      </c>
      <c r="F1902" s="4" t="s">
        <v>155</v>
      </c>
      <c r="G1902" s="4">
        <v>5</v>
      </c>
      <c r="H1902" s="4">
        <v>5</v>
      </c>
      <c r="I1902" s="4" t="s">
        <v>139</v>
      </c>
      <c r="J1902" s="4" t="s">
        <v>191</v>
      </c>
      <c r="K1902" s="4" t="s">
        <v>146</v>
      </c>
      <c r="L1902" s="4" t="s">
        <v>162</v>
      </c>
      <c r="M1902" s="4" t="s">
        <v>176</v>
      </c>
      <c r="N1902" s="4" t="s">
        <v>155</v>
      </c>
      <c r="O1902" s="4" t="s">
        <v>129</v>
      </c>
      <c r="P1902" s="4"/>
    </row>
    <row r="1903" spans="1:16" ht="15">
      <c r="A1903" s="4" t="s">
        <v>2895</v>
      </c>
      <c r="B1903" s="30">
        <v>40014</v>
      </c>
      <c r="C1903" s="4" t="s">
        <v>380</v>
      </c>
      <c r="D1903" s="4" t="s">
        <v>193</v>
      </c>
      <c r="E1903" s="4" t="s">
        <v>170</v>
      </c>
      <c r="F1903" s="4" t="s">
        <v>155</v>
      </c>
      <c r="G1903" s="4">
        <v>1</v>
      </c>
      <c r="H1903" s="4">
        <v>4</v>
      </c>
      <c r="I1903" s="4" t="s">
        <v>140</v>
      </c>
      <c r="J1903" s="4" t="s">
        <v>191</v>
      </c>
      <c r="K1903" s="4" t="s">
        <v>143</v>
      </c>
      <c r="L1903" s="4" t="s">
        <v>162</v>
      </c>
      <c r="M1903" s="4" t="s">
        <v>176</v>
      </c>
      <c r="N1903" s="4" t="s">
        <v>155</v>
      </c>
      <c r="O1903" s="4" t="s">
        <v>129</v>
      </c>
      <c r="P1903" s="4"/>
    </row>
    <row r="1904" spans="1:16" ht="15">
      <c r="A1904" s="4" t="s">
        <v>2896</v>
      </c>
      <c r="B1904" s="30">
        <v>39968</v>
      </c>
      <c r="C1904" s="4"/>
      <c r="D1904" s="4" t="s">
        <v>194</v>
      </c>
      <c r="E1904" s="4" t="s">
        <v>170</v>
      </c>
      <c r="F1904" s="4" t="s">
        <v>155</v>
      </c>
      <c r="G1904" s="4"/>
      <c r="H1904" s="4"/>
      <c r="I1904" s="4" t="s">
        <v>139</v>
      </c>
      <c r="J1904" s="4" t="s">
        <v>191</v>
      </c>
      <c r="K1904" s="4" t="s">
        <v>146</v>
      </c>
      <c r="L1904" s="4" t="s">
        <v>165</v>
      </c>
      <c r="M1904" s="4" t="s">
        <v>589</v>
      </c>
      <c r="N1904" s="4" t="s">
        <v>158</v>
      </c>
      <c r="O1904" s="4" t="s">
        <v>122</v>
      </c>
      <c r="P1904" s="4"/>
    </row>
    <row r="1905" spans="1:16" ht="15">
      <c r="A1905" s="4" t="s">
        <v>2897</v>
      </c>
      <c r="B1905" s="30">
        <v>40048</v>
      </c>
      <c r="C1905" s="4"/>
      <c r="D1905" s="4" t="s">
        <v>195</v>
      </c>
      <c r="E1905" s="4" t="s">
        <v>170</v>
      </c>
      <c r="F1905" s="4" t="s">
        <v>155</v>
      </c>
      <c r="G1905" s="4">
        <v>5</v>
      </c>
      <c r="H1905" s="4">
        <v>5</v>
      </c>
      <c r="I1905" s="4" t="s">
        <v>139</v>
      </c>
      <c r="J1905" s="4" t="s">
        <v>191</v>
      </c>
      <c r="K1905" s="4" t="s">
        <v>145</v>
      </c>
      <c r="L1905" s="4" t="s">
        <v>4176</v>
      </c>
      <c r="M1905" s="4"/>
      <c r="N1905" s="4" t="s">
        <v>160</v>
      </c>
      <c r="O1905" s="4" t="s">
        <v>484</v>
      </c>
      <c r="P1905" s="4" t="s">
        <v>2898</v>
      </c>
    </row>
    <row r="1906" spans="1:16" ht="15">
      <c r="A1906" s="4" t="s">
        <v>2899</v>
      </c>
      <c r="B1906" s="30">
        <v>40036</v>
      </c>
      <c r="C1906" s="4" t="s">
        <v>9</v>
      </c>
      <c r="D1906" s="4" t="s">
        <v>193</v>
      </c>
      <c r="E1906" s="4" t="s">
        <v>170</v>
      </c>
      <c r="F1906" s="4" t="s">
        <v>155</v>
      </c>
      <c r="G1906" s="4">
        <v>5</v>
      </c>
      <c r="H1906" s="4">
        <v>5</v>
      </c>
      <c r="I1906" s="4" t="s">
        <v>140</v>
      </c>
      <c r="J1906" s="4" t="s">
        <v>191</v>
      </c>
      <c r="K1906" s="4" t="s">
        <v>142</v>
      </c>
      <c r="L1906" s="4" t="s">
        <v>4176</v>
      </c>
      <c r="M1906" s="4" t="s">
        <v>2900</v>
      </c>
      <c r="N1906" s="4" t="s">
        <v>159</v>
      </c>
      <c r="O1906" s="4" t="s">
        <v>123</v>
      </c>
      <c r="P1906" s="4" t="s">
        <v>123</v>
      </c>
    </row>
    <row r="1907" spans="1:16" ht="15">
      <c r="A1907" s="4" t="s">
        <v>2901</v>
      </c>
      <c r="B1907" s="30">
        <v>40080</v>
      </c>
      <c r="C1907" s="4"/>
      <c r="D1907" s="4" t="s">
        <v>193</v>
      </c>
      <c r="E1907" s="4" t="s">
        <v>170</v>
      </c>
      <c r="F1907" s="4" t="s">
        <v>155</v>
      </c>
      <c r="G1907" s="4">
        <v>3</v>
      </c>
      <c r="H1907" s="4">
        <v>4</v>
      </c>
      <c r="I1907" s="4" t="s">
        <v>140</v>
      </c>
      <c r="J1907" s="4" t="s">
        <v>178</v>
      </c>
      <c r="K1907" s="4" t="s">
        <v>144</v>
      </c>
      <c r="L1907" s="4" t="s">
        <v>4176</v>
      </c>
      <c r="M1907" s="4" t="s">
        <v>174</v>
      </c>
      <c r="N1907" s="4" t="s">
        <v>160</v>
      </c>
      <c r="O1907" s="4" t="s">
        <v>392</v>
      </c>
      <c r="P1907" s="4" t="s">
        <v>393</v>
      </c>
    </row>
    <row r="1908" spans="1:16" ht="15">
      <c r="A1908" s="4" t="s">
        <v>2902</v>
      </c>
      <c r="B1908" s="30">
        <v>40021</v>
      </c>
      <c r="C1908" s="4"/>
      <c r="D1908" s="4" t="s">
        <v>193</v>
      </c>
      <c r="E1908" s="4" t="s">
        <v>170</v>
      </c>
      <c r="F1908" s="4" t="s">
        <v>155</v>
      </c>
      <c r="G1908" s="4">
        <v>4</v>
      </c>
      <c r="H1908" s="4">
        <v>5</v>
      </c>
      <c r="I1908" s="4" t="s">
        <v>140</v>
      </c>
      <c r="J1908" s="4" t="s">
        <v>178</v>
      </c>
      <c r="K1908" s="4" t="s">
        <v>146</v>
      </c>
      <c r="L1908" s="4" t="s">
        <v>4176</v>
      </c>
      <c r="M1908" s="4" t="s">
        <v>2903</v>
      </c>
      <c r="N1908" s="4" t="s">
        <v>159</v>
      </c>
      <c r="O1908" s="4" t="s">
        <v>123</v>
      </c>
      <c r="P1908" s="4" t="s">
        <v>123</v>
      </c>
    </row>
    <row r="1909" spans="1:16" ht="15">
      <c r="A1909" s="4" t="s">
        <v>2904</v>
      </c>
      <c r="B1909" s="30">
        <v>40078</v>
      </c>
      <c r="C1909" s="4"/>
      <c r="D1909" s="4" t="s">
        <v>193</v>
      </c>
      <c r="E1909" s="4" t="s">
        <v>170</v>
      </c>
      <c r="F1909" s="4" t="s">
        <v>155</v>
      </c>
      <c r="G1909" s="4">
        <v>5</v>
      </c>
      <c r="H1909" s="4">
        <v>5</v>
      </c>
      <c r="I1909" s="4" t="s">
        <v>140</v>
      </c>
      <c r="J1909" s="4" t="s">
        <v>191</v>
      </c>
      <c r="K1909" s="4" t="s">
        <v>142</v>
      </c>
      <c r="L1909" s="4" t="s">
        <v>162</v>
      </c>
      <c r="M1909" s="4" t="s">
        <v>175</v>
      </c>
      <c r="N1909" s="4" t="s">
        <v>155</v>
      </c>
      <c r="O1909" s="4" t="s">
        <v>129</v>
      </c>
      <c r="P1909" s="4"/>
    </row>
    <row r="1910" spans="1:16" ht="15">
      <c r="A1910" s="4" t="s">
        <v>2905</v>
      </c>
      <c r="B1910" s="30">
        <v>40029</v>
      </c>
      <c r="C1910" s="4"/>
      <c r="D1910" s="4" t="s">
        <v>196</v>
      </c>
      <c r="E1910" s="4" t="s">
        <v>170</v>
      </c>
      <c r="F1910" s="4" t="s">
        <v>155</v>
      </c>
      <c r="G1910" s="4">
        <v>5</v>
      </c>
      <c r="H1910" s="4">
        <v>5</v>
      </c>
      <c r="I1910" s="4" t="s">
        <v>139</v>
      </c>
      <c r="J1910" s="4" t="s">
        <v>186</v>
      </c>
      <c r="K1910" s="4" t="s">
        <v>142</v>
      </c>
      <c r="L1910" s="4" t="s">
        <v>4176</v>
      </c>
      <c r="M1910" s="4" t="s">
        <v>1218</v>
      </c>
      <c r="N1910" s="4" t="s">
        <v>156</v>
      </c>
      <c r="O1910" s="4" t="s">
        <v>120</v>
      </c>
      <c r="P1910" s="4" t="s">
        <v>741</v>
      </c>
    </row>
    <row r="1911" spans="1:16" ht="15">
      <c r="A1911" s="4" t="s">
        <v>2906</v>
      </c>
      <c r="B1911" s="30">
        <v>39967</v>
      </c>
      <c r="C1911" s="4" t="s">
        <v>383</v>
      </c>
      <c r="D1911" s="4" t="s">
        <v>195</v>
      </c>
      <c r="E1911" s="4" t="s">
        <v>170</v>
      </c>
      <c r="F1911" s="4" t="s">
        <v>155</v>
      </c>
      <c r="G1911" s="4"/>
      <c r="H1911" s="4"/>
      <c r="I1911" s="4" t="s">
        <v>139</v>
      </c>
      <c r="J1911" s="4" t="s">
        <v>181</v>
      </c>
      <c r="K1911" s="4" t="s">
        <v>144</v>
      </c>
      <c r="L1911" s="4" t="s">
        <v>4181</v>
      </c>
      <c r="M1911" s="4" t="s">
        <v>173</v>
      </c>
      <c r="N1911" s="4" t="s">
        <v>155</v>
      </c>
      <c r="O1911" s="4" t="s">
        <v>399</v>
      </c>
      <c r="P1911" s="4"/>
    </row>
    <row r="1912" spans="1:16" ht="15">
      <c r="A1912" s="4" t="s">
        <v>2907</v>
      </c>
      <c r="B1912" s="30">
        <v>40047</v>
      </c>
      <c r="C1912" s="4"/>
      <c r="D1912" s="4" t="s">
        <v>193</v>
      </c>
      <c r="E1912" s="4" t="s">
        <v>170</v>
      </c>
      <c r="F1912" s="4" t="s">
        <v>155</v>
      </c>
      <c r="G1912" s="4">
        <v>5</v>
      </c>
      <c r="H1912" s="4">
        <v>5</v>
      </c>
      <c r="I1912" s="4" t="s">
        <v>140</v>
      </c>
      <c r="J1912" s="4" t="s">
        <v>190</v>
      </c>
      <c r="K1912" s="4" t="s">
        <v>149</v>
      </c>
      <c r="L1912" s="4" t="s">
        <v>4181</v>
      </c>
      <c r="M1912" s="4"/>
      <c r="N1912" s="4" t="s">
        <v>155</v>
      </c>
      <c r="O1912" s="4" t="s">
        <v>127</v>
      </c>
      <c r="P1912" s="4"/>
    </row>
    <row r="1913" spans="1:16" ht="15">
      <c r="A1913" s="4" t="s">
        <v>2908</v>
      </c>
      <c r="B1913" s="30">
        <v>39982</v>
      </c>
      <c r="C1913" s="4" t="s">
        <v>9</v>
      </c>
      <c r="D1913" s="4" t="s">
        <v>196</v>
      </c>
      <c r="E1913" s="4" t="s">
        <v>170</v>
      </c>
      <c r="F1913" s="4" t="s">
        <v>155</v>
      </c>
      <c r="G1913" s="4"/>
      <c r="H1913" s="4"/>
      <c r="I1913" s="4" t="s">
        <v>139</v>
      </c>
      <c r="J1913" s="4" t="s">
        <v>187</v>
      </c>
      <c r="K1913" s="4" t="s">
        <v>146</v>
      </c>
      <c r="L1913" s="4" t="s">
        <v>162</v>
      </c>
      <c r="M1913" s="4" t="s">
        <v>175</v>
      </c>
      <c r="N1913" s="4" t="s">
        <v>155</v>
      </c>
      <c r="O1913" s="4" t="s">
        <v>129</v>
      </c>
      <c r="P1913" s="4"/>
    </row>
    <row r="1914" spans="1:16" ht="15">
      <c r="A1914" s="4" t="s">
        <v>2909</v>
      </c>
      <c r="B1914" s="30">
        <v>39965</v>
      </c>
      <c r="C1914" s="4"/>
      <c r="D1914" s="4" t="s">
        <v>195</v>
      </c>
      <c r="E1914" s="4" t="s">
        <v>170</v>
      </c>
      <c r="F1914" s="4" t="s">
        <v>155</v>
      </c>
      <c r="G1914" s="4"/>
      <c r="H1914" s="4"/>
      <c r="I1914" s="4" t="s">
        <v>139</v>
      </c>
      <c r="J1914" s="4" t="s">
        <v>184</v>
      </c>
      <c r="K1914" s="4" t="s">
        <v>143</v>
      </c>
      <c r="L1914" s="4" t="s">
        <v>162</v>
      </c>
      <c r="M1914" s="4" t="s">
        <v>176</v>
      </c>
      <c r="N1914" s="4" t="s">
        <v>155</v>
      </c>
      <c r="O1914" s="4" t="s">
        <v>129</v>
      </c>
      <c r="P1914" s="4"/>
    </row>
    <row r="1915" spans="1:16" ht="15">
      <c r="A1915" s="4" t="s">
        <v>2910</v>
      </c>
      <c r="B1915" s="30">
        <v>40007</v>
      </c>
      <c r="C1915" s="4"/>
      <c r="D1915" s="4" t="s">
        <v>193</v>
      </c>
      <c r="E1915" s="4" t="s">
        <v>170</v>
      </c>
      <c r="F1915" s="4" t="s">
        <v>155</v>
      </c>
      <c r="G1915" s="4">
        <v>5</v>
      </c>
      <c r="H1915" s="4">
        <v>5</v>
      </c>
      <c r="I1915" s="4" t="s">
        <v>140</v>
      </c>
      <c r="J1915" s="4" t="s">
        <v>181</v>
      </c>
      <c r="K1915" s="4" t="s">
        <v>149</v>
      </c>
      <c r="L1915" s="4" t="s">
        <v>4181</v>
      </c>
      <c r="M1915" s="4" t="s">
        <v>1574</v>
      </c>
      <c r="N1915" s="4" t="s">
        <v>155</v>
      </c>
      <c r="O1915" s="4" t="s">
        <v>127</v>
      </c>
      <c r="P1915" s="4"/>
    </row>
    <row r="1916" spans="1:16" ht="15">
      <c r="A1916" s="4" t="s">
        <v>2911</v>
      </c>
      <c r="B1916" s="30">
        <v>40074</v>
      </c>
      <c r="C1916" s="4"/>
      <c r="D1916" s="4" t="s">
        <v>196</v>
      </c>
      <c r="E1916" s="4" t="s">
        <v>170</v>
      </c>
      <c r="F1916" s="4" t="s">
        <v>155</v>
      </c>
      <c r="G1916" s="4">
        <v>5</v>
      </c>
      <c r="H1916" s="4">
        <v>5</v>
      </c>
      <c r="I1916" s="4" t="s">
        <v>139</v>
      </c>
      <c r="J1916" s="4" t="s">
        <v>190</v>
      </c>
      <c r="K1916" s="4" t="s">
        <v>143</v>
      </c>
      <c r="L1916" s="4" t="s">
        <v>4176</v>
      </c>
      <c r="M1916" s="4" t="s">
        <v>498</v>
      </c>
      <c r="N1916" s="4" t="s">
        <v>156</v>
      </c>
      <c r="O1916" s="4" t="s">
        <v>120</v>
      </c>
      <c r="P1916" s="4" t="s">
        <v>676</v>
      </c>
    </row>
    <row r="1917" spans="1:16" ht="15">
      <c r="A1917" s="4" t="s">
        <v>2912</v>
      </c>
      <c r="B1917" s="30">
        <v>39958</v>
      </c>
      <c r="C1917" s="4"/>
      <c r="D1917" s="4" t="s">
        <v>193</v>
      </c>
      <c r="E1917" s="4" t="s">
        <v>170</v>
      </c>
      <c r="F1917" s="4" t="s">
        <v>155</v>
      </c>
      <c r="G1917" s="4"/>
      <c r="H1917" s="4"/>
      <c r="I1917" s="4" t="s">
        <v>140</v>
      </c>
      <c r="J1917" s="4" t="s">
        <v>181</v>
      </c>
      <c r="K1917" s="4" t="s">
        <v>142</v>
      </c>
      <c r="L1917" s="4" t="s">
        <v>4181</v>
      </c>
      <c r="M1917" s="4" t="s">
        <v>1574</v>
      </c>
      <c r="N1917" s="4" t="s">
        <v>155</v>
      </c>
      <c r="O1917" s="4" t="s">
        <v>2742</v>
      </c>
      <c r="P1917" s="4"/>
    </row>
    <row r="1918" spans="1:16" ht="15">
      <c r="A1918" s="4" t="s">
        <v>2913</v>
      </c>
      <c r="B1918" s="30">
        <v>39929</v>
      </c>
      <c r="C1918" s="4"/>
      <c r="D1918" s="4" t="s">
        <v>4184</v>
      </c>
      <c r="E1918" s="4" t="s">
        <v>170</v>
      </c>
      <c r="F1918" s="4" t="s">
        <v>155</v>
      </c>
      <c r="G1918" s="4"/>
      <c r="H1918" s="4"/>
      <c r="I1918" s="4" t="s">
        <v>140</v>
      </c>
      <c r="J1918" s="4" t="s">
        <v>190</v>
      </c>
      <c r="K1918" s="4" t="s">
        <v>147</v>
      </c>
      <c r="L1918" s="4" t="s">
        <v>162</v>
      </c>
      <c r="M1918" s="4"/>
      <c r="N1918" s="4" t="s">
        <v>155</v>
      </c>
      <c r="O1918" s="4" t="s">
        <v>130</v>
      </c>
      <c r="P1918" s="4"/>
    </row>
    <row r="1919" spans="1:16" ht="15">
      <c r="A1919" s="4" t="s">
        <v>2914</v>
      </c>
      <c r="B1919" s="30">
        <v>39976</v>
      </c>
      <c r="C1919" s="4"/>
      <c r="D1919" s="4" t="s">
        <v>195</v>
      </c>
      <c r="E1919" s="4" t="s">
        <v>170</v>
      </c>
      <c r="F1919" s="4" t="s">
        <v>155</v>
      </c>
      <c r="G1919" s="4"/>
      <c r="H1919" s="4"/>
      <c r="I1919" s="4" t="s">
        <v>139</v>
      </c>
      <c r="J1919" s="4" t="s">
        <v>181</v>
      </c>
      <c r="K1919" s="4" t="s">
        <v>144</v>
      </c>
      <c r="L1919" s="4" t="s">
        <v>4176</v>
      </c>
      <c r="M1919" s="4" t="s">
        <v>498</v>
      </c>
      <c r="N1919" s="4" t="s">
        <v>159</v>
      </c>
      <c r="O1919" s="4" t="s">
        <v>123</v>
      </c>
      <c r="P1919" s="4" t="s">
        <v>123</v>
      </c>
    </row>
    <row r="1920" spans="1:16" ht="15">
      <c r="A1920" s="4" t="s">
        <v>2915</v>
      </c>
      <c r="B1920" s="30">
        <v>39906</v>
      </c>
      <c r="C1920" s="4"/>
      <c r="D1920" s="4" t="s">
        <v>4179</v>
      </c>
      <c r="E1920" s="4" t="s">
        <v>170</v>
      </c>
      <c r="F1920" s="4" t="s">
        <v>155</v>
      </c>
      <c r="G1920" s="4"/>
      <c r="H1920" s="4"/>
      <c r="I1920" s="4" t="s">
        <v>139</v>
      </c>
      <c r="J1920" s="4" t="s">
        <v>187</v>
      </c>
      <c r="K1920" s="4" t="s">
        <v>142</v>
      </c>
      <c r="L1920" s="4" t="s">
        <v>4181</v>
      </c>
      <c r="M1920" s="4" t="s">
        <v>2916</v>
      </c>
      <c r="N1920" s="4" t="s">
        <v>155</v>
      </c>
      <c r="O1920" s="4" t="s">
        <v>439</v>
      </c>
      <c r="P1920" s="4"/>
    </row>
    <row r="1921" spans="1:16" ht="15">
      <c r="A1921" s="4" t="s">
        <v>2917</v>
      </c>
      <c r="B1921" s="30">
        <v>40080</v>
      </c>
      <c r="C1921" s="4"/>
      <c r="D1921" s="4" t="s">
        <v>193</v>
      </c>
      <c r="E1921" s="4" t="s">
        <v>170</v>
      </c>
      <c r="F1921" s="4" t="s">
        <v>155</v>
      </c>
      <c r="G1921" s="4">
        <v>5</v>
      </c>
      <c r="H1921" s="4">
        <v>5</v>
      </c>
      <c r="I1921" s="4" t="s">
        <v>140</v>
      </c>
      <c r="J1921" s="4" t="s">
        <v>179</v>
      </c>
      <c r="K1921" s="4" t="s">
        <v>142</v>
      </c>
      <c r="L1921" s="4" t="s">
        <v>162</v>
      </c>
      <c r="M1921" s="4"/>
      <c r="N1921" s="4" t="s">
        <v>155</v>
      </c>
      <c r="O1921" s="4" t="s">
        <v>454</v>
      </c>
      <c r="P1921" s="4"/>
    </row>
    <row r="1922" spans="1:16" ht="15">
      <c r="A1922" s="4" t="s">
        <v>2918</v>
      </c>
      <c r="B1922" s="30">
        <v>39925</v>
      </c>
      <c r="C1922" s="4"/>
      <c r="D1922" s="4" t="s">
        <v>4182</v>
      </c>
      <c r="E1922" s="4" t="s">
        <v>170</v>
      </c>
      <c r="F1922" s="4" t="s">
        <v>155</v>
      </c>
      <c r="G1922" s="4"/>
      <c r="H1922" s="4"/>
      <c r="I1922" s="4" t="s">
        <v>139</v>
      </c>
      <c r="J1922" s="4" t="s">
        <v>179</v>
      </c>
      <c r="K1922" s="4" t="s">
        <v>142</v>
      </c>
      <c r="L1922" s="4" t="s">
        <v>4176</v>
      </c>
      <c r="M1922" s="4" t="s">
        <v>174</v>
      </c>
      <c r="N1922" s="4" t="s">
        <v>156</v>
      </c>
      <c r="O1922" s="4" t="s">
        <v>120</v>
      </c>
      <c r="P1922" s="4" t="s">
        <v>1508</v>
      </c>
    </row>
    <row r="1923" spans="1:16" ht="15">
      <c r="A1923" s="4" t="s">
        <v>2919</v>
      </c>
      <c r="B1923" s="30">
        <v>39960</v>
      </c>
      <c r="C1923" s="4"/>
      <c r="D1923" s="4" t="s">
        <v>193</v>
      </c>
      <c r="E1923" s="4" t="s">
        <v>170</v>
      </c>
      <c r="F1923" s="4" t="s">
        <v>155</v>
      </c>
      <c r="G1923" s="4"/>
      <c r="H1923" s="4"/>
      <c r="I1923" s="4" t="s">
        <v>140</v>
      </c>
      <c r="J1923" s="4" t="s">
        <v>179</v>
      </c>
      <c r="K1923" s="4" t="s">
        <v>149</v>
      </c>
      <c r="L1923" s="4" t="s">
        <v>162</v>
      </c>
      <c r="M1923" s="4" t="s">
        <v>567</v>
      </c>
      <c r="N1923" s="4" t="s">
        <v>155</v>
      </c>
      <c r="O1923" s="4" t="s">
        <v>130</v>
      </c>
      <c r="P1923" s="4"/>
    </row>
    <row r="1924" spans="1:16" ht="15">
      <c r="A1924" s="4" t="s">
        <v>2920</v>
      </c>
      <c r="B1924" s="30">
        <v>40001</v>
      </c>
      <c r="C1924" s="4"/>
      <c r="D1924" s="4" t="s">
        <v>193</v>
      </c>
      <c r="E1924" s="4" t="s">
        <v>170</v>
      </c>
      <c r="F1924" s="4" t="s">
        <v>155</v>
      </c>
      <c r="G1924" s="4"/>
      <c r="H1924" s="4">
        <v>3</v>
      </c>
      <c r="I1924" s="4" t="s">
        <v>140</v>
      </c>
      <c r="J1924" s="4" t="s">
        <v>190</v>
      </c>
      <c r="K1924" s="4" t="s">
        <v>142</v>
      </c>
      <c r="L1924" s="4" t="s">
        <v>4176</v>
      </c>
      <c r="M1924" s="4" t="s">
        <v>768</v>
      </c>
      <c r="N1924" s="4" t="s">
        <v>159</v>
      </c>
      <c r="O1924" s="4" t="s">
        <v>123</v>
      </c>
      <c r="P1924" s="4" t="s">
        <v>123</v>
      </c>
    </row>
    <row r="1925" spans="1:16" ht="15">
      <c r="A1925" s="4" t="s">
        <v>2921</v>
      </c>
      <c r="B1925" s="30">
        <v>39915</v>
      </c>
      <c r="C1925" s="4"/>
      <c r="D1925" s="4" t="s">
        <v>4177</v>
      </c>
      <c r="E1925" s="4" t="s">
        <v>170</v>
      </c>
      <c r="F1925" s="4" t="s">
        <v>155</v>
      </c>
      <c r="G1925" s="4"/>
      <c r="H1925" s="4"/>
      <c r="I1925" s="4" t="s">
        <v>139</v>
      </c>
      <c r="J1925" s="4" t="s">
        <v>190</v>
      </c>
      <c r="K1925" s="4" t="s">
        <v>147</v>
      </c>
      <c r="L1925" s="4" t="s">
        <v>4176</v>
      </c>
      <c r="M1925" s="4" t="s">
        <v>174</v>
      </c>
      <c r="N1925" s="4" t="s">
        <v>156</v>
      </c>
      <c r="O1925" s="4" t="s">
        <v>120</v>
      </c>
      <c r="P1925" s="4" t="s">
        <v>2922</v>
      </c>
    </row>
    <row r="1926" spans="1:16" ht="15">
      <c r="A1926" s="4" t="s">
        <v>2923</v>
      </c>
      <c r="B1926" s="30">
        <v>40068</v>
      </c>
      <c r="C1926" s="4"/>
      <c r="D1926" s="4" t="s">
        <v>193</v>
      </c>
      <c r="E1926" s="4" t="s">
        <v>170</v>
      </c>
      <c r="F1926" s="4" t="s">
        <v>155</v>
      </c>
      <c r="G1926" s="4">
        <v>5</v>
      </c>
      <c r="H1926" s="4">
        <v>3</v>
      </c>
      <c r="I1926" s="4" t="s">
        <v>140</v>
      </c>
      <c r="J1926" s="4" t="s">
        <v>190</v>
      </c>
      <c r="K1926" s="4" t="s">
        <v>143</v>
      </c>
      <c r="L1926" s="4" t="s">
        <v>4181</v>
      </c>
      <c r="M1926" s="4" t="s">
        <v>2924</v>
      </c>
      <c r="N1926" s="4" t="s">
        <v>155</v>
      </c>
      <c r="O1926" s="4" t="s">
        <v>128</v>
      </c>
      <c r="P1926" s="4"/>
    </row>
    <row r="1927" spans="1:16" ht="15">
      <c r="A1927" s="4" t="s">
        <v>2925</v>
      </c>
      <c r="B1927" s="30">
        <v>39937</v>
      </c>
      <c r="C1927" s="4"/>
      <c r="D1927" s="4" t="s">
        <v>4184</v>
      </c>
      <c r="E1927" s="4" t="s">
        <v>170</v>
      </c>
      <c r="F1927" s="4" t="s">
        <v>155</v>
      </c>
      <c r="G1927" s="4"/>
      <c r="H1927" s="4"/>
      <c r="I1927" s="4" t="s">
        <v>140</v>
      </c>
      <c r="J1927" s="4" t="s">
        <v>190</v>
      </c>
      <c r="K1927" s="4" t="s">
        <v>150</v>
      </c>
      <c r="L1927" s="4" t="s">
        <v>4181</v>
      </c>
      <c r="M1927" s="4" t="s">
        <v>173</v>
      </c>
      <c r="N1927" s="4" t="s">
        <v>155</v>
      </c>
      <c r="O1927" s="4" t="s">
        <v>1075</v>
      </c>
      <c r="P1927" s="4"/>
    </row>
    <row r="1928" spans="1:16" ht="15">
      <c r="A1928" s="4" t="s">
        <v>2926</v>
      </c>
      <c r="B1928" s="30">
        <v>39961</v>
      </c>
      <c r="C1928" s="4"/>
      <c r="D1928" s="4" t="s">
        <v>193</v>
      </c>
      <c r="E1928" s="4" t="s">
        <v>170</v>
      </c>
      <c r="F1928" s="4" t="s">
        <v>155</v>
      </c>
      <c r="G1928" s="4"/>
      <c r="H1928" s="4"/>
      <c r="I1928" s="4" t="s">
        <v>140</v>
      </c>
      <c r="J1928" s="4" t="s">
        <v>179</v>
      </c>
      <c r="K1928" s="4" t="s">
        <v>143</v>
      </c>
      <c r="L1928" s="4" t="s">
        <v>162</v>
      </c>
      <c r="M1928" s="4"/>
      <c r="N1928" s="4" t="s">
        <v>155</v>
      </c>
      <c r="O1928" s="4" t="s">
        <v>130</v>
      </c>
      <c r="P1928" s="4"/>
    </row>
    <row r="1929" spans="1:16" ht="15">
      <c r="A1929" s="4" t="s">
        <v>2927</v>
      </c>
      <c r="B1929" s="30">
        <v>40056</v>
      </c>
      <c r="C1929" s="4"/>
      <c r="D1929" s="4" t="s">
        <v>193</v>
      </c>
      <c r="E1929" s="4" t="s">
        <v>170</v>
      </c>
      <c r="F1929" s="4" t="s">
        <v>155</v>
      </c>
      <c r="G1929" s="4">
        <v>5</v>
      </c>
      <c r="H1929" s="4">
        <v>5</v>
      </c>
      <c r="I1929" s="4" t="s">
        <v>140</v>
      </c>
      <c r="J1929" s="4" t="s">
        <v>179</v>
      </c>
      <c r="K1929" s="4" t="s">
        <v>145</v>
      </c>
      <c r="L1929" s="4" t="s">
        <v>4181</v>
      </c>
      <c r="M1929" s="4" t="s">
        <v>173</v>
      </c>
      <c r="N1929" s="4" t="s">
        <v>155</v>
      </c>
      <c r="O1929" s="4" t="s">
        <v>406</v>
      </c>
      <c r="P1929" s="4"/>
    </row>
    <row r="1930" spans="1:16" ht="15">
      <c r="A1930" s="4" t="s">
        <v>2928</v>
      </c>
      <c r="B1930" s="30">
        <v>39982</v>
      </c>
      <c r="C1930" s="4"/>
      <c r="D1930" s="4" t="s">
        <v>193</v>
      </c>
      <c r="E1930" s="4" t="s">
        <v>170</v>
      </c>
      <c r="F1930" s="4" t="s">
        <v>155</v>
      </c>
      <c r="G1930" s="4"/>
      <c r="H1930" s="4"/>
      <c r="I1930" s="4" t="s">
        <v>140</v>
      </c>
      <c r="J1930" s="4" t="s">
        <v>179</v>
      </c>
      <c r="K1930" s="4" t="s">
        <v>148</v>
      </c>
      <c r="L1930" s="4" t="s">
        <v>4176</v>
      </c>
      <c r="M1930" s="4" t="s">
        <v>550</v>
      </c>
      <c r="N1930" s="4" t="s">
        <v>156</v>
      </c>
      <c r="O1930" s="4" t="s">
        <v>120</v>
      </c>
      <c r="P1930" s="4" t="s">
        <v>470</v>
      </c>
    </row>
    <row r="1931" spans="1:16" ht="15">
      <c r="A1931" s="4" t="s">
        <v>2929</v>
      </c>
      <c r="B1931" s="30">
        <v>40036</v>
      </c>
      <c r="C1931" s="4"/>
      <c r="D1931" s="4" t="s">
        <v>193</v>
      </c>
      <c r="E1931" s="4" t="s">
        <v>170</v>
      </c>
      <c r="F1931" s="4" t="s">
        <v>155</v>
      </c>
      <c r="G1931" s="4">
        <v>5</v>
      </c>
      <c r="H1931" s="4">
        <v>5</v>
      </c>
      <c r="I1931" s="4" t="s">
        <v>140</v>
      </c>
      <c r="J1931" s="4" t="s">
        <v>179</v>
      </c>
      <c r="K1931" s="4" t="s">
        <v>142</v>
      </c>
      <c r="L1931" s="4" t="s">
        <v>162</v>
      </c>
      <c r="M1931" s="4" t="s">
        <v>176</v>
      </c>
      <c r="N1931" s="4" t="s">
        <v>155</v>
      </c>
      <c r="O1931" s="4" t="s">
        <v>129</v>
      </c>
      <c r="P1931" s="4"/>
    </row>
    <row r="1932" spans="1:16" ht="15">
      <c r="A1932" s="4" t="s">
        <v>2930</v>
      </c>
      <c r="B1932" s="30">
        <v>40083</v>
      </c>
      <c r="C1932" s="4"/>
      <c r="D1932" s="4" t="s">
        <v>195</v>
      </c>
      <c r="E1932" s="4" t="s">
        <v>170</v>
      </c>
      <c r="F1932" s="4" t="s">
        <v>155</v>
      </c>
      <c r="G1932" s="4">
        <v>5</v>
      </c>
      <c r="H1932" s="4">
        <v>5</v>
      </c>
      <c r="I1932" s="4" t="s">
        <v>139</v>
      </c>
      <c r="J1932" s="4" t="s">
        <v>509</v>
      </c>
      <c r="K1932" s="4" t="s">
        <v>144</v>
      </c>
      <c r="L1932" s="4" t="s">
        <v>162</v>
      </c>
      <c r="M1932" s="4" t="s">
        <v>175</v>
      </c>
      <c r="N1932" s="4" t="s">
        <v>155</v>
      </c>
      <c r="O1932" s="4" t="s">
        <v>129</v>
      </c>
      <c r="P1932" s="4"/>
    </row>
    <row r="1933" spans="1:16" ht="15">
      <c r="A1933" s="4" t="s">
        <v>2931</v>
      </c>
      <c r="B1933" s="30">
        <v>39979</v>
      </c>
      <c r="C1933" s="4"/>
      <c r="D1933" s="4" t="s">
        <v>193</v>
      </c>
      <c r="E1933" s="4" t="s">
        <v>170</v>
      </c>
      <c r="F1933" s="4" t="s">
        <v>155</v>
      </c>
      <c r="G1933" s="4"/>
      <c r="H1933" s="4"/>
      <c r="I1933" s="4" t="s">
        <v>140</v>
      </c>
      <c r="J1933" s="4" t="s">
        <v>179</v>
      </c>
      <c r="K1933" s="4" t="s">
        <v>143</v>
      </c>
      <c r="L1933" s="4" t="s">
        <v>162</v>
      </c>
      <c r="M1933" s="4" t="s">
        <v>175</v>
      </c>
      <c r="N1933" s="4" t="s">
        <v>155</v>
      </c>
      <c r="O1933" s="4" t="s">
        <v>130</v>
      </c>
      <c r="P1933" s="4"/>
    </row>
    <row r="1934" spans="1:16" ht="15">
      <c r="A1934" s="4" t="s">
        <v>2932</v>
      </c>
      <c r="B1934" s="30">
        <v>40042</v>
      </c>
      <c r="C1934" s="4" t="s">
        <v>525</v>
      </c>
      <c r="D1934" s="4" t="s">
        <v>196</v>
      </c>
      <c r="E1934" s="4" t="s">
        <v>170</v>
      </c>
      <c r="F1934" s="4" t="s">
        <v>155</v>
      </c>
      <c r="G1934" s="4">
        <v>3</v>
      </c>
      <c r="H1934" s="4">
        <v>4</v>
      </c>
      <c r="I1934" s="4" t="s">
        <v>139</v>
      </c>
      <c r="J1934" s="4" t="s">
        <v>190</v>
      </c>
      <c r="K1934" s="4" t="s">
        <v>148</v>
      </c>
      <c r="L1934" s="4" t="s">
        <v>4181</v>
      </c>
      <c r="M1934" s="4" t="s">
        <v>482</v>
      </c>
      <c r="N1934" s="4" t="s">
        <v>155</v>
      </c>
      <c r="O1934" s="4" t="s">
        <v>387</v>
      </c>
      <c r="P1934" s="4"/>
    </row>
    <row r="1935" spans="1:16" ht="15">
      <c r="A1935" s="4" t="s">
        <v>2933</v>
      </c>
      <c r="B1935" s="30">
        <v>39927</v>
      </c>
      <c r="C1935" s="4"/>
      <c r="D1935" s="4" t="s">
        <v>4183</v>
      </c>
      <c r="E1935" s="4" t="s">
        <v>170</v>
      </c>
      <c r="F1935" s="4" t="s">
        <v>155</v>
      </c>
      <c r="G1935" s="4"/>
      <c r="H1935" s="4"/>
      <c r="I1935" s="4" t="s">
        <v>140</v>
      </c>
      <c r="J1935" s="4" t="s">
        <v>190</v>
      </c>
      <c r="K1935" s="4" t="s">
        <v>145</v>
      </c>
      <c r="L1935" s="4" t="s">
        <v>162</v>
      </c>
      <c r="M1935" s="4" t="s">
        <v>175</v>
      </c>
      <c r="N1935" s="4" t="s">
        <v>155</v>
      </c>
      <c r="O1935" s="4" t="s">
        <v>129</v>
      </c>
      <c r="P1935" s="4"/>
    </row>
    <row r="1936" spans="1:16" ht="15">
      <c r="A1936" s="4" t="s">
        <v>2934</v>
      </c>
      <c r="B1936" s="30">
        <v>40000</v>
      </c>
      <c r="C1936" s="4"/>
      <c r="D1936" s="4" t="s">
        <v>193</v>
      </c>
      <c r="E1936" s="4" t="s">
        <v>170</v>
      </c>
      <c r="F1936" s="4" t="s">
        <v>155</v>
      </c>
      <c r="G1936" s="4"/>
      <c r="H1936" s="4">
        <v>3</v>
      </c>
      <c r="I1936" s="4" t="s">
        <v>140</v>
      </c>
      <c r="J1936" s="4" t="s">
        <v>509</v>
      </c>
      <c r="K1936" s="4" t="s">
        <v>148</v>
      </c>
      <c r="L1936" s="4" t="s">
        <v>162</v>
      </c>
      <c r="M1936" s="4" t="s">
        <v>175</v>
      </c>
      <c r="N1936" s="4" t="s">
        <v>155</v>
      </c>
      <c r="O1936" s="4" t="s">
        <v>130</v>
      </c>
      <c r="P1936" s="4"/>
    </row>
    <row r="1937" spans="1:16" ht="15">
      <c r="A1937" s="4" t="s">
        <v>2935</v>
      </c>
      <c r="B1937" s="30">
        <v>39991</v>
      </c>
      <c r="C1937" s="4"/>
      <c r="D1937" s="4" t="s">
        <v>193</v>
      </c>
      <c r="E1937" s="4" t="s">
        <v>170</v>
      </c>
      <c r="F1937" s="4" t="s">
        <v>155</v>
      </c>
      <c r="G1937" s="4"/>
      <c r="H1937" s="4">
        <v>2</v>
      </c>
      <c r="I1937" s="4" t="s">
        <v>140</v>
      </c>
      <c r="J1937" s="4" t="s">
        <v>509</v>
      </c>
      <c r="K1937" s="4" t="s">
        <v>145</v>
      </c>
      <c r="L1937" s="4" t="s">
        <v>162</v>
      </c>
      <c r="M1937" s="4" t="s">
        <v>459</v>
      </c>
      <c r="N1937" s="4" t="s">
        <v>155</v>
      </c>
      <c r="O1937" s="4" t="s">
        <v>129</v>
      </c>
      <c r="P1937" s="4"/>
    </row>
    <row r="1938" spans="1:16" ht="15">
      <c r="A1938" s="4" t="s">
        <v>2936</v>
      </c>
      <c r="B1938" s="30">
        <v>40062</v>
      </c>
      <c r="C1938" s="4"/>
      <c r="D1938" s="4" t="s">
        <v>195</v>
      </c>
      <c r="E1938" s="4" t="s">
        <v>170</v>
      </c>
      <c r="F1938" s="4" t="s">
        <v>155</v>
      </c>
      <c r="G1938" s="4">
        <v>5</v>
      </c>
      <c r="H1938" s="4">
        <v>5</v>
      </c>
      <c r="I1938" s="4" t="s">
        <v>139</v>
      </c>
      <c r="J1938" s="4" t="s">
        <v>509</v>
      </c>
      <c r="K1938" s="4" t="s">
        <v>144</v>
      </c>
      <c r="L1938" s="4" t="s">
        <v>162</v>
      </c>
      <c r="M1938" s="4" t="s">
        <v>175</v>
      </c>
      <c r="N1938" s="4" t="s">
        <v>155</v>
      </c>
      <c r="O1938" s="4" t="s">
        <v>484</v>
      </c>
      <c r="P1938" s="4"/>
    </row>
    <row r="1939" spans="1:16" ht="15">
      <c r="A1939" s="4" t="s">
        <v>2937</v>
      </c>
      <c r="B1939" s="30">
        <v>39963</v>
      </c>
      <c r="C1939" s="4"/>
      <c r="D1939" s="4" t="s">
        <v>193</v>
      </c>
      <c r="E1939" s="4" t="s">
        <v>170</v>
      </c>
      <c r="F1939" s="4" t="s">
        <v>155</v>
      </c>
      <c r="G1939" s="4"/>
      <c r="H1939" s="4"/>
      <c r="I1939" s="4" t="s">
        <v>140</v>
      </c>
      <c r="J1939" s="4" t="s">
        <v>190</v>
      </c>
      <c r="K1939" s="4" t="s">
        <v>145</v>
      </c>
      <c r="L1939" s="4" t="s">
        <v>4176</v>
      </c>
      <c r="M1939" s="4" t="s">
        <v>174</v>
      </c>
      <c r="N1939" s="4" t="s">
        <v>156</v>
      </c>
      <c r="O1939" s="4" t="s">
        <v>120</v>
      </c>
      <c r="P1939" s="4" t="s">
        <v>769</v>
      </c>
    </row>
    <row r="1940" spans="1:16" ht="15">
      <c r="A1940" s="4" t="s">
        <v>2938</v>
      </c>
      <c r="B1940" s="30">
        <v>39911</v>
      </c>
      <c r="C1940" s="4"/>
      <c r="D1940" s="4" t="s">
        <v>4183</v>
      </c>
      <c r="E1940" s="4" t="s">
        <v>170</v>
      </c>
      <c r="F1940" s="4" t="s">
        <v>155</v>
      </c>
      <c r="G1940" s="4"/>
      <c r="H1940" s="4"/>
      <c r="I1940" s="4" t="s">
        <v>140</v>
      </c>
      <c r="J1940" s="4" t="s">
        <v>190</v>
      </c>
      <c r="K1940" s="4" t="s">
        <v>142</v>
      </c>
      <c r="L1940" s="4" t="s">
        <v>4181</v>
      </c>
      <c r="M1940" s="4" t="s">
        <v>173</v>
      </c>
      <c r="N1940" s="4" t="s">
        <v>161</v>
      </c>
      <c r="O1940" s="4" t="s">
        <v>420</v>
      </c>
      <c r="P1940" s="4"/>
    </row>
    <row r="1941" spans="1:16" ht="15">
      <c r="A1941" s="4" t="s">
        <v>2939</v>
      </c>
      <c r="B1941" s="30">
        <v>40058</v>
      </c>
      <c r="C1941" s="4"/>
      <c r="D1941" s="4" t="s">
        <v>544</v>
      </c>
      <c r="E1941" s="4" t="s">
        <v>170</v>
      </c>
      <c r="F1941" s="4" t="s">
        <v>155</v>
      </c>
      <c r="G1941" s="4">
        <v>5</v>
      </c>
      <c r="H1941" s="4">
        <v>5</v>
      </c>
      <c r="I1941" s="4" t="s">
        <v>139</v>
      </c>
      <c r="J1941" s="4" t="s">
        <v>190</v>
      </c>
      <c r="K1941" s="4" t="s">
        <v>144</v>
      </c>
      <c r="L1941" s="4" t="s">
        <v>162</v>
      </c>
      <c r="M1941" s="4"/>
      <c r="N1941" s="4" t="s">
        <v>155</v>
      </c>
      <c r="O1941" s="4" t="s">
        <v>127</v>
      </c>
      <c r="P1941" s="4"/>
    </row>
    <row r="1942" spans="1:16" ht="15">
      <c r="A1942" s="4" t="s">
        <v>2940</v>
      </c>
      <c r="B1942" s="30">
        <v>39939</v>
      </c>
      <c r="C1942" s="4"/>
      <c r="D1942" s="4" t="s">
        <v>4180</v>
      </c>
      <c r="E1942" s="4" t="s">
        <v>170</v>
      </c>
      <c r="F1942" s="4" t="s">
        <v>155</v>
      </c>
      <c r="G1942" s="4"/>
      <c r="H1942" s="4"/>
      <c r="I1942" s="4" t="s">
        <v>139</v>
      </c>
      <c r="J1942" s="4" t="s">
        <v>190</v>
      </c>
      <c r="K1942" s="4" t="s">
        <v>145</v>
      </c>
      <c r="L1942" s="4" t="s">
        <v>4176</v>
      </c>
      <c r="M1942" s="4" t="s">
        <v>174</v>
      </c>
      <c r="N1942" s="4" t="s">
        <v>157</v>
      </c>
      <c r="O1942" s="4" t="s">
        <v>127</v>
      </c>
      <c r="P1942" s="4" t="s">
        <v>153</v>
      </c>
    </row>
    <row r="1943" spans="1:16" ht="15">
      <c r="A1943" s="4" t="s">
        <v>2941</v>
      </c>
      <c r="B1943" s="30">
        <v>39963</v>
      </c>
      <c r="C1943" s="4"/>
      <c r="D1943" s="4" t="s">
        <v>193</v>
      </c>
      <c r="E1943" s="4" t="s">
        <v>170</v>
      </c>
      <c r="F1943" s="4" t="s">
        <v>155</v>
      </c>
      <c r="G1943" s="4"/>
      <c r="H1943" s="4"/>
      <c r="I1943" s="4" t="s">
        <v>140</v>
      </c>
      <c r="J1943" s="4" t="s">
        <v>534</v>
      </c>
      <c r="K1943" s="4" t="s">
        <v>145</v>
      </c>
      <c r="L1943" s="4" t="s">
        <v>4181</v>
      </c>
      <c r="M1943" s="4" t="s">
        <v>173</v>
      </c>
      <c r="N1943" s="4" t="s">
        <v>155</v>
      </c>
      <c r="O1943" s="4" t="s">
        <v>406</v>
      </c>
      <c r="P1943" s="4"/>
    </row>
    <row r="1944" spans="1:16" ht="15">
      <c r="A1944" s="4" t="s">
        <v>2942</v>
      </c>
      <c r="B1944" s="30">
        <v>40077</v>
      </c>
      <c r="C1944" s="4"/>
      <c r="D1944" s="4" t="s">
        <v>193</v>
      </c>
      <c r="E1944" s="4" t="s">
        <v>170</v>
      </c>
      <c r="F1944" s="4" t="s">
        <v>155</v>
      </c>
      <c r="G1944" s="4">
        <v>1</v>
      </c>
      <c r="H1944" s="4">
        <v>3</v>
      </c>
      <c r="I1944" s="4" t="s">
        <v>140</v>
      </c>
      <c r="J1944" s="4" t="s">
        <v>179</v>
      </c>
      <c r="K1944" s="4" t="s">
        <v>143</v>
      </c>
      <c r="L1944" s="4" t="s">
        <v>4181</v>
      </c>
      <c r="M1944" s="4" t="s">
        <v>173</v>
      </c>
      <c r="N1944" s="4" t="s">
        <v>155</v>
      </c>
      <c r="O1944" s="4" t="s">
        <v>128</v>
      </c>
      <c r="P1944" s="4"/>
    </row>
    <row r="1945" spans="1:16" ht="15">
      <c r="A1945" s="4" t="s">
        <v>2943</v>
      </c>
      <c r="B1945" s="30">
        <v>39910</v>
      </c>
      <c r="C1945" s="4"/>
      <c r="D1945" s="4" t="s">
        <v>4177</v>
      </c>
      <c r="E1945" s="4" t="s">
        <v>170</v>
      </c>
      <c r="F1945" s="4" t="s">
        <v>155</v>
      </c>
      <c r="G1945" s="4"/>
      <c r="H1945" s="4"/>
      <c r="I1945" s="4" t="s">
        <v>139</v>
      </c>
      <c r="J1945" s="4" t="s">
        <v>182</v>
      </c>
      <c r="K1945" s="4" t="s">
        <v>147</v>
      </c>
      <c r="L1945" s="4" t="s">
        <v>162</v>
      </c>
      <c r="M1945" s="4" t="s">
        <v>1550</v>
      </c>
      <c r="N1945" s="4" t="s">
        <v>155</v>
      </c>
      <c r="O1945" s="4" t="s">
        <v>387</v>
      </c>
      <c r="P1945" s="4"/>
    </row>
    <row r="1946" spans="1:16" ht="15">
      <c r="A1946" s="4" t="s">
        <v>2944</v>
      </c>
      <c r="B1946" s="30">
        <v>40053</v>
      </c>
      <c r="C1946" s="4"/>
      <c r="D1946" s="4" t="s">
        <v>193</v>
      </c>
      <c r="E1946" s="4" t="s">
        <v>170</v>
      </c>
      <c r="F1946" s="4" t="s">
        <v>155</v>
      </c>
      <c r="G1946" s="4">
        <v>1</v>
      </c>
      <c r="H1946" s="4">
        <v>3</v>
      </c>
      <c r="I1946" s="4" t="s">
        <v>140</v>
      </c>
      <c r="J1946" s="4" t="s">
        <v>185</v>
      </c>
      <c r="K1946" s="4" t="s">
        <v>142</v>
      </c>
      <c r="L1946" s="4" t="s">
        <v>162</v>
      </c>
      <c r="M1946" s="4" t="s">
        <v>175</v>
      </c>
      <c r="N1946" s="4" t="s">
        <v>155</v>
      </c>
      <c r="O1946" s="4" t="s">
        <v>129</v>
      </c>
      <c r="P1946" s="4"/>
    </row>
    <row r="1947" spans="1:16" ht="15">
      <c r="A1947" s="4" t="s">
        <v>2945</v>
      </c>
      <c r="B1947" s="30">
        <v>40036</v>
      </c>
      <c r="C1947" s="4"/>
      <c r="D1947" s="4" t="s">
        <v>195</v>
      </c>
      <c r="E1947" s="4" t="s">
        <v>170</v>
      </c>
      <c r="F1947" s="4" t="s">
        <v>155</v>
      </c>
      <c r="G1947" s="4">
        <v>3</v>
      </c>
      <c r="H1947" s="4">
        <v>3</v>
      </c>
      <c r="I1947" s="4" t="s">
        <v>139</v>
      </c>
      <c r="J1947" s="4" t="s">
        <v>191</v>
      </c>
      <c r="K1947" s="4" t="s">
        <v>144</v>
      </c>
      <c r="L1947" s="4" t="s">
        <v>162</v>
      </c>
      <c r="M1947" s="4" t="s">
        <v>175</v>
      </c>
      <c r="N1947" s="4" t="s">
        <v>155</v>
      </c>
      <c r="O1947" s="4" t="s">
        <v>129</v>
      </c>
      <c r="P1947" s="4"/>
    </row>
    <row r="1948" spans="1:16" ht="15">
      <c r="A1948" s="4" t="s">
        <v>2946</v>
      </c>
      <c r="B1948" s="30">
        <v>40029</v>
      </c>
      <c r="C1948" s="4" t="s">
        <v>9</v>
      </c>
      <c r="D1948" s="4" t="s">
        <v>195</v>
      </c>
      <c r="E1948" s="4" t="s">
        <v>170</v>
      </c>
      <c r="F1948" s="4" t="s">
        <v>155</v>
      </c>
      <c r="G1948" s="4">
        <v>5</v>
      </c>
      <c r="H1948" s="4">
        <v>5</v>
      </c>
      <c r="I1948" s="4" t="s">
        <v>139</v>
      </c>
      <c r="J1948" s="4" t="s">
        <v>183</v>
      </c>
      <c r="K1948" s="4" t="s">
        <v>144</v>
      </c>
      <c r="L1948" s="4" t="s">
        <v>4176</v>
      </c>
      <c r="M1948" s="4" t="s">
        <v>550</v>
      </c>
      <c r="N1948" s="4" t="s">
        <v>156</v>
      </c>
      <c r="O1948" s="4" t="s">
        <v>120</v>
      </c>
      <c r="P1948" s="4" t="s">
        <v>1001</v>
      </c>
    </row>
    <row r="1949" spans="1:16" ht="15">
      <c r="A1949" s="4" t="s">
        <v>2947</v>
      </c>
      <c r="B1949" s="30">
        <v>39952</v>
      </c>
      <c r="C1949" s="4"/>
      <c r="D1949" s="4" t="s">
        <v>195</v>
      </c>
      <c r="E1949" s="4" t="s">
        <v>170</v>
      </c>
      <c r="F1949" s="4" t="s">
        <v>155</v>
      </c>
      <c r="G1949" s="4"/>
      <c r="H1949" s="4"/>
      <c r="I1949" s="4" t="s">
        <v>139</v>
      </c>
      <c r="J1949" s="4" t="s">
        <v>190</v>
      </c>
      <c r="K1949" s="4" t="s">
        <v>148</v>
      </c>
      <c r="L1949" s="4" t="s">
        <v>162</v>
      </c>
      <c r="M1949" s="4" t="s">
        <v>459</v>
      </c>
      <c r="N1949" s="4" t="s">
        <v>155</v>
      </c>
      <c r="O1949" s="4" t="s">
        <v>439</v>
      </c>
      <c r="P1949" s="4"/>
    </row>
    <row r="1950" spans="1:16" ht="15">
      <c r="A1950" s="4" t="s">
        <v>2948</v>
      </c>
      <c r="B1950" s="30">
        <v>39991</v>
      </c>
      <c r="C1950" s="4"/>
      <c r="D1950" s="4" t="s">
        <v>193</v>
      </c>
      <c r="E1950" s="4" t="s">
        <v>170</v>
      </c>
      <c r="F1950" s="4" t="s">
        <v>155</v>
      </c>
      <c r="G1950" s="4"/>
      <c r="H1950" s="4">
        <v>5</v>
      </c>
      <c r="I1950" s="4" t="s">
        <v>140</v>
      </c>
      <c r="J1950" s="4" t="s">
        <v>187</v>
      </c>
      <c r="K1950" s="4" t="s">
        <v>148</v>
      </c>
      <c r="L1950" s="4" t="s">
        <v>4181</v>
      </c>
      <c r="M1950" s="4"/>
      <c r="N1950" s="4" t="s">
        <v>155</v>
      </c>
      <c r="O1950" s="4" t="s">
        <v>124</v>
      </c>
      <c r="P1950" s="4"/>
    </row>
    <row r="1951" spans="1:16" ht="15">
      <c r="A1951" s="4" t="s">
        <v>2949</v>
      </c>
      <c r="B1951" s="30">
        <v>40085</v>
      </c>
      <c r="C1951" s="4" t="s">
        <v>570</v>
      </c>
      <c r="D1951" s="4" t="s">
        <v>196</v>
      </c>
      <c r="E1951" s="4" t="s">
        <v>170</v>
      </c>
      <c r="F1951" s="4" t="s">
        <v>155</v>
      </c>
      <c r="G1951" s="4">
        <v>5</v>
      </c>
      <c r="H1951" s="4">
        <v>5</v>
      </c>
      <c r="I1951" s="4" t="s">
        <v>139</v>
      </c>
      <c r="J1951" s="4" t="s">
        <v>181</v>
      </c>
      <c r="K1951" s="4" t="s">
        <v>145</v>
      </c>
      <c r="L1951" s="4" t="s">
        <v>162</v>
      </c>
      <c r="M1951" s="4" t="s">
        <v>2950</v>
      </c>
      <c r="N1951" s="4" t="s">
        <v>155</v>
      </c>
      <c r="O1951" s="4" t="s">
        <v>1441</v>
      </c>
      <c r="P1951" s="4"/>
    </row>
    <row r="1952" spans="1:16" ht="15">
      <c r="A1952" s="4" t="s">
        <v>2951</v>
      </c>
      <c r="B1952" s="30">
        <v>39909</v>
      </c>
      <c r="C1952" s="4"/>
      <c r="D1952" s="4" t="s">
        <v>4179</v>
      </c>
      <c r="E1952" s="4" t="s">
        <v>170</v>
      </c>
      <c r="F1952" s="4" t="s">
        <v>155</v>
      </c>
      <c r="G1952" s="4"/>
      <c r="H1952" s="4"/>
      <c r="I1952" s="4" t="s">
        <v>139</v>
      </c>
      <c r="J1952" s="4" t="s">
        <v>187</v>
      </c>
      <c r="K1952" s="4" t="s">
        <v>148</v>
      </c>
      <c r="L1952" s="4" t="s">
        <v>4176</v>
      </c>
      <c r="M1952" s="4" t="s">
        <v>174</v>
      </c>
      <c r="N1952" s="4" t="s">
        <v>156</v>
      </c>
      <c r="O1952" s="4" t="s">
        <v>120</v>
      </c>
      <c r="P1952" s="4" t="s">
        <v>769</v>
      </c>
    </row>
    <row r="1953" spans="1:16" ht="15">
      <c r="A1953" s="4" t="s">
        <v>2952</v>
      </c>
      <c r="B1953" s="30">
        <v>39939</v>
      </c>
      <c r="C1953" s="4" t="s">
        <v>380</v>
      </c>
      <c r="D1953" s="4" t="s">
        <v>4183</v>
      </c>
      <c r="E1953" s="4" t="s">
        <v>170</v>
      </c>
      <c r="F1953" s="4" t="s">
        <v>155</v>
      </c>
      <c r="G1953" s="4"/>
      <c r="H1953" s="4"/>
      <c r="I1953" s="4" t="s">
        <v>140</v>
      </c>
      <c r="J1953" s="4" t="s">
        <v>190</v>
      </c>
      <c r="K1953" s="4" t="s">
        <v>151</v>
      </c>
      <c r="L1953" s="4" t="s">
        <v>4176</v>
      </c>
      <c r="M1953" s="4" t="s">
        <v>174</v>
      </c>
      <c r="N1953" s="4" t="s">
        <v>156</v>
      </c>
      <c r="O1953" s="4" t="s">
        <v>120</v>
      </c>
      <c r="P1953" s="4" t="s">
        <v>942</v>
      </c>
    </row>
    <row r="1954" spans="1:16" ht="15">
      <c r="A1954" s="4" t="s">
        <v>2953</v>
      </c>
      <c r="B1954" s="30">
        <v>39968</v>
      </c>
      <c r="C1954" s="4"/>
      <c r="D1954" s="4" t="s">
        <v>195</v>
      </c>
      <c r="E1954" s="4" t="s">
        <v>170</v>
      </c>
      <c r="F1954" s="4" t="s">
        <v>155</v>
      </c>
      <c r="G1954" s="4"/>
      <c r="H1954" s="4"/>
      <c r="I1954" s="4" t="s">
        <v>139</v>
      </c>
      <c r="J1954" s="4" t="s">
        <v>181</v>
      </c>
      <c r="K1954" s="4" t="s">
        <v>145</v>
      </c>
      <c r="L1954" s="4" t="s">
        <v>4181</v>
      </c>
      <c r="M1954" s="4" t="s">
        <v>1574</v>
      </c>
      <c r="N1954" s="4" t="s">
        <v>155</v>
      </c>
      <c r="O1954" s="4" t="s">
        <v>125</v>
      </c>
      <c r="P1954" s="4"/>
    </row>
    <row r="1955" spans="1:16" ht="15">
      <c r="A1955" s="4" t="s">
        <v>2954</v>
      </c>
      <c r="B1955" s="30">
        <v>39994</v>
      </c>
      <c r="C1955" s="4"/>
      <c r="D1955" s="4" t="s">
        <v>194</v>
      </c>
      <c r="E1955" s="4" t="s">
        <v>170</v>
      </c>
      <c r="F1955" s="4" t="s">
        <v>155</v>
      </c>
      <c r="G1955" s="4"/>
      <c r="H1955" s="4">
        <v>3</v>
      </c>
      <c r="I1955" s="4" t="s">
        <v>139</v>
      </c>
      <c r="J1955" s="4" t="s">
        <v>181</v>
      </c>
      <c r="K1955" s="4" t="s">
        <v>145</v>
      </c>
      <c r="L1955" s="4" t="s">
        <v>4176</v>
      </c>
      <c r="M1955" s="4" t="s">
        <v>2955</v>
      </c>
      <c r="N1955" s="4" t="s">
        <v>156</v>
      </c>
      <c r="O1955" s="4" t="s">
        <v>120</v>
      </c>
      <c r="P1955" s="4" t="s">
        <v>741</v>
      </c>
    </row>
    <row r="1956" spans="1:16" ht="15">
      <c r="A1956" s="4" t="s">
        <v>2956</v>
      </c>
      <c r="B1956" s="30">
        <v>39973</v>
      </c>
      <c r="C1956" s="4"/>
      <c r="D1956" s="4" t="s">
        <v>195</v>
      </c>
      <c r="E1956" s="4" t="s">
        <v>170</v>
      </c>
      <c r="F1956" s="4" t="s">
        <v>155</v>
      </c>
      <c r="G1956" s="4"/>
      <c r="H1956" s="4"/>
      <c r="I1956" s="4" t="s">
        <v>139</v>
      </c>
      <c r="J1956" s="4" t="s">
        <v>187</v>
      </c>
      <c r="K1956" s="4" t="s">
        <v>142</v>
      </c>
      <c r="L1956" s="4" t="s">
        <v>4181</v>
      </c>
      <c r="M1956" s="4" t="s">
        <v>173</v>
      </c>
      <c r="N1956" s="4" t="s">
        <v>155</v>
      </c>
      <c r="O1956" s="4" t="s">
        <v>124</v>
      </c>
      <c r="P1956" s="4"/>
    </row>
    <row r="1957" spans="1:16" ht="15">
      <c r="A1957" s="4" t="s">
        <v>2957</v>
      </c>
      <c r="B1957" s="30">
        <v>39941</v>
      </c>
      <c r="C1957" s="4"/>
      <c r="D1957" s="4" t="s">
        <v>194</v>
      </c>
      <c r="E1957" s="4" t="s">
        <v>170</v>
      </c>
      <c r="F1957" s="4" t="s">
        <v>155</v>
      </c>
      <c r="G1957" s="4"/>
      <c r="H1957" s="4"/>
      <c r="I1957" s="4" t="s">
        <v>139</v>
      </c>
      <c r="J1957" s="4" t="s">
        <v>190</v>
      </c>
      <c r="K1957" s="4" t="s">
        <v>143</v>
      </c>
      <c r="L1957" s="4" t="s">
        <v>4181</v>
      </c>
      <c r="M1957" s="4" t="s">
        <v>415</v>
      </c>
      <c r="N1957" s="4" t="s">
        <v>155</v>
      </c>
      <c r="O1957" s="4" t="s">
        <v>125</v>
      </c>
      <c r="P1957" s="4"/>
    </row>
    <row r="1958" spans="1:16" ht="15">
      <c r="A1958" s="4" t="s">
        <v>2958</v>
      </c>
      <c r="B1958" s="30">
        <v>39981</v>
      </c>
      <c r="C1958" s="4"/>
      <c r="D1958" s="4" t="s">
        <v>193</v>
      </c>
      <c r="E1958" s="4" t="s">
        <v>170</v>
      </c>
      <c r="F1958" s="4" t="s">
        <v>155</v>
      </c>
      <c r="G1958" s="4"/>
      <c r="H1958" s="4"/>
      <c r="I1958" s="4" t="s">
        <v>140</v>
      </c>
      <c r="J1958" s="4" t="s">
        <v>190</v>
      </c>
      <c r="K1958" s="4" t="s">
        <v>145</v>
      </c>
      <c r="L1958" s="4" t="s">
        <v>4176</v>
      </c>
      <c r="M1958" s="4" t="s">
        <v>174</v>
      </c>
      <c r="N1958" s="4" t="s">
        <v>156</v>
      </c>
      <c r="O1958" s="4" t="s">
        <v>120</v>
      </c>
      <c r="P1958" s="4" t="s">
        <v>472</v>
      </c>
    </row>
    <row r="1959" spans="1:16" ht="15">
      <c r="A1959" s="4" t="s">
        <v>2959</v>
      </c>
      <c r="B1959" s="30">
        <v>40030</v>
      </c>
      <c r="C1959" s="4" t="s">
        <v>9</v>
      </c>
      <c r="D1959" s="4" t="s">
        <v>195</v>
      </c>
      <c r="E1959" s="4" t="s">
        <v>170</v>
      </c>
      <c r="F1959" s="4" t="s">
        <v>155</v>
      </c>
      <c r="G1959" s="4">
        <v>5</v>
      </c>
      <c r="H1959" s="4">
        <v>5</v>
      </c>
      <c r="I1959" s="4" t="s">
        <v>139</v>
      </c>
      <c r="J1959" s="4" t="s">
        <v>190</v>
      </c>
      <c r="K1959" s="4" t="s">
        <v>143</v>
      </c>
      <c r="L1959" s="4" t="s">
        <v>4176</v>
      </c>
      <c r="M1959" s="4" t="s">
        <v>176</v>
      </c>
      <c r="N1959" s="4" t="s">
        <v>159</v>
      </c>
      <c r="O1959" s="4" t="s">
        <v>126</v>
      </c>
      <c r="P1959" s="4" t="s">
        <v>601</v>
      </c>
    </row>
    <row r="1960" spans="1:16" ht="15">
      <c r="A1960" s="4" t="s">
        <v>2960</v>
      </c>
      <c r="B1960" s="30">
        <v>40062</v>
      </c>
      <c r="C1960" s="4"/>
      <c r="D1960" s="4" t="s">
        <v>193</v>
      </c>
      <c r="E1960" s="4" t="s">
        <v>170</v>
      </c>
      <c r="F1960" s="4" t="s">
        <v>155</v>
      </c>
      <c r="G1960" s="4">
        <v>5</v>
      </c>
      <c r="H1960" s="4">
        <v>5</v>
      </c>
      <c r="I1960" s="4" t="s">
        <v>140</v>
      </c>
      <c r="J1960" s="4" t="s">
        <v>187</v>
      </c>
      <c r="K1960" s="4" t="s">
        <v>150</v>
      </c>
      <c r="L1960" s="4" t="s">
        <v>4176</v>
      </c>
      <c r="M1960" s="4" t="s">
        <v>550</v>
      </c>
      <c r="N1960" s="4" t="s">
        <v>156</v>
      </c>
      <c r="O1960" s="4" t="s">
        <v>120</v>
      </c>
      <c r="P1960" s="4" t="s">
        <v>2961</v>
      </c>
    </row>
    <row r="1961" spans="1:16" ht="15">
      <c r="A1961" s="4" t="s">
        <v>2962</v>
      </c>
      <c r="B1961" s="30">
        <v>39964</v>
      </c>
      <c r="C1961" s="4"/>
      <c r="D1961" s="4" t="s">
        <v>194</v>
      </c>
      <c r="E1961" s="4" t="s">
        <v>170</v>
      </c>
      <c r="F1961" s="4" t="s">
        <v>155</v>
      </c>
      <c r="G1961" s="4"/>
      <c r="H1961" s="4"/>
      <c r="I1961" s="4" t="s">
        <v>139</v>
      </c>
      <c r="J1961" s="4" t="s">
        <v>181</v>
      </c>
      <c r="K1961" s="4" t="s">
        <v>142</v>
      </c>
      <c r="L1961" s="4" t="s">
        <v>4181</v>
      </c>
      <c r="M1961" s="4" t="s">
        <v>464</v>
      </c>
      <c r="N1961" s="4" t="s">
        <v>155</v>
      </c>
      <c r="O1961" s="4" t="s">
        <v>454</v>
      </c>
      <c r="P1961" s="4"/>
    </row>
    <row r="1962" spans="1:16" ht="15">
      <c r="A1962" s="4" t="s">
        <v>2963</v>
      </c>
      <c r="B1962" s="30">
        <v>39932</v>
      </c>
      <c r="C1962" s="4"/>
      <c r="D1962" s="4" t="s">
        <v>4180</v>
      </c>
      <c r="E1962" s="4" t="s">
        <v>170</v>
      </c>
      <c r="F1962" s="4" t="s">
        <v>155</v>
      </c>
      <c r="G1962" s="4"/>
      <c r="H1962" s="4"/>
      <c r="I1962" s="4" t="s">
        <v>139</v>
      </c>
      <c r="J1962" s="4" t="s">
        <v>190</v>
      </c>
      <c r="K1962" s="4" t="s">
        <v>147</v>
      </c>
      <c r="L1962" s="4" t="s">
        <v>4181</v>
      </c>
      <c r="M1962" s="4" t="s">
        <v>173</v>
      </c>
      <c r="N1962" s="4" t="s">
        <v>155</v>
      </c>
      <c r="O1962" s="4" t="s">
        <v>454</v>
      </c>
      <c r="P1962" s="4"/>
    </row>
    <row r="1963" spans="1:16" ht="15">
      <c r="A1963" s="4" t="s">
        <v>2964</v>
      </c>
      <c r="B1963" s="30">
        <v>40006</v>
      </c>
      <c r="C1963" s="4" t="s">
        <v>380</v>
      </c>
      <c r="D1963" s="4" t="s">
        <v>193</v>
      </c>
      <c r="E1963" s="4" t="s">
        <v>170</v>
      </c>
      <c r="F1963" s="4" t="s">
        <v>155</v>
      </c>
      <c r="G1963" s="4">
        <v>3</v>
      </c>
      <c r="H1963" s="4">
        <v>2</v>
      </c>
      <c r="I1963" s="4" t="s">
        <v>140</v>
      </c>
      <c r="J1963" s="4" t="s">
        <v>180</v>
      </c>
      <c r="K1963" s="4" t="s">
        <v>145</v>
      </c>
      <c r="L1963" s="4" t="s">
        <v>4176</v>
      </c>
      <c r="M1963" s="4" t="s">
        <v>550</v>
      </c>
      <c r="N1963" s="4" t="s">
        <v>156</v>
      </c>
      <c r="O1963" s="4" t="s">
        <v>120</v>
      </c>
      <c r="P1963" s="4" t="s">
        <v>2965</v>
      </c>
    </row>
    <row r="1964" spans="1:16" ht="15">
      <c r="A1964" s="4" t="s">
        <v>2966</v>
      </c>
      <c r="B1964" s="30">
        <v>39980</v>
      </c>
      <c r="C1964" s="4"/>
      <c r="D1964" s="4" t="s">
        <v>193</v>
      </c>
      <c r="E1964" s="4" t="s">
        <v>170</v>
      </c>
      <c r="F1964" s="4" t="s">
        <v>155</v>
      </c>
      <c r="G1964" s="4"/>
      <c r="H1964" s="4"/>
      <c r="I1964" s="4" t="s">
        <v>140</v>
      </c>
      <c r="J1964" s="4" t="s">
        <v>180</v>
      </c>
      <c r="K1964" s="4" t="s">
        <v>145</v>
      </c>
      <c r="L1964" s="4" t="s">
        <v>4176</v>
      </c>
      <c r="M1964" s="4" t="s">
        <v>174</v>
      </c>
      <c r="N1964" s="4" t="s">
        <v>159</v>
      </c>
      <c r="O1964" s="4" t="s">
        <v>123</v>
      </c>
      <c r="P1964" s="4" t="s">
        <v>123</v>
      </c>
    </row>
    <row r="1965" spans="1:16" ht="15">
      <c r="A1965" s="4" t="s">
        <v>2967</v>
      </c>
      <c r="B1965" s="30">
        <v>39959</v>
      </c>
      <c r="C1965" s="4"/>
      <c r="D1965" s="4" t="s">
        <v>195</v>
      </c>
      <c r="E1965" s="4" t="s">
        <v>170</v>
      </c>
      <c r="F1965" s="4" t="s">
        <v>155</v>
      </c>
      <c r="G1965" s="4"/>
      <c r="H1965" s="4"/>
      <c r="I1965" s="4" t="s">
        <v>139</v>
      </c>
      <c r="J1965" s="4" t="s">
        <v>188</v>
      </c>
      <c r="K1965" s="4" t="s">
        <v>145</v>
      </c>
      <c r="L1965" s="4" t="s">
        <v>162</v>
      </c>
      <c r="M1965" s="4" t="s">
        <v>175</v>
      </c>
      <c r="N1965" s="4" t="s">
        <v>155</v>
      </c>
      <c r="O1965" s="4" t="s">
        <v>129</v>
      </c>
      <c r="P1965" s="4"/>
    </row>
    <row r="1966" spans="1:16" ht="15">
      <c r="A1966" s="4" t="s">
        <v>2968</v>
      </c>
      <c r="B1966" s="30">
        <v>39945</v>
      </c>
      <c r="C1966" s="4"/>
      <c r="D1966" s="4" t="s">
        <v>195</v>
      </c>
      <c r="E1966" s="4" t="s">
        <v>170</v>
      </c>
      <c r="F1966" s="4" t="s">
        <v>155</v>
      </c>
      <c r="G1966" s="4"/>
      <c r="H1966" s="4"/>
      <c r="I1966" s="4" t="s">
        <v>139</v>
      </c>
      <c r="J1966" s="4" t="s">
        <v>180</v>
      </c>
      <c r="K1966" s="4" t="s">
        <v>147</v>
      </c>
      <c r="L1966" s="4" t="s">
        <v>162</v>
      </c>
      <c r="M1966" s="4" t="s">
        <v>2969</v>
      </c>
      <c r="N1966" s="4" t="s">
        <v>155</v>
      </c>
      <c r="O1966" s="4" t="s">
        <v>439</v>
      </c>
      <c r="P1966" s="4"/>
    </row>
    <row r="1967" spans="1:16" ht="15">
      <c r="A1967" s="4" t="s">
        <v>2970</v>
      </c>
      <c r="B1967" s="30">
        <v>39918</v>
      </c>
      <c r="C1967" s="4" t="s">
        <v>9</v>
      </c>
      <c r="D1967" s="4" t="s">
        <v>4180</v>
      </c>
      <c r="E1967" s="4" t="s">
        <v>170</v>
      </c>
      <c r="F1967" s="4" t="s">
        <v>155</v>
      </c>
      <c r="G1967" s="4"/>
      <c r="H1967" s="4"/>
      <c r="I1967" s="4" t="s">
        <v>139</v>
      </c>
      <c r="J1967" s="4" t="s">
        <v>188</v>
      </c>
      <c r="K1967" s="4" t="s">
        <v>143</v>
      </c>
      <c r="L1967" s="4" t="s">
        <v>4181</v>
      </c>
      <c r="M1967" s="4" t="s">
        <v>2971</v>
      </c>
      <c r="N1967" s="4" t="s">
        <v>155</v>
      </c>
      <c r="O1967" s="4" t="s">
        <v>125</v>
      </c>
      <c r="P1967" s="4"/>
    </row>
    <row r="1968" spans="1:16" ht="15">
      <c r="A1968" s="4" t="s">
        <v>2972</v>
      </c>
      <c r="B1968" s="30">
        <v>39938</v>
      </c>
      <c r="C1968" s="4" t="s">
        <v>496</v>
      </c>
      <c r="D1968" s="4" t="s">
        <v>4184</v>
      </c>
      <c r="E1968" s="4" t="s">
        <v>170</v>
      </c>
      <c r="F1968" s="4" t="s">
        <v>155</v>
      </c>
      <c r="G1968" s="4"/>
      <c r="H1968" s="4"/>
      <c r="I1968" s="4" t="s">
        <v>140</v>
      </c>
      <c r="J1968" s="4" t="s">
        <v>182</v>
      </c>
      <c r="K1968" s="4" t="s">
        <v>147</v>
      </c>
      <c r="L1968" s="4" t="s">
        <v>4181</v>
      </c>
      <c r="M1968" s="4" t="s">
        <v>173</v>
      </c>
      <c r="N1968" s="4" t="s">
        <v>155</v>
      </c>
      <c r="O1968" s="4" t="s">
        <v>406</v>
      </c>
      <c r="P1968" s="4"/>
    </row>
    <row r="1969" spans="1:16" ht="15">
      <c r="A1969" s="4" t="s">
        <v>2973</v>
      </c>
      <c r="B1969" s="30">
        <v>39943</v>
      </c>
      <c r="C1969" s="4" t="s">
        <v>9</v>
      </c>
      <c r="D1969" s="4" t="s">
        <v>194</v>
      </c>
      <c r="E1969" s="4" t="s">
        <v>170</v>
      </c>
      <c r="F1969" s="4" t="s">
        <v>155</v>
      </c>
      <c r="G1969" s="4"/>
      <c r="H1969" s="4"/>
      <c r="I1969" s="4" t="s">
        <v>139</v>
      </c>
      <c r="J1969" s="4" t="s">
        <v>534</v>
      </c>
      <c r="K1969" s="4" t="s">
        <v>145</v>
      </c>
      <c r="L1969" s="4" t="s">
        <v>4181</v>
      </c>
      <c r="M1969" s="4" t="s">
        <v>173</v>
      </c>
      <c r="N1969" s="4" t="s">
        <v>155</v>
      </c>
      <c r="O1969" s="4" t="s">
        <v>125</v>
      </c>
      <c r="P1969" s="4"/>
    </row>
    <row r="1970" spans="1:16" ht="15">
      <c r="A1970" s="4" t="s">
        <v>2974</v>
      </c>
      <c r="B1970" s="30">
        <v>39945</v>
      </c>
      <c r="C1970" s="4"/>
      <c r="D1970" s="4" t="s">
        <v>193</v>
      </c>
      <c r="E1970" s="4" t="s">
        <v>170</v>
      </c>
      <c r="F1970" s="4" t="s">
        <v>155</v>
      </c>
      <c r="G1970" s="4"/>
      <c r="H1970" s="4"/>
      <c r="I1970" s="4" t="s">
        <v>140</v>
      </c>
      <c r="J1970" s="4" t="s">
        <v>180</v>
      </c>
      <c r="K1970" s="4" t="s">
        <v>147</v>
      </c>
      <c r="L1970" s="4" t="s">
        <v>4181</v>
      </c>
      <c r="M1970" s="4" t="s">
        <v>415</v>
      </c>
      <c r="N1970" s="4" t="s">
        <v>155</v>
      </c>
      <c r="O1970" s="4" t="s">
        <v>125</v>
      </c>
      <c r="P1970" s="4"/>
    </row>
    <row r="1971" spans="1:16" ht="15">
      <c r="A1971" s="4" t="s">
        <v>2975</v>
      </c>
      <c r="B1971" s="30">
        <v>40022</v>
      </c>
      <c r="C1971" s="4"/>
      <c r="D1971" s="4" t="s">
        <v>193</v>
      </c>
      <c r="E1971" s="4" t="s">
        <v>170</v>
      </c>
      <c r="F1971" s="4" t="s">
        <v>155</v>
      </c>
      <c r="G1971" s="4">
        <v>4</v>
      </c>
      <c r="H1971" s="4">
        <v>4</v>
      </c>
      <c r="I1971" s="4" t="s">
        <v>140</v>
      </c>
      <c r="J1971" s="4" t="s">
        <v>534</v>
      </c>
      <c r="K1971" s="4" t="s">
        <v>144</v>
      </c>
      <c r="L1971" s="4" t="s">
        <v>4181</v>
      </c>
      <c r="M1971" s="4" t="s">
        <v>415</v>
      </c>
      <c r="N1971" s="4" t="s">
        <v>155</v>
      </c>
      <c r="O1971" s="4" t="s">
        <v>125</v>
      </c>
      <c r="P1971" s="4"/>
    </row>
    <row r="1972" spans="1:16" ht="15">
      <c r="A1972" s="4" t="s">
        <v>2976</v>
      </c>
      <c r="B1972" s="30">
        <v>40084</v>
      </c>
      <c r="C1972" s="4" t="s">
        <v>496</v>
      </c>
      <c r="D1972" s="4" t="s">
        <v>544</v>
      </c>
      <c r="E1972" s="4" t="s">
        <v>170</v>
      </c>
      <c r="F1972" s="4" t="s">
        <v>155</v>
      </c>
      <c r="G1972" s="4">
        <v>5</v>
      </c>
      <c r="H1972" s="4">
        <v>5</v>
      </c>
      <c r="I1972" s="4" t="s">
        <v>139</v>
      </c>
      <c r="J1972" s="4" t="s">
        <v>180</v>
      </c>
      <c r="K1972" s="4" t="s">
        <v>144</v>
      </c>
      <c r="L1972" s="4" t="s">
        <v>4181</v>
      </c>
      <c r="M1972" s="4" t="s">
        <v>173</v>
      </c>
      <c r="N1972" s="4" t="s">
        <v>155</v>
      </c>
      <c r="O1972" s="4" t="s">
        <v>128</v>
      </c>
      <c r="P1972" s="4"/>
    </row>
    <row r="1973" spans="1:16" ht="15">
      <c r="A1973" s="4" t="s">
        <v>2977</v>
      </c>
      <c r="B1973" s="30">
        <v>39933</v>
      </c>
      <c r="C1973" s="4"/>
      <c r="D1973" s="4" t="s">
        <v>4182</v>
      </c>
      <c r="E1973" s="4" t="s">
        <v>170</v>
      </c>
      <c r="F1973" s="4" t="s">
        <v>155</v>
      </c>
      <c r="G1973" s="4"/>
      <c r="H1973" s="4"/>
      <c r="I1973" s="4" t="s">
        <v>139</v>
      </c>
      <c r="J1973" s="4" t="s">
        <v>180</v>
      </c>
      <c r="K1973" s="4" t="s">
        <v>142</v>
      </c>
      <c r="L1973" s="4" t="s">
        <v>4181</v>
      </c>
      <c r="M1973" s="4" t="s">
        <v>173</v>
      </c>
      <c r="N1973" s="4" t="s">
        <v>155</v>
      </c>
      <c r="O1973" s="4" t="s">
        <v>956</v>
      </c>
      <c r="P1973" s="4"/>
    </row>
    <row r="1974" spans="1:16" ht="15">
      <c r="A1974" s="4" t="s">
        <v>2978</v>
      </c>
      <c r="B1974" s="30">
        <v>40049</v>
      </c>
      <c r="C1974" s="4"/>
      <c r="D1974" s="4" t="s">
        <v>193</v>
      </c>
      <c r="E1974" s="4" t="s">
        <v>170</v>
      </c>
      <c r="F1974" s="4" t="s">
        <v>155</v>
      </c>
      <c r="G1974" s="4">
        <v>5</v>
      </c>
      <c r="H1974" s="4">
        <v>2</v>
      </c>
      <c r="I1974" s="4" t="s">
        <v>140</v>
      </c>
      <c r="J1974" s="4" t="s">
        <v>178</v>
      </c>
      <c r="K1974" s="4" t="s">
        <v>145</v>
      </c>
      <c r="L1974" s="4" t="s">
        <v>4176</v>
      </c>
      <c r="M1974" s="4" t="s">
        <v>2979</v>
      </c>
      <c r="N1974" s="4" t="s">
        <v>156</v>
      </c>
      <c r="O1974" s="4" t="s">
        <v>120</v>
      </c>
      <c r="P1974" s="4" t="s">
        <v>2980</v>
      </c>
    </row>
    <row r="1975" spans="1:16" ht="15">
      <c r="A1975" s="4" t="s">
        <v>2981</v>
      </c>
      <c r="B1975" s="30">
        <v>40081</v>
      </c>
      <c r="C1975" s="4"/>
      <c r="D1975" s="4" t="s">
        <v>193</v>
      </c>
      <c r="E1975" s="4" t="s">
        <v>170</v>
      </c>
      <c r="F1975" s="4" t="s">
        <v>155</v>
      </c>
      <c r="G1975" s="4">
        <v>5</v>
      </c>
      <c r="H1975" s="4">
        <v>5</v>
      </c>
      <c r="I1975" s="4" t="s">
        <v>140</v>
      </c>
      <c r="J1975" s="4" t="s">
        <v>178</v>
      </c>
      <c r="K1975" s="4" t="s">
        <v>143</v>
      </c>
      <c r="L1975" s="4" t="s">
        <v>162</v>
      </c>
      <c r="M1975" s="4" t="s">
        <v>176</v>
      </c>
      <c r="N1975" s="4" t="s">
        <v>155</v>
      </c>
      <c r="O1975" s="4" t="s">
        <v>129</v>
      </c>
      <c r="P1975" s="4"/>
    </row>
    <row r="1976" spans="1:16" ht="15">
      <c r="A1976" s="4" t="s">
        <v>2982</v>
      </c>
      <c r="B1976" s="30">
        <v>40020</v>
      </c>
      <c r="C1976" s="4"/>
      <c r="D1976" s="4" t="s">
        <v>193</v>
      </c>
      <c r="E1976" s="4" t="s">
        <v>170</v>
      </c>
      <c r="F1976" s="4" t="s">
        <v>155</v>
      </c>
      <c r="G1976" s="4">
        <v>5</v>
      </c>
      <c r="H1976" s="4">
        <v>5</v>
      </c>
      <c r="I1976" s="4" t="s">
        <v>140</v>
      </c>
      <c r="J1976" s="4" t="s">
        <v>413</v>
      </c>
      <c r="K1976" s="4" t="s">
        <v>142</v>
      </c>
      <c r="L1976" s="4" t="s">
        <v>4176</v>
      </c>
      <c r="M1976" s="4" t="s">
        <v>550</v>
      </c>
      <c r="N1976" s="4" t="s">
        <v>157</v>
      </c>
      <c r="O1976" s="4" t="s">
        <v>434</v>
      </c>
      <c r="P1976" s="4" t="s">
        <v>2983</v>
      </c>
    </row>
    <row r="1977" spans="1:16" ht="15">
      <c r="A1977" s="4" t="s">
        <v>2984</v>
      </c>
      <c r="B1977" s="30">
        <v>39978</v>
      </c>
      <c r="C1977" s="4"/>
      <c r="D1977" s="4" t="s">
        <v>193</v>
      </c>
      <c r="E1977" s="4" t="s">
        <v>170</v>
      </c>
      <c r="F1977" s="4" t="s">
        <v>155</v>
      </c>
      <c r="G1977" s="4"/>
      <c r="H1977" s="4"/>
      <c r="I1977" s="4" t="s">
        <v>140</v>
      </c>
      <c r="J1977" s="4" t="s">
        <v>180</v>
      </c>
      <c r="K1977" s="4" t="s">
        <v>146</v>
      </c>
      <c r="L1977" s="4" t="s">
        <v>162</v>
      </c>
      <c r="M1977" s="4" t="s">
        <v>176</v>
      </c>
      <c r="N1977" s="4" t="s">
        <v>155</v>
      </c>
      <c r="O1977" s="4" t="s">
        <v>130</v>
      </c>
      <c r="P1977" s="4"/>
    </row>
    <row r="1978" spans="1:16" ht="15">
      <c r="A1978" s="4" t="s">
        <v>2985</v>
      </c>
      <c r="B1978" s="30">
        <v>39992</v>
      </c>
      <c r="C1978" s="4"/>
      <c r="D1978" s="4" t="s">
        <v>194</v>
      </c>
      <c r="E1978" s="4" t="s">
        <v>170</v>
      </c>
      <c r="F1978" s="4" t="s">
        <v>155</v>
      </c>
      <c r="G1978" s="4"/>
      <c r="H1978" s="4">
        <v>5</v>
      </c>
      <c r="I1978" s="4" t="s">
        <v>139</v>
      </c>
      <c r="J1978" s="4" t="s">
        <v>178</v>
      </c>
      <c r="K1978" s="4" t="s">
        <v>150</v>
      </c>
      <c r="L1978" s="4" t="s">
        <v>4176</v>
      </c>
      <c r="M1978" s="4" t="s">
        <v>174</v>
      </c>
      <c r="N1978" s="4" t="s">
        <v>156</v>
      </c>
      <c r="O1978" s="4" t="s">
        <v>120</v>
      </c>
      <c r="P1978" s="4" t="s">
        <v>832</v>
      </c>
    </row>
    <row r="1979" spans="1:16" ht="15">
      <c r="A1979" s="4" t="s">
        <v>2986</v>
      </c>
      <c r="B1979" s="30">
        <v>39937</v>
      </c>
      <c r="C1979" s="4"/>
      <c r="D1979" s="4" t="s">
        <v>4184</v>
      </c>
      <c r="E1979" s="4" t="s">
        <v>170</v>
      </c>
      <c r="F1979" s="4" t="s">
        <v>155</v>
      </c>
      <c r="G1979" s="4"/>
      <c r="H1979" s="4"/>
      <c r="I1979" s="4" t="s">
        <v>140</v>
      </c>
      <c r="J1979" s="4" t="s">
        <v>180</v>
      </c>
      <c r="K1979" s="4" t="s">
        <v>147</v>
      </c>
      <c r="L1979" s="4" t="s">
        <v>4181</v>
      </c>
      <c r="M1979" s="4" t="s">
        <v>2971</v>
      </c>
      <c r="N1979" s="4" t="s">
        <v>155</v>
      </c>
      <c r="O1979" s="4" t="s">
        <v>124</v>
      </c>
      <c r="P1979" s="4"/>
    </row>
    <row r="1980" spans="1:16" ht="15">
      <c r="A1980" s="4" t="s">
        <v>2987</v>
      </c>
      <c r="B1980" s="30">
        <v>40069</v>
      </c>
      <c r="C1980" s="4" t="s">
        <v>525</v>
      </c>
      <c r="D1980" s="4" t="s">
        <v>196</v>
      </c>
      <c r="E1980" s="4" t="s">
        <v>170</v>
      </c>
      <c r="F1980" s="4" t="s">
        <v>155</v>
      </c>
      <c r="G1980" s="4">
        <v>1</v>
      </c>
      <c r="H1980" s="4">
        <v>5</v>
      </c>
      <c r="I1980" s="4" t="s">
        <v>139</v>
      </c>
      <c r="J1980" s="4" t="s">
        <v>534</v>
      </c>
      <c r="K1980" s="4" t="s">
        <v>149</v>
      </c>
      <c r="L1980" s="4" t="s">
        <v>4176</v>
      </c>
      <c r="M1980" s="4" t="s">
        <v>459</v>
      </c>
      <c r="N1980" s="4" t="s">
        <v>159</v>
      </c>
      <c r="O1980" s="4" t="s">
        <v>126</v>
      </c>
      <c r="P1980" s="4" t="s">
        <v>601</v>
      </c>
    </row>
    <row r="1981" spans="1:16" ht="15">
      <c r="A1981" s="4" t="s">
        <v>2988</v>
      </c>
      <c r="B1981" s="30">
        <v>40029</v>
      </c>
      <c r="C1981" s="4"/>
      <c r="D1981" s="4" t="s">
        <v>195</v>
      </c>
      <c r="E1981" s="4" t="s">
        <v>170</v>
      </c>
      <c r="F1981" s="4" t="s">
        <v>155</v>
      </c>
      <c r="G1981" s="4">
        <v>5</v>
      </c>
      <c r="H1981" s="4">
        <v>5</v>
      </c>
      <c r="I1981" s="4" t="s">
        <v>139</v>
      </c>
      <c r="J1981" s="4" t="s">
        <v>182</v>
      </c>
      <c r="K1981" s="4" t="s">
        <v>149</v>
      </c>
      <c r="L1981" s="4" t="s">
        <v>4176</v>
      </c>
      <c r="M1981" s="4" t="s">
        <v>176</v>
      </c>
      <c r="N1981" s="4" t="s">
        <v>159</v>
      </c>
      <c r="O1981" s="4" t="s">
        <v>126</v>
      </c>
      <c r="P1981" s="4" t="s">
        <v>601</v>
      </c>
    </row>
    <row r="1982" spans="1:16" ht="15">
      <c r="A1982" s="4" t="s">
        <v>2989</v>
      </c>
      <c r="B1982" s="30">
        <v>40033</v>
      </c>
      <c r="C1982" s="4"/>
      <c r="D1982" s="4" t="s">
        <v>193</v>
      </c>
      <c r="E1982" s="4" t="s">
        <v>170</v>
      </c>
      <c r="F1982" s="4" t="s">
        <v>155</v>
      </c>
      <c r="G1982" s="4">
        <v>5</v>
      </c>
      <c r="H1982" s="4">
        <v>4</v>
      </c>
      <c r="I1982" s="4" t="s">
        <v>140</v>
      </c>
      <c r="J1982" s="4" t="s">
        <v>534</v>
      </c>
      <c r="K1982" s="4" t="s">
        <v>149</v>
      </c>
      <c r="L1982" s="4" t="s">
        <v>4181</v>
      </c>
      <c r="M1982" s="4" t="s">
        <v>902</v>
      </c>
      <c r="N1982" s="4" t="s">
        <v>155</v>
      </c>
      <c r="O1982" s="4" t="s">
        <v>125</v>
      </c>
      <c r="P1982" s="4"/>
    </row>
    <row r="1983" spans="1:16" ht="15">
      <c r="A1983" s="4" t="s">
        <v>2990</v>
      </c>
      <c r="B1983" s="30">
        <v>40048</v>
      </c>
      <c r="C1983" s="4"/>
      <c r="D1983" s="4" t="s">
        <v>197</v>
      </c>
      <c r="E1983" s="4" t="s">
        <v>170</v>
      </c>
      <c r="F1983" s="4" t="s">
        <v>155</v>
      </c>
      <c r="G1983" s="4">
        <v>1</v>
      </c>
      <c r="H1983" s="4">
        <v>3</v>
      </c>
      <c r="I1983" s="4" t="s">
        <v>139</v>
      </c>
      <c r="J1983" s="4" t="s">
        <v>188</v>
      </c>
      <c r="K1983" s="4" t="s">
        <v>144</v>
      </c>
      <c r="L1983" s="4" t="s">
        <v>165</v>
      </c>
      <c r="M1983" s="4" t="s">
        <v>2991</v>
      </c>
      <c r="N1983" s="4" t="s">
        <v>158</v>
      </c>
      <c r="O1983" s="4" t="s">
        <v>122</v>
      </c>
      <c r="P1983" s="4"/>
    </row>
    <row r="1984" spans="1:16" ht="15">
      <c r="A1984" s="4" t="s">
        <v>2992</v>
      </c>
      <c r="B1984" s="30">
        <v>40021</v>
      </c>
      <c r="C1984" s="4"/>
      <c r="D1984" s="4" t="s">
        <v>197</v>
      </c>
      <c r="E1984" s="4" t="s">
        <v>170</v>
      </c>
      <c r="F1984" s="4" t="s">
        <v>155</v>
      </c>
      <c r="G1984" s="4">
        <v>5</v>
      </c>
      <c r="H1984" s="4">
        <v>3</v>
      </c>
      <c r="I1984" s="4" t="s">
        <v>139</v>
      </c>
      <c r="J1984" s="4" t="s">
        <v>413</v>
      </c>
      <c r="K1984" s="4" t="s">
        <v>143</v>
      </c>
      <c r="L1984" s="4" t="s">
        <v>4176</v>
      </c>
      <c r="M1984" s="4" t="s">
        <v>176</v>
      </c>
      <c r="N1984" s="4" t="s">
        <v>159</v>
      </c>
      <c r="O1984" s="4" t="s">
        <v>126</v>
      </c>
      <c r="P1984" s="4" t="s">
        <v>601</v>
      </c>
    </row>
    <row r="1985" spans="1:16" ht="15">
      <c r="A1985" s="4" t="s">
        <v>2993</v>
      </c>
      <c r="B1985" s="30">
        <v>40022</v>
      </c>
      <c r="C1985" s="4"/>
      <c r="D1985" s="4" t="s">
        <v>197</v>
      </c>
      <c r="E1985" s="4" t="s">
        <v>170</v>
      </c>
      <c r="F1985" s="4" t="s">
        <v>155</v>
      </c>
      <c r="G1985" s="4">
        <v>5</v>
      </c>
      <c r="H1985" s="4">
        <v>5</v>
      </c>
      <c r="I1985" s="4" t="s">
        <v>139</v>
      </c>
      <c r="J1985" s="4" t="s">
        <v>181</v>
      </c>
      <c r="K1985" s="4" t="s">
        <v>145</v>
      </c>
      <c r="L1985" s="4" t="s">
        <v>4181</v>
      </c>
      <c r="M1985" s="4" t="s">
        <v>1827</v>
      </c>
      <c r="N1985" s="4" t="s">
        <v>155</v>
      </c>
      <c r="O1985" s="4" t="s">
        <v>956</v>
      </c>
      <c r="P1985" s="4"/>
    </row>
    <row r="1986" spans="1:16" ht="15">
      <c r="A1986" s="4" t="s">
        <v>2994</v>
      </c>
      <c r="B1986" s="30">
        <v>39967</v>
      </c>
      <c r="C1986" s="4" t="s">
        <v>383</v>
      </c>
      <c r="D1986" s="4" t="s">
        <v>195</v>
      </c>
      <c r="E1986" s="4" t="s">
        <v>170</v>
      </c>
      <c r="F1986" s="4" t="s">
        <v>155</v>
      </c>
      <c r="G1986" s="4"/>
      <c r="H1986" s="4"/>
      <c r="I1986" s="4" t="s">
        <v>139</v>
      </c>
      <c r="J1986" s="4" t="s">
        <v>376</v>
      </c>
      <c r="K1986" s="4" t="s">
        <v>143</v>
      </c>
      <c r="L1986" s="4" t="s">
        <v>165</v>
      </c>
      <c r="M1986" s="4"/>
      <c r="N1986" s="4" t="s">
        <v>158</v>
      </c>
      <c r="O1986" s="4" t="s">
        <v>122</v>
      </c>
      <c r="P1986" s="4"/>
    </row>
    <row r="1987" spans="1:16" ht="15">
      <c r="A1987" s="4" t="s">
        <v>2995</v>
      </c>
      <c r="B1987" s="30">
        <v>40052</v>
      </c>
      <c r="C1987" s="4"/>
      <c r="D1987" s="4" t="s">
        <v>193</v>
      </c>
      <c r="E1987" s="4" t="s">
        <v>170</v>
      </c>
      <c r="F1987" s="4" t="s">
        <v>155</v>
      </c>
      <c r="G1987" s="4">
        <v>5</v>
      </c>
      <c r="H1987" s="4">
        <v>3</v>
      </c>
      <c r="I1987" s="4" t="s">
        <v>140</v>
      </c>
      <c r="J1987" s="4" t="s">
        <v>180</v>
      </c>
      <c r="K1987" s="4" t="s">
        <v>143</v>
      </c>
      <c r="L1987" s="4" t="s">
        <v>162</v>
      </c>
      <c r="M1987" s="4" t="s">
        <v>1550</v>
      </c>
      <c r="N1987" s="4" t="s">
        <v>155</v>
      </c>
      <c r="O1987" s="4" t="s">
        <v>129</v>
      </c>
      <c r="P1987" s="4"/>
    </row>
    <row r="1988" spans="1:16" ht="15">
      <c r="A1988" s="4" t="s">
        <v>2996</v>
      </c>
      <c r="B1988" s="30">
        <v>39941</v>
      </c>
      <c r="C1988" s="4"/>
      <c r="D1988" s="4" t="s">
        <v>193</v>
      </c>
      <c r="E1988" s="4" t="s">
        <v>170</v>
      </c>
      <c r="F1988" s="4" t="s">
        <v>155</v>
      </c>
      <c r="G1988" s="4"/>
      <c r="H1988" s="4"/>
      <c r="I1988" s="4" t="s">
        <v>140</v>
      </c>
      <c r="J1988" s="4" t="s">
        <v>180</v>
      </c>
      <c r="K1988" s="4" t="s">
        <v>143</v>
      </c>
      <c r="L1988" s="4" t="s">
        <v>4181</v>
      </c>
      <c r="M1988" s="4"/>
      <c r="N1988" s="4" t="s">
        <v>161</v>
      </c>
      <c r="O1988" s="4" t="s">
        <v>1253</v>
      </c>
      <c r="P1988" s="4"/>
    </row>
    <row r="1989" spans="1:16" ht="15">
      <c r="A1989" s="4" t="s">
        <v>2997</v>
      </c>
      <c r="B1989" s="30">
        <v>39921</v>
      </c>
      <c r="C1989" s="4" t="s">
        <v>496</v>
      </c>
      <c r="D1989" s="4" t="s">
        <v>4179</v>
      </c>
      <c r="E1989" s="4" t="s">
        <v>170</v>
      </c>
      <c r="F1989" s="4" t="s">
        <v>155</v>
      </c>
      <c r="G1989" s="4"/>
      <c r="H1989" s="4"/>
      <c r="I1989" s="4" t="s">
        <v>139</v>
      </c>
      <c r="J1989" s="4" t="s">
        <v>180</v>
      </c>
      <c r="K1989" s="4" t="s">
        <v>150</v>
      </c>
      <c r="L1989" s="4" t="s">
        <v>4176</v>
      </c>
      <c r="M1989" s="4" t="s">
        <v>174</v>
      </c>
      <c r="N1989" s="4" t="s">
        <v>156</v>
      </c>
      <c r="O1989" s="4" t="s">
        <v>120</v>
      </c>
      <c r="P1989" s="4" t="s">
        <v>620</v>
      </c>
    </row>
    <row r="1990" spans="1:16" ht="15">
      <c r="A1990" s="4" t="s">
        <v>2998</v>
      </c>
      <c r="B1990" s="30">
        <v>39926</v>
      </c>
      <c r="C1990" s="4"/>
      <c r="D1990" s="4" t="s">
        <v>4177</v>
      </c>
      <c r="E1990" s="4" t="s">
        <v>170</v>
      </c>
      <c r="F1990" s="4" t="s">
        <v>155</v>
      </c>
      <c r="G1990" s="4"/>
      <c r="H1990" s="4"/>
      <c r="I1990" s="4" t="s">
        <v>139</v>
      </c>
      <c r="J1990" s="4" t="s">
        <v>180</v>
      </c>
      <c r="K1990" s="4" t="s">
        <v>143</v>
      </c>
      <c r="L1990" s="4" t="s">
        <v>4181</v>
      </c>
      <c r="M1990" s="4" t="s">
        <v>173</v>
      </c>
      <c r="N1990" s="4" t="s">
        <v>155</v>
      </c>
      <c r="O1990" s="4" t="s">
        <v>127</v>
      </c>
      <c r="P1990" s="4"/>
    </row>
    <row r="1991" spans="1:16" ht="15">
      <c r="A1991" s="4" t="s">
        <v>2999</v>
      </c>
      <c r="B1991" s="30">
        <v>39918</v>
      </c>
      <c r="C1991" s="4"/>
      <c r="D1991" s="4" t="s">
        <v>4183</v>
      </c>
      <c r="E1991" s="4" t="s">
        <v>170</v>
      </c>
      <c r="F1991" s="4" t="s">
        <v>155</v>
      </c>
      <c r="G1991" s="4"/>
      <c r="H1991" s="4"/>
      <c r="I1991" s="4" t="s">
        <v>140</v>
      </c>
      <c r="J1991" s="4" t="s">
        <v>180</v>
      </c>
      <c r="K1991" s="4" t="s">
        <v>145</v>
      </c>
      <c r="L1991" s="4" t="s">
        <v>4181</v>
      </c>
      <c r="M1991" s="4" t="s">
        <v>173</v>
      </c>
      <c r="N1991" s="4" t="s">
        <v>155</v>
      </c>
      <c r="O1991" s="4" t="s">
        <v>124</v>
      </c>
      <c r="P1991" s="4"/>
    </row>
    <row r="1992" spans="1:16" ht="15">
      <c r="A1992" s="4" t="s">
        <v>3000</v>
      </c>
      <c r="B1992" s="30">
        <v>39968</v>
      </c>
      <c r="C1992" s="4"/>
      <c r="D1992" s="4" t="s">
        <v>195</v>
      </c>
      <c r="E1992" s="4" t="s">
        <v>170</v>
      </c>
      <c r="F1992" s="4" t="s">
        <v>155</v>
      </c>
      <c r="G1992" s="4"/>
      <c r="H1992" s="4"/>
      <c r="I1992" s="4" t="s">
        <v>139</v>
      </c>
      <c r="J1992" s="4" t="s">
        <v>180</v>
      </c>
      <c r="K1992" s="4" t="s">
        <v>143</v>
      </c>
      <c r="L1992" s="4" t="s">
        <v>4181</v>
      </c>
      <c r="M1992" s="4" t="s">
        <v>173</v>
      </c>
      <c r="N1992" s="4" t="s">
        <v>155</v>
      </c>
      <c r="O1992" s="4" t="s">
        <v>125</v>
      </c>
      <c r="P1992" s="4"/>
    </row>
    <row r="1993" spans="1:16" ht="15">
      <c r="A1993" s="4" t="s">
        <v>3001</v>
      </c>
      <c r="B1993" s="30">
        <v>39947</v>
      </c>
      <c r="C1993" s="4" t="s">
        <v>496</v>
      </c>
      <c r="D1993" s="4" t="s">
        <v>193</v>
      </c>
      <c r="E1993" s="4" t="s">
        <v>170</v>
      </c>
      <c r="F1993" s="4" t="s">
        <v>155</v>
      </c>
      <c r="G1993" s="4"/>
      <c r="H1993" s="4"/>
      <c r="I1993" s="4" t="s">
        <v>140</v>
      </c>
      <c r="J1993" s="4" t="s">
        <v>180</v>
      </c>
      <c r="K1993" s="4" t="s">
        <v>147</v>
      </c>
      <c r="L1993" s="4" t="s">
        <v>4181</v>
      </c>
      <c r="M1993" s="4" t="s">
        <v>867</v>
      </c>
      <c r="N1993" s="4" t="s">
        <v>155</v>
      </c>
      <c r="O1993" s="4" t="s">
        <v>125</v>
      </c>
      <c r="P1993" s="4"/>
    </row>
    <row r="1994" spans="1:16" ht="15">
      <c r="A1994" s="4" t="s">
        <v>3002</v>
      </c>
      <c r="B1994" s="30">
        <v>40046</v>
      </c>
      <c r="C1994" s="4" t="s">
        <v>383</v>
      </c>
      <c r="D1994" s="4" t="s">
        <v>197</v>
      </c>
      <c r="E1994" s="4" t="s">
        <v>170</v>
      </c>
      <c r="F1994" s="4" t="s">
        <v>155</v>
      </c>
      <c r="G1994" s="4">
        <v>5</v>
      </c>
      <c r="H1994" s="4">
        <v>5</v>
      </c>
      <c r="I1994" s="4" t="s">
        <v>139</v>
      </c>
      <c r="J1994" s="4" t="s">
        <v>180</v>
      </c>
      <c r="K1994" s="4" t="s">
        <v>144</v>
      </c>
      <c r="L1994" s="4" t="s">
        <v>4181</v>
      </c>
      <c r="M1994" s="4" t="s">
        <v>3003</v>
      </c>
      <c r="N1994" s="4" t="s">
        <v>155</v>
      </c>
      <c r="O1994" s="4" t="s">
        <v>454</v>
      </c>
      <c r="P1994" s="4"/>
    </row>
    <row r="1995" spans="1:16" ht="15">
      <c r="A1995" s="4" t="s">
        <v>3004</v>
      </c>
      <c r="B1995" s="30">
        <v>40039</v>
      </c>
      <c r="C1995" s="4"/>
      <c r="D1995" s="4" t="s">
        <v>196</v>
      </c>
      <c r="E1995" s="4" t="s">
        <v>170</v>
      </c>
      <c r="F1995" s="4" t="s">
        <v>155</v>
      </c>
      <c r="G1995" s="4">
        <v>5</v>
      </c>
      <c r="H1995" s="4">
        <v>3</v>
      </c>
      <c r="I1995" s="4" t="s">
        <v>139</v>
      </c>
      <c r="J1995" s="4" t="s">
        <v>184</v>
      </c>
      <c r="K1995" s="4" t="s">
        <v>146</v>
      </c>
      <c r="L1995" s="4" t="s">
        <v>162</v>
      </c>
      <c r="M1995" s="4" t="s">
        <v>176</v>
      </c>
      <c r="N1995" s="4" t="s">
        <v>155</v>
      </c>
      <c r="O1995" s="4" t="s">
        <v>129</v>
      </c>
      <c r="P1995" s="4"/>
    </row>
    <row r="1996" spans="1:16" ht="15">
      <c r="A1996" s="4" t="s">
        <v>3005</v>
      </c>
      <c r="B1996" s="30">
        <v>39960</v>
      </c>
      <c r="C1996" s="4"/>
      <c r="D1996" s="4" t="s">
        <v>195</v>
      </c>
      <c r="E1996" s="4" t="s">
        <v>170</v>
      </c>
      <c r="F1996" s="4" t="s">
        <v>155</v>
      </c>
      <c r="G1996" s="4"/>
      <c r="H1996" s="4"/>
      <c r="I1996" s="4" t="s">
        <v>139</v>
      </c>
      <c r="J1996" s="4" t="s">
        <v>185</v>
      </c>
      <c r="K1996" s="4" t="s">
        <v>144</v>
      </c>
      <c r="L1996" s="4" t="s">
        <v>4181</v>
      </c>
      <c r="M1996" s="4" t="s">
        <v>3006</v>
      </c>
      <c r="N1996" s="4" t="s">
        <v>155</v>
      </c>
      <c r="O1996" s="4" t="s">
        <v>125</v>
      </c>
      <c r="P1996" s="4"/>
    </row>
    <row r="1997" spans="1:16" ht="15">
      <c r="A1997" s="4" t="s">
        <v>3007</v>
      </c>
      <c r="B1997" s="30">
        <v>39930</v>
      </c>
      <c r="C1997" s="4"/>
      <c r="D1997" s="4" t="s">
        <v>4183</v>
      </c>
      <c r="E1997" s="4" t="s">
        <v>170</v>
      </c>
      <c r="F1997" s="4" t="s">
        <v>155</v>
      </c>
      <c r="G1997" s="4"/>
      <c r="H1997" s="4"/>
      <c r="I1997" s="4" t="s">
        <v>140</v>
      </c>
      <c r="J1997" s="4" t="s">
        <v>178</v>
      </c>
      <c r="K1997" s="4" t="s">
        <v>149</v>
      </c>
      <c r="L1997" s="4" t="s">
        <v>4181</v>
      </c>
      <c r="M1997" s="4" t="s">
        <v>3008</v>
      </c>
      <c r="N1997" s="4" t="s">
        <v>155</v>
      </c>
      <c r="O1997" s="4" t="s">
        <v>124</v>
      </c>
      <c r="P1997" s="4"/>
    </row>
    <row r="1998" spans="1:16" ht="15">
      <c r="A1998" s="4" t="s">
        <v>3009</v>
      </c>
      <c r="B1998" s="30">
        <v>40040</v>
      </c>
      <c r="C1998" s="4" t="s">
        <v>9</v>
      </c>
      <c r="D1998" s="4" t="s">
        <v>193</v>
      </c>
      <c r="E1998" s="4" t="s">
        <v>170</v>
      </c>
      <c r="F1998" s="4" t="s">
        <v>155</v>
      </c>
      <c r="G1998" s="4">
        <v>5</v>
      </c>
      <c r="H1998" s="4">
        <v>4</v>
      </c>
      <c r="I1998" s="4" t="s">
        <v>140</v>
      </c>
      <c r="J1998" s="4" t="s">
        <v>180</v>
      </c>
      <c r="K1998" s="4" t="s">
        <v>144</v>
      </c>
      <c r="L1998" s="4" t="s">
        <v>4181</v>
      </c>
      <c r="M1998" s="4" t="s">
        <v>173</v>
      </c>
      <c r="N1998" s="4" t="s">
        <v>155</v>
      </c>
      <c r="O1998" s="4" t="s">
        <v>128</v>
      </c>
      <c r="P1998" s="4"/>
    </row>
    <row r="1999" spans="1:16" ht="15">
      <c r="A1999" s="4" t="s">
        <v>3010</v>
      </c>
      <c r="B1999" s="30">
        <v>39976</v>
      </c>
      <c r="C1999" s="4" t="s">
        <v>380</v>
      </c>
      <c r="D1999" s="4" t="s">
        <v>193</v>
      </c>
      <c r="E1999" s="4" t="s">
        <v>170</v>
      </c>
      <c r="F1999" s="4" t="s">
        <v>155</v>
      </c>
      <c r="G1999" s="4"/>
      <c r="H1999" s="4"/>
      <c r="I1999" s="4" t="s">
        <v>140</v>
      </c>
      <c r="J1999" s="4" t="s">
        <v>180</v>
      </c>
      <c r="K1999" s="4" t="s">
        <v>143</v>
      </c>
      <c r="L1999" s="4" t="s">
        <v>4176</v>
      </c>
      <c r="M1999" s="4" t="s">
        <v>174</v>
      </c>
      <c r="N1999" s="4" t="s">
        <v>159</v>
      </c>
      <c r="O1999" s="4" t="s">
        <v>123</v>
      </c>
      <c r="P1999" s="4" t="s">
        <v>123</v>
      </c>
    </row>
    <row r="2000" spans="1:16" ht="15">
      <c r="A2000" s="4" t="s">
        <v>3011</v>
      </c>
      <c r="B2000" s="30">
        <v>40053</v>
      </c>
      <c r="C2000" s="4"/>
      <c r="D2000" s="4" t="s">
        <v>197</v>
      </c>
      <c r="E2000" s="4" t="s">
        <v>170</v>
      </c>
      <c r="F2000" s="4" t="s">
        <v>155</v>
      </c>
      <c r="G2000" s="4">
        <v>1</v>
      </c>
      <c r="H2000" s="4">
        <v>4</v>
      </c>
      <c r="I2000" s="4" t="s">
        <v>139</v>
      </c>
      <c r="J2000" s="4" t="s">
        <v>180</v>
      </c>
      <c r="K2000" s="4" t="s">
        <v>146</v>
      </c>
      <c r="L2000" s="4" t="s">
        <v>4176</v>
      </c>
      <c r="M2000" s="4" t="s">
        <v>174</v>
      </c>
      <c r="N2000" s="4" t="s">
        <v>157</v>
      </c>
      <c r="O2000" s="4" t="s">
        <v>434</v>
      </c>
      <c r="P2000" s="4" t="s">
        <v>435</v>
      </c>
    </row>
    <row r="2001" spans="1:16" ht="15">
      <c r="A2001" s="4" t="s">
        <v>3012</v>
      </c>
      <c r="B2001" s="30">
        <v>39992</v>
      </c>
      <c r="C2001" s="4" t="s">
        <v>9</v>
      </c>
      <c r="D2001" s="4" t="s">
        <v>193</v>
      </c>
      <c r="E2001" s="4" t="s">
        <v>170</v>
      </c>
      <c r="F2001" s="4" t="s">
        <v>155</v>
      </c>
      <c r="G2001" s="4"/>
      <c r="H2001" s="4">
        <v>5</v>
      </c>
      <c r="I2001" s="4" t="s">
        <v>140</v>
      </c>
      <c r="J2001" s="4" t="s">
        <v>180</v>
      </c>
      <c r="K2001" s="4" t="s">
        <v>146</v>
      </c>
      <c r="L2001" s="4" t="s">
        <v>4181</v>
      </c>
      <c r="M2001" s="4" t="s">
        <v>1228</v>
      </c>
      <c r="N2001" s="4" t="s">
        <v>155</v>
      </c>
      <c r="O2001" s="4" t="s">
        <v>125</v>
      </c>
      <c r="P2001" s="4"/>
    </row>
    <row r="2002" spans="1:16" ht="15">
      <c r="A2002" s="4" t="s">
        <v>3013</v>
      </c>
      <c r="B2002" s="30">
        <v>39936</v>
      </c>
      <c r="C2002" s="4"/>
      <c r="D2002" s="4" t="s">
        <v>4184</v>
      </c>
      <c r="E2002" s="4" t="s">
        <v>170</v>
      </c>
      <c r="F2002" s="4" t="s">
        <v>155</v>
      </c>
      <c r="G2002" s="4"/>
      <c r="H2002" s="4"/>
      <c r="I2002" s="4" t="s">
        <v>140</v>
      </c>
      <c r="J2002" s="4" t="s">
        <v>180</v>
      </c>
      <c r="K2002" s="4" t="s">
        <v>145</v>
      </c>
      <c r="L2002" s="4" t="s">
        <v>4181</v>
      </c>
      <c r="M2002" s="4" t="s">
        <v>415</v>
      </c>
      <c r="N2002" s="4" t="s">
        <v>155</v>
      </c>
      <c r="O2002" s="4" t="s">
        <v>692</v>
      </c>
      <c r="P2002" s="4"/>
    </row>
    <row r="2003" spans="1:16" ht="15">
      <c r="A2003" s="4" t="s">
        <v>3014</v>
      </c>
      <c r="B2003" s="30">
        <v>40000</v>
      </c>
      <c r="C2003" s="4" t="s">
        <v>383</v>
      </c>
      <c r="D2003" s="4" t="s">
        <v>196</v>
      </c>
      <c r="E2003" s="4" t="s">
        <v>170</v>
      </c>
      <c r="F2003" s="4" t="s">
        <v>155</v>
      </c>
      <c r="G2003" s="4"/>
      <c r="H2003" s="4">
        <v>3</v>
      </c>
      <c r="I2003" s="4" t="s">
        <v>139</v>
      </c>
      <c r="J2003" s="4" t="s">
        <v>180</v>
      </c>
      <c r="K2003" s="4" t="s">
        <v>145</v>
      </c>
      <c r="L2003" s="4" t="s">
        <v>4176</v>
      </c>
      <c r="M2003" s="4" t="s">
        <v>2900</v>
      </c>
      <c r="N2003" s="4" t="s">
        <v>156</v>
      </c>
      <c r="O2003" s="4" t="s">
        <v>120</v>
      </c>
      <c r="P2003" s="4" t="s">
        <v>2698</v>
      </c>
    </row>
    <row r="2004" spans="1:16" ht="15">
      <c r="A2004" s="4" t="s">
        <v>3015</v>
      </c>
      <c r="B2004" s="30">
        <v>40000</v>
      </c>
      <c r="C2004" s="4"/>
      <c r="D2004" s="4" t="s">
        <v>193</v>
      </c>
      <c r="E2004" s="4" t="s">
        <v>170</v>
      </c>
      <c r="F2004" s="4" t="s">
        <v>155</v>
      </c>
      <c r="G2004" s="4"/>
      <c r="H2004" s="4">
        <v>5</v>
      </c>
      <c r="I2004" s="4" t="s">
        <v>140</v>
      </c>
      <c r="J2004" s="4" t="s">
        <v>180</v>
      </c>
      <c r="K2004" s="4" t="s">
        <v>142</v>
      </c>
      <c r="L2004" s="4" t="s">
        <v>165</v>
      </c>
      <c r="M2004" s="4" t="s">
        <v>3016</v>
      </c>
      <c r="N2004" s="4" t="s">
        <v>158</v>
      </c>
      <c r="O2004" s="4" t="s">
        <v>122</v>
      </c>
      <c r="P2004" s="4"/>
    </row>
    <row r="2005" spans="1:16" ht="15">
      <c r="A2005" s="4" t="s">
        <v>3017</v>
      </c>
      <c r="B2005" s="30">
        <v>40082</v>
      </c>
      <c r="C2005" s="4" t="s">
        <v>383</v>
      </c>
      <c r="D2005" s="4" t="s">
        <v>196</v>
      </c>
      <c r="E2005" s="4" t="s">
        <v>170</v>
      </c>
      <c r="F2005" s="4" t="s">
        <v>155</v>
      </c>
      <c r="G2005" s="4">
        <v>5</v>
      </c>
      <c r="H2005" s="4">
        <v>3</v>
      </c>
      <c r="I2005" s="4" t="s">
        <v>139</v>
      </c>
      <c r="J2005" s="4" t="s">
        <v>180</v>
      </c>
      <c r="K2005" s="4" t="s">
        <v>142</v>
      </c>
      <c r="L2005" s="4" t="s">
        <v>4181</v>
      </c>
      <c r="M2005" s="4" t="s">
        <v>173</v>
      </c>
      <c r="N2005" s="4" t="s">
        <v>155</v>
      </c>
      <c r="O2005" s="4" t="s">
        <v>128</v>
      </c>
      <c r="P2005" s="4"/>
    </row>
    <row r="2006" spans="1:16" ht="15">
      <c r="A2006" s="4" t="s">
        <v>3018</v>
      </c>
      <c r="B2006" s="30">
        <v>39931</v>
      </c>
      <c r="C2006" s="4"/>
      <c r="D2006" s="4" t="s">
        <v>4180</v>
      </c>
      <c r="E2006" s="4" t="s">
        <v>170</v>
      </c>
      <c r="F2006" s="4" t="s">
        <v>155</v>
      </c>
      <c r="G2006" s="4"/>
      <c r="H2006" s="4"/>
      <c r="I2006" s="4" t="s">
        <v>139</v>
      </c>
      <c r="J2006" s="4" t="s">
        <v>180</v>
      </c>
      <c r="K2006" s="4" t="s">
        <v>149</v>
      </c>
      <c r="L2006" s="4" t="s">
        <v>4181</v>
      </c>
      <c r="M2006" s="4" t="s">
        <v>415</v>
      </c>
      <c r="N2006" s="4" t="s">
        <v>155</v>
      </c>
      <c r="O2006" s="4" t="s">
        <v>125</v>
      </c>
      <c r="P2006" s="4"/>
    </row>
    <row r="2007" spans="1:16" ht="15">
      <c r="A2007" s="4" t="s">
        <v>3019</v>
      </c>
      <c r="B2007" s="30">
        <v>39907</v>
      </c>
      <c r="C2007" s="4"/>
      <c r="D2007" s="4" t="s">
        <v>4180</v>
      </c>
      <c r="E2007" s="4" t="s">
        <v>170</v>
      </c>
      <c r="F2007" s="4" t="s">
        <v>155</v>
      </c>
      <c r="G2007" s="4"/>
      <c r="H2007" s="4"/>
      <c r="I2007" s="4" t="s">
        <v>139</v>
      </c>
      <c r="J2007" s="4" t="s">
        <v>180</v>
      </c>
      <c r="K2007" s="4" t="s">
        <v>147</v>
      </c>
      <c r="L2007" s="4" t="s">
        <v>4181</v>
      </c>
      <c r="M2007" s="4" t="s">
        <v>2629</v>
      </c>
      <c r="N2007" s="4" t="s">
        <v>155</v>
      </c>
      <c r="O2007" s="4" t="s">
        <v>454</v>
      </c>
      <c r="P2007" s="4"/>
    </row>
    <row r="2008" spans="1:16" ht="15">
      <c r="A2008" s="4" t="s">
        <v>3020</v>
      </c>
      <c r="B2008" s="30">
        <v>39967</v>
      </c>
      <c r="C2008" s="4"/>
      <c r="D2008" s="4" t="s">
        <v>195</v>
      </c>
      <c r="E2008" s="4" t="s">
        <v>170</v>
      </c>
      <c r="F2008" s="4" t="s">
        <v>155</v>
      </c>
      <c r="G2008" s="4"/>
      <c r="H2008" s="4"/>
      <c r="I2008" s="4" t="s">
        <v>139</v>
      </c>
      <c r="J2008" s="4" t="s">
        <v>180</v>
      </c>
      <c r="K2008" s="4" t="s">
        <v>144</v>
      </c>
      <c r="L2008" s="4" t="s">
        <v>4176</v>
      </c>
      <c r="M2008" s="4" t="s">
        <v>175</v>
      </c>
      <c r="N2008" s="4" t="s">
        <v>159</v>
      </c>
      <c r="O2008" s="4" t="s">
        <v>126</v>
      </c>
      <c r="P2008" s="4" t="s">
        <v>601</v>
      </c>
    </row>
    <row r="2009" spans="1:16" ht="15">
      <c r="A2009" s="4" t="s">
        <v>3021</v>
      </c>
      <c r="B2009" s="30">
        <v>39925</v>
      </c>
      <c r="C2009" s="4"/>
      <c r="D2009" s="4" t="s">
        <v>4183</v>
      </c>
      <c r="E2009" s="4" t="s">
        <v>170</v>
      </c>
      <c r="F2009" s="4" t="s">
        <v>155</v>
      </c>
      <c r="G2009" s="4"/>
      <c r="H2009" s="4"/>
      <c r="I2009" s="4" t="s">
        <v>140</v>
      </c>
      <c r="J2009" s="4" t="s">
        <v>180</v>
      </c>
      <c r="K2009" s="4" t="s">
        <v>147</v>
      </c>
      <c r="L2009" s="4" t="s">
        <v>4181</v>
      </c>
      <c r="M2009" s="4" t="s">
        <v>173</v>
      </c>
      <c r="N2009" s="4" t="s">
        <v>155</v>
      </c>
      <c r="O2009" s="4" t="s">
        <v>692</v>
      </c>
      <c r="P2009" s="4"/>
    </row>
    <row r="2010" spans="1:16" ht="15">
      <c r="A2010" s="4" t="s">
        <v>3022</v>
      </c>
      <c r="B2010" s="30">
        <v>40035</v>
      </c>
      <c r="C2010" s="4" t="s">
        <v>9</v>
      </c>
      <c r="D2010" s="4" t="s">
        <v>193</v>
      </c>
      <c r="E2010" s="4" t="s">
        <v>170</v>
      </c>
      <c r="F2010" s="4" t="s">
        <v>155</v>
      </c>
      <c r="G2010" s="4">
        <v>5</v>
      </c>
      <c r="H2010" s="4">
        <v>5</v>
      </c>
      <c r="I2010" s="4" t="s">
        <v>140</v>
      </c>
      <c r="J2010" s="4" t="s">
        <v>180</v>
      </c>
      <c r="K2010" s="4" t="s">
        <v>143</v>
      </c>
      <c r="L2010" s="4" t="s">
        <v>4176</v>
      </c>
      <c r="M2010" s="4"/>
      <c r="N2010" s="4" t="s">
        <v>160</v>
      </c>
      <c r="O2010" s="4" t="s">
        <v>126</v>
      </c>
      <c r="P2010" s="4" t="s">
        <v>900</v>
      </c>
    </row>
    <row r="2011" spans="1:16" ht="15">
      <c r="A2011" s="4" t="s">
        <v>3023</v>
      </c>
      <c r="B2011" s="30">
        <v>40048</v>
      </c>
      <c r="C2011" s="4" t="s">
        <v>9</v>
      </c>
      <c r="D2011" s="4" t="s">
        <v>193</v>
      </c>
      <c r="E2011" s="4" t="s">
        <v>170</v>
      </c>
      <c r="F2011" s="4" t="s">
        <v>155</v>
      </c>
      <c r="G2011" s="4">
        <v>5</v>
      </c>
      <c r="H2011" s="4">
        <v>5</v>
      </c>
      <c r="I2011" s="4" t="s">
        <v>140</v>
      </c>
      <c r="J2011" s="4" t="s">
        <v>180</v>
      </c>
      <c r="K2011" s="4" t="s">
        <v>145</v>
      </c>
      <c r="L2011" s="4" t="s">
        <v>165</v>
      </c>
      <c r="M2011" s="4" t="s">
        <v>1411</v>
      </c>
      <c r="N2011" s="4" t="s">
        <v>158</v>
      </c>
      <c r="O2011" s="4" t="s">
        <v>122</v>
      </c>
      <c r="P2011" s="4"/>
    </row>
    <row r="2012" spans="1:16" ht="15">
      <c r="A2012" s="4" t="s">
        <v>3024</v>
      </c>
      <c r="B2012" s="30">
        <v>39946</v>
      </c>
      <c r="C2012" s="4"/>
      <c r="D2012" s="4" t="s">
        <v>193</v>
      </c>
      <c r="E2012" s="4" t="s">
        <v>170</v>
      </c>
      <c r="F2012" s="4" t="s">
        <v>155</v>
      </c>
      <c r="G2012" s="4"/>
      <c r="H2012" s="4"/>
      <c r="I2012" s="4" t="s">
        <v>140</v>
      </c>
      <c r="J2012" s="4" t="s">
        <v>180</v>
      </c>
      <c r="K2012" s="4" t="s">
        <v>151</v>
      </c>
      <c r="L2012" s="4" t="s">
        <v>4176</v>
      </c>
      <c r="M2012" s="4" t="s">
        <v>174</v>
      </c>
      <c r="N2012" s="4" t="s">
        <v>157</v>
      </c>
      <c r="O2012" s="4" t="s">
        <v>434</v>
      </c>
      <c r="P2012" s="4" t="s">
        <v>449</v>
      </c>
    </row>
    <row r="2013" spans="1:16" ht="15">
      <c r="A2013" s="4" t="s">
        <v>3025</v>
      </c>
      <c r="B2013" s="30">
        <v>39975</v>
      </c>
      <c r="C2013" s="4"/>
      <c r="D2013" s="4" t="s">
        <v>193</v>
      </c>
      <c r="E2013" s="4" t="s">
        <v>170</v>
      </c>
      <c r="F2013" s="4" t="s">
        <v>155</v>
      </c>
      <c r="G2013" s="4"/>
      <c r="H2013" s="4"/>
      <c r="I2013" s="4" t="s">
        <v>140</v>
      </c>
      <c r="J2013" s="4" t="s">
        <v>181</v>
      </c>
      <c r="K2013" s="4" t="s">
        <v>142</v>
      </c>
      <c r="L2013" s="4" t="s">
        <v>162</v>
      </c>
      <c r="M2013" s="4" t="s">
        <v>175</v>
      </c>
      <c r="N2013" s="4" t="s">
        <v>155</v>
      </c>
      <c r="O2013" s="4" t="s">
        <v>130</v>
      </c>
      <c r="P2013" s="4"/>
    </row>
    <row r="2014" spans="1:16" ht="15">
      <c r="A2014" s="4" t="s">
        <v>3026</v>
      </c>
      <c r="B2014" s="30">
        <v>39969</v>
      </c>
      <c r="C2014" s="4"/>
      <c r="D2014" s="4" t="s">
        <v>194</v>
      </c>
      <c r="E2014" s="4" t="s">
        <v>170</v>
      </c>
      <c r="F2014" s="4" t="s">
        <v>155</v>
      </c>
      <c r="G2014" s="4"/>
      <c r="H2014" s="4"/>
      <c r="I2014" s="4" t="s">
        <v>139</v>
      </c>
      <c r="J2014" s="4" t="s">
        <v>181</v>
      </c>
      <c r="K2014" s="4" t="s">
        <v>148</v>
      </c>
      <c r="L2014" s="4" t="s">
        <v>162</v>
      </c>
      <c r="M2014" s="4" t="s">
        <v>175</v>
      </c>
      <c r="N2014" s="4" t="s">
        <v>155</v>
      </c>
      <c r="O2014" s="4" t="s">
        <v>130</v>
      </c>
      <c r="P2014" s="4"/>
    </row>
    <row r="2015" spans="1:16" ht="15">
      <c r="A2015" s="4" t="s">
        <v>3027</v>
      </c>
      <c r="B2015" s="30">
        <v>39965</v>
      </c>
      <c r="C2015" s="4" t="s">
        <v>380</v>
      </c>
      <c r="D2015" s="4" t="s">
        <v>193</v>
      </c>
      <c r="E2015" s="4" t="s">
        <v>170</v>
      </c>
      <c r="F2015" s="4" t="s">
        <v>155</v>
      </c>
      <c r="G2015" s="4"/>
      <c r="H2015" s="4"/>
      <c r="I2015" s="4" t="s">
        <v>140</v>
      </c>
      <c r="J2015" s="4" t="s">
        <v>178</v>
      </c>
      <c r="K2015" s="4" t="s">
        <v>146</v>
      </c>
      <c r="L2015" s="4" t="s">
        <v>4181</v>
      </c>
      <c r="M2015" s="4" t="s">
        <v>173</v>
      </c>
      <c r="N2015" s="4" t="s">
        <v>161</v>
      </c>
      <c r="O2015" s="4" t="s">
        <v>939</v>
      </c>
      <c r="P2015" s="4"/>
    </row>
    <row r="2016" spans="1:16" ht="15">
      <c r="A2016" s="4" t="s">
        <v>3028</v>
      </c>
      <c r="B2016" s="30">
        <v>39946</v>
      </c>
      <c r="C2016" s="4"/>
      <c r="D2016" s="4" t="s">
        <v>193</v>
      </c>
      <c r="E2016" s="4" t="s">
        <v>170</v>
      </c>
      <c r="F2016" s="4" t="s">
        <v>155</v>
      </c>
      <c r="G2016" s="4"/>
      <c r="H2016" s="4"/>
      <c r="I2016" s="4" t="s">
        <v>140</v>
      </c>
      <c r="J2016" s="4" t="s">
        <v>179</v>
      </c>
      <c r="K2016" s="4" t="s">
        <v>150</v>
      </c>
      <c r="L2016" s="4" t="s">
        <v>162</v>
      </c>
      <c r="M2016" s="4" t="s">
        <v>1899</v>
      </c>
      <c r="N2016" s="4" t="s">
        <v>155</v>
      </c>
      <c r="O2016" s="4" t="s">
        <v>127</v>
      </c>
      <c r="P2016" s="4"/>
    </row>
    <row r="2017" spans="1:16" ht="15">
      <c r="A2017" s="4" t="s">
        <v>3029</v>
      </c>
      <c r="B2017" s="30">
        <v>40017</v>
      </c>
      <c r="C2017" s="4"/>
      <c r="D2017" s="4" t="s">
        <v>193</v>
      </c>
      <c r="E2017" s="4" t="s">
        <v>170</v>
      </c>
      <c r="F2017" s="4" t="s">
        <v>155</v>
      </c>
      <c r="G2017" s="4">
        <v>5</v>
      </c>
      <c r="H2017" s="4">
        <v>2</v>
      </c>
      <c r="I2017" s="4" t="s">
        <v>140</v>
      </c>
      <c r="J2017" s="4" t="s">
        <v>179</v>
      </c>
      <c r="K2017" s="4" t="s">
        <v>148</v>
      </c>
      <c r="L2017" s="4" t="s">
        <v>162</v>
      </c>
      <c r="M2017" s="4"/>
      <c r="N2017" s="4" t="s">
        <v>155</v>
      </c>
      <c r="O2017" s="4" t="s">
        <v>130</v>
      </c>
      <c r="P2017" s="4"/>
    </row>
    <row r="2018" spans="1:16" ht="15">
      <c r="A2018" s="4" t="s">
        <v>3030</v>
      </c>
      <c r="B2018" s="30">
        <v>39924</v>
      </c>
      <c r="C2018" s="4"/>
      <c r="D2018" s="4" t="s">
        <v>4177</v>
      </c>
      <c r="E2018" s="4" t="s">
        <v>170</v>
      </c>
      <c r="F2018" s="4" t="s">
        <v>155</v>
      </c>
      <c r="G2018" s="4"/>
      <c r="H2018" s="4"/>
      <c r="I2018" s="4" t="s">
        <v>139</v>
      </c>
      <c r="J2018" s="4" t="s">
        <v>178</v>
      </c>
      <c r="K2018" s="4" t="s">
        <v>142</v>
      </c>
      <c r="L2018" s="4" t="s">
        <v>4176</v>
      </c>
      <c r="M2018" s="4" t="s">
        <v>174</v>
      </c>
      <c r="N2018" s="4" t="s">
        <v>156</v>
      </c>
      <c r="O2018" s="4" t="s">
        <v>120</v>
      </c>
      <c r="P2018" s="4" t="s">
        <v>631</v>
      </c>
    </row>
    <row r="2019" spans="1:16" ht="15">
      <c r="A2019" s="4" t="s">
        <v>3031</v>
      </c>
      <c r="B2019" s="30">
        <v>40057</v>
      </c>
      <c r="C2019" s="4" t="s">
        <v>496</v>
      </c>
      <c r="D2019" s="4" t="s">
        <v>193</v>
      </c>
      <c r="E2019" s="4" t="s">
        <v>170</v>
      </c>
      <c r="F2019" s="4" t="s">
        <v>155</v>
      </c>
      <c r="G2019" s="4">
        <v>1</v>
      </c>
      <c r="H2019" s="4">
        <v>2</v>
      </c>
      <c r="I2019" s="4" t="s">
        <v>140</v>
      </c>
      <c r="J2019" s="4" t="s">
        <v>183</v>
      </c>
      <c r="K2019" s="4" t="s">
        <v>150</v>
      </c>
      <c r="L2019" s="4" t="s">
        <v>4176</v>
      </c>
      <c r="M2019" s="4" t="s">
        <v>429</v>
      </c>
      <c r="N2019" s="4" t="s">
        <v>159</v>
      </c>
      <c r="O2019" s="4" t="s">
        <v>126</v>
      </c>
      <c r="P2019" s="4" t="s">
        <v>601</v>
      </c>
    </row>
    <row r="2020" spans="1:16" ht="15">
      <c r="A2020" s="4" t="s">
        <v>3032</v>
      </c>
      <c r="B2020" s="30">
        <v>40026</v>
      </c>
      <c r="C2020" s="4"/>
      <c r="D2020" s="4" t="s">
        <v>197</v>
      </c>
      <c r="E2020" s="4" t="s">
        <v>170</v>
      </c>
      <c r="F2020" s="4" t="s">
        <v>155</v>
      </c>
      <c r="G2020" s="4">
        <v>5</v>
      </c>
      <c r="H2020" s="4">
        <v>5</v>
      </c>
      <c r="I2020" s="4" t="s">
        <v>139</v>
      </c>
      <c r="J2020" s="4" t="s">
        <v>183</v>
      </c>
      <c r="K2020" s="4" t="s">
        <v>143</v>
      </c>
      <c r="L2020" s="4" t="s">
        <v>162</v>
      </c>
      <c r="M2020" s="4" t="s">
        <v>498</v>
      </c>
      <c r="N2020" s="4" t="s">
        <v>155</v>
      </c>
      <c r="O2020" s="4" t="s">
        <v>129</v>
      </c>
      <c r="P2020" s="4"/>
    </row>
    <row r="2021" spans="1:16" ht="15">
      <c r="A2021" s="4" t="s">
        <v>3033</v>
      </c>
      <c r="B2021" s="30">
        <v>39919</v>
      </c>
      <c r="C2021" s="4"/>
      <c r="D2021" s="4" t="s">
        <v>4178</v>
      </c>
      <c r="E2021" s="4" t="s">
        <v>170</v>
      </c>
      <c r="F2021" s="4" t="s">
        <v>155</v>
      </c>
      <c r="G2021" s="4"/>
      <c r="H2021" s="4"/>
      <c r="I2021" s="4" t="s">
        <v>139</v>
      </c>
      <c r="J2021" s="4" t="s">
        <v>183</v>
      </c>
      <c r="K2021" s="4" t="s">
        <v>147</v>
      </c>
      <c r="L2021" s="4" t="s">
        <v>4176</v>
      </c>
      <c r="M2021" s="4" t="s">
        <v>174</v>
      </c>
      <c r="N2021" s="4" t="s">
        <v>157</v>
      </c>
      <c r="O2021" s="4" t="s">
        <v>130</v>
      </c>
      <c r="P2021" s="4" t="s">
        <v>437</v>
      </c>
    </row>
    <row r="2022" spans="1:16" ht="15">
      <c r="A2022" s="4" t="s">
        <v>3034</v>
      </c>
      <c r="B2022" s="30">
        <v>40020</v>
      </c>
      <c r="C2022" s="4"/>
      <c r="D2022" s="4" t="s">
        <v>195</v>
      </c>
      <c r="E2022" s="4" t="s">
        <v>170</v>
      </c>
      <c r="F2022" s="4" t="s">
        <v>155</v>
      </c>
      <c r="G2022" s="4">
        <v>4</v>
      </c>
      <c r="H2022" s="4">
        <v>4</v>
      </c>
      <c r="I2022" s="4" t="s">
        <v>139</v>
      </c>
      <c r="J2022" s="4" t="s">
        <v>190</v>
      </c>
      <c r="K2022" s="4" t="s">
        <v>143</v>
      </c>
      <c r="L2022" s="4" t="s">
        <v>4176</v>
      </c>
      <c r="M2022" s="4" t="s">
        <v>459</v>
      </c>
      <c r="N2022" s="4" t="s">
        <v>159</v>
      </c>
      <c r="O2022" s="4" t="s">
        <v>126</v>
      </c>
      <c r="P2022" s="4" t="s">
        <v>601</v>
      </c>
    </row>
    <row r="2023" spans="1:16" ht="15">
      <c r="A2023" s="4" t="s">
        <v>3035</v>
      </c>
      <c r="B2023" s="30">
        <v>40007</v>
      </c>
      <c r="C2023" s="4"/>
      <c r="D2023" s="4" t="s">
        <v>193</v>
      </c>
      <c r="E2023" s="4" t="s">
        <v>170</v>
      </c>
      <c r="F2023" s="4" t="s">
        <v>155</v>
      </c>
      <c r="G2023" s="4">
        <v>4</v>
      </c>
      <c r="H2023" s="4">
        <v>5</v>
      </c>
      <c r="I2023" s="4" t="s">
        <v>140</v>
      </c>
      <c r="J2023" s="4" t="s">
        <v>182</v>
      </c>
      <c r="K2023" s="4" t="s">
        <v>148</v>
      </c>
      <c r="L2023" s="4" t="s">
        <v>162</v>
      </c>
      <c r="M2023" s="4" t="s">
        <v>459</v>
      </c>
      <c r="N2023" s="4" t="s">
        <v>155</v>
      </c>
      <c r="O2023" s="4" t="s">
        <v>130</v>
      </c>
      <c r="P2023" s="4"/>
    </row>
    <row r="2024" spans="1:16" ht="15">
      <c r="A2024" s="4" t="s">
        <v>3036</v>
      </c>
      <c r="B2024" s="30">
        <v>40046</v>
      </c>
      <c r="C2024" s="4"/>
      <c r="D2024" s="4" t="s">
        <v>196</v>
      </c>
      <c r="E2024" s="4" t="s">
        <v>170</v>
      </c>
      <c r="F2024" s="4" t="s">
        <v>155</v>
      </c>
      <c r="G2024" s="4">
        <v>5</v>
      </c>
      <c r="H2024" s="4">
        <v>5</v>
      </c>
      <c r="I2024" s="4" t="s">
        <v>139</v>
      </c>
      <c r="J2024" s="4" t="s">
        <v>184</v>
      </c>
      <c r="K2024" s="4" t="s">
        <v>143</v>
      </c>
      <c r="L2024" s="4" t="s">
        <v>4176</v>
      </c>
      <c r="M2024" s="4" t="s">
        <v>174</v>
      </c>
      <c r="N2024" s="4" t="s">
        <v>156</v>
      </c>
      <c r="O2024" s="4" t="s">
        <v>120</v>
      </c>
      <c r="P2024" s="4" t="s">
        <v>425</v>
      </c>
    </row>
    <row r="2025" spans="1:16" ht="15">
      <c r="A2025" s="4" t="s">
        <v>3037</v>
      </c>
      <c r="B2025" s="30">
        <v>40052</v>
      </c>
      <c r="C2025" s="4" t="s">
        <v>9</v>
      </c>
      <c r="D2025" s="4" t="s">
        <v>195</v>
      </c>
      <c r="E2025" s="4" t="s">
        <v>170</v>
      </c>
      <c r="F2025" s="4" t="s">
        <v>155</v>
      </c>
      <c r="G2025" s="4">
        <v>5</v>
      </c>
      <c r="H2025" s="4">
        <v>4</v>
      </c>
      <c r="I2025" s="4" t="s">
        <v>139</v>
      </c>
      <c r="J2025" s="4" t="s">
        <v>179</v>
      </c>
      <c r="K2025" s="4" t="s">
        <v>144</v>
      </c>
      <c r="L2025" s="4" t="s">
        <v>162</v>
      </c>
      <c r="M2025" s="4" t="s">
        <v>175</v>
      </c>
      <c r="N2025" s="4" t="s">
        <v>155</v>
      </c>
      <c r="O2025" s="4" t="s">
        <v>454</v>
      </c>
      <c r="P2025" s="4"/>
    </row>
    <row r="2026" spans="1:16" ht="15">
      <c r="A2026" s="4" t="s">
        <v>3038</v>
      </c>
      <c r="B2026" s="30">
        <v>39945</v>
      </c>
      <c r="C2026" s="4"/>
      <c r="D2026" s="4" t="s">
        <v>194</v>
      </c>
      <c r="E2026" s="4" t="s">
        <v>170</v>
      </c>
      <c r="F2026" s="4" t="s">
        <v>155</v>
      </c>
      <c r="G2026" s="4"/>
      <c r="H2026" s="4"/>
      <c r="I2026" s="4" t="s">
        <v>139</v>
      </c>
      <c r="J2026" s="4" t="s">
        <v>179</v>
      </c>
      <c r="K2026" s="4" t="s">
        <v>143</v>
      </c>
      <c r="L2026" s="4" t="s">
        <v>4176</v>
      </c>
      <c r="M2026" s="4" t="s">
        <v>498</v>
      </c>
      <c r="N2026" s="4" t="s">
        <v>160</v>
      </c>
      <c r="O2026" s="4" t="s">
        <v>484</v>
      </c>
      <c r="P2026" s="4" t="s">
        <v>3039</v>
      </c>
    </row>
    <row r="2027" spans="1:16" ht="15">
      <c r="A2027" s="4" t="s">
        <v>3040</v>
      </c>
      <c r="B2027" s="30">
        <v>39979</v>
      </c>
      <c r="C2027" s="4" t="s">
        <v>383</v>
      </c>
      <c r="D2027" s="4" t="s">
        <v>193</v>
      </c>
      <c r="E2027" s="4" t="s">
        <v>170</v>
      </c>
      <c r="F2027" s="4" t="s">
        <v>155</v>
      </c>
      <c r="G2027" s="4"/>
      <c r="H2027" s="4"/>
      <c r="I2027" s="4" t="s">
        <v>140</v>
      </c>
      <c r="J2027" s="4" t="s">
        <v>534</v>
      </c>
      <c r="K2027" s="4" t="s">
        <v>142</v>
      </c>
      <c r="L2027" s="4" t="s">
        <v>162</v>
      </c>
      <c r="M2027" s="4" t="s">
        <v>175</v>
      </c>
      <c r="N2027" s="4" t="s">
        <v>155</v>
      </c>
      <c r="O2027" s="4" t="s">
        <v>130</v>
      </c>
      <c r="P2027" s="4"/>
    </row>
    <row r="2028" spans="1:16" ht="15">
      <c r="A2028" s="4" t="s">
        <v>3041</v>
      </c>
      <c r="B2028" s="30">
        <v>40012</v>
      </c>
      <c r="C2028" s="4"/>
      <c r="D2028" s="4" t="s">
        <v>196</v>
      </c>
      <c r="E2028" s="4" t="s">
        <v>170</v>
      </c>
      <c r="F2028" s="4" t="s">
        <v>155</v>
      </c>
      <c r="G2028" s="4">
        <v>3</v>
      </c>
      <c r="H2028" s="4">
        <v>3</v>
      </c>
      <c r="I2028" s="4" t="s">
        <v>139</v>
      </c>
      <c r="J2028" s="4" t="s">
        <v>179</v>
      </c>
      <c r="K2028" s="4" t="s">
        <v>146</v>
      </c>
      <c r="L2028" s="4" t="s">
        <v>162</v>
      </c>
      <c r="M2028" s="4"/>
      <c r="N2028" s="4" t="s">
        <v>155</v>
      </c>
      <c r="O2028" s="4" t="s">
        <v>130</v>
      </c>
      <c r="P2028" s="4"/>
    </row>
    <row r="2029" spans="1:16" ht="15">
      <c r="A2029" s="4" t="s">
        <v>3042</v>
      </c>
      <c r="B2029" s="30">
        <v>39951</v>
      </c>
      <c r="C2029" s="4"/>
      <c r="D2029" s="4" t="s">
        <v>195</v>
      </c>
      <c r="E2029" s="4" t="s">
        <v>170</v>
      </c>
      <c r="F2029" s="4" t="s">
        <v>155</v>
      </c>
      <c r="G2029" s="4"/>
      <c r="H2029" s="4"/>
      <c r="I2029" s="4" t="s">
        <v>139</v>
      </c>
      <c r="J2029" s="4" t="s">
        <v>534</v>
      </c>
      <c r="K2029" s="4" t="s">
        <v>147</v>
      </c>
      <c r="L2029" s="4" t="s">
        <v>4181</v>
      </c>
      <c r="M2029" s="4" t="s">
        <v>173</v>
      </c>
      <c r="N2029" s="4" t="s">
        <v>155</v>
      </c>
      <c r="O2029" s="4" t="s">
        <v>128</v>
      </c>
      <c r="P2029" s="4"/>
    </row>
    <row r="2030" spans="1:16" ht="15">
      <c r="A2030" s="4" t="s">
        <v>3043</v>
      </c>
      <c r="B2030" s="30">
        <v>39931</v>
      </c>
      <c r="C2030" s="4"/>
      <c r="D2030" s="4" t="s">
        <v>4178</v>
      </c>
      <c r="E2030" s="4" t="s">
        <v>170</v>
      </c>
      <c r="F2030" s="4" t="s">
        <v>155</v>
      </c>
      <c r="G2030" s="4"/>
      <c r="H2030" s="4"/>
      <c r="I2030" s="4" t="s">
        <v>139</v>
      </c>
      <c r="J2030" s="4" t="s">
        <v>179</v>
      </c>
      <c r="K2030" s="4" t="s">
        <v>147</v>
      </c>
      <c r="L2030" s="4" t="s">
        <v>4181</v>
      </c>
      <c r="M2030" s="4" t="s">
        <v>415</v>
      </c>
      <c r="N2030" s="4" t="s">
        <v>155</v>
      </c>
      <c r="O2030" s="4" t="s">
        <v>125</v>
      </c>
      <c r="P2030" s="4"/>
    </row>
    <row r="2031" spans="1:16" ht="15">
      <c r="A2031" s="4" t="s">
        <v>3044</v>
      </c>
      <c r="B2031" s="30">
        <v>39989</v>
      </c>
      <c r="C2031" s="4"/>
      <c r="D2031" s="4" t="s">
        <v>196</v>
      </c>
      <c r="E2031" s="4" t="s">
        <v>170</v>
      </c>
      <c r="F2031" s="4" t="s">
        <v>155</v>
      </c>
      <c r="G2031" s="4"/>
      <c r="H2031" s="4"/>
      <c r="I2031" s="4" t="s">
        <v>139</v>
      </c>
      <c r="J2031" s="4" t="s">
        <v>182</v>
      </c>
      <c r="K2031" s="4" t="s">
        <v>144</v>
      </c>
      <c r="L2031" s="4" t="s">
        <v>162</v>
      </c>
      <c r="M2031" s="4" t="s">
        <v>459</v>
      </c>
      <c r="N2031" s="4" t="s">
        <v>155</v>
      </c>
      <c r="O2031" s="4" t="s">
        <v>130</v>
      </c>
      <c r="P2031" s="4"/>
    </row>
    <row r="2032" spans="1:16" ht="15">
      <c r="A2032" s="4" t="s">
        <v>3045</v>
      </c>
      <c r="B2032" s="30">
        <v>39949</v>
      </c>
      <c r="C2032" s="4"/>
      <c r="D2032" s="4" t="s">
        <v>193</v>
      </c>
      <c r="E2032" s="4" t="s">
        <v>170</v>
      </c>
      <c r="F2032" s="4" t="s">
        <v>155</v>
      </c>
      <c r="G2032" s="4"/>
      <c r="H2032" s="4"/>
      <c r="I2032" s="4" t="s">
        <v>140</v>
      </c>
      <c r="J2032" s="4" t="s">
        <v>184</v>
      </c>
      <c r="K2032" s="4" t="s">
        <v>145</v>
      </c>
      <c r="L2032" s="4" t="s">
        <v>162</v>
      </c>
      <c r="M2032" s="4" t="s">
        <v>573</v>
      </c>
      <c r="N2032" s="4" t="s">
        <v>155</v>
      </c>
      <c r="O2032" s="4" t="s">
        <v>127</v>
      </c>
      <c r="P2032" s="4"/>
    </row>
    <row r="2033" spans="1:16" ht="15">
      <c r="A2033" s="4" t="s">
        <v>3046</v>
      </c>
      <c r="B2033" s="30">
        <v>39915</v>
      </c>
      <c r="C2033" s="4"/>
      <c r="D2033" s="4" t="s">
        <v>4182</v>
      </c>
      <c r="E2033" s="4" t="s">
        <v>170</v>
      </c>
      <c r="F2033" s="4" t="s">
        <v>155</v>
      </c>
      <c r="G2033" s="4"/>
      <c r="H2033" s="4"/>
      <c r="I2033" s="4" t="s">
        <v>139</v>
      </c>
      <c r="J2033" s="4" t="s">
        <v>178</v>
      </c>
      <c r="K2033" s="4" t="s">
        <v>145</v>
      </c>
      <c r="L2033" s="4" t="s">
        <v>162</v>
      </c>
      <c r="M2033" s="4" t="s">
        <v>175</v>
      </c>
      <c r="N2033" s="4" t="s">
        <v>155</v>
      </c>
      <c r="O2033" s="4" t="s">
        <v>129</v>
      </c>
      <c r="P2033" s="4"/>
    </row>
    <row r="2034" spans="1:16" ht="15">
      <c r="A2034" s="4" t="s">
        <v>3047</v>
      </c>
      <c r="B2034" s="30">
        <v>40028</v>
      </c>
      <c r="C2034" s="4"/>
      <c r="D2034" s="4" t="s">
        <v>193</v>
      </c>
      <c r="E2034" s="4" t="s">
        <v>170</v>
      </c>
      <c r="F2034" s="4" t="s">
        <v>155</v>
      </c>
      <c r="G2034" s="4">
        <v>5</v>
      </c>
      <c r="H2034" s="4">
        <v>3</v>
      </c>
      <c r="I2034" s="4" t="s">
        <v>140</v>
      </c>
      <c r="J2034" s="4" t="s">
        <v>184</v>
      </c>
      <c r="K2034" s="4" t="s">
        <v>143</v>
      </c>
      <c r="L2034" s="4" t="s">
        <v>4176</v>
      </c>
      <c r="M2034" s="4" t="s">
        <v>174</v>
      </c>
      <c r="N2034" s="4" t="s">
        <v>156</v>
      </c>
      <c r="O2034" s="4" t="s">
        <v>120</v>
      </c>
      <c r="P2034" s="4" t="s">
        <v>1087</v>
      </c>
    </row>
    <row r="2035" spans="1:16" ht="15">
      <c r="A2035" s="4" t="s">
        <v>3048</v>
      </c>
      <c r="B2035" s="30">
        <v>39951</v>
      </c>
      <c r="C2035" s="4"/>
      <c r="D2035" s="4" t="s">
        <v>193</v>
      </c>
      <c r="E2035" s="4" t="s">
        <v>170</v>
      </c>
      <c r="F2035" s="4" t="s">
        <v>155</v>
      </c>
      <c r="G2035" s="4"/>
      <c r="H2035" s="4"/>
      <c r="I2035" s="4" t="s">
        <v>140</v>
      </c>
      <c r="J2035" s="4" t="s">
        <v>187</v>
      </c>
      <c r="K2035" s="4" t="s">
        <v>147</v>
      </c>
      <c r="L2035" s="4" t="s">
        <v>4181</v>
      </c>
      <c r="M2035" s="4"/>
      <c r="N2035" s="4" t="s">
        <v>155</v>
      </c>
      <c r="O2035" s="4" t="s">
        <v>392</v>
      </c>
      <c r="P2035" s="4"/>
    </row>
    <row r="2036" spans="1:16" ht="15">
      <c r="A2036" s="4" t="s">
        <v>3049</v>
      </c>
      <c r="B2036" s="30">
        <v>39951</v>
      </c>
      <c r="C2036" s="4"/>
      <c r="D2036" s="4" t="s">
        <v>193</v>
      </c>
      <c r="E2036" s="4" t="s">
        <v>170</v>
      </c>
      <c r="F2036" s="4" t="s">
        <v>155</v>
      </c>
      <c r="G2036" s="4"/>
      <c r="H2036" s="4"/>
      <c r="I2036" s="4" t="s">
        <v>140</v>
      </c>
      <c r="J2036" s="4" t="s">
        <v>187</v>
      </c>
      <c r="K2036" s="4" t="s">
        <v>147</v>
      </c>
      <c r="L2036" s="4" t="s">
        <v>162</v>
      </c>
      <c r="M2036" s="4" t="s">
        <v>3050</v>
      </c>
      <c r="N2036" s="4" t="s">
        <v>155</v>
      </c>
      <c r="O2036" s="4" t="s">
        <v>129</v>
      </c>
      <c r="P2036" s="4"/>
    </row>
    <row r="2037" spans="1:16" ht="15">
      <c r="A2037" s="4" t="s">
        <v>3051</v>
      </c>
      <c r="B2037" s="30">
        <v>40026</v>
      </c>
      <c r="C2037" s="4"/>
      <c r="D2037" s="4" t="s">
        <v>197</v>
      </c>
      <c r="E2037" s="4" t="s">
        <v>170</v>
      </c>
      <c r="F2037" s="4" t="s">
        <v>155</v>
      </c>
      <c r="G2037" s="4">
        <v>5</v>
      </c>
      <c r="H2037" s="4">
        <v>5</v>
      </c>
      <c r="I2037" s="4" t="s">
        <v>139</v>
      </c>
      <c r="J2037" s="4" t="s">
        <v>187</v>
      </c>
      <c r="K2037" s="4" t="s">
        <v>142</v>
      </c>
      <c r="L2037" s="4" t="s">
        <v>4181</v>
      </c>
      <c r="M2037" s="4" t="s">
        <v>173</v>
      </c>
      <c r="N2037" s="4" t="s">
        <v>155</v>
      </c>
      <c r="O2037" s="4" t="s">
        <v>454</v>
      </c>
      <c r="P2037" s="4"/>
    </row>
    <row r="2038" spans="1:16" ht="15">
      <c r="A2038" s="4" t="s">
        <v>3052</v>
      </c>
      <c r="B2038" s="30">
        <v>40041</v>
      </c>
      <c r="C2038" s="4"/>
      <c r="D2038" s="4" t="s">
        <v>196</v>
      </c>
      <c r="E2038" s="4" t="s">
        <v>170</v>
      </c>
      <c r="F2038" s="4" t="s">
        <v>155</v>
      </c>
      <c r="G2038" s="4">
        <v>5</v>
      </c>
      <c r="H2038" s="4">
        <v>5</v>
      </c>
      <c r="I2038" s="4" t="s">
        <v>139</v>
      </c>
      <c r="J2038" s="4" t="s">
        <v>187</v>
      </c>
      <c r="K2038" s="4" t="s">
        <v>142</v>
      </c>
      <c r="L2038" s="4" t="s">
        <v>4181</v>
      </c>
      <c r="M2038" s="4" t="s">
        <v>173</v>
      </c>
      <c r="N2038" s="4" t="s">
        <v>155</v>
      </c>
      <c r="O2038" s="4" t="s">
        <v>125</v>
      </c>
      <c r="P2038" s="4"/>
    </row>
    <row r="2039" spans="1:16" ht="15">
      <c r="A2039" s="4" t="s">
        <v>3053</v>
      </c>
      <c r="B2039" s="30">
        <v>40052</v>
      </c>
      <c r="C2039" s="4"/>
      <c r="D2039" s="4" t="s">
        <v>197</v>
      </c>
      <c r="E2039" s="4" t="s">
        <v>170</v>
      </c>
      <c r="F2039" s="4" t="s">
        <v>155</v>
      </c>
      <c r="G2039" s="4">
        <v>5</v>
      </c>
      <c r="H2039" s="4">
        <v>5</v>
      </c>
      <c r="I2039" s="4" t="s">
        <v>139</v>
      </c>
      <c r="J2039" s="4" t="s">
        <v>187</v>
      </c>
      <c r="K2039" s="4" t="s">
        <v>145</v>
      </c>
      <c r="L2039" s="4" t="s">
        <v>4181</v>
      </c>
      <c r="M2039" s="4" t="s">
        <v>3054</v>
      </c>
      <c r="N2039" s="4" t="s">
        <v>155</v>
      </c>
      <c r="O2039" s="4" t="s">
        <v>1441</v>
      </c>
      <c r="P2039" s="4"/>
    </row>
    <row r="2040" spans="1:16" ht="15">
      <c r="A2040" s="4" t="s">
        <v>3055</v>
      </c>
      <c r="B2040" s="30">
        <v>39914</v>
      </c>
      <c r="C2040" s="4"/>
      <c r="D2040" s="4" t="s">
        <v>4182</v>
      </c>
      <c r="E2040" s="4" t="s">
        <v>170</v>
      </c>
      <c r="F2040" s="4" t="s">
        <v>155</v>
      </c>
      <c r="G2040" s="4"/>
      <c r="H2040" s="4"/>
      <c r="I2040" s="4" t="s">
        <v>139</v>
      </c>
      <c r="J2040" s="4" t="s">
        <v>187</v>
      </c>
      <c r="K2040" s="4" t="s">
        <v>145</v>
      </c>
      <c r="L2040" s="4" t="s">
        <v>4176</v>
      </c>
      <c r="M2040" s="4" t="s">
        <v>1026</v>
      </c>
      <c r="N2040" s="4" t="s">
        <v>156</v>
      </c>
      <c r="O2040" s="4" t="s">
        <v>120</v>
      </c>
      <c r="P2040" s="4" t="s">
        <v>794</v>
      </c>
    </row>
    <row r="2041" spans="1:16" ht="15">
      <c r="A2041" s="4" t="s">
        <v>3056</v>
      </c>
      <c r="B2041" s="30">
        <v>39978</v>
      </c>
      <c r="C2041" s="4"/>
      <c r="D2041" s="4" t="s">
        <v>193</v>
      </c>
      <c r="E2041" s="4" t="s">
        <v>170</v>
      </c>
      <c r="F2041" s="4" t="s">
        <v>155</v>
      </c>
      <c r="G2041" s="4"/>
      <c r="H2041" s="4"/>
      <c r="I2041" s="4" t="s">
        <v>140</v>
      </c>
      <c r="J2041" s="4" t="s">
        <v>187</v>
      </c>
      <c r="K2041" s="4" t="s">
        <v>146</v>
      </c>
      <c r="L2041" s="4" t="s">
        <v>162</v>
      </c>
      <c r="M2041" s="4" t="s">
        <v>3050</v>
      </c>
      <c r="N2041" s="4" t="s">
        <v>155</v>
      </c>
      <c r="O2041" s="4" t="s">
        <v>129</v>
      </c>
      <c r="P2041" s="4"/>
    </row>
    <row r="2042" spans="1:16" ht="15">
      <c r="A2042" s="4" t="s">
        <v>3057</v>
      </c>
      <c r="B2042" s="30">
        <v>39946</v>
      </c>
      <c r="C2042" s="4" t="s">
        <v>570</v>
      </c>
      <c r="D2042" s="4" t="s">
        <v>193</v>
      </c>
      <c r="E2042" s="4" t="s">
        <v>170</v>
      </c>
      <c r="F2042" s="4" t="s">
        <v>155</v>
      </c>
      <c r="G2042" s="4"/>
      <c r="H2042" s="4"/>
      <c r="I2042" s="4" t="s">
        <v>140</v>
      </c>
      <c r="J2042" s="4" t="s">
        <v>180</v>
      </c>
      <c r="K2042" s="4" t="s">
        <v>151</v>
      </c>
      <c r="L2042" s="4" t="s">
        <v>4181</v>
      </c>
      <c r="M2042" s="4" t="s">
        <v>173</v>
      </c>
      <c r="N2042" s="4" t="s">
        <v>155</v>
      </c>
      <c r="O2042" s="4" t="s">
        <v>692</v>
      </c>
      <c r="P2042" s="4"/>
    </row>
    <row r="2043" spans="1:16" ht="15">
      <c r="A2043" s="4" t="s">
        <v>3058</v>
      </c>
      <c r="B2043" s="30">
        <v>39944</v>
      </c>
      <c r="C2043" s="4"/>
      <c r="D2043" s="4" t="s">
        <v>195</v>
      </c>
      <c r="E2043" s="4" t="s">
        <v>170</v>
      </c>
      <c r="F2043" s="4" t="s">
        <v>155</v>
      </c>
      <c r="G2043" s="4"/>
      <c r="H2043" s="4"/>
      <c r="I2043" s="4" t="s">
        <v>139</v>
      </c>
      <c r="J2043" s="4" t="s">
        <v>184</v>
      </c>
      <c r="K2043" s="4" t="s">
        <v>145</v>
      </c>
      <c r="L2043" s="4" t="s">
        <v>4181</v>
      </c>
      <c r="M2043" s="4" t="s">
        <v>415</v>
      </c>
      <c r="N2043" s="4" t="s">
        <v>155</v>
      </c>
      <c r="O2043" s="4" t="s">
        <v>125</v>
      </c>
      <c r="P2043" s="4"/>
    </row>
    <row r="2044" spans="1:16" ht="15">
      <c r="A2044" s="4" t="s">
        <v>3059</v>
      </c>
      <c r="B2044" s="30">
        <v>39907</v>
      </c>
      <c r="C2044" s="4"/>
      <c r="D2044" s="4" t="s">
        <v>4179</v>
      </c>
      <c r="E2044" s="4" t="s">
        <v>170</v>
      </c>
      <c r="F2044" s="4" t="s">
        <v>155</v>
      </c>
      <c r="G2044" s="4"/>
      <c r="H2044" s="4"/>
      <c r="I2044" s="4" t="s">
        <v>139</v>
      </c>
      <c r="J2044" s="4" t="s">
        <v>188</v>
      </c>
      <c r="K2044" s="4" t="s">
        <v>147</v>
      </c>
      <c r="L2044" s="4" t="s">
        <v>165</v>
      </c>
      <c r="M2044" s="4" t="s">
        <v>3060</v>
      </c>
      <c r="N2044" s="4" t="s">
        <v>158</v>
      </c>
      <c r="O2044" s="4" t="s">
        <v>122</v>
      </c>
      <c r="P2044" s="4"/>
    </row>
    <row r="2045" spans="1:16" ht="15">
      <c r="A2045" s="4" t="s">
        <v>3061</v>
      </c>
      <c r="B2045" s="30">
        <v>40021</v>
      </c>
      <c r="C2045" s="4" t="s">
        <v>496</v>
      </c>
      <c r="D2045" s="4" t="s">
        <v>196</v>
      </c>
      <c r="E2045" s="4" t="s">
        <v>170</v>
      </c>
      <c r="F2045" s="4" t="s">
        <v>155</v>
      </c>
      <c r="G2045" s="4">
        <v>1</v>
      </c>
      <c r="H2045" s="4">
        <v>5</v>
      </c>
      <c r="I2045" s="4" t="s">
        <v>139</v>
      </c>
      <c r="J2045" s="4" t="s">
        <v>189</v>
      </c>
      <c r="K2045" s="4" t="s">
        <v>145</v>
      </c>
      <c r="L2045" s="4" t="s">
        <v>4181</v>
      </c>
      <c r="M2045" s="4" t="s">
        <v>173</v>
      </c>
      <c r="N2045" s="4" t="s">
        <v>155</v>
      </c>
      <c r="O2045" s="4" t="s">
        <v>124</v>
      </c>
      <c r="P2045" s="4"/>
    </row>
    <row r="2046" spans="1:16" ht="15">
      <c r="A2046" s="4" t="s">
        <v>3062</v>
      </c>
      <c r="B2046" s="30">
        <v>40015</v>
      </c>
      <c r="C2046" s="4"/>
      <c r="D2046" s="4" t="s">
        <v>193</v>
      </c>
      <c r="E2046" s="4" t="s">
        <v>170</v>
      </c>
      <c r="F2046" s="4" t="s">
        <v>155</v>
      </c>
      <c r="G2046" s="4">
        <v>5</v>
      </c>
      <c r="H2046" s="4">
        <v>3</v>
      </c>
      <c r="I2046" s="4" t="s">
        <v>140</v>
      </c>
      <c r="J2046" s="4" t="s">
        <v>182</v>
      </c>
      <c r="K2046" s="4" t="s">
        <v>146</v>
      </c>
      <c r="L2046" s="4" t="s">
        <v>4176</v>
      </c>
      <c r="M2046" s="4" t="s">
        <v>550</v>
      </c>
      <c r="N2046" s="4" t="s">
        <v>156</v>
      </c>
      <c r="O2046" s="4" t="s">
        <v>120</v>
      </c>
      <c r="P2046" s="4" t="s">
        <v>967</v>
      </c>
    </row>
    <row r="2047" spans="1:16" ht="15">
      <c r="A2047" s="4" t="s">
        <v>3063</v>
      </c>
      <c r="B2047" s="30">
        <v>40044</v>
      </c>
      <c r="C2047" s="4"/>
      <c r="D2047" s="4" t="s">
        <v>193</v>
      </c>
      <c r="E2047" s="4" t="s">
        <v>170</v>
      </c>
      <c r="F2047" s="4" t="s">
        <v>155</v>
      </c>
      <c r="G2047" s="4">
        <v>4</v>
      </c>
      <c r="H2047" s="4">
        <v>4</v>
      </c>
      <c r="I2047" s="4" t="s">
        <v>140</v>
      </c>
      <c r="J2047" s="4" t="s">
        <v>189</v>
      </c>
      <c r="K2047" s="4" t="s">
        <v>143</v>
      </c>
      <c r="L2047" s="4" t="s">
        <v>4176</v>
      </c>
      <c r="M2047" s="4" t="s">
        <v>550</v>
      </c>
      <c r="N2047" s="4" t="s">
        <v>159</v>
      </c>
      <c r="O2047" s="4" t="s">
        <v>123</v>
      </c>
      <c r="P2047" s="4" t="s">
        <v>123</v>
      </c>
    </row>
    <row r="2048" spans="1:16" ht="15">
      <c r="A2048" s="4" t="s">
        <v>3064</v>
      </c>
      <c r="B2048" s="30">
        <v>40056</v>
      </c>
      <c r="C2048" s="4"/>
      <c r="D2048" s="4" t="s">
        <v>196</v>
      </c>
      <c r="E2048" s="4" t="s">
        <v>170</v>
      </c>
      <c r="F2048" s="4" t="s">
        <v>155</v>
      </c>
      <c r="G2048" s="4">
        <v>5</v>
      </c>
      <c r="H2048" s="4">
        <v>2</v>
      </c>
      <c r="I2048" s="4" t="s">
        <v>139</v>
      </c>
      <c r="J2048" s="4" t="s">
        <v>187</v>
      </c>
      <c r="K2048" s="4" t="s">
        <v>144</v>
      </c>
      <c r="L2048" s="4" t="s">
        <v>4181</v>
      </c>
      <c r="M2048" s="4" t="s">
        <v>3065</v>
      </c>
      <c r="N2048" s="4" t="s">
        <v>155</v>
      </c>
      <c r="O2048" s="4" t="s">
        <v>128</v>
      </c>
      <c r="P2048" s="4"/>
    </row>
    <row r="2049" spans="1:16" ht="15">
      <c r="A2049" s="4" t="s">
        <v>3066</v>
      </c>
      <c r="B2049" s="30">
        <v>40035</v>
      </c>
      <c r="C2049" s="4"/>
      <c r="D2049" s="4" t="s">
        <v>193</v>
      </c>
      <c r="E2049" s="4" t="s">
        <v>170</v>
      </c>
      <c r="F2049" s="4" t="s">
        <v>155</v>
      </c>
      <c r="G2049" s="4">
        <v>5</v>
      </c>
      <c r="H2049" s="4">
        <v>5</v>
      </c>
      <c r="I2049" s="4" t="s">
        <v>140</v>
      </c>
      <c r="J2049" s="4" t="s">
        <v>384</v>
      </c>
      <c r="K2049" s="4" t="s">
        <v>142</v>
      </c>
      <c r="L2049" s="4" t="s">
        <v>4181</v>
      </c>
      <c r="M2049" s="4" t="s">
        <v>173</v>
      </c>
      <c r="N2049" s="4" t="s">
        <v>155</v>
      </c>
      <c r="O2049" s="4" t="s">
        <v>124</v>
      </c>
      <c r="P2049" s="4"/>
    </row>
    <row r="2050" spans="1:16" ht="15">
      <c r="A2050" s="4" t="s">
        <v>3067</v>
      </c>
      <c r="B2050" s="30">
        <v>39906</v>
      </c>
      <c r="C2050" s="4"/>
      <c r="D2050" s="4" t="s">
        <v>4177</v>
      </c>
      <c r="E2050" s="4" t="s">
        <v>170</v>
      </c>
      <c r="F2050" s="4" t="s">
        <v>155</v>
      </c>
      <c r="G2050" s="4"/>
      <c r="H2050" s="4"/>
      <c r="I2050" s="4" t="s">
        <v>139</v>
      </c>
      <c r="J2050" s="4" t="s">
        <v>187</v>
      </c>
      <c r="K2050" s="4" t="s">
        <v>145</v>
      </c>
      <c r="L2050" s="4" t="s">
        <v>165</v>
      </c>
      <c r="M2050" s="4" t="s">
        <v>3068</v>
      </c>
      <c r="N2050" s="4" t="s">
        <v>158</v>
      </c>
      <c r="O2050" s="4" t="s">
        <v>122</v>
      </c>
      <c r="P2050" s="4"/>
    </row>
    <row r="2051" spans="1:16" ht="15">
      <c r="A2051" s="4" t="s">
        <v>3069</v>
      </c>
      <c r="B2051" s="30">
        <v>39972</v>
      </c>
      <c r="C2051" s="4"/>
      <c r="D2051" s="4" t="s">
        <v>193</v>
      </c>
      <c r="E2051" s="4" t="s">
        <v>170</v>
      </c>
      <c r="F2051" s="4" t="s">
        <v>155</v>
      </c>
      <c r="G2051" s="4"/>
      <c r="H2051" s="4"/>
      <c r="I2051" s="4" t="s">
        <v>140</v>
      </c>
      <c r="J2051" s="4" t="s">
        <v>187</v>
      </c>
      <c r="K2051" s="4" t="s">
        <v>148</v>
      </c>
      <c r="L2051" s="4" t="s">
        <v>162</v>
      </c>
      <c r="M2051" s="4" t="s">
        <v>175</v>
      </c>
      <c r="N2051" s="4" t="s">
        <v>161</v>
      </c>
      <c r="O2051" s="4" t="s">
        <v>571</v>
      </c>
      <c r="P2051" s="4"/>
    </row>
    <row r="2052" spans="1:16" ht="15">
      <c r="A2052" s="4" t="s">
        <v>3070</v>
      </c>
      <c r="B2052" s="30">
        <v>40024</v>
      </c>
      <c r="C2052" s="4"/>
      <c r="D2052" s="4" t="s">
        <v>195</v>
      </c>
      <c r="E2052" s="4" t="s">
        <v>170</v>
      </c>
      <c r="F2052" s="4" t="s">
        <v>155</v>
      </c>
      <c r="G2052" s="4">
        <v>5</v>
      </c>
      <c r="H2052" s="4">
        <v>3</v>
      </c>
      <c r="I2052" s="4" t="s">
        <v>139</v>
      </c>
      <c r="J2052" s="4" t="s">
        <v>528</v>
      </c>
      <c r="K2052" s="4" t="s">
        <v>145</v>
      </c>
      <c r="L2052" s="4" t="s">
        <v>4181</v>
      </c>
      <c r="M2052" s="4" t="s">
        <v>173</v>
      </c>
      <c r="N2052" s="4" t="s">
        <v>155</v>
      </c>
      <c r="O2052" s="4" t="s">
        <v>763</v>
      </c>
      <c r="P2052" s="4"/>
    </row>
    <row r="2053" spans="1:16" ht="15">
      <c r="A2053" s="4" t="s">
        <v>3071</v>
      </c>
      <c r="B2053" s="30">
        <v>39992</v>
      </c>
      <c r="C2053" s="4" t="s">
        <v>525</v>
      </c>
      <c r="D2053" s="4" t="s">
        <v>196</v>
      </c>
      <c r="E2053" s="4" t="s">
        <v>170</v>
      </c>
      <c r="F2053" s="4" t="s">
        <v>155</v>
      </c>
      <c r="G2053" s="4"/>
      <c r="H2053" s="4">
        <v>3</v>
      </c>
      <c r="I2053" s="4" t="s">
        <v>139</v>
      </c>
      <c r="J2053" s="4" t="s">
        <v>179</v>
      </c>
      <c r="K2053" s="4" t="s">
        <v>144</v>
      </c>
      <c r="L2053" s="4" t="s">
        <v>4176</v>
      </c>
      <c r="M2053" s="4" t="s">
        <v>3072</v>
      </c>
      <c r="N2053" s="4" t="s">
        <v>157</v>
      </c>
      <c r="O2053" s="4" t="s">
        <v>130</v>
      </c>
      <c r="P2053" s="4" t="s">
        <v>437</v>
      </c>
    </row>
    <row r="2054" spans="1:16" ht="15">
      <c r="A2054" s="4" t="s">
        <v>3073</v>
      </c>
      <c r="B2054" s="30">
        <v>40083</v>
      </c>
      <c r="C2054" s="4"/>
      <c r="D2054" s="4" t="s">
        <v>193</v>
      </c>
      <c r="E2054" s="4" t="s">
        <v>170</v>
      </c>
      <c r="F2054" s="4" t="s">
        <v>155</v>
      </c>
      <c r="G2054" s="4">
        <v>3</v>
      </c>
      <c r="H2054" s="4">
        <v>4</v>
      </c>
      <c r="I2054" s="4" t="s">
        <v>140</v>
      </c>
      <c r="J2054" s="4" t="s">
        <v>179</v>
      </c>
      <c r="K2054" s="4" t="s">
        <v>149</v>
      </c>
      <c r="L2054" s="4" t="s">
        <v>4176</v>
      </c>
      <c r="M2054" s="4" t="s">
        <v>174</v>
      </c>
      <c r="N2054" s="4" t="s">
        <v>157</v>
      </c>
      <c r="O2054" s="4" t="s">
        <v>434</v>
      </c>
      <c r="P2054" s="4" t="s">
        <v>435</v>
      </c>
    </row>
    <row r="2055" spans="1:16" ht="15">
      <c r="A2055" s="4" t="s">
        <v>3074</v>
      </c>
      <c r="B2055" s="30">
        <v>40056</v>
      </c>
      <c r="C2055" s="4"/>
      <c r="D2055" s="4" t="s">
        <v>197</v>
      </c>
      <c r="E2055" s="4" t="s">
        <v>170</v>
      </c>
      <c r="F2055" s="4" t="s">
        <v>155</v>
      </c>
      <c r="G2055" s="4">
        <v>5</v>
      </c>
      <c r="H2055" s="4">
        <v>4</v>
      </c>
      <c r="I2055" s="4" t="s">
        <v>139</v>
      </c>
      <c r="J2055" s="4" t="s">
        <v>409</v>
      </c>
      <c r="K2055" s="4" t="s">
        <v>142</v>
      </c>
      <c r="L2055" s="4" t="s">
        <v>4181</v>
      </c>
      <c r="M2055" s="4" t="s">
        <v>1042</v>
      </c>
      <c r="N2055" s="4" t="s">
        <v>155</v>
      </c>
      <c r="O2055" s="4" t="s">
        <v>956</v>
      </c>
      <c r="P2055" s="4"/>
    </row>
    <row r="2056" spans="1:16" ht="15">
      <c r="A2056" s="4" t="s">
        <v>3075</v>
      </c>
      <c r="B2056" s="30">
        <v>39959</v>
      </c>
      <c r="C2056" s="4"/>
      <c r="D2056" s="4" t="s">
        <v>193</v>
      </c>
      <c r="E2056" s="4" t="s">
        <v>170</v>
      </c>
      <c r="F2056" s="4" t="s">
        <v>155</v>
      </c>
      <c r="G2056" s="4"/>
      <c r="H2056" s="4"/>
      <c r="I2056" s="4" t="s">
        <v>140</v>
      </c>
      <c r="J2056" s="4" t="s">
        <v>187</v>
      </c>
      <c r="K2056" s="4" t="s">
        <v>144</v>
      </c>
      <c r="L2056" s="4" t="s">
        <v>4181</v>
      </c>
      <c r="M2056" s="4" t="s">
        <v>3076</v>
      </c>
      <c r="N2056" s="4" t="s">
        <v>155</v>
      </c>
      <c r="O2056" s="4" t="s">
        <v>130</v>
      </c>
      <c r="P2056" s="4"/>
    </row>
    <row r="2057" spans="1:16" ht="15">
      <c r="A2057" s="4" t="s">
        <v>3077</v>
      </c>
      <c r="B2057" s="30">
        <v>40048</v>
      </c>
      <c r="C2057" s="4" t="s">
        <v>9</v>
      </c>
      <c r="D2057" s="4" t="s">
        <v>196</v>
      </c>
      <c r="E2057" s="4" t="s">
        <v>170</v>
      </c>
      <c r="F2057" s="4" t="s">
        <v>155</v>
      </c>
      <c r="G2057" s="4">
        <v>5</v>
      </c>
      <c r="H2057" s="4">
        <v>5</v>
      </c>
      <c r="I2057" s="4" t="s">
        <v>139</v>
      </c>
      <c r="J2057" s="4" t="s">
        <v>187</v>
      </c>
      <c r="K2057" s="4" t="s">
        <v>145</v>
      </c>
      <c r="L2057" s="4" t="s">
        <v>165</v>
      </c>
      <c r="M2057" s="4" t="s">
        <v>2169</v>
      </c>
      <c r="N2057" s="4" t="s">
        <v>158</v>
      </c>
      <c r="O2057" s="4" t="s">
        <v>122</v>
      </c>
      <c r="P2057" s="4"/>
    </row>
    <row r="2058" spans="1:16" ht="15">
      <c r="A2058" s="4" t="s">
        <v>3078</v>
      </c>
      <c r="B2058" s="30">
        <v>40003</v>
      </c>
      <c r="C2058" s="4"/>
      <c r="D2058" s="4" t="s">
        <v>194</v>
      </c>
      <c r="E2058" s="4" t="s">
        <v>170</v>
      </c>
      <c r="F2058" s="4" t="s">
        <v>155</v>
      </c>
      <c r="G2058" s="4"/>
      <c r="H2058" s="4">
        <v>2</v>
      </c>
      <c r="I2058" s="4" t="s">
        <v>139</v>
      </c>
      <c r="J2058" s="4" t="s">
        <v>433</v>
      </c>
      <c r="K2058" s="4" t="s">
        <v>148</v>
      </c>
      <c r="L2058" s="4" t="s">
        <v>4176</v>
      </c>
      <c r="M2058" s="4" t="s">
        <v>174</v>
      </c>
      <c r="N2058" s="4" t="s">
        <v>157</v>
      </c>
      <c r="O2058" s="4" t="s">
        <v>434</v>
      </c>
      <c r="P2058" s="4" t="s">
        <v>435</v>
      </c>
    </row>
    <row r="2059" spans="1:16" ht="15">
      <c r="A2059" s="4" t="s">
        <v>3079</v>
      </c>
      <c r="B2059" s="30">
        <v>39990</v>
      </c>
      <c r="C2059" s="4" t="s">
        <v>9</v>
      </c>
      <c r="D2059" s="4" t="s">
        <v>544</v>
      </c>
      <c r="E2059" s="4" t="s">
        <v>170</v>
      </c>
      <c r="F2059" s="4" t="s">
        <v>155</v>
      </c>
      <c r="G2059" s="4"/>
      <c r="H2059" s="4">
        <v>3</v>
      </c>
      <c r="I2059" s="4" t="s">
        <v>139</v>
      </c>
      <c r="J2059" s="4" t="s">
        <v>433</v>
      </c>
      <c r="K2059" s="4" t="s">
        <v>143</v>
      </c>
      <c r="L2059" s="4" t="s">
        <v>4176</v>
      </c>
      <c r="M2059" s="4" t="s">
        <v>1572</v>
      </c>
      <c r="N2059" s="4" t="s">
        <v>159</v>
      </c>
      <c r="O2059" s="4" t="s">
        <v>123</v>
      </c>
      <c r="P2059" s="4" t="s">
        <v>123</v>
      </c>
    </row>
    <row r="2060" spans="1:16" ht="15">
      <c r="A2060" s="4" t="s">
        <v>3080</v>
      </c>
      <c r="B2060" s="30">
        <v>39906</v>
      </c>
      <c r="C2060" s="4"/>
      <c r="D2060" s="4" t="s">
        <v>4178</v>
      </c>
      <c r="E2060" s="4" t="s">
        <v>171</v>
      </c>
      <c r="F2060" s="4" t="s">
        <v>168</v>
      </c>
      <c r="G2060" s="4"/>
      <c r="H2060" s="4"/>
      <c r="I2060" s="4" t="s">
        <v>139</v>
      </c>
      <c r="J2060" s="4" t="s">
        <v>180</v>
      </c>
      <c r="K2060" s="4" t="s">
        <v>147</v>
      </c>
      <c r="L2060" s="4" t="s">
        <v>4186</v>
      </c>
      <c r="M2060" s="4"/>
      <c r="N2060" s="4"/>
      <c r="O2060" s="4"/>
      <c r="P2060" s="4"/>
    </row>
    <row r="2061" spans="1:16" ht="15">
      <c r="A2061" s="4" t="s">
        <v>3081</v>
      </c>
      <c r="B2061" s="30">
        <v>39907</v>
      </c>
      <c r="C2061" s="4"/>
      <c r="D2061" s="4" t="s">
        <v>4178</v>
      </c>
      <c r="E2061" s="4" t="s">
        <v>171</v>
      </c>
      <c r="F2061" s="4" t="s">
        <v>168</v>
      </c>
      <c r="G2061" s="4"/>
      <c r="H2061" s="4"/>
      <c r="I2061" s="4" t="s">
        <v>139</v>
      </c>
      <c r="J2061" s="4" t="s">
        <v>376</v>
      </c>
      <c r="K2061" s="4" t="s">
        <v>145</v>
      </c>
      <c r="L2061" s="4" t="s">
        <v>4186</v>
      </c>
      <c r="M2061" s="4"/>
      <c r="N2061" s="4"/>
      <c r="O2061" s="4"/>
      <c r="P2061" s="4"/>
    </row>
    <row r="2062" spans="1:16" ht="15">
      <c r="A2062" s="4" t="s">
        <v>3082</v>
      </c>
      <c r="B2062" s="30">
        <v>39909</v>
      </c>
      <c r="C2062" s="4"/>
      <c r="D2062" s="4" t="s">
        <v>4178</v>
      </c>
      <c r="E2062" s="4" t="s">
        <v>171</v>
      </c>
      <c r="F2062" s="4" t="s">
        <v>168</v>
      </c>
      <c r="G2062" s="4"/>
      <c r="H2062" s="4"/>
      <c r="I2062" s="4" t="s">
        <v>139</v>
      </c>
      <c r="J2062" s="4" t="s">
        <v>185</v>
      </c>
      <c r="K2062" s="4" t="s">
        <v>147</v>
      </c>
      <c r="L2062" s="4" t="s">
        <v>4186</v>
      </c>
      <c r="M2062" s="4"/>
      <c r="N2062" s="4"/>
      <c r="O2062" s="4"/>
      <c r="P2062" s="4"/>
    </row>
    <row r="2063" spans="1:16" ht="15">
      <c r="A2063" s="4" t="s">
        <v>3083</v>
      </c>
      <c r="B2063" s="30">
        <v>39910</v>
      </c>
      <c r="C2063" s="4"/>
      <c r="D2063" s="4" t="s">
        <v>4177</v>
      </c>
      <c r="E2063" s="4" t="s">
        <v>171</v>
      </c>
      <c r="F2063" s="4" t="s">
        <v>168</v>
      </c>
      <c r="G2063" s="4"/>
      <c r="H2063" s="4"/>
      <c r="I2063" s="4" t="s">
        <v>139</v>
      </c>
      <c r="J2063" s="4" t="s">
        <v>185</v>
      </c>
      <c r="K2063" s="4" t="s">
        <v>147</v>
      </c>
      <c r="L2063" s="4" t="s">
        <v>4186</v>
      </c>
      <c r="M2063" s="4"/>
      <c r="N2063" s="4"/>
      <c r="O2063" s="4"/>
      <c r="P2063" s="4"/>
    </row>
    <row r="2064" spans="1:16" ht="15">
      <c r="A2064" s="4" t="s">
        <v>3084</v>
      </c>
      <c r="B2064" s="30">
        <v>39912</v>
      </c>
      <c r="C2064" s="4"/>
      <c r="D2064" s="4" t="s">
        <v>4177</v>
      </c>
      <c r="E2064" s="4" t="s">
        <v>171</v>
      </c>
      <c r="F2064" s="4" t="s">
        <v>168</v>
      </c>
      <c r="G2064" s="4"/>
      <c r="H2064" s="4"/>
      <c r="I2064" s="4" t="s">
        <v>139</v>
      </c>
      <c r="J2064" s="4" t="s">
        <v>181</v>
      </c>
      <c r="K2064" s="4" t="s">
        <v>147</v>
      </c>
      <c r="L2064" s="4" t="s">
        <v>4186</v>
      </c>
      <c r="M2064" s="4"/>
      <c r="N2064" s="4"/>
      <c r="O2064" s="4"/>
      <c r="P2064" s="4"/>
    </row>
    <row r="2065" spans="1:16" ht="15">
      <c r="A2065" s="4" t="s">
        <v>3085</v>
      </c>
      <c r="B2065" s="30">
        <v>39912</v>
      </c>
      <c r="C2065" s="4"/>
      <c r="D2065" s="4" t="s">
        <v>4182</v>
      </c>
      <c r="E2065" s="4" t="s">
        <v>171</v>
      </c>
      <c r="F2065" s="4" t="s">
        <v>168</v>
      </c>
      <c r="G2065" s="4"/>
      <c r="H2065" s="4"/>
      <c r="I2065" s="4" t="s">
        <v>139</v>
      </c>
      <c r="J2065" s="4" t="s">
        <v>187</v>
      </c>
      <c r="K2065" s="4" t="s">
        <v>145</v>
      </c>
      <c r="L2065" s="4" t="s">
        <v>4186</v>
      </c>
      <c r="M2065" s="4"/>
      <c r="N2065" s="4"/>
      <c r="O2065" s="4"/>
      <c r="P2065" s="4"/>
    </row>
    <row r="2066" spans="1:16" ht="15">
      <c r="A2066" s="4" t="s">
        <v>3086</v>
      </c>
      <c r="B2066" s="30">
        <v>39912</v>
      </c>
      <c r="C2066" s="4"/>
      <c r="D2066" s="4" t="s">
        <v>4179</v>
      </c>
      <c r="E2066" s="4" t="s">
        <v>171</v>
      </c>
      <c r="F2066" s="4" t="s">
        <v>168</v>
      </c>
      <c r="G2066" s="4"/>
      <c r="H2066" s="4"/>
      <c r="I2066" s="4" t="s">
        <v>139</v>
      </c>
      <c r="J2066" s="4" t="s">
        <v>409</v>
      </c>
      <c r="K2066" s="4" t="s">
        <v>147</v>
      </c>
      <c r="L2066" s="4" t="s">
        <v>4186</v>
      </c>
      <c r="M2066" s="4"/>
      <c r="N2066" s="4"/>
      <c r="O2066" s="4"/>
      <c r="P2066" s="4"/>
    </row>
    <row r="2067" spans="1:16" ht="15">
      <c r="A2067" s="4" t="s">
        <v>3087</v>
      </c>
      <c r="B2067" s="30">
        <v>39913</v>
      </c>
      <c r="C2067" s="4"/>
      <c r="D2067" s="4" t="s">
        <v>4180</v>
      </c>
      <c r="E2067" s="4" t="s">
        <v>171</v>
      </c>
      <c r="F2067" s="4" t="s">
        <v>168</v>
      </c>
      <c r="G2067" s="4"/>
      <c r="H2067" s="4"/>
      <c r="I2067" s="4" t="s">
        <v>139</v>
      </c>
      <c r="J2067" s="4" t="s">
        <v>180</v>
      </c>
      <c r="K2067" s="4" t="s">
        <v>147</v>
      </c>
      <c r="L2067" s="4" t="s">
        <v>4186</v>
      </c>
      <c r="M2067" s="4"/>
      <c r="N2067" s="4"/>
      <c r="O2067" s="4"/>
      <c r="P2067" s="4"/>
    </row>
    <row r="2068" spans="1:16" ht="15">
      <c r="A2068" s="4" t="s">
        <v>3088</v>
      </c>
      <c r="B2068" s="30">
        <v>39913</v>
      </c>
      <c r="C2068" s="4"/>
      <c r="D2068" s="4" t="s">
        <v>4180</v>
      </c>
      <c r="E2068" s="4" t="s">
        <v>171</v>
      </c>
      <c r="F2068" s="4" t="s">
        <v>168</v>
      </c>
      <c r="G2068" s="4"/>
      <c r="H2068" s="4"/>
      <c r="I2068" s="4" t="s">
        <v>139</v>
      </c>
      <c r="J2068" s="4" t="s">
        <v>187</v>
      </c>
      <c r="K2068" s="4" t="s">
        <v>148</v>
      </c>
      <c r="L2068" s="4" t="s">
        <v>4186</v>
      </c>
      <c r="M2068" s="4"/>
      <c r="N2068" s="4"/>
      <c r="O2068" s="4"/>
      <c r="P2068" s="4"/>
    </row>
    <row r="2069" spans="1:16" ht="15">
      <c r="A2069" s="4" t="s">
        <v>3089</v>
      </c>
      <c r="B2069" s="30">
        <v>39916</v>
      </c>
      <c r="C2069" s="4"/>
      <c r="D2069" s="4" t="s">
        <v>4177</v>
      </c>
      <c r="E2069" s="4" t="s">
        <v>171</v>
      </c>
      <c r="F2069" s="4" t="s">
        <v>168</v>
      </c>
      <c r="G2069" s="4"/>
      <c r="H2069" s="4"/>
      <c r="I2069" s="4" t="s">
        <v>139</v>
      </c>
      <c r="J2069" s="4" t="s">
        <v>186</v>
      </c>
      <c r="K2069" s="4" t="s">
        <v>149</v>
      </c>
      <c r="L2069" s="4" t="s">
        <v>4186</v>
      </c>
      <c r="M2069" s="4"/>
      <c r="N2069" s="4"/>
      <c r="O2069" s="4"/>
      <c r="P2069" s="4"/>
    </row>
    <row r="2070" spans="1:16" ht="15">
      <c r="A2070" s="4" t="s">
        <v>3090</v>
      </c>
      <c r="B2070" s="30">
        <v>39916</v>
      </c>
      <c r="C2070" s="4"/>
      <c r="D2070" s="4" t="s">
        <v>4182</v>
      </c>
      <c r="E2070" s="4" t="s">
        <v>171</v>
      </c>
      <c r="F2070" s="4" t="s">
        <v>168</v>
      </c>
      <c r="G2070" s="4"/>
      <c r="H2070" s="4"/>
      <c r="I2070" s="4" t="s">
        <v>139</v>
      </c>
      <c r="J2070" s="4" t="s">
        <v>180</v>
      </c>
      <c r="K2070" s="4" t="s">
        <v>143</v>
      </c>
      <c r="L2070" s="4" t="s">
        <v>4186</v>
      </c>
      <c r="M2070" s="4"/>
      <c r="N2070" s="4"/>
      <c r="O2070" s="4"/>
      <c r="P2070" s="4"/>
    </row>
    <row r="2071" spans="1:16" ht="15">
      <c r="A2071" s="4" t="s">
        <v>3091</v>
      </c>
      <c r="B2071" s="30">
        <v>39916</v>
      </c>
      <c r="C2071" s="4"/>
      <c r="D2071" s="4" t="s">
        <v>4180</v>
      </c>
      <c r="E2071" s="4" t="s">
        <v>171</v>
      </c>
      <c r="F2071" s="4" t="s">
        <v>168</v>
      </c>
      <c r="G2071" s="4"/>
      <c r="H2071" s="4"/>
      <c r="I2071" s="4" t="s">
        <v>139</v>
      </c>
      <c r="J2071" s="4" t="s">
        <v>179</v>
      </c>
      <c r="K2071" s="4" t="s">
        <v>148</v>
      </c>
      <c r="L2071" s="4" t="s">
        <v>4186</v>
      </c>
      <c r="M2071" s="4"/>
      <c r="N2071" s="4"/>
      <c r="O2071" s="4"/>
      <c r="P2071" s="4"/>
    </row>
    <row r="2072" spans="1:16" ht="15">
      <c r="A2072" s="4" t="s">
        <v>3092</v>
      </c>
      <c r="B2072" s="30">
        <v>39917</v>
      </c>
      <c r="C2072" s="4" t="s">
        <v>9</v>
      </c>
      <c r="D2072" s="4" t="s">
        <v>4178</v>
      </c>
      <c r="E2072" s="4" t="s">
        <v>171</v>
      </c>
      <c r="F2072" s="4" t="s">
        <v>168</v>
      </c>
      <c r="G2072" s="4"/>
      <c r="H2072" s="4"/>
      <c r="I2072" s="4" t="s">
        <v>139</v>
      </c>
      <c r="J2072" s="4" t="s">
        <v>187</v>
      </c>
      <c r="K2072" s="4" t="s">
        <v>143</v>
      </c>
      <c r="L2072" s="4" t="s">
        <v>4186</v>
      </c>
      <c r="M2072" s="4"/>
      <c r="N2072" s="4"/>
      <c r="O2072" s="4"/>
      <c r="P2072" s="4"/>
    </row>
    <row r="2073" spans="1:16" ht="15">
      <c r="A2073" s="4" t="s">
        <v>3093</v>
      </c>
      <c r="B2073" s="30">
        <v>39917</v>
      </c>
      <c r="C2073" s="4"/>
      <c r="D2073" s="4" t="s">
        <v>4178</v>
      </c>
      <c r="E2073" s="4" t="s">
        <v>171</v>
      </c>
      <c r="F2073" s="4" t="s">
        <v>168</v>
      </c>
      <c r="G2073" s="4"/>
      <c r="H2073" s="4"/>
      <c r="I2073" s="4" t="s">
        <v>139</v>
      </c>
      <c r="J2073" s="4" t="s">
        <v>179</v>
      </c>
      <c r="K2073" s="4" t="s">
        <v>145</v>
      </c>
      <c r="L2073" s="4" t="s">
        <v>4186</v>
      </c>
      <c r="M2073" s="4"/>
      <c r="N2073" s="4"/>
      <c r="O2073" s="4"/>
      <c r="P2073" s="4"/>
    </row>
    <row r="2074" spans="1:16" ht="15">
      <c r="A2074" s="4" t="s">
        <v>3094</v>
      </c>
      <c r="B2074" s="30">
        <v>39917</v>
      </c>
      <c r="C2074" s="4"/>
      <c r="D2074" s="4" t="s">
        <v>4182</v>
      </c>
      <c r="E2074" s="4" t="s">
        <v>171</v>
      </c>
      <c r="F2074" s="4" t="s">
        <v>168</v>
      </c>
      <c r="G2074" s="4"/>
      <c r="H2074" s="4"/>
      <c r="I2074" s="4" t="s">
        <v>139</v>
      </c>
      <c r="J2074" s="4" t="s">
        <v>178</v>
      </c>
      <c r="K2074" s="4" t="s">
        <v>147</v>
      </c>
      <c r="L2074" s="4" t="s">
        <v>4186</v>
      </c>
      <c r="M2074" s="4"/>
      <c r="N2074" s="4"/>
      <c r="O2074" s="4"/>
      <c r="P2074" s="4"/>
    </row>
    <row r="2075" spans="1:16" ht="15">
      <c r="A2075" s="4" t="s">
        <v>3095</v>
      </c>
      <c r="B2075" s="30">
        <v>39918</v>
      </c>
      <c r="C2075" s="4"/>
      <c r="D2075" s="4" t="s">
        <v>4178</v>
      </c>
      <c r="E2075" s="4" t="s">
        <v>171</v>
      </c>
      <c r="F2075" s="4" t="s">
        <v>168</v>
      </c>
      <c r="G2075" s="4"/>
      <c r="H2075" s="4"/>
      <c r="I2075" s="4" t="s">
        <v>139</v>
      </c>
      <c r="J2075" s="4" t="s">
        <v>182</v>
      </c>
      <c r="K2075" s="4" t="s">
        <v>147</v>
      </c>
      <c r="L2075" s="4" t="s">
        <v>4186</v>
      </c>
      <c r="M2075" s="4"/>
      <c r="N2075" s="4"/>
      <c r="O2075" s="4"/>
      <c r="P2075" s="4"/>
    </row>
    <row r="2076" spans="1:16" ht="15">
      <c r="A2076" s="4" t="s">
        <v>3096</v>
      </c>
      <c r="B2076" s="30">
        <v>39918</v>
      </c>
      <c r="C2076" s="4"/>
      <c r="D2076" s="4" t="s">
        <v>4182</v>
      </c>
      <c r="E2076" s="4" t="s">
        <v>171</v>
      </c>
      <c r="F2076" s="4" t="s">
        <v>168</v>
      </c>
      <c r="G2076" s="4"/>
      <c r="H2076" s="4"/>
      <c r="I2076" s="4" t="s">
        <v>139</v>
      </c>
      <c r="J2076" s="4" t="s">
        <v>182</v>
      </c>
      <c r="K2076" s="4" t="s">
        <v>148</v>
      </c>
      <c r="L2076" s="4" t="s">
        <v>4186</v>
      </c>
      <c r="M2076" s="4"/>
      <c r="N2076" s="4"/>
      <c r="O2076" s="4"/>
      <c r="P2076" s="4"/>
    </row>
    <row r="2077" spans="1:16" ht="15">
      <c r="A2077" s="4" t="s">
        <v>3097</v>
      </c>
      <c r="B2077" s="30">
        <v>39919</v>
      </c>
      <c r="C2077" s="4"/>
      <c r="D2077" s="4" t="s">
        <v>4177</v>
      </c>
      <c r="E2077" s="4" t="s">
        <v>171</v>
      </c>
      <c r="F2077" s="4" t="s">
        <v>168</v>
      </c>
      <c r="G2077" s="4"/>
      <c r="H2077" s="4"/>
      <c r="I2077" s="4" t="s">
        <v>139</v>
      </c>
      <c r="J2077" s="4" t="s">
        <v>178</v>
      </c>
      <c r="K2077" s="4" t="s">
        <v>142</v>
      </c>
      <c r="L2077" s="4" t="s">
        <v>4186</v>
      </c>
      <c r="M2077" s="4"/>
      <c r="N2077" s="4"/>
      <c r="O2077" s="4"/>
      <c r="P2077" s="4"/>
    </row>
    <row r="2078" spans="1:16" ht="15">
      <c r="A2078" s="4" t="s">
        <v>3098</v>
      </c>
      <c r="B2078" s="30">
        <v>39920</v>
      </c>
      <c r="C2078" s="4"/>
      <c r="D2078" s="4" t="s">
        <v>4182</v>
      </c>
      <c r="E2078" s="4" t="s">
        <v>171</v>
      </c>
      <c r="F2078" s="4" t="s">
        <v>168</v>
      </c>
      <c r="G2078" s="4"/>
      <c r="H2078" s="4"/>
      <c r="I2078" s="4" t="s">
        <v>139</v>
      </c>
      <c r="J2078" s="4" t="s">
        <v>189</v>
      </c>
      <c r="K2078" s="4" t="s">
        <v>147</v>
      </c>
      <c r="L2078" s="4" t="s">
        <v>4186</v>
      </c>
      <c r="M2078" s="4"/>
      <c r="N2078" s="4"/>
      <c r="O2078" s="4"/>
      <c r="P2078" s="4"/>
    </row>
    <row r="2079" spans="1:16" ht="15">
      <c r="A2079" s="4" t="s">
        <v>3099</v>
      </c>
      <c r="B2079" s="30">
        <v>39921</v>
      </c>
      <c r="C2079" s="4"/>
      <c r="D2079" s="4" t="s">
        <v>4182</v>
      </c>
      <c r="E2079" s="4" t="s">
        <v>171</v>
      </c>
      <c r="F2079" s="4" t="s">
        <v>168</v>
      </c>
      <c r="G2079" s="4"/>
      <c r="H2079" s="4"/>
      <c r="I2079" s="4" t="s">
        <v>139</v>
      </c>
      <c r="J2079" s="4" t="s">
        <v>391</v>
      </c>
      <c r="K2079" s="4" t="s">
        <v>150</v>
      </c>
      <c r="L2079" s="4" t="s">
        <v>4186</v>
      </c>
      <c r="M2079" s="4"/>
      <c r="N2079" s="4"/>
      <c r="O2079" s="4"/>
      <c r="P2079" s="4"/>
    </row>
    <row r="2080" spans="1:16" ht="15">
      <c r="A2080" s="4" t="s">
        <v>3100</v>
      </c>
      <c r="B2080" s="30">
        <v>39921</v>
      </c>
      <c r="C2080" s="4"/>
      <c r="D2080" s="4" t="s">
        <v>4182</v>
      </c>
      <c r="E2080" s="4" t="s">
        <v>171</v>
      </c>
      <c r="F2080" s="4" t="s">
        <v>168</v>
      </c>
      <c r="G2080" s="4"/>
      <c r="H2080" s="4"/>
      <c r="I2080" s="4" t="s">
        <v>139</v>
      </c>
      <c r="J2080" s="4" t="s">
        <v>185</v>
      </c>
      <c r="K2080" s="4" t="s">
        <v>147</v>
      </c>
      <c r="L2080" s="4" t="s">
        <v>4186</v>
      </c>
      <c r="M2080" s="4"/>
      <c r="N2080" s="4"/>
      <c r="O2080" s="4"/>
      <c r="P2080" s="4"/>
    </row>
    <row r="2081" spans="1:16" ht="15">
      <c r="A2081" s="4" t="s">
        <v>3101</v>
      </c>
      <c r="B2081" s="30">
        <v>39923</v>
      </c>
      <c r="C2081" s="4" t="s">
        <v>9</v>
      </c>
      <c r="D2081" s="4" t="s">
        <v>4182</v>
      </c>
      <c r="E2081" s="4" t="s">
        <v>171</v>
      </c>
      <c r="F2081" s="4" t="s">
        <v>168</v>
      </c>
      <c r="G2081" s="4"/>
      <c r="H2081" s="4"/>
      <c r="I2081" s="4" t="s">
        <v>139</v>
      </c>
      <c r="J2081" s="4" t="s">
        <v>187</v>
      </c>
      <c r="K2081" s="4" t="s">
        <v>147</v>
      </c>
      <c r="L2081" s="4" t="s">
        <v>4186</v>
      </c>
      <c r="M2081" s="4"/>
      <c r="N2081" s="4"/>
      <c r="O2081" s="4"/>
      <c r="P2081" s="4"/>
    </row>
    <row r="2082" spans="1:16" ht="15">
      <c r="A2082" s="4" t="s">
        <v>3102</v>
      </c>
      <c r="B2082" s="30">
        <v>39923</v>
      </c>
      <c r="C2082" s="4" t="s">
        <v>380</v>
      </c>
      <c r="D2082" s="4" t="s">
        <v>4182</v>
      </c>
      <c r="E2082" s="4" t="s">
        <v>171</v>
      </c>
      <c r="F2082" s="4" t="s">
        <v>168</v>
      </c>
      <c r="G2082" s="4"/>
      <c r="H2082" s="4"/>
      <c r="I2082" s="4" t="s">
        <v>139</v>
      </c>
      <c r="J2082" s="4" t="s">
        <v>187</v>
      </c>
      <c r="K2082" s="4" t="s">
        <v>149</v>
      </c>
      <c r="L2082" s="4" t="s">
        <v>4186</v>
      </c>
      <c r="M2082" s="4"/>
      <c r="N2082" s="4"/>
      <c r="O2082" s="4"/>
      <c r="P2082" s="4"/>
    </row>
    <row r="2083" spans="1:16" ht="15">
      <c r="A2083" s="4" t="s">
        <v>3103</v>
      </c>
      <c r="B2083" s="30">
        <v>39923</v>
      </c>
      <c r="C2083" s="4"/>
      <c r="D2083" s="4" t="s">
        <v>4182</v>
      </c>
      <c r="E2083" s="4" t="s">
        <v>171</v>
      </c>
      <c r="F2083" s="4" t="s">
        <v>168</v>
      </c>
      <c r="G2083" s="4"/>
      <c r="H2083" s="4"/>
      <c r="I2083" s="4" t="s">
        <v>139</v>
      </c>
      <c r="J2083" s="4" t="s">
        <v>178</v>
      </c>
      <c r="K2083" s="4" t="s">
        <v>147</v>
      </c>
      <c r="L2083" s="4" t="s">
        <v>4186</v>
      </c>
      <c r="M2083" s="4"/>
      <c r="N2083" s="4"/>
      <c r="O2083" s="4"/>
      <c r="P2083" s="4"/>
    </row>
    <row r="2084" spans="1:16" ht="15">
      <c r="A2084" s="4" t="s">
        <v>3104</v>
      </c>
      <c r="B2084" s="30">
        <v>39923</v>
      </c>
      <c r="C2084" s="4" t="s">
        <v>525</v>
      </c>
      <c r="D2084" s="4" t="s">
        <v>4182</v>
      </c>
      <c r="E2084" s="4" t="s">
        <v>171</v>
      </c>
      <c r="F2084" s="4" t="s">
        <v>168</v>
      </c>
      <c r="G2084" s="4"/>
      <c r="H2084" s="4"/>
      <c r="I2084" s="4" t="s">
        <v>139</v>
      </c>
      <c r="J2084" s="4" t="s">
        <v>187</v>
      </c>
      <c r="K2084" s="4" t="s">
        <v>147</v>
      </c>
      <c r="L2084" s="4" t="s">
        <v>4186</v>
      </c>
      <c r="M2084" s="4"/>
      <c r="N2084" s="4"/>
      <c r="O2084" s="4"/>
      <c r="P2084" s="4"/>
    </row>
    <row r="2085" spans="1:16" ht="15">
      <c r="A2085" s="4" t="s">
        <v>3105</v>
      </c>
      <c r="B2085" s="30">
        <v>39924</v>
      </c>
      <c r="C2085" s="4" t="s">
        <v>496</v>
      </c>
      <c r="D2085" s="4" t="s">
        <v>4182</v>
      </c>
      <c r="E2085" s="4" t="s">
        <v>171</v>
      </c>
      <c r="F2085" s="4" t="s">
        <v>168</v>
      </c>
      <c r="G2085" s="4"/>
      <c r="H2085" s="4"/>
      <c r="I2085" s="4" t="s">
        <v>139</v>
      </c>
      <c r="J2085" s="4" t="s">
        <v>179</v>
      </c>
      <c r="K2085" s="4" t="s">
        <v>143</v>
      </c>
      <c r="L2085" s="4" t="s">
        <v>4186</v>
      </c>
      <c r="M2085" s="4"/>
      <c r="N2085" s="4"/>
      <c r="O2085" s="4"/>
      <c r="P2085" s="4"/>
    </row>
    <row r="2086" spans="1:16" ht="15">
      <c r="A2086" s="4" t="s">
        <v>3106</v>
      </c>
      <c r="B2086" s="30">
        <v>39924</v>
      </c>
      <c r="C2086" s="4" t="s">
        <v>496</v>
      </c>
      <c r="D2086" s="4" t="s">
        <v>4182</v>
      </c>
      <c r="E2086" s="4" t="s">
        <v>171</v>
      </c>
      <c r="F2086" s="4" t="s">
        <v>168</v>
      </c>
      <c r="G2086" s="4"/>
      <c r="H2086" s="4"/>
      <c r="I2086" s="4" t="s">
        <v>139</v>
      </c>
      <c r="J2086" s="4" t="s">
        <v>603</v>
      </c>
      <c r="K2086" s="4" t="s">
        <v>147</v>
      </c>
      <c r="L2086" s="4" t="s">
        <v>4186</v>
      </c>
      <c r="M2086" s="4"/>
      <c r="N2086" s="4"/>
      <c r="O2086" s="4"/>
      <c r="P2086" s="4"/>
    </row>
    <row r="2087" spans="1:16" ht="15">
      <c r="A2087" s="4" t="s">
        <v>3107</v>
      </c>
      <c r="B2087" s="30">
        <v>39924</v>
      </c>
      <c r="C2087" s="4"/>
      <c r="D2087" s="4" t="s">
        <v>4182</v>
      </c>
      <c r="E2087" s="4" t="s">
        <v>171</v>
      </c>
      <c r="F2087" s="4" t="s">
        <v>168</v>
      </c>
      <c r="G2087" s="4"/>
      <c r="H2087" s="4"/>
      <c r="I2087" s="4" t="s">
        <v>139</v>
      </c>
      <c r="J2087" s="4" t="s">
        <v>180</v>
      </c>
      <c r="K2087" s="4" t="s">
        <v>143</v>
      </c>
      <c r="L2087" s="4" t="s">
        <v>4186</v>
      </c>
      <c r="M2087" s="4"/>
      <c r="N2087" s="4"/>
      <c r="O2087" s="4"/>
      <c r="P2087" s="4"/>
    </row>
    <row r="2088" spans="1:16" ht="15">
      <c r="A2088" s="4" t="s">
        <v>3108</v>
      </c>
      <c r="B2088" s="30">
        <v>39925</v>
      </c>
      <c r="C2088" s="4" t="s">
        <v>496</v>
      </c>
      <c r="D2088" s="4" t="s">
        <v>4182</v>
      </c>
      <c r="E2088" s="4" t="s">
        <v>171</v>
      </c>
      <c r="F2088" s="4" t="s">
        <v>168</v>
      </c>
      <c r="G2088" s="4"/>
      <c r="H2088" s="4"/>
      <c r="I2088" s="4" t="s">
        <v>139</v>
      </c>
      <c r="J2088" s="4" t="s">
        <v>178</v>
      </c>
      <c r="K2088" s="4" t="s">
        <v>147</v>
      </c>
      <c r="L2088" s="4" t="s">
        <v>4186</v>
      </c>
      <c r="M2088" s="4"/>
      <c r="N2088" s="4"/>
      <c r="O2088" s="4"/>
      <c r="P2088" s="4"/>
    </row>
    <row r="2089" spans="1:16" ht="15">
      <c r="A2089" s="4" t="s">
        <v>3109</v>
      </c>
      <c r="B2089" s="30">
        <v>39925</v>
      </c>
      <c r="C2089" s="4" t="s">
        <v>570</v>
      </c>
      <c r="D2089" s="4" t="s">
        <v>4182</v>
      </c>
      <c r="E2089" s="4" t="s">
        <v>171</v>
      </c>
      <c r="F2089" s="4" t="s">
        <v>168</v>
      </c>
      <c r="G2089" s="4"/>
      <c r="H2089" s="4"/>
      <c r="I2089" s="4" t="s">
        <v>139</v>
      </c>
      <c r="J2089" s="4" t="s">
        <v>433</v>
      </c>
      <c r="K2089" s="4" t="s">
        <v>142</v>
      </c>
      <c r="L2089" s="4" t="s">
        <v>4186</v>
      </c>
      <c r="M2089" s="4"/>
      <c r="N2089" s="4"/>
      <c r="O2089" s="4"/>
      <c r="P2089" s="4"/>
    </row>
    <row r="2090" spans="1:16" ht="15">
      <c r="A2090" s="4" t="s">
        <v>3110</v>
      </c>
      <c r="B2090" s="30">
        <v>39925</v>
      </c>
      <c r="C2090" s="4" t="s">
        <v>525</v>
      </c>
      <c r="D2090" s="4" t="s">
        <v>4182</v>
      </c>
      <c r="E2090" s="4" t="s">
        <v>171</v>
      </c>
      <c r="F2090" s="4" t="s">
        <v>168</v>
      </c>
      <c r="G2090" s="4"/>
      <c r="H2090" s="4"/>
      <c r="I2090" s="4" t="s">
        <v>139</v>
      </c>
      <c r="J2090" s="4" t="s">
        <v>180</v>
      </c>
      <c r="K2090" s="4" t="s">
        <v>151</v>
      </c>
      <c r="L2090" s="4" t="s">
        <v>4186</v>
      </c>
      <c r="M2090" s="4"/>
      <c r="N2090" s="4"/>
      <c r="O2090" s="4"/>
      <c r="P2090" s="4"/>
    </row>
    <row r="2091" spans="1:16" ht="15">
      <c r="A2091" s="4" t="s">
        <v>3111</v>
      </c>
      <c r="B2091" s="30">
        <v>39925</v>
      </c>
      <c r="C2091" s="4" t="s">
        <v>380</v>
      </c>
      <c r="D2091" s="4" t="s">
        <v>4182</v>
      </c>
      <c r="E2091" s="4" t="s">
        <v>171</v>
      </c>
      <c r="F2091" s="4" t="s">
        <v>168</v>
      </c>
      <c r="G2091" s="4"/>
      <c r="H2091" s="4"/>
      <c r="I2091" s="4" t="s">
        <v>139</v>
      </c>
      <c r="J2091" s="4" t="s">
        <v>182</v>
      </c>
      <c r="K2091" s="4" t="s">
        <v>147</v>
      </c>
      <c r="L2091" s="4" t="s">
        <v>4186</v>
      </c>
      <c r="M2091" s="4"/>
      <c r="N2091" s="4"/>
      <c r="O2091" s="4"/>
      <c r="P2091" s="4"/>
    </row>
    <row r="2092" spans="1:16" ht="15">
      <c r="A2092" s="4" t="s">
        <v>3112</v>
      </c>
      <c r="B2092" s="30">
        <v>39925</v>
      </c>
      <c r="C2092" s="4"/>
      <c r="D2092" s="4" t="s">
        <v>4182</v>
      </c>
      <c r="E2092" s="4" t="s">
        <v>171</v>
      </c>
      <c r="F2092" s="4" t="s">
        <v>168</v>
      </c>
      <c r="G2092" s="4"/>
      <c r="H2092" s="4"/>
      <c r="I2092" s="4" t="s">
        <v>139</v>
      </c>
      <c r="J2092" s="4" t="s">
        <v>187</v>
      </c>
      <c r="K2092" s="4" t="s">
        <v>147</v>
      </c>
      <c r="L2092" s="4" t="s">
        <v>4186</v>
      </c>
      <c r="M2092" s="4"/>
      <c r="N2092" s="4"/>
      <c r="O2092" s="4"/>
      <c r="P2092" s="4"/>
    </row>
    <row r="2093" spans="1:16" ht="15">
      <c r="A2093" s="4" t="s">
        <v>3113</v>
      </c>
      <c r="B2093" s="30">
        <v>39925</v>
      </c>
      <c r="C2093" s="4"/>
      <c r="D2093" s="4" t="s">
        <v>4182</v>
      </c>
      <c r="E2093" s="4" t="s">
        <v>171</v>
      </c>
      <c r="F2093" s="4" t="s">
        <v>168</v>
      </c>
      <c r="G2093" s="4"/>
      <c r="H2093" s="4"/>
      <c r="I2093" s="4" t="s">
        <v>139</v>
      </c>
      <c r="J2093" s="4" t="s">
        <v>178</v>
      </c>
      <c r="K2093" s="4" t="s">
        <v>145</v>
      </c>
      <c r="L2093" s="4" t="s">
        <v>4186</v>
      </c>
      <c r="M2093" s="4"/>
      <c r="N2093" s="4"/>
      <c r="O2093" s="4"/>
      <c r="P2093" s="4"/>
    </row>
    <row r="2094" spans="1:16" ht="15">
      <c r="A2094" s="4" t="s">
        <v>3114</v>
      </c>
      <c r="B2094" s="30">
        <v>39925</v>
      </c>
      <c r="C2094" s="4"/>
      <c r="D2094" s="4" t="s">
        <v>4182</v>
      </c>
      <c r="E2094" s="4" t="s">
        <v>171</v>
      </c>
      <c r="F2094" s="4" t="s">
        <v>168</v>
      </c>
      <c r="G2094" s="4"/>
      <c r="H2094" s="4"/>
      <c r="I2094" s="4" t="s">
        <v>139</v>
      </c>
      <c r="J2094" s="4" t="s">
        <v>178</v>
      </c>
      <c r="K2094" s="4" t="s">
        <v>142</v>
      </c>
      <c r="L2094" s="4" t="s">
        <v>4186</v>
      </c>
      <c r="M2094" s="4"/>
      <c r="N2094" s="4"/>
      <c r="O2094" s="4"/>
      <c r="P2094" s="4"/>
    </row>
    <row r="2095" spans="1:16" ht="15">
      <c r="A2095" s="4" t="s">
        <v>3115</v>
      </c>
      <c r="B2095" s="30">
        <v>39927</v>
      </c>
      <c r="C2095" s="4"/>
      <c r="D2095" s="4" t="s">
        <v>4182</v>
      </c>
      <c r="E2095" s="4" t="s">
        <v>171</v>
      </c>
      <c r="F2095" s="4" t="s">
        <v>168</v>
      </c>
      <c r="G2095" s="4"/>
      <c r="H2095" s="4"/>
      <c r="I2095" s="4" t="s">
        <v>139</v>
      </c>
      <c r="J2095" s="4" t="s">
        <v>188</v>
      </c>
      <c r="K2095" s="4" t="s">
        <v>148</v>
      </c>
      <c r="L2095" s="4" t="s">
        <v>4186</v>
      </c>
      <c r="M2095" s="4"/>
      <c r="N2095" s="4"/>
      <c r="O2095" s="4"/>
      <c r="P2095" s="4"/>
    </row>
    <row r="2096" spans="1:16" ht="15">
      <c r="A2096" s="4" t="s">
        <v>3116</v>
      </c>
      <c r="B2096" s="30">
        <v>39927</v>
      </c>
      <c r="C2096" s="4"/>
      <c r="D2096" s="4" t="s">
        <v>4182</v>
      </c>
      <c r="E2096" s="4" t="s">
        <v>171</v>
      </c>
      <c r="F2096" s="4" t="s">
        <v>168</v>
      </c>
      <c r="G2096" s="4"/>
      <c r="H2096" s="4"/>
      <c r="I2096" s="4" t="s">
        <v>139</v>
      </c>
      <c r="J2096" s="4" t="s">
        <v>409</v>
      </c>
      <c r="K2096" s="4" t="s">
        <v>147</v>
      </c>
      <c r="L2096" s="4" t="s">
        <v>4186</v>
      </c>
      <c r="M2096" s="4"/>
      <c r="N2096" s="4"/>
      <c r="O2096" s="4"/>
      <c r="P2096" s="4"/>
    </row>
    <row r="2097" spans="1:16" ht="15">
      <c r="A2097" s="4" t="s">
        <v>3117</v>
      </c>
      <c r="B2097" s="30">
        <v>39927</v>
      </c>
      <c r="C2097" s="4"/>
      <c r="D2097" s="4" t="s">
        <v>4182</v>
      </c>
      <c r="E2097" s="4" t="s">
        <v>171</v>
      </c>
      <c r="F2097" s="4" t="s">
        <v>168</v>
      </c>
      <c r="G2097" s="4"/>
      <c r="H2097" s="4"/>
      <c r="I2097" s="4" t="s">
        <v>139</v>
      </c>
      <c r="J2097" s="4" t="s">
        <v>180</v>
      </c>
      <c r="K2097" s="4" t="s">
        <v>143</v>
      </c>
      <c r="L2097" s="4" t="s">
        <v>4186</v>
      </c>
      <c r="M2097" s="4"/>
      <c r="N2097" s="4"/>
      <c r="O2097" s="4"/>
      <c r="P2097" s="4"/>
    </row>
    <row r="2098" spans="1:16" ht="15">
      <c r="A2098" s="4" t="s">
        <v>3118</v>
      </c>
      <c r="B2098" s="30">
        <v>39928</v>
      </c>
      <c r="C2098" s="4"/>
      <c r="D2098" s="4" t="s">
        <v>4182</v>
      </c>
      <c r="E2098" s="4" t="s">
        <v>171</v>
      </c>
      <c r="F2098" s="4" t="s">
        <v>168</v>
      </c>
      <c r="G2098" s="4"/>
      <c r="H2098" s="4"/>
      <c r="I2098" s="4" t="s">
        <v>139</v>
      </c>
      <c r="J2098" s="4" t="s">
        <v>179</v>
      </c>
      <c r="K2098" s="4" t="s">
        <v>147</v>
      </c>
      <c r="L2098" s="4" t="s">
        <v>4186</v>
      </c>
      <c r="M2098" s="4"/>
      <c r="N2098" s="4"/>
      <c r="O2098" s="4"/>
      <c r="P2098" s="4"/>
    </row>
    <row r="2099" spans="1:16" ht="15">
      <c r="A2099" s="4" t="s">
        <v>3119</v>
      </c>
      <c r="B2099" s="30">
        <v>39931</v>
      </c>
      <c r="C2099" s="4"/>
      <c r="D2099" s="4" t="s">
        <v>4182</v>
      </c>
      <c r="E2099" s="4" t="s">
        <v>171</v>
      </c>
      <c r="F2099" s="4" t="s">
        <v>168</v>
      </c>
      <c r="G2099" s="4"/>
      <c r="H2099" s="4"/>
      <c r="I2099" s="4" t="s">
        <v>139</v>
      </c>
      <c r="J2099" s="4" t="s">
        <v>184</v>
      </c>
      <c r="K2099" s="4" t="s">
        <v>147</v>
      </c>
      <c r="L2099" s="4" t="s">
        <v>4186</v>
      </c>
      <c r="M2099" s="4"/>
      <c r="N2099" s="4"/>
      <c r="O2099" s="4"/>
      <c r="P2099" s="4"/>
    </row>
    <row r="2100" spans="1:16" ht="15">
      <c r="A2100" s="4" t="s">
        <v>3120</v>
      </c>
      <c r="B2100" s="30">
        <v>39933</v>
      </c>
      <c r="C2100" s="4"/>
      <c r="D2100" s="4" t="s">
        <v>4182</v>
      </c>
      <c r="E2100" s="4" t="s">
        <v>171</v>
      </c>
      <c r="F2100" s="4" t="s">
        <v>168</v>
      </c>
      <c r="G2100" s="4"/>
      <c r="H2100" s="4"/>
      <c r="I2100" s="4" t="s">
        <v>139</v>
      </c>
      <c r="J2100" s="4" t="s">
        <v>178</v>
      </c>
      <c r="K2100" s="4" t="s">
        <v>145</v>
      </c>
      <c r="L2100" s="4" t="s">
        <v>4186</v>
      </c>
      <c r="M2100" s="4"/>
      <c r="N2100" s="4"/>
      <c r="O2100" s="4"/>
      <c r="P2100" s="4"/>
    </row>
    <row r="2101" spans="1:16" ht="15">
      <c r="A2101" s="4" t="s">
        <v>3121</v>
      </c>
      <c r="B2101" s="30">
        <v>39934</v>
      </c>
      <c r="C2101" s="4"/>
      <c r="D2101" s="4" t="s">
        <v>4182</v>
      </c>
      <c r="E2101" s="4" t="s">
        <v>171</v>
      </c>
      <c r="F2101" s="4" t="s">
        <v>168</v>
      </c>
      <c r="G2101" s="4"/>
      <c r="H2101" s="4"/>
      <c r="I2101" s="4" t="s">
        <v>139</v>
      </c>
      <c r="J2101" s="4" t="s">
        <v>181</v>
      </c>
      <c r="K2101" s="4" t="s">
        <v>142</v>
      </c>
      <c r="L2101" s="4" t="s">
        <v>4186</v>
      </c>
      <c r="M2101" s="4"/>
      <c r="N2101" s="4"/>
      <c r="O2101" s="4"/>
      <c r="P2101" s="4"/>
    </row>
    <row r="2102" spans="1:16" ht="15">
      <c r="A2102" s="4" t="s">
        <v>3122</v>
      </c>
      <c r="B2102" s="30">
        <v>39934</v>
      </c>
      <c r="C2102" s="4"/>
      <c r="D2102" s="4" t="s">
        <v>4182</v>
      </c>
      <c r="E2102" s="4" t="s">
        <v>171</v>
      </c>
      <c r="F2102" s="4" t="s">
        <v>168</v>
      </c>
      <c r="G2102" s="4"/>
      <c r="H2102" s="4"/>
      <c r="I2102" s="4" t="s">
        <v>139</v>
      </c>
      <c r="J2102" s="4" t="s">
        <v>179</v>
      </c>
      <c r="K2102" s="4" t="s">
        <v>143</v>
      </c>
      <c r="L2102" s="4" t="s">
        <v>4186</v>
      </c>
      <c r="M2102" s="4"/>
      <c r="N2102" s="4"/>
      <c r="O2102" s="4"/>
      <c r="P2102" s="4"/>
    </row>
    <row r="2103" spans="1:16" ht="15">
      <c r="A2103" s="4" t="s">
        <v>3123</v>
      </c>
      <c r="B2103" s="30">
        <v>39934</v>
      </c>
      <c r="C2103" s="4"/>
      <c r="D2103" s="4" t="s">
        <v>4182</v>
      </c>
      <c r="E2103" s="4" t="s">
        <v>171</v>
      </c>
      <c r="F2103" s="4" t="s">
        <v>168</v>
      </c>
      <c r="G2103" s="4"/>
      <c r="H2103" s="4"/>
      <c r="I2103" s="4" t="s">
        <v>139</v>
      </c>
      <c r="J2103" s="4" t="s">
        <v>179</v>
      </c>
      <c r="K2103" s="4" t="s">
        <v>147</v>
      </c>
      <c r="L2103" s="4" t="s">
        <v>4186</v>
      </c>
      <c r="M2103" s="4"/>
      <c r="N2103" s="4"/>
      <c r="O2103" s="4"/>
      <c r="P2103" s="4"/>
    </row>
    <row r="2104" spans="1:16" ht="15">
      <c r="A2104" s="4" t="s">
        <v>3124</v>
      </c>
      <c r="B2104" s="30">
        <v>39934</v>
      </c>
      <c r="C2104" s="4"/>
      <c r="D2104" s="4" t="s">
        <v>4182</v>
      </c>
      <c r="E2104" s="4" t="s">
        <v>171</v>
      </c>
      <c r="F2104" s="4" t="s">
        <v>168</v>
      </c>
      <c r="G2104" s="4"/>
      <c r="H2104" s="4"/>
      <c r="I2104" s="4" t="s">
        <v>139</v>
      </c>
      <c r="J2104" s="4" t="s">
        <v>178</v>
      </c>
      <c r="K2104" s="4" t="s">
        <v>147</v>
      </c>
      <c r="L2104" s="4" t="s">
        <v>4186</v>
      </c>
      <c r="M2104" s="4"/>
      <c r="N2104" s="4"/>
      <c r="O2104" s="4"/>
      <c r="P2104" s="4"/>
    </row>
    <row r="2105" spans="1:16" ht="15">
      <c r="A2105" s="4" t="s">
        <v>3125</v>
      </c>
      <c r="B2105" s="30">
        <v>39936</v>
      </c>
      <c r="C2105" s="4"/>
      <c r="D2105" s="4" t="s">
        <v>4182</v>
      </c>
      <c r="E2105" s="4" t="s">
        <v>171</v>
      </c>
      <c r="F2105" s="4" t="s">
        <v>168</v>
      </c>
      <c r="G2105" s="4"/>
      <c r="H2105" s="4"/>
      <c r="I2105" s="4" t="s">
        <v>139</v>
      </c>
      <c r="J2105" s="4" t="s">
        <v>179</v>
      </c>
      <c r="K2105" s="4" t="s">
        <v>147</v>
      </c>
      <c r="L2105" s="4" t="s">
        <v>4186</v>
      </c>
      <c r="M2105" s="4"/>
      <c r="N2105" s="4"/>
      <c r="O2105" s="4"/>
      <c r="P2105" s="4"/>
    </row>
    <row r="2106" spans="1:16" ht="15">
      <c r="A2106" s="4" t="s">
        <v>3126</v>
      </c>
      <c r="B2106" s="30">
        <v>39937</v>
      </c>
      <c r="C2106" s="4"/>
      <c r="D2106" s="4" t="s">
        <v>4182</v>
      </c>
      <c r="E2106" s="4" t="s">
        <v>171</v>
      </c>
      <c r="F2106" s="4" t="s">
        <v>168</v>
      </c>
      <c r="G2106" s="4"/>
      <c r="H2106" s="4"/>
      <c r="I2106" s="4" t="s">
        <v>139</v>
      </c>
      <c r="J2106" s="4" t="s">
        <v>179</v>
      </c>
      <c r="K2106" s="4" t="s">
        <v>143</v>
      </c>
      <c r="L2106" s="4" t="s">
        <v>4186</v>
      </c>
      <c r="M2106" s="4"/>
      <c r="N2106" s="4"/>
      <c r="O2106" s="4"/>
      <c r="P2106" s="4"/>
    </row>
    <row r="2107" spans="1:16" ht="15">
      <c r="A2107" s="4" t="s">
        <v>3127</v>
      </c>
      <c r="B2107" s="30">
        <v>39937</v>
      </c>
      <c r="C2107" s="4"/>
      <c r="D2107" s="4" t="s">
        <v>4182</v>
      </c>
      <c r="E2107" s="4" t="s">
        <v>171</v>
      </c>
      <c r="F2107" s="4" t="s">
        <v>168</v>
      </c>
      <c r="G2107" s="4"/>
      <c r="H2107" s="4"/>
      <c r="I2107" s="4" t="s">
        <v>139</v>
      </c>
      <c r="J2107" s="4" t="s">
        <v>178</v>
      </c>
      <c r="K2107" s="4" t="s">
        <v>142</v>
      </c>
      <c r="L2107" s="4" t="s">
        <v>4186</v>
      </c>
      <c r="M2107" s="4"/>
      <c r="N2107" s="4"/>
      <c r="O2107" s="4"/>
      <c r="P2107" s="4"/>
    </row>
    <row r="2108" spans="1:16" ht="15">
      <c r="A2108" s="4" t="s">
        <v>3128</v>
      </c>
      <c r="B2108" s="30">
        <v>39937</v>
      </c>
      <c r="C2108" s="4" t="s">
        <v>525</v>
      </c>
      <c r="D2108" s="4" t="s">
        <v>4182</v>
      </c>
      <c r="E2108" s="4" t="s">
        <v>171</v>
      </c>
      <c r="F2108" s="4" t="s">
        <v>168</v>
      </c>
      <c r="G2108" s="4"/>
      <c r="H2108" s="4"/>
      <c r="I2108" s="4" t="s">
        <v>139</v>
      </c>
      <c r="J2108" s="4" t="s">
        <v>184</v>
      </c>
      <c r="K2108" s="4" t="s">
        <v>150</v>
      </c>
      <c r="L2108" s="4" t="s">
        <v>4186</v>
      </c>
      <c r="M2108" s="4"/>
      <c r="N2108" s="4"/>
      <c r="O2108" s="4"/>
      <c r="P2108" s="4"/>
    </row>
    <row r="2109" spans="1:16" ht="15">
      <c r="A2109" s="4" t="s">
        <v>3129</v>
      </c>
      <c r="B2109" s="30">
        <v>39937</v>
      </c>
      <c r="C2109" s="4"/>
      <c r="D2109" s="4" t="s">
        <v>4182</v>
      </c>
      <c r="E2109" s="4" t="s">
        <v>171</v>
      </c>
      <c r="F2109" s="4" t="s">
        <v>168</v>
      </c>
      <c r="G2109" s="4"/>
      <c r="H2109" s="4"/>
      <c r="I2109" s="4" t="s">
        <v>139</v>
      </c>
      <c r="J2109" s="4" t="s">
        <v>188</v>
      </c>
      <c r="K2109" s="4" t="s">
        <v>145</v>
      </c>
      <c r="L2109" s="4" t="s">
        <v>4186</v>
      </c>
      <c r="M2109" s="4"/>
      <c r="N2109" s="4"/>
      <c r="O2109" s="4"/>
      <c r="P2109" s="4"/>
    </row>
    <row r="2110" spans="1:16" ht="15">
      <c r="A2110" s="4" t="s">
        <v>3130</v>
      </c>
      <c r="B2110" s="30">
        <v>39939</v>
      </c>
      <c r="C2110" s="4"/>
      <c r="D2110" s="4" t="s">
        <v>4182</v>
      </c>
      <c r="E2110" s="4" t="s">
        <v>171</v>
      </c>
      <c r="F2110" s="4" t="s">
        <v>168</v>
      </c>
      <c r="G2110" s="4"/>
      <c r="H2110" s="4"/>
      <c r="I2110" s="4" t="s">
        <v>139</v>
      </c>
      <c r="J2110" s="4" t="s">
        <v>180</v>
      </c>
      <c r="K2110" s="4" t="s">
        <v>145</v>
      </c>
      <c r="L2110" s="4" t="s">
        <v>4186</v>
      </c>
      <c r="M2110" s="4"/>
      <c r="N2110" s="4"/>
      <c r="O2110" s="4"/>
      <c r="P2110" s="4"/>
    </row>
    <row r="2111" spans="1:16" ht="15">
      <c r="A2111" s="4" t="s">
        <v>3131</v>
      </c>
      <c r="B2111" s="30">
        <v>39939</v>
      </c>
      <c r="C2111" s="4"/>
      <c r="D2111" s="4" t="s">
        <v>4182</v>
      </c>
      <c r="E2111" s="4" t="s">
        <v>171</v>
      </c>
      <c r="F2111" s="4" t="s">
        <v>168</v>
      </c>
      <c r="G2111" s="4"/>
      <c r="H2111" s="4"/>
      <c r="I2111" s="4" t="s">
        <v>139</v>
      </c>
      <c r="J2111" s="4" t="s">
        <v>188</v>
      </c>
      <c r="K2111" s="4" t="s">
        <v>147</v>
      </c>
      <c r="L2111" s="4" t="s">
        <v>4186</v>
      </c>
      <c r="M2111" s="4"/>
      <c r="N2111" s="4"/>
      <c r="O2111" s="4"/>
      <c r="P2111" s="4"/>
    </row>
    <row r="2112" spans="1:16" ht="15">
      <c r="A2112" s="4" t="s">
        <v>3132</v>
      </c>
      <c r="B2112" s="30">
        <v>39939</v>
      </c>
      <c r="C2112" s="4"/>
      <c r="D2112" s="4" t="s">
        <v>4182</v>
      </c>
      <c r="E2112" s="4" t="s">
        <v>171</v>
      </c>
      <c r="F2112" s="4" t="s">
        <v>168</v>
      </c>
      <c r="G2112" s="4"/>
      <c r="H2112" s="4"/>
      <c r="I2112" s="4" t="s">
        <v>139</v>
      </c>
      <c r="J2112" s="4" t="s">
        <v>190</v>
      </c>
      <c r="K2112" s="4" t="s">
        <v>145</v>
      </c>
      <c r="L2112" s="4" t="s">
        <v>4186</v>
      </c>
      <c r="M2112" s="4"/>
      <c r="N2112" s="4"/>
      <c r="O2112" s="4"/>
      <c r="P2112" s="4"/>
    </row>
    <row r="2113" spans="1:16" ht="15">
      <c r="A2113" s="4" t="s">
        <v>3133</v>
      </c>
      <c r="B2113" s="30">
        <v>39940</v>
      </c>
      <c r="C2113" s="4" t="s">
        <v>9</v>
      </c>
      <c r="D2113" s="4" t="s">
        <v>4182</v>
      </c>
      <c r="E2113" s="4" t="s">
        <v>171</v>
      </c>
      <c r="F2113" s="4" t="s">
        <v>168</v>
      </c>
      <c r="G2113" s="4"/>
      <c r="H2113" s="4"/>
      <c r="I2113" s="4" t="s">
        <v>139</v>
      </c>
      <c r="J2113" s="4" t="s">
        <v>181</v>
      </c>
      <c r="K2113" s="4" t="s">
        <v>142</v>
      </c>
      <c r="L2113" s="4" t="s">
        <v>4186</v>
      </c>
      <c r="M2113" s="4"/>
      <c r="N2113" s="4"/>
      <c r="O2113" s="4"/>
      <c r="P2113" s="4"/>
    </row>
    <row r="2114" spans="1:16" ht="15">
      <c r="A2114" s="4" t="s">
        <v>3134</v>
      </c>
      <c r="B2114" s="30">
        <v>39940</v>
      </c>
      <c r="C2114" s="4"/>
      <c r="D2114" s="4" t="s">
        <v>4182</v>
      </c>
      <c r="E2114" s="4" t="s">
        <v>171</v>
      </c>
      <c r="F2114" s="4" t="s">
        <v>168</v>
      </c>
      <c r="G2114" s="4"/>
      <c r="H2114" s="4"/>
      <c r="I2114" s="4" t="s">
        <v>139</v>
      </c>
      <c r="J2114" s="4" t="s">
        <v>447</v>
      </c>
      <c r="K2114" s="4" t="s">
        <v>147</v>
      </c>
      <c r="L2114" s="4" t="s">
        <v>4186</v>
      </c>
      <c r="M2114" s="4"/>
      <c r="N2114" s="4"/>
      <c r="O2114" s="4"/>
      <c r="P2114" s="4"/>
    </row>
    <row r="2115" spans="1:16" ht="15">
      <c r="A2115" s="4" t="s">
        <v>3135</v>
      </c>
      <c r="B2115" s="30">
        <v>39940</v>
      </c>
      <c r="C2115" s="4"/>
      <c r="D2115" s="4" t="s">
        <v>4182</v>
      </c>
      <c r="E2115" s="4" t="s">
        <v>171</v>
      </c>
      <c r="F2115" s="4" t="s">
        <v>168</v>
      </c>
      <c r="G2115" s="4"/>
      <c r="H2115" s="4"/>
      <c r="I2115" s="4" t="s">
        <v>139</v>
      </c>
      <c r="J2115" s="4" t="s">
        <v>190</v>
      </c>
      <c r="K2115" s="4" t="s">
        <v>150</v>
      </c>
      <c r="L2115" s="4" t="s">
        <v>4186</v>
      </c>
      <c r="M2115" s="4"/>
      <c r="N2115" s="4"/>
      <c r="O2115" s="4"/>
      <c r="P2115" s="4"/>
    </row>
    <row r="2116" spans="1:16" ht="15">
      <c r="A2116" s="4" t="s">
        <v>3136</v>
      </c>
      <c r="B2116" s="30">
        <v>39941</v>
      </c>
      <c r="C2116" s="4" t="s">
        <v>9</v>
      </c>
      <c r="D2116" s="4" t="s">
        <v>4182</v>
      </c>
      <c r="E2116" s="4" t="s">
        <v>171</v>
      </c>
      <c r="F2116" s="4" t="s">
        <v>168</v>
      </c>
      <c r="G2116" s="4"/>
      <c r="H2116" s="4"/>
      <c r="I2116" s="4" t="s">
        <v>139</v>
      </c>
      <c r="J2116" s="4" t="s">
        <v>178</v>
      </c>
      <c r="K2116" s="4" t="s">
        <v>147</v>
      </c>
      <c r="L2116" s="4" t="s">
        <v>4186</v>
      </c>
      <c r="M2116" s="4"/>
      <c r="N2116" s="4"/>
      <c r="O2116" s="4"/>
      <c r="P2116" s="4"/>
    </row>
    <row r="2117" spans="1:16" ht="15">
      <c r="A2117" s="4" t="s">
        <v>3137</v>
      </c>
      <c r="B2117" s="30">
        <v>39944</v>
      </c>
      <c r="C2117" s="4"/>
      <c r="D2117" s="4" t="s">
        <v>4182</v>
      </c>
      <c r="E2117" s="4" t="s">
        <v>171</v>
      </c>
      <c r="F2117" s="4" t="s">
        <v>168</v>
      </c>
      <c r="G2117" s="4"/>
      <c r="H2117" s="4"/>
      <c r="I2117" s="4" t="s">
        <v>139</v>
      </c>
      <c r="J2117" s="4" t="s">
        <v>182</v>
      </c>
      <c r="K2117" s="4" t="s">
        <v>148</v>
      </c>
      <c r="L2117" s="4" t="s">
        <v>4186</v>
      </c>
      <c r="M2117" s="4"/>
      <c r="N2117" s="4"/>
      <c r="O2117" s="4"/>
      <c r="P2117" s="4"/>
    </row>
    <row r="2118" spans="1:16" ht="15">
      <c r="A2118" s="4" t="s">
        <v>3138</v>
      </c>
      <c r="B2118" s="30">
        <v>39944</v>
      </c>
      <c r="C2118" s="4"/>
      <c r="D2118" s="4" t="s">
        <v>4182</v>
      </c>
      <c r="E2118" s="4" t="s">
        <v>171</v>
      </c>
      <c r="F2118" s="4" t="s">
        <v>168</v>
      </c>
      <c r="G2118" s="4"/>
      <c r="H2118" s="4"/>
      <c r="I2118" s="4" t="s">
        <v>139</v>
      </c>
      <c r="J2118" s="4" t="s">
        <v>183</v>
      </c>
      <c r="K2118" s="4" t="s">
        <v>143</v>
      </c>
      <c r="L2118" s="4" t="s">
        <v>4186</v>
      </c>
      <c r="M2118" s="4"/>
      <c r="N2118" s="4"/>
      <c r="O2118" s="4"/>
      <c r="P2118" s="4"/>
    </row>
    <row r="2119" spans="1:16" ht="15">
      <c r="A2119" s="4" t="s">
        <v>3139</v>
      </c>
      <c r="B2119" s="30">
        <v>39944</v>
      </c>
      <c r="C2119" s="4"/>
      <c r="D2119" s="4" t="s">
        <v>4182</v>
      </c>
      <c r="E2119" s="4" t="s">
        <v>171</v>
      </c>
      <c r="F2119" s="4" t="s">
        <v>168</v>
      </c>
      <c r="G2119" s="4"/>
      <c r="H2119" s="4"/>
      <c r="I2119" s="4" t="s">
        <v>139</v>
      </c>
      <c r="J2119" s="4" t="s">
        <v>178</v>
      </c>
      <c r="K2119" s="4" t="s">
        <v>148</v>
      </c>
      <c r="L2119" s="4" t="s">
        <v>4186</v>
      </c>
      <c r="M2119" s="4"/>
      <c r="N2119" s="4"/>
      <c r="O2119" s="4"/>
      <c r="P2119" s="4"/>
    </row>
    <row r="2120" spans="1:16" ht="15">
      <c r="A2120" s="4" t="s">
        <v>3140</v>
      </c>
      <c r="B2120" s="30">
        <v>39944</v>
      </c>
      <c r="C2120" s="4"/>
      <c r="D2120" s="4" t="s">
        <v>4182</v>
      </c>
      <c r="E2120" s="4" t="s">
        <v>171</v>
      </c>
      <c r="F2120" s="4" t="s">
        <v>168</v>
      </c>
      <c r="G2120" s="4"/>
      <c r="H2120" s="4"/>
      <c r="I2120" s="4" t="s">
        <v>139</v>
      </c>
      <c r="J2120" s="4" t="s">
        <v>178</v>
      </c>
      <c r="K2120" s="4" t="s">
        <v>143</v>
      </c>
      <c r="L2120" s="4" t="s">
        <v>4186</v>
      </c>
      <c r="M2120" s="4"/>
      <c r="N2120" s="4"/>
      <c r="O2120" s="4"/>
      <c r="P2120" s="4"/>
    </row>
    <row r="2121" spans="1:16" ht="15">
      <c r="A2121" s="4" t="s">
        <v>3141</v>
      </c>
      <c r="B2121" s="30">
        <v>39945</v>
      </c>
      <c r="C2121" s="4" t="s">
        <v>496</v>
      </c>
      <c r="D2121" s="4" t="s">
        <v>4182</v>
      </c>
      <c r="E2121" s="4" t="s">
        <v>171</v>
      </c>
      <c r="F2121" s="4" t="s">
        <v>168</v>
      </c>
      <c r="G2121" s="4"/>
      <c r="H2121" s="4"/>
      <c r="I2121" s="4" t="s">
        <v>139</v>
      </c>
      <c r="J2121" s="4" t="s">
        <v>178</v>
      </c>
      <c r="K2121" s="4" t="s">
        <v>145</v>
      </c>
      <c r="L2121" s="4" t="s">
        <v>4186</v>
      </c>
      <c r="M2121" s="4"/>
      <c r="N2121" s="4"/>
      <c r="O2121" s="4"/>
      <c r="P2121" s="4"/>
    </row>
    <row r="2122" spans="1:16" ht="15">
      <c r="A2122" s="4" t="s">
        <v>3142</v>
      </c>
      <c r="B2122" s="30">
        <v>39945</v>
      </c>
      <c r="C2122" s="4" t="s">
        <v>525</v>
      </c>
      <c r="D2122" s="4" t="s">
        <v>4182</v>
      </c>
      <c r="E2122" s="4" t="s">
        <v>171</v>
      </c>
      <c r="F2122" s="4" t="s">
        <v>168</v>
      </c>
      <c r="G2122" s="4"/>
      <c r="H2122" s="4"/>
      <c r="I2122" s="4" t="s">
        <v>139</v>
      </c>
      <c r="J2122" s="4" t="s">
        <v>178</v>
      </c>
      <c r="K2122" s="4" t="s">
        <v>145</v>
      </c>
      <c r="L2122" s="4" t="s">
        <v>4186</v>
      </c>
      <c r="M2122" s="4"/>
      <c r="N2122" s="4"/>
      <c r="O2122" s="4"/>
      <c r="P2122" s="4"/>
    </row>
    <row r="2123" spans="1:16" ht="15">
      <c r="A2123" s="4" t="s">
        <v>3143</v>
      </c>
      <c r="B2123" s="30">
        <v>39945</v>
      </c>
      <c r="C2123" s="4" t="s">
        <v>525</v>
      </c>
      <c r="D2123" s="4" t="s">
        <v>4182</v>
      </c>
      <c r="E2123" s="4" t="s">
        <v>171</v>
      </c>
      <c r="F2123" s="4" t="s">
        <v>168</v>
      </c>
      <c r="G2123" s="4"/>
      <c r="H2123" s="4"/>
      <c r="I2123" s="4" t="s">
        <v>139</v>
      </c>
      <c r="J2123" s="4" t="s">
        <v>178</v>
      </c>
      <c r="K2123" s="4" t="s">
        <v>147</v>
      </c>
      <c r="L2123" s="4" t="s">
        <v>4186</v>
      </c>
      <c r="M2123" s="4"/>
      <c r="N2123" s="4"/>
      <c r="O2123" s="4"/>
      <c r="P2123" s="4"/>
    </row>
    <row r="2124" spans="1:16" ht="15">
      <c r="A2124" s="4" t="s">
        <v>3144</v>
      </c>
      <c r="B2124" s="30">
        <v>39945</v>
      </c>
      <c r="C2124" s="4"/>
      <c r="D2124" s="4" t="s">
        <v>4182</v>
      </c>
      <c r="E2124" s="4" t="s">
        <v>171</v>
      </c>
      <c r="F2124" s="4" t="s">
        <v>168</v>
      </c>
      <c r="G2124" s="4"/>
      <c r="H2124" s="4"/>
      <c r="I2124" s="4" t="s">
        <v>139</v>
      </c>
      <c r="J2124" s="4" t="s">
        <v>181</v>
      </c>
      <c r="K2124" s="4" t="s">
        <v>142</v>
      </c>
      <c r="L2124" s="4" t="s">
        <v>4186</v>
      </c>
      <c r="M2124" s="4"/>
      <c r="N2124" s="4"/>
      <c r="O2124" s="4"/>
      <c r="P2124" s="4"/>
    </row>
    <row r="2125" spans="1:16" ht="15">
      <c r="A2125" s="4" t="s">
        <v>3145</v>
      </c>
      <c r="B2125" s="30">
        <v>39947</v>
      </c>
      <c r="C2125" s="4"/>
      <c r="D2125" s="4" t="s">
        <v>4182</v>
      </c>
      <c r="E2125" s="4" t="s">
        <v>171</v>
      </c>
      <c r="F2125" s="4" t="s">
        <v>168</v>
      </c>
      <c r="G2125" s="4"/>
      <c r="H2125" s="4"/>
      <c r="I2125" s="4" t="s">
        <v>139</v>
      </c>
      <c r="J2125" s="4" t="s">
        <v>179</v>
      </c>
      <c r="K2125" s="4" t="s">
        <v>147</v>
      </c>
      <c r="L2125" s="4" t="s">
        <v>4186</v>
      </c>
      <c r="M2125" s="4"/>
      <c r="N2125" s="4"/>
      <c r="O2125" s="4"/>
      <c r="P2125" s="4"/>
    </row>
    <row r="2126" spans="1:16" ht="15">
      <c r="A2126" s="4" t="s">
        <v>3146</v>
      </c>
      <c r="B2126" s="30">
        <v>39947</v>
      </c>
      <c r="C2126" s="4"/>
      <c r="D2126" s="4" t="s">
        <v>4182</v>
      </c>
      <c r="E2126" s="4" t="s">
        <v>171</v>
      </c>
      <c r="F2126" s="4" t="s">
        <v>168</v>
      </c>
      <c r="G2126" s="4"/>
      <c r="H2126" s="4"/>
      <c r="I2126" s="4" t="s">
        <v>139</v>
      </c>
      <c r="J2126" s="4" t="s">
        <v>433</v>
      </c>
      <c r="K2126" s="4" t="s">
        <v>148</v>
      </c>
      <c r="L2126" s="4" t="s">
        <v>4186</v>
      </c>
      <c r="M2126" s="4"/>
      <c r="N2126" s="4"/>
      <c r="O2126" s="4"/>
      <c r="P2126" s="4"/>
    </row>
    <row r="2127" spans="1:16" ht="15">
      <c r="A2127" s="4" t="s">
        <v>3147</v>
      </c>
      <c r="B2127" s="30">
        <v>39947</v>
      </c>
      <c r="C2127" s="4"/>
      <c r="D2127" s="4" t="s">
        <v>4182</v>
      </c>
      <c r="E2127" s="4" t="s">
        <v>171</v>
      </c>
      <c r="F2127" s="4" t="s">
        <v>168</v>
      </c>
      <c r="G2127" s="4"/>
      <c r="H2127" s="4"/>
      <c r="I2127" s="4" t="s">
        <v>139</v>
      </c>
      <c r="J2127" s="4" t="s">
        <v>189</v>
      </c>
      <c r="K2127" s="4" t="s">
        <v>147</v>
      </c>
      <c r="L2127" s="4" t="s">
        <v>4186</v>
      </c>
      <c r="M2127" s="4"/>
      <c r="N2127" s="4"/>
      <c r="O2127" s="4"/>
      <c r="P2127" s="4"/>
    </row>
    <row r="2128" spans="1:16" ht="15">
      <c r="A2128" s="4" t="s">
        <v>3148</v>
      </c>
      <c r="B2128" s="30">
        <v>39947</v>
      </c>
      <c r="C2128" s="4"/>
      <c r="D2128" s="4" t="s">
        <v>4182</v>
      </c>
      <c r="E2128" s="4" t="s">
        <v>171</v>
      </c>
      <c r="F2128" s="4" t="s">
        <v>168</v>
      </c>
      <c r="G2128" s="4"/>
      <c r="H2128" s="4"/>
      <c r="I2128" s="4" t="s">
        <v>139</v>
      </c>
      <c r="J2128" s="4" t="s">
        <v>184</v>
      </c>
      <c r="K2128" s="4" t="s">
        <v>147</v>
      </c>
      <c r="L2128" s="4" t="s">
        <v>4186</v>
      </c>
      <c r="M2128" s="4"/>
      <c r="N2128" s="4"/>
      <c r="O2128" s="4"/>
      <c r="P2128" s="4"/>
    </row>
    <row r="2129" spans="1:16" ht="15">
      <c r="A2129" s="4" t="s">
        <v>3149</v>
      </c>
      <c r="B2129" s="30">
        <v>39948</v>
      </c>
      <c r="C2129" s="4"/>
      <c r="D2129" s="4" t="s">
        <v>4182</v>
      </c>
      <c r="E2129" s="4" t="s">
        <v>171</v>
      </c>
      <c r="F2129" s="4" t="s">
        <v>168</v>
      </c>
      <c r="G2129" s="4"/>
      <c r="H2129" s="4"/>
      <c r="I2129" s="4" t="s">
        <v>139</v>
      </c>
      <c r="J2129" s="4" t="s">
        <v>178</v>
      </c>
      <c r="K2129" s="4" t="s">
        <v>145</v>
      </c>
      <c r="L2129" s="4" t="s">
        <v>4186</v>
      </c>
      <c r="M2129" s="4"/>
      <c r="N2129" s="4"/>
      <c r="O2129" s="4"/>
      <c r="P2129" s="4"/>
    </row>
    <row r="2130" spans="1:16" ht="15">
      <c r="A2130" s="4" t="s">
        <v>3150</v>
      </c>
      <c r="B2130" s="30">
        <v>39951</v>
      </c>
      <c r="C2130" s="4"/>
      <c r="D2130" s="4" t="s">
        <v>4182</v>
      </c>
      <c r="E2130" s="4" t="s">
        <v>171</v>
      </c>
      <c r="F2130" s="4" t="s">
        <v>168</v>
      </c>
      <c r="G2130" s="4"/>
      <c r="H2130" s="4"/>
      <c r="I2130" s="4" t="s">
        <v>139</v>
      </c>
      <c r="J2130" s="4" t="s">
        <v>178</v>
      </c>
      <c r="K2130" s="4" t="s">
        <v>145</v>
      </c>
      <c r="L2130" s="4" t="s">
        <v>4186</v>
      </c>
      <c r="M2130" s="4"/>
      <c r="N2130" s="4"/>
      <c r="O2130" s="4"/>
      <c r="P2130" s="4"/>
    </row>
    <row r="2131" spans="1:16" ht="15">
      <c r="A2131" s="4" t="s">
        <v>3151</v>
      </c>
      <c r="B2131" s="30">
        <v>39953</v>
      </c>
      <c r="C2131" s="4"/>
      <c r="D2131" s="4" t="s">
        <v>4182</v>
      </c>
      <c r="E2131" s="4" t="s">
        <v>171</v>
      </c>
      <c r="F2131" s="4" t="s">
        <v>168</v>
      </c>
      <c r="G2131" s="4"/>
      <c r="H2131" s="4"/>
      <c r="I2131" s="4" t="s">
        <v>139</v>
      </c>
      <c r="J2131" s="4" t="s">
        <v>181</v>
      </c>
      <c r="K2131" s="4" t="s">
        <v>145</v>
      </c>
      <c r="L2131" s="4" t="s">
        <v>4186</v>
      </c>
      <c r="M2131" s="4"/>
      <c r="N2131" s="4"/>
      <c r="O2131" s="4"/>
      <c r="P2131" s="4"/>
    </row>
    <row r="2132" spans="1:16" ht="15">
      <c r="A2132" s="4" t="s">
        <v>3152</v>
      </c>
      <c r="B2132" s="30">
        <v>39954</v>
      </c>
      <c r="C2132" s="4" t="s">
        <v>496</v>
      </c>
      <c r="D2132" s="4" t="s">
        <v>4182</v>
      </c>
      <c r="E2132" s="4" t="s">
        <v>171</v>
      </c>
      <c r="F2132" s="4" t="s">
        <v>168</v>
      </c>
      <c r="G2132" s="4"/>
      <c r="H2132" s="4"/>
      <c r="I2132" s="4" t="s">
        <v>139</v>
      </c>
      <c r="J2132" s="4" t="s">
        <v>178</v>
      </c>
      <c r="K2132" s="4" t="s">
        <v>145</v>
      </c>
      <c r="L2132" s="4" t="s">
        <v>4186</v>
      </c>
      <c r="M2132" s="4"/>
      <c r="N2132" s="4"/>
      <c r="O2132" s="4"/>
      <c r="P2132" s="4"/>
    </row>
    <row r="2133" spans="1:16" ht="15">
      <c r="A2133" s="4" t="s">
        <v>3153</v>
      </c>
      <c r="B2133" s="30">
        <v>39954</v>
      </c>
      <c r="C2133" s="4"/>
      <c r="D2133" s="4" t="s">
        <v>4182</v>
      </c>
      <c r="E2133" s="4" t="s">
        <v>171</v>
      </c>
      <c r="F2133" s="4" t="s">
        <v>168</v>
      </c>
      <c r="G2133" s="4"/>
      <c r="H2133" s="4"/>
      <c r="I2133" s="4" t="s">
        <v>139</v>
      </c>
      <c r="J2133" s="4" t="s">
        <v>178</v>
      </c>
      <c r="K2133" s="4" t="s">
        <v>149</v>
      </c>
      <c r="L2133" s="4" t="s">
        <v>4186</v>
      </c>
      <c r="M2133" s="4"/>
      <c r="N2133" s="4"/>
      <c r="O2133" s="4"/>
      <c r="P2133" s="4"/>
    </row>
    <row r="2134" spans="1:16" ht="15">
      <c r="A2134" s="4" t="s">
        <v>3154</v>
      </c>
      <c r="B2134" s="30">
        <v>39954</v>
      </c>
      <c r="C2134" s="4"/>
      <c r="D2134" s="4" t="s">
        <v>4182</v>
      </c>
      <c r="E2134" s="4" t="s">
        <v>171</v>
      </c>
      <c r="F2134" s="4" t="s">
        <v>168</v>
      </c>
      <c r="G2134" s="4"/>
      <c r="H2134" s="4"/>
      <c r="I2134" s="4" t="s">
        <v>139</v>
      </c>
      <c r="J2134" s="4" t="s">
        <v>178</v>
      </c>
      <c r="K2134" s="4" t="s">
        <v>147</v>
      </c>
      <c r="L2134" s="4" t="s">
        <v>4186</v>
      </c>
      <c r="M2134" s="4"/>
      <c r="N2134" s="4"/>
      <c r="O2134" s="4"/>
      <c r="P2134" s="4"/>
    </row>
    <row r="2135" spans="1:16" ht="15">
      <c r="A2135" s="4" t="s">
        <v>3155</v>
      </c>
      <c r="B2135" s="30">
        <v>39954</v>
      </c>
      <c r="C2135" s="4"/>
      <c r="D2135" s="4" t="s">
        <v>4182</v>
      </c>
      <c r="E2135" s="4" t="s">
        <v>171</v>
      </c>
      <c r="F2135" s="4" t="s">
        <v>168</v>
      </c>
      <c r="G2135" s="4"/>
      <c r="H2135" s="4"/>
      <c r="I2135" s="4" t="s">
        <v>139</v>
      </c>
      <c r="J2135" s="4" t="s">
        <v>180</v>
      </c>
      <c r="K2135" s="4" t="s">
        <v>142</v>
      </c>
      <c r="L2135" s="4" t="s">
        <v>4186</v>
      </c>
      <c r="M2135" s="4"/>
      <c r="N2135" s="4"/>
      <c r="O2135" s="4"/>
      <c r="P2135" s="4"/>
    </row>
    <row r="2136" spans="1:16" ht="15">
      <c r="A2136" s="4" t="s">
        <v>3156</v>
      </c>
      <c r="B2136" s="30">
        <v>39955</v>
      </c>
      <c r="C2136" s="4" t="s">
        <v>525</v>
      </c>
      <c r="D2136" s="4" t="s">
        <v>4182</v>
      </c>
      <c r="E2136" s="4" t="s">
        <v>171</v>
      </c>
      <c r="F2136" s="4" t="s">
        <v>168</v>
      </c>
      <c r="G2136" s="4"/>
      <c r="H2136" s="4"/>
      <c r="I2136" s="4" t="s">
        <v>139</v>
      </c>
      <c r="J2136" s="4" t="s">
        <v>187</v>
      </c>
      <c r="K2136" s="4" t="s">
        <v>144</v>
      </c>
      <c r="L2136" s="4" t="s">
        <v>4186</v>
      </c>
      <c r="M2136" s="4"/>
      <c r="N2136" s="4"/>
      <c r="O2136" s="4"/>
      <c r="P2136" s="4"/>
    </row>
    <row r="2137" spans="1:16" ht="15">
      <c r="A2137" s="4" t="s">
        <v>3157</v>
      </c>
      <c r="B2137" s="30">
        <v>39955</v>
      </c>
      <c r="C2137" s="4"/>
      <c r="D2137" s="4" t="s">
        <v>4182</v>
      </c>
      <c r="E2137" s="4" t="s">
        <v>171</v>
      </c>
      <c r="F2137" s="4" t="s">
        <v>168</v>
      </c>
      <c r="G2137" s="4"/>
      <c r="H2137" s="4"/>
      <c r="I2137" s="4" t="s">
        <v>139</v>
      </c>
      <c r="J2137" s="4" t="s">
        <v>180</v>
      </c>
      <c r="K2137" s="4" t="s">
        <v>144</v>
      </c>
      <c r="L2137" s="4" t="s">
        <v>4186</v>
      </c>
      <c r="M2137" s="4"/>
      <c r="N2137" s="4"/>
      <c r="O2137" s="4"/>
      <c r="P2137" s="4"/>
    </row>
    <row r="2138" spans="1:16" ht="15">
      <c r="A2138" s="4" t="s">
        <v>3158</v>
      </c>
      <c r="B2138" s="30">
        <v>39955</v>
      </c>
      <c r="C2138" s="4"/>
      <c r="D2138" s="4" t="s">
        <v>4182</v>
      </c>
      <c r="E2138" s="4" t="s">
        <v>171</v>
      </c>
      <c r="F2138" s="4" t="s">
        <v>168</v>
      </c>
      <c r="G2138" s="4"/>
      <c r="H2138" s="4"/>
      <c r="I2138" s="4" t="s">
        <v>139</v>
      </c>
      <c r="J2138" s="4" t="s">
        <v>181</v>
      </c>
      <c r="K2138" s="4" t="s">
        <v>143</v>
      </c>
      <c r="L2138" s="4" t="s">
        <v>4186</v>
      </c>
      <c r="M2138" s="4"/>
      <c r="N2138" s="4"/>
      <c r="O2138" s="4"/>
      <c r="P2138" s="4"/>
    </row>
    <row r="2139" spans="1:16" ht="15">
      <c r="A2139" s="4" t="s">
        <v>3159</v>
      </c>
      <c r="B2139" s="30">
        <v>39960</v>
      </c>
      <c r="C2139" s="4" t="s">
        <v>525</v>
      </c>
      <c r="D2139" s="4" t="s">
        <v>4182</v>
      </c>
      <c r="E2139" s="4" t="s">
        <v>171</v>
      </c>
      <c r="F2139" s="4" t="s">
        <v>168</v>
      </c>
      <c r="G2139" s="4"/>
      <c r="H2139" s="4"/>
      <c r="I2139" s="4" t="s">
        <v>139</v>
      </c>
      <c r="J2139" s="4" t="s">
        <v>181</v>
      </c>
      <c r="K2139" s="4" t="s">
        <v>144</v>
      </c>
      <c r="L2139" s="4" t="s">
        <v>4186</v>
      </c>
      <c r="M2139" s="4"/>
      <c r="N2139" s="4"/>
      <c r="O2139" s="4"/>
      <c r="P2139" s="4"/>
    </row>
    <row r="2140" spans="1:16" ht="15">
      <c r="A2140" s="4" t="s">
        <v>3160</v>
      </c>
      <c r="B2140" s="30">
        <v>39961</v>
      </c>
      <c r="C2140" s="4"/>
      <c r="D2140" s="4" t="s">
        <v>4182</v>
      </c>
      <c r="E2140" s="4" t="s">
        <v>171</v>
      </c>
      <c r="F2140" s="4" t="s">
        <v>168</v>
      </c>
      <c r="G2140" s="4"/>
      <c r="H2140" s="4"/>
      <c r="I2140" s="4" t="s">
        <v>139</v>
      </c>
      <c r="J2140" s="4" t="s">
        <v>181</v>
      </c>
      <c r="K2140" s="4" t="s">
        <v>144</v>
      </c>
      <c r="L2140" s="4" t="s">
        <v>4186</v>
      </c>
      <c r="M2140" s="4"/>
      <c r="N2140" s="4"/>
      <c r="O2140" s="4"/>
      <c r="P2140" s="4"/>
    </row>
    <row r="2141" spans="1:16" ht="15">
      <c r="A2141" s="4" t="s">
        <v>3161</v>
      </c>
      <c r="B2141" s="30">
        <v>39961</v>
      </c>
      <c r="C2141" s="4"/>
      <c r="D2141" s="4" t="s">
        <v>4182</v>
      </c>
      <c r="E2141" s="4" t="s">
        <v>171</v>
      </c>
      <c r="F2141" s="4" t="s">
        <v>168</v>
      </c>
      <c r="G2141" s="4"/>
      <c r="H2141" s="4"/>
      <c r="I2141" s="4" t="s">
        <v>139</v>
      </c>
      <c r="J2141" s="4" t="s">
        <v>180</v>
      </c>
      <c r="K2141" s="4" t="s">
        <v>146</v>
      </c>
      <c r="L2141" s="4" t="s">
        <v>4186</v>
      </c>
      <c r="M2141" s="4"/>
      <c r="N2141" s="4"/>
      <c r="O2141" s="4"/>
      <c r="P2141" s="4"/>
    </row>
    <row r="2142" spans="1:16" ht="15">
      <c r="A2142" s="4" t="s">
        <v>3162</v>
      </c>
      <c r="B2142" s="30">
        <v>39961</v>
      </c>
      <c r="C2142" s="4"/>
      <c r="D2142" s="4" t="s">
        <v>4182</v>
      </c>
      <c r="E2142" s="4" t="s">
        <v>171</v>
      </c>
      <c r="F2142" s="4" t="s">
        <v>168</v>
      </c>
      <c r="G2142" s="4"/>
      <c r="H2142" s="4"/>
      <c r="I2142" s="4" t="s">
        <v>139</v>
      </c>
      <c r="J2142" s="4" t="s">
        <v>179</v>
      </c>
      <c r="K2142" s="4" t="s">
        <v>142</v>
      </c>
      <c r="L2142" s="4" t="s">
        <v>4186</v>
      </c>
      <c r="M2142" s="4"/>
      <c r="N2142" s="4"/>
      <c r="O2142" s="4"/>
      <c r="P2142" s="4"/>
    </row>
    <row r="2143" spans="1:16" ht="15">
      <c r="A2143" s="4" t="s">
        <v>3163</v>
      </c>
      <c r="B2143" s="30">
        <v>39963</v>
      </c>
      <c r="C2143" s="4" t="s">
        <v>380</v>
      </c>
      <c r="D2143" s="4" t="s">
        <v>4182</v>
      </c>
      <c r="E2143" s="4" t="s">
        <v>171</v>
      </c>
      <c r="F2143" s="4" t="s">
        <v>168</v>
      </c>
      <c r="G2143" s="4"/>
      <c r="H2143" s="4"/>
      <c r="I2143" s="4" t="s">
        <v>139</v>
      </c>
      <c r="J2143" s="4" t="s">
        <v>509</v>
      </c>
      <c r="K2143" s="4" t="s">
        <v>144</v>
      </c>
      <c r="L2143" s="4" t="s">
        <v>4186</v>
      </c>
      <c r="M2143" s="4"/>
      <c r="N2143" s="4"/>
      <c r="O2143" s="4"/>
      <c r="P2143" s="4"/>
    </row>
    <row r="2144" spans="1:16" ht="15">
      <c r="A2144" s="4" t="s">
        <v>3164</v>
      </c>
      <c r="B2144" s="30">
        <v>39964</v>
      </c>
      <c r="C2144" s="4"/>
      <c r="D2144" s="4" t="s">
        <v>4182</v>
      </c>
      <c r="E2144" s="4" t="s">
        <v>171</v>
      </c>
      <c r="F2144" s="4" t="s">
        <v>168</v>
      </c>
      <c r="G2144" s="4"/>
      <c r="H2144" s="4"/>
      <c r="I2144" s="4" t="s">
        <v>139</v>
      </c>
      <c r="J2144" s="4" t="s">
        <v>189</v>
      </c>
      <c r="K2144" s="4" t="s">
        <v>145</v>
      </c>
      <c r="L2144" s="4" t="s">
        <v>4186</v>
      </c>
      <c r="M2144" s="4"/>
      <c r="N2144" s="4"/>
      <c r="O2144" s="4"/>
      <c r="P2144" s="4"/>
    </row>
    <row r="2145" spans="1:16" ht="15">
      <c r="A2145" s="4" t="s">
        <v>3165</v>
      </c>
      <c r="B2145" s="30">
        <v>39965</v>
      </c>
      <c r="C2145" s="4" t="s">
        <v>9</v>
      </c>
      <c r="D2145" s="4" t="s">
        <v>4182</v>
      </c>
      <c r="E2145" s="4" t="s">
        <v>171</v>
      </c>
      <c r="F2145" s="4" t="s">
        <v>168</v>
      </c>
      <c r="G2145" s="4"/>
      <c r="H2145" s="4"/>
      <c r="I2145" s="4" t="s">
        <v>139</v>
      </c>
      <c r="J2145" s="4" t="s">
        <v>181</v>
      </c>
      <c r="K2145" s="4" t="s">
        <v>142</v>
      </c>
      <c r="L2145" s="4" t="s">
        <v>4186</v>
      </c>
      <c r="M2145" s="4"/>
      <c r="N2145" s="4"/>
      <c r="O2145" s="4"/>
      <c r="P2145" s="4"/>
    </row>
    <row r="2146" spans="1:16" ht="15">
      <c r="A2146" s="4" t="s">
        <v>3166</v>
      </c>
      <c r="B2146" s="30">
        <v>39965</v>
      </c>
      <c r="C2146" s="4"/>
      <c r="D2146" s="4" t="s">
        <v>4182</v>
      </c>
      <c r="E2146" s="4" t="s">
        <v>171</v>
      </c>
      <c r="F2146" s="4" t="s">
        <v>168</v>
      </c>
      <c r="G2146" s="4"/>
      <c r="H2146" s="4"/>
      <c r="I2146" s="4" t="s">
        <v>139</v>
      </c>
      <c r="J2146" s="4" t="s">
        <v>180</v>
      </c>
      <c r="K2146" s="4" t="s">
        <v>145</v>
      </c>
      <c r="L2146" s="4" t="s">
        <v>4186</v>
      </c>
      <c r="M2146" s="4"/>
      <c r="N2146" s="4"/>
      <c r="O2146" s="4"/>
      <c r="P2146" s="4"/>
    </row>
    <row r="2147" spans="1:16" ht="15">
      <c r="A2147" s="4" t="s">
        <v>3167</v>
      </c>
      <c r="B2147" s="30">
        <v>39965</v>
      </c>
      <c r="C2147" s="4" t="s">
        <v>383</v>
      </c>
      <c r="D2147" s="4" t="s">
        <v>4182</v>
      </c>
      <c r="E2147" s="4" t="s">
        <v>171</v>
      </c>
      <c r="F2147" s="4" t="s">
        <v>168</v>
      </c>
      <c r="G2147" s="4"/>
      <c r="H2147" s="4"/>
      <c r="I2147" s="4" t="s">
        <v>139</v>
      </c>
      <c r="J2147" s="4" t="s">
        <v>591</v>
      </c>
      <c r="K2147" s="4" t="s">
        <v>145</v>
      </c>
      <c r="L2147" s="4" t="s">
        <v>4186</v>
      </c>
      <c r="M2147" s="4"/>
      <c r="N2147" s="4"/>
      <c r="O2147" s="4"/>
      <c r="P2147" s="4"/>
    </row>
    <row r="2148" spans="1:16" ht="15">
      <c r="A2148" s="4" t="s">
        <v>3168</v>
      </c>
      <c r="B2148" s="30">
        <v>39965</v>
      </c>
      <c r="C2148" s="4"/>
      <c r="D2148" s="4" t="s">
        <v>4182</v>
      </c>
      <c r="E2148" s="4" t="s">
        <v>171</v>
      </c>
      <c r="F2148" s="4" t="s">
        <v>168</v>
      </c>
      <c r="G2148" s="4"/>
      <c r="H2148" s="4"/>
      <c r="I2148" s="4" t="s">
        <v>139</v>
      </c>
      <c r="J2148" s="4" t="s">
        <v>189</v>
      </c>
      <c r="K2148" s="4" t="s">
        <v>142</v>
      </c>
      <c r="L2148" s="4" t="s">
        <v>4186</v>
      </c>
      <c r="M2148" s="4"/>
      <c r="N2148" s="4"/>
      <c r="O2148" s="4"/>
      <c r="P2148" s="4"/>
    </row>
    <row r="2149" spans="1:16" ht="15">
      <c r="A2149" s="4" t="s">
        <v>3169</v>
      </c>
      <c r="B2149" s="30">
        <v>39966</v>
      </c>
      <c r="C2149" s="4"/>
      <c r="D2149" s="4" t="s">
        <v>4182</v>
      </c>
      <c r="E2149" s="4" t="s">
        <v>171</v>
      </c>
      <c r="F2149" s="4" t="s">
        <v>168</v>
      </c>
      <c r="G2149" s="4"/>
      <c r="H2149" s="4"/>
      <c r="I2149" s="4" t="s">
        <v>139</v>
      </c>
      <c r="J2149" s="4" t="s">
        <v>187</v>
      </c>
      <c r="K2149" s="4" t="s">
        <v>143</v>
      </c>
      <c r="L2149" s="4" t="s">
        <v>4186</v>
      </c>
      <c r="M2149" s="4"/>
      <c r="N2149" s="4"/>
      <c r="O2149" s="4"/>
      <c r="P2149" s="4"/>
    </row>
    <row r="2150" spans="1:16" ht="15">
      <c r="A2150" s="4" t="s">
        <v>3170</v>
      </c>
      <c r="B2150" s="30">
        <v>39966</v>
      </c>
      <c r="C2150" s="4"/>
      <c r="D2150" s="4" t="s">
        <v>4182</v>
      </c>
      <c r="E2150" s="4" t="s">
        <v>171</v>
      </c>
      <c r="F2150" s="4" t="s">
        <v>168</v>
      </c>
      <c r="G2150" s="4"/>
      <c r="H2150" s="4"/>
      <c r="I2150" s="4" t="s">
        <v>139</v>
      </c>
      <c r="J2150" s="4" t="s">
        <v>181</v>
      </c>
      <c r="K2150" s="4" t="s">
        <v>148</v>
      </c>
      <c r="L2150" s="4" t="s">
        <v>4186</v>
      </c>
      <c r="M2150" s="4"/>
      <c r="N2150" s="4"/>
      <c r="O2150" s="4"/>
      <c r="P2150" s="4"/>
    </row>
    <row r="2151" spans="1:16" ht="15">
      <c r="A2151" s="4" t="s">
        <v>3171</v>
      </c>
      <c r="B2151" s="30">
        <v>39967</v>
      </c>
      <c r="C2151" s="4" t="s">
        <v>383</v>
      </c>
      <c r="D2151" s="4" t="s">
        <v>4182</v>
      </c>
      <c r="E2151" s="4" t="s">
        <v>171</v>
      </c>
      <c r="F2151" s="4" t="s">
        <v>168</v>
      </c>
      <c r="G2151" s="4"/>
      <c r="H2151" s="4"/>
      <c r="I2151" s="4" t="s">
        <v>139</v>
      </c>
      <c r="J2151" s="4" t="s">
        <v>187</v>
      </c>
      <c r="K2151" s="4" t="s">
        <v>149</v>
      </c>
      <c r="L2151" s="4" t="s">
        <v>4186</v>
      </c>
      <c r="M2151" s="4"/>
      <c r="N2151" s="4"/>
      <c r="O2151" s="4"/>
      <c r="P2151" s="4"/>
    </row>
    <row r="2152" spans="1:16" ht="15">
      <c r="A2152" s="4" t="s">
        <v>3172</v>
      </c>
      <c r="B2152" s="30">
        <v>39967</v>
      </c>
      <c r="C2152" s="4" t="s">
        <v>383</v>
      </c>
      <c r="D2152" s="4" t="s">
        <v>4182</v>
      </c>
      <c r="E2152" s="4" t="s">
        <v>171</v>
      </c>
      <c r="F2152" s="4" t="s">
        <v>168</v>
      </c>
      <c r="G2152" s="4"/>
      <c r="H2152" s="4"/>
      <c r="I2152" s="4" t="s">
        <v>139</v>
      </c>
      <c r="J2152" s="4" t="s">
        <v>178</v>
      </c>
      <c r="K2152" s="4" t="s">
        <v>142</v>
      </c>
      <c r="L2152" s="4" t="s">
        <v>4186</v>
      </c>
      <c r="M2152" s="4"/>
      <c r="N2152" s="4"/>
      <c r="O2152" s="4"/>
      <c r="P2152" s="4"/>
    </row>
    <row r="2153" spans="1:16" ht="15">
      <c r="A2153" s="4" t="s">
        <v>3173</v>
      </c>
      <c r="B2153" s="30">
        <v>39968</v>
      </c>
      <c r="C2153" s="4" t="s">
        <v>9</v>
      </c>
      <c r="D2153" s="4" t="s">
        <v>4182</v>
      </c>
      <c r="E2153" s="4" t="s">
        <v>171</v>
      </c>
      <c r="F2153" s="4" t="s">
        <v>168</v>
      </c>
      <c r="G2153" s="4"/>
      <c r="H2153" s="4"/>
      <c r="I2153" s="4" t="s">
        <v>139</v>
      </c>
      <c r="J2153" s="4" t="s">
        <v>189</v>
      </c>
      <c r="K2153" s="4" t="s">
        <v>144</v>
      </c>
      <c r="L2153" s="4" t="s">
        <v>4186</v>
      </c>
      <c r="M2153" s="4"/>
      <c r="N2153" s="4"/>
      <c r="O2153" s="4"/>
      <c r="P2153" s="4"/>
    </row>
    <row r="2154" spans="1:16" ht="15">
      <c r="A2154" s="4" t="s">
        <v>3174</v>
      </c>
      <c r="B2154" s="30">
        <v>39971</v>
      </c>
      <c r="C2154" s="4" t="s">
        <v>383</v>
      </c>
      <c r="D2154" s="4" t="s">
        <v>4182</v>
      </c>
      <c r="E2154" s="4" t="s">
        <v>171</v>
      </c>
      <c r="F2154" s="4" t="s">
        <v>168</v>
      </c>
      <c r="G2154" s="4"/>
      <c r="H2154" s="4"/>
      <c r="I2154" s="4" t="s">
        <v>139</v>
      </c>
      <c r="J2154" s="4" t="s">
        <v>187</v>
      </c>
      <c r="K2154" s="4" t="s">
        <v>145</v>
      </c>
      <c r="L2154" s="4" t="s">
        <v>4186</v>
      </c>
      <c r="M2154" s="4"/>
      <c r="N2154" s="4"/>
      <c r="O2154" s="4"/>
      <c r="P2154" s="4"/>
    </row>
    <row r="2155" spans="1:16" ht="15">
      <c r="A2155" s="4" t="s">
        <v>3175</v>
      </c>
      <c r="B2155" s="30">
        <v>39972</v>
      </c>
      <c r="C2155" s="4"/>
      <c r="D2155" s="4" t="s">
        <v>4182</v>
      </c>
      <c r="E2155" s="4" t="s">
        <v>171</v>
      </c>
      <c r="F2155" s="4" t="s">
        <v>168</v>
      </c>
      <c r="G2155" s="4"/>
      <c r="H2155" s="4"/>
      <c r="I2155" s="4" t="s">
        <v>139</v>
      </c>
      <c r="J2155" s="4" t="s">
        <v>180</v>
      </c>
      <c r="K2155" s="4" t="s">
        <v>143</v>
      </c>
      <c r="L2155" s="4" t="s">
        <v>4186</v>
      </c>
      <c r="M2155" s="4"/>
      <c r="N2155" s="4"/>
      <c r="O2155" s="4"/>
      <c r="P2155" s="4"/>
    </row>
    <row r="2156" spans="1:16" ht="15">
      <c r="A2156" s="4" t="s">
        <v>3176</v>
      </c>
      <c r="B2156" s="30">
        <v>39972</v>
      </c>
      <c r="C2156" s="4"/>
      <c r="D2156" s="4" t="s">
        <v>4182</v>
      </c>
      <c r="E2156" s="4" t="s">
        <v>171</v>
      </c>
      <c r="F2156" s="4" t="s">
        <v>168</v>
      </c>
      <c r="G2156" s="4"/>
      <c r="H2156" s="4"/>
      <c r="I2156" s="4" t="s">
        <v>139</v>
      </c>
      <c r="J2156" s="4" t="s">
        <v>178</v>
      </c>
      <c r="K2156" s="4" t="s">
        <v>144</v>
      </c>
      <c r="L2156" s="4" t="s">
        <v>4186</v>
      </c>
      <c r="M2156" s="4"/>
      <c r="N2156" s="4"/>
      <c r="O2156" s="4"/>
      <c r="P2156" s="4"/>
    </row>
    <row r="2157" spans="1:16" ht="15">
      <c r="A2157" s="4" t="s">
        <v>3177</v>
      </c>
      <c r="B2157" s="30">
        <v>39972</v>
      </c>
      <c r="C2157" s="4" t="s">
        <v>525</v>
      </c>
      <c r="D2157" s="4" t="s">
        <v>4182</v>
      </c>
      <c r="E2157" s="4" t="s">
        <v>171</v>
      </c>
      <c r="F2157" s="4" t="s">
        <v>168</v>
      </c>
      <c r="G2157" s="4"/>
      <c r="H2157" s="4"/>
      <c r="I2157" s="4" t="s">
        <v>139</v>
      </c>
      <c r="J2157" s="4" t="s">
        <v>182</v>
      </c>
      <c r="K2157" s="4" t="s">
        <v>149</v>
      </c>
      <c r="L2157" s="4" t="s">
        <v>4186</v>
      </c>
      <c r="M2157" s="4"/>
      <c r="N2157" s="4"/>
      <c r="O2157" s="4"/>
      <c r="P2157" s="4"/>
    </row>
    <row r="2158" spans="1:16" ht="15">
      <c r="A2158" s="4" t="s">
        <v>3178</v>
      </c>
      <c r="B2158" s="30">
        <v>39972</v>
      </c>
      <c r="C2158" s="4"/>
      <c r="D2158" s="4" t="s">
        <v>4182</v>
      </c>
      <c r="E2158" s="4" t="s">
        <v>171</v>
      </c>
      <c r="F2158" s="4" t="s">
        <v>168</v>
      </c>
      <c r="G2158" s="4"/>
      <c r="H2158" s="4"/>
      <c r="I2158" s="4" t="s">
        <v>139</v>
      </c>
      <c r="J2158" s="4" t="s">
        <v>180</v>
      </c>
      <c r="K2158" s="4" t="s">
        <v>146</v>
      </c>
      <c r="L2158" s="4" t="s">
        <v>4186</v>
      </c>
      <c r="M2158" s="4"/>
      <c r="N2158" s="4"/>
      <c r="O2158" s="4"/>
      <c r="P2158" s="4"/>
    </row>
    <row r="2159" spans="1:16" ht="15">
      <c r="A2159" s="4" t="s">
        <v>3179</v>
      </c>
      <c r="B2159" s="30">
        <v>39972</v>
      </c>
      <c r="C2159" s="4"/>
      <c r="D2159" s="4" t="s">
        <v>4182</v>
      </c>
      <c r="E2159" s="4" t="s">
        <v>171</v>
      </c>
      <c r="F2159" s="4" t="s">
        <v>168</v>
      </c>
      <c r="G2159" s="4"/>
      <c r="H2159" s="4"/>
      <c r="I2159" s="4" t="s">
        <v>139</v>
      </c>
      <c r="J2159" s="4" t="s">
        <v>591</v>
      </c>
      <c r="K2159" s="4" t="s">
        <v>143</v>
      </c>
      <c r="L2159" s="4" t="s">
        <v>4186</v>
      </c>
      <c r="M2159" s="4"/>
      <c r="N2159" s="4"/>
      <c r="O2159" s="4"/>
      <c r="P2159" s="4"/>
    </row>
    <row r="2160" spans="1:16" ht="15">
      <c r="A2160" s="4" t="s">
        <v>3180</v>
      </c>
      <c r="B2160" s="30">
        <v>39972</v>
      </c>
      <c r="C2160" s="4"/>
      <c r="D2160" s="4" t="s">
        <v>4182</v>
      </c>
      <c r="E2160" s="4" t="s">
        <v>171</v>
      </c>
      <c r="F2160" s="4" t="s">
        <v>168</v>
      </c>
      <c r="G2160" s="4"/>
      <c r="H2160" s="4"/>
      <c r="I2160" s="4" t="s">
        <v>139</v>
      </c>
      <c r="J2160" s="4" t="s">
        <v>180</v>
      </c>
      <c r="K2160" s="4" t="s">
        <v>144</v>
      </c>
      <c r="L2160" s="4" t="s">
        <v>4186</v>
      </c>
      <c r="M2160" s="4"/>
      <c r="N2160" s="4"/>
      <c r="O2160" s="4"/>
      <c r="P2160" s="4"/>
    </row>
    <row r="2161" spans="1:16" ht="15">
      <c r="A2161" s="4" t="s">
        <v>3181</v>
      </c>
      <c r="B2161" s="30">
        <v>39973</v>
      </c>
      <c r="C2161" s="4" t="s">
        <v>9</v>
      </c>
      <c r="D2161" s="4" t="s">
        <v>4182</v>
      </c>
      <c r="E2161" s="4" t="s">
        <v>171</v>
      </c>
      <c r="F2161" s="4" t="s">
        <v>168</v>
      </c>
      <c r="G2161" s="4"/>
      <c r="H2161" s="4"/>
      <c r="I2161" s="4" t="s">
        <v>139</v>
      </c>
      <c r="J2161" s="4" t="s">
        <v>188</v>
      </c>
      <c r="K2161" s="4" t="s">
        <v>142</v>
      </c>
      <c r="L2161" s="4" t="s">
        <v>4186</v>
      </c>
      <c r="M2161" s="4"/>
      <c r="N2161" s="4"/>
      <c r="O2161" s="4"/>
      <c r="P2161" s="4"/>
    </row>
    <row r="2162" spans="1:16" ht="15">
      <c r="A2162" s="4" t="s">
        <v>3182</v>
      </c>
      <c r="B2162" s="30">
        <v>39974</v>
      </c>
      <c r="C2162" s="4"/>
      <c r="D2162" s="4" t="s">
        <v>4182</v>
      </c>
      <c r="E2162" s="4" t="s">
        <v>171</v>
      </c>
      <c r="F2162" s="4" t="s">
        <v>168</v>
      </c>
      <c r="G2162" s="4"/>
      <c r="H2162" s="4"/>
      <c r="I2162" s="4" t="s">
        <v>139</v>
      </c>
      <c r="J2162" s="4" t="s">
        <v>409</v>
      </c>
      <c r="K2162" s="4" t="s">
        <v>148</v>
      </c>
      <c r="L2162" s="4" t="s">
        <v>4186</v>
      </c>
      <c r="M2162" s="4"/>
      <c r="N2162" s="4"/>
      <c r="O2162" s="4"/>
      <c r="P2162" s="4"/>
    </row>
    <row r="2163" spans="1:16" ht="15">
      <c r="A2163" s="4" t="s">
        <v>3183</v>
      </c>
      <c r="B2163" s="30">
        <v>39974</v>
      </c>
      <c r="C2163" s="4" t="s">
        <v>383</v>
      </c>
      <c r="D2163" s="4" t="s">
        <v>4182</v>
      </c>
      <c r="E2163" s="4" t="s">
        <v>171</v>
      </c>
      <c r="F2163" s="4" t="s">
        <v>168</v>
      </c>
      <c r="G2163" s="4"/>
      <c r="H2163" s="4"/>
      <c r="I2163" s="4" t="s">
        <v>139</v>
      </c>
      <c r="J2163" s="4" t="s">
        <v>181</v>
      </c>
      <c r="K2163" s="4" t="s">
        <v>150</v>
      </c>
      <c r="L2163" s="4" t="s">
        <v>4186</v>
      </c>
      <c r="M2163" s="4"/>
      <c r="N2163" s="4"/>
      <c r="O2163" s="4"/>
      <c r="P2163" s="4"/>
    </row>
    <row r="2164" spans="1:16" ht="15">
      <c r="A2164" s="4" t="s">
        <v>3184</v>
      </c>
      <c r="B2164" s="30">
        <v>39974</v>
      </c>
      <c r="C2164" s="4"/>
      <c r="D2164" s="4" t="s">
        <v>4182</v>
      </c>
      <c r="E2164" s="4" t="s">
        <v>171</v>
      </c>
      <c r="F2164" s="4" t="s">
        <v>168</v>
      </c>
      <c r="G2164" s="4"/>
      <c r="H2164" s="4"/>
      <c r="I2164" s="4" t="s">
        <v>139</v>
      </c>
      <c r="J2164" s="4" t="s">
        <v>184</v>
      </c>
      <c r="K2164" s="4" t="s">
        <v>144</v>
      </c>
      <c r="L2164" s="4" t="s">
        <v>4186</v>
      </c>
      <c r="M2164" s="4"/>
      <c r="N2164" s="4"/>
      <c r="O2164" s="4"/>
      <c r="P2164" s="4"/>
    </row>
    <row r="2165" spans="1:16" ht="15">
      <c r="A2165" s="4" t="s">
        <v>3185</v>
      </c>
      <c r="B2165" s="30">
        <v>39974</v>
      </c>
      <c r="C2165" s="4"/>
      <c r="D2165" s="4" t="s">
        <v>4182</v>
      </c>
      <c r="E2165" s="4" t="s">
        <v>171</v>
      </c>
      <c r="F2165" s="4" t="s">
        <v>168</v>
      </c>
      <c r="G2165" s="4"/>
      <c r="H2165" s="4"/>
      <c r="I2165" s="4" t="s">
        <v>139</v>
      </c>
      <c r="J2165" s="4" t="s">
        <v>182</v>
      </c>
      <c r="K2165" s="4" t="s">
        <v>143</v>
      </c>
      <c r="L2165" s="4" t="s">
        <v>4186</v>
      </c>
      <c r="M2165" s="4"/>
      <c r="N2165" s="4"/>
      <c r="O2165" s="4"/>
      <c r="P2165" s="4"/>
    </row>
    <row r="2166" spans="1:16" ht="15">
      <c r="A2166" s="4" t="s">
        <v>3186</v>
      </c>
      <c r="B2166" s="30">
        <v>39975</v>
      </c>
      <c r="C2166" s="4"/>
      <c r="D2166" s="4" t="s">
        <v>4182</v>
      </c>
      <c r="E2166" s="4" t="s">
        <v>171</v>
      </c>
      <c r="F2166" s="4" t="s">
        <v>168</v>
      </c>
      <c r="G2166" s="4"/>
      <c r="H2166" s="4"/>
      <c r="I2166" s="4" t="s">
        <v>139</v>
      </c>
      <c r="J2166" s="4" t="s">
        <v>185</v>
      </c>
      <c r="K2166" s="4" t="s">
        <v>144</v>
      </c>
      <c r="L2166" s="4" t="s">
        <v>4186</v>
      </c>
      <c r="M2166" s="4"/>
      <c r="N2166" s="4"/>
      <c r="O2166" s="4"/>
      <c r="P2166" s="4"/>
    </row>
    <row r="2167" spans="1:16" ht="15">
      <c r="A2167" s="4" t="s">
        <v>3187</v>
      </c>
      <c r="B2167" s="30">
        <v>39976</v>
      </c>
      <c r="C2167" s="4" t="s">
        <v>383</v>
      </c>
      <c r="D2167" s="4" t="s">
        <v>4182</v>
      </c>
      <c r="E2167" s="4" t="s">
        <v>171</v>
      </c>
      <c r="F2167" s="4" t="s">
        <v>168</v>
      </c>
      <c r="G2167" s="4"/>
      <c r="H2167" s="4"/>
      <c r="I2167" s="4" t="s">
        <v>139</v>
      </c>
      <c r="J2167" s="4" t="s">
        <v>189</v>
      </c>
      <c r="K2167" s="4" t="s">
        <v>149</v>
      </c>
      <c r="L2167" s="4" t="s">
        <v>4186</v>
      </c>
      <c r="M2167" s="4"/>
      <c r="N2167" s="4"/>
      <c r="O2167" s="4"/>
      <c r="P2167" s="4"/>
    </row>
    <row r="2168" spans="1:16" ht="15">
      <c r="A2168" s="4" t="s">
        <v>3188</v>
      </c>
      <c r="B2168" s="30">
        <v>39977</v>
      </c>
      <c r="C2168" s="4"/>
      <c r="D2168" s="4" t="s">
        <v>4182</v>
      </c>
      <c r="E2168" s="4" t="s">
        <v>171</v>
      </c>
      <c r="F2168" s="4" t="s">
        <v>168</v>
      </c>
      <c r="G2168" s="4"/>
      <c r="H2168" s="4"/>
      <c r="I2168" s="4" t="s">
        <v>139</v>
      </c>
      <c r="J2168" s="4" t="s">
        <v>179</v>
      </c>
      <c r="K2168" s="4" t="s">
        <v>148</v>
      </c>
      <c r="L2168" s="4" t="s">
        <v>4186</v>
      </c>
      <c r="M2168" s="4"/>
      <c r="N2168" s="4"/>
      <c r="O2168" s="4"/>
      <c r="P2168" s="4"/>
    </row>
    <row r="2169" spans="1:16" ht="15">
      <c r="A2169" s="4" t="s">
        <v>3189</v>
      </c>
      <c r="B2169" s="30">
        <v>39979</v>
      </c>
      <c r="C2169" s="4" t="s">
        <v>9</v>
      </c>
      <c r="D2169" s="4" t="s">
        <v>4182</v>
      </c>
      <c r="E2169" s="4" t="s">
        <v>171</v>
      </c>
      <c r="F2169" s="4" t="s">
        <v>168</v>
      </c>
      <c r="G2169" s="4"/>
      <c r="H2169" s="4"/>
      <c r="I2169" s="4" t="s">
        <v>139</v>
      </c>
      <c r="J2169" s="4" t="s">
        <v>603</v>
      </c>
      <c r="K2169" s="4" t="s">
        <v>142</v>
      </c>
      <c r="L2169" s="4" t="s">
        <v>4186</v>
      </c>
      <c r="M2169" s="4"/>
      <c r="N2169" s="4"/>
      <c r="O2169" s="4"/>
      <c r="P2169" s="4"/>
    </row>
    <row r="2170" spans="1:16" ht="15">
      <c r="A2170" s="4" t="s">
        <v>3190</v>
      </c>
      <c r="B2170" s="30">
        <v>39979</v>
      </c>
      <c r="C2170" s="4"/>
      <c r="D2170" s="4" t="s">
        <v>4182</v>
      </c>
      <c r="E2170" s="4" t="s">
        <v>171</v>
      </c>
      <c r="F2170" s="4" t="s">
        <v>168</v>
      </c>
      <c r="G2170" s="4"/>
      <c r="H2170" s="4"/>
      <c r="I2170" s="4" t="s">
        <v>139</v>
      </c>
      <c r="J2170" s="4" t="s">
        <v>391</v>
      </c>
      <c r="K2170" s="4" t="s">
        <v>142</v>
      </c>
      <c r="L2170" s="4" t="s">
        <v>4186</v>
      </c>
      <c r="M2170" s="4"/>
      <c r="N2170" s="4"/>
      <c r="O2170" s="4"/>
      <c r="P2170" s="4"/>
    </row>
    <row r="2171" spans="1:16" ht="15">
      <c r="A2171" s="4" t="s">
        <v>3191</v>
      </c>
      <c r="B2171" s="30">
        <v>39979</v>
      </c>
      <c r="C2171" s="4"/>
      <c r="D2171" s="4" t="s">
        <v>4182</v>
      </c>
      <c r="E2171" s="4" t="s">
        <v>171</v>
      </c>
      <c r="F2171" s="4" t="s">
        <v>168</v>
      </c>
      <c r="G2171" s="4"/>
      <c r="H2171" s="4"/>
      <c r="I2171" s="4" t="s">
        <v>139</v>
      </c>
      <c r="J2171" s="4" t="s">
        <v>189</v>
      </c>
      <c r="K2171" s="4" t="s">
        <v>146</v>
      </c>
      <c r="L2171" s="4" t="s">
        <v>4186</v>
      </c>
      <c r="M2171" s="4"/>
      <c r="N2171" s="4"/>
      <c r="O2171" s="4"/>
      <c r="P2171" s="4"/>
    </row>
    <row r="2172" spans="1:16" ht="15">
      <c r="A2172" s="4" t="s">
        <v>3192</v>
      </c>
      <c r="B2172" s="30">
        <v>39980</v>
      </c>
      <c r="C2172" s="4"/>
      <c r="D2172" s="4" t="s">
        <v>4182</v>
      </c>
      <c r="E2172" s="4" t="s">
        <v>171</v>
      </c>
      <c r="F2172" s="4" t="s">
        <v>168</v>
      </c>
      <c r="G2172" s="4"/>
      <c r="H2172" s="4"/>
      <c r="I2172" s="4" t="s">
        <v>139</v>
      </c>
      <c r="J2172" s="4" t="s">
        <v>186</v>
      </c>
      <c r="K2172" s="4" t="s">
        <v>144</v>
      </c>
      <c r="L2172" s="4" t="s">
        <v>4186</v>
      </c>
      <c r="M2172" s="4"/>
      <c r="N2172" s="4"/>
      <c r="O2172" s="4"/>
      <c r="P2172" s="4"/>
    </row>
    <row r="2173" spans="1:16" ht="15">
      <c r="A2173" s="4" t="s">
        <v>3193</v>
      </c>
      <c r="B2173" s="30">
        <v>39981</v>
      </c>
      <c r="C2173" s="4" t="s">
        <v>9</v>
      </c>
      <c r="D2173" s="4" t="s">
        <v>4182</v>
      </c>
      <c r="E2173" s="4" t="s">
        <v>171</v>
      </c>
      <c r="F2173" s="4" t="s">
        <v>168</v>
      </c>
      <c r="G2173" s="4"/>
      <c r="H2173" s="4"/>
      <c r="I2173" s="4" t="s">
        <v>139</v>
      </c>
      <c r="J2173" s="4" t="s">
        <v>184</v>
      </c>
      <c r="K2173" s="4" t="s">
        <v>142</v>
      </c>
      <c r="L2173" s="4" t="s">
        <v>4186</v>
      </c>
      <c r="M2173" s="4"/>
      <c r="N2173" s="4"/>
      <c r="O2173" s="4"/>
      <c r="P2173" s="4"/>
    </row>
    <row r="2174" spans="1:16" ht="15">
      <c r="A2174" s="4" t="s">
        <v>3194</v>
      </c>
      <c r="B2174" s="30">
        <v>39981</v>
      </c>
      <c r="C2174" s="4"/>
      <c r="D2174" s="4" t="s">
        <v>4182</v>
      </c>
      <c r="E2174" s="4" t="s">
        <v>171</v>
      </c>
      <c r="F2174" s="4" t="s">
        <v>168</v>
      </c>
      <c r="G2174" s="4"/>
      <c r="H2174" s="4"/>
      <c r="I2174" s="4" t="s">
        <v>139</v>
      </c>
      <c r="J2174" s="4" t="s">
        <v>433</v>
      </c>
      <c r="K2174" s="4" t="s">
        <v>143</v>
      </c>
      <c r="L2174" s="4" t="s">
        <v>4186</v>
      </c>
      <c r="M2174" s="4"/>
      <c r="N2174" s="4"/>
      <c r="O2174" s="4"/>
      <c r="P2174" s="4"/>
    </row>
    <row r="2175" spans="1:16" ht="15">
      <c r="A2175" s="4" t="s">
        <v>3195</v>
      </c>
      <c r="B2175" s="30">
        <v>39981</v>
      </c>
      <c r="C2175" s="4" t="s">
        <v>383</v>
      </c>
      <c r="D2175" s="4" t="s">
        <v>4182</v>
      </c>
      <c r="E2175" s="4" t="s">
        <v>171</v>
      </c>
      <c r="F2175" s="4" t="s">
        <v>168</v>
      </c>
      <c r="G2175" s="4"/>
      <c r="H2175" s="4"/>
      <c r="I2175" s="4" t="s">
        <v>139</v>
      </c>
      <c r="J2175" s="4" t="s">
        <v>183</v>
      </c>
      <c r="K2175" s="4" t="s">
        <v>144</v>
      </c>
      <c r="L2175" s="4" t="s">
        <v>4186</v>
      </c>
      <c r="M2175" s="4"/>
      <c r="N2175" s="4"/>
      <c r="O2175" s="4"/>
      <c r="P2175" s="4"/>
    </row>
    <row r="2176" spans="1:16" ht="15">
      <c r="A2176" s="4" t="s">
        <v>3196</v>
      </c>
      <c r="B2176" s="30">
        <v>39982</v>
      </c>
      <c r="C2176" s="4"/>
      <c r="D2176" s="4" t="s">
        <v>4182</v>
      </c>
      <c r="E2176" s="4" t="s">
        <v>171</v>
      </c>
      <c r="F2176" s="4" t="s">
        <v>168</v>
      </c>
      <c r="G2176" s="4"/>
      <c r="H2176" s="4"/>
      <c r="I2176" s="4" t="s">
        <v>139</v>
      </c>
      <c r="J2176" s="4" t="s">
        <v>180</v>
      </c>
      <c r="K2176" s="4" t="s">
        <v>145</v>
      </c>
      <c r="L2176" s="4" t="s">
        <v>4186</v>
      </c>
      <c r="M2176" s="4"/>
      <c r="N2176" s="4"/>
      <c r="O2176" s="4"/>
      <c r="P2176" s="4"/>
    </row>
    <row r="2177" spans="1:16" ht="15">
      <c r="A2177" s="4" t="s">
        <v>3197</v>
      </c>
      <c r="B2177" s="30">
        <v>39983</v>
      </c>
      <c r="C2177" s="4" t="s">
        <v>9</v>
      </c>
      <c r="D2177" s="4" t="s">
        <v>4182</v>
      </c>
      <c r="E2177" s="4" t="s">
        <v>171</v>
      </c>
      <c r="F2177" s="4" t="s">
        <v>168</v>
      </c>
      <c r="G2177" s="4"/>
      <c r="H2177" s="4"/>
      <c r="I2177" s="4" t="s">
        <v>139</v>
      </c>
      <c r="J2177" s="4" t="s">
        <v>180</v>
      </c>
      <c r="K2177" s="4" t="s">
        <v>144</v>
      </c>
      <c r="L2177" s="4" t="s">
        <v>4186</v>
      </c>
      <c r="M2177" s="4"/>
      <c r="N2177" s="4"/>
      <c r="O2177" s="4"/>
      <c r="P2177" s="4"/>
    </row>
    <row r="2178" spans="1:16" ht="15">
      <c r="A2178" s="4" t="s">
        <v>3198</v>
      </c>
      <c r="B2178" s="30">
        <v>39983</v>
      </c>
      <c r="C2178" s="4"/>
      <c r="D2178" s="4" t="s">
        <v>4182</v>
      </c>
      <c r="E2178" s="4" t="s">
        <v>171</v>
      </c>
      <c r="F2178" s="4" t="s">
        <v>168</v>
      </c>
      <c r="G2178" s="4"/>
      <c r="H2178" s="4"/>
      <c r="I2178" s="4" t="s">
        <v>139</v>
      </c>
      <c r="J2178" s="4" t="s">
        <v>178</v>
      </c>
      <c r="K2178" s="4" t="s">
        <v>144</v>
      </c>
      <c r="L2178" s="4" t="s">
        <v>4186</v>
      </c>
      <c r="M2178" s="4"/>
      <c r="N2178" s="4"/>
      <c r="O2178" s="4"/>
      <c r="P2178" s="4"/>
    </row>
    <row r="2179" spans="1:16" ht="15">
      <c r="A2179" s="4" t="s">
        <v>3199</v>
      </c>
      <c r="B2179" s="30">
        <v>39984</v>
      </c>
      <c r="C2179" s="4"/>
      <c r="D2179" s="4" t="s">
        <v>4182</v>
      </c>
      <c r="E2179" s="4" t="s">
        <v>171</v>
      </c>
      <c r="F2179" s="4" t="s">
        <v>168</v>
      </c>
      <c r="G2179" s="4"/>
      <c r="H2179" s="4"/>
      <c r="I2179" s="4" t="s">
        <v>139</v>
      </c>
      <c r="J2179" s="4" t="s">
        <v>189</v>
      </c>
      <c r="K2179" s="4" t="s">
        <v>146</v>
      </c>
      <c r="L2179" s="4" t="s">
        <v>4186</v>
      </c>
      <c r="M2179" s="4"/>
      <c r="N2179" s="4"/>
      <c r="O2179" s="4"/>
      <c r="P2179" s="4"/>
    </row>
    <row r="2180" spans="1:16" ht="15">
      <c r="A2180" s="4" t="s">
        <v>3200</v>
      </c>
      <c r="B2180" s="30">
        <v>39984</v>
      </c>
      <c r="C2180" s="4"/>
      <c r="D2180" s="4" t="s">
        <v>4182</v>
      </c>
      <c r="E2180" s="4" t="s">
        <v>171</v>
      </c>
      <c r="F2180" s="4" t="s">
        <v>168</v>
      </c>
      <c r="G2180" s="4"/>
      <c r="H2180" s="4"/>
      <c r="I2180" s="4" t="s">
        <v>139</v>
      </c>
      <c r="J2180" s="4" t="s">
        <v>180</v>
      </c>
      <c r="K2180" s="4" t="s">
        <v>151</v>
      </c>
      <c r="L2180" s="4" t="s">
        <v>4186</v>
      </c>
      <c r="M2180" s="4"/>
      <c r="N2180" s="4"/>
      <c r="O2180" s="4"/>
      <c r="P2180" s="4"/>
    </row>
    <row r="2181" spans="1:16" ht="15">
      <c r="A2181" s="4" t="s">
        <v>3201</v>
      </c>
      <c r="B2181" s="30">
        <v>39985</v>
      </c>
      <c r="C2181" s="4"/>
      <c r="D2181" s="4" t="s">
        <v>4182</v>
      </c>
      <c r="E2181" s="4" t="s">
        <v>171</v>
      </c>
      <c r="F2181" s="4" t="s">
        <v>168</v>
      </c>
      <c r="G2181" s="4"/>
      <c r="H2181" s="4"/>
      <c r="I2181" s="4" t="s">
        <v>139</v>
      </c>
      <c r="J2181" s="4" t="s">
        <v>187</v>
      </c>
      <c r="K2181" s="4" t="s">
        <v>145</v>
      </c>
      <c r="L2181" s="4" t="s">
        <v>4186</v>
      </c>
      <c r="M2181" s="4"/>
      <c r="N2181" s="4"/>
      <c r="O2181" s="4"/>
      <c r="P2181" s="4"/>
    </row>
    <row r="2182" spans="1:16" ht="15">
      <c r="A2182" s="4" t="s">
        <v>3202</v>
      </c>
      <c r="B2182" s="30">
        <v>39986</v>
      </c>
      <c r="C2182" s="4" t="s">
        <v>496</v>
      </c>
      <c r="D2182" s="4" t="s">
        <v>4182</v>
      </c>
      <c r="E2182" s="4" t="s">
        <v>171</v>
      </c>
      <c r="F2182" s="4" t="s">
        <v>168</v>
      </c>
      <c r="G2182" s="4"/>
      <c r="H2182" s="4"/>
      <c r="I2182" s="4" t="s">
        <v>139</v>
      </c>
      <c r="J2182" s="4" t="s">
        <v>188</v>
      </c>
      <c r="K2182" s="4" t="s">
        <v>146</v>
      </c>
      <c r="L2182" s="4" t="s">
        <v>4186</v>
      </c>
      <c r="M2182" s="4"/>
      <c r="N2182" s="4"/>
      <c r="O2182" s="4"/>
      <c r="P2182" s="4"/>
    </row>
    <row r="2183" spans="1:16" ht="15">
      <c r="A2183" s="4" t="s">
        <v>3203</v>
      </c>
      <c r="B2183" s="30">
        <v>39986</v>
      </c>
      <c r="C2183" s="4" t="s">
        <v>496</v>
      </c>
      <c r="D2183" s="4" t="s">
        <v>4182</v>
      </c>
      <c r="E2183" s="4" t="s">
        <v>171</v>
      </c>
      <c r="F2183" s="4" t="s">
        <v>168</v>
      </c>
      <c r="G2183" s="4"/>
      <c r="H2183" s="4"/>
      <c r="I2183" s="4" t="s">
        <v>139</v>
      </c>
      <c r="J2183" s="4" t="s">
        <v>433</v>
      </c>
      <c r="K2183" s="4" t="s">
        <v>142</v>
      </c>
      <c r="L2183" s="4" t="s">
        <v>4186</v>
      </c>
      <c r="M2183" s="4"/>
      <c r="N2183" s="4"/>
      <c r="O2183" s="4"/>
      <c r="P2183" s="4"/>
    </row>
    <row r="2184" spans="1:16" ht="15">
      <c r="A2184" s="4" t="s">
        <v>3204</v>
      </c>
      <c r="B2184" s="30">
        <v>39986</v>
      </c>
      <c r="C2184" s="4" t="s">
        <v>380</v>
      </c>
      <c r="D2184" s="4" t="s">
        <v>4182</v>
      </c>
      <c r="E2184" s="4" t="s">
        <v>171</v>
      </c>
      <c r="F2184" s="4" t="s">
        <v>168</v>
      </c>
      <c r="G2184" s="4"/>
      <c r="H2184" s="4"/>
      <c r="I2184" s="4" t="s">
        <v>139</v>
      </c>
      <c r="J2184" s="4" t="s">
        <v>178</v>
      </c>
      <c r="K2184" s="4" t="s">
        <v>144</v>
      </c>
      <c r="L2184" s="4" t="s">
        <v>4186</v>
      </c>
      <c r="M2184" s="4"/>
      <c r="N2184" s="4"/>
      <c r="O2184" s="4"/>
      <c r="P2184" s="4"/>
    </row>
    <row r="2185" spans="1:16" ht="15">
      <c r="A2185" s="4" t="s">
        <v>3205</v>
      </c>
      <c r="B2185" s="30">
        <v>39987</v>
      </c>
      <c r="C2185" s="4" t="s">
        <v>383</v>
      </c>
      <c r="D2185" s="4" t="s">
        <v>4182</v>
      </c>
      <c r="E2185" s="4" t="s">
        <v>171</v>
      </c>
      <c r="F2185" s="4" t="s">
        <v>168</v>
      </c>
      <c r="G2185" s="4"/>
      <c r="H2185" s="4"/>
      <c r="I2185" s="4" t="s">
        <v>139</v>
      </c>
      <c r="J2185" s="4" t="s">
        <v>178</v>
      </c>
      <c r="K2185" s="4" t="s">
        <v>142</v>
      </c>
      <c r="L2185" s="4" t="s">
        <v>4186</v>
      </c>
      <c r="M2185" s="4"/>
      <c r="N2185" s="4"/>
      <c r="O2185" s="4"/>
      <c r="P2185" s="4"/>
    </row>
    <row r="2186" spans="1:16" ht="15">
      <c r="A2186" s="4" t="s">
        <v>3206</v>
      </c>
      <c r="B2186" s="30">
        <v>39987</v>
      </c>
      <c r="C2186" s="4" t="s">
        <v>383</v>
      </c>
      <c r="D2186" s="4" t="s">
        <v>4182</v>
      </c>
      <c r="E2186" s="4" t="s">
        <v>171</v>
      </c>
      <c r="F2186" s="4" t="s">
        <v>168</v>
      </c>
      <c r="G2186" s="4"/>
      <c r="H2186" s="4"/>
      <c r="I2186" s="4" t="s">
        <v>139</v>
      </c>
      <c r="J2186" s="4" t="s">
        <v>180</v>
      </c>
      <c r="K2186" s="4" t="s">
        <v>144</v>
      </c>
      <c r="L2186" s="4" t="s">
        <v>4186</v>
      </c>
      <c r="M2186" s="4"/>
      <c r="N2186" s="4"/>
      <c r="O2186" s="4"/>
      <c r="P2186" s="4"/>
    </row>
    <row r="2187" spans="1:16" ht="15">
      <c r="A2187" s="4" t="s">
        <v>3207</v>
      </c>
      <c r="B2187" s="30">
        <v>39988</v>
      </c>
      <c r="C2187" s="4" t="s">
        <v>383</v>
      </c>
      <c r="D2187" s="4" t="s">
        <v>4182</v>
      </c>
      <c r="E2187" s="4" t="s">
        <v>171</v>
      </c>
      <c r="F2187" s="4" t="s">
        <v>168</v>
      </c>
      <c r="G2187" s="4"/>
      <c r="H2187" s="4"/>
      <c r="I2187" s="4" t="s">
        <v>139</v>
      </c>
      <c r="J2187" s="4" t="s">
        <v>188</v>
      </c>
      <c r="K2187" s="4" t="s">
        <v>149</v>
      </c>
      <c r="L2187" s="4" t="s">
        <v>4186</v>
      </c>
      <c r="M2187" s="4"/>
      <c r="N2187" s="4"/>
      <c r="O2187" s="4"/>
      <c r="P2187" s="4"/>
    </row>
    <row r="2188" spans="1:16" ht="15">
      <c r="A2188" s="4" t="s">
        <v>3208</v>
      </c>
      <c r="B2188" s="30">
        <v>39988</v>
      </c>
      <c r="C2188" s="4" t="s">
        <v>380</v>
      </c>
      <c r="D2188" s="4" t="s">
        <v>4182</v>
      </c>
      <c r="E2188" s="4" t="s">
        <v>171</v>
      </c>
      <c r="F2188" s="4" t="s">
        <v>168</v>
      </c>
      <c r="G2188" s="4"/>
      <c r="H2188" s="4"/>
      <c r="I2188" s="4" t="s">
        <v>139</v>
      </c>
      <c r="J2188" s="4" t="s">
        <v>188</v>
      </c>
      <c r="K2188" s="4" t="s">
        <v>144</v>
      </c>
      <c r="L2188" s="4" t="s">
        <v>4186</v>
      </c>
      <c r="M2188" s="4"/>
      <c r="N2188" s="4"/>
      <c r="O2188" s="4"/>
      <c r="P2188" s="4"/>
    </row>
    <row r="2189" spans="1:16" ht="15">
      <c r="A2189" s="4" t="s">
        <v>3209</v>
      </c>
      <c r="B2189" s="30">
        <v>39988</v>
      </c>
      <c r="C2189" s="4" t="s">
        <v>383</v>
      </c>
      <c r="D2189" s="4" t="s">
        <v>4182</v>
      </c>
      <c r="E2189" s="4" t="s">
        <v>171</v>
      </c>
      <c r="F2189" s="4" t="s">
        <v>168</v>
      </c>
      <c r="G2189" s="4"/>
      <c r="H2189" s="4"/>
      <c r="I2189" s="4" t="s">
        <v>139</v>
      </c>
      <c r="J2189" s="4" t="s">
        <v>178</v>
      </c>
      <c r="K2189" s="4" t="s">
        <v>144</v>
      </c>
      <c r="L2189" s="4" t="s">
        <v>4186</v>
      </c>
      <c r="M2189" s="4"/>
      <c r="N2189" s="4"/>
      <c r="O2189" s="4"/>
      <c r="P2189" s="4"/>
    </row>
    <row r="2190" spans="1:16" ht="15">
      <c r="A2190" s="4" t="s">
        <v>3210</v>
      </c>
      <c r="B2190" s="30">
        <v>39988</v>
      </c>
      <c r="C2190" s="4" t="s">
        <v>383</v>
      </c>
      <c r="D2190" s="4" t="s">
        <v>4182</v>
      </c>
      <c r="E2190" s="4" t="s">
        <v>171</v>
      </c>
      <c r="F2190" s="4" t="s">
        <v>168</v>
      </c>
      <c r="G2190" s="4"/>
      <c r="H2190" s="4"/>
      <c r="I2190" s="4" t="s">
        <v>139</v>
      </c>
      <c r="J2190" s="4" t="s">
        <v>576</v>
      </c>
      <c r="K2190" s="4" t="s">
        <v>144</v>
      </c>
      <c r="L2190" s="4" t="s">
        <v>4186</v>
      </c>
      <c r="M2190" s="4"/>
      <c r="N2190" s="4"/>
      <c r="O2190" s="4"/>
      <c r="P2190" s="4"/>
    </row>
    <row r="2191" spans="1:16" ht="15">
      <c r="A2191" s="4" t="s">
        <v>3211</v>
      </c>
      <c r="B2191" s="30">
        <v>39988</v>
      </c>
      <c r="C2191" s="4" t="s">
        <v>383</v>
      </c>
      <c r="D2191" s="4" t="s">
        <v>4182</v>
      </c>
      <c r="E2191" s="4" t="s">
        <v>171</v>
      </c>
      <c r="F2191" s="4" t="s">
        <v>168</v>
      </c>
      <c r="G2191" s="4"/>
      <c r="H2191" s="4"/>
      <c r="I2191" s="4" t="s">
        <v>139</v>
      </c>
      <c r="J2191" s="4" t="s">
        <v>188</v>
      </c>
      <c r="K2191" s="4" t="s">
        <v>144</v>
      </c>
      <c r="L2191" s="4" t="s">
        <v>4186</v>
      </c>
      <c r="M2191" s="4"/>
      <c r="N2191" s="4"/>
      <c r="O2191" s="4"/>
      <c r="P2191" s="4"/>
    </row>
    <row r="2192" spans="1:16" ht="15">
      <c r="A2192" s="4" t="s">
        <v>3212</v>
      </c>
      <c r="B2192" s="30">
        <v>39989</v>
      </c>
      <c r="C2192" s="4" t="s">
        <v>9</v>
      </c>
      <c r="D2192" s="4" t="s">
        <v>4182</v>
      </c>
      <c r="E2192" s="4" t="s">
        <v>171</v>
      </c>
      <c r="F2192" s="4" t="s">
        <v>168</v>
      </c>
      <c r="G2192" s="4"/>
      <c r="H2192" s="4"/>
      <c r="I2192" s="4" t="s">
        <v>139</v>
      </c>
      <c r="J2192" s="4" t="s">
        <v>182</v>
      </c>
      <c r="K2192" s="4" t="s">
        <v>146</v>
      </c>
      <c r="L2192" s="4" t="s">
        <v>4186</v>
      </c>
      <c r="M2192" s="4"/>
      <c r="N2192" s="4"/>
      <c r="O2192" s="4"/>
      <c r="P2192" s="4"/>
    </row>
    <row r="2193" spans="1:16" ht="15">
      <c r="A2193" s="4" t="s">
        <v>3213</v>
      </c>
      <c r="B2193" s="30">
        <v>39989</v>
      </c>
      <c r="C2193" s="4" t="s">
        <v>383</v>
      </c>
      <c r="D2193" s="4" t="s">
        <v>4182</v>
      </c>
      <c r="E2193" s="4" t="s">
        <v>171</v>
      </c>
      <c r="F2193" s="4" t="s">
        <v>168</v>
      </c>
      <c r="G2193" s="4"/>
      <c r="H2193" s="4"/>
      <c r="I2193" s="4" t="s">
        <v>139</v>
      </c>
      <c r="J2193" s="4" t="s">
        <v>188</v>
      </c>
      <c r="K2193" s="4" t="s">
        <v>144</v>
      </c>
      <c r="L2193" s="4" t="s">
        <v>4186</v>
      </c>
      <c r="M2193" s="4"/>
      <c r="N2193" s="4"/>
      <c r="O2193" s="4"/>
      <c r="P2193" s="4"/>
    </row>
    <row r="2194" spans="1:16" ht="15">
      <c r="A2194" s="4" t="s">
        <v>3214</v>
      </c>
      <c r="B2194" s="30">
        <v>39989</v>
      </c>
      <c r="C2194" s="4"/>
      <c r="D2194" s="4" t="s">
        <v>4182</v>
      </c>
      <c r="E2194" s="4" t="s">
        <v>171</v>
      </c>
      <c r="F2194" s="4" t="s">
        <v>168</v>
      </c>
      <c r="G2194" s="4"/>
      <c r="H2194" s="4"/>
      <c r="I2194" s="4" t="s">
        <v>139</v>
      </c>
      <c r="J2194" s="4" t="s">
        <v>528</v>
      </c>
      <c r="K2194" s="4" t="s">
        <v>144</v>
      </c>
      <c r="L2194" s="4" t="s">
        <v>4186</v>
      </c>
      <c r="M2194" s="4"/>
      <c r="N2194" s="4"/>
      <c r="O2194" s="4"/>
      <c r="P2194" s="4"/>
    </row>
    <row r="2195" spans="1:16" ht="15">
      <c r="A2195" s="4" t="s">
        <v>3215</v>
      </c>
      <c r="B2195" s="30">
        <v>39990</v>
      </c>
      <c r="C2195" s="4" t="s">
        <v>525</v>
      </c>
      <c r="D2195" s="4" t="s">
        <v>4182</v>
      </c>
      <c r="E2195" s="4" t="s">
        <v>171</v>
      </c>
      <c r="F2195" s="4" t="s">
        <v>168</v>
      </c>
      <c r="G2195" s="4"/>
      <c r="H2195" s="4">
        <v>2</v>
      </c>
      <c r="I2195" s="4" t="s">
        <v>139</v>
      </c>
      <c r="J2195" s="4" t="s">
        <v>181</v>
      </c>
      <c r="K2195" s="4" t="s">
        <v>144</v>
      </c>
      <c r="L2195" s="4" t="s">
        <v>4186</v>
      </c>
      <c r="M2195" s="4"/>
      <c r="N2195" s="4"/>
      <c r="O2195" s="4"/>
      <c r="P2195" s="4"/>
    </row>
    <row r="2196" spans="1:16" ht="15">
      <c r="A2196" s="4" t="s">
        <v>3216</v>
      </c>
      <c r="B2196" s="30">
        <v>39990</v>
      </c>
      <c r="C2196" s="4"/>
      <c r="D2196" s="4" t="s">
        <v>4182</v>
      </c>
      <c r="E2196" s="4" t="s">
        <v>171</v>
      </c>
      <c r="F2196" s="4" t="s">
        <v>168</v>
      </c>
      <c r="G2196" s="4"/>
      <c r="H2196" s="4">
        <v>3</v>
      </c>
      <c r="I2196" s="4" t="s">
        <v>139</v>
      </c>
      <c r="J2196" s="4" t="s">
        <v>186</v>
      </c>
      <c r="K2196" s="4" t="s">
        <v>144</v>
      </c>
      <c r="L2196" s="4" t="s">
        <v>4186</v>
      </c>
      <c r="M2196" s="4"/>
      <c r="N2196" s="4"/>
      <c r="O2196" s="4"/>
      <c r="P2196" s="4"/>
    </row>
    <row r="2197" spans="1:16" ht="15">
      <c r="A2197" s="4" t="s">
        <v>3217</v>
      </c>
      <c r="B2197" s="30">
        <v>39990</v>
      </c>
      <c r="C2197" s="4"/>
      <c r="D2197" s="4" t="s">
        <v>4182</v>
      </c>
      <c r="E2197" s="4" t="s">
        <v>171</v>
      </c>
      <c r="F2197" s="4" t="s">
        <v>168</v>
      </c>
      <c r="G2197" s="4"/>
      <c r="H2197" s="4">
        <v>3</v>
      </c>
      <c r="I2197" s="4" t="s">
        <v>139</v>
      </c>
      <c r="J2197" s="4" t="s">
        <v>185</v>
      </c>
      <c r="K2197" s="4" t="s">
        <v>148</v>
      </c>
      <c r="L2197" s="4" t="s">
        <v>4186</v>
      </c>
      <c r="M2197" s="4"/>
      <c r="N2197" s="4"/>
      <c r="O2197" s="4"/>
      <c r="P2197" s="4"/>
    </row>
    <row r="2198" spans="1:16" ht="15">
      <c r="A2198" s="4" t="s">
        <v>3218</v>
      </c>
      <c r="B2198" s="30">
        <v>39991</v>
      </c>
      <c r="C2198" s="4" t="s">
        <v>9</v>
      </c>
      <c r="D2198" s="4" t="s">
        <v>4182</v>
      </c>
      <c r="E2198" s="4" t="s">
        <v>171</v>
      </c>
      <c r="F2198" s="4" t="s">
        <v>168</v>
      </c>
      <c r="G2198" s="4"/>
      <c r="H2198" s="4">
        <v>2</v>
      </c>
      <c r="I2198" s="4" t="s">
        <v>139</v>
      </c>
      <c r="J2198" s="4" t="s">
        <v>576</v>
      </c>
      <c r="K2198" s="4" t="s">
        <v>144</v>
      </c>
      <c r="L2198" s="4" t="s">
        <v>4186</v>
      </c>
      <c r="M2198" s="4"/>
      <c r="N2198" s="4"/>
      <c r="O2198" s="4"/>
      <c r="P2198" s="4"/>
    </row>
    <row r="2199" spans="1:16" ht="15">
      <c r="A2199" s="4" t="s">
        <v>3219</v>
      </c>
      <c r="B2199" s="30">
        <v>39992</v>
      </c>
      <c r="C2199" s="4" t="s">
        <v>383</v>
      </c>
      <c r="D2199" s="4" t="s">
        <v>4182</v>
      </c>
      <c r="E2199" s="4" t="s">
        <v>171</v>
      </c>
      <c r="F2199" s="4" t="s">
        <v>168</v>
      </c>
      <c r="G2199" s="4"/>
      <c r="H2199" s="4">
        <v>2</v>
      </c>
      <c r="I2199" s="4" t="s">
        <v>139</v>
      </c>
      <c r="J2199" s="4" t="s">
        <v>184</v>
      </c>
      <c r="K2199" s="4" t="s">
        <v>142</v>
      </c>
      <c r="L2199" s="4" t="s">
        <v>4186</v>
      </c>
      <c r="M2199" s="4"/>
      <c r="N2199" s="4"/>
      <c r="O2199" s="4"/>
      <c r="P2199" s="4"/>
    </row>
    <row r="2200" spans="1:16" ht="15">
      <c r="A2200" s="4" t="s">
        <v>3220</v>
      </c>
      <c r="B2200" s="30">
        <v>39992</v>
      </c>
      <c r="C2200" s="4"/>
      <c r="D2200" s="4" t="s">
        <v>4182</v>
      </c>
      <c r="E2200" s="4" t="s">
        <v>171</v>
      </c>
      <c r="F2200" s="4" t="s">
        <v>168</v>
      </c>
      <c r="G2200" s="4"/>
      <c r="H2200" s="4">
        <v>4</v>
      </c>
      <c r="I2200" s="4" t="s">
        <v>139</v>
      </c>
      <c r="J2200" s="4" t="s">
        <v>183</v>
      </c>
      <c r="K2200" s="4" t="s">
        <v>144</v>
      </c>
      <c r="L2200" s="4" t="s">
        <v>4186</v>
      </c>
      <c r="M2200" s="4"/>
      <c r="N2200" s="4"/>
      <c r="O2200" s="4"/>
      <c r="P2200" s="4"/>
    </row>
    <row r="2201" spans="1:16" ht="15">
      <c r="A2201" s="4" t="s">
        <v>3221</v>
      </c>
      <c r="B2201" s="30">
        <v>39993</v>
      </c>
      <c r="C2201" s="4"/>
      <c r="D2201" s="4" t="s">
        <v>4182</v>
      </c>
      <c r="E2201" s="4" t="s">
        <v>171</v>
      </c>
      <c r="F2201" s="4" t="s">
        <v>168</v>
      </c>
      <c r="G2201" s="4"/>
      <c r="H2201" s="4">
        <v>2</v>
      </c>
      <c r="I2201" s="4" t="s">
        <v>139</v>
      </c>
      <c r="J2201" s="4" t="s">
        <v>433</v>
      </c>
      <c r="K2201" s="4" t="s">
        <v>148</v>
      </c>
      <c r="L2201" s="4" t="s">
        <v>4186</v>
      </c>
      <c r="M2201" s="4"/>
      <c r="N2201" s="4"/>
      <c r="O2201" s="4"/>
      <c r="P2201" s="4"/>
    </row>
    <row r="2202" spans="1:16" ht="15">
      <c r="A2202" s="4" t="s">
        <v>3222</v>
      </c>
      <c r="B2202" s="30">
        <v>39993</v>
      </c>
      <c r="C2202" s="4"/>
      <c r="D2202" s="4" t="s">
        <v>4182</v>
      </c>
      <c r="E2202" s="4" t="s">
        <v>171</v>
      </c>
      <c r="F2202" s="4" t="s">
        <v>168</v>
      </c>
      <c r="G2202" s="4"/>
      <c r="H2202" s="4">
        <v>5</v>
      </c>
      <c r="I2202" s="4" t="s">
        <v>139</v>
      </c>
      <c r="J2202" s="4" t="s">
        <v>178</v>
      </c>
      <c r="K2202" s="4" t="s">
        <v>142</v>
      </c>
      <c r="L2202" s="4" t="s">
        <v>4186</v>
      </c>
      <c r="M2202" s="4"/>
      <c r="N2202" s="4"/>
      <c r="O2202" s="4"/>
      <c r="P2202" s="4"/>
    </row>
    <row r="2203" spans="1:16" ht="15">
      <c r="A2203" s="4" t="s">
        <v>3223</v>
      </c>
      <c r="B2203" s="30">
        <v>39993</v>
      </c>
      <c r="C2203" s="4" t="s">
        <v>383</v>
      </c>
      <c r="D2203" s="4" t="s">
        <v>4182</v>
      </c>
      <c r="E2203" s="4" t="s">
        <v>171</v>
      </c>
      <c r="F2203" s="4" t="s">
        <v>168</v>
      </c>
      <c r="G2203" s="4"/>
      <c r="H2203" s="4">
        <v>3</v>
      </c>
      <c r="I2203" s="4" t="s">
        <v>139</v>
      </c>
      <c r="J2203" s="4" t="s">
        <v>178</v>
      </c>
      <c r="K2203" s="4" t="s">
        <v>145</v>
      </c>
      <c r="L2203" s="4" t="s">
        <v>4186</v>
      </c>
      <c r="M2203" s="4"/>
      <c r="N2203" s="4"/>
      <c r="O2203" s="4"/>
      <c r="P2203" s="4"/>
    </row>
    <row r="2204" spans="1:16" ht="15">
      <c r="A2204" s="4" t="s">
        <v>3224</v>
      </c>
      <c r="B2204" s="30">
        <v>39994</v>
      </c>
      <c r="C2204" s="4"/>
      <c r="D2204" s="4" t="s">
        <v>4182</v>
      </c>
      <c r="E2204" s="4" t="s">
        <v>171</v>
      </c>
      <c r="F2204" s="4" t="s">
        <v>168</v>
      </c>
      <c r="G2204" s="4"/>
      <c r="H2204" s="4">
        <v>3</v>
      </c>
      <c r="I2204" s="4" t="s">
        <v>139</v>
      </c>
      <c r="J2204" s="4" t="s">
        <v>179</v>
      </c>
      <c r="K2204" s="4" t="s">
        <v>145</v>
      </c>
      <c r="L2204" s="4" t="s">
        <v>4186</v>
      </c>
      <c r="M2204" s="4"/>
      <c r="N2204" s="4"/>
      <c r="O2204" s="4"/>
      <c r="P2204" s="4"/>
    </row>
    <row r="2205" spans="1:16" ht="15">
      <c r="A2205" s="4" t="s">
        <v>3225</v>
      </c>
      <c r="B2205" s="30">
        <v>39995</v>
      </c>
      <c r="C2205" s="4" t="s">
        <v>383</v>
      </c>
      <c r="D2205" s="4" t="s">
        <v>4182</v>
      </c>
      <c r="E2205" s="4" t="s">
        <v>171</v>
      </c>
      <c r="F2205" s="4" t="s">
        <v>168</v>
      </c>
      <c r="G2205" s="4"/>
      <c r="H2205" s="4">
        <v>5</v>
      </c>
      <c r="I2205" s="4" t="s">
        <v>139</v>
      </c>
      <c r="J2205" s="4" t="s">
        <v>187</v>
      </c>
      <c r="K2205" s="4" t="s">
        <v>145</v>
      </c>
      <c r="L2205" s="4" t="s">
        <v>4186</v>
      </c>
      <c r="M2205" s="4"/>
      <c r="N2205" s="4"/>
      <c r="O2205" s="4"/>
      <c r="P2205" s="4"/>
    </row>
    <row r="2206" spans="1:16" ht="15">
      <c r="A2206" s="4" t="s">
        <v>3226</v>
      </c>
      <c r="B2206" s="30">
        <v>39995</v>
      </c>
      <c r="C2206" s="4" t="s">
        <v>383</v>
      </c>
      <c r="D2206" s="4" t="s">
        <v>4182</v>
      </c>
      <c r="E2206" s="4" t="s">
        <v>171</v>
      </c>
      <c r="F2206" s="4" t="s">
        <v>168</v>
      </c>
      <c r="G2206" s="4"/>
      <c r="H2206" s="4">
        <v>5</v>
      </c>
      <c r="I2206" s="4" t="s">
        <v>139</v>
      </c>
      <c r="J2206" s="4" t="s">
        <v>190</v>
      </c>
      <c r="K2206" s="4" t="s">
        <v>144</v>
      </c>
      <c r="L2206" s="4" t="s">
        <v>4186</v>
      </c>
      <c r="M2206" s="4"/>
      <c r="N2206" s="4"/>
      <c r="O2206" s="4"/>
      <c r="P2206" s="4"/>
    </row>
    <row r="2207" spans="1:16" ht="15">
      <c r="A2207" s="4" t="s">
        <v>3227</v>
      </c>
      <c r="B2207" s="30">
        <v>39996</v>
      </c>
      <c r="C2207" s="4"/>
      <c r="D2207" s="4" t="s">
        <v>4182</v>
      </c>
      <c r="E2207" s="4" t="s">
        <v>171</v>
      </c>
      <c r="F2207" s="4" t="s">
        <v>168</v>
      </c>
      <c r="G2207" s="4"/>
      <c r="H2207" s="4">
        <v>2</v>
      </c>
      <c r="I2207" s="4" t="s">
        <v>139</v>
      </c>
      <c r="J2207" s="4" t="s">
        <v>188</v>
      </c>
      <c r="K2207" s="4" t="s">
        <v>145</v>
      </c>
      <c r="L2207" s="4" t="s">
        <v>4186</v>
      </c>
      <c r="M2207" s="4"/>
      <c r="N2207" s="4"/>
      <c r="O2207" s="4"/>
      <c r="P2207" s="4"/>
    </row>
    <row r="2208" spans="1:16" ht="15">
      <c r="A2208" s="4" t="s">
        <v>3228</v>
      </c>
      <c r="B2208" s="30">
        <v>39997</v>
      </c>
      <c r="C2208" s="4" t="s">
        <v>496</v>
      </c>
      <c r="D2208" s="4" t="s">
        <v>4182</v>
      </c>
      <c r="E2208" s="4" t="s">
        <v>171</v>
      </c>
      <c r="F2208" s="4" t="s">
        <v>168</v>
      </c>
      <c r="G2208" s="4"/>
      <c r="H2208" s="4">
        <v>5</v>
      </c>
      <c r="I2208" s="4" t="s">
        <v>139</v>
      </c>
      <c r="J2208" s="4" t="s">
        <v>179</v>
      </c>
      <c r="K2208" s="4" t="s">
        <v>142</v>
      </c>
      <c r="L2208" s="4" t="s">
        <v>4186</v>
      </c>
      <c r="M2208" s="4"/>
      <c r="N2208" s="4"/>
      <c r="O2208" s="4"/>
      <c r="P2208" s="4"/>
    </row>
    <row r="2209" spans="1:16" ht="15">
      <c r="A2209" s="4" t="s">
        <v>3229</v>
      </c>
      <c r="B2209" s="30">
        <v>40000</v>
      </c>
      <c r="C2209" s="4"/>
      <c r="D2209" s="4" t="s">
        <v>4182</v>
      </c>
      <c r="E2209" s="4" t="s">
        <v>171</v>
      </c>
      <c r="F2209" s="4" t="s">
        <v>168</v>
      </c>
      <c r="G2209" s="4"/>
      <c r="H2209" s="4">
        <v>5</v>
      </c>
      <c r="I2209" s="4" t="s">
        <v>139</v>
      </c>
      <c r="J2209" s="4" t="s">
        <v>180</v>
      </c>
      <c r="K2209" s="4" t="s">
        <v>146</v>
      </c>
      <c r="L2209" s="4" t="s">
        <v>4186</v>
      </c>
      <c r="M2209" s="4"/>
      <c r="N2209" s="4"/>
      <c r="O2209" s="4"/>
      <c r="P2209" s="4"/>
    </row>
    <row r="2210" spans="1:16" ht="15">
      <c r="A2210" s="4" t="s">
        <v>3230</v>
      </c>
      <c r="B2210" s="30">
        <v>40001</v>
      </c>
      <c r="C2210" s="4"/>
      <c r="D2210" s="4" t="s">
        <v>4182</v>
      </c>
      <c r="E2210" s="4" t="s">
        <v>171</v>
      </c>
      <c r="F2210" s="4" t="s">
        <v>168</v>
      </c>
      <c r="G2210" s="4"/>
      <c r="H2210" s="4">
        <v>3</v>
      </c>
      <c r="I2210" s="4" t="s">
        <v>139</v>
      </c>
      <c r="J2210" s="4" t="s">
        <v>180</v>
      </c>
      <c r="K2210" s="4" t="s">
        <v>146</v>
      </c>
      <c r="L2210" s="4" t="s">
        <v>4186</v>
      </c>
      <c r="M2210" s="4"/>
      <c r="N2210" s="4"/>
      <c r="O2210" s="4"/>
      <c r="P2210" s="4"/>
    </row>
    <row r="2211" spans="1:16" ht="15">
      <c r="A2211" s="4" t="s">
        <v>3231</v>
      </c>
      <c r="B2211" s="30">
        <v>40001</v>
      </c>
      <c r="C2211" s="4"/>
      <c r="D2211" s="4" t="s">
        <v>4182</v>
      </c>
      <c r="E2211" s="4" t="s">
        <v>171</v>
      </c>
      <c r="F2211" s="4" t="s">
        <v>168</v>
      </c>
      <c r="G2211" s="4"/>
      <c r="H2211" s="4">
        <v>3</v>
      </c>
      <c r="I2211" s="4" t="s">
        <v>139</v>
      </c>
      <c r="J2211" s="4" t="s">
        <v>191</v>
      </c>
      <c r="K2211" s="4" t="s">
        <v>142</v>
      </c>
      <c r="L2211" s="4" t="s">
        <v>4186</v>
      </c>
      <c r="M2211" s="4"/>
      <c r="N2211" s="4"/>
      <c r="O2211" s="4"/>
      <c r="P2211" s="4"/>
    </row>
    <row r="2212" spans="1:16" ht="15">
      <c r="A2212" s="4" t="s">
        <v>3232</v>
      </c>
      <c r="B2212" s="30">
        <v>40001</v>
      </c>
      <c r="C2212" s="4" t="s">
        <v>383</v>
      </c>
      <c r="D2212" s="4" t="s">
        <v>4182</v>
      </c>
      <c r="E2212" s="4" t="s">
        <v>171</v>
      </c>
      <c r="F2212" s="4" t="s">
        <v>168</v>
      </c>
      <c r="G2212" s="4"/>
      <c r="H2212" s="4">
        <v>3</v>
      </c>
      <c r="I2212" s="4" t="s">
        <v>139</v>
      </c>
      <c r="J2212" s="4" t="s">
        <v>181</v>
      </c>
      <c r="K2212" s="4" t="s">
        <v>144</v>
      </c>
      <c r="L2212" s="4" t="s">
        <v>4186</v>
      </c>
      <c r="M2212" s="4"/>
      <c r="N2212" s="4"/>
      <c r="O2212" s="4"/>
      <c r="P2212" s="4"/>
    </row>
    <row r="2213" spans="1:16" ht="15">
      <c r="A2213" s="4" t="s">
        <v>3233</v>
      </c>
      <c r="B2213" s="30">
        <v>40001</v>
      </c>
      <c r="C2213" s="4"/>
      <c r="D2213" s="4" t="s">
        <v>4182</v>
      </c>
      <c r="E2213" s="4" t="s">
        <v>171</v>
      </c>
      <c r="F2213" s="4" t="s">
        <v>168</v>
      </c>
      <c r="G2213" s="4"/>
      <c r="H2213" s="4">
        <v>5</v>
      </c>
      <c r="I2213" s="4" t="s">
        <v>139</v>
      </c>
      <c r="J2213" s="4" t="s">
        <v>413</v>
      </c>
      <c r="K2213" s="4" t="s">
        <v>142</v>
      </c>
      <c r="L2213" s="4" t="s">
        <v>4186</v>
      </c>
      <c r="M2213" s="4"/>
      <c r="N2213" s="4"/>
      <c r="O2213" s="4"/>
      <c r="P2213" s="4"/>
    </row>
    <row r="2214" spans="1:16" ht="15">
      <c r="A2214" s="4" t="s">
        <v>3234</v>
      </c>
      <c r="B2214" s="30">
        <v>40002</v>
      </c>
      <c r="C2214" s="4" t="s">
        <v>496</v>
      </c>
      <c r="D2214" s="4" t="s">
        <v>4182</v>
      </c>
      <c r="E2214" s="4" t="s">
        <v>171</v>
      </c>
      <c r="F2214" s="4" t="s">
        <v>168</v>
      </c>
      <c r="G2214" s="4"/>
      <c r="H2214" s="4">
        <v>4</v>
      </c>
      <c r="I2214" s="4" t="s">
        <v>139</v>
      </c>
      <c r="J2214" s="4" t="s">
        <v>187</v>
      </c>
      <c r="K2214" s="4" t="s">
        <v>145</v>
      </c>
      <c r="L2214" s="4" t="s">
        <v>4186</v>
      </c>
      <c r="M2214" s="4"/>
      <c r="N2214" s="4"/>
      <c r="O2214" s="4"/>
      <c r="P2214" s="4"/>
    </row>
    <row r="2215" spans="1:16" ht="15">
      <c r="A2215" s="4" t="s">
        <v>3235</v>
      </c>
      <c r="B2215" s="30">
        <v>40002</v>
      </c>
      <c r="C2215" s="4" t="s">
        <v>383</v>
      </c>
      <c r="D2215" s="4" t="s">
        <v>4182</v>
      </c>
      <c r="E2215" s="4" t="s">
        <v>171</v>
      </c>
      <c r="F2215" s="4" t="s">
        <v>168</v>
      </c>
      <c r="G2215" s="4"/>
      <c r="H2215" s="4">
        <v>2</v>
      </c>
      <c r="I2215" s="4" t="s">
        <v>139</v>
      </c>
      <c r="J2215" s="4" t="s">
        <v>534</v>
      </c>
      <c r="K2215" s="4" t="s">
        <v>144</v>
      </c>
      <c r="L2215" s="4" t="s">
        <v>4186</v>
      </c>
      <c r="M2215" s="4"/>
      <c r="N2215" s="4"/>
      <c r="O2215" s="4"/>
      <c r="P2215" s="4"/>
    </row>
    <row r="2216" spans="1:16" ht="15">
      <c r="A2216" s="4" t="s">
        <v>3236</v>
      </c>
      <c r="B2216" s="30">
        <v>40002</v>
      </c>
      <c r="C2216" s="4" t="s">
        <v>383</v>
      </c>
      <c r="D2216" s="4" t="s">
        <v>4182</v>
      </c>
      <c r="E2216" s="4" t="s">
        <v>171</v>
      </c>
      <c r="F2216" s="4" t="s">
        <v>168</v>
      </c>
      <c r="G2216" s="4"/>
      <c r="H2216" s="4">
        <v>3</v>
      </c>
      <c r="I2216" s="4" t="s">
        <v>139</v>
      </c>
      <c r="J2216" s="4" t="s">
        <v>182</v>
      </c>
      <c r="K2216" s="4" t="s">
        <v>144</v>
      </c>
      <c r="L2216" s="4" t="s">
        <v>4186</v>
      </c>
      <c r="M2216" s="4"/>
      <c r="N2216" s="4"/>
      <c r="O2216" s="4"/>
      <c r="P2216" s="4"/>
    </row>
    <row r="2217" spans="1:16" ht="15">
      <c r="A2217" s="4" t="s">
        <v>3237</v>
      </c>
      <c r="B2217" s="30">
        <v>40003</v>
      </c>
      <c r="C2217" s="4" t="s">
        <v>383</v>
      </c>
      <c r="D2217" s="4" t="s">
        <v>4182</v>
      </c>
      <c r="E2217" s="4" t="s">
        <v>171</v>
      </c>
      <c r="F2217" s="4" t="s">
        <v>168</v>
      </c>
      <c r="G2217" s="4"/>
      <c r="H2217" s="4">
        <v>5</v>
      </c>
      <c r="I2217" s="4" t="s">
        <v>139</v>
      </c>
      <c r="J2217" s="4" t="s">
        <v>181</v>
      </c>
      <c r="K2217" s="4" t="s">
        <v>149</v>
      </c>
      <c r="L2217" s="4" t="s">
        <v>4186</v>
      </c>
      <c r="M2217" s="4"/>
      <c r="N2217" s="4"/>
      <c r="O2217" s="4"/>
      <c r="P2217" s="4"/>
    </row>
    <row r="2218" spans="1:16" ht="15">
      <c r="A2218" s="4" t="s">
        <v>3238</v>
      </c>
      <c r="B2218" s="30">
        <v>40004</v>
      </c>
      <c r="C2218" s="4" t="s">
        <v>383</v>
      </c>
      <c r="D2218" s="4" t="s">
        <v>4182</v>
      </c>
      <c r="E2218" s="4" t="s">
        <v>171</v>
      </c>
      <c r="F2218" s="4" t="s">
        <v>168</v>
      </c>
      <c r="G2218" s="4"/>
      <c r="H2218" s="4">
        <v>4</v>
      </c>
      <c r="I2218" s="4" t="s">
        <v>139</v>
      </c>
      <c r="J2218" s="4" t="s">
        <v>182</v>
      </c>
      <c r="K2218" s="4" t="s">
        <v>146</v>
      </c>
      <c r="L2218" s="4" t="s">
        <v>4186</v>
      </c>
      <c r="M2218" s="4"/>
      <c r="N2218" s="4"/>
      <c r="O2218" s="4"/>
      <c r="P2218" s="4"/>
    </row>
    <row r="2219" spans="1:16" ht="15">
      <c r="A2219" s="4" t="s">
        <v>3239</v>
      </c>
      <c r="B2219" s="30">
        <v>40004</v>
      </c>
      <c r="C2219" s="4" t="s">
        <v>380</v>
      </c>
      <c r="D2219" s="4" t="s">
        <v>4182</v>
      </c>
      <c r="E2219" s="4" t="s">
        <v>171</v>
      </c>
      <c r="F2219" s="4" t="s">
        <v>168</v>
      </c>
      <c r="G2219" s="4"/>
      <c r="H2219" s="4">
        <v>3</v>
      </c>
      <c r="I2219" s="4" t="s">
        <v>139</v>
      </c>
      <c r="J2219" s="4" t="s">
        <v>178</v>
      </c>
      <c r="K2219" s="4" t="s">
        <v>143</v>
      </c>
      <c r="L2219" s="4" t="s">
        <v>4186</v>
      </c>
      <c r="M2219" s="4"/>
      <c r="N2219" s="4"/>
      <c r="O2219" s="4"/>
      <c r="P2219" s="4"/>
    </row>
    <row r="2220" spans="1:16" ht="15">
      <c r="A2220" s="4" t="s">
        <v>3240</v>
      </c>
      <c r="B2220" s="30">
        <v>40007</v>
      </c>
      <c r="C2220" s="4" t="s">
        <v>9</v>
      </c>
      <c r="D2220" s="4" t="s">
        <v>4182</v>
      </c>
      <c r="E2220" s="4" t="s">
        <v>171</v>
      </c>
      <c r="F2220" s="4" t="s">
        <v>168</v>
      </c>
      <c r="G2220" s="4"/>
      <c r="H2220" s="4"/>
      <c r="I2220" s="4" t="s">
        <v>139</v>
      </c>
      <c r="J2220" s="4" t="s">
        <v>187</v>
      </c>
      <c r="K2220" s="4" t="s">
        <v>142</v>
      </c>
      <c r="L2220" s="4" t="s">
        <v>4186</v>
      </c>
      <c r="M2220" s="4"/>
      <c r="N2220" s="4"/>
      <c r="O2220" s="4"/>
      <c r="P2220" s="4"/>
    </row>
    <row r="2221" spans="1:16" ht="15">
      <c r="A2221" s="4" t="s">
        <v>3241</v>
      </c>
      <c r="B2221" s="30">
        <v>40007</v>
      </c>
      <c r="C2221" s="4" t="s">
        <v>496</v>
      </c>
      <c r="D2221" s="4" t="s">
        <v>4182</v>
      </c>
      <c r="E2221" s="4" t="s">
        <v>171</v>
      </c>
      <c r="F2221" s="4" t="s">
        <v>168</v>
      </c>
      <c r="G2221" s="4">
        <v>5</v>
      </c>
      <c r="H2221" s="4">
        <v>2</v>
      </c>
      <c r="I2221" s="4" t="s">
        <v>139</v>
      </c>
      <c r="J2221" s="4" t="s">
        <v>181</v>
      </c>
      <c r="K2221" s="4" t="s">
        <v>143</v>
      </c>
      <c r="L2221" s="4" t="s">
        <v>4186</v>
      </c>
      <c r="M2221" s="4"/>
      <c r="N2221" s="4"/>
      <c r="O2221" s="4"/>
      <c r="P2221" s="4"/>
    </row>
    <row r="2222" spans="1:16" ht="15">
      <c r="A2222" s="4" t="s">
        <v>3242</v>
      </c>
      <c r="B2222" s="30">
        <v>40007</v>
      </c>
      <c r="C2222" s="4" t="s">
        <v>9</v>
      </c>
      <c r="D2222" s="4" t="s">
        <v>4182</v>
      </c>
      <c r="E2222" s="4" t="s">
        <v>171</v>
      </c>
      <c r="F2222" s="4" t="s">
        <v>168</v>
      </c>
      <c r="G2222" s="4">
        <v>5</v>
      </c>
      <c r="H2222" s="4">
        <v>3</v>
      </c>
      <c r="I2222" s="4" t="s">
        <v>139</v>
      </c>
      <c r="J2222" s="4" t="s">
        <v>178</v>
      </c>
      <c r="K2222" s="4" t="s">
        <v>144</v>
      </c>
      <c r="L2222" s="4" t="s">
        <v>4186</v>
      </c>
      <c r="M2222" s="4"/>
      <c r="N2222" s="4"/>
      <c r="O2222" s="4"/>
      <c r="P2222" s="4"/>
    </row>
    <row r="2223" spans="1:16" ht="15">
      <c r="A2223" s="4" t="s">
        <v>3243</v>
      </c>
      <c r="B2223" s="30">
        <v>40007</v>
      </c>
      <c r="C2223" s="4"/>
      <c r="D2223" s="4" t="s">
        <v>4182</v>
      </c>
      <c r="E2223" s="4" t="s">
        <v>171</v>
      </c>
      <c r="F2223" s="4" t="s">
        <v>168</v>
      </c>
      <c r="G2223" s="4"/>
      <c r="H2223" s="4"/>
      <c r="I2223" s="4" t="s">
        <v>139</v>
      </c>
      <c r="J2223" s="4" t="s">
        <v>190</v>
      </c>
      <c r="K2223" s="4" t="s">
        <v>148</v>
      </c>
      <c r="L2223" s="4" t="s">
        <v>4186</v>
      </c>
      <c r="M2223" s="4"/>
      <c r="N2223" s="4"/>
      <c r="O2223" s="4"/>
      <c r="P2223" s="4"/>
    </row>
    <row r="2224" spans="1:16" ht="15">
      <c r="A2224" s="4" t="s">
        <v>3244</v>
      </c>
      <c r="B2224" s="30">
        <v>40007</v>
      </c>
      <c r="C2224" s="4" t="s">
        <v>383</v>
      </c>
      <c r="D2224" s="4" t="s">
        <v>4182</v>
      </c>
      <c r="E2224" s="4" t="s">
        <v>171</v>
      </c>
      <c r="F2224" s="4" t="s">
        <v>168</v>
      </c>
      <c r="G2224" s="4">
        <v>5</v>
      </c>
      <c r="H2224" s="4">
        <v>5</v>
      </c>
      <c r="I2224" s="4" t="s">
        <v>139</v>
      </c>
      <c r="J2224" s="4" t="s">
        <v>191</v>
      </c>
      <c r="K2224" s="4" t="s">
        <v>142</v>
      </c>
      <c r="L2224" s="4" t="s">
        <v>4186</v>
      </c>
      <c r="M2224" s="4"/>
      <c r="N2224" s="4"/>
      <c r="O2224" s="4"/>
      <c r="P2224" s="4"/>
    </row>
    <row r="2225" spans="1:16" ht="15">
      <c r="A2225" s="4" t="s">
        <v>3245</v>
      </c>
      <c r="B2225" s="30">
        <v>40007</v>
      </c>
      <c r="C2225" s="4"/>
      <c r="D2225" s="4" t="s">
        <v>4182</v>
      </c>
      <c r="E2225" s="4" t="s">
        <v>171</v>
      </c>
      <c r="F2225" s="4" t="s">
        <v>168</v>
      </c>
      <c r="G2225" s="4">
        <v>5</v>
      </c>
      <c r="H2225" s="4">
        <v>5</v>
      </c>
      <c r="I2225" s="4" t="s">
        <v>139</v>
      </c>
      <c r="J2225" s="4" t="s">
        <v>185</v>
      </c>
      <c r="K2225" s="4" t="s">
        <v>148</v>
      </c>
      <c r="L2225" s="4" t="s">
        <v>4186</v>
      </c>
      <c r="M2225" s="4"/>
      <c r="N2225" s="4"/>
      <c r="O2225" s="4"/>
      <c r="P2225" s="4"/>
    </row>
    <row r="2226" spans="1:16" ht="15">
      <c r="A2226" s="4" t="s">
        <v>3246</v>
      </c>
      <c r="B2226" s="30">
        <v>40007</v>
      </c>
      <c r="C2226" s="4"/>
      <c r="D2226" s="4" t="s">
        <v>4182</v>
      </c>
      <c r="E2226" s="4" t="s">
        <v>171</v>
      </c>
      <c r="F2226" s="4" t="s">
        <v>168</v>
      </c>
      <c r="G2226" s="4">
        <v>1</v>
      </c>
      <c r="H2226" s="4">
        <v>3</v>
      </c>
      <c r="I2226" s="4" t="s">
        <v>139</v>
      </c>
      <c r="J2226" s="4" t="s">
        <v>179</v>
      </c>
      <c r="K2226" s="4" t="s">
        <v>142</v>
      </c>
      <c r="L2226" s="4" t="s">
        <v>4186</v>
      </c>
      <c r="M2226" s="4"/>
      <c r="N2226" s="4"/>
      <c r="O2226" s="4"/>
      <c r="P2226" s="4"/>
    </row>
    <row r="2227" spans="1:16" ht="15">
      <c r="A2227" s="4" t="s">
        <v>3247</v>
      </c>
      <c r="B2227" s="30">
        <v>40007</v>
      </c>
      <c r="C2227" s="4" t="s">
        <v>383</v>
      </c>
      <c r="D2227" s="4" t="s">
        <v>4182</v>
      </c>
      <c r="E2227" s="4" t="s">
        <v>171</v>
      </c>
      <c r="F2227" s="4" t="s">
        <v>168</v>
      </c>
      <c r="G2227" s="4"/>
      <c r="H2227" s="4"/>
      <c r="I2227" s="4" t="s">
        <v>139</v>
      </c>
      <c r="J2227" s="4" t="s">
        <v>178</v>
      </c>
      <c r="K2227" s="4" t="s">
        <v>143</v>
      </c>
      <c r="L2227" s="4" t="s">
        <v>4186</v>
      </c>
      <c r="M2227" s="4"/>
      <c r="N2227" s="4"/>
      <c r="O2227" s="4"/>
      <c r="P2227" s="4"/>
    </row>
    <row r="2228" spans="1:16" ht="15">
      <c r="A2228" s="4" t="s">
        <v>3248</v>
      </c>
      <c r="B2228" s="30">
        <v>40007</v>
      </c>
      <c r="C2228" s="4" t="s">
        <v>383</v>
      </c>
      <c r="D2228" s="4" t="s">
        <v>4182</v>
      </c>
      <c r="E2228" s="4" t="s">
        <v>171</v>
      </c>
      <c r="F2228" s="4" t="s">
        <v>168</v>
      </c>
      <c r="G2228" s="4">
        <v>5</v>
      </c>
      <c r="H2228" s="4">
        <v>3</v>
      </c>
      <c r="I2228" s="4" t="s">
        <v>139</v>
      </c>
      <c r="J2228" s="4" t="s">
        <v>182</v>
      </c>
      <c r="K2228" s="4" t="s">
        <v>146</v>
      </c>
      <c r="L2228" s="4" t="s">
        <v>4186</v>
      </c>
      <c r="M2228" s="4"/>
      <c r="N2228" s="4"/>
      <c r="O2228" s="4"/>
      <c r="P2228" s="4"/>
    </row>
    <row r="2229" spans="1:16" ht="15">
      <c r="A2229" s="4" t="s">
        <v>3249</v>
      </c>
      <c r="B2229" s="30">
        <v>40008</v>
      </c>
      <c r="C2229" s="4" t="s">
        <v>9</v>
      </c>
      <c r="D2229" s="4" t="s">
        <v>4182</v>
      </c>
      <c r="E2229" s="4" t="s">
        <v>171</v>
      </c>
      <c r="F2229" s="4" t="s">
        <v>168</v>
      </c>
      <c r="G2229" s="4">
        <v>2</v>
      </c>
      <c r="H2229" s="4">
        <v>5</v>
      </c>
      <c r="I2229" s="4" t="s">
        <v>139</v>
      </c>
      <c r="J2229" s="4" t="s">
        <v>180</v>
      </c>
      <c r="K2229" s="4" t="s">
        <v>145</v>
      </c>
      <c r="L2229" s="4" t="s">
        <v>4186</v>
      </c>
      <c r="M2229" s="4"/>
      <c r="N2229" s="4"/>
      <c r="O2229" s="4"/>
      <c r="P2229" s="4"/>
    </row>
    <row r="2230" spans="1:16" ht="15">
      <c r="A2230" s="4" t="s">
        <v>3250</v>
      </c>
      <c r="B2230" s="30">
        <v>40008</v>
      </c>
      <c r="C2230" s="4" t="s">
        <v>383</v>
      </c>
      <c r="D2230" s="4" t="s">
        <v>4182</v>
      </c>
      <c r="E2230" s="4" t="s">
        <v>171</v>
      </c>
      <c r="F2230" s="4" t="s">
        <v>168</v>
      </c>
      <c r="G2230" s="4">
        <v>5</v>
      </c>
      <c r="H2230" s="4">
        <v>3</v>
      </c>
      <c r="I2230" s="4" t="s">
        <v>139</v>
      </c>
      <c r="J2230" s="4" t="s">
        <v>179</v>
      </c>
      <c r="K2230" s="4" t="s">
        <v>148</v>
      </c>
      <c r="L2230" s="4" t="s">
        <v>4186</v>
      </c>
      <c r="M2230" s="4"/>
      <c r="N2230" s="4"/>
      <c r="O2230" s="4"/>
      <c r="P2230" s="4"/>
    </row>
    <row r="2231" spans="1:16" ht="15">
      <c r="A2231" s="4" t="s">
        <v>3251</v>
      </c>
      <c r="B2231" s="30">
        <v>40008</v>
      </c>
      <c r="C2231" s="4"/>
      <c r="D2231" s="4" t="s">
        <v>4182</v>
      </c>
      <c r="E2231" s="4" t="s">
        <v>171</v>
      </c>
      <c r="F2231" s="4" t="s">
        <v>168</v>
      </c>
      <c r="G2231" s="4">
        <v>3</v>
      </c>
      <c r="H2231" s="4">
        <v>2</v>
      </c>
      <c r="I2231" s="4" t="s">
        <v>139</v>
      </c>
      <c r="J2231" s="4" t="s">
        <v>178</v>
      </c>
      <c r="K2231" s="4" t="s">
        <v>148</v>
      </c>
      <c r="L2231" s="4" t="s">
        <v>4186</v>
      </c>
      <c r="M2231" s="4"/>
      <c r="N2231" s="4"/>
      <c r="O2231" s="4"/>
      <c r="P2231" s="4"/>
    </row>
    <row r="2232" spans="1:16" ht="15">
      <c r="A2232" s="4" t="s">
        <v>3252</v>
      </c>
      <c r="B2232" s="30">
        <v>40008</v>
      </c>
      <c r="C2232" s="4" t="s">
        <v>383</v>
      </c>
      <c r="D2232" s="4" t="s">
        <v>4182</v>
      </c>
      <c r="E2232" s="4" t="s">
        <v>171</v>
      </c>
      <c r="F2232" s="4" t="s">
        <v>168</v>
      </c>
      <c r="G2232" s="4">
        <v>1</v>
      </c>
      <c r="H2232" s="4">
        <v>3</v>
      </c>
      <c r="I2232" s="4" t="s">
        <v>139</v>
      </c>
      <c r="J2232" s="4" t="s">
        <v>186</v>
      </c>
      <c r="K2232" s="4" t="s">
        <v>149</v>
      </c>
      <c r="L2232" s="4" t="s">
        <v>4186</v>
      </c>
      <c r="M2232" s="4"/>
      <c r="N2232" s="4"/>
      <c r="O2232" s="4"/>
      <c r="P2232" s="4"/>
    </row>
    <row r="2233" spans="1:16" ht="15">
      <c r="A2233" s="4" t="s">
        <v>3253</v>
      </c>
      <c r="B2233" s="30">
        <v>40009</v>
      </c>
      <c r="C2233" s="4"/>
      <c r="D2233" s="4" t="s">
        <v>4182</v>
      </c>
      <c r="E2233" s="4" t="s">
        <v>171</v>
      </c>
      <c r="F2233" s="4" t="s">
        <v>168</v>
      </c>
      <c r="G2233" s="4">
        <v>5</v>
      </c>
      <c r="H2233" s="4">
        <v>3</v>
      </c>
      <c r="I2233" s="4" t="s">
        <v>139</v>
      </c>
      <c r="J2233" s="4" t="s">
        <v>180</v>
      </c>
      <c r="K2233" s="4" t="s">
        <v>148</v>
      </c>
      <c r="L2233" s="4" t="s">
        <v>4186</v>
      </c>
      <c r="M2233" s="4"/>
      <c r="N2233" s="4"/>
      <c r="O2233" s="4"/>
      <c r="P2233" s="4"/>
    </row>
    <row r="2234" spans="1:16" ht="15">
      <c r="A2234" s="4" t="s">
        <v>3254</v>
      </c>
      <c r="B2234" s="30">
        <v>40009</v>
      </c>
      <c r="C2234" s="4"/>
      <c r="D2234" s="4" t="s">
        <v>4182</v>
      </c>
      <c r="E2234" s="4" t="s">
        <v>171</v>
      </c>
      <c r="F2234" s="4" t="s">
        <v>168</v>
      </c>
      <c r="G2234" s="4">
        <v>1</v>
      </c>
      <c r="H2234" s="4">
        <v>3</v>
      </c>
      <c r="I2234" s="4" t="s">
        <v>139</v>
      </c>
      <c r="J2234" s="4" t="s">
        <v>447</v>
      </c>
      <c r="K2234" s="4" t="s">
        <v>144</v>
      </c>
      <c r="L2234" s="4" t="s">
        <v>4186</v>
      </c>
      <c r="M2234" s="4"/>
      <c r="N2234" s="4"/>
      <c r="O2234" s="4"/>
      <c r="P2234" s="4"/>
    </row>
    <row r="2235" spans="1:16" ht="15">
      <c r="A2235" s="4" t="s">
        <v>3255</v>
      </c>
      <c r="B2235" s="30">
        <v>40009</v>
      </c>
      <c r="C2235" s="4" t="s">
        <v>380</v>
      </c>
      <c r="D2235" s="4" t="s">
        <v>4182</v>
      </c>
      <c r="E2235" s="4" t="s">
        <v>171</v>
      </c>
      <c r="F2235" s="4" t="s">
        <v>168</v>
      </c>
      <c r="G2235" s="4">
        <v>1</v>
      </c>
      <c r="H2235" s="4">
        <v>4</v>
      </c>
      <c r="I2235" s="4" t="s">
        <v>139</v>
      </c>
      <c r="J2235" s="4" t="s">
        <v>178</v>
      </c>
      <c r="K2235" s="4" t="s">
        <v>142</v>
      </c>
      <c r="L2235" s="4" t="s">
        <v>4186</v>
      </c>
      <c r="M2235" s="4"/>
      <c r="N2235" s="4"/>
      <c r="O2235" s="4"/>
      <c r="P2235" s="4"/>
    </row>
    <row r="2236" spans="1:16" ht="15">
      <c r="A2236" s="4" t="s">
        <v>3256</v>
      </c>
      <c r="B2236" s="30">
        <v>40010</v>
      </c>
      <c r="C2236" s="4"/>
      <c r="D2236" s="4" t="s">
        <v>4182</v>
      </c>
      <c r="E2236" s="4" t="s">
        <v>171</v>
      </c>
      <c r="F2236" s="4" t="s">
        <v>168</v>
      </c>
      <c r="G2236" s="4">
        <v>5</v>
      </c>
      <c r="H2236" s="4">
        <v>3</v>
      </c>
      <c r="I2236" s="4" t="s">
        <v>139</v>
      </c>
      <c r="J2236" s="4" t="s">
        <v>190</v>
      </c>
      <c r="K2236" s="4" t="s">
        <v>148</v>
      </c>
      <c r="L2236" s="4" t="s">
        <v>4186</v>
      </c>
      <c r="M2236" s="4"/>
      <c r="N2236" s="4"/>
      <c r="O2236" s="4"/>
      <c r="P2236" s="4"/>
    </row>
    <row r="2237" spans="1:16" ht="15">
      <c r="A2237" s="4" t="s">
        <v>3257</v>
      </c>
      <c r="B2237" s="30">
        <v>40010</v>
      </c>
      <c r="C2237" s="4" t="s">
        <v>380</v>
      </c>
      <c r="D2237" s="4" t="s">
        <v>4182</v>
      </c>
      <c r="E2237" s="4" t="s">
        <v>171</v>
      </c>
      <c r="F2237" s="4" t="s">
        <v>168</v>
      </c>
      <c r="G2237" s="4">
        <v>4</v>
      </c>
      <c r="H2237" s="4">
        <v>3</v>
      </c>
      <c r="I2237" s="4" t="s">
        <v>139</v>
      </c>
      <c r="J2237" s="4" t="s">
        <v>179</v>
      </c>
      <c r="K2237" s="4" t="s">
        <v>142</v>
      </c>
      <c r="L2237" s="4" t="s">
        <v>4186</v>
      </c>
      <c r="M2237" s="4"/>
      <c r="N2237" s="4"/>
      <c r="O2237" s="4"/>
      <c r="P2237" s="4"/>
    </row>
    <row r="2238" spans="1:16" ht="15">
      <c r="A2238" s="4" t="s">
        <v>3258</v>
      </c>
      <c r="B2238" s="30">
        <v>40010</v>
      </c>
      <c r="C2238" s="4"/>
      <c r="D2238" s="4" t="s">
        <v>4182</v>
      </c>
      <c r="E2238" s="4" t="s">
        <v>171</v>
      </c>
      <c r="F2238" s="4" t="s">
        <v>168</v>
      </c>
      <c r="G2238" s="4">
        <v>5</v>
      </c>
      <c r="H2238" s="4">
        <v>2</v>
      </c>
      <c r="I2238" s="4" t="s">
        <v>139</v>
      </c>
      <c r="J2238" s="4" t="s">
        <v>184</v>
      </c>
      <c r="K2238" s="4" t="s">
        <v>150</v>
      </c>
      <c r="L2238" s="4" t="s">
        <v>4186</v>
      </c>
      <c r="M2238" s="4"/>
      <c r="N2238" s="4"/>
      <c r="O2238" s="4"/>
      <c r="P2238" s="4"/>
    </row>
    <row r="2239" spans="1:16" ht="15">
      <c r="A2239" s="4" t="s">
        <v>3259</v>
      </c>
      <c r="B2239" s="30">
        <v>40014</v>
      </c>
      <c r="C2239" s="4"/>
      <c r="D2239" s="4" t="s">
        <v>4182</v>
      </c>
      <c r="E2239" s="4" t="s">
        <v>171</v>
      </c>
      <c r="F2239" s="4" t="s">
        <v>168</v>
      </c>
      <c r="G2239" s="4">
        <v>5</v>
      </c>
      <c r="H2239" s="4">
        <v>3</v>
      </c>
      <c r="I2239" s="4" t="s">
        <v>139</v>
      </c>
      <c r="J2239" s="4" t="s">
        <v>184</v>
      </c>
      <c r="K2239" s="4" t="s">
        <v>144</v>
      </c>
      <c r="L2239" s="4" t="s">
        <v>4186</v>
      </c>
      <c r="M2239" s="4"/>
      <c r="N2239" s="4"/>
      <c r="O2239" s="4"/>
      <c r="P2239" s="4"/>
    </row>
    <row r="2240" spans="1:16" ht="15">
      <c r="A2240" s="4" t="s">
        <v>3260</v>
      </c>
      <c r="B2240" s="30">
        <v>40014</v>
      </c>
      <c r="C2240" s="4"/>
      <c r="D2240" s="4" t="s">
        <v>4182</v>
      </c>
      <c r="E2240" s="4" t="s">
        <v>171</v>
      </c>
      <c r="F2240" s="4" t="s">
        <v>168</v>
      </c>
      <c r="G2240" s="4">
        <v>5</v>
      </c>
      <c r="H2240" s="4">
        <v>3</v>
      </c>
      <c r="I2240" s="4" t="s">
        <v>139</v>
      </c>
      <c r="J2240" s="4" t="s">
        <v>180</v>
      </c>
      <c r="K2240" s="4" t="s">
        <v>142</v>
      </c>
      <c r="L2240" s="4" t="s">
        <v>4186</v>
      </c>
      <c r="M2240" s="4"/>
      <c r="N2240" s="4"/>
      <c r="O2240" s="4"/>
      <c r="P2240" s="4"/>
    </row>
    <row r="2241" spans="1:16" ht="15">
      <c r="A2241" s="4" t="s">
        <v>3261</v>
      </c>
      <c r="B2241" s="30">
        <v>40014</v>
      </c>
      <c r="C2241" s="4" t="s">
        <v>380</v>
      </c>
      <c r="D2241" s="4" t="s">
        <v>4182</v>
      </c>
      <c r="E2241" s="4" t="s">
        <v>171</v>
      </c>
      <c r="F2241" s="4" t="s">
        <v>168</v>
      </c>
      <c r="G2241" s="4">
        <v>5</v>
      </c>
      <c r="H2241" s="4">
        <v>5</v>
      </c>
      <c r="I2241" s="4" t="s">
        <v>139</v>
      </c>
      <c r="J2241" s="4" t="s">
        <v>180</v>
      </c>
      <c r="K2241" s="4" t="s">
        <v>148</v>
      </c>
      <c r="L2241" s="4" t="s">
        <v>4186</v>
      </c>
      <c r="M2241" s="4"/>
      <c r="N2241" s="4"/>
      <c r="O2241" s="4"/>
      <c r="P2241" s="4"/>
    </row>
    <row r="2242" spans="1:16" ht="15">
      <c r="A2242" s="4" t="s">
        <v>3262</v>
      </c>
      <c r="B2242" s="30">
        <v>40015</v>
      </c>
      <c r="C2242" s="4" t="s">
        <v>383</v>
      </c>
      <c r="D2242" s="4" t="s">
        <v>4182</v>
      </c>
      <c r="E2242" s="4" t="s">
        <v>171</v>
      </c>
      <c r="F2242" s="4" t="s">
        <v>168</v>
      </c>
      <c r="G2242" s="4">
        <v>5</v>
      </c>
      <c r="H2242" s="4">
        <v>3</v>
      </c>
      <c r="I2242" s="4" t="s">
        <v>139</v>
      </c>
      <c r="J2242" s="4" t="s">
        <v>183</v>
      </c>
      <c r="K2242" s="4" t="s">
        <v>144</v>
      </c>
      <c r="L2242" s="4" t="s">
        <v>4186</v>
      </c>
      <c r="M2242" s="4"/>
      <c r="N2242" s="4"/>
      <c r="O2242" s="4"/>
      <c r="P2242" s="4"/>
    </row>
    <row r="2243" spans="1:16" ht="15">
      <c r="A2243" s="4" t="s">
        <v>3263</v>
      </c>
      <c r="B2243" s="30">
        <v>40015</v>
      </c>
      <c r="C2243" s="4" t="s">
        <v>525</v>
      </c>
      <c r="D2243" s="4" t="s">
        <v>4182</v>
      </c>
      <c r="E2243" s="4" t="s">
        <v>171</v>
      </c>
      <c r="F2243" s="4" t="s">
        <v>168</v>
      </c>
      <c r="G2243" s="4">
        <v>5</v>
      </c>
      <c r="H2243" s="4">
        <v>5</v>
      </c>
      <c r="I2243" s="4" t="s">
        <v>139</v>
      </c>
      <c r="J2243" s="4" t="s">
        <v>185</v>
      </c>
      <c r="K2243" s="4" t="s">
        <v>142</v>
      </c>
      <c r="L2243" s="4" t="s">
        <v>4186</v>
      </c>
      <c r="M2243" s="4"/>
      <c r="N2243" s="4"/>
      <c r="O2243" s="4"/>
      <c r="P2243" s="4"/>
    </row>
    <row r="2244" spans="1:16" ht="15">
      <c r="A2244" s="4" t="s">
        <v>3264</v>
      </c>
      <c r="B2244" s="30">
        <v>40015</v>
      </c>
      <c r="C2244" s="4"/>
      <c r="D2244" s="4" t="s">
        <v>4182</v>
      </c>
      <c r="E2244" s="4" t="s">
        <v>171</v>
      </c>
      <c r="F2244" s="4" t="s">
        <v>168</v>
      </c>
      <c r="G2244" s="4">
        <v>4</v>
      </c>
      <c r="H2244" s="4">
        <v>3</v>
      </c>
      <c r="I2244" s="4" t="s">
        <v>139</v>
      </c>
      <c r="J2244" s="4" t="s">
        <v>534</v>
      </c>
      <c r="K2244" s="4" t="s">
        <v>144</v>
      </c>
      <c r="L2244" s="4" t="s">
        <v>4186</v>
      </c>
      <c r="M2244" s="4"/>
      <c r="N2244" s="4"/>
      <c r="O2244" s="4"/>
      <c r="P2244" s="4"/>
    </row>
    <row r="2245" spans="1:16" ht="15">
      <c r="A2245" s="4" t="s">
        <v>3265</v>
      </c>
      <c r="B2245" s="30">
        <v>40016</v>
      </c>
      <c r="C2245" s="4"/>
      <c r="D2245" s="4" t="s">
        <v>4182</v>
      </c>
      <c r="E2245" s="4" t="s">
        <v>171</v>
      </c>
      <c r="F2245" s="4" t="s">
        <v>168</v>
      </c>
      <c r="G2245" s="4">
        <v>5</v>
      </c>
      <c r="H2245" s="4">
        <v>3</v>
      </c>
      <c r="I2245" s="4" t="s">
        <v>139</v>
      </c>
      <c r="J2245" s="4" t="s">
        <v>189</v>
      </c>
      <c r="K2245" s="4" t="s">
        <v>143</v>
      </c>
      <c r="L2245" s="4" t="s">
        <v>4186</v>
      </c>
      <c r="M2245" s="4"/>
      <c r="N2245" s="4"/>
      <c r="O2245" s="4"/>
      <c r="P2245" s="4"/>
    </row>
    <row r="2246" spans="1:16" ht="15">
      <c r="A2246" s="4" t="s">
        <v>3266</v>
      </c>
      <c r="B2246" s="30">
        <v>40016</v>
      </c>
      <c r="C2246" s="4" t="s">
        <v>383</v>
      </c>
      <c r="D2246" s="4" t="s">
        <v>4182</v>
      </c>
      <c r="E2246" s="4" t="s">
        <v>171</v>
      </c>
      <c r="F2246" s="4" t="s">
        <v>168</v>
      </c>
      <c r="G2246" s="4">
        <v>5</v>
      </c>
      <c r="H2246" s="4">
        <v>5</v>
      </c>
      <c r="I2246" s="4" t="s">
        <v>139</v>
      </c>
      <c r="J2246" s="4" t="s">
        <v>186</v>
      </c>
      <c r="K2246" s="4" t="s">
        <v>149</v>
      </c>
      <c r="L2246" s="4" t="s">
        <v>4186</v>
      </c>
      <c r="M2246" s="4"/>
      <c r="N2246" s="4"/>
      <c r="O2246" s="4"/>
      <c r="P2246" s="4"/>
    </row>
    <row r="2247" spans="1:16" ht="15">
      <c r="A2247" s="4" t="s">
        <v>3267</v>
      </c>
      <c r="B2247" s="30">
        <v>40017</v>
      </c>
      <c r="C2247" s="4"/>
      <c r="D2247" s="4" t="s">
        <v>4182</v>
      </c>
      <c r="E2247" s="4" t="s">
        <v>171</v>
      </c>
      <c r="F2247" s="4" t="s">
        <v>168</v>
      </c>
      <c r="G2247" s="4">
        <v>5</v>
      </c>
      <c r="H2247" s="4">
        <v>4</v>
      </c>
      <c r="I2247" s="4" t="s">
        <v>139</v>
      </c>
      <c r="J2247" s="4" t="s">
        <v>179</v>
      </c>
      <c r="K2247" s="4" t="s">
        <v>145</v>
      </c>
      <c r="L2247" s="4" t="s">
        <v>4186</v>
      </c>
      <c r="M2247" s="4"/>
      <c r="N2247" s="4"/>
      <c r="O2247" s="4"/>
      <c r="P2247" s="4"/>
    </row>
    <row r="2248" spans="1:16" ht="15">
      <c r="A2248" s="4" t="s">
        <v>3268</v>
      </c>
      <c r="B2248" s="30">
        <v>40017</v>
      </c>
      <c r="C2248" s="4"/>
      <c r="D2248" s="4" t="s">
        <v>4182</v>
      </c>
      <c r="E2248" s="4" t="s">
        <v>171</v>
      </c>
      <c r="F2248" s="4" t="s">
        <v>168</v>
      </c>
      <c r="G2248" s="4">
        <v>5</v>
      </c>
      <c r="H2248" s="4">
        <v>2</v>
      </c>
      <c r="I2248" s="4" t="s">
        <v>139</v>
      </c>
      <c r="J2248" s="4" t="s">
        <v>184</v>
      </c>
      <c r="K2248" s="4" t="s">
        <v>146</v>
      </c>
      <c r="L2248" s="4" t="s">
        <v>4186</v>
      </c>
      <c r="M2248" s="4"/>
      <c r="N2248" s="4"/>
      <c r="O2248" s="4"/>
      <c r="P2248" s="4"/>
    </row>
    <row r="2249" spans="1:16" ht="15">
      <c r="A2249" s="4" t="s">
        <v>3269</v>
      </c>
      <c r="B2249" s="30">
        <v>40018</v>
      </c>
      <c r="C2249" s="4" t="s">
        <v>9</v>
      </c>
      <c r="D2249" s="4" t="s">
        <v>4182</v>
      </c>
      <c r="E2249" s="4" t="s">
        <v>171</v>
      </c>
      <c r="F2249" s="4" t="s">
        <v>168</v>
      </c>
      <c r="G2249" s="4">
        <v>5</v>
      </c>
      <c r="H2249" s="4">
        <v>5</v>
      </c>
      <c r="I2249" s="4" t="s">
        <v>139</v>
      </c>
      <c r="J2249" s="4" t="s">
        <v>182</v>
      </c>
      <c r="K2249" s="4" t="s">
        <v>142</v>
      </c>
      <c r="L2249" s="4" t="s">
        <v>4186</v>
      </c>
      <c r="M2249" s="4"/>
      <c r="N2249" s="4"/>
      <c r="O2249" s="4"/>
      <c r="P2249" s="4"/>
    </row>
    <row r="2250" spans="1:16" ht="15">
      <c r="A2250" s="4" t="s">
        <v>3270</v>
      </c>
      <c r="B2250" s="30">
        <v>40018</v>
      </c>
      <c r="C2250" s="4" t="s">
        <v>9</v>
      </c>
      <c r="D2250" s="4" t="s">
        <v>4182</v>
      </c>
      <c r="E2250" s="4" t="s">
        <v>171</v>
      </c>
      <c r="F2250" s="4" t="s">
        <v>168</v>
      </c>
      <c r="G2250" s="4">
        <v>5</v>
      </c>
      <c r="H2250" s="4">
        <v>5</v>
      </c>
      <c r="I2250" s="4" t="s">
        <v>139</v>
      </c>
      <c r="J2250" s="4" t="s">
        <v>184</v>
      </c>
      <c r="K2250" s="4" t="s">
        <v>149</v>
      </c>
      <c r="L2250" s="4" t="s">
        <v>4186</v>
      </c>
      <c r="M2250" s="4"/>
      <c r="N2250" s="4"/>
      <c r="O2250" s="4"/>
      <c r="P2250" s="4"/>
    </row>
    <row r="2251" spans="1:16" ht="15">
      <c r="A2251" s="4" t="s">
        <v>3271</v>
      </c>
      <c r="B2251" s="30">
        <v>40018</v>
      </c>
      <c r="C2251" s="4"/>
      <c r="D2251" s="4" t="s">
        <v>4182</v>
      </c>
      <c r="E2251" s="4" t="s">
        <v>171</v>
      </c>
      <c r="F2251" s="4" t="s">
        <v>168</v>
      </c>
      <c r="G2251" s="4">
        <v>5</v>
      </c>
      <c r="H2251" s="4">
        <v>3</v>
      </c>
      <c r="I2251" s="4" t="s">
        <v>139</v>
      </c>
      <c r="J2251" s="4" t="s">
        <v>184</v>
      </c>
      <c r="K2251" s="4" t="s">
        <v>144</v>
      </c>
      <c r="L2251" s="4" t="s">
        <v>4186</v>
      </c>
      <c r="M2251" s="4"/>
      <c r="N2251" s="4"/>
      <c r="O2251" s="4"/>
      <c r="P2251" s="4"/>
    </row>
    <row r="2252" spans="1:16" ht="15">
      <c r="A2252" s="4" t="s">
        <v>3272</v>
      </c>
      <c r="B2252" s="30">
        <v>40018</v>
      </c>
      <c r="C2252" s="4" t="s">
        <v>380</v>
      </c>
      <c r="D2252" s="4" t="s">
        <v>4182</v>
      </c>
      <c r="E2252" s="4" t="s">
        <v>171</v>
      </c>
      <c r="F2252" s="4" t="s">
        <v>168</v>
      </c>
      <c r="G2252" s="4">
        <v>1</v>
      </c>
      <c r="H2252" s="4">
        <v>2</v>
      </c>
      <c r="I2252" s="4" t="s">
        <v>139</v>
      </c>
      <c r="J2252" s="4" t="s">
        <v>509</v>
      </c>
      <c r="K2252" s="4" t="s">
        <v>144</v>
      </c>
      <c r="L2252" s="4" t="s">
        <v>4186</v>
      </c>
      <c r="M2252" s="4"/>
      <c r="N2252" s="4"/>
      <c r="O2252" s="4"/>
      <c r="P2252" s="4"/>
    </row>
    <row r="2253" spans="1:16" ht="15">
      <c r="A2253" s="4" t="s">
        <v>3273</v>
      </c>
      <c r="B2253" s="30">
        <v>40020</v>
      </c>
      <c r="C2253" s="4" t="s">
        <v>383</v>
      </c>
      <c r="D2253" s="4" t="s">
        <v>4182</v>
      </c>
      <c r="E2253" s="4" t="s">
        <v>171</v>
      </c>
      <c r="F2253" s="4" t="s">
        <v>168</v>
      </c>
      <c r="G2253" s="4">
        <v>5</v>
      </c>
      <c r="H2253" s="4">
        <v>3</v>
      </c>
      <c r="I2253" s="4" t="s">
        <v>139</v>
      </c>
      <c r="J2253" s="4" t="s">
        <v>179</v>
      </c>
      <c r="K2253" s="4" t="s">
        <v>148</v>
      </c>
      <c r="L2253" s="4" t="s">
        <v>4186</v>
      </c>
      <c r="M2253" s="4"/>
      <c r="N2253" s="4"/>
      <c r="O2253" s="4"/>
      <c r="P2253" s="4"/>
    </row>
    <row r="2254" spans="1:16" ht="15">
      <c r="A2254" s="4" t="s">
        <v>3274</v>
      </c>
      <c r="B2254" s="30">
        <v>40021</v>
      </c>
      <c r="C2254" s="4" t="s">
        <v>383</v>
      </c>
      <c r="D2254" s="4" t="s">
        <v>4182</v>
      </c>
      <c r="E2254" s="4" t="s">
        <v>171</v>
      </c>
      <c r="F2254" s="4" t="s">
        <v>168</v>
      </c>
      <c r="G2254" s="4">
        <v>5</v>
      </c>
      <c r="H2254" s="4">
        <v>5</v>
      </c>
      <c r="I2254" s="4" t="s">
        <v>139</v>
      </c>
      <c r="J2254" s="4" t="s">
        <v>178</v>
      </c>
      <c r="K2254" s="4" t="s">
        <v>142</v>
      </c>
      <c r="L2254" s="4" t="s">
        <v>4186</v>
      </c>
      <c r="M2254" s="4"/>
      <c r="N2254" s="4"/>
      <c r="O2254" s="4"/>
      <c r="P2254" s="4"/>
    </row>
    <row r="2255" spans="1:16" ht="15">
      <c r="A2255" s="4" t="s">
        <v>3275</v>
      </c>
      <c r="B2255" s="30">
        <v>40021</v>
      </c>
      <c r="C2255" s="4"/>
      <c r="D2255" s="4" t="s">
        <v>4182</v>
      </c>
      <c r="E2255" s="4" t="s">
        <v>171</v>
      </c>
      <c r="F2255" s="4" t="s">
        <v>168</v>
      </c>
      <c r="G2255" s="4">
        <v>5</v>
      </c>
      <c r="H2255" s="4">
        <v>5</v>
      </c>
      <c r="I2255" s="4" t="s">
        <v>139</v>
      </c>
      <c r="J2255" s="4" t="s">
        <v>184</v>
      </c>
      <c r="K2255" s="4" t="s">
        <v>146</v>
      </c>
      <c r="L2255" s="4" t="s">
        <v>4186</v>
      </c>
      <c r="M2255" s="4"/>
      <c r="N2255" s="4"/>
      <c r="O2255" s="4"/>
      <c r="P2255" s="4"/>
    </row>
    <row r="2256" spans="1:16" ht="15">
      <c r="A2256" s="4" t="s">
        <v>3276</v>
      </c>
      <c r="B2256" s="30">
        <v>40021</v>
      </c>
      <c r="C2256" s="4" t="s">
        <v>383</v>
      </c>
      <c r="D2256" s="4" t="s">
        <v>4182</v>
      </c>
      <c r="E2256" s="4" t="s">
        <v>171</v>
      </c>
      <c r="F2256" s="4" t="s">
        <v>168</v>
      </c>
      <c r="G2256" s="4">
        <v>5</v>
      </c>
      <c r="H2256" s="4">
        <v>2</v>
      </c>
      <c r="I2256" s="4" t="s">
        <v>139</v>
      </c>
      <c r="J2256" s="4" t="s">
        <v>181</v>
      </c>
      <c r="K2256" s="4" t="s">
        <v>146</v>
      </c>
      <c r="L2256" s="4" t="s">
        <v>4186</v>
      </c>
      <c r="M2256" s="4"/>
      <c r="N2256" s="4"/>
      <c r="O2256" s="4"/>
      <c r="P2256" s="4"/>
    </row>
    <row r="2257" spans="1:16" ht="15">
      <c r="A2257" s="4" t="s">
        <v>3277</v>
      </c>
      <c r="B2257" s="30">
        <v>40022</v>
      </c>
      <c r="C2257" s="4" t="s">
        <v>383</v>
      </c>
      <c r="D2257" s="4" t="s">
        <v>4182</v>
      </c>
      <c r="E2257" s="4" t="s">
        <v>171</v>
      </c>
      <c r="F2257" s="4" t="s">
        <v>168</v>
      </c>
      <c r="G2257" s="4">
        <v>5</v>
      </c>
      <c r="H2257" s="4">
        <v>3</v>
      </c>
      <c r="I2257" s="4" t="s">
        <v>139</v>
      </c>
      <c r="J2257" s="4" t="s">
        <v>384</v>
      </c>
      <c r="K2257" s="4" t="s">
        <v>144</v>
      </c>
      <c r="L2257" s="4" t="s">
        <v>4186</v>
      </c>
      <c r="M2257" s="4"/>
      <c r="N2257" s="4"/>
      <c r="O2257" s="4"/>
      <c r="P2257" s="4"/>
    </row>
    <row r="2258" spans="1:16" ht="15">
      <c r="A2258" s="4" t="s">
        <v>3278</v>
      </c>
      <c r="B2258" s="30">
        <v>40023</v>
      </c>
      <c r="C2258" s="4"/>
      <c r="D2258" s="4" t="s">
        <v>4182</v>
      </c>
      <c r="E2258" s="4" t="s">
        <v>171</v>
      </c>
      <c r="F2258" s="4" t="s">
        <v>168</v>
      </c>
      <c r="G2258" s="4">
        <v>5</v>
      </c>
      <c r="H2258" s="4">
        <v>3</v>
      </c>
      <c r="I2258" s="4" t="s">
        <v>139</v>
      </c>
      <c r="J2258" s="4" t="s">
        <v>181</v>
      </c>
      <c r="K2258" s="4" t="s">
        <v>146</v>
      </c>
      <c r="L2258" s="4" t="s">
        <v>4186</v>
      </c>
      <c r="M2258" s="4"/>
      <c r="N2258" s="4"/>
      <c r="O2258" s="4"/>
      <c r="P2258" s="4"/>
    </row>
    <row r="2259" spans="1:16" ht="15">
      <c r="A2259" s="4" t="s">
        <v>3279</v>
      </c>
      <c r="B2259" s="30">
        <v>40023</v>
      </c>
      <c r="C2259" s="4"/>
      <c r="D2259" s="4" t="s">
        <v>4182</v>
      </c>
      <c r="E2259" s="4" t="s">
        <v>171</v>
      </c>
      <c r="F2259" s="4" t="s">
        <v>168</v>
      </c>
      <c r="G2259" s="4">
        <v>5</v>
      </c>
      <c r="H2259" s="4">
        <v>3</v>
      </c>
      <c r="I2259" s="4" t="s">
        <v>139</v>
      </c>
      <c r="J2259" s="4" t="s">
        <v>182</v>
      </c>
      <c r="K2259" s="4" t="s">
        <v>144</v>
      </c>
      <c r="L2259" s="4" t="s">
        <v>4186</v>
      </c>
      <c r="M2259" s="4"/>
      <c r="N2259" s="4"/>
      <c r="O2259" s="4"/>
      <c r="P2259" s="4"/>
    </row>
    <row r="2260" spans="1:16" ht="15">
      <c r="A2260" s="4" t="s">
        <v>3280</v>
      </c>
      <c r="B2260" s="30">
        <v>40026</v>
      </c>
      <c r="C2260" s="4" t="s">
        <v>9</v>
      </c>
      <c r="D2260" s="4" t="s">
        <v>4182</v>
      </c>
      <c r="E2260" s="4" t="s">
        <v>171</v>
      </c>
      <c r="F2260" s="4" t="s">
        <v>168</v>
      </c>
      <c r="G2260" s="4">
        <v>2</v>
      </c>
      <c r="H2260" s="4">
        <v>3</v>
      </c>
      <c r="I2260" s="4" t="s">
        <v>139</v>
      </c>
      <c r="J2260" s="4" t="s">
        <v>186</v>
      </c>
      <c r="K2260" s="4" t="s">
        <v>146</v>
      </c>
      <c r="L2260" s="4" t="s">
        <v>4186</v>
      </c>
      <c r="M2260" s="4"/>
      <c r="N2260" s="4"/>
      <c r="O2260" s="4"/>
      <c r="P2260" s="4"/>
    </row>
    <row r="2261" spans="1:16" ht="15">
      <c r="A2261" s="4" t="s">
        <v>3281</v>
      </c>
      <c r="B2261" s="30">
        <v>40026</v>
      </c>
      <c r="C2261" s="4" t="s">
        <v>9</v>
      </c>
      <c r="D2261" s="4" t="s">
        <v>4182</v>
      </c>
      <c r="E2261" s="4" t="s">
        <v>171</v>
      </c>
      <c r="F2261" s="4" t="s">
        <v>168</v>
      </c>
      <c r="G2261" s="4">
        <v>5</v>
      </c>
      <c r="H2261" s="4">
        <v>5</v>
      </c>
      <c r="I2261" s="4" t="s">
        <v>139</v>
      </c>
      <c r="J2261" s="4" t="s">
        <v>603</v>
      </c>
      <c r="K2261" s="4" t="s">
        <v>144</v>
      </c>
      <c r="L2261" s="4" t="s">
        <v>4186</v>
      </c>
      <c r="M2261" s="4"/>
      <c r="N2261" s="4"/>
      <c r="O2261" s="4"/>
      <c r="P2261" s="4"/>
    </row>
    <row r="2262" spans="1:16" ht="15">
      <c r="A2262" s="4" t="s">
        <v>3282</v>
      </c>
      <c r="B2262" s="30">
        <v>40027</v>
      </c>
      <c r="C2262" s="4" t="s">
        <v>9</v>
      </c>
      <c r="D2262" s="4" t="s">
        <v>4182</v>
      </c>
      <c r="E2262" s="4" t="s">
        <v>171</v>
      </c>
      <c r="F2262" s="4" t="s">
        <v>168</v>
      </c>
      <c r="G2262" s="4">
        <v>3</v>
      </c>
      <c r="H2262" s="4">
        <v>4</v>
      </c>
      <c r="I2262" s="4" t="s">
        <v>139</v>
      </c>
      <c r="J2262" s="4" t="s">
        <v>181</v>
      </c>
      <c r="K2262" s="4" t="s">
        <v>146</v>
      </c>
      <c r="L2262" s="4" t="s">
        <v>4186</v>
      </c>
      <c r="M2262" s="4"/>
      <c r="N2262" s="4"/>
      <c r="O2262" s="4"/>
      <c r="P2262" s="4"/>
    </row>
    <row r="2263" spans="1:16" ht="15">
      <c r="A2263" s="4" t="s">
        <v>3283</v>
      </c>
      <c r="B2263" s="30">
        <v>40028</v>
      </c>
      <c r="C2263" s="4"/>
      <c r="D2263" s="4" t="s">
        <v>4182</v>
      </c>
      <c r="E2263" s="4" t="s">
        <v>171</v>
      </c>
      <c r="F2263" s="4" t="s">
        <v>168</v>
      </c>
      <c r="G2263" s="4"/>
      <c r="H2263" s="4"/>
      <c r="I2263" s="4" t="s">
        <v>139</v>
      </c>
      <c r="J2263" s="4" t="s">
        <v>184</v>
      </c>
      <c r="K2263" s="4" t="s">
        <v>146</v>
      </c>
      <c r="L2263" s="4" t="s">
        <v>4186</v>
      </c>
      <c r="M2263" s="4"/>
      <c r="N2263" s="4"/>
      <c r="O2263" s="4"/>
      <c r="P2263" s="4"/>
    </row>
    <row r="2264" spans="1:16" ht="15">
      <c r="A2264" s="4" t="s">
        <v>3284</v>
      </c>
      <c r="B2264" s="30">
        <v>40028</v>
      </c>
      <c r="C2264" s="4"/>
      <c r="D2264" s="4" t="s">
        <v>4182</v>
      </c>
      <c r="E2264" s="4" t="s">
        <v>171</v>
      </c>
      <c r="F2264" s="4" t="s">
        <v>168</v>
      </c>
      <c r="G2264" s="4">
        <v>2</v>
      </c>
      <c r="H2264" s="4">
        <v>3</v>
      </c>
      <c r="I2264" s="4" t="s">
        <v>139</v>
      </c>
      <c r="J2264" s="4" t="s">
        <v>178</v>
      </c>
      <c r="K2264" s="4" t="s">
        <v>146</v>
      </c>
      <c r="L2264" s="4" t="s">
        <v>4186</v>
      </c>
      <c r="M2264" s="4"/>
      <c r="N2264" s="4"/>
      <c r="O2264" s="4"/>
      <c r="P2264" s="4"/>
    </row>
    <row r="2265" spans="1:16" ht="15">
      <c r="A2265" s="4" t="s">
        <v>3285</v>
      </c>
      <c r="B2265" s="30">
        <v>40029</v>
      </c>
      <c r="C2265" s="4" t="s">
        <v>9</v>
      </c>
      <c r="D2265" s="4" t="s">
        <v>4182</v>
      </c>
      <c r="E2265" s="4" t="s">
        <v>171</v>
      </c>
      <c r="F2265" s="4" t="s">
        <v>168</v>
      </c>
      <c r="G2265" s="4">
        <v>1</v>
      </c>
      <c r="H2265" s="4">
        <v>5</v>
      </c>
      <c r="I2265" s="4" t="s">
        <v>139</v>
      </c>
      <c r="J2265" s="4" t="s">
        <v>433</v>
      </c>
      <c r="K2265" s="4" t="s">
        <v>151</v>
      </c>
      <c r="L2265" s="4" t="s">
        <v>4186</v>
      </c>
      <c r="M2265" s="4"/>
      <c r="N2265" s="4"/>
      <c r="O2265" s="4"/>
      <c r="P2265" s="4"/>
    </row>
    <row r="2266" spans="1:16" ht="15">
      <c r="A2266" s="4" t="s">
        <v>3286</v>
      </c>
      <c r="B2266" s="30">
        <v>40029</v>
      </c>
      <c r="C2266" s="4" t="s">
        <v>496</v>
      </c>
      <c r="D2266" s="4" t="s">
        <v>4182</v>
      </c>
      <c r="E2266" s="4" t="s">
        <v>171</v>
      </c>
      <c r="F2266" s="4" t="s">
        <v>168</v>
      </c>
      <c r="G2266" s="4">
        <v>1</v>
      </c>
      <c r="H2266" s="4">
        <v>5</v>
      </c>
      <c r="I2266" s="4" t="s">
        <v>139</v>
      </c>
      <c r="J2266" s="4" t="s">
        <v>384</v>
      </c>
      <c r="K2266" s="4" t="s">
        <v>145</v>
      </c>
      <c r="L2266" s="4" t="s">
        <v>4186</v>
      </c>
      <c r="M2266" s="4"/>
      <c r="N2266" s="4"/>
      <c r="O2266" s="4"/>
      <c r="P2266" s="4"/>
    </row>
    <row r="2267" spans="1:16" ht="15">
      <c r="A2267" s="4" t="s">
        <v>3287</v>
      </c>
      <c r="B2267" s="30">
        <v>40030</v>
      </c>
      <c r="C2267" s="4"/>
      <c r="D2267" s="4" t="s">
        <v>4182</v>
      </c>
      <c r="E2267" s="4" t="s">
        <v>171</v>
      </c>
      <c r="F2267" s="4" t="s">
        <v>168</v>
      </c>
      <c r="G2267" s="4">
        <v>5</v>
      </c>
      <c r="H2267" s="4">
        <v>5</v>
      </c>
      <c r="I2267" s="4" t="s">
        <v>139</v>
      </c>
      <c r="J2267" s="4" t="s">
        <v>509</v>
      </c>
      <c r="K2267" s="4" t="s">
        <v>143</v>
      </c>
      <c r="L2267" s="4" t="s">
        <v>4186</v>
      </c>
      <c r="M2267" s="4"/>
      <c r="N2267" s="4"/>
      <c r="O2267" s="4"/>
      <c r="P2267" s="4"/>
    </row>
    <row r="2268" spans="1:16" ht="15">
      <c r="A2268" s="4" t="s">
        <v>3288</v>
      </c>
      <c r="B2268" s="30">
        <v>40030</v>
      </c>
      <c r="C2268" s="4"/>
      <c r="D2268" s="4" t="s">
        <v>4182</v>
      </c>
      <c r="E2268" s="4" t="s">
        <v>171</v>
      </c>
      <c r="F2268" s="4" t="s">
        <v>168</v>
      </c>
      <c r="G2268" s="4">
        <v>5</v>
      </c>
      <c r="H2268" s="4">
        <v>4</v>
      </c>
      <c r="I2268" s="4" t="s">
        <v>139</v>
      </c>
      <c r="J2268" s="4" t="s">
        <v>179</v>
      </c>
      <c r="K2268" s="4" t="s">
        <v>145</v>
      </c>
      <c r="L2268" s="4" t="s">
        <v>4186</v>
      </c>
      <c r="M2268" s="4"/>
      <c r="N2268" s="4"/>
      <c r="O2268" s="4"/>
      <c r="P2268" s="4"/>
    </row>
    <row r="2269" spans="1:16" ht="15">
      <c r="A2269" s="4" t="s">
        <v>3289</v>
      </c>
      <c r="B2269" s="30">
        <v>40032</v>
      </c>
      <c r="C2269" s="4"/>
      <c r="D2269" s="4" t="s">
        <v>4182</v>
      </c>
      <c r="E2269" s="4" t="s">
        <v>171</v>
      </c>
      <c r="F2269" s="4" t="s">
        <v>168</v>
      </c>
      <c r="G2269" s="4">
        <v>5</v>
      </c>
      <c r="H2269" s="4">
        <v>5</v>
      </c>
      <c r="I2269" s="4" t="s">
        <v>139</v>
      </c>
      <c r="J2269" s="4" t="s">
        <v>184</v>
      </c>
      <c r="K2269" s="4" t="s">
        <v>145</v>
      </c>
      <c r="L2269" s="4" t="s">
        <v>4186</v>
      </c>
      <c r="M2269" s="4"/>
      <c r="N2269" s="4"/>
      <c r="O2269" s="4"/>
      <c r="P2269" s="4"/>
    </row>
    <row r="2270" spans="1:16" ht="15">
      <c r="A2270" s="4" t="s">
        <v>3290</v>
      </c>
      <c r="B2270" s="30">
        <v>40033</v>
      </c>
      <c r="C2270" s="4"/>
      <c r="D2270" s="4" t="s">
        <v>4182</v>
      </c>
      <c r="E2270" s="4" t="s">
        <v>171</v>
      </c>
      <c r="F2270" s="4" t="s">
        <v>168</v>
      </c>
      <c r="G2270" s="4">
        <v>1</v>
      </c>
      <c r="H2270" s="4">
        <v>5</v>
      </c>
      <c r="I2270" s="4" t="s">
        <v>139</v>
      </c>
      <c r="J2270" s="4" t="s">
        <v>188</v>
      </c>
      <c r="K2270" s="4" t="s">
        <v>145</v>
      </c>
      <c r="L2270" s="4" t="s">
        <v>4186</v>
      </c>
      <c r="M2270" s="4"/>
      <c r="N2270" s="4"/>
      <c r="O2270" s="4"/>
      <c r="P2270" s="4"/>
    </row>
    <row r="2271" spans="1:16" ht="15">
      <c r="A2271" s="4" t="s">
        <v>3291</v>
      </c>
      <c r="B2271" s="30">
        <v>40034</v>
      </c>
      <c r="C2271" s="4"/>
      <c r="D2271" s="4" t="s">
        <v>4182</v>
      </c>
      <c r="E2271" s="4" t="s">
        <v>171</v>
      </c>
      <c r="F2271" s="4" t="s">
        <v>168</v>
      </c>
      <c r="G2271" s="4">
        <v>5</v>
      </c>
      <c r="H2271" s="4">
        <v>5</v>
      </c>
      <c r="I2271" s="4" t="s">
        <v>139</v>
      </c>
      <c r="J2271" s="4" t="s">
        <v>182</v>
      </c>
      <c r="K2271" s="4" t="s">
        <v>146</v>
      </c>
      <c r="L2271" s="4" t="s">
        <v>4186</v>
      </c>
      <c r="M2271" s="4"/>
      <c r="N2271" s="4"/>
      <c r="O2271" s="4"/>
      <c r="P2271" s="4"/>
    </row>
    <row r="2272" spans="1:16" ht="15">
      <c r="A2272" s="4" t="s">
        <v>3292</v>
      </c>
      <c r="B2272" s="30">
        <v>40035</v>
      </c>
      <c r="C2272" s="4" t="s">
        <v>9</v>
      </c>
      <c r="D2272" s="4" t="s">
        <v>4182</v>
      </c>
      <c r="E2272" s="4" t="s">
        <v>171</v>
      </c>
      <c r="F2272" s="4" t="s">
        <v>168</v>
      </c>
      <c r="G2272" s="4">
        <v>2</v>
      </c>
      <c r="H2272" s="4">
        <v>3</v>
      </c>
      <c r="I2272" s="4" t="s">
        <v>139</v>
      </c>
      <c r="J2272" s="4" t="s">
        <v>178</v>
      </c>
      <c r="K2272" s="4" t="s">
        <v>145</v>
      </c>
      <c r="L2272" s="4" t="s">
        <v>4186</v>
      </c>
      <c r="M2272" s="4"/>
      <c r="N2272" s="4"/>
      <c r="O2272" s="4"/>
      <c r="P2272" s="4"/>
    </row>
    <row r="2273" spans="1:16" ht="15">
      <c r="A2273" s="4" t="s">
        <v>3293</v>
      </c>
      <c r="B2273" s="30">
        <v>40035</v>
      </c>
      <c r="C2273" s="4" t="s">
        <v>383</v>
      </c>
      <c r="D2273" s="4" t="s">
        <v>4182</v>
      </c>
      <c r="E2273" s="4" t="s">
        <v>171</v>
      </c>
      <c r="F2273" s="4" t="s">
        <v>168</v>
      </c>
      <c r="G2273" s="4">
        <v>1</v>
      </c>
      <c r="H2273" s="4">
        <v>2</v>
      </c>
      <c r="I2273" s="4" t="s">
        <v>139</v>
      </c>
      <c r="J2273" s="4" t="s">
        <v>182</v>
      </c>
      <c r="K2273" s="4" t="s">
        <v>143</v>
      </c>
      <c r="L2273" s="4" t="s">
        <v>4186</v>
      </c>
      <c r="M2273" s="4"/>
      <c r="N2273" s="4"/>
      <c r="O2273" s="4"/>
      <c r="P2273" s="4"/>
    </row>
    <row r="2274" spans="1:16" ht="15">
      <c r="A2274" s="4" t="s">
        <v>3294</v>
      </c>
      <c r="B2274" s="30">
        <v>40036</v>
      </c>
      <c r="C2274" s="4"/>
      <c r="D2274" s="4" t="s">
        <v>4182</v>
      </c>
      <c r="E2274" s="4" t="s">
        <v>171</v>
      </c>
      <c r="F2274" s="4" t="s">
        <v>168</v>
      </c>
      <c r="G2274" s="4">
        <v>4</v>
      </c>
      <c r="H2274" s="4">
        <v>2</v>
      </c>
      <c r="I2274" s="4" t="s">
        <v>139</v>
      </c>
      <c r="J2274" s="4" t="s">
        <v>180</v>
      </c>
      <c r="K2274" s="4" t="s">
        <v>149</v>
      </c>
      <c r="L2274" s="4" t="s">
        <v>4186</v>
      </c>
      <c r="M2274" s="4"/>
      <c r="N2274" s="4"/>
      <c r="O2274" s="4"/>
      <c r="P2274" s="4"/>
    </row>
    <row r="2275" spans="1:16" ht="15">
      <c r="A2275" s="4" t="s">
        <v>3295</v>
      </c>
      <c r="B2275" s="30">
        <v>40037</v>
      </c>
      <c r="C2275" s="4"/>
      <c r="D2275" s="4" t="s">
        <v>4182</v>
      </c>
      <c r="E2275" s="4" t="s">
        <v>171</v>
      </c>
      <c r="F2275" s="4" t="s">
        <v>168</v>
      </c>
      <c r="G2275" s="4">
        <v>5</v>
      </c>
      <c r="H2275" s="4">
        <v>5</v>
      </c>
      <c r="I2275" s="4" t="s">
        <v>139</v>
      </c>
      <c r="J2275" s="4" t="s">
        <v>447</v>
      </c>
      <c r="K2275" s="4" t="s">
        <v>145</v>
      </c>
      <c r="L2275" s="4" t="s">
        <v>4186</v>
      </c>
      <c r="M2275" s="4"/>
      <c r="N2275" s="4"/>
      <c r="O2275" s="4"/>
      <c r="P2275" s="4"/>
    </row>
    <row r="2276" spans="1:16" ht="15">
      <c r="A2276" s="4" t="s">
        <v>3296</v>
      </c>
      <c r="B2276" s="30">
        <v>40038</v>
      </c>
      <c r="C2276" s="4" t="s">
        <v>9</v>
      </c>
      <c r="D2276" s="4" t="s">
        <v>4182</v>
      </c>
      <c r="E2276" s="4" t="s">
        <v>171</v>
      </c>
      <c r="F2276" s="4" t="s">
        <v>168</v>
      </c>
      <c r="G2276" s="4">
        <v>5</v>
      </c>
      <c r="H2276" s="4">
        <v>3</v>
      </c>
      <c r="I2276" s="4" t="s">
        <v>139</v>
      </c>
      <c r="J2276" s="4" t="s">
        <v>180</v>
      </c>
      <c r="K2276" s="4" t="s">
        <v>146</v>
      </c>
      <c r="L2276" s="4" t="s">
        <v>4186</v>
      </c>
      <c r="M2276" s="4"/>
      <c r="N2276" s="4"/>
      <c r="O2276" s="4"/>
      <c r="P2276" s="4"/>
    </row>
    <row r="2277" spans="1:16" ht="15">
      <c r="A2277" s="4" t="s">
        <v>3297</v>
      </c>
      <c r="B2277" s="30">
        <v>40042</v>
      </c>
      <c r="C2277" s="4"/>
      <c r="D2277" s="4" t="s">
        <v>4182</v>
      </c>
      <c r="E2277" s="4" t="s">
        <v>171</v>
      </c>
      <c r="F2277" s="4" t="s">
        <v>168</v>
      </c>
      <c r="G2277" s="4">
        <v>5</v>
      </c>
      <c r="H2277" s="4">
        <v>3</v>
      </c>
      <c r="I2277" s="4" t="s">
        <v>139</v>
      </c>
      <c r="J2277" s="4" t="s">
        <v>191</v>
      </c>
      <c r="K2277" s="4" t="s">
        <v>145</v>
      </c>
      <c r="L2277" s="4" t="s">
        <v>4186</v>
      </c>
      <c r="M2277" s="4"/>
      <c r="N2277" s="4"/>
      <c r="O2277" s="4"/>
      <c r="P2277" s="4"/>
    </row>
    <row r="2278" spans="1:16" ht="15">
      <c r="A2278" s="4" t="s">
        <v>3298</v>
      </c>
      <c r="B2278" s="30">
        <v>40042</v>
      </c>
      <c r="C2278" s="4"/>
      <c r="D2278" s="4" t="s">
        <v>4182</v>
      </c>
      <c r="E2278" s="4" t="s">
        <v>171</v>
      </c>
      <c r="F2278" s="4" t="s">
        <v>168</v>
      </c>
      <c r="G2278" s="4">
        <v>5</v>
      </c>
      <c r="H2278" s="4">
        <v>5</v>
      </c>
      <c r="I2278" s="4" t="s">
        <v>139</v>
      </c>
      <c r="J2278" s="4" t="s">
        <v>181</v>
      </c>
      <c r="K2278" s="4" t="s">
        <v>150</v>
      </c>
      <c r="L2278" s="4" t="s">
        <v>4186</v>
      </c>
      <c r="M2278" s="4"/>
      <c r="N2278" s="4"/>
      <c r="O2278" s="4"/>
      <c r="P2278" s="4"/>
    </row>
    <row r="2279" spans="1:16" ht="15">
      <c r="A2279" s="4" t="s">
        <v>3299</v>
      </c>
      <c r="B2279" s="30">
        <v>40043</v>
      </c>
      <c r="C2279" s="4" t="s">
        <v>383</v>
      </c>
      <c r="D2279" s="4" t="s">
        <v>4182</v>
      </c>
      <c r="E2279" s="4" t="s">
        <v>171</v>
      </c>
      <c r="F2279" s="4" t="s">
        <v>168</v>
      </c>
      <c r="G2279" s="4">
        <v>5</v>
      </c>
      <c r="H2279" s="4">
        <v>5</v>
      </c>
      <c r="I2279" s="4" t="s">
        <v>139</v>
      </c>
      <c r="J2279" s="4" t="s">
        <v>189</v>
      </c>
      <c r="K2279" s="4" t="s">
        <v>144</v>
      </c>
      <c r="L2279" s="4" t="s">
        <v>4186</v>
      </c>
      <c r="M2279" s="4"/>
      <c r="N2279" s="4"/>
      <c r="O2279" s="4"/>
      <c r="P2279" s="4"/>
    </row>
    <row r="2280" spans="1:16" ht="15">
      <c r="A2280" s="4" t="s">
        <v>3300</v>
      </c>
      <c r="B2280" s="30">
        <v>40043</v>
      </c>
      <c r="C2280" s="4" t="s">
        <v>380</v>
      </c>
      <c r="D2280" s="4" t="s">
        <v>4182</v>
      </c>
      <c r="E2280" s="4" t="s">
        <v>171</v>
      </c>
      <c r="F2280" s="4" t="s">
        <v>168</v>
      </c>
      <c r="G2280" s="4">
        <v>5</v>
      </c>
      <c r="H2280" s="4">
        <v>3</v>
      </c>
      <c r="I2280" s="4" t="s">
        <v>139</v>
      </c>
      <c r="J2280" s="4" t="s">
        <v>191</v>
      </c>
      <c r="K2280" s="4" t="s">
        <v>145</v>
      </c>
      <c r="L2280" s="4" t="s">
        <v>4186</v>
      </c>
      <c r="M2280" s="4"/>
      <c r="N2280" s="4"/>
      <c r="O2280" s="4"/>
      <c r="P2280" s="4"/>
    </row>
    <row r="2281" spans="1:16" ht="15">
      <c r="A2281" s="4" t="s">
        <v>3301</v>
      </c>
      <c r="B2281" s="30">
        <v>40043</v>
      </c>
      <c r="C2281" s="4" t="s">
        <v>383</v>
      </c>
      <c r="D2281" s="4" t="s">
        <v>4182</v>
      </c>
      <c r="E2281" s="4" t="s">
        <v>171</v>
      </c>
      <c r="F2281" s="4" t="s">
        <v>168</v>
      </c>
      <c r="G2281" s="4">
        <v>5</v>
      </c>
      <c r="H2281" s="4">
        <v>5</v>
      </c>
      <c r="I2281" s="4" t="s">
        <v>139</v>
      </c>
      <c r="J2281" s="4" t="s">
        <v>178</v>
      </c>
      <c r="K2281" s="4" t="s">
        <v>145</v>
      </c>
      <c r="L2281" s="4" t="s">
        <v>4186</v>
      </c>
      <c r="M2281" s="4"/>
      <c r="N2281" s="4"/>
      <c r="O2281" s="4"/>
      <c r="P2281" s="4"/>
    </row>
    <row r="2282" spans="1:16" ht="15">
      <c r="A2282" s="4" t="s">
        <v>3302</v>
      </c>
      <c r="B2282" s="30">
        <v>40043</v>
      </c>
      <c r="C2282" s="4"/>
      <c r="D2282" s="4" t="s">
        <v>4182</v>
      </c>
      <c r="E2282" s="4" t="s">
        <v>171</v>
      </c>
      <c r="F2282" s="4" t="s">
        <v>168</v>
      </c>
      <c r="G2282" s="4">
        <v>5</v>
      </c>
      <c r="H2282" s="4">
        <v>3</v>
      </c>
      <c r="I2282" s="4" t="s">
        <v>139</v>
      </c>
      <c r="J2282" s="4" t="s">
        <v>178</v>
      </c>
      <c r="K2282" s="4" t="s">
        <v>150</v>
      </c>
      <c r="L2282" s="4" t="s">
        <v>4186</v>
      </c>
      <c r="M2282" s="4"/>
      <c r="N2282" s="4"/>
      <c r="O2282" s="4"/>
      <c r="P2282" s="4"/>
    </row>
    <row r="2283" spans="1:16" ht="15">
      <c r="A2283" s="4" t="s">
        <v>3303</v>
      </c>
      <c r="B2283" s="30">
        <v>40044</v>
      </c>
      <c r="C2283" s="4" t="s">
        <v>9</v>
      </c>
      <c r="D2283" s="4" t="s">
        <v>4182</v>
      </c>
      <c r="E2283" s="4" t="s">
        <v>171</v>
      </c>
      <c r="F2283" s="4" t="s">
        <v>168</v>
      </c>
      <c r="G2283" s="4">
        <v>5</v>
      </c>
      <c r="H2283" s="4">
        <v>5</v>
      </c>
      <c r="I2283" s="4" t="s">
        <v>139</v>
      </c>
      <c r="J2283" s="4" t="s">
        <v>191</v>
      </c>
      <c r="K2283" s="4" t="s">
        <v>146</v>
      </c>
      <c r="L2283" s="4" t="s">
        <v>4186</v>
      </c>
      <c r="M2283" s="4"/>
      <c r="N2283" s="4"/>
      <c r="O2283" s="4"/>
      <c r="P2283" s="4"/>
    </row>
    <row r="2284" spans="1:16" ht="15">
      <c r="A2284" s="4" t="s">
        <v>3304</v>
      </c>
      <c r="B2284" s="30">
        <v>40044</v>
      </c>
      <c r="C2284" s="4" t="s">
        <v>496</v>
      </c>
      <c r="D2284" s="4" t="s">
        <v>4182</v>
      </c>
      <c r="E2284" s="4" t="s">
        <v>171</v>
      </c>
      <c r="F2284" s="4" t="s">
        <v>168</v>
      </c>
      <c r="G2284" s="4">
        <v>5</v>
      </c>
      <c r="H2284" s="4">
        <v>3</v>
      </c>
      <c r="I2284" s="4" t="s">
        <v>139</v>
      </c>
      <c r="J2284" s="4" t="s">
        <v>179</v>
      </c>
      <c r="K2284" s="4" t="s">
        <v>148</v>
      </c>
      <c r="L2284" s="4" t="s">
        <v>4186</v>
      </c>
      <c r="M2284" s="4"/>
      <c r="N2284" s="4"/>
      <c r="O2284" s="4"/>
      <c r="P2284" s="4"/>
    </row>
    <row r="2285" spans="1:16" ht="15">
      <c r="A2285" s="4" t="s">
        <v>3305</v>
      </c>
      <c r="B2285" s="30">
        <v>40045</v>
      </c>
      <c r="C2285" s="4" t="s">
        <v>496</v>
      </c>
      <c r="D2285" s="4" t="s">
        <v>4182</v>
      </c>
      <c r="E2285" s="4" t="s">
        <v>171</v>
      </c>
      <c r="F2285" s="4" t="s">
        <v>168</v>
      </c>
      <c r="G2285" s="4">
        <v>5</v>
      </c>
      <c r="H2285" s="4">
        <v>3</v>
      </c>
      <c r="I2285" s="4" t="s">
        <v>139</v>
      </c>
      <c r="J2285" s="4" t="s">
        <v>178</v>
      </c>
      <c r="K2285" s="4" t="s">
        <v>148</v>
      </c>
      <c r="L2285" s="4" t="s">
        <v>4186</v>
      </c>
      <c r="M2285" s="4"/>
      <c r="N2285" s="4"/>
      <c r="O2285" s="4"/>
      <c r="P2285" s="4"/>
    </row>
    <row r="2286" spans="1:16" ht="15">
      <c r="A2286" s="4" t="s">
        <v>3306</v>
      </c>
      <c r="B2286" s="30">
        <v>40047</v>
      </c>
      <c r="C2286" s="4"/>
      <c r="D2286" s="4" t="s">
        <v>4182</v>
      </c>
      <c r="E2286" s="4" t="s">
        <v>171</v>
      </c>
      <c r="F2286" s="4" t="s">
        <v>168</v>
      </c>
      <c r="G2286" s="4">
        <v>5</v>
      </c>
      <c r="H2286" s="4">
        <v>4</v>
      </c>
      <c r="I2286" s="4" t="s">
        <v>139</v>
      </c>
      <c r="J2286" s="4" t="s">
        <v>179</v>
      </c>
      <c r="K2286" s="4" t="s">
        <v>144</v>
      </c>
      <c r="L2286" s="4" t="s">
        <v>4186</v>
      </c>
      <c r="M2286" s="4"/>
      <c r="N2286" s="4"/>
      <c r="O2286" s="4"/>
      <c r="P2286" s="4"/>
    </row>
    <row r="2287" spans="1:16" ht="15">
      <c r="A2287" s="4" t="s">
        <v>3307</v>
      </c>
      <c r="B2287" s="30">
        <v>40049</v>
      </c>
      <c r="C2287" s="4"/>
      <c r="D2287" s="4" t="s">
        <v>4182</v>
      </c>
      <c r="E2287" s="4" t="s">
        <v>171</v>
      </c>
      <c r="F2287" s="4" t="s">
        <v>168</v>
      </c>
      <c r="G2287" s="4">
        <v>5</v>
      </c>
      <c r="H2287" s="4">
        <v>4</v>
      </c>
      <c r="I2287" s="4" t="s">
        <v>139</v>
      </c>
      <c r="J2287" s="4" t="s">
        <v>186</v>
      </c>
      <c r="K2287" s="4" t="s">
        <v>146</v>
      </c>
      <c r="L2287" s="4" t="s">
        <v>4186</v>
      </c>
      <c r="M2287" s="4"/>
      <c r="N2287" s="4"/>
      <c r="O2287" s="4"/>
      <c r="P2287" s="4"/>
    </row>
    <row r="2288" spans="1:16" ht="15">
      <c r="A2288" s="4" t="s">
        <v>3308</v>
      </c>
      <c r="B2288" s="30">
        <v>40050</v>
      </c>
      <c r="C2288" s="4"/>
      <c r="D2288" s="4" t="s">
        <v>4182</v>
      </c>
      <c r="E2288" s="4" t="s">
        <v>171</v>
      </c>
      <c r="F2288" s="4" t="s">
        <v>168</v>
      </c>
      <c r="G2288" s="4">
        <v>5</v>
      </c>
      <c r="H2288" s="4">
        <v>2</v>
      </c>
      <c r="I2288" s="4" t="s">
        <v>139</v>
      </c>
      <c r="J2288" s="4" t="s">
        <v>179</v>
      </c>
      <c r="K2288" s="4" t="s">
        <v>146</v>
      </c>
      <c r="L2288" s="4" t="s">
        <v>4186</v>
      </c>
      <c r="M2288" s="4"/>
      <c r="N2288" s="4"/>
      <c r="O2288" s="4"/>
      <c r="P2288" s="4"/>
    </row>
    <row r="2289" spans="1:16" ht="15">
      <c r="A2289" s="4" t="s">
        <v>3309</v>
      </c>
      <c r="B2289" s="30">
        <v>40050</v>
      </c>
      <c r="C2289" s="4" t="s">
        <v>525</v>
      </c>
      <c r="D2289" s="4" t="s">
        <v>4182</v>
      </c>
      <c r="E2289" s="4" t="s">
        <v>171</v>
      </c>
      <c r="F2289" s="4" t="s">
        <v>168</v>
      </c>
      <c r="G2289" s="4">
        <v>3</v>
      </c>
      <c r="H2289" s="4">
        <v>3</v>
      </c>
      <c r="I2289" s="4" t="s">
        <v>139</v>
      </c>
      <c r="J2289" s="4" t="s">
        <v>185</v>
      </c>
      <c r="K2289" s="4" t="s">
        <v>146</v>
      </c>
      <c r="L2289" s="4" t="s">
        <v>4186</v>
      </c>
      <c r="M2289" s="4"/>
      <c r="N2289" s="4"/>
      <c r="O2289" s="4"/>
      <c r="P2289" s="4"/>
    </row>
    <row r="2290" spans="1:16" ht="15">
      <c r="A2290" s="4" t="s">
        <v>3310</v>
      </c>
      <c r="B2290" s="30">
        <v>40051</v>
      </c>
      <c r="C2290" s="4"/>
      <c r="D2290" s="4" t="s">
        <v>4182</v>
      </c>
      <c r="E2290" s="4" t="s">
        <v>171</v>
      </c>
      <c r="F2290" s="4" t="s">
        <v>168</v>
      </c>
      <c r="G2290" s="4">
        <v>5</v>
      </c>
      <c r="H2290" s="4">
        <v>3</v>
      </c>
      <c r="I2290" s="4" t="s">
        <v>139</v>
      </c>
      <c r="J2290" s="4" t="s">
        <v>179</v>
      </c>
      <c r="K2290" s="4" t="s">
        <v>145</v>
      </c>
      <c r="L2290" s="4" t="s">
        <v>4186</v>
      </c>
      <c r="M2290" s="4"/>
      <c r="N2290" s="4"/>
      <c r="O2290" s="4"/>
      <c r="P2290" s="4"/>
    </row>
    <row r="2291" spans="1:16" ht="15">
      <c r="A2291" s="4" t="s">
        <v>3311</v>
      </c>
      <c r="B2291" s="30">
        <v>40052</v>
      </c>
      <c r="C2291" s="4" t="s">
        <v>380</v>
      </c>
      <c r="D2291" s="4" t="s">
        <v>4182</v>
      </c>
      <c r="E2291" s="4" t="s">
        <v>171</v>
      </c>
      <c r="F2291" s="4" t="s">
        <v>168</v>
      </c>
      <c r="G2291" s="4">
        <v>5</v>
      </c>
      <c r="H2291" s="4">
        <v>5</v>
      </c>
      <c r="I2291" s="4" t="s">
        <v>139</v>
      </c>
      <c r="J2291" s="4" t="s">
        <v>180</v>
      </c>
      <c r="K2291" s="4" t="s">
        <v>143</v>
      </c>
      <c r="L2291" s="4" t="s">
        <v>4186</v>
      </c>
      <c r="M2291" s="4"/>
      <c r="N2291" s="4"/>
      <c r="O2291" s="4"/>
      <c r="P2291" s="4"/>
    </row>
    <row r="2292" spans="1:16" ht="15">
      <c r="A2292" s="4" t="s">
        <v>3312</v>
      </c>
      <c r="B2292" s="30">
        <v>40053</v>
      </c>
      <c r="C2292" s="4"/>
      <c r="D2292" s="4" t="s">
        <v>4182</v>
      </c>
      <c r="E2292" s="4" t="s">
        <v>171</v>
      </c>
      <c r="F2292" s="4" t="s">
        <v>168</v>
      </c>
      <c r="G2292" s="4">
        <v>5</v>
      </c>
      <c r="H2292" s="4">
        <v>3</v>
      </c>
      <c r="I2292" s="4" t="s">
        <v>139</v>
      </c>
      <c r="J2292" s="4" t="s">
        <v>185</v>
      </c>
      <c r="K2292" s="4" t="s">
        <v>150</v>
      </c>
      <c r="L2292" s="4" t="s">
        <v>4186</v>
      </c>
      <c r="M2292" s="4"/>
      <c r="N2292" s="4"/>
      <c r="O2292" s="4"/>
      <c r="P2292" s="4"/>
    </row>
    <row r="2293" spans="1:16" ht="15">
      <c r="A2293" s="4" t="s">
        <v>3313</v>
      </c>
      <c r="B2293" s="30">
        <v>40054</v>
      </c>
      <c r="C2293" s="4"/>
      <c r="D2293" s="4" t="s">
        <v>4182</v>
      </c>
      <c r="E2293" s="4" t="s">
        <v>171</v>
      </c>
      <c r="F2293" s="4" t="s">
        <v>168</v>
      </c>
      <c r="G2293" s="4">
        <v>5</v>
      </c>
      <c r="H2293" s="4">
        <v>3</v>
      </c>
      <c r="I2293" s="4" t="s">
        <v>139</v>
      </c>
      <c r="J2293" s="4" t="s">
        <v>181</v>
      </c>
      <c r="K2293" s="4" t="s">
        <v>146</v>
      </c>
      <c r="L2293" s="4" t="s">
        <v>4186</v>
      </c>
      <c r="M2293" s="4"/>
      <c r="N2293" s="4"/>
      <c r="O2293" s="4"/>
      <c r="P2293" s="4"/>
    </row>
    <row r="2294" spans="1:16" ht="15">
      <c r="A2294" s="4" t="s">
        <v>3314</v>
      </c>
      <c r="B2294" s="30">
        <v>40055</v>
      </c>
      <c r="C2294" s="4"/>
      <c r="D2294" s="4" t="s">
        <v>4182</v>
      </c>
      <c r="E2294" s="4" t="s">
        <v>171</v>
      </c>
      <c r="F2294" s="4" t="s">
        <v>168</v>
      </c>
      <c r="G2294" s="4">
        <v>5</v>
      </c>
      <c r="H2294" s="4">
        <v>5</v>
      </c>
      <c r="I2294" s="4" t="s">
        <v>139</v>
      </c>
      <c r="J2294" s="4" t="s">
        <v>181</v>
      </c>
      <c r="K2294" s="4" t="s">
        <v>145</v>
      </c>
      <c r="L2294" s="4" t="s">
        <v>4186</v>
      </c>
      <c r="M2294" s="4"/>
      <c r="N2294" s="4"/>
      <c r="O2294" s="4"/>
      <c r="P2294" s="4"/>
    </row>
    <row r="2295" spans="1:16" ht="15">
      <c r="A2295" s="4" t="s">
        <v>3315</v>
      </c>
      <c r="B2295" s="30">
        <v>40057</v>
      </c>
      <c r="C2295" s="4"/>
      <c r="D2295" s="4" t="s">
        <v>4182</v>
      </c>
      <c r="E2295" s="4" t="s">
        <v>171</v>
      </c>
      <c r="F2295" s="4" t="s">
        <v>168</v>
      </c>
      <c r="G2295" s="4">
        <v>1</v>
      </c>
      <c r="H2295" s="4">
        <v>5</v>
      </c>
      <c r="I2295" s="4" t="s">
        <v>139</v>
      </c>
      <c r="J2295" s="4" t="s">
        <v>180</v>
      </c>
      <c r="K2295" s="4" t="s">
        <v>145</v>
      </c>
      <c r="L2295" s="4" t="s">
        <v>4186</v>
      </c>
      <c r="M2295" s="4"/>
      <c r="N2295" s="4"/>
      <c r="O2295" s="4"/>
      <c r="P2295" s="4"/>
    </row>
    <row r="2296" spans="1:16" ht="15">
      <c r="A2296" s="4" t="s">
        <v>3316</v>
      </c>
      <c r="B2296" s="30">
        <v>40057</v>
      </c>
      <c r="C2296" s="4"/>
      <c r="D2296" s="4" t="s">
        <v>4182</v>
      </c>
      <c r="E2296" s="4" t="s">
        <v>171</v>
      </c>
      <c r="F2296" s="4" t="s">
        <v>168</v>
      </c>
      <c r="G2296" s="4">
        <v>1</v>
      </c>
      <c r="H2296" s="4">
        <v>3</v>
      </c>
      <c r="I2296" s="4" t="s">
        <v>139</v>
      </c>
      <c r="J2296" s="4" t="s">
        <v>179</v>
      </c>
      <c r="K2296" s="4" t="s">
        <v>146</v>
      </c>
      <c r="L2296" s="4" t="s">
        <v>4186</v>
      </c>
      <c r="M2296" s="4"/>
      <c r="N2296" s="4"/>
      <c r="O2296" s="4"/>
      <c r="P2296" s="4"/>
    </row>
    <row r="2297" spans="1:16" ht="15">
      <c r="A2297" s="4" t="s">
        <v>3317</v>
      </c>
      <c r="B2297" s="30">
        <v>40059</v>
      </c>
      <c r="C2297" s="4"/>
      <c r="D2297" s="4" t="s">
        <v>4182</v>
      </c>
      <c r="E2297" s="4" t="s">
        <v>171</v>
      </c>
      <c r="F2297" s="4" t="s">
        <v>168</v>
      </c>
      <c r="G2297" s="4">
        <v>5</v>
      </c>
      <c r="H2297" s="4">
        <v>3</v>
      </c>
      <c r="I2297" s="4" t="s">
        <v>139</v>
      </c>
      <c r="J2297" s="4" t="s">
        <v>184</v>
      </c>
      <c r="K2297" s="4" t="s">
        <v>143</v>
      </c>
      <c r="L2297" s="4" t="s">
        <v>4186</v>
      </c>
      <c r="M2297" s="4"/>
      <c r="N2297" s="4"/>
      <c r="O2297" s="4"/>
      <c r="P2297" s="4"/>
    </row>
    <row r="2298" spans="1:16" ht="15">
      <c r="A2298" s="4" t="s">
        <v>3318</v>
      </c>
      <c r="B2298" s="30">
        <v>40059</v>
      </c>
      <c r="C2298" s="4"/>
      <c r="D2298" s="4" t="s">
        <v>4182</v>
      </c>
      <c r="E2298" s="4" t="s">
        <v>171</v>
      </c>
      <c r="F2298" s="4" t="s">
        <v>168</v>
      </c>
      <c r="G2298" s="4">
        <v>5</v>
      </c>
      <c r="H2298" s="4">
        <v>3</v>
      </c>
      <c r="I2298" s="4" t="s">
        <v>139</v>
      </c>
      <c r="J2298" s="4" t="s">
        <v>384</v>
      </c>
      <c r="K2298" s="4" t="s">
        <v>142</v>
      </c>
      <c r="L2298" s="4" t="s">
        <v>4186</v>
      </c>
      <c r="M2298" s="4"/>
      <c r="N2298" s="4"/>
      <c r="O2298" s="4"/>
      <c r="P2298" s="4"/>
    </row>
    <row r="2299" spans="1:16" ht="15">
      <c r="A2299" s="4" t="s">
        <v>3319</v>
      </c>
      <c r="B2299" s="30">
        <v>40061</v>
      </c>
      <c r="C2299" s="4" t="s">
        <v>9</v>
      </c>
      <c r="D2299" s="4" t="s">
        <v>4182</v>
      </c>
      <c r="E2299" s="4" t="s">
        <v>171</v>
      </c>
      <c r="F2299" s="4" t="s">
        <v>168</v>
      </c>
      <c r="G2299" s="4">
        <v>5</v>
      </c>
      <c r="H2299" s="4">
        <v>3</v>
      </c>
      <c r="I2299" s="4" t="s">
        <v>139</v>
      </c>
      <c r="J2299" s="4" t="s">
        <v>178</v>
      </c>
      <c r="K2299" s="4" t="s">
        <v>146</v>
      </c>
      <c r="L2299" s="4" t="s">
        <v>4186</v>
      </c>
      <c r="M2299" s="4"/>
      <c r="N2299" s="4"/>
      <c r="O2299" s="4"/>
      <c r="P2299" s="4"/>
    </row>
    <row r="2300" spans="1:16" ht="15">
      <c r="A2300" s="4" t="s">
        <v>3320</v>
      </c>
      <c r="B2300" s="30">
        <v>40064</v>
      </c>
      <c r="C2300" s="4"/>
      <c r="D2300" s="4" t="s">
        <v>4182</v>
      </c>
      <c r="E2300" s="4" t="s">
        <v>171</v>
      </c>
      <c r="F2300" s="4" t="s">
        <v>168</v>
      </c>
      <c r="G2300" s="4">
        <v>5</v>
      </c>
      <c r="H2300" s="4">
        <v>3</v>
      </c>
      <c r="I2300" s="4" t="s">
        <v>139</v>
      </c>
      <c r="J2300" s="4" t="s">
        <v>183</v>
      </c>
      <c r="K2300" s="4" t="s">
        <v>143</v>
      </c>
      <c r="L2300" s="4" t="s">
        <v>4186</v>
      </c>
      <c r="M2300" s="4"/>
      <c r="N2300" s="4"/>
      <c r="O2300" s="4"/>
      <c r="P2300" s="4"/>
    </row>
    <row r="2301" spans="1:16" ht="15">
      <c r="A2301" s="4" t="s">
        <v>3321</v>
      </c>
      <c r="B2301" s="30">
        <v>40064</v>
      </c>
      <c r="C2301" s="4"/>
      <c r="D2301" s="4" t="s">
        <v>4182</v>
      </c>
      <c r="E2301" s="4" t="s">
        <v>171</v>
      </c>
      <c r="F2301" s="4" t="s">
        <v>168</v>
      </c>
      <c r="G2301" s="4">
        <v>5</v>
      </c>
      <c r="H2301" s="4">
        <v>5</v>
      </c>
      <c r="I2301" s="4" t="s">
        <v>139</v>
      </c>
      <c r="J2301" s="4" t="s">
        <v>180</v>
      </c>
      <c r="K2301" s="4" t="s">
        <v>150</v>
      </c>
      <c r="L2301" s="4" t="s">
        <v>4186</v>
      </c>
      <c r="M2301" s="4"/>
      <c r="N2301" s="4"/>
      <c r="O2301" s="4"/>
      <c r="P2301" s="4"/>
    </row>
    <row r="2302" spans="1:16" ht="15">
      <c r="A2302" s="4" t="s">
        <v>3322</v>
      </c>
      <c r="B2302" s="30">
        <v>40064</v>
      </c>
      <c r="C2302" s="4"/>
      <c r="D2302" s="4" t="s">
        <v>4182</v>
      </c>
      <c r="E2302" s="4" t="s">
        <v>171</v>
      </c>
      <c r="F2302" s="4" t="s">
        <v>168</v>
      </c>
      <c r="G2302" s="4">
        <v>5</v>
      </c>
      <c r="H2302" s="4">
        <v>4</v>
      </c>
      <c r="I2302" s="4" t="s">
        <v>139</v>
      </c>
      <c r="J2302" s="4" t="s">
        <v>182</v>
      </c>
      <c r="K2302" s="4" t="s">
        <v>143</v>
      </c>
      <c r="L2302" s="4" t="s">
        <v>4186</v>
      </c>
      <c r="M2302" s="4"/>
      <c r="N2302" s="4"/>
      <c r="O2302" s="4"/>
      <c r="P2302" s="4"/>
    </row>
    <row r="2303" spans="1:16" ht="15">
      <c r="A2303" s="4" t="s">
        <v>3323</v>
      </c>
      <c r="B2303" s="30">
        <v>40065</v>
      </c>
      <c r="C2303" s="4"/>
      <c r="D2303" s="4" t="s">
        <v>4182</v>
      </c>
      <c r="E2303" s="4" t="s">
        <v>171</v>
      </c>
      <c r="F2303" s="4" t="s">
        <v>168</v>
      </c>
      <c r="G2303" s="4">
        <v>5</v>
      </c>
      <c r="H2303" s="4">
        <v>5</v>
      </c>
      <c r="I2303" s="4" t="s">
        <v>139</v>
      </c>
      <c r="J2303" s="4" t="s">
        <v>180</v>
      </c>
      <c r="K2303" s="4" t="s">
        <v>145</v>
      </c>
      <c r="L2303" s="4" t="s">
        <v>4186</v>
      </c>
      <c r="M2303" s="4"/>
      <c r="N2303" s="4"/>
      <c r="O2303" s="4"/>
      <c r="P2303" s="4"/>
    </row>
    <row r="2304" spans="1:16" ht="15">
      <c r="A2304" s="4" t="s">
        <v>3324</v>
      </c>
      <c r="B2304" s="30">
        <v>40065</v>
      </c>
      <c r="C2304" s="4" t="s">
        <v>525</v>
      </c>
      <c r="D2304" s="4" t="s">
        <v>4182</v>
      </c>
      <c r="E2304" s="4" t="s">
        <v>171</v>
      </c>
      <c r="F2304" s="4" t="s">
        <v>168</v>
      </c>
      <c r="G2304" s="4">
        <v>5</v>
      </c>
      <c r="H2304" s="4">
        <v>3</v>
      </c>
      <c r="I2304" s="4" t="s">
        <v>139</v>
      </c>
      <c r="J2304" s="4" t="s">
        <v>182</v>
      </c>
      <c r="K2304" s="4" t="s">
        <v>143</v>
      </c>
      <c r="L2304" s="4" t="s">
        <v>4186</v>
      </c>
      <c r="M2304" s="4"/>
      <c r="N2304" s="4"/>
      <c r="O2304" s="4"/>
      <c r="P2304" s="4"/>
    </row>
    <row r="2305" spans="1:16" ht="15">
      <c r="A2305" s="4" t="s">
        <v>3325</v>
      </c>
      <c r="B2305" s="30">
        <v>40066</v>
      </c>
      <c r="C2305" s="4"/>
      <c r="D2305" s="4" t="s">
        <v>4182</v>
      </c>
      <c r="E2305" s="4" t="s">
        <v>171</v>
      </c>
      <c r="F2305" s="4" t="s">
        <v>168</v>
      </c>
      <c r="G2305" s="4">
        <v>5</v>
      </c>
      <c r="H2305" s="4">
        <v>4</v>
      </c>
      <c r="I2305" s="4" t="s">
        <v>139</v>
      </c>
      <c r="J2305" s="4" t="s">
        <v>384</v>
      </c>
      <c r="K2305" s="4" t="s">
        <v>142</v>
      </c>
      <c r="L2305" s="4" t="s">
        <v>4186</v>
      </c>
      <c r="M2305" s="4"/>
      <c r="N2305" s="4"/>
      <c r="O2305" s="4"/>
      <c r="P2305" s="4"/>
    </row>
    <row r="2306" spans="1:16" ht="15">
      <c r="A2306" s="4" t="s">
        <v>3326</v>
      </c>
      <c r="B2306" s="30">
        <v>40066</v>
      </c>
      <c r="C2306" s="4"/>
      <c r="D2306" s="4" t="s">
        <v>4182</v>
      </c>
      <c r="E2306" s="4" t="s">
        <v>171</v>
      </c>
      <c r="F2306" s="4" t="s">
        <v>168</v>
      </c>
      <c r="G2306" s="4">
        <v>2</v>
      </c>
      <c r="H2306" s="4">
        <v>4</v>
      </c>
      <c r="I2306" s="4" t="s">
        <v>139</v>
      </c>
      <c r="J2306" s="4" t="s">
        <v>534</v>
      </c>
      <c r="K2306" s="4" t="s">
        <v>150</v>
      </c>
      <c r="L2306" s="4" t="s">
        <v>4186</v>
      </c>
      <c r="M2306" s="4"/>
      <c r="N2306" s="4"/>
      <c r="O2306" s="4"/>
      <c r="P2306" s="4"/>
    </row>
    <row r="2307" spans="1:16" ht="15">
      <c r="A2307" s="4" t="s">
        <v>3327</v>
      </c>
      <c r="B2307" s="30">
        <v>40068</v>
      </c>
      <c r="C2307" s="4" t="s">
        <v>496</v>
      </c>
      <c r="D2307" s="4" t="s">
        <v>4182</v>
      </c>
      <c r="E2307" s="4" t="s">
        <v>171</v>
      </c>
      <c r="F2307" s="4" t="s">
        <v>168</v>
      </c>
      <c r="G2307" s="4">
        <v>5</v>
      </c>
      <c r="H2307" s="4">
        <v>3</v>
      </c>
      <c r="I2307" s="4" t="s">
        <v>139</v>
      </c>
      <c r="J2307" s="4" t="s">
        <v>178</v>
      </c>
      <c r="K2307" s="4" t="s">
        <v>146</v>
      </c>
      <c r="L2307" s="4" t="s">
        <v>4186</v>
      </c>
      <c r="M2307" s="4"/>
      <c r="N2307" s="4"/>
      <c r="O2307" s="4"/>
      <c r="P2307" s="4"/>
    </row>
    <row r="2308" spans="1:16" ht="15">
      <c r="A2308" s="4" t="s">
        <v>3328</v>
      </c>
      <c r="B2308" s="30">
        <v>40070</v>
      </c>
      <c r="C2308" s="4" t="s">
        <v>9</v>
      </c>
      <c r="D2308" s="4" t="s">
        <v>4182</v>
      </c>
      <c r="E2308" s="4" t="s">
        <v>171</v>
      </c>
      <c r="F2308" s="4" t="s">
        <v>168</v>
      </c>
      <c r="G2308" s="4">
        <v>5</v>
      </c>
      <c r="H2308" s="4">
        <v>5</v>
      </c>
      <c r="I2308" s="4" t="s">
        <v>139</v>
      </c>
      <c r="J2308" s="4" t="s">
        <v>178</v>
      </c>
      <c r="K2308" s="4" t="s">
        <v>148</v>
      </c>
      <c r="L2308" s="4" t="s">
        <v>4186</v>
      </c>
      <c r="M2308" s="4"/>
      <c r="N2308" s="4"/>
      <c r="O2308" s="4"/>
      <c r="P2308" s="4"/>
    </row>
    <row r="2309" spans="1:16" ht="15">
      <c r="A2309" s="4" t="s">
        <v>3329</v>
      </c>
      <c r="B2309" s="30">
        <v>40070</v>
      </c>
      <c r="C2309" s="4"/>
      <c r="D2309" s="4" t="s">
        <v>4182</v>
      </c>
      <c r="E2309" s="4" t="s">
        <v>171</v>
      </c>
      <c r="F2309" s="4" t="s">
        <v>168</v>
      </c>
      <c r="G2309" s="4">
        <v>5</v>
      </c>
      <c r="H2309" s="4">
        <v>3</v>
      </c>
      <c r="I2309" s="4" t="s">
        <v>139</v>
      </c>
      <c r="J2309" s="4" t="s">
        <v>182</v>
      </c>
      <c r="K2309" s="4" t="s">
        <v>142</v>
      </c>
      <c r="L2309" s="4" t="s">
        <v>4186</v>
      </c>
      <c r="M2309" s="4"/>
      <c r="N2309" s="4"/>
      <c r="O2309" s="4"/>
      <c r="P2309" s="4"/>
    </row>
    <row r="2310" spans="1:16" ht="15">
      <c r="A2310" s="4" t="s">
        <v>3330</v>
      </c>
      <c r="B2310" s="30">
        <v>40071</v>
      </c>
      <c r="C2310" s="4" t="s">
        <v>383</v>
      </c>
      <c r="D2310" s="4" t="s">
        <v>4182</v>
      </c>
      <c r="E2310" s="4" t="s">
        <v>171</v>
      </c>
      <c r="F2310" s="4" t="s">
        <v>168</v>
      </c>
      <c r="G2310" s="4">
        <v>5</v>
      </c>
      <c r="H2310" s="4">
        <v>5</v>
      </c>
      <c r="I2310" s="4" t="s">
        <v>139</v>
      </c>
      <c r="J2310" s="4" t="s">
        <v>184</v>
      </c>
      <c r="K2310" s="4" t="s">
        <v>145</v>
      </c>
      <c r="L2310" s="4" t="s">
        <v>4186</v>
      </c>
      <c r="M2310" s="4"/>
      <c r="N2310" s="4"/>
      <c r="O2310" s="4"/>
      <c r="P2310" s="4"/>
    </row>
    <row r="2311" spans="1:16" ht="15">
      <c r="A2311" s="4" t="s">
        <v>3331</v>
      </c>
      <c r="B2311" s="30">
        <v>40072</v>
      </c>
      <c r="C2311" s="4"/>
      <c r="D2311" s="4" t="s">
        <v>4182</v>
      </c>
      <c r="E2311" s="4" t="s">
        <v>171</v>
      </c>
      <c r="F2311" s="4" t="s">
        <v>168</v>
      </c>
      <c r="G2311" s="4">
        <v>5</v>
      </c>
      <c r="H2311" s="4">
        <v>5</v>
      </c>
      <c r="I2311" s="4" t="s">
        <v>139</v>
      </c>
      <c r="J2311" s="4" t="s">
        <v>186</v>
      </c>
      <c r="K2311" s="4" t="s">
        <v>149</v>
      </c>
      <c r="L2311" s="4" t="s">
        <v>4186</v>
      </c>
      <c r="M2311" s="4"/>
      <c r="N2311" s="4"/>
      <c r="O2311" s="4"/>
      <c r="P2311" s="4"/>
    </row>
    <row r="2312" spans="1:16" ht="15">
      <c r="A2312" s="4" t="s">
        <v>3332</v>
      </c>
      <c r="B2312" s="30">
        <v>40072</v>
      </c>
      <c r="C2312" s="4"/>
      <c r="D2312" s="4" t="s">
        <v>4182</v>
      </c>
      <c r="E2312" s="4" t="s">
        <v>171</v>
      </c>
      <c r="F2312" s="4" t="s">
        <v>168</v>
      </c>
      <c r="G2312" s="4">
        <v>5</v>
      </c>
      <c r="H2312" s="4">
        <v>3</v>
      </c>
      <c r="I2312" s="4" t="s">
        <v>139</v>
      </c>
      <c r="J2312" s="4" t="s">
        <v>178</v>
      </c>
      <c r="K2312" s="4" t="s">
        <v>149</v>
      </c>
      <c r="L2312" s="4" t="s">
        <v>4186</v>
      </c>
      <c r="M2312" s="4"/>
      <c r="N2312" s="4"/>
      <c r="O2312" s="4"/>
      <c r="P2312" s="4"/>
    </row>
    <row r="2313" spans="1:16" ht="15">
      <c r="A2313" s="4" t="s">
        <v>3333</v>
      </c>
      <c r="B2313" s="30">
        <v>40073</v>
      </c>
      <c r="C2313" s="4"/>
      <c r="D2313" s="4" t="s">
        <v>4182</v>
      </c>
      <c r="E2313" s="4" t="s">
        <v>171</v>
      </c>
      <c r="F2313" s="4" t="s">
        <v>168</v>
      </c>
      <c r="G2313" s="4">
        <v>4</v>
      </c>
      <c r="H2313" s="4">
        <v>3</v>
      </c>
      <c r="I2313" s="4" t="s">
        <v>139</v>
      </c>
      <c r="J2313" s="4" t="s">
        <v>178</v>
      </c>
      <c r="K2313" s="4" t="s">
        <v>145</v>
      </c>
      <c r="L2313" s="4" t="s">
        <v>4186</v>
      </c>
      <c r="M2313" s="4"/>
      <c r="N2313" s="4"/>
      <c r="O2313" s="4"/>
      <c r="P2313" s="4"/>
    </row>
    <row r="2314" spans="1:16" ht="15">
      <c r="A2314" s="4" t="s">
        <v>3334</v>
      </c>
      <c r="B2314" s="30">
        <v>40077</v>
      </c>
      <c r="C2314" s="4" t="s">
        <v>496</v>
      </c>
      <c r="D2314" s="4" t="s">
        <v>4182</v>
      </c>
      <c r="E2314" s="4" t="s">
        <v>171</v>
      </c>
      <c r="F2314" s="4" t="s">
        <v>168</v>
      </c>
      <c r="G2314" s="4">
        <v>5</v>
      </c>
      <c r="H2314" s="4">
        <v>5</v>
      </c>
      <c r="I2314" s="4" t="s">
        <v>139</v>
      </c>
      <c r="J2314" s="4" t="s">
        <v>433</v>
      </c>
      <c r="K2314" s="4" t="s">
        <v>145</v>
      </c>
      <c r="L2314" s="4" t="s">
        <v>4186</v>
      </c>
      <c r="M2314" s="4"/>
      <c r="N2314" s="4"/>
      <c r="O2314" s="4"/>
      <c r="P2314" s="4"/>
    </row>
    <row r="2315" spans="1:16" ht="15">
      <c r="A2315" s="4" t="s">
        <v>3335</v>
      </c>
      <c r="B2315" s="30">
        <v>40079</v>
      </c>
      <c r="C2315" s="4" t="s">
        <v>496</v>
      </c>
      <c r="D2315" s="4" t="s">
        <v>4182</v>
      </c>
      <c r="E2315" s="4" t="s">
        <v>171</v>
      </c>
      <c r="F2315" s="4" t="s">
        <v>168</v>
      </c>
      <c r="G2315" s="4">
        <v>5</v>
      </c>
      <c r="H2315" s="4">
        <v>5</v>
      </c>
      <c r="I2315" s="4" t="s">
        <v>139</v>
      </c>
      <c r="J2315" s="4" t="s">
        <v>376</v>
      </c>
      <c r="K2315" s="4" t="s">
        <v>146</v>
      </c>
      <c r="L2315" s="4" t="s">
        <v>4186</v>
      </c>
      <c r="M2315" s="4"/>
      <c r="N2315" s="4"/>
      <c r="O2315" s="4"/>
      <c r="P2315" s="4"/>
    </row>
    <row r="2316" spans="1:16" ht="15">
      <c r="A2316" s="4" t="s">
        <v>3336</v>
      </c>
      <c r="B2316" s="30">
        <v>40080</v>
      </c>
      <c r="C2316" s="4" t="s">
        <v>383</v>
      </c>
      <c r="D2316" s="4" t="s">
        <v>4182</v>
      </c>
      <c r="E2316" s="4" t="s">
        <v>171</v>
      </c>
      <c r="F2316" s="4" t="s">
        <v>168</v>
      </c>
      <c r="G2316" s="4">
        <v>5</v>
      </c>
      <c r="H2316" s="4">
        <v>3</v>
      </c>
      <c r="I2316" s="4" t="s">
        <v>139</v>
      </c>
      <c r="J2316" s="4" t="s">
        <v>187</v>
      </c>
      <c r="K2316" s="4" t="s">
        <v>144</v>
      </c>
      <c r="L2316" s="4" t="s">
        <v>4186</v>
      </c>
      <c r="M2316" s="4"/>
      <c r="N2316" s="4"/>
      <c r="O2316" s="4"/>
      <c r="P2316" s="4"/>
    </row>
    <row r="2317" spans="1:16" ht="15">
      <c r="A2317" s="4" t="s">
        <v>3337</v>
      </c>
      <c r="B2317" s="30">
        <v>40081</v>
      </c>
      <c r="C2317" s="4" t="s">
        <v>496</v>
      </c>
      <c r="D2317" s="4" t="s">
        <v>4182</v>
      </c>
      <c r="E2317" s="4" t="s">
        <v>171</v>
      </c>
      <c r="F2317" s="4" t="s">
        <v>168</v>
      </c>
      <c r="G2317" s="4">
        <v>5</v>
      </c>
      <c r="H2317" s="4">
        <v>5</v>
      </c>
      <c r="I2317" s="4" t="s">
        <v>139</v>
      </c>
      <c r="J2317" s="4" t="s">
        <v>184</v>
      </c>
      <c r="K2317" s="4" t="s">
        <v>143</v>
      </c>
      <c r="L2317" s="4" t="s">
        <v>4186</v>
      </c>
      <c r="M2317" s="4"/>
      <c r="N2317" s="4"/>
      <c r="O2317" s="4"/>
      <c r="P2317" s="4"/>
    </row>
    <row r="2318" spans="1:16" ht="15">
      <c r="A2318" s="4" t="s">
        <v>3338</v>
      </c>
      <c r="B2318" s="30">
        <v>40081</v>
      </c>
      <c r="C2318" s="4"/>
      <c r="D2318" s="4" t="s">
        <v>4182</v>
      </c>
      <c r="E2318" s="4" t="s">
        <v>171</v>
      </c>
      <c r="F2318" s="4" t="s">
        <v>168</v>
      </c>
      <c r="G2318" s="4">
        <v>5</v>
      </c>
      <c r="H2318" s="4">
        <v>2</v>
      </c>
      <c r="I2318" s="4" t="s">
        <v>139</v>
      </c>
      <c r="J2318" s="4" t="s">
        <v>191</v>
      </c>
      <c r="K2318" s="4" t="s">
        <v>143</v>
      </c>
      <c r="L2318" s="4" t="s">
        <v>4186</v>
      </c>
      <c r="M2318" s="4"/>
      <c r="N2318" s="4"/>
      <c r="O2318" s="4"/>
      <c r="P2318" s="4"/>
    </row>
    <row r="2319" spans="1:16" ht="15">
      <c r="A2319" s="4" t="s">
        <v>3339</v>
      </c>
      <c r="B2319" s="30">
        <v>40082</v>
      </c>
      <c r="C2319" s="4" t="s">
        <v>383</v>
      </c>
      <c r="D2319" s="4" t="s">
        <v>4182</v>
      </c>
      <c r="E2319" s="4" t="s">
        <v>171</v>
      </c>
      <c r="F2319" s="4" t="s">
        <v>168</v>
      </c>
      <c r="G2319" s="4">
        <v>5</v>
      </c>
      <c r="H2319" s="4">
        <v>4</v>
      </c>
      <c r="I2319" s="4" t="s">
        <v>139</v>
      </c>
      <c r="J2319" s="4" t="s">
        <v>376</v>
      </c>
      <c r="K2319" s="4" t="s">
        <v>149</v>
      </c>
      <c r="L2319" s="4" t="s">
        <v>4186</v>
      </c>
      <c r="M2319" s="4"/>
      <c r="N2319" s="4"/>
      <c r="O2319" s="4"/>
      <c r="P2319" s="4"/>
    </row>
    <row r="2320" spans="1:16" ht="15">
      <c r="A2320" s="4" t="s">
        <v>3340</v>
      </c>
      <c r="B2320" s="30">
        <v>40083</v>
      </c>
      <c r="C2320" s="4"/>
      <c r="D2320" s="4" t="s">
        <v>4182</v>
      </c>
      <c r="E2320" s="4" t="s">
        <v>171</v>
      </c>
      <c r="F2320" s="4" t="s">
        <v>168</v>
      </c>
      <c r="G2320" s="4">
        <v>5</v>
      </c>
      <c r="H2320" s="4">
        <v>3</v>
      </c>
      <c r="I2320" s="4" t="s">
        <v>139</v>
      </c>
      <c r="J2320" s="4" t="s">
        <v>433</v>
      </c>
      <c r="K2320" s="4" t="s">
        <v>150</v>
      </c>
      <c r="L2320" s="4" t="s">
        <v>4186</v>
      </c>
      <c r="M2320" s="4"/>
      <c r="N2320" s="4"/>
      <c r="O2320" s="4"/>
      <c r="P2320" s="4"/>
    </row>
    <row r="2321" spans="1:16" ht="15">
      <c r="A2321" s="4" t="s">
        <v>3341</v>
      </c>
      <c r="B2321" s="30">
        <v>40083</v>
      </c>
      <c r="C2321" s="4"/>
      <c r="D2321" s="4" t="s">
        <v>4182</v>
      </c>
      <c r="E2321" s="4" t="s">
        <v>171</v>
      </c>
      <c r="F2321" s="4" t="s">
        <v>168</v>
      </c>
      <c r="G2321" s="4">
        <v>3</v>
      </c>
      <c r="H2321" s="4">
        <v>3</v>
      </c>
      <c r="I2321" s="4" t="s">
        <v>139</v>
      </c>
      <c r="J2321" s="4" t="s">
        <v>178</v>
      </c>
      <c r="K2321" s="4" t="s">
        <v>145</v>
      </c>
      <c r="L2321" s="4" t="s">
        <v>4186</v>
      </c>
      <c r="M2321" s="4"/>
      <c r="N2321" s="4"/>
      <c r="O2321" s="4"/>
      <c r="P2321" s="4"/>
    </row>
    <row r="2322" spans="1:16" ht="15">
      <c r="A2322" s="4" t="s">
        <v>3342</v>
      </c>
      <c r="B2322" s="30">
        <v>40084</v>
      </c>
      <c r="C2322" s="4"/>
      <c r="D2322" s="4" t="s">
        <v>4182</v>
      </c>
      <c r="E2322" s="4" t="s">
        <v>171</v>
      </c>
      <c r="F2322" s="4" t="s">
        <v>168</v>
      </c>
      <c r="G2322" s="4">
        <v>5</v>
      </c>
      <c r="H2322" s="4">
        <v>5</v>
      </c>
      <c r="I2322" s="4" t="s">
        <v>139</v>
      </c>
      <c r="J2322" s="4" t="s">
        <v>181</v>
      </c>
      <c r="K2322" s="4" t="s">
        <v>144</v>
      </c>
      <c r="L2322" s="4" t="s">
        <v>4186</v>
      </c>
      <c r="M2322" s="4"/>
      <c r="N2322" s="4"/>
      <c r="O2322" s="4"/>
      <c r="P2322" s="4"/>
    </row>
    <row r="2323" spans="1:16" ht="15">
      <c r="A2323" s="4" t="s">
        <v>3343</v>
      </c>
      <c r="B2323" s="30">
        <v>40084</v>
      </c>
      <c r="C2323" s="4"/>
      <c r="D2323" s="4" t="s">
        <v>4182</v>
      </c>
      <c r="E2323" s="4" t="s">
        <v>171</v>
      </c>
      <c r="F2323" s="4" t="s">
        <v>168</v>
      </c>
      <c r="G2323" s="4">
        <v>3</v>
      </c>
      <c r="H2323" s="4">
        <v>2</v>
      </c>
      <c r="I2323" s="4" t="s">
        <v>139</v>
      </c>
      <c r="J2323" s="4" t="s">
        <v>185</v>
      </c>
      <c r="K2323" s="4" t="s">
        <v>142</v>
      </c>
      <c r="L2323" s="4" t="s">
        <v>4186</v>
      </c>
      <c r="M2323" s="4"/>
      <c r="N2323" s="4"/>
      <c r="O2323" s="4"/>
      <c r="P2323" s="4"/>
    </row>
    <row r="2324" spans="1:16" ht="15">
      <c r="A2324" s="4" t="s">
        <v>3344</v>
      </c>
      <c r="B2324" s="30">
        <v>40084</v>
      </c>
      <c r="C2324" s="4"/>
      <c r="D2324" s="4" t="s">
        <v>4182</v>
      </c>
      <c r="E2324" s="4" t="s">
        <v>171</v>
      </c>
      <c r="F2324" s="4" t="s">
        <v>168</v>
      </c>
      <c r="G2324" s="4">
        <v>5</v>
      </c>
      <c r="H2324" s="4">
        <v>2</v>
      </c>
      <c r="I2324" s="4" t="s">
        <v>139</v>
      </c>
      <c r="J2324" s="4" t="s">
        <v>447</v>
      </c>
      <c r="K2324" s="4" t="s">
        <v>144</v>
      </c>
      <c r="L2324" s="4" t="s">
        <v>4186</v>
      </c>
      <c r="M2324" s="4"/>
      <c r="N2324" s="4"/>
      <c r="O2324" s="4"/>
      <c r="P2324" s="4"/>
    </row>
    <row r="2325" spans="1:16" ht="15">
      <c r="A2325" s="4" t="s">
        <v>3345</v>
      </c>
      <c r="B2325" s="30">
        <v>40085</v>
      </c>
      <c r="C2325" s="4"/>
      <c r="D2325" s="4" t="s">
        <v>4182</v>
      </c>
      <c r="E2325" s="4" t="s">
        <v>171</v>
      </c>
      <c r="F2325" s="4" t="s">
        <v>168</v>
      </c>
      <c r="G2325" s="4">
        <v>1</v>
      </c>
      <c r="H2325" s="4">
        <v>4</v>
      </c>
      <c r="I2325" s="4" t="s">
        <v>139</v>
      </c>
      <c r="J2325" s="4" t="s">
        <v>190</v>
      </c>
      <c r="K2325" s="4" t="s">
        <v>151</v>
      </c>
      <c r="L2325" s="4" t="s">
        <v>4186</v>
      </c>
      <c r="M2325" s="4"/>
      <c r="N2325" s="4"/>
      <c r="O2325" s="4"/>
      <c r="P2325" s="4"/>
    </row>
    <row r="2326" spans="1:16" ht="15">
      <c r="A2326" s="4" t="s">
        <v>3346</v>
      </c>
      <c r="B2326" s="30">
        <v>40085</v>
      </c>
      <c r="C2326" s="4" t="s">
        <v>383</v>
      </c>
      <c r="D2326" s="4" t="s">
        <v>4182</v>
      </c>
      <c r="E2326" s="4" t="s">
        <v>171</v>
      </c>
      <c r="F2326" s="4" t="s">
        <v>168</v>
      </c>
      <c r="G2326" s="4">
        <v>5</v>
      </c>
      <c r="H2326" s="4">
        <v>3</v>
      </c>
      <c r="I2326" s="4" t="s">
        <v>139</v>
      </c>
      <c r="J2326" s="4" t="s">
        <v>185</v>
      </c>
      <c r="K2326" s="4" t="s">
        <v>144</v>
      </c>
      <c r="L2326" s="4" t="s">
        <v>4186</v>
      </c>
      <c r="M2326" s="4"/>
      <c r="N2326" s="4"/>
      <c r="O2326" s="4"/>
      <c r="P2326" s="4"/>
    </row>
    <row r="2327" spans="1:16" ht="15">
      <c r="A2327" s="4" t="s">
        <v>3347</v>
      </c>
      <c r="B2327" s="30">
        <v>40085</v>
      </c>
      <c r="C2327" s="4"/>
      <c r="D2327" s="4" t="s">
        <v>4182</v>
      </c>
      <c r="E2327" s="4" t="s">
        <v>171</v>
      </c>
      <c r="F2327" s="4" t="s">
        <v>168</v>
      </c>
      <c r="G2327" s="4">
        <v>5</v>
      </c>
      <c r="H2327" s="4">
        <v>5</v>
      </c>
      <c r="I2327" s="4" t="s">
        <v>139</v>
      </c>
      <c r="J2327" s="4" t="s">
        <v>178</v>
      </c>
      <c r="K2327" s="4" t="s">
        <v>150</v>
      </c>
      <c r="L2327" s="4" t="s">
        <v>4186</v>
      </c>
      <c r="M2327" s="4"/>
      <c r="N2327" s="4"/>
      <c r="O2327" s="4"/>
      <c r="P2327" s="4"/>
    </row>
    <row r="2328" spans="1:16" ht="15">
      <c r="A2328" s="4" t="s">
        <v>3348</v>
      </c>
      <c r="B2328" s="30">
        <v>40086</v>
      </c>
      <c r="C2328" s="4" t="s">
        <v>383</v>
      </c>
      <c r="D2328" s="4" t="s">
        <v>4182</v>
      </c>
      <c r="E2328" s="4" t="s">
        <v>171</v>
      </c>
      <c r="F2328" s="4" t="s">
        <v>168</v>
      </c>
      <c r="G2328" s="4">
        <v>5</v>
      </c>
      <c r="H2328" s="4">
        <v>2</v>
      </c>
      <c r="I2328" s="4" t="s">
        <v>139</v>
      </c>
      <c r="J2328" s="4" t="s">
        <v>528</v>
      </c>
      <c r="K2328" s="4" t="s">
        <v>149</v>
      </c>
      <c r="L2328" s="4" t="s">
        <v>4186</v>
      </c>
      <c r="M2328" s="4"/>
      <c r="N2328" s="4"/>
      <c r="O2328" s="4"/>
      <c r="P2328" s="4"/>
    </row>
    <row r="2329" spans="1:16" ht="15">
      <c r="A2329" s="4" t="s">
        <v>3349</v>
      </c>
      <c r="B2329" s="30">
        <v>40086</v>
      </c>
      <c r="C2329" s="4"/>
      <c r="D2329" s="4" t="s">
        <v>4182</v>
      </c>
      <c r="E2329" s="4" t="s">
        <v>171</v>
      </c>
      <c r="F2329" s="4" t="s">
        <v>168</v>
      </c>
      <c r="G2329" s="4">
        <v>5</v>
      </c>
      <c r="H2329" s="4">
        <v>3</v>
      </c>
      <c r="I2329" s="4" t="s">
        <v>139</v>
      </c>
      <c r="J2329" s="4" t="s">
        <v>183</v>
      </c>
      <c r="K2329" s="4" t="s">
        <v>142</v>
      </c>
      <c r="L2329" s="4" t="s">
        <v>4186</v>
      </c>
      <c r="M2329" s="4"/>
      <c r="N2329" s="4"/>
      <c r="O2329" s="4"/>
      <c r="P2329" s="4"/>
    </row>
    <row r="2330" spans="1:16" ht="15">
      <c r="A2330" s="4" t="s">
        <v>3350</v>
      </c>
      <c r="B2330" s="30">
        <v>40086</v>
      </c>
      <c r="C2330" s="4"/>
      <c r="D2330" s="4" t="s">
        <v>4182</v>
      </c>
      <c r="E2330" s="4" t="s">
        <v>171</v>
      </c>
      <c r="F2330" s="4" t="s">
        <v>168</v>
      </c>
      <c r="G2330" s="4">
        <v>5</v>
      </c>
      <c r="H2330" s="4">
        <v>4</v>
      </c>
      <c r="I2330" s="4" t="s">
        <v>139</v>
      </c>
      <c r="J2330" s="4" t="s">
        <v>184</v>
      </c>
      <c r="K2330" s="4" t="s">
        <v>145</v>
      </c>
      <c r="L2330" s="4" t="s">
        <v>4186</v>
      </c>
      <c r="M2330" s="4"/>
      <c r="N2330" s="4"/>
      <c r="O2330" s="4"/>
      <c r="P2330" s="4"/>
    </row>
    <row r="2331" spans="1:16" ht="15">
      <c r="A2331" s="4" t="s">
        <v>3351</v>
      </c>
      <c r="B2331" s="30">
        <v>39929</v>
      </c>
      <c r="C2331" s="4"/>
      <c r="D2331" s="4" t="s">
        <v>4177</v>
      </c>
      <c r="E2331" s="4" t="s">
        <v>170</v>
      </c>
      <c r="F2331" s="4" t="s">
        <v>155</v>
      </c>
      <c r="G2331" s="4"/>
      <c r="H2331" s="4"/>
      <c r="I2331" s="4" t="s">
        <v>139</v>
      </c>
      <c r="J2331" s="4" t="s">
        <v>178</v>
      </c>
      <c r="K2331" s="4" t="s">
        <v>145</v>
      </c>
      <c r="L2331" s="4" t="s">
        <v>4176</v>
      </c>
      <c r="M2331" s="4" t="s">
        <v>3352</v>
      </c>
      <c r="N2331" s="4" t="s">
        <v>157</v>
      </c>
      <c r="O2331" s="4" t="s">
        <v>127</v>
      </c>
      <c r="P2331" s="4" t="s">
        <v>153</v>
      </c>
    </row>
    <row r="2332" spans="1:16" ht="15">
      <c r="A2332" s="4" t="s">
        <v>3353</v>
      </c>
      <c r="B2332" s="30">
        <v>39975</v>
      </c>
      <c r="C2332" s="4" t="s">
        <v>525</v>
      </c>
      <c r="D2332" s="4" t="s">
        <v>193</v>
      </c>
      <c r="E2332" s="4" t="s">
        <v>170</v>
      </c>
      <c r="F2332" s="4" t="s">
        <v>155</v>
      </c>
      <c r="G2332" s="4"/>
      <c r="H2332" s="4"/>
      <c r="I2332" s="4" t="s">
        <v>140</v>
      </c>
      <c r="J2332" s="4" t="s">
        <v>179</v>
      </c>
      <c r="K2332" s="4" t="s">
        <v>146</v>
      </c>
      <c r="L2332" s="4" t="s">
        <v>4181</v>
      </c>
      <c r="M2332" s="4"/>
      <c r="N2332" s="4" t="s">
        <v>155</v>
      </c>
      <c r="O2332" s="4" t="s">
        <v>387</v>
      </c>
      <c r="P2332" s="4"/>
    </row>
    <row r="2333" spans="1:16" ht="15">
      <c r="A2333" s="4" t="s">
        <v>3354</v>
      </c>
      <c r="B2333" s="30">
        <v>39926</v>
      </c>
      <c r="C2333" s="4"/>
      <c r="D2333" s="4" t="s">
        <v>4178</v>
      </c>
      <c r="E2333" s="4" t="s">
        <v>170</v>
      </c>
      <c r="F2333" s="4" t="s">
        <v>155</v>
      </c>
      <c r="G2333" s="4"/>
      <c r="H2333" s="4"/>
      <c r="I2333" s="4" t="s">
        <v>139</v>
      </c>
      <c r="J2333" s="4" t="s">
        <v>603</v>
      </c>
      <c r="K2333" s="4" t="s">
        <v>147</v>
      </c>
      <c r="L2333" s="4" t="s">
        <v>4181</v>
      </c>
      <c r="M2333" s="4"/>
      <c r="N2333" s="4" t="s">
        <v>155</v>
      </c>
      <c r="O2333" s="4" t="s">
        <v>1262</v>
      </c>
      <c r="P2333" s="4"/>
    </row>
    <row r="2334" spans="1:16" ht="15">
      <c r="A2334" s="4" t="s">
        <v>3355</v>
      </c>
      <c r="B2334" s="30">
        <v>39909</v>
      </c>
      <c r="C2334" s="4" t="s">
        <v>9</v>
      </c>
      <c r="D2334" s="4" t="s">
        <v>4182</v>
      </c>
      <c r="E2334" s="4" t="s">
        <v>170</v>
      </c>
      <c r="F2334" s="4" t="s">
        <v>155</v>
      </c>
      <c r="G2334" s="4"/>
      <c r="H2334" s="4"/>
      <c r="I2334" s="4" t="s">
        <v>139</v>
      </c>
      <c r="J2334" s="4" t="s">
        <v>185</v>
      </c>
      <c r="K2334" s="4" t="s">
        <v>148</v>
      </c>
      <c r="L2334" s="4" t="s">
        <v>4181</v>
      </c>
      <c r="M2334" s="4" t="s">
        <v>173</v>
      </c>
      <c r="N2334" s="4" t="s">
        <v>161</v>
      </c>
      <c r="O2334" s="4" t="s">
        <v>638</v>
      </c>
      <c r="P2334" s="4"/>
    </row>
    <row r="2335" spans="1:16" ht="15">
      <c r="A2335" s="4" t="s">
        <v>3356</v>
      </c>
      <c r="B2335" s="30">
        <v>40030</v>
      </c>
      <c r="C2335" s="4"/>
      <c r="D2335" s="4" t="s">
        <v>195</v>
      </c>
      <c r="E2335" s="4" t="s">
        <v>170</v>
      </c>
      <c r="F2335" s="4" t="s">
        <v>155</v>
      </c>
      <c r="G2335" s="4">
        <v>5</v>
      </c>
      <c r="H2335" s="4">
        <v>4</v>
      </c>
      <c r="I2335" s="4" t="s">
        <v>139</v>
      </c>
      <c r="J2335" s="4" t="s">
        <v>185</v>
      </c>
      <c r="K2335" s="4" t="s">
        <v>145</v>
      </c>
      <c r="L2335" s="4" t="s">
        <v>4176</v>
      </c>
      <c r="M2335" s="4" t="s">
        <v>550</v>
      </c>
      <c r="N2335" s="4" t="s">
        <v>157</v>
      </c>
      <c r="O2335" s="4" t="s">
        <v>439</v>
      </c>
      <c r="P2335" s="4" t="s">
        <v>3357</v>
      </c>
    </row>
    <row r="2336" spans="1:16" ht="15">
      <c r="A2336" s="4" t="s">
        <v>3358</v>
      </c>
      <c r="B2336" s="30">
        <v>40033</v>
      </c>
      <c r="C2336" s="4"/>
      <c r="D2336" s="4" t="s">
        <v>193</v>
      </c>
      <c r="E2336" s="4" t="s">
        <v>170</v>
      </c>
      <c r="F2336" s="4" t="s">
        <v>155</v>
      </c>
      <c r="G2336" s="4">
        <v>5</v>
      </c>
      <c r="H2336" s="4">
        <v>5</v>
      </c>
      <c r="I2336" s="4" t="s">
        <v>140</v>
      </c>
      <c r="J2336" s="4" t="s">
        <v>185</v>
      </c>
      <c r="K2336" s="4" t="s">
        <v>143</v>
      </c>
      <c r="L2336" s="4" t="s">
        <v>4176</v>
      </c>
      <c r="M2336" s="4" t="s">
        <v>597</v>
      </c>
      <c r="N2336" s="4" t="s">
        <v>160</v>
      </c>
      <c r="O2336" s="4" t="s">
        <v>1441</v>
      </c>
      <c r="P2336" s="4" t="s">
        <v>3359</v>
      </c>
    </row>
    <row r="2337" spans="1:16" ht="15">
      <c r="A2337" s="4" t="s">
        <v>3360</v>
      </c>
      <c r="B2337" s="30">
        <v>39923</v>
      </c>
      <c r="C2337" s="4"/>
      <c r="D2337" s="4" t="s">
        <v>4182</v>
      </c>
      <c r="E2337" s="4" t="s">
        <v>170</v>
      </c>
      <c r="F2337" s="4" t="s">
        <v>155</v>
      </c>
      <c r="G2337" s="4"/>
      <c r="H2337" s="4"/>
      <c r="I2337" s="4" t="s">
        <v>139</v>
      </c>
      <c r="J2337" s="4" t="s">
        <v>185</v>
      </c>
      <c r="K2337" s="4" t="s">
        <v>149</v>
      </c>
      <c r="L2337" s="4" t="s">
        <v>4181</v>
      </c>
      <c r="M2337" s="4" t="s">
        <v>173</v>
      </c>
      <c r="N2337" s="4" t="s">
        <v>161</v>
      </c>
      <c r="O2337" s="4" t="s">
        <v>586</v>
      </c>
      <c r="P2337" s="4"/>
    </row>
    <row r="2338" spans="1:16" ht="15">
      <c r="A2338" s="4" t="s">
        <v>3361</v>
      </c>
      <c r="B2338" s="30">
        <v>40082</v>
      </c>
      <c r="C2338" s="4"/>
      <c r="D2338" s="4" t="s">
        <v>544</v>
      </c>
      <c r="E2338" s="4" t="s">
        <v>170</v>
      </c>
      <c r="F2338" s="4" t="s">
        <v>155</v>
      </c>
      <c r="G2338" s="4">
        <v>5</v>
      </c>
      <c r="H2338" s="4">
        <v>5</v>
      </c>
      <c r="I2338" s="4" t="s">
        <v>139</v>
      </c>
      <c r="J2338" s="4" t="s">
        <v>185</v>
      </c>
      <c r="K2338" s="4" t="s">
        <v>148</v>
      </c>
      <c r="L2338" s="4" t="s">
        <v>4181</v>
      </c>
      <c r="M2338" s="4" t="s">
        <v>173</v>
      </c>
      <c r="N2338" s="4" t="s">
        <v>155</v>
      </c>
      <c r="O2338" s="4" t="s">
        <v>128</v>
      </c>
      <c r="P2338" s="4"/>
    </row>
    <row r="2339" spans="1:16" ht="15">
      <c r="A2339" s="4" t="s">
        <v>3362</v>
      </c>
      <c r="B2339" s="30">
        <v>39947</v>
      </c>
      <c r="C2339" s="4"/>
      <c r="D2339" s="4" t="s">
        <v>194</v>
      </c>
      <c r="E2339" s="4" t="s">
        <v>170</v>
      </c>
      <c r="F2339" s="4" t="s">
        <v>155</v>
      </c>
      <c r="G2339" s="4"/>
      <c r="H2339" s="4"/>
      <c r="I2339" s="4" t="s">
        <v>139</v>
      </c>
      <c r="J2339" s="4" t="s">
        <v>391</v>
      </c>
      <c r="K2339" s="4" t="s">
        <v>147</v>
      </c>
      <c r="L2339" s="4" t="s">
        <v>165</v>
      </c>
      <c r="M2339" s="4"/>
      <c r="N2339" s="4" t="s">
        <v>158</v>
      </c>
      <c r="O2339" s="4" t="s">
        <v>122</v>
      </c>
      <c r="P2339" s="4"/>
    </row>
    <row r="2340" spans="1:16" ht="15">
      <c r="A2340" s="4" t="s">
        <v>3363</v>
      </c>
      <c r="B2340" s="30">
        <v>39933</v>
      </c>
      <c r="C2340" s="4"/>
      <c r="D2340" s="4" t="s">
        <v>4177</v>
      </c>
      <c r="E2340" s="4" t="s">
        <v>170</v>
      </c>
      <c r="F2340" s="4" t="s">
        <v>155</v>
      </c>
      <c r="G2340" s="4"/>
      <c r="H2340" s="4"/>
      <c r="I2340" s="4" t="s">
        <v>139</v>
      </c>
      <c r="J2340" s="4" t="s">
        <v>528</v>
      </c>
      <c r="K2340" s="4" t="s">
        <v>145</v>
      </c>
      <c r="L2340" s="4" t="s">
        <v>4181</v>
      </c>
      <c r="M2340" s="4" t="s">
        <v>797</v>
      </c>
      <c r="N2340" s="4" t="s">
        <v>155</v>
      </c>
      <c r="O2340" s="4" t="s">
        <v>124</v>
      </c>
      <c r="P2340" s="4"/>
    </row>
    <row r="2341" spans="1:16" ht="15">
      <c r="A2341" s="4" t="s">
        <v>3364</v>
      </c>
      <c r="B2341" s="30">
        <v>40080</v>
      </c>
      <c r="C2341" s="4" t="s">
        <v>525</v>
      </c>
      <c r="D2341" s="4" t="s">
        <v>193</v>
      </c>
      <c r="E2341" s="4" t="s">
        <v>170</v>
      </c>
      <c r="F2341" s="4" t="s">
        <v>155</v>
      </c>
      <c r="G2341" s="4">
        <v>1</v>
      </c>
      <c r="H2341" s="4">
        <v>3</v>
      </c>
      <c r="I2341" s="4" t="s">
        <v>140</v>
      </c>
      <c r="J2341" s="4" t="s">
        <v>528</v>
      </c>
      <c r="K2341" s="4" t="s">
        <v>142</v>
      </c>
      <c r="L2341" s="4" t="s">
        <v>162</v>
      </c>
      <c r="M2341" s="4" t="s">
        <v>176</v>
      </c>
      <c r="N2341" s="4" t="s">
        <v>155</v>
      </c>
      <c r="O2341" s="4" t="s">
        <v>129</v>
      </c>
      <c r="P2341" s="4"/>
    </row>
    <row r="2342" spans="1:16" ht="15">
      <c r="A2342" s="4" t="s">
        <v>3365</v>
      </c>
      <c r="B2342" s="30">
        <v>40021</v>
      </c>
      <c r="C2342" s="4" t="s">
        <v>383</v>
      </c>
      <c r="D2342" s="4" t="s">
        <v>193</v>
      </c>
      <c r="E2342" s="4" t="s">
        <v>170</v>
      </c>
      <c r="F2342" s="4" t="s">
        <v>155</v>
      </c>
      <c r="G2342" s="4">
        <v>5</v>
      </c>
      <c r="H2342" s="4">
        <v>3</v>
      </c>
      <c r="I2342" s="4" t="s">
        <v>140</v>
      </c>
      <c r="J2342" s="4" t="s">
        <v>188</v>
      </c>
      <c r="K2342" s="4" t="s">
        <v>142</v>
      </c>
      <c r="L2342" s="4" t="s">
        <v>162</v>
      </c>
      <c r="M2342" s="4"/>
      <c r="N2342" s="4" t="s">
        <v>155</v>
      </c>
      <c r="O2342" s="4" t="s">
        <v>130</v>
      </c>
      <c r="P2342" s="4"/>
    </row>
    <row r="2343" spans="1:16" ht="15">
      <c r="A2343" s="4" t="s">
        <v>3366</v>
      </c>
      <c r="B2343" s="30">
        <v>40040</v>
      </c>
      <c r="C2343" s="4" t="s">
        <v>525</v>
      </c>
      <c r="D2343" s="4" t="s">
        <v>195</v>
      </c>
      <c r="E2343" s="4" t="s">
        <v>170</v>
      </c>
      <c r="F2343" s="4" t="s">
        <v>155</v>
      </c>
      <c r="G2343" s="4">
        <v>5</v>
      </c>
      <c r="H2343" s="4">
        <v>4</v>
      </c>
      <c r="I2343" s="4" t="s">
        <v>139</v>
      </c>
      <c r="J2343" s="4" t="s">
        <v>185</v>
      </c>
      <c r="K2343" s="4" t="s">
        <v>143</v>
      </c>
      <c r="L2343" s="4" t="s">
        <v>165</v>
      </c>
      <c r="M2343" s="4" t="s">
        <v>1130</v>
      </c>
      <c r="N2343" s="4" t="s">
        <v>158</v>
      </c>
      <c r="O2343" s="4" t="s">
        <v>122</v>
      </c>
      <c r="P2343" s="4"/>
    </row>
    <row r="2344" spans="1:16" ht="15">
      <c r="A2344" s="4" t="s">
        <v>3367</v>
      </c>
      <c r="B2344" s="30">
        <v>39977</v>
      </c>
      <c r="C2344" s="4"/>
      <c r="D2344" s="4" t="s">
        <v>195</v>
      </c>
      <c r="E2344" s="4" t="s">
        <v>170</v>
      </c>
      <c r="F2344" s="4" t="s">
        <v>155</v>
      </c>
      <c r="G2344" s="4"/>
      <c r="H2344" s="4"/>
      <c r="I2344" s="4" t="s">
        <v>139</v>
      </c>
      <c r="J2344" s="4" t="s">
        <v>185</v>
      </c>
      <c r="K2344" s="4" t="s">
        <v>142</v>
      </c>
      <c r="L2344" s="4" t="s">
        <v>165</v>
      </c>
      <c r="M2344" s="4" t="s">
        <v>589</v>
      </c>
      <c r="N2344" s="4" t="s">
        <v>158</v>
      </c>
      <c r="O2344" s="4" t="s">
        <v>122</v>
      </c>
      <c r="P2344" s="4"/>
    </row>
    <row r="2345" spans="1:16" ht="15">
      <c r="A2345" s="4" t="s">
        <v>3368</v>
      </c>
      <c r="B2345" s="30">
        <v>39919</v>
      </c>
      <c r="C2345" s="4" t="s">
        <v>525</v>
      </c>
      <c r="D2345" s="4" t="s">
        <v>4177</v>
      </c>
      <c r="E2345" s="4" t="s">
        <v>170</v>
      </c>
      <c r="F2345" s="4" t="s">
        <v>155</v>
      </c>
      <c r="G2345" s="4"/>
      <c r="H2345" s="4"/>
      <c r="I2345" s="4" t="s">
        <v>139</v>
      </c>
      <c r="J2345" s="4" t="s">
        <v>188</v>
      </c>
      <c r="K2345" s="4" t="s">
        <v>143</v>
      </c>
      <c r="L2345" s="4" t="s">
        <v>4181</v>
      </c>
      <c r="M2345" s="4" t="s">
        <v>797</v>
      </c>
      <c r="N2345" s="4" t="s">
        <v>155</v>
      </c>
      <c r="O2345" s="4" t="s">
        <v>127</v>
      </c>
      <c r="P2345" s="4"/>
    </row>
    <row r="2346" spans="1:16" ht="15">
      <c r="A2346" s="4" t="s">
        <v>3369</v>
      </c>
      <c r="B2346" s="30">
        <v>40014</v>
      </c>
      <c r="C2346" s="4"/>
      <c r="D2346" s="4" t="s">
        <v>193</v>
      </c>
      <c r="E2346" s="4" t="s">
        <v>170</v>
      </c>
      <c r="F2346" s="4" t="s">
        <v>155</v>
      </c>
      <c r="G2346" s="4">
        <v>5</v>
      </c>
      <c r="H2346" s="4">
        <v>3</v>
      </c>
      <c r="I2346" s="4" t="s">
        <v>140</v>
      </c>
      <c r="J2346" s="4" t="s">
        <v>188</v>
      </c>
      <c r="K2346" s="4" t="s">
        <v>144</v>
      </c>
      <c r="L2346" s="4" t="s">
        <v>4176</v>
      </c>
      <c r="M2346" s="4" t="s">
        <v>498</v>
      </c>
      <c r="N2346" s="4" t="s">
        <v>157</v>
      </c>
      <c r="O2346" s="4" t="s">
        <v>127</v>
      </c>
      <c r="P2346" s="4" t="s">
        <v>1798</v>
      </c>
    </row>
    <row r="2347" spans="1:16" ht="15">
      <c r="A2347" s="4" t="s">
        <v>3370</v>
      </c>
      <c r="B2347" s="30">
        <v>40078</v>
      </c>
      <c r="C2347" s="4" t="s">
        <v>383</v>
      </c>
      <c r="D2347" s="4" t="s">
        <v>544</v>
      </c>
      <c r="E2347" s="4" t="s">
        <v>170</v>
      </c>
      <c r="F2347" s="4" t="s">
        <v>155</v>
      </c>
      <c r="G2347" s="4">
        <v>3</v>
      </c>
      <c r="H2347" s="4">
        <v>3</v>
      </c>
      <c r="I2347" s="4" t="s">
        <v>139</v>
      </c>
      <c r="J2347" s="4" t="s">
        <v>188</v>
      </c>
      <c r="K2347" s="4" t="s">
        <v>149</v>
      </c>
      <c r="L2347" s="4" t="s">
        <v>4176</v>
      </c>
      <c r="M2347" s="4" t="s">
        <v>174</v>
      </c>
      <c r="N2347" s="4" t="s">
        <v>157</v>
      </c>
      <c r="O2347" s="4" t="s">
        <v>434</v>
      </c>
      <c r="P2347" s="4" t="s">
        <v>986</v>
      </c>
    </row>
    <row r="2348" spans="1:16" ht="15">
      <c r="A2348" s="4" t="s">
        <v>3371</v>
      </c>
      <c r="B2348" s="30">
        <v>39969</v>
      </c>
      <c r="C2348" s="4"/>
      <c r="D2348" s="4" t="s">
        <v>195</v>
      </c>
      <c r="E2348" s="4" t="s">
        <v>170</v>
      </c>
      <c r="F2348" s="4" t="s">
        <v>155</v>
      </c>
      <c r="G2348" s="4"/>
      <c r="H2348" s="4"/>
      <c r="I2348" s="4" t="s">
        <v>139</v>
      </c>
      <c r="J2348" s="4" t="s">
        <v>479</v>
      </c>
      <c r="K2348" s="4" t="s">
        <v>146</v>
      </c>
      <c r="L2348" s="4" t="s">
        <v>4176</v>
      </c>
      <c r="M2348" s="4" t="s">
        <v>3372</v>
      </c>
      <c r="N2348" s="4" t="s">
        <v>159</v>
      </c>
      <c r="O2348" s="4" t="s">
        <v>123</v>
      </c>
      <c r="P2348" s="4" t="s">
        <v>123</v>
      </c>
    </row>
    <row r="2349" spans="1:16" ht="15">
      <c r="A2349" s="4" t="s">
        <v>3373</v>
      </c>
      <c r="B2349" s="30">
        <v>39916</v>
      </c>
      <c r="C2349" s="4"/>
      <c r="D2349" s="4" t="s">
        <v>4177</v>
      </c>
      <c r="E2349" s="4" t="s">
        <v>170</v>
      </c>
      <c r="F2349" s="4" t="s">
        <v>155</v>
      </c>
      <c r="G2349" s="4"/>
      <c r="H2349" s="4"/>
      <c r="I2349" s="4" t="s">
        <v>139</v>
      </c>
      <c r="J2349" s="4" t="s">
        <v>185</v>
      </c>
      <c r="K2349" s="4" t="s">
        <v>148</v>
      </c>
      <c r="L2349" s="4" t="s">
        <v>4176</v>
      </c>
      <c r="M2349" s="4" t="s">
        <v>2194</v>
      </c>
      <c r="N2349" s="4" t="s">
        <v>160</v>
      </c>
      <c r="O2349" s="4" t="s">
        <v>454</v>
      </c>
      <c r="P2349" s="4" t="s">
        <v>3374</v>
      </c>
    </row>
    <row r="2350" spans="1:16" ht="15">
      <c r="A2350" s="4" t="s">
        <v>3375</v>
      </c>
      <c r="B2350" s="30">
        <v>40017</v>
      </c>
      <c r="C2350" s="4"/>
      <c r="D2350" s="4" t="s">
        <v>196</v>
      </c>
      <c r="E2350" s="4" t="s">
        <v>170</v>
      </c>
      <c r="F2350" s="4" t="s">
        <v>155</v>
      </c>
      <c r="G2350" s="4">
        <v>5</v>
      </c>
      <c r="H2350" s="4">
        <v>3</v>
      </c>
      <c r="I2350" s="4" t="s">
        <v>139</v>
      </c>
      <c r="J2350" s="4" t="s">
        <v>188</v>
      </c>
      <c r="K2350" s="4" t="s">
        <v>142</v>
      </c>
      <c r="L2350" s="4" t="s">
        <v>4176</v>
      </c>
      <c r="M2350" s="4" t="s">
        <v>1728</v>
      </c>
      <c r="N2350" s="4" t="s">
        <v>157</v>
      </c>
      <c r="O2350" s="4" t="s">
        <v>127</v>
      </c>
      <c r="P2350" s="4" t="s">
        <v>153</v>
      </c>
    </row>
    <row r="2351" spans="1:16" ht="15">
      <c r="A2351" s="4" t="s">
        <v>3376</v>
      </c>
      <c r="B2351" s="30">
        <v>39982</v>
      </c>
      <c r="C2351" s="4" t="s">
        <v>383</v>
      </c>
      <c r="D2351" s="4" t="s">
        <v>194</v>
      </c>
      <c r="E2351" s="4" t="s">
        <v>170</v>
      </c>
      <c r="F2351" s="4" t="s">
        <v>155</v>
      </c>
      <c r="G2351" s="4"/>
      <c r="H2351" s="4"/>
      <c r="I2351" s="4" t="s">
        <v>139</v>
      </c>
      <c r="J2351" s="4" t="s">
        <v>413</v>
      </c>
      <c r="K2351" s="4" t="s">
        <v>144</v>
      </c>
      <c r="L2351" s="4" t="s">
        <v>4181</v>
      </c>
      <c r="M2351" s="4" t="s">
        <v>1042</v>
      </c>
      <c r="N2351" s="4" t="s">
        <v>155</v>
      </c>
      <c r="O2351" s="4" t="s">
        <v>501</v>
      </c>
      <c r="P2351" s="4"/>
    </row>
    <row r="2352" spans="1:16" ht="15">
      <c r="A2352" s="4" t="s">
        <v>3377</v>
      </c>
      <c r="B2352" s="30">
        <v>40049</v>
      </c>
      <c r="C2352" s="4"/>
      <c r="D2352" s="4" t="s">
        <v>195</v>
      </c>
      <c r="E2352" s="4" t="s">
        <v>170</v>
      </c>
      <c r="F2352" s="4" t="s">
        <v>155</v>
      </c>
      <c r="G2352" s="4">
        <v>5</v>
      </c>
      <c r="H2352" s="4">
        <v>5</v>
      </c>
      <c r="I2352" s="4" t="s">
        <v>139</v>
      </c>
      <c r="J2352" s="4" t="s">
        <v>413</v>
      </c>
      <c r="K2352" s="4" t="s">
        <v>144</v>
      </c>
      <c r="L2352" s="4" t="s">
        <v>4176</v>
      </c>
      <c r="M2352" s="4"/>
      <c r="N2352" s="4" t="s">
        <v>160</v>
      </c>
      <c r="O2352" s="4" t="s">
        <v>126</v>
      </c>
      <c r="P2352" s="4" t="s">
        <v>665</v>
      </c>
    </row>
    <row r="2353" spans="1:16" ht="15">
      <c r="A2353" s="4" t="s">
        <v>3378</v>
      </c>
      <c r="B2353" s="30">
        <v>40007</v>
      </c>
      <c r="C2353" s="4"/>
      <c r="D2353" s="4" t="s">
        <v>196</v>
      </c>
      <c r="E2353" s="4" t="s">
        <v>170</v>
      </c>
      <c r="F2353" s="4" t="s">
        <v>155</v>
      </c>
      <c r="G2353" s="4">
        <v>5</v>
      </c>
      <c r="H2353" s="4">
        <v>5</v>
      </c>
      <c r="I2353" s="4" t="s">
        <v>139</v>
      </c>
      <c r="J2353" s="4" t="s">
        <v>178</v>
      </c>
      <c r="K2353" s="4" t="s">
        <v>144</v>
      </c>
      <c r="L2353" s="4" t="s">
        <v>4176</v>
      </c>
      <c r="M2353" s="4" t="s">
        <v>578</v>
      </c>
      <c r="N2353" s="4" t="s">
        <v>157</v>
      </c>
      <c r="O2353" s="4" t="s">
        <v>127</v>
      </c>
      <c r="P2353" s="4" t="s">
        <v>153</v>
      </c>
    </row>
    <row r="2354" spans="1:16" ht="15">
      <c r="A2354" s="4" t="s">
        <v>3379</v>
      </c>
      <c r="B2354" s="30">
        <v>40060</v>
      </c>
      <c r="C2354" s="4"/>
      <c r="D2354" s="4" t="s">
        <v>193</v>
      </c>
      <c r="E2354" s="4" t="s">
        <v>170</v>
      </c>
      <c r="F2354" s="4" t="s">
        <v>155</v>
      </c>
      <c r="G2354" s="4">
        <v>5</v>
      </c>
      <c r="H2354" s="4">
        <v>5</v>
      </c>
      <c r="I2354" s="4" t="s">
        <v>140</v>
      </c>
      <c r="J2354" s="4" t="s">
        <v>178</v>
      </c>
      <c r="K2354" s="4" t="s">
        <v>142</v>
      </c>
      <c r="L2354" s="4" t="s">
        <v>4181</v>
      </c>
      <c r="M2354" s="4" t="s">
        <v>173</v>
      </c>
      <c r="N2354" s="4" t="s">
        <v>155</v>
      </c>
      <c r="O2354" s="4" t="s">
        <v>454</v>
      </c>
      <c r="P2354" s="4"/>
    </row>
    <row r="2355" spans="1:16" ht="15">
      <c r="A2355" s="4" t="s">
        <v>3380</v>
      </c>
      <c r="B2355" s="30">
        <v>39914</v>
      </c>
      <c r="C2355" s="4"/>
      <c r="D2355" s="4" t="s">
        <v>4178</v>
      </c>
      <c r="E2355" s="4" t="s">
        <v>170</v>
      </c>
      <c r="F2355" s="4" t="s">
        <v>155</v>
      </c>
      <c r="G2355" s="4"/>
      <c r="H2355" s="4"/>
      <c r="I2355" s="4" t="s">
        <v>139</v>
      </c>
      <c r="J2355" s="4" t="s">
        <v>178</v>
      </c>
      <c r="K2355" s="4" t="s">
        <v>149</v>
      </c>
      <c r="L2355" s="4" t="s">
        <v>162</v>
      </c>
      <c r="M2355" s="4" t="s">
        <v>175</v>
      </c>
      <c r="N2355" s="4" t="s">
        <v>155</v>
      </c>
      <c r="O2355" s="4" t="s">
        <v>387</v>
      </c>
      <c r="P2355" s="4"/>
    </row>
    <row r="2356" spans="1:16" ht="15">
      <c r="A2356" s="4" t="s">
        <v>3381</v>
      </c>
      <c r="B2356" s="30">
        <v>40058</v>
      </c>
      <c r="C2356" s="4"/>
      <c r="D2356" s="4" t="s">
        <v>193</v>
      </c>
      <c r="E2356" s="4" t="s">
        <v>170</v>
      </c>
      <c r="F2356" s="4" t="s">
        <v>155</v>
      </c>
      <c r="G2356" s="4">
        <v>5</v>
      </c>
      <c r="H2356" s="4">
        <v>2</v>
      </c>
      <c r="I2356" s="4" t="s">
        <v>140</v>
      </c>
      <c r="J2356" s="4" t="s">
        <v>178</v>
      </c>
      <c r="K2356" s="4" t="s">
        <v>143</v>
      </c>
      <c r="L2356" s="4" t="s">
        <v>162</v>
      </c>
      <c r="M2356" s="4" t="s">
        <v>863</v>
      </c>
      <c r="N2356" s="4" t="s">
        <v>155</v>
      </c>
      <c r="O2356" s="4" t="s">
        <v>129</v>
      </c>
      <c r="P2356" s="4"/>
    </row>
    <row r="2357" spans="1:16" ht="15">
      <c r="A2357" s="4" t="s">
        <v>3382</v>
      </c>
      <c r="B2357" s="30">
        <v>40067</v>
      </c>
      <c r="C2357" s="4"/>
      <c r="D2357" s="4" t="s">
        <v>195</v>
      </c>
      <c r="E2357" s="4" t="s">
        <v>170</v>
      </c>
      <c r="F2357" s="4" t="s">
        <v>155</v>
      </c>
      <c r="G2357" s="4">
        <v>5</v>
      </c>
      <c r="H2357" s="4">
        <v>5</v>
      </c>
      <c r="I2357" s="4" t="s">
        <v>139</v>
      </c>
      <c r="J2357" s="4" t="s">
        <v>180</v>
      </c>
      <c r="K2357" s="4" t="s">
        <v>148</v>
      </c>
      <c r="L2357" s="4" t="s">
        <v>4176</v>
      </c>
      <c r="M2357" s="4" t="s">
        <v>2900</v>
      </c>
      <c r="N2357" s="4" t="s">
        <v>157</v>
      </c>
      <c r="O2357" s="4" t="s">
        <v>127</v>
      </c>
      <c r="P2357" s="4" t="s">
        <v>153</v>
      </c>
    </row>
    <row r="2358" spans="1:16" ht="15">
      <c r="A2358" s="4" t="s">
        <v>3383</v>
      </c>
      <c r="B2358" s="30">
        <v>39930</v>
      </c>
      <c r="C2358" s="4" t="s">
        <v>525</v>
      </c>
      <c r="D2358" s="4" t="s">
        <v>4184</v>
      </c>
      <c r="E2358" s="4" t="s">
        <v>170</v>
      </c>
      <c r="F2358" s="4" t="s">
        <v>155</v>
      </c>
      <c r="G2358" s="4"/>
      <c r="H2358" s="4"/>
      <c r="I2358" s="4" t="s">
        <v>140</v>
      </c>
      <c r="J2358" s="4" t="s">
        <v>183</v>
      </c>
      <c r="K2358" s="4" t="s">
        <v>149</v>
      </c>
      <c r="L2358" s="4" t="s">
        <v>4176</v>
      </c>
      <c r="M2358" s="4" t="s">
        <v>175</v>
      </c>
      <c r="N2358" s="4" t="s">
        <v>125</v>
      </c>
      <c r="O2358" s="4" t="s">
        <v>751</v>
      </c>
      <c r="P2358" s="4" t="s">
        <v>3384</v>
      </c>
    </row>
    <row r="2359" spans="1:16" ht="15">
      <c r="A2359" s="4" t="s">
        <v>3385</v>
      </c>
      <c r="B2359" s="30">
        <v>40079</v>
      </c>
      <c r="C2359" s="4"/>
      <c r="D2359" s="4" t="s">
        <v>193</v>
      </c>
      <c r="E2359" s="4" t="s">
        <v>170</v>
      </c>
      <c r="F2359" s="4" t="s">
        <v>155</v>
      </c>
      <c r="G2359" s="4">
        <v>5</v>
      </c>
      <c r="H2359" s="4">
        <v>5</v>
      </c>
      <c r="I2359" s="4" t="s">
        <v>140</v>
      </c>
      <c r="J2359" s="4" t="s">
        <v>191</v>
      </c>
      <c r="K2359" s="4" t="s">
        <v>142</v>
      </c>
      <c r="L2359" s="4" t="s">
        <v>162</v>
      </c>
      <c r="M2359" s="4" t="s">
        <v>459</v>
      </c>
      <c r="N2359" s="4" t="s">
        <v>155</v>
      </c>
      <c r="O2359" s="4" t="s">
        <v>129</v>
      </c>
      <c r="P2359" s="4"/>
    </row>
    <row r="2360" spans="1:16" ht="15">
      <c r="A2360" s="4" t="s">
        <v>3386</v>
      </c>
      <c r="B2360" s="30">
        <v>40043</v>
      </c>
      <c r="C2360" s="4"/>
      <c r="D2360" s="4" t="s">
        <v>193</v>
      </c>
      <c r="E2360" s="4" t="s">
        <v>170</v>
      </c>
      <c r="F2360" s="4" t="s">
        <v>155</v>
      </c>
      <c r="G2360" s="4">
        <v>5</v>
      </c>
      <c r="H2360" s="4">
        <v>3</v>
      </c>
      <c r="I2360" s="4" t="s">
        <v>140</v>
      </c>
      <c r="J2360" s="4" t="s">
        <v>183</v>
      </c>
      <c r="K2360" s="4" t="s">
        <v>143</v>
      </c>
      <c r="L2360" s="4" t="s">
        <v>4181</v>
      </c>
      <c r="M2360" s="4" t="s">
        <v>173</v>
      </c>
      <c r="N2360" s="4" t="s">
        <v>155</v>
      </c>
      <c r="O2360" s="4" t="s">
        <v>125</v>
      </c>
      <c r="P2360" s="4"/>
    </row>
    <row r="2361" spans="1:16" ht="15">
      <c r="A2361" s="4" t="s">
        <v>3387</v>
      </c>
      <c r="B2361" s="30">
        <v>39955</v>
      </c>
      <c r="C2361" s="4"/>
      <c r="D2361" s="4" t="s">
        <v>193</v>
      </c>
      <c r="E2361" s="4" t="s">
        <v>170</v>
      </c>
      <c r="F2361" s="4" t="s">
        <v>155</v>
      </c>
      <c r="G2361" s="4"/>
      <c r="H2361" s="4"/>
      <c r="I2361" s="4" t="s">
        <v>140</v>
      </c>
      <c r="J2361" s="4" t="s">
        <v>191</v>
      </c>
      <c r="K2361" s="4" t="s">
        <v>144</v>
      </c>
      <c r="L2361" s="4" t="s">
        <v>4176</v>
      </c>
      <c r="M2361" s="4" t="s">
        <v>174</v>
      </c>
      <c r="N2361" s="4" t="s">
        <v>157</v>
      </c>
      <c r="O2361" s="4" t="s">
        <v>646</v>
      </c>
      <c r="P2361" s="4" t="s">
        <v>3388</v>
      </c>
    </row>
    <row r="2362" spans="1:16" ht="15">
      <c r="A2362" s="4" t="s">
        <v>3389</v>
      </c>
      <c r="B2362" s="30">
        <v>39937</v>
      </c>
      <c r="C2362" s="4" t="s">
        <v>380</v>
      </c>
      <c r="D2362" s="4" t="s">
        <v>4184</v>
      </c>
      <c r="E2362" s="4" t="s">
        <v>170</v>
      </c>
      <c r="F2362" s="4" t="s">
        <v>155</v>
      </c>
      <c r="G2362" s="4"/>
      <c r="H2362" s="4"/>
      <c r="I2362" s="4" t="s">
        <v>140</v>
      </c>
      <c r="J2362" s="4" t="s">
        <v>182</v>
      </c>
      <c r="K2362" s="4" t="s">
        <v>147</v>
      </c>
      <c r="L2362" s="4" t="s">
        <v>4181</v>
      </c>
      <c r="M2362" s="4" t="s">
        <v>173</v>
      </c>
      <c r="N2362" s="4" t="s">
        <v>155</v>
      </c>
      <c r="O2362" s="4" t="s">
        <v>830</v>
      </c>
      <c r="P2362" s="4"/>
    </row>
    <row r="2363" spans="1:16" ht="15">
      <c r="A2363" s="4" t="s">
        <v>3390</v>
      </c>
      <c r="B2363" s="30">
        <v>40006</v>
      </c>
      <c r="C2363" s="4"/>
      <c r="D2363" s="4" t="s">
        <v>194</v>
      </c>
      <c r="E2363" s="4" t="s">
        <v>170</v>
      </c>
      <c r="F2363" s="4" t="s">
        <v>155</v>
      </c>
      <c r="G2363" s="4">
        <v>5</v>
      </c>
      <c r="H2363" s="4">
        <v>5</v>
      </c>
      <c r="I2363" s="4" t="s">
        <v>139</v>
      </c>
      <c r="J2363" s="4" t="s">
        <v>182</v>
      </c>
      <c r="K2363" s="4" t="s">
        <v>142</v>
      </c>
      <c r="L2363" s="4" t="s">
        <v>4176</v>
      </c>
      <c r="M2363" s="4" t="s">
        <v>174</v>
      </c>
      <c r="N2363" s="4" t="s">
        <v>156</v>
      </c>
      <c r="O2363" s="4" t="s">
        <v>120</v>
      </c>
      <c r="P2363" s="4" t="s">
        <v>995</v>
      </c>
    </row>
    <row r="2364" spans="1:16" ht="15">
      <c r="A2364" s="4" t="s">
        <v>3391</v>
      </c>
      <c r="B2364" s="30">
        <v>39928</v>
      </c>
      <c r="C2364" s="4" t="s">
        <v>380</v>
      </c>
      <c r="D2364" s="4" t="s">
        <v>4179</v>
      </c>
      <c r="E2364" s="4" t="s">
        <v>170</v>
      </c>
      <c r="F2364" s="4" t="s">
        <v>155</v>
      </c>
      <c r="G2364" s="4"/>
      <c r="H2364" s="4"/>
      <c r="I2364" s="4" t="s">
        <v>139</v>
      </c>
      <c r="J2364" s="4" t="s">
        <v>179</v>
      </c>
      <c r="K2364" s="4" t="s">
        <v>145</v>
      </c>
      <c r="L2364" s="4" t="s">
        <v>4176</v>
      </c>
      <c r="M2364" s="4" t="s">
        <v>174</v>
      </c>
      <c r="N2364" s="4" t="s">
        <v>156</v>
      </c>
      <c r="O2364" s="4" t="s">
        <v>120</v>
      </c>
      <c r="P2364" s="4" t="s">
        <v>832</v>
      </c>
    </row>
    <row r="2365" spans="1:16" ht="15">
      <c r="A2365" s="4" t="s">
        <v>3392</v>
      </c>
      <c r="B2365" s="30">
        <v>40041</v>
      </c>
      <c r="C2365" s="4" t="s">
        <v>383</v>
      </c>
      <c r="D2365" s="4" t="s">
        <v>193</v>
      </c>
      <c r="E2365" s="4" t="s">
        <v>170</v>
      </c>
      <c r="F2365" s="4" t="s">
        <v>155</v>
      </c>
      <c r="G2365" s="4">
        <v>1</v>
      </c>
      <c r="H2365" s="4">
        <v>3</v>
      </c>
      <c r="I2365" s="4" t="s">
        <v>140</v>
      </c>
      <c r="J2365" s="4" t="s">
        <v>179</v>
      </c>
      <c r="K2365" s="4" t="s">
        <v>148</v>
      </c>
      <c r="L2365" s="4" t="s">
        <v>4176</v>
      </c>
      <c r="M2365" s="4" t="s">
        <v>174</v>
      </c>
      <c r="N2365" s="4" t="s">
        <v>157</v>
      </c>
      <c r="O2365" s="4" t="s">
        <v>434</v>
      </c>
      <c r="P2365" s="4" t="s">
        <v>435</v>
      </c>
    </row>
    <row r="2366" spans="1:16" ht="15">
      <c r="A2366" s="4" t="s">
        <v>3393</v>
      </c>
      <c r="B2366" s="30">
        <v>39964</v>
      </c>
      <c r="C2366" s="4"/>
      <c r="D2366" s="4" t="s">
        <v>193</v>
      </c>
      <c r="E2366" s="4" t="s">
        <v>170</v>
      </c>
      <c r="F2366" s="4" t="s">
        <v>155</v>
      </c>
      <c r="G2366" s="4"/>
      <c r="H2366" s="4"/>
      <c r="I2366" s="4" t="s">
        <v>140</v>
      </c>
      <c r="J2366" s="4" t="s">
        <v>182</v>
      </c>
      <c r="K2366" s="4" t="s">
        <v>144</v>
      </c>
      <c r="L2366" s="4" t="s">
        <v>162</v>
      </c>
      <c r="M2366" s="4" t="s">
        <v>175</v>
      </c>
      <c r="N2366" s="4" t="s">
        <v>155</v>
      </c>
      <c r="O2366" s="4" t="s">
        <v>129</v>
      </c>
      <c r="P2366" s="4"/>
    </row>
    <row r="2367" spans="1:16" ht="15">
      <c r="A2367" s="4" t="s">
        <v>3394</v>
      </c>
      <c r="B2367" s="30">
        <v>40026</v>
      </c>
      <c r="C2367" s="4"/>
      <c r="D2367" s="4" t="s">
        <v>197</v>
      </c>
      <c r="E2367" s="4" t="s">
        <v>170</v>
      </c>
      <c r="F2367" s="4" t="s">
        <v>155</v>
      </c>
      <c r="G2367" s="4">
        <v>5</v>
      </c>
      <c r="H2367" s="4">
        <v>5</v>
      </c>
      <c r="I2367" s="4" t="s">
        <v>139</v>
      </c>
      <c r="J2367" s="4" t="s">
        <v>180</v>
      </c>
      <c r="K2367" s="4" t="s">
        <v>142</v>
      </c>
      <c r="L2367" s="4" t="s">
        <v>162</v>
      </c>
      <c r="M2367" s="4" t="s">
        <v>175</v>
      </c>
      <c r="N2367" s="4" t="s">
        <v>155</v>
      </c>
      <c r="O2367" s="4" t="s">
        <v>454</v>
      </c>
      <c r="P2367" s="4"/>
    </row>
    <row r="2368" spans="1:16" ht="15">
      <c r="A2368" s="4" t="s">
        <v>3395</v>
      </c>
      <c r="B2368" s="30">
        <v>40076</v>
      </c>
      <c r="C2368" s="4"/>
      <c r="D2368" s="4" t="s">
        <v>196</v>
      </c>
      <c r="E2368" s="4" t="s">
        <v>170</v>
      </c>
      <c r="F2368" s="4" t="s">
        <v>155</v>
      </c>
      <c r="G2368" s="4">
        <v>1</v>
      </c>
      <c r="H2368" s="4">
        <v>3</v>
      </c>
      <c r="I2368" s="4" t="s">
        <v>139</v>
      </c>
      <c r="J2368" s="4" t="s">
        <v>178</v>
      </c>
      <c r="K2368" s="4" t="s">
        <v>150</v>
      </c>
      <c r="L2368" s="4" t="s">
        <v>4176</v>
      </c>
      <c r="M2368" s="4" t="s">
        <v>175</v>
      </c>
      <c r="N2368" s="4" t="s">
        <v>125</v>
      </c>
      <c r="O2368" s="4" t="s">
        <v>628</v>
      </c>
      <c r="P2368" s="4" t="s">
        <v>3396</v>
      </c>
    </row>
    <row r="2369" spans="1:16" ht="15">
      <c r="A2369" s="4" t="s">
        <v>3397</v>
      </c>
      <c r="B2369" s="30">
        <v>40007</v>
      </c>
      <c r="C2369" s="4"/>
      <c r="D2369" s="4" t="s">
        <v>193</v>
      </c>
      <c r="E2369" s="4" t="s">
        <v>170</v>
      </c>
      <c r="F2369" s="4" t="s">
        <v>155</v>
      </c>
      <c r="G2369" s="4">
        <v>1</v>
      </c>
      <c r="H2369" s="4">
        <v>5</v>
      </c>
      <c r="I2369" s="4" t="s">
        <v>140</v>
      </c>
      <c r="J2369" s="4" t="s">
        <v>188</v>
      </c>
      <c r="K2369" s="4" t="s">
        <v>151</v>
      </c>
      <c r="L2369" s="4" t="s">
        <v>4176</v>
      </c>
      <c r="M2369" s="4" t="s">
        <v>174</v>
      </c>
      <c r="N2369" s="4" t="s">
        <v>156</v>
      </c>
      <c r="O2369" s="4" t="s">
        <v>120</v>
      </c>
      <c r="P2369" s="4" t="s">
        <v>3398</v>
      </c>
    </row>
    <row r="2370" spans="1:16" ht="15">
      <c r="A2370" s="4" t="s">
        <v>3399</v>
      </c>
      <c r="B2370" s="30">
        <v>39923</v>
      </c>
      <c r="C2370" s="4"/>
      <c r="D2370" s="4" t="s">
        <v>4177</v>
      </c>
      <c r="E2370" s="4" t="s">
        <v>170</v>
      </c>
      <c r="F2370" s="4" t="s">
        <v>155</v>
      </c>
      <c r="G2370" s="4"/>
      <c r="H2370" s="4"/>
      <c r="I2370" s="4" t="s">
        <v>139</v>
      </c>
      <c r="J2370" s="4" t="s">
        <v>182</v>
      </c>
      <c r="K2370" s="4" t="s">
        <v>145</v>
      </c>
      <c r="L2370" s="4" t="s">
        <v>4176</v>
      </c>
      <c r="M2370" s="4" t="s">
        <v>550</v>
      </c>
      <c r="N2370" s="4" t="s">
        <v>156</v>
      </c>
      <c r="O2370" s="4" t="s">
        <v>120</v>
      </c>
      <c r="P2370" s="4" t="s">
        <v>3400</v>
      </c>
    </row>
    <row r="2371" spans="1:16" ht="15">
      <c r="A2371" s="4" t="s">
        <v>3401</v>
      </c>
      <c r="B2371" s="30">
        <v>40017</v>
      </c>
      <c r="C2371" s="4"/>
      <c r="D2371" s="4" t="s">
        <v>195</v>
      </c>
      <c r="E2371" s="4" t="s">
        <v>170</v>
      </c>
      <c r="F2371" s="4" t="s">
        <v>155</v>
      </c>
      <c r="G2371" s="4">
        <v>5</v>
      </c>
      <c r="H2371" s="4">
        <v>2</v>
      </c>
      <c r="I2371" s="4" t="s">
        <v>139</v>
      </c>
      <c r="J2371" s="4" t="s">
        <v>178</v>
      </c>
      <c r="K2371" s="4" t="s">
        <v>149</v>
      </c>
      <c r="L2371" s="4" t="s">
        <v>4176</v>
      </c>
      <c r="M2371" s="4" t="s">
        <v>174</v>
      </c>
      <c r="N2371" s="4" t="s">
        <v>157</v>
      </c>
      <c r="O2371" s="4" t="s">
        <v>1075</v>
      </c>
      <c r="P2371" s="4" t="s">
        <v>3402</v>
      </c>
    </row>
    <row r="2372" spans="1:16" ht="15">
      <c r="A2372" s="4" t="s">
        <v>3403</v>
      </c>
      <c r="B2372" s="30">
        <v>39929</v>
      </c>
      <c r="C2372" s="4" t="s">
        <v>380</v>
      </c>
      <c r="D2372" s="4" t="s">
        <v>4182</v>
      </c>
      <c r="E2372" s="4" t="s">
        <v>170</v>
      </c>
      <c r="F2372" s="4" t="s">
        <v>155</v>
      </c>
      <c r="G2372" s="4"/>
      <c r="H2372" s="4"/>
      <c r="I2372" s="4" t="s">
        <v>139</v>
      </c>
      <c r="J2372" s="4" t="s">
        <v>188</v>
      </c>
      <c r="K2372" s="4" t="s">
        <v>145</v>
      </c>
      <c r="L2372" s="4" t="s">
        <v>4176</v>
      </c>
      <c r="M2372" s="4" t="s">
        <v>933</v>
      </c>
      <c r="N2372" s="4" t="s">
        <v>159</v>
      </c>
      <c r="O2372" s="4" t="s">
        <v>126</v>
      </c>
      <c r="P2372" s="4" t="s">
        <v>601</v>
      </c>
    </row>
    <row r="2373" spans="1:16" ht="15">
      <c r="A2373" s="4" t="s">
        <v>3404</v>
      </c>
      <c r="B2373" s="30">
        <v>40084</v>
      </c>
      <c r="C2373" s="4"/>
      <c r="D2373" s="4" t="s">
        <v>193</v>
      </c>
      <c r="E2373" s="4" t="s">
        <v>170</v>
      </c>
      <c r="F2373" s="4" t="s">
        <v>155</v>
      </c>
      <c r="G2373" s="4">
        <v>5</v>
      </c>
      <c r="H2373" s="4">
        <v>5</v>
      </c>
      <c r="I2373" s="4" t="s">
        <v>140</v>
      </c>
      <c r="J2373" s="4" t="s">
        <v>178</v>
      </c>
      <c r="K2373" s="4" t="s">
        <v>148</v>
      </c>
      <c r="L2373" s="4" t="s">
        <v>4176</v>
      </c>
      <c r="M2373" s="4"/>
      <c r="N2373" s="4" t="s">
        <v>160</v>
      </c>
      <c r="O2373" s="4" t="s">
        <v>484</v>
      </c>
      <c r="P2373" s="4" t="s">
        <v>924</v>
      </c>
    </row>
    <row r="2374" spans="1:16" ht="15">
      <c r="A2374" s="4" t="s">
        <v>3405</v>
      </c>
      <c r="B2374" s="30">
        <v>40041</v>
      </c>
      <c r="C2374" s="4" t="s">
        <v>383</v>
      </c>
      <c r="D2374" s="4" t="s">
        <v>193</v>
      </c>
      <c r="E2374" s="4" t="s">
        <v>170</v>
      </c>
      <c r="F2374" s="4" t="s">
        <v>155</v>
      </c>
      <c r="G2374" s="4">
        <v>5</v>
      </c>
      <c r="H2374" s="4">
        <v>2</v>
      </c>
      <c r="I2374" s="4" t="s">
        <v>140</v>
      </c>
      <c r="J2374" s="4" t="s">
        <v>184</v>
      </c>
      <c r="K2374" s="4" t="s">
        <v>144</v>
      </c>
      <c r="L2374" s="4" t="s">
        <v>165</v>
      </c>
      <c r="M2374" s="4" t="s">
        <v>2169</v>
      </c>
      <c r="N2374" s="4" t="s">
        <v>158</v>
      </c>
      <c r="O2374" s="4" t="s">
        <v>122</v>
      </c>
      <c r="P2374" s="4"/>
    </row>
    <row r="2375" spans="1:16" ht="15">
      <c r="A2375" s="4" t="s">
        <v>3406</v>
      </c>
      <c r="B2375" s="30">
        <v>40073</v>
      </c>
      <c r="C2375" s="4"/>
      <c r="D2375" s="4" t="s">
        <v>196</v>
      </c>
      <c r="E2375" s="4" t="s">
        <v>170</v>
      </c>
      <c r="F2375" s="4" t="s">
        <v>155</v>
      </c>
      <c r="G2375" s="4">
        <v>5</v>
      </c>
      <c r="H2375" s="4">
        <v>5</v>
      </c>
      <c r="I2375" s="4" t="s">
        <v>139</v>
      </c>
      <c r="J2375" s="4" t="s">
        <v>182</v>
      </c>
      <c r="K2375" s="4" t="s">
        <v>149</v>
      </c>
      <c r="L2375" s="4" t="s">
        <v>4181</v>
      </c>
      <c r="M2375" s="4" t="s">
        <v>3407</v>
      </c>
      <c r="N2375" s="4" t="s">
        <v>155</v>
      </c>
      <c r="O2375" s="4" t="s">
        <v>128</v>
      </c>
      <c r="P2375" s="4"/>
    </row>
    <row r="2376" spans="1:16" ht="15">
      <c r="A2376" s="4" t="s">
        <v>3408</v>
      </c>
      <c r="B2376" s="30">
        <v>40013</v>
      </c>
      <c r="C2376" s="4"/>
      <c r="D2376" s="4" t="s">
        <v>193</v>
      </c>
      <c r="E2376" s="4" t="s">
        <v>170</v>
      </c>
      <c r="F2376" s="4" t="s">
        <v>155</v>
      </c>
      <c r="G2376" s="4">
        <v>5</v>
      </c>
      <c r="H2376" s="4">
        <v>3</v>
      </c>
      <c r="I2376" s="4" t="s">
        <v>140</v>
      </c>
      <c r="J2376" s="4" t="s">
        <v>178</v>
      </c>
      <c r="K2376" s="4" t="s">
        <v>142</v>
      </c>
      <c r="L2376" s="4" t="s">
        <v>162</v>
      </c>
      <c r="M2376" s="4" t="s">
        <v>3409</v>
      </c>
      <c r="N2376" s="4" t="s">
        <v>155</v>
      </c>
      <c r="O2376" s="4" t="s">
        <v>130</v>
      </c>
      <c r="P2376" s="4"/>
    </row>
    <row r="2377" spans="1:16" ht="15">
      <c r="A2377" s="4" t="s">
        <v>3410</v>
      </c>
      <c r="B2377" s="30">
        <v>40026</v>
      </c>
      <c r="C2377" s="4"/>
      <c r="D2377" s="4" t="s">
        <v>193</v>
      </c>
      <c r="E2377" s="4" t="s">
        <v>170</v>
      </c>
      <c r="F2377" s="4" t="s">
        <v>155</v>
      </c>
      <c r="G2377" s="4">
        <v>5</v>
      </c>
      <c r="H2377" s="4">
        <v>3</v>
      </c>
      <c r="I2377" s="4" t="s">
        <v>140</v>
      </c>
      <c r="J2377" s="4" t="s">
        <v>180</v>
      </c>
      <c r="K2377" s="4" t="s">
        <v>143</v>
      </c>
      <c r="L2377" s="4" t="s">
        <v>162</v>
      </c>
      <c r="M2377" s="4" t="s">
        <v>176</v>
      </c>
      <c r="N2377" s="4" t="s">
        <v>155</v>
      </c>
      <c r="O2377" s="4" t="s">
        <v>129</v>
      </c>
      <c r="P2377" s="4"/>
    </row>
    <row r="2378" spans="1:16" ht="15">
      <c r="A2378" s="4" t="s">
        <v>3411</v>
      </c>
      <c r="B2378" s="30">
        <v>39914</v>
      </c>
      <c r="C2378" s="4"/>
      <c r="D2378" s="4" t="s">
        <v>4177</v>
      </c>
      <c r="E2378" s="4" t="s">
        <v>170</v>
      </c>
      <c r="F2378" s="4" t="s">
        <v>155</v>
      </c>
      <c r="G2378" s="4"/>
      <c r="H2378" s="4"/>
      <c r="I2378" s="4" t="s">
        <v>139</v>
      </c>
      <c r="J2378" s="4" t="s">
        <v>182</v>
      </c>
      <c r="K2378" s="4" t="s">
        <v>142</v>
      </c>
      <c r="L2378" s="4" t="s">
        <v>4181</v>
      </c>
      <c r="M2378" s="4" t="s">
        <v>173</v>
      </c>
      <c r="N2378" s="4" t="s">
        <v>161</v>
      </c>
      <c r="O2378" s="4" t="s">
        <v>420</v>
      </c>
      <c r="P2378" s="4"/>
    </row>
    <row r="2379" spans="1:16" ht="15">
      <c r="A2379" s="4" t="s">
        <v>3412</v>
      </c>
      <c r="B2379" s="30">
        <v>39973</v>
      </c>
      <c r="C2379" s="4" t="s">
        <v>380</v>
      </c>
      <c r="D2379" s="4" t="s">
        <v>195</v>
      </c>
      <c r="E2379" s="4" t="s">
        <v>170</v>
      </c>
      <c r="F2379" s="4" t="s">
        <v>155</v>
      </c>
      <c r="G2379" s="4"/>
      <c r="H2379" s="4"/>
      <c r="I2379" s="4" t="s">
        <v>139</v>
      </c>
      <c r="J2379" s="4" t="s">
        <v>182</v>
      </c>
      <c r="K2379" s="4" t="s">
        <v>142</v>
      </c>
      <c r="L2379" s="4" t="s">
        <v>4176</v>
      </c>
      <c r="M2379" s="4" t="s">
        <v>174</v>
      </c>
      <c r="N2379" s="4" t="s">
        <v>156</v>
      </c>
      <c r="O2379" s="4" t="s">
        <v>120</v>
      </c>
      <c r="P2379" s="4" t="s">
        <v>741</v>
      </c>
    </row>
    <row r="2380" spans="1:16" ht="15">
      <c r="A2380" s="4" t="s">
        <v>3413</v>
      </c>
      <c r="B2380" s="30">
        <v>40034</v>
      </c>
      <c r="C2380" s="4"/>
      <c r="D2380" s="4" t="s">
        <v>195</v>
      </c>
      <c r="E2380" s="4" t="s">
        <v>170</v>
      </c>
      <c r="F2380" s="4" t="s">
        <v>155</v>
      </c>
      <c r="G2380" s="4">
        <v>5</v>
      </c>
      <c r="H2380" s="4">
        <v>5</v>
      </c>
      <c r="I2380" s="4" t="s">
        <v>139</v>
      </c>
      <c r="J2380" s="4" t="s">
        <v>576</v>
      </c>
      <c r="K2380" s="4" t="s">
        <v>146</v>
      </c>
      <c r="L2380" s="4" t="s">
        <v>4176</v>
      </c>
      <c r="M2380" s="4" t="s">
        <v>550</v>
      </c>
      <c r="N2380" s="4" t="s">
        <v>160</v>
      </c>
      <c r="O2380" s="4" t="s">
        <v>956</v>
      </c>
      <c r="P2380" s="4" t="s">
        <v>3414</v>
      </c>
    </row>
    <row r="2381" spans="1:16" ht="15">
      <c r="A2381" s="4" t="s">
        <v>3415</v>
      </c>
      <c r="B2381" s="30">
        <v>39997</v>
      </c>
      <c r="C2381" s="4"/>
      <c r="D2381" s="4" t="s">
        <v>193</v>
      </c>
      <c r="E2381" s="4" t="s">
        <v>170</v>
      </c>
      <c r="F2381" s="4" t="s">
        <v>155</v>
      </c>
      <c r="G2381" s="4"/>
      <c r="H2381" s="4">
        <v>3</v>
      </c>
      <c r="I2381" s="4" t="s">
        <v>140</v>
      </c>
      <c r="J2381" s="4" t="s">
        <v>181</v>
      </c>
      <c r="K2381" s="4" t="s">
        <v>145</v>
      </c>
      <c r="L2381" s="4" t="s">
        <v>4176</v>
      </c>
      <c r="M2381" s="4"/>
      <c r="N2381" s="4" t="s">
        <v>160</v>
      </c>
      <c r="O2381" s="4" t="s">
        <v>126</v>
      </c>
      <c r="P2381" s="4" t="s">
        <v>3416</v>
      </c>
    </row>
    <row r="2382" spans="1:16" ht="15">
      <c r="A2382" s="4" t="s">
        <v>3417</v>
      </c>
      <c r="B2382" s="30">
        <v>39973</v>
      </c>
      <c r="C2382" s="4" t="s">
        <v>496</v>
      </c>
      <c r="D2382" s="4" t="s">
        <v>194</v>
      </c>
      <c r="E2382" s="4" t="s">
        <v>170</v>
      </c>
      <c r="F2382" s="4" t="s">
        <v>155</v>
      </c>
      <c r="G2382" s="4"/>
      <c r="H2382" s="4"/>
      <c r="I2382" s="4" t="s">
        <v>139</v>
      </c>
      <c r="J2382" s="4" t="s">
        <v>603</v>
      </c>
      <c r="K2382" s="4" t="s">
        <v>146</v>
      </c>
      <c r="L2382" s="4" t="s">
        <v>162</v>
      </c>
      <c r="M2382" s="4" t="s">
        <v>3418</v>
      </c>
      <c r="N2382" s="4" t="s">
        <v>155</v>
      </c>
      <c r="O2382" s="4" t="s">
        <v>130</v>
      </c>
      <c r="P2382" s="4"/>
    </row>
    <row r="2383" spans="1:16" ht="15">
      <c r="A2383" s="4" t="s">
        <v>3419</v>
      </c>
      <c r="B2383" s="30">
        <v>40056</v>
      </c>
      <c r="C2383" s="4"/>
      <c r="D2383" s="4" t="s">
        <v>193</v>
      </c>
      <c r="E2383" s="4" t="s">
        <v>170</v>
      </c>
      <c r="F2383" s="4" t="s">
        <v>155</v>
      </c>
      <c r="G2383" s="4">
        <v>5</v>
      </c>
      <c r="H2383" s="4">
        <v>4</v>
      </c>
      <c r="I2383" s="4" t="s">
        <v>140</v>
      </c>
      <c r="J2383" s="4" t="s">
        <v>591</v>
      </c>
      <c r="K2383" s="4" t="s">
        <v>146</v>
      </c>
      <c r="L2383" s="4" t="s">
        <v>4176</v>
      </c>
      <c r="M2383" s="4"/>
      <c r="N2383" s="4" t="s">
        <v>160</v>
      </c>
      <c r="O2383" s="4" t="s">
        <v>454</v>
      </c>
      <c r="P2383" s="4" t="s">
        <v>3420</v>
      </c>
    </row>
    <row r="2384" spans="1:16" ht="15">
      <c r="A2384" s="4" t="s">
        <v>3421</v>
      </c>
      <c r="B2384" s="30">
        <v>39980</v>
      </c>
      <c r="C2384" s="4"/>
      <c r="D2384" s="4" t="s">
        <v>195</v>
      </c>
      <c r="E2384" s="4" t="s">
        <v>170</v>
      </c>
      <c r="F2384" s="4" t="s">
        <v>155</v>
      </c>
      <c r="G2384" s="4"/>
      <c r="H2384" s="4"/>
      <c r="I2384" s="4" t="s">
        <v>139</v>
      </c>
      <c r="J2384" s="4" t="s">
        <v>179</v>
      </c>
      <c r="K2384" s="4" t="s">
        <v>144</v>
      </c>
      <c r="L2384" s="4" t="s">
        <v>4176</v>
      </c>
      <c r="M2384" s="4" t="s">
        <v>174</v>
      </c>
      <c r="N2384" s="4" t="s">
        <v>157</v>
      </c>
      <c r="O2384" s="4" t="s">
        <v>387</v>
      </c>
      <c r="P2384" s="4" t="s">
        <v>3422</v>
      </c>
    </row>
    <row r="2385" spans="1:16" ht="15">
      <c r="A2385" s="4" t="s">
        <v>3423</v>
      </c>
      <c r="B2385" s="30">
        <v>39946</v>
      </c>
      <c r="C2385" s="4"/>
      <c r="D2385" s="4" t="s">
        <v>195</v>
      </c>
      <c r="E2385" s="4" t="s">
        <v>170</v>
      </c>
      <c r="F2385" s="4" t="s">
        <v>155</v>
      </c>
      <c r="G2385" s="4"/>
      <c r="H2385" s="4"/>
      <c r="I2385" s="4" t="s">
        <v>139</v>
      </c>
      <c r="J2385" s="4" t="s">
        <v>182</v>
      </c>
      <c r="K2385" s="4" t="s">
        <v>143</v>
      </c>
      <c r="L2385" s="4" t="s">
        <v>4181</v>
      </c>
      <c r="M2385" s="4" t="s">
        <v>173</v>
      </c>
      <c r="N2385" s="4" t="s">
        <v>161</v>
      </c>
      <c r="O2385" s="4" t="s">
        <v>3424</v>
      </c>
      <c r="P2385" s="4"/>
    </row>
    <row r="2386" spans="1:16" ht="15">
      <c r="A2386" s="4" t="s">
        <v>3425</v>
      </c>
      <c r="B2386" s="30">
        <v>40062</v>
      </c>
      <c r="C2386" s="4" t="s">
        <v>383</v>
      </c>
      <c r="D2386" s="4" t="s">
        <v>193</v>
      </c>
      <c r="E2386" s="4" t="s">
        <v>170</v>
      </c>
      <c r="F2386" s="4" t="s">
        <v>155</v>
      </c>
      <c r="G2386" s="4">
        <v>5</v>
      </c>
      <c r="H2386" s="4">
        <v>5</v>
      </c>
      <c r="I2386" s="4" t="s">
        <v>140</v>
      </c>
      <c r="J2386" s="4" t="s">
        <v>178</v>
      </c>
      <c r="K2386" s="4" t="s">
        <v>149</v>
      </c>
      <c r="L2386" s="4" t="s">
        <v>4176</v>
      </c>
      <c r="M2386" s="4" t="s">
        <v>3426</v>
      </c>
      <c r="N2386" s="4" t="s">
        <v>160</v>
      </c>
      <c r="O2386" s="4" t="s">
        <v>484</v>
      </c>
      <c r="P2386" s="4" t="s">
        <v>667</v>
      </c>
    </row>
    <row r="2387" spans="1:16" ht="15">
      <c r="A2387" s="4" t="s">
        <v>3427</v>
      </c>
      <c r="B2387" s="30">
        <v>39941</v>
      </c>
      <c r="C2387" s="4"/>
      <c r="D2387" s="4" t="s">
        <v>195</v>
      </c>
      <c r="E2387" s="4" t="s">
        <v>170</v>
      </c>
      <c r="F2387" s="4" t="s">
        <v>155</v>
      </c>
      <c r="G2387" s="4"/>
      <c r="H2387" s="4"/>
      <c r="I2387" s="4" t="s">
        <v>139</v>
      </c>
      <c r="J2387" s="4" t="s">
        <v>189</v>
      </c>
      <c r="K2387" s="4" t="s">
        <v>149</v>
      </c>
      <c r="L2387" s="4" t="s">
        <v>4176</v>
      </c>
      <c r="M2387" s="4" t="s">
        <v>550</v>
      </c>
      <c r="N2387" s="4" t="s">
        <v>160</v>
      </c>
      <c r="O2387" s="4" t="s">
        <v>484</v>
      </c>
      <c r="P2387" s="4" t="s">
        <v>667</v>
      </c>
    </row>
    <row r="2388" spans="1:16" ht="15">
      <c r="A2388" s="4" t="s">
        <v>3428</v>
      </c>
      <c r="B2388" s="30">
        <v>40045</v>
      </c>
      <c r="C2388" s="4" t="s">
        <v>380</v>
      </c>
      <c r="D2388" s="4" t="s">
        <v>197</v>
      </c>
      <c r="E2388" s="4" t="s">
        <v>170</v>
      </c>
      <c r="F2388" s="4" t="s">
        <v>155</v>
      </c>
      <c r="G2388" s="4">
        <v>5</v>
      </c>
      <c r="H2388" s="4">
        <v>5</v>
      </c>
      <c r="I2388" s="4" t="s">
        <v>139</v>
      </c>
      <c r="J2388" s="4" t="s">
        <v>179</v>
      </c>
      <c r="K2388" s="4" t="s">
        <v>145</v>
      </c>
      <c r="L2388" s="4" t="s">
        <v>4176</v>
      </c>
      <c r="M2388" s="4" t="s">
        <v>174</v>
      </c>
      <c r="N2388" s="4" t="s">
        <v>156</v>
      </c>
      <c r="O2388" s="4" t="s">
        <v>120</v>
      </c>
      <c r="P2388" s="4" t="s">
        <v>649</v>
      </c>
    </row>
    <row r="2389" spans="1:16" ht="15">
      <c r="A2389" s="4" t="s">
        <v>3429</v>
      </c>
      <c r="B2389" s="30">
        <v>39916</v>
      </c>
      <c r="C2389" s="4"/>
      <c r="D2389" s="4" t="s">
        <v>4180</v>
      </c>
      <c r="E2389" s="4" t="s">
        <v>170</v>
      </c>
      <c r="F2389" s="4" t="s">
        <v>155</v>
      </c>
      <c r="G2389" s="4"/>
      <c r="H2389" s="4"/>
      <c r="I2389" s="4" t="s">
        <v>139</v>
      </c>
      <c r="J2389" s="4" t="s">
        <v>179</v>
      </c>
      <c r="K2389" s="4" t="s">
        <v>143</v>
      </c>
      <c r="L2389" s="4" t="s">
        <v>4176</v>
      </c>
      <c r="M2389" s="4" t="s">
        <v>3430</v>
      </c>
      <c r="N2389" s="4" t="s">
        <v>157</v>
      </c>
      <c r="O2389" s="4" t="s">
        <v>571</v>
      </c>
      <c r="P2389" s="4" t="s">
        <v>3431</v>
      </c>
    </row>
    <row r="2390" spans="1:16" ht="15">
      <c r="A2390" s="4" t="s">
        <v>3432</v>
      </c>
      <c r="B2390" s="30">
        <v>40040</v>
      </c>
      <c r="C2390" s="4"/>
      <c r="D2390" s="4" t="s">
        <v>193</v>
      </c>
      <c r="E2390" s="4" t="s">
        <v>170</v>
      </c>
      <c r="F2390" s="4" t="s">
        <v>155</v>
      </c>
      <c r="G2390" s="4">
        <v>5</v>
      </c>
      <c r="H2390" s="4">
        <v>5</v>
      </c>
      <c r="I2390" s="4" t="s">
        <v>140</v>
      </c>
      <c r="J2390" s="4" t="s">
        <v>409</v>
      </c>
      <c r="K2390" s="4" t="s">
        <v>148</v>
      </c>
      <c r="L2390" s="4" t="s">
        <v>162</v>
      </c>
      <c r="M2390" s="4" t="s">
        <v>176</v>
      </c>
      <c r="N2390" s="4" t="s">
        <v>155</v>
      </c>
      <c r="O2390" s="4" t="s">
        <v>129</v>
      </c>
      <c r="P2390" s="4"/>
    </row>
    <row r="2391" spans="1:16" ht="15">
      <c r="A2391" s="4" t="s">
        <v>3433</v>
      </c>
      <c r="B2391" s="30">
        <v>39974</v>
      </c>
      <c r="C2391" s="4"/>
      <c r="D2391" s="4" t="s">
        <v>194</v>
      </c>
      <c r="E2391" s="4" t="s">
        <v>170</v>
      </c>
      <c r="F2391" s="4" t="s">
        <v>155</v>
      </c>
      <c r="G2391" s="4"/>
      <c r="H2391" s="4"/>
      <c r="I2391" s="4" t="s">
        <v>139</v>
      </c>
      <c r="J2391" s="4" t="s">
        <v>179</v>
      </c>
      <c r="K2391" s="4" t="s">
        <v>146</v>
      </c>
      <c r="L2391" s="4" t="s">
        <v>4181</v>
      </c>
      <c r="M2391" s="4" t="s">
        <v>173</v>
      </c>
      <c r="N2391" s="4" t="s">
        <v>155</v>
      </c>
      <c r="O2391" s="4" t="s">
        <v>124</v>
      </c>
      <c r="P2391" s="4"/>
    </row>
    <row r="2392" spans="1:16" ht="15">
      <c r="A2392" s="4" t="s">
        <v>3434</v>
      </c>
      <c r="B2392" s="30">
        <v>40045</v>
      </c>
      <c r="C2392" s="4"/>
      <c r="D2392" s="4" t="s">
        <v>193</v>
      </c>
      <c r="E2392" s="4" t="s">
        <v>170</v>
      </c>
      <c r="F2392" s="4" t="s">
        <v>155</v>
      </c>
      <c r="G2392" s="4">
        <v>5</v>
      </c>
      <c r="H2392" s="4">
        <v>3</v>
      </c>
      <c r="I2392" s="4" t="s">
        <v>140</v>
      </c>
      <c r="J2392" s="4" t="s">
        <v>179</v>
      </c>
      <c r="K2392" s="4" t="s">
        <v>143</v>
      </c>
      <c r="L2392" s="4" t="s">
        <v>4181</v>
      </c>
      <c r="M2392" s="4" t="s">
        <v>173</v>
      </c>
      <c r="N2392" s="4" t="s">
        <v>155</v>
      </c>
      <c r="O2392" s="4" t="s">
        <v>125</v>
      </c>
      <c r="P2392" s="4"/>
    </row>
    <row r="2393" spans="1:16" ht="15">
      <c r="A2393" s="4" t="s">
        <v>3435</v>
      </c>
      <c r="B2393" s="30">
        <v>39934</v>
      </c>
      <c r="C2393" s="4"/>
      <c r="D2393" s="4" t="s">
        <v>4182</v>
      </c>
      <c r="E2393" s="4" t="s">
        <v>170</v>
      </c>
      <c r="F2393" s="4" t="s">
        <v>155</v>
      </c>
      <c r="G2393" s="4"/>
      <c r="H2393" s="4"/>
      <c r="I2393" s="4" t="s">
        <v>139</v>
      </c>
      <c r="J2393" s="4" t="s">
        <v>447</v>
      </c>
      <c r="K2393" s="4" t="s">
        <v>147</v>
      </c>
      <c r="L2393" s="4" t="s">
        <v>4176</v>
      </c>
      <c r="M2393" s="4" t="s">
        <v>174</v>
      </c>
      <c r="N2393" s="4" t="s">
        <v>157</v>
      </c>
      <c r="O2393" s="4" t="s">
        <v>130</v>
      </c>
      <c r="P2393" s="4" t="s">
        <v>437</v>
      </c>
    </row>
    <row r="2394" spans="1:16" ht="15">
      <c r="A2394" s="4" t="s">
        <v>3436</v>
      </c>
      <c r="B2394" s="30">
        <v>39989</v>
      </c>
      <c r="C2394" s="4" t="s">
        <v>383</v>
      </c>
      <c r="D2394" s="4" t="s">
        <v>196</v>
      </c>
      <c r="E2394" s="4" t="s">
        <v>170</v>
      </c>
      <c r="F2394" s="4" t="s">
        <v>155</v>
      </c>
      <c r="G2394" s="4"/>
      <c r="H2394" s="4"/>
      <c r="I2394" s="4" t="s">
        <v>139</v>
      </c>
      <c r="J2394" s="4" t="s">
        <v>182</v>
      </c>
      <c r="K2394" s="4" t="s">
        <v>146</v>
      </c>
      <c r="L2394" s="4" t="s">
        <v>162</v>
      </c>
      <c r="M2394" s="4" t="s">
        <v>3418</v>
      </c>
      <c r="N2394" s="4" t="s">
        <v>155</v>
      </c>
      <c r="O2394" s="4" t="s">
        <v>130</v>
      </c>
      <c r="P2394" s="4"/>
    </row>
    <row r="2395" spans="1:16" ht="15">
      <c r="A2395" s="4" t="s">
        <v>3437</v>
      </c>
      <c r="B2395" s="30">
        <v>40037</v>
      </c>
      <c r="C2395" s="4"/>
      <c r="D2395" s="4" t="s">
        <v>195</v>
      </c>
      <c r="E2395" s="4" t="s">
        <v>170</v>
      </c>
      <c r="F2395" s="4" t="s">
        <v>155</v>
      </c>
      <c r="G2395" s="4">
        <v>5</v>
      </c>
      <c r="H2395" s="4">
        <v>5</v>
      </c>
      <c r="I2395" s="4" t="s">
        <v>139</v>
      </c>
      <c r="J2395" s="4" t="s">
        <v>182</v>
      </c>
      <c r="K2395" s="4" t="s">
        <v>142</v>
      </c>
      <c r="L2395" s="4" t="s">
        <v>4181</v>
      </c>
      <c r="M2395" s="4" t="s">
        <v>173</v>
      </c>
      <c r="N2395" s="4" t="s">
        <v>155</v>
      </c>
      <c r="O2395" s="4" t="s">
        <v>125</v>
      </c>
      <c r="P2395" s="4"/>
    </row>
    <row r="2396" spans="1:16" ht="15">
      <c r="A2396" s="4" t="s">
        <v>3438</v>
      </c>
      <c r="B2396" s="30">
        <v>39965</v>
      </c>
      <c r="C2396" s="4"/>
      <c r="D2396" s="4" t="s">
        <v>193</v>
      </c>
      <c r="E2396" s="4" t="s">
        <v>170</v>
      </c>
      <c r="F2396" s="4" t="s">
        <v>155</v>
      </c>
      <c r="G2396" s="4"/>
      <c r="H2396" s="4"/>
      <c r="I2396" s="4" t="s">
        <v>140</v>
      </c>
      <c r="J2396" s="4" t="s">
        <v>178</v>
      </c>
      <c r="K2396" s="4" t="s">
        <v>143</v>
      </c>
      <c r="L2396" s="4" t="s">
        <v>4181</v>
      </c>
      <c r="M2396" s="4" t="s">
        <v>415</v>
      </c>
      <c r="N2396" s="4" t="s">
        <v>155</v>
      </c>
      <c r="O2396" s="4" t="s">
        <v>125</v>
      </c>
      <c r="P2396" s="4"/>
    </row>
    <row r="2397" spans="1:16" ht="15">
      <c r="A2397" s="4" t="s">
        <v>3439</v>
      </c>
      <c r="B2397" s="30">
        <v>39931</v>
      </c>
      <c r="C2397" s="4" t="s">
        <v>9</v>
      </c>
      <c r="D2397" s="4" t="s">
        <v>4178</v>
      </c>
      <c r="E2397" s="4" t="s">
        <v>170</v>
      </c>
      <c r="F2397" s="4" t="s">
        <v>155</v>
      </c>
      <c r="G2397" s="4"/>
      <c r="H2397" s="4"/>
      <c r="I2397" s="4" t="s">
        <v>139</v>
      </c>
      <c r="J2397" s="4" t="s">
        <v>179</v>
      </c>
      <c r="K2397" s="4" t="s">
        <v>147</v>
      </c>
      <c r="L2397" s="4" t="s">
        <v>4176</v>
      </c>
      <c r="M2397" s="4"/>
      <c r="N2397" s="4" t="s">
        <v>156</v>
      </c>
      <c r="O2397" s="4" t="s">
        <v>120</v>
      </c>
      <c r="P2397" s="4" t="s">
        <v>715</v>
      </c>
    </row>
    <row r="2398" spans="1:16" ht="15">
      <c r="A2398" s="4" t="s">
        <v>3440</v>
      </c>
      <c r="B2398" s="30">
        <v>40025</v>
      </c>
      <c r="C2398" s="4"/>
      <c r="D2398" s="4" t="s">
        <v>193</v>
      </c>
      <c r="E2398" s="4" t="s">
        <v>170</v>
      </c>
      <c r="F2398" s="4" t="s">
        <v>155</v>
      </c>
      <c r="G2398" s="4">
        <v>5</v>
      </c>
      <c r="H2398" s="4">
        <v>3</v>
      </c>
      <c r="I2398" s="4" t="s">
        <v>140</v>
      </c>
      <c r="J2398" s="4" t="s">
        <v>178</v>
      </c>
      <c r="K2398" s="4" t="s">
        <v>146</v>
      </c>
      <c r="L2398" s="4" t="s">
        <v>162</v>
      </c>
      <c r="M2398" s="4" t="s">
        <v>779</v>
      </c>
      <c r="N2398" s="4" t="s">
        <v>155</v>
      </c>
      <c r="O2398" s="4" t="s">
        <v>129</v>
      </c>
      <c r="P2398" s="4"/>
    </row>
    <row r="2399" spans="1:16" ht="15">
      <c r="A2399" s="4" t="s">
        <v>3441</v>
      </c>
      <c r="B2399" s="30">
        <v>39932</v>
      </c>
      <c r="C2399" s="4"/>
      <c r="D2399" s="4" t="s">
        <v>4182</v>
      </c>
      <c r="E2399" s="4" t="s">
        <v>170</v>
      </c>
      <c r="F2399" s="4" t="s">
        <v>155</v>
      </c>
      <c r="G2399" s="4"/>
      <c r="H2399" s="4"/>
      <c r="I2399" s="4" t="s">
        <v>139</v>
      </c>
      <c r="J2399" s="4" t="s">
        <v>178</v>
      </c>
      <c r="K2399" s="4" t="s">
        <v>145</v>
      </c>
      <c r="L2399" s="4" t="s">
        <v>4181</v>
      </c>
      <c r="M2399" s="4" t="s">
        <v>173</v>
      </c>
      <c r="N2399" s="4" t="s">
        <v>155</v>
      </c>
      <c r="O2399" s="4" t="s">
        <v>130</v>
      </c>
      <c r="P2399" s="4"/>
    </row>
    <row r="2400" spans="1:16" ht="15">
      <c r="A2400" s="4" t="s">
        <v>3442</v>
      </c>
      <c r="B2400" s="30">
        <v>40008</v>
      </c>
      <c r="C2400" s="4" t="s">
        <v>9</v>
      </c>
      <c r="D2400" s="4" t="s">
        <v>196</v>
      </c>
      <c r="E2400" s="4" t="s">
        <v>170</v>
      </c>
      <c r="F2400" s="4" t="s">
        <v>155</v>
      </c>
      <c r="G2400" s="4">
        <v>5</v>
      </c>
      <c r="H2400" s="4">
        <v>2</v>
      </c>
      <c r="I2400" s="4" t="s">
        <v>139</v>
      </c>
      <c r="J2400" s="4" t="s">
        <v>184</v>
      </c>
      <c r="K2400" s="4" t="s">
        <v>143</v>
      </c>
      <c r="L2400" s="4" t="s">
        <v>4176</v>
      </c>
      <c r="M2400" s="4" t="s">
        <v>498</v>
      </c>
      <c r="N2400" s="4" t="s">
        <v>156</v>
      </c>
      <c r="O2400" s="4" t="s">
        <v>120</v>
      </c>
      <c r="P2400" s="4" t="s">
        <v>2965</v>
      </c>
    </row>
    <row r="2401" spans="1:16" ht="15">
      <c r="A2401" s="4" t="s">
        <v>3443</v>
      </c>
      <c r="B2401" s="30">
        <v>40085</v>
      </c>
      <c r="C2401" s="4"/>
      <c r="D2401" s="4" t="s">
        <v>197</v>
      </c>
      <c r="E2401" s="4" t="s">
        <v>170</v>
      </c>
      <c r="F2401" s="4" t="s">
        <v>155</v>
      </c>
      <c r="G2401" s="4">
        <v>5</v>
      </c>
      <c r="H2401" s="4">
        <v>5</v>
      </c>
      <c r="I2401" s="4" t="s">
        <v>139</v>
      </c>
      <c r="J2401" s="4" t="s">
        <v>178</v>
      </c>
      <c r="K2401" s="4" t="s">
        <v>144</v>
      </c>
      <c r="L2401" s="4" t="s">
        <v>4176</v>
      </c>
      <c r="M2401" s="4" t="s">
        <v>174</v>
      </c>
      <c r="N2401" s="4" t="s">
        <v>2264</v>
      </c>
      <c r="O2401" s="4" t="s">
        <v>2265</v>
      </c>
      <c r="P2401" s="4" t="s">
        <v>153</v>
      </c>
    </row>
    <row r="2402" spans="1:16" ht="15">
      <c r="A2402" s="4" t="s">
        <v>3444</v>
      </c>
      <c r="B2402" s="30">
        <v>40045</v>
      </c>
      <c r="C2402" s="4"/>
      <c r="D2402" s="4" t="s">
        <v>193</v>
      </c>
      <c r="E2402" s="4" t="s">
        <v>170</v>
      </c>
      <c r="F2402" s="4" t="s">
        <v>155</v>
      </c>
      <c r="G2402" s="4">
        <v>5</v>
      </c>
      <c r="H2402" s="4">
        <v>3</v>
      </c>
      <c r="I2402" s="4" t="s">
        <v>140</v>
      </c>
      <c r="J2402" s="4" t="s">
        <v>184</v>
      </c>
      <c r="K2402" s="4" t="s">
        <v>146</v>
      </c>
      <c r="L2402" s="4" t="s">
        <v>4176</v>
      </c>
      <c r="M2402" s="4" t="s">
        <v>2041</v>
      </c>
      <c r="N2402" s="4" t="s">
        <v>156</v>
      </c>
      <c r="O2402" s="4" t="s">
        <v>120</v>
      </c>
      <c r="P2402" s="4" t="s">
        <v>3445</v>
      </c>
    </row>
    <row r="2403" spans="1:16" ht="15">
      <c r="A2403" s="4" t="s">
        <v>3446</v>
      </c>
      <c r="B2403" s="30">
        <v>39997</v>
      </c>
      <c r="C2403" s="4"/>
      <c r="D2403" s="4" t="s">
        <v>196</v>
      </c>
      <c r="E2403" s="4" t="s">
        <v>170</v>
      </c>
      <c r="F2403" s="4" t="s">
        <v>155</v>
      </c>
      <c r="G2403" s="4"/>
      <c r="H2403" s="4">
        <v>3</v>
      </c>
      <c r="I2403" s="4" t="s">
        <v>139</v>
      </c>
      <c r="J2403" s="4" t="s">
        <v>184</v>
      </c>
      <c r="K2403" s="4" t="s">
        <v>142</v>
      </c>
      <c r="L2403" s="4" t="s">
        <v>4181</v>
      </c>
      <c r="M2403" s="4" t="s">
        <v>173</v>
      </c>
      <c r="N2403" s="4" t="s">
        <v>155</v>
      </c>
      <c r="O2403" s="4" t="s">
        <v>454</v>
      </c>
      <c r="P2403" s="4"/>
    </row>
    <row r="2404" spans="1:16" ht="15">
      <c r="A2404" s="4" t="s">
        <v>3447</v>
      </c>
      <c r="B2404" s="30">
        <v>40031</v>
      </c>
      <c r="C2404" s="4"/>
      <c r="D2404" s="4" t="s">
        <v>196</v>
      </c>
      <c r="E2404" s="4" t="s">
        <v>170</v>
      </c>
      <c r="F2404" s="4" t="s">
        <v>155</v>
      </c>
      <c r="G2404" s="4">
        <v>5</v>
      </c>
      <c r="H2404" s="4">
        <v>5</v>
      </c>
      <c r="I2404" s="4" t="s">
        <v>139</v>
      </c>
      <c r="J2404" s="4" t="s">
        <v>184</v>
      </c>
      <c r="K2404" s="4" t="s">
        <v>146</v>
      </c>
      <c r="L2404" s="4" t="s">
        <v>4176</v>
      </c>
      <c r="M2404" s="4" t="s">
        <v>659</v>
      </c>
      <c r="N2404" s="4" t="s">
        <v>160</v>
      </c>
      <c r="O2404" s="4" t="s">
        <v>126</v>
      </c>
      <c r="P2404" s="4" t="s">
        <v>3448</v>
      </c>
    </row>
    <row r="2405" spans="1:16" ht="15">
      <c r="A2405" s="4" t="s">
        <v>3449</v>
      </c>
      <c r="B2405" s="30">
        <v>39966</v>
      </c>
      <c r="C2405" s="4"/>
      <c r="D2405" s="4" t="s">
        <v>195</v>
      </c>
      <c r="E2405" s="4" t="s">
        <v>170</v>
      </c>
      <c r="F2405" s="4" t="s">
        <v>155</v>
      </c>
      <c r="G2405" s="4"/>
      <c r="H2405" s="4"/>
      <c r="I2405" s="4" t="s">
        <v>139</v>
      </c>
      <c r="J2405" s="4" t="s">
        <v>178</v>
      </c>
      <c r="K2405" s="4" t="s">
        <v>144</v>
      </c>
      <c r="L2405" s="4" t="s">
        <v>4176</v>
      </c>
      <c r="M2405" s="4" t="s">
        <v>867</v>
      </c>
      <c r="N2405" s="4" t="s">
        <v>157</v>
      </c>
      <c r="O2405" s="4" t="s">
        <v>127</v>
      </c>
      <c r="P2405" s="4" t="s">
        <v>153</v>
      </c>
    </row>
    <row r="2406" spans="1:16" ht="15">
      <c r="A2406" s="4" t="s">
        <v>3450</v>
      </c>
      <c r="B2406" s="30">
        <v>40084</v>
      </c>
      <c r="C2406" s="4" t="s">
        <v>496</v>
      </c>
      <c r="D2406" s="4" t="s">
        <v>193</v>
      </c>
      <c r="E2406" s="4" t="s">
        <v>170</v>
      </c>
      <c r="F2406" s="4" t="s">
        <v>155</v>
      </c>
      <c r="G2406" s="4">
        <v>2</v>
      </c>
      <c r="H2406" s="4">
        <v>5</v>
      </c>
      <c r="I2406" s="4" t="s">
        <v>140</v>
      </c>
      <c r="J2406" s="4" t="s">
        <v>178</v>
      </c>
      <c r="K2406" s="4" t="s">
        <v>144</v>
      </c>
      <c r="L2406" s="4" t="s">
        <v>4181</v>
      </c>
      <c r="M2406" s="4" t="s">
        <v>173</v>
      </c>
      <c r="N2406" s="4" t="s">
        <v>155</v>
      </c>
      <c r="O2406" s="4" t="s">
        <v>128</v>
      </c>
      <c r="P2406" s="4"/>
    </row>
    <row r="2407" spans="1:16" ht="15">
      <c r="A2407" s="4" t="s">
        <v>3451</v>
      </c>
      <c r="B2407" s="30">
        <v>39964</v>
      </c>
      <c r="C2407" s="4"/>
      <c r="D2407" s="4" t="s">
        <v>195</v>
      </c>
      <c r="E2407" s="4" t="s">
        <v>170</v>
      </c>
      <c r="F2407" s="4" t="s">
        <v>155</v>
      </c>
      <c r="G2407" s="4"/>
      <c r="H2407" s="4"/>
      <c r="I2407" s="4" t="s">
        <v>139</v>
      </c>
      <c r="J2407" s="4" t="s">
        <v>178</v>
      </c>
      <c r="K2407" s="4" t="s">
        <v>148</v>
      </c>
      <c r="L2407" s="4" t="s">
        <v>4181</v>
      </c>
      <c r="M2407" s="4" t="s">
        <v>3452</v>
      </c>
      <c r="N2407" s="4" t="s">
        <v>155</v>
      </c>
      <c r="O2407" s="4" t="s">
        <v>124</v>
      </c>
      <c r="P2407" s="4"/>
    </row>
    <row r="2408" spans="1:16" ht="15">
      <c r="A2408" s="4" t="s">
        <v>3453</v>
      </c>
      <c r="B2408" s="30">
        <v>39937</v>
      </c>
      <c r="C2408" s="4"/>
      <c r="D2408" s="4" t="s">
        <v>4182</v>
      </c>
      <c r="E2408" s="4" t="s">
        <v>170</v>
      </c>
      <c r="F2408" s="4" t="s">
        <v>155</v>
      </c>
      <c r="G2408" s="4"/>
      <c r="H2408" s="4"/>
      <c r="I2408" s="4" t="s">
        <v>139</v>
      </c>
      <c r="J2408" s="4" t="s">
        <v>182</v>
      </c>
      <c r="K2408" s="4" t="s">
        <v>148</v>
      </c>
      <c r="L2408" s="4" t="s">
        <v>4181</v>
      </c>
      <c r="M2408" s="4" t="s">
        <v>415</v>
      </c>
      <c r="N2408" s="4" t="s">
        <v>155</v>
      </c>
      <c r="O2408" s="4" t="s">
        <v>125</v>
      </c>
      <c r="P2408" s="4"/>
    </row>
    <row r="2409" spans="1:16" ht="15">
      <c r="A2409" s="4" t="s">
        <v>3454</v>
      </c>
      <c r="B2409" s="30">
        <v>39994</v>
      </c>
      <c r="C2409" s="4" t="s">
        <v>9</v>
      </c>
      <c r="D2409" s="4" t="s">
        <v>193</v>
      </c>
      <c r="E2409" s="4" t="s">
        <v>170</v>
      </c>
      <c r="F2409" s="4" t="s">
        <v>155</v>
      </c>
      <c r="G2409" s="4"/>
      <c r="H2409" s="4">
        <v>5</v>
      </c>
      <c r="I2409" s="4" t="s">
        <v>140</v>
      </c>
      <c r="J2409" s="4" t="s">
        <v>178</v>
      </c>
      <c r="K2409" s="4" t="s">
        <v>144</v>
      </c>
      <c r="L2409" s="4" t="s">
        <v>4181</v>
      </c>
      <c r="M2409" s="4"/>
      <c r="N2409" s="4" t="s">
        <v>155</v>
      </c>
      <c r="O2409" s="4" t="s">
        <v>125</v>
      </c>
      <c r="P2409" s="4"/>
    </row>
    <row r="2410" spans="1:16" ht="15">
      <c r="A2410" s="4" t="s">
        <v>3455</v>
      </c>
      <c r="B2410" s="30">
        <v>40053</v>
      </c>
      <c r="C2410" s="4" t="s">
        <v>496</v>
      </c>
      <c r="D2410" s="4" t="s">
        <v>196</v>
      </c>
      <c r="E2410" s="4" t="s">
        <v>170</v>
      </c>
      <c r="F2410" s="4" t="s">
        <v>155</v>
      </c>
      <c r="G2410" s="4">
        <v>5</v>
      </c>
      <c r="H2410" s="4">
        <v>2</v>
      </c>
      <c r="I2410" s="4" t="s">
        <v>139</v>
      </c>
      <c r="J2410" s="4" t="s">
        <v>179</v>
      </c>
      <c r="K2410" s="4" t="s">
        <v>148</v>
      </c>
      <c r="L2410" s="4" t="s">
        <v>165</v>
      </c>
      <c r="M2410" s="4" t="s">
        <v>3456</v>
      </c>
      <c r="N2410" s="4" t="s">
        <v>158</v>
      </c>
      <c r="O2410" s="4" t="s">
        <v>122</v>
      </c>
      <c r="P2410" s="4"/>
    </row>
    <row r="2411" spans="1:16" ht="15">
      <c r="A2411" s="4" t="s">
        <v>3457</v>
      </c>
      <c r="B2411" s="30">
        <v>39932</v>
      </c>
      <c r="C2411" s="4"/>
      <c r="D2411" s="4" t="s">
        <v>4177</v>
      </c>
      <c r="E2411" s="4" t="s">
        <v>170</v>
      </c>
      <c r="F2411" s="4" t="s">
        <v>155</v>
      </c>
      <c r="G2411" s="4"/>
      <c r="H2411" s="4"/>
      <c r="I2411" s="4" t="s">
        <v>139</v>
      </c>
      <c r="J2411" s="4" t="s">
        <v>178</v>
      </c>
      <c r="K2411" s="4" t="s">
        <v>143</v>
      </c>
      <c r="L2411" s="4" t="s">
        <v>4181</v>
      </c>
      <c r="M2411" s="4" t="s">
        <v>173</v>
      </c>
      <c r="N2411" s="4" t="s">
        <v>155</v>
      </c>
      <c r="O2411" s="4" t="s">
        <v>124</v>
      </c>
      <c r="P2411" s="4"/>
    </row>
    <row r="2412" spans="1:16" ht="15">
      <c r="A2412" s="4" t="s">
        <v>3458</v>
      </c>
      <c r="B2412" s="30">
        <v>39910</v>
      </c>
      <c r="C2412" s="4" t="s">
        <v>496</v>
      </c>
      <c r="D2412" s="4" t="s">
        <v>4179</v>
      </c>
      <c r="E2412" s="4" t="s">
        <v>170</v>
      </c>
      <c r="F2412" s="4" t="s">
        <v>155</v>
      </c>
      <c r="G2412" s="4"/>
      <c r="H2412" s="4"/>
      <c r="I2412" s="4" t="s">
        <v>139</v>
      </c>
      <c r="J2412" s="4" t="s">
        <v>184</v>
      </c>
      <c r="K2412" s="4" t="s">
        <v>147</v>
      </c>
      <c r="L2412" s="4" t="s">
        <v>165</v>
      </c>
      <c r="M2412" s="4" t="s">
        <v>3459</v>
      </c>
      <c r="N2412" s="4" t="s">
        <v>158</v>
      </c>
      <c r="O2412" s="4" t="s">
        <v>122</v>
      </c>
      <c r="P2412" s="4"/>
    </row>
    <row r="2413" spans="1:16" ht="15">
      <c r="A2413" s="4" t="s">
        <v>3460</v>
      </c>
      <c r="B2413" s="30">
        <v>39909</v>
      </c>
      <c r="C2413" s="4"/>
      <c r="D2413" s="4" t="s">
        <v>4180</v>
      </c>
      <c r="E2413" s="4" t="s">
        <v>170</v>
      </c>
      <c r="F2413" s="4" t="s">
        <v>155</v>
      </c>
      <c r="G2413" s="4"/>
      <c r="H2413" s="4"/>
      <c r="I2413" s="4" t="s">
        <v>139</v>
      </c>
      <c r="J2413" s="4" t="s">
        <v>178</v>
      </c>
      <c r="K2413" s="4" t="s">
        <v>147</v>
      </c>
      <c r="L2413" s="4" t="s">
        <v>4181</v>
      </c>
      <c r="M2413" s="4" t="s">
        <v>1373</v>
      </c>
      <c r="N2413" s="4" t="s">
        <v>155</v>
      </c>
      <c r="O2413" s="4" t="s">
        <v>454</v>
      </c>
      <c r="P2413" s="4"/>
    </row>
    <row r="2414" spans="1:16" ht="15">
      <c r="A2414" s="4" t="s">
        <v>3461</v>
      </c>
      <c r="B2414" s="30">
        <v>39924</v>
      </c>
      <c r="C2414" s="4"/>
      <c r="D2414" s="4" t="s">
        <v>4180</v>
      </c>
      <c r="E2414" s="4" t="s">
        <v>170</v>
      </c>
      <c r="F2414" s="4" t="s">
        <v>155</v>
      </c>
      <c r="G2414" s="4"/>
      <c r="H2414" s="4"/>
      <c r="I2414" s="4" t="s">
        <v>139</v>
      </c>
      <c r="J2414" s="4" t="s">
        <v>178</v>
      </c>
      <c r="K2414" s="4" t="s">
        <v>142</v>
      </c>
      <c r="L2414" s="4" t="s">
        <v>4181</v>
      </c>
      <c r="M2414" s="4" t="s">
        <v>173</v>
      </c>
      <c r="N2414" s="4" t="s">
        <v>155</v>
      </c>
      <c r="O2414" s="4" t="s">
        <v>124</v>
      </c>
      <c r="P2414" s="4"/>
    </row>
    <row r="2415" spans="1:16" ht="15">
      <c r="A2415" s="4" t="s">
        <v>3462</v>
      </c>
      <c r="B2415" s="30">
        <v>40042</v>
      </c>
      <c r="C2415" s="4"/>
      <c r="D2415" s="4" t="s">
        <v>193</v>
      </c>
      <c r="E2415" s="4" t="s">
        <v>170</v>
      </c>
      <c r="F2415" s="4" t="s">
        <v>155</v>
      </c>
      <c r="G2415" s="4">
        <v>5</v>
      </c>
      <c r="H2415" s="4">
        <v>4</v>
      </c>
      <c r="I2415" s="4" t="s">
        <v>140</v>
      </c>
      <c r="J2415" s="4" t="s">
        <v>178</v>
      </c>
      <c r="K2415" s="4" t="s">
        <v>145</v>
      </c>
      <c r="L2415" s="4" t="s">
        <v>4176</v>
      </c>
      <c r="M2415" s="4" t="s">
        <v>174</v>
      </c>
      <c r="N2415" s="4" t="s">
        <v>159</v>
      </c>
      <c r="O2415" s="4" t="s">
        <v>123</v>
      </c>
      <c r="P2415" s="4" t="s">
        <v>123</v>
      </c>
    </row>
    <row r="2416" spans="1:16" ht="15">
      <c r="A2416" s="4" t="s">
        <v>3463</v>
      </c>
      <c r="B2416" s="30">
        <v>40008</v>
      </c>
      <c r="C2416" s="4"/>
      <c r="D2416" s="4" t="s">
        <v>196</v>
      </c>
      <c r="E2416" s="4" t="s">
        <v>170</v>
      </c>
      <c r="F2416" s="4" t="s">
        <v>155</v>
      </c>
      <c r="G2416" s="4">
        <v>1</v>
      </c>
      <c r="H2416" s="4">
        <v>5</v>
      </c>
      <c r="I2416" s="4" t="s">
        <v>139</v>
      </c>
      <c r="J2416" s="4" t="s">
        <v>178</v>
      </c>
      <c r="K2416" s="4" t="s">
        <v>142</v>
      </c>
      <c r="L2416" s="4" t="s">
        <v>4181</v>
      </c>
      <c r="M2416" s="4" t="s">
        <v>173</v>
      </c>
      <c r="N2416" s="4" t="s">
        <v>155</v>
      </c>
      <c r="O2416" s="4" t="s">
        <v>792</v>
      </c>
      <c r="P2416" s="4"/>
    </row>
    <row r="2417" spans="1:16" ht="15">
      <c r="A2417" s="4" t="s">
        <v>3464</v>
      </c>
      <c r="B2417" s="30">
        <v>39918</v>
      </c>
      <c r="C2417" s="4" t="s">
        <v>9</v>
      </c>
      <c r="D2417" s="4" t="s">
        <v>4182</v>
      </c>
      <c r="E2417" s="4" t="s">
        <v>170</v>
      </c>
      <c r="F2417" s="4" t="s">
        <v>155</v>
      </c>
      <c r="G2417" s="4"/>
      <c r="H2417" s="4"/>
      <c r="I2417" s="4" t="s">
        <v>139</v>
      </c>
      <c r="J2417" s="4" t="s">
        <v>178</v>
      </c>
      <c r="K2417" s="4" t="s">
        <v>148</v>
      </c>
      <c r="L2417" s="4" t="s">
        <v>4176</v>
      </c>
      <c r="M2417" s="4"/>
      <c r="N2417" s="4" t="s">
        <v>159</v>
      </c>
      <c r="O2417" s="4" t="s">
        <v>126</v>
      </c>
      <c r="P2417" s="4" t="s">
        <v>601</v>
      </c>
    </row>
    <row r="2418" spans="1:16" ht="15">
      <c r="A2418" s="4" t="s">
        <v>3465</v>
      </c>
      <c r="B2418" s="30">
        <v>39924</v>
      </c>
      <c r="C2418" s="4" t="s">
        <v>380</v>
      </c>
      <c r="D2418" s="4" t="s">
        <v>4184</v>
      </c>
      <c r="E2418" s="4" t="s">
        <v>170</v>
      </c>
      <c r="F2418" s="4" t="s">
        <v>155</v>
      </c>
      <c r="G2418" s="4"/>
      <c r="H2418" s="4"/>
      <c r="I2418" s="4" t="s">
        <v>140</v>
      </c>
      <c r="J2418" s="4" t="s">
        <v>179</v>
      </c>
      <c r="K2418" s="4" t="s">
        <v>143</v>
      </c>
      <c r="L2418" s="4" t="s">
        <v>162</v>
      </c>
      <c r="M2418" s="4" t="s">
        <v>176</v>
      </c>
      <c r="N2418" s="4" t="s">
        <v>155</v>
      </c>
      <c r="O2418" s="4" t="s">
        <v>130</v>
      </c>
      <c r="P2418" s="4"/>
    </row>
    <row r="2419" spans="1:16" ht="15">
      <c r="A2419" s="4" t="s">
        <v>3466</v>
      </c>
      <c r="B2419" s="30">
        <v>39966</v>
      </c>
      <c r="C2419" s="4"/>
      <c r="D2419" s="4" t="s">
        <v>193</v>
      </c>
      <c r="E2419" s="4" t="s">
        <v>170</v>
      </c>
      <c r="F2419" s="4" t="s">
        <v>155</v>
      </c>
      <c r="G2419" s="4"/>
      <c r="H2419" s="4"/>
      <c r="I2419" s="4" t="s">
        <v>140</v>
      </c>
      <c r="J2419" s="4" t="s">
        <v>179</v>
      </c>
      <c r="K2419" s="4" t="s">
        <v>144</v>
      </c>
      <c r="L2419" s="4" t="s">
        <v>4181</v>
      </c>
      <c r="M2419" s="4" t="s">
        <v>173</v>
      </c>
      <c r="N2419" s="4" t="s">
        <v>155</v>
      </c>
      <c r="O2419" s="4" t="s">
        <v>962</v>
      </c>
      <c r="P2419" s="4"/>
    </row>
    <row r="2420" spans="1:16" ht="15">
      <c r="A2420" s="4" t="s">
        <v>3467</v>
      </c>
      <c r="B2420" s="30">
        <v>40004</v>
      </c>
      <c r="C2420" s="4" t="s">
        <v>383</v>
      </c>
      <c r="D2420" s="4" t="s">
        <v>194</v>
      </c>
      <c r="E2420" s="4" t="s">
        <v>170</v>
      </c>
      <c r="F2420" s="4" t="s">
        <v>155</v>
      </c>
      <c r="G2420" s="4"/>
      <c r="H2420" s="4">
        <v>5</v>
      </c>
      <c r="I2420" s="4" t="s">
        <v>139</v>
      </c>
      <c r="J2420" s="4" t="s">
        <v>179</v>
      </c>
      <c r="K2420" s="4" t="s">
        <v>144</v>
      </c>
      <c r="L2420" s="4" t="s">
        <v>4176</v>
      </c>
      <c r="M2420" s="4"/>
      <c r="N2420" s="4" t="s">
        <v>160</v>
      </c>
      <c r="O2420" s="4" t="s">
        <v>126</v>
      </c>
      <c r="P2420" s="4" t="s">
        <v>3468</v>
      </c>
    </row>
    <row r="2421" spans="1:16" ht="15">
      <c r="A2421" s="4" t="s">
        <v>3469</v>
      </c>
      <c r="B2421" s="30">
        <v>39950</v>
      </c>
      <c r="C2421" s="4"/>
      <c r="D2421" s="4" t="s">
        <v>193</v>
      </c>
      <c r="E2421" s="4" t="s">
        <v>170</v>
      </c>
      <c r="F2421" s="4" t="s">
        <v>155</v>
      </c>
      <c r="G2421" s="4"/>
      <c r="H2421" s="4"/>
      <c r="I2421" s="4" t="s">
        <v>140</v>
      </c>
      <c r="J2421" s="4" t="s">
        <v>179</v>
      </c>
      <c r="K2421" s="4" t="s">
        <v>143</v>
      </c>
      <c r="L2421" s="4" t="s">
        <v>4181</v>
      </c>
      <c r="M2421" s="4" t="s">
        <v>3006</v>
      </c>
      <c r="N2421" s="4" t="s">
        <v>155</v>
      </c>
      <c r="O2421" s="4" t="s">
        <v>127</v>
      </c>
      <c r="P2421" s="4"/>
    </row>
    <row r="2422" spans="1:16" ht="15">
      <c r="A2422" s="4" t="s">
        <v>3470</v>
      </c>
      <c r="B2422" s="30">
        <v>39950</v>
      </c>
      <c r="C2422" s="4" t="s">
        <v>496</v>
      </c>
      <c r="D2422" s="4" t="s">
        <v>193</v>
      </c>
      <c r="E2422" s="4" t="s">
        <v>170</v>
      </c>
      <c r="F2422" s="4" t="s">
        <v>155</v>
      </c>
      <c r="G2422" s="4"/>
      <c r="H2422" s="4"/>
      <c r="I2422" s="4" t="s">
        <v>140</v>
      </c>
      <c r="J2422" s="4" t="s">
        <v>178</v>
      </c>
      <c r="K2422" s="4" t="s">
        <v>148</v>
      </c>
      <c r="L2422" s="4" t="s">
        <v>4181</v>
      </c>
      <c r="M2422" s="4" t="s">
        <v>173</v>
      </c>
      <c r="N2422" s="4" t="s">
        <v>155</v>
      </c>
      <c r="O2422" s="4" t="s">
        <v>124</v>
      </c>
      <c r="P2422" s="4"/>
    </row>
    <row r="2423" spans="1:16" ht="15">
      <c r="A2423" s="4" t="s">
        <v>3471</v>
      </c>
      <c r="B2423" s="30">
        <v>40037</v>
      </c>
      <c r="C2423" s="4" t="s">
        <v>380</v>
      </c>
      <c r="D2423" s="4" t="s">
        <v>195</v>
      </c>
      <c r="E2423" s="4" t="s">
        <v>170</v>
      </c>
      <c r="F2423" s="4" t="s">
        <v>155</v>
      </c>
      <c r="G2423" s="4">
        <v>5</v>
      </c>
      <c r="H2423" s="4">
        <v>2</v>
      </c>
      <c r="I2423" s="4" t="s">
        <v>139</v>
      </c>
      <c r="J2423" s="4" t="s">
        <v>182</v>
      </c>
      <c r="K2423" s="4" t="s">
        <v>151</v>
      </c>
      <c r="L2423" s="4" t="s">
        <v>4181</v>
      </c>
      <c r="M2423" s="4" t="s">
        <v>173</v>
      </c>
      <c r="N2423" s="4" t="s">
        <v>161</v>
      </c>
      <c r="O2423" s="4" t="s">
        <v>1364</v>
      </c>
      <c r="P2423" s="4"/>
    </row>
    <row r="2424" spans="1:16" ht="15">
      <c r="A2424" s="4" t="s">
        <v>3472</v>
      </c>
      <c r="B2424" s="30">
        <v>40029</v>
      </c>
      <c r="C2424" s="4"/>
      <c r="D2424" s="4" t="s">
        <v>197</v>
      </c>
      <c r="E2424" s="4" t="s">
        <v>170</v>
      </c>
      <c r="F2424" s="4" t="s">
        <v>155</v>
      </c>
      <c r="G2424" s="4">
        <v>5</v>
      </c>
      <c r="H2424" s="4">
        <v>5</v>
      </c>
      <c r="I2424" s="4" t="s">
        <v>139</v>
      </c>
      <c r="J2424" s="4" t="s">
        <v>182</v>
      </c>
      <c r="K2424" s="4" t="s">
        <v>144</v>
      </c>
      <c r="L2424" s="4" t="s">
        <v>162</v>
      </c>
      <c r="M2424" s="4" t="s">
        <v>175</v>
      </c>
      <c r="N2424" s="4" t="s">
        <v>155</v>
      </c>
      <c r="O2424" s="4" t="s">
        <v>129</v>
      </c>
      <c r="P2424" s="4"/>
    </row>
    <row r="2425" spans="1:16" ht="15">
      <c r="A2425" s="4" t="s">
        <v>3473</v>
      </c>
      <c r="B2425" s="30">
        <v>40000</v>
      </c>
      <c r="C2425" s="4"/>
      <c r="D2425" s="4" t="s">
        <v>195</v>
      </c>
      <c r="E2425" s="4" t="s">
        <v>170</v>
      </c>
      <c r="F2425" s="4" t="s">
        <v>155</v>
      </c>
      <c r="G2425" s="4"/>
      <c r="H2425" s="4">
        <v>3</v>
      </c>
      <c r="I2425" s="4" t="s">
        <v>139</v>
      </c>
      <c r="J2425" s="4" t="s">
        <v>182</v>
      </c>
      <c r="K2425" s="4" t="s">
        <v>142</v>
      </c>
      <c r="L2425" s="4" t="s">
        <v>162</v>
      </c>
      <c r="M2425" s="4" t="s">
        <v>175</v>
      </c>
      <c r="N2425" s="4" t="s">
        <v>155</v>
      </c>
      <c r="O2425" s="4" t="s">
        <v>130</v>
      </c>
      <c r="P2425" s="4"/>
    </row>
    <row r="2426" spans="1:16" ht="15">
      <c r="A2426" s="4" t="s">
        <v>3474</v>
      </c>
      <c r="B2426" s="30">
        <v>39969</v>
      </c>
      <c r="C2426" s="4" t="s">
        <v>380</v>
      </c>
      <c r="D2426" s="4" t="s">
        <v>195</v>
      </c>
      <c r="E2426" s="4" t="s">
        <v>170</v>
      </c>
      <c r="F2426" s="4" t="s">
        <v>155</v>
      </c>
      <c r="G2426" s="4"/>
      <c r="H2426" s="4"/>
      <c r="I2426" s="4" t="s">
        <v>139</v>
      </c>
      <c r="J2426" s="4" t="s">
        <v>179</v>
      </c>
      <c r="K2426" s="4" t="s">
        <v>144</v>
      </c>
      <c r="L2426" s="4" t="s">
        <v>4181</v>
      </c>
      <c r="M2426" s="4" t="s">
        <v>173</v>
      </c>
      <c r="N2426" s="4" t="s">
        <v>155</v>
      </c>
      <c r="O2426" s="4" t="s">
        <v>454</v>
      </c>
      <c r="P2426" s="4"/>
    </row>
    <row r="2427" spans="1:16" ht="15">
      <c r="A2427" s="4" t="s">
        <v>3475</v>
      </c>
      <c r="B2427" s="30">
        <v>39925</v>
      </c>
      <c r="C2427" s="4" t="s">
        <v>380</v>
      </c>
      <c r="D2427" s="4" t="s">
        <v>4183</v>
      </c>
      <c r="E2427" s="4" t="s">
        <v>170</v>
      </c>
      <c r="F2427" s="4" t="s">
        <v>155</v>
      </c>
      <c r="G2427" s="4"/>
      <c r="H2427" s="4"/>
      <c r="I2427" s="4" t="s">
        <v>140</v>
      </c>
      <c r="J2427" s="4" t="s">
        <v>178</v>
      </c>
      <c r="K2427" s="4" t="s">
        <v>143</v>
      </c>
      <c r="L2427" s="4" t="s">
        <v>4181</v>
      </c>
      <c r="M2427" s="4"/>
      <c r="N2427" s="4" t="s">
        <v>155</v>
      </c>
      <c r="O2427" s="4" t="s">
        <v>124</v>
      </c>
      <c r="P2427" s="4"/>
    </row>
    <row r="2428" spans="1:16" ht="15">
      <c r="A2428" s="4" t="s">
        <v>3476</v>
      </c>
      <c r="B2428" s="30">
        <v>39982</v>
      </c>
      <c r="C2428" s="4"/>
      <c r="D2428" s="4" t="s">
        <v>196</v>
      </c>
      <c r="E2428" s="4" t="s">
        <v>170</v>
      </c>
      <c r="F2428" s="4" t="s">
        <v>155</v>
      </c>
      <c r="G2428" s="4"/>
      <c r="H2428" s="4"/>
      <c r="I2428" s="4" t="s">
        <v>139</v>
      </c>
      <c r="J2428" s="4" t="s">
        <v>178</v>
      </c>
      <c r="K2428" s="4" t="s">
        <v>143</v>
      </c>
      <c r="L2428" s="4" t="s">
        <v>4181</v>
      </c>
      <c r="M2428" s="4" t="s">
        <v>173</v>
      </c>
      <c r="N2428" s="4" t="s">
        <v>155</v>
      </c>
      <c r="O2428" s="4" t="s">
        <v>454</v>
      </c>
      <c r="P2428" s="4"/>
    </row>
    <row r="2429" spans="1:16" ht="15">
      <c r="A2429" s="4" t="s">
        <v>3477</v>
      </c>
      <c r="B2429" s="30">
        <v>40014</v>
      </c>
      <c r="C2429" s="4"/>
      <c r="D2429" s="4" t="s">
        <v>194</v>
      </c>
      <c r="E2429" s="4" t="s">
        <v>170</v>
      </c>
      <c r="F2429" s="4" t="s">
        <v>155</v>
      </c>
      <c r="G2429" s="4">
        <v>5</v>
      </c>
      <c r="H2429" s="4">
        <v>5</v>
      </c>
      <c r="I2429" s="4" t="s">
        <v>139</v>
      </c>
      <c r="J2429" s="4" t="s">
        <v>178</v>
      </c>
      <c r="K2429" s="4" t="s">
        <v>146</v>
      </c>
      <c r="L2429" s="4" t="s">
        <v>4181</v>
      </c>
      <c r="M2429" s="4" t="s">
        <v>2123</v>
      </c>
      <c r="N2429" s="4" t="s">
        <v>155</v>
      </c>
      <c r="O2429" s="4" t="s">
        <v>387</v>
      </c>
      <c r="P2429" s="4"/>
    </row>
    <row r="2430" spans="1:16" ht="15">
      <c r="A2430" s="4" t="s">
        <v>3478</v>
      </c>
      <c r="B2430" s="30">
        <v>39954</v>
      </c>
      <c r="C2430" s="4"/>
      <c r="D2430" s="4" t="s">
        <v>195</v>
      </c>
      <c r="E2430" s="4" t="s">
        <v>170</v>
      </c>
      <c r="F2430" s="4" t="s">
        <v>155</v>
      </c>
      <c r="G2430" s="4"/>
      <c r="H2430" s="4"/>
      <c r="I2430" s="4" t="s">
        <v>139</v>
      </c>
      <c r="J2430" s="4" t="s">
        <v>178</v>
      </c>
      <c r="K2430" s="4" t="s">
        <v>146</v>
      </c>
      <c r="L2430" s="4" t="s">
        <v>4181</v>
      </c>
      <c r="M2430" s="4" t="s">
        <v>173</v>
      </c>
      <c r="N2430" s="4" t="s">
        <v>155</v>
      </c>
      <c r="O2430" s="4" t="s">
        <v>439</v>
      </c>
      <c r="P2430" s="4"/>
    </row>
    <row r="2431" spans="1:16" ht="15">
      <c r="A2431" s="4" t="s">
        <v>3479</v>
      </c>
      <c r="B2431" s="30">
        <v>40060</v>
      </c>
      <c r="C2431" s="4"/>
      <c r="D2431" s="4" t="s">
        <v>193</v>
      </c>
      <c r="E2431" s="4" t="s">
        <v>170</v>
      </c>
      <c r="F2431" s="4" t="s">
        <v>155</v>
      </c>
      <c r="G2431" s="4">
        <v>1</v>
      </c>
      <c r="H2431" s="4">
        <v>5</v>
      </c>
      <c r="I2431" s="4" t="s">
        <v>140</v>
      </c>
      <c r="J2431" s="4" t="s">
        <v>178</v>
      </c>
      <c r="K2431" s="4" t="s">
        <v>145</v>
      </c>
      <c r="L2431" s="4" t="s">
        <v>4181</v>
      </c>
      <c r="M2431" s="4" t="s">
        <v>3480</v>
      </c>
      <c r="N2431" s="4" t="s">
        <v>155</v>
      </c>
      <c r="O2431" s="4" t="s">
        <v>128</v>
      </c>
      <c r="P2431" s="4"/>
    </row>
    <row r="2432" spans="1:16" ht="15">
      <c r="A2432" s="4" t="s">
        <v>3481</v>
      </c>
      <c r="B2432" s="30">
        <v>40068</v>
      </c>
      <c r="C2432" s="4" t="s">
        <v>496</v>
      </c>
      <c r="D2432" s="4" t="s">
        <v>193</v>
      </c>
      <c r="E2432" s="4" t="s">
        <v>170</v>
      </c>
      <c r="F2432" s="4" t="s">
        <v>155</v>
      </c>
      <c r="G2432" s="4">
        <v>3</v>
      </c>
      <c r="H2432" s="4">
        <v>3</v>
      </c>
      <c r="I2432" s="4" t="s">
        <v>140</v>
      </c>
      <c r="J2432" s="4" t="s">
        <v>190</v>
      </c>
      <c r="K2432" s="4" t="s">
        <v>145</v>
      </c>
      <c r="L2432" s="4" t="s">
        <v>4181</v>
      </c>
      <c r="M2432" s="4" t="s">
        <v>415</v>
      </c>
      <c r="N2432" s="4" t="s">
        <v>155</v>
      </c>
      <c r="O2432" s="4" t="s">
        <v>125</v>
      </c>
      <c r="P2432" s="4"/>
    </row>
    <row r="2433" spans="1:16" ht="15">
      <c r="A2433" s="4" t="s">
        <v>3482</v>
      </c>
      <c r="B2433" s="30">
        <v>39993</v>
      </c>
      <c r="C2433" s="4" t="s">
        <v>380</v>
      </c>
      <c r="D2433" s="4" t="s">
        <v>193</v>
      </c>
      <c r="E2433" s="4" t="s">
        <v>170</v>
      </c>
      <c r="F2433" s="4" t="s">
        <v>155</v>
      </c>
      <c r="G2433" s="4"/>
      <c r="H2433" s="4">
        <v>2</v>
      </c>
      <c r="I2433" s="4" t="s">
        <v>140</v>
      </c>
      <c r="J2433" s="4" t="s">
        <v>190</v>
      </c>
      <c r="K2433" s="4" t="s">
        <v>144</v>
      </c>
      <c r="L2433" s="4" t="s">
        <v>4181</v>
      </c>
      <c r="M2433" s="4"/>
      <c r="N2433" s="4" t="s">
        <v>155</v>
      </c>
      <c r="O2433" s="4" t="s">
        <v>124</v>
      </c>
      <c r="P2433" s="4"/>
    </row>
    <row r="2434" spans="1:16" ht="15">
      <c r="A2434" s="4" t="s">
        <v>3483</v>
      </c>
      <c r="B2434" s="30">
        <v>39979</v>
      </c>
      <c r="C2434" s="4" t="s">
        <v>383</v>
      </c>
      <c r="D2434" s="4" t="s">
        <v>193</v>
      </c>
      <c r="E2434" s="4" t="s">
        <v>170</v>
      </c>
      <c r="F2434" s="4" t="s">
        <v>155</v>
      </c>
      <c r="G2434" s="4"/>
      <c r="H2434" s="4"/>
      <c r="I2434" s="4" t="s">
        <v>140</v>
      </c>
      <c r="J2434" s="4" t="s">
        <v>433</v>
      </c>
      <c r="K2434" s="4" t="s">
        <v>142</v>
      </c>
      <c r="L2434" s="4" t="s">
        <v>4181</v>
      </c>
      <c r="M2434" s="4" t="s">
        <v>3484</v>
      </c>
      <c r="N2434" s="4" t="s">
        <v>155</v>
      </c>
      <c r="O2434" s="4" t="s">
        <v>467</v>
      </c>
      <c r="P2434" s="4"/>
    </row>
    <row r="2435" spans="1:16" ht="15">
      <c r="A2435" s="4" t="s">
        <v>3485</v>
      </c>
      <c r="B2435" s="30">
        <v>39933</v>
      </c>
      <c r="C2435" s="4"/>
      <c r="D2435" s="4" t="s">
        <v>4183</v>
      </c>
      <c r="E2435" s="4" t="s">
        <v>170</v>
      </c>
      <c r="F2435" s="4" t="s">
        <v>155</v>
      </c>
      <c r="G2435" s="4"/>
      <c r="H2435" s="4"/>
      <c r="I2435" s="4" t="s">
        <v>140</v>
      </c>
      <c r="J2435" s="4" t="s">
        <v>433</v>
      </c>
      <c r="K2435" s="4" t="s">
        <v>142</v>
      </c>
      <c r="L2435" s="4" t="s">
        <v>4176</v>
      </c>
      <c r="M2435" s="4" t="s">
        <v>619</v>
      </c>
      <c r="N2435" s="4" t="s">
        <v>156</v>
      </c>
      <c r="O2435" s="4" t="s">
        <v>120</v>
      </c>
      <c r="P2435" s="4" t="s">
        <v>1449</v>
      </c>
    </row>
    <row r="2436" spans="1:16" ht="15">
      <c r="A2436" s="4" t="s">
        <v>3486</v>
      </c>
      <c r="B2436" s="30">
        <v>39945</v>
      </c>
      <c r="C2436" s="4"/>
      <c r="D2436" s="4" t="s">
        <v>194</v>
      </c>
      <c r="E2436" s="4" t="s">
        <v>170</v>
      </c>
      <c r="F2436" s="4" t="s">
        <v>155</v>
      </c>
      <c r="G2436" s="4"/>
      <c r="H2436" s="4"/>
      <c r="I2436" s="4" t="s">
        <v>139</v>
      </c>
      <c r="J2436" s="4" t="s">
        <v>433</v>
      </c>
      <c r="K2436" s="4" t="s">
        <v>142</v>
      </c>
      <c r="L2436" s="4" t="s">
        <v>4176</v>
      </c>
      <c r="M2436" s="4" t="s">
        <v>174</v>
      </c>
      <c r="N2436" s="4" t="s">
        <v>160</v>
      </c>
      <c r="O2436" s="4" t="s">
        <v>126</v>
      </c>
      <c r="P2436" s="4" t="s">
        <v>3448</v>
      </c>
    </row>
    <row r="2437" spans="1:16" ht="15">
      <c r="A2437" s="4" t="s">
        <v>3487</v>
      </c>
      <c r="B2437" s="30">
        <v>39948</v>
      </c>
      <c r="C2437" s="4"/>
      <c r="D2437" s="4" t="s">
        <v>193</v>
      </c>
      <c r="E2437" s="4" t="s">
        <v>170</v>
      </c>
      <c r="F2437" s="4" t="s">
        <v>155</v>
      </c>
      <c r="G2437" s="4"/>
      <c r="H2437" s="4"/>
      <c r="I2437" s="4" t="s">
        <v>140</v>
      </c>
      <c r="J2437" s="4" t="s">
        <v>185</v>
      </c>
      <c r="K2437" s="4" t="s">
        <v>142</v>
      </c>
      <c r="L2437" s="4" t="s">
        <v>4176</v>
      </c>
      <c r="M2437" s="4" t="s">
        <v>174</v>
      </c>
      <c r="N2437" s="4" t="s">
        <v>157</v>
      </c>
      <c r="O2437" s="4" t="s">
        <v>434</v>
      </c>
      <c r="P2437" s="4" t="s">
        <v>435</v>
      </c>
    </row>
    <row r="2438" spans="1:16" ht="15">
      <c r="A2438" s="4" t="s">
        <v>3488</v>
      </c>
      <c r="B2438" s="30">
        <v>39972</v>
      </c>
      <c r="C2438" s="4"/>
      <c r="D2438" s="4" t="s">
        <v>193</v>
      </c>
      <c r="E2438" s="4" t="s">
        <v>170</v>
      </c>
      <c r="F2438" s="4" t="s">
        <v>155</v>
      </c>
      <c r="G2438" s="4"/>
      <c r="H2438" s="4"/>
      <c r="I2438" s="4" t="s">
        <v>140</v>
      </c>
      <c r="J2438" s="4" t="s">
        <v>185</v>
      </c>
      <c r="K2438" s="4" t="s">
        <v>144</v>
      </c>
      <c r="L2438" s="4" t="s">
        <v>4176</v>
      </c>
      <c r="M2438" s="4" t="s">
        <v>174</v>
      </c>
      <c r="N2438" s="4" t="s">
        <v>156</v>
      </c>
      <c r="O2438" s="4" t="s">
        <v>120</v>
      </c>
      <c r="P2438" s="4" t="s">
        <v>827</v>
      </c>
    </row>
    <row r="2439" spans="1:16" ht="15">
      <c r="A2439" s="4" t="s">
        <v>3489</v>
      </c>
      <c r="B2439" s="30">
        <v>39936</v>
      </c>
      <c r="C2439" s="4" t="s">
        <v>496</v>
      </c>
      <c r="D2439" s="4" t="s">
        <v>4183</v>
      </c>
      <c r="E2439" s="4" t="s">
        <v>170</v>
      </c>
      <c r="F2439" s="4" t="s">
        <v>155</v>
      </c>
      <c r="G2439" s="4"/>
      <c r="H2439" s="4"/>
      <c r="I2439" s="4" t="s">
        <v>140</v>
      </c>
      <c r="J2439" s="4" t="s">
        <v>185</v>
      </c>
      <c r="K2439" s="4" t="s">
        <v>148</v>
      </c>
      <c r="L2439" s="4" t="s">
        <v>4176</v>
      </c>
      <c r="M2439" s="4" t="s">
        <v>1797</v>
      </c>
      <c r="N2439" s="4" t="s">
        <v>156</v>
      </c>
      <c r="O2439" s="4" t="s">
        <v>120</v>
      </c>
      <c r="P2439" s="4" t="s">
        <v>620</v>
      </c>
    </row>
    <row r="2440" spans="1:16" ht="15">
      <c r="A2440" s="4" t="s">
        <v>3490</v>
      </c>
      <c r="B2440" s="30">
        <v>39929</v>
      </c>
      <c r="C2440" s="4"/>
      <c r="D2440" s="4" t="s">
        <v>4183</v>
      </c>
      <c r="E2440" s="4" t="s">
        <v>170</v>
      </c>
      <c r="F2440" s="4" t="s">
        <v>155</v>
      </c>
      <c r="G2440" s="4"/>
      <c r="H2440" s="4"/>
      <c r="I2440" s="4" t="s">
        <v>140</v>
      </c>
      <c r="J2440" s="4" t="s">
        <v>185</v>
      </c>
      <c r="K2440" s="4" t="s">
        <v>148</v>
      </c>
      <c r="L2440" s="4" t="s">
        <v>4181</v>
      </c>
      <c r="M2440" s="4"/>
      <c r="N2440" s="4" t="s">
        <v>161</v>
      </c>
      <c r="O2440" s="4" t="s">
        <v>1253</v>
      </c>
      <c r="P2440" s="4"/>
    </row>
    <row r="2441" spans="1:16" ht="15">
      <c r="A2441" s="4" t="s">
        <v>3491</v>
      </c>
      <c r="B2441" s="30">
        <v>39953</v>
      </c>
      <c r="C2441" s="4" t="s">
        <v>380</v>
      </c>
      <c r="D2441" s="4" t="s">
        <v>195</v>
      </c>
      <c r="E2441" s="4" t="s">
        <v>170</v>
      </c>
      <c r="F2441" s="4" t="s">
        <v>155</v>
      </c>
      <c r="G2441" s="4"/>
      <c r="H2441" s="4"/>
      <c r="I2441" s="4" t="s">
        <v>139</v>
      </c>
      <c r="J2441" s="4" t="s">
        <v>185</v>
      </c>
      <c r="K2441" s="4" t="s">
        <v>148</v>
      </c>
      <c r="L2441" s="4" t="s">
        <v>4176</v>
      </c>
      <c r="M2441" s="4" t="s">
        <v>174</v>
      </c>
      <c r="N2441" s="4" t="s">
        <v>156</v>
      </c>
      <c r="O2441" s="4" t="s">
        <v>120</v>
      </c>
      <c r="P2441" s="4" t="s">
        <v>1449</v>
      </c>
    </row>
    <row r="2442" spans="1:16" ht="15">
      <c r="A2442" s="4" t="s">
        <v>3492</v>
      </c>
      <c r="B2442" s="30">
        <v>39993</v>
      </c>
      <c r="C2442" s="4" t="s">
        <v>380</v>
      </c>
      <c r="D2442" s="4" t="s">
        <v>194</v>
      </c>
      <c r="E2442" s="4" t="s">
        <v>170</v>
      </c>
      <c r="F2442" s="4" t="s">
        <v>155</v>
      </c>
      <c r="G2442" s="4"/>
      <c r="H2442" s="4">
        <v>5</v>
      </c>
      <c r="I2442" s="4" t="s">
        <v>139</v>
      </c>
      <c r="J2442" s="4" t="s">
        <v>185</v>
      </c>
      <c r="K2442" s="4" t="s">
        <v>144</v>
      </c>
      <c r="L2442" s="4" t="s">
        <v>162</v>
      </c>
      <c r="M2442" s="4" t="s">
        <v>175</v>
      </c>
      <c r="N2442" s="4" t="s">
        <v>155</v>
      </c>
      <c r="O2442" s="4" t="s">
        <v>129</v>
      </c>
      <c r="P2442" s="4"/>
    </row>
    <row r="2443" spans="1:16" ht="15">
      <c r="A2443" s="4" t="s">
        <v>3493</v>
      </c>
      <c r="B2443" s="30">
        <v>40062</v>
      </c>
      <c r="C2443" s="4" t="s">
        <v>383</v>
      </c>
      <c r="D2443" s="4" t="s">
        <v>196</v>
      </c>
      <c r="E2443" s="4" t="s">
        <v>170</v>
      </c>
      <c r="F2443" s="4" t="s">
        <v>155</v>
      </c>
      <c r="G2443" s="4">
        <v>5</v>
      </c>
      <c r="H2443" s="4">
        <v>5</v>
      </c>
      <c r="I2443" s="4" t="s">
        <v>139</v>
      </c>
      <c r="J2443" s="4" t="s">
        <v>185</v>
      </c>
      <c r="K2443" s="4" t="s">
        <v>144</v>
      </c>
      <c r="L2443" s="4" t="s">
        <v>4176</v>
      </c>
      <c r="M2443" s="4" t="s">
        <v>174</v>
      </c>
      <c r="N2443" s="4" t="s">
        <v>156</v>
      </c>
      <c r="O2443" s="4" t="s">
        <v>120</v>
      </c>
      <c r="P2443" s="4" t="s">
        <v>1829</v>
      </c>
    </row>
    <row r="2444" spans="1:16" ht="15">
      <c r="A2444" s="4" t="s">
        <v>3494</v>
      </c>
      <c r="B2444" s="30">
        <v>39941</v>
      </c>
      <c r="C2444" s="4"/>
      <c r="D2444" s="4" t="s">
        <v>193</v>
      </c>
      <c r="E2444" s="4" t="s">
        <v>170</v>
      </c>
      <c r="F2444" s="4" t="s">
        <v>155</v>
      </c>
      <c r="G2444" s="4"/>
      <c r="H2444" s="4"/>
      <c r="I2444" s="4" t="s">
        <v>140</v>
      </c>
      <c r="J2444" s="4" t="s">
        <v>185</v>
      </c>
      <c r="K2444" s="4" t="s">
        <v>147</v>
      </c>
      <c r="L2444" s="4" t="s">
        <v>4181</v>
      </c>
      <c r="M2444" s="4" t="s">
        <v>173</v>
      </c>
      <c r="N2444" s="4" t="s">
        <v>155</v>
      </c>
      <c r="O2444" s="4" t="s">
        <v>484</v>
      </c>
      <c r="P2444" s="4"/>
    </row>
    <row r="2445" spans="1:16" ht="15">
      <c r="A2445" s="4" t="s">
        <v>3495</v>
      </c>
      <c r="B2445" s="30">
        <v>40015</v>
      </c>
      <c r="C2445" s="4"/>
      <c r="D2445" s="4" t="s">
        <v>193</v>
      </c>
      <c r="E2445" s="4" t="s">
        <v>170</v>
      </c>
      <c r="F2445" s="4" t="s">
        <v>155</v>
      </c>
      <c r="G2445" s="4">
        <v>5</v>
      </c>
      <c r="H2445" s="4">
        <v>5</v>
      </c>
      <c r="I2445" s="4" t="s">
        <v>140</v>
      </c>
      <c r="J2445" s="4" t="s">
        <v>185</v>
      </c>
      <c r="K2445" s="4" t="s">
        <v>146</v>
      </c>
      <c r="L2445" s="4" t="s">
        <v>4176</v>
      </c>
      <c r="M2445" s="4" t="s">
        <v>174</v>
      </c>
      <c r="N2445" s="4" t="s">
        <v>157</v>
      </c>
      <c r="O2445" s="4" t="s">
        <v>130</v>
      </c>
      <c r="P2445" s="4" t="s">
        <v>423</v>
      </c>
    </row>
    <row r="2446" spans="1:16" ht="15">
      <c r="A2446" s="4" t="s">
        <v>3496</v>
      </c>
      <c r="B2446" s="30">
        <v>39958</v>
      </c>
      <c r="C2446" s="4"/>
      <c r="D2446" s="4" t="s">
        <v>193</v>
      </c>
      <c r="E2446" s="4" t="s">
        <v>170</v>
      </c>
      <c r="F2446" s="4" t="s">
        <v>155</v>
      </c>
      <c r="G2446" s="4"/>
      <c r="H2446" s="4"/>
      <c r="I2446" s="4" t="s">
        <v>140</v>
      </c>
      <c r="J2446" s="4" t="s">
        <v>181</v>
      </c>
      <c r="K2446" s="4" t="s">
        <v>149</v>
      </c>
      <c r="L2446" s="4" t="s">
        <v>162</v>
      </c>
      <c r="M2446" s="4"/>
      <c r="N2446" s="4" t="s">
        <v>155</v>
      </c>
      <c r="O2446" s="4" t="s">
        <v>130</v>
      </c>
      <c r="P2446" s="4"/>
    </row>
    <row r="2447" spans="1:16" ht="15">
      <c r="A2447" s="4" t="s">
        <v>3497</v>
      </c>
      <c r="B2447" s="30">
        <v>39939</v>
      </c>
      <c r="C2447" s="4"/>
      <c r="D2447" s="4" t="s">
        <v>4183</v>
      </c>
      <c r="E2447" s="4" t="s">
        <v>170</v>
      </c>
      <c r="F2447" s="4" t="s">
        <v>155</v>
      </c>
      <c r="G2447" s="4"/>
      <c r="H2447" s="4"/>
      <c r="I2447" s="4" t="s">
        <v>140</v>
      </c>
      <c r="J2447" s="4" t="s">
        <v>181</v>
      </c>
      <c r="K2447" s="4" t="s">
        <v>142</v>
      </c>
      <c r="L2447" s="4" t="s">
        <v>4176</v>
      </c>
      <c r="M2447" s="4"/>
      <c r="N2447" s="4" t="s">
        <v>387</v>
      </c>
      <c r="O2447" s="4" t="s">
        <v>126</v>
      </c>
      <c r="P2447" s="4" t="s">
        <v>3498</v>
      </c>
    </row>
    <row r="2448" spans="1:16" ht="15">
      <c r="A2448" s="4" t="s">
        <v>3499</v>
      </c>
      <c r="B2448" s="30">
        <v>40054</v>
      </c>
      <c r="C2448" s="4"/>
      <c r="D2448" s="4" t="s">
        <v>197</v>
      </c>
      <c r="E2448" s="4" t="s">
        <v>170</v>
      </c>
      <c r="F2448" s="4" t="s">
        <v>155</v>
      </c>
      <c r="G2448" s="4">
        <v>5</v>
      </c>
      <c r="H2448" s="4">
        <v>4</v>
      </c>
      <c r="I2448" s="4" t="s">
        <v>139</v>
      </c>
      <c r="J2448" s="4" t="s">
        <v>179</v>
      </c>
      <c r="K2448" s="4" t="s">
        <v>144</v>
      </c>
      <c r="L2448" s="4" t="s">
        <v>4181</v>
      </c>
      <c r="M2448" s="4" t="s">
        <v>173</v>
      </c>
      <c r="N2448" s="4" t="s">
        <v>155</v>
      </c>
      <c r="O2448" s="4" t="s">
        <v>128</v>
      </c>
      <c r="P2448" s="4"/>
    </row>
    <row r="2449" spans="1:16" ht="15">
      <c r="A2449" s="4" t="s">
        <v>3500</v>
      </c>
      <c r="B2449" s="30">
        <v>39926</v>
      </c>
      <c r="C2449" s="4" t="s">
        <v>496</v>
      </c>
      <c r="D2449" s="4" t="s">
        <v>4183</v>
      </c>
      <c r="E2449" s="4" t="s">
        <v>170</v>
      </c>
      <c r="F2449" s="4" t="s">
        <v>155</v>
      </c>
      <c r="G2449" s="4"/>
      <c r="H2449" s="4"/>
      <c r="I2449" s="4" t="s">
        <v>140</v>
      </c>
      <c r="J2449" s="4" t="s">
        <v>178</v>
      </c>
      <c r="K2449" s="4" t="s">
        <v>143</v>
      </c>
      <c r="L2449" s="4" t="s">
        <v>4176</v>
      </c>
      <c r="M2449" s="4" t="s">
        <v>498</v>
      </c>
      <c r="N2449" s="4" t="s">
        <v>157</v>
      </c>
      <c r="O2449" s="4" t="s">
        <v>124</v>
      </c>
      <c r="P2449" s="4" t="s">
        <v>1483</v>
      </c>
    </row>
    <row r="2450" spans="1:16" ht="15">
      <c r="A2450" s="4" t="s">
        <v>3501</v>
      </c>
      <c r="B2450" s="30">
        <v>39945</v>
      </c>
      <c r="C2450" s="4"/>
      <c r="D2450" s="4" t="s">
        <v>195</v>
      </c>
      <c r="E2450" s="4" t="s">
        <v>170</v>
      </c>
      <c r="F2450" s="4" t="s">
        <v>155</v>
      </c>
      <c r="G2450" s="4"/>
      <c r="H2450" s="4"/>
      <c r="I2450" s="4" t="s">
        <v>139</v>
      </c>
      <c r="J2450" s="4" t="s">
        <v>178</v>
      </c>
      <c r="K2450" s="4" t="s">
        <v>147</v>
      </c>
      <c r="L2450" s="4" t="s">
        <v>4176</v>
      </c>
      <c r="M2450" s="4" t="s">
        <v>578</v>
      </c>
      <c r="N2450" s="4" t="s">
        <v>157</v>
      </c>
      <c r="O2450" s="4" t="s">
        <v>130</v>
      </c>
      <c r="P2450" s="4" t="s">
        <v>437</v>
      </c>
    </row>
    <row r="2451" spans="1:16" ht="15">
      <c r="A2451" s="4" t="s">
        <v>3502</v>
      </c>
      <c r="B2451" s="30">
        <v>39971</v>
      </c>
      <c r="C2451" s="4"/>
      <c r="D2451" s="4" t="s">
        <v>193</v>
      </c>
      <c r="E2451" s="4" t="s">
        <v>170</v>
      </c>
      <c r="F2451" s="4" t="s">
        <v>155</v>
      </c>
      <c r="G2451" s="4"/>
      <c r="H2451" s="4"/>
      <c r="I2451" s="4" t="s">
        <v>140</v>
      </c>
      <c r="J2451" s="4" t="s">
        <v>178</v>
      </c>
      <c r="K2451" s="4" t="s">
        <v>143</v>
      </c>
      <c r="L2451" s="4" t="s">
        <v>4176</v>
      </c>
      <c r="M2451" s="4" t="s">
        <v>174</v>
      </c>
      <c r="N2451" s="4" t="s">
        <v>157</v>
      </c>
      <c r="O2451" s="4" t="s">
        <v>127</v>
      </c>
      <c r="P2451" s="4" t="s">
        <v>153</v>
      </c>
    </row>
    <row r="2452" spans="1:16" ht="15">
      <c r="A2452" s="4" t="s">
        <v>3503</v>
      </c>
      <c r="B2452" s="30">
        <v>40004</v>
      </c>
      <c r="C2452" s="4"/>
      <c r="D2452" s="4" t="s">
        <v>193</v>
      </c>
      <c r="E2452" s="4" t="s">
        <v>170</v>
      </c>
      <c r="F2452" s="4" t="s">
        <v>155</v>
      </c>
      <c r="G2452" s="4"/>
      <c r="H2452" s="4">
        <v>5</v>
      </c>
      <c r="I2452" s="4" t="s">
        <v>140</v>
      </c>
      <c r="J2452" s="4" t="s">
        <v>178</v>
      </c>
      <c r="K2452" s="4" t="s">
        <v>149</v>
      </c>
      <c r="L2452" s="4" t="s">
        <v>162</v>
      </c>
      <c r="M2452" s="4" t="s">
        <v>175</v>
      </c>
      <c r="N2452" s="4" t="s">
        <v>155</v>
      </c>
      <c r="O2452" s="4" t="s">
        <v>130</v>
      </c>
      <c r="P2452" s="4"/>
    </row>
    <row r="2453" spans="1:16" ht="15">
      <c r="A2453" s="4" t="s">
        <v>3504</v>
      </c>
      <c r="B2453" s="30">
        <v>40038</v>
      </c>
      <c r="C2453" s="4"/>
      <c r="D2453" s="4" t="s">
        <v>196</v>
      </c>
      <c r="E2453" s="4" t="s">
        <v>170</v>
      </c>
      <c r="F2453" s="4" t="s">
        <v>155</v>
      </c>
      <c r="G2453" s="4">
        <v>4</v>
      </c>
      <c r="H2453" s="4">
        <v>4</v>
      </c>
      <c r="I2453" s="4" t="s">
        <v>139</v>
      </c>
      <c r="J2453" s="4" t="s">
        <v>178</v>
      </c>
      <c r="K2453" s="4" t="s">
        <v>144</v>
      </c>
      <c r="L2453" s="4" t="s">
        <v>162</v>
      </c>
      <c r="M2453" s="4"/>
      <c r="N2453" s="4" t="s">
        <v>155</v>
      </c>
      <c r="O2453" s="4" t="s">
        <v>127</v>
      </c>
      <c r="P2453" s="4"/>
    </row>
    <row r="2454" spans="1:16" ht="15">
      <c r="A2454" s="4" t="s">
        <v>3505</v>
      </c>
      <c r="B2454" s="30">
        <v>40040</v>
      </c>
      <c r="C2454" s="4"/>
      <c r="D2454" s="4" t="s">
        <v>193</v>
      </c>
      <c r="E2454" s="4" t="s">
        <v>170</v>
      </c>
      <c r="F2454" s="4" t="s">
        <v>155</v>
      </c>
      <c r="G2454" s="4">
        <v>1</v>
      </c>
      <c r="H2454" s="4">
        <v>5</v>
      </c>
      <c r="I2454" s="4" t="s">
        <v>140</v>
      </c>
      <c r="J2454" s="4" t="s">
        <v>178</v>
      </c>
      <c r="K2454" s="4" t="s">
        <v>144</v>
      </c>
      <c r="L2454" s="4" t="s">
        <v>165</v>
      </c>
      <c r="M2454" s="4" t="s">
        <v>2169</v>
      </c>
      <c r="N2454" s="4" t="s">
        <v>158</v>
      </c>
      <c r="O2454" s="4" t="s">
        <v>122</v>
      </c>
      <c r="P2454" s="4"/>
    </row>
    <row r="2455" spans="1:16" ht="15">
      <c r="A2455" s="4" t="s">
        <v>3506</v>
      </c>
      <c r="B2455" s="30">
        <v>39928</v>
      </c>
      <c r="C2455" s="4"/>
      <c r="D2455" s="4" t="s">
        <v>4180</v>
      </c>
      <c r="E2455" s="4" t="s">
        <v>170</v>
      </c>
      <c r="F2455" s="4" t="s">
        <v>155</v>
      </c>
      <c r="G2455" s="4"/>
      <c r="H2455" s="4"/>
      <c r="I2455" s="4" t="s">
        <v>139</v>
      </c>
      <c r="J2455" s="4" t="s">
        <v>178</v>
      </c>
      <c r="K2455" s="4" t="s">
        <v>145</v>
      </c>
      <c r="L2455" s="4" t="s">
        <v>4181</v>
      </c>
      <c r="M2455" s="4" t="s">
        <v>1206</v>
      </c>
      <c r="N2455" s="4" t="s">
        <v>155</v>
      </c>
      <c r="O2455" s="4" t="s">
        <v>454</v>
      </c>
      <c r="P2455" s="4"/>
    </row>
    <row r="2456" spans="1:16" ht="15">
      <c r="A2456" s="4" t="s">
        <v>3507</v>
      </c>
      <c r="B2456" s="30">
        <v>39949</v>
      </c>
      <c r="C2456" s="4"/>
      <c r="D2456" s="4" t="s">
        <v>193</v>
      </c>
      <c r="E2456" s="4" t="s">
        <v>170</v>
      </c>
      <c r="F2456" s="4" t="s">
        <v>155</v>
      </c>
      <c r="G2456" s="4"/>
      <c r="H2456" s="4"/>
      <c r="I2456" s="4" t="s">
        <v>140</v>
      </c>
      <c r="J2456" s="4" t="s">
        <v>178</v>
      </c>
      <c r="K2456" s="4" t="s">
        <v>147</v>
      </c>
      <c r="L2456" s="4" t="s">
        <v>4181</v>
      </c>
      <c r="M2456" s="4" t="s">
        <v>415</v>
      </c>
      <c r="N2456" s="4" t="s">
        <v>155</v>
      </c>
      <c r="O2456" s="4" t="s">
        <v>125</v>
      </c>
      <c r="P2456" s="4"/>
    </row>
    <row r="2457" spans="1:16" ht="15">
      <c r="A2457" s="4" t="s">
        <v>3508</v>
      </c>
      <c r="B2457" s="30">
        <v>39963</v>
      </c>
      <c r="C2457" s="4"/>
      <c r="D2457" s="4" t="s">
        <v>193</v>
      </c>
      <c r="E2457" s="4" t="s">
        <v>170</v>
      </c>
      <c r="F2457" s="4" t="s">
        <v>155</v>
      </c>
      <c r="G2457" s="4"/>
      <c r="H2457" s="4"/>
      <c r="I2457" s="4" t="s">
        <v>140</v>
      </c>
      <c r="J2457" s="4" t="s">
        <v>178</v>
      </c>
      <c r="K2457" s="4" t="s">
        <v>142</v>
      </c>
      <c r="L2457" s="4" t="s">
        <v>162</v>
      </c>
      <c r="M2457" s="4"/>
      <c r="N2457" s="4" t="s">
        <v>155</v>
      </c>
      <c r="O2457" s="4" t="s">
        <v>129</v>
      </c>
      <c r="P2457" s="4"/>
    </row>
    <row r="2458" spans="1:16" ht="15">
      <c r="A2458" s="4" t="s">
        <v>3509</v>
      </c>
      <c r="B2458" s="30">
        <v>39943</v>
      </c>
      <c r="C2458" s="4" t="s">
        <v>496</v>
      </c>
      <c r="D2458" s="4" t="s">
        <v>193</v>
      </c>
      <c r="E2458" s="4" t="s">
        <v>170</v>
      </c>
      <c r="F2458" s="4" t="s">
        <v>155</v>
      </c>
      <c r="G2458" s="4"/>
      <c r="H2458" s="4"/>
      <c r="I2458" s="4" t="s">
        <v>140</v>
      </c>
      <c r="J2458" s="4" t="s">
        <v>178</v>
      </c>
      <c r="K2458" s="4" t="s">
        <v>147</v>
      </c>
      <c r="L2458" s="4" t="s">
        <v>4181</v>
      </c>
      <c r="M2458" s="4" t="s">
        <v>1228</v>
      </c>
      <c r="N2458" s="4" t="s">
        <v>155</v>
      </c>
      <c r="O2458" s="4" t="s">
        <v>125</v>
      </c>
      <c r="P2458" s="4"/>
    </row>
    <row r="2459" spans="1:16" ht="15">
      <c r="A2459" s="4" t="s">
        <v>3510</v>
      </c>
      <c r="B2459" s="30">
        <v>39991</v>
      </c>
      <c r="C2459" s="4"/>
      <c r="D2459" s="4" t="s">
        <v>196</v>
      </c>
      <c r="E2459" s="4" t="s">
        <v>170</v>
      </c>
      <c r="F2459" s="4" t="s">
        <v>155</v>
      </c>
      <c r="G2459" s="4"/>
      <c r="H2459" s="4">
        <v>2</v>
      </c>
      <c r="I2459" s="4" t="s">
        <v>139</v>
      </c>
      <c r="J2459" s="4" t="s">
        <v>178</v>
      </c>
      <c r="K2459" s="4" t="s">
        <v>143</v>
      </c>
      <c r="L2459" s="4" t="s">
        <v>4181</v>
      </c>
      <c r="M2459" s="4" t="s">
        <v>3511</v>
      </c>
      <c r="N2459" s="4" t="s">
        <v>155</v>
      </c>
      <c r="O2459" s="4" t="s">
        <v>124</v>
      </c>
      <c r="P2459" s="4"/>
    </row>
    <row r="2460" spans="1:16" ht="15">
      <c r="A2460" s="4" t="s">
        <v>3512</v>
      </c>
      <c r="B2460" s="30">
        <v>40022</v>
      </c>
      <c r="C2460" s="4" t="s">
        <v>383</v>
      </c>
      <c r="D2460" s="4" t="s">
        <v>196</v>
      </c>
      <c r="E2460" s="4" t="s">
        <v>170</v>
      </c>
      <c r="F2460" s="4" t="s">
        <v>155</v>
      </c>
      <c r="G2460" s="4">
        <v>5</v>
      </c>
      <c r="H2460" s="4">
        <v>2</v>
      </c>
      <c r="I2460" s="4" t="s">
        <v>139</v>
      </c>
      <c r="J2460" s="4" t="s">
        <v>189</v>
      </c>
      <c r="K2460" s="4" t="s">
        <v>142</v>
      </c>
      <c r="L2460" s="4" t="s">
        <v>4176</v>
      </c>
      <c r="M2460" s="4"/>
      <c r="N2460" s="4" t="s">
        <v>157</v>
      </c>
      <c r="O2460" s="4" t="s">
        <v>434</v>
      </c>
      <c r="P2460" s="4" t="s">
        <v>435</v>
      </c>
    </row>
    <row r="2461" spans="1:16" ht="15">
      <c r="A2461" s="4" t="s">
        <v>3513</v>
      </c>
      <c r="B2461" s="30">
        <v>40066</v>
      </c>
      <c r="C2461" s="4" t="s">
        <v>383</v>
      </c>
      <c r="D2461" s="4" t="s">
        <v>193</v>
      </c>
      <c r="E2461" s="4" t="s">
        <v>170</v>
      </c>
      <c r="F2461" s="4" t="s">
        <v>155</v>
      </c>
      <c r="G2461" s="4">
        <v>5</v>
      </c>
      <c r="H2461" s="4">
        <v>5</v>
      </c>
      <c r="I2461" s="4" t="s">
        <v>140</v>
      </c>
      <c r="J2461" s="4" t="s">
        <v>189</v>
      </c>
      <c r="K2461" s="4" t="s">
        <v>145</v>
      </c>
      <c r="L2461" s="4" t="s">
        <v>165</v>
      </c>
      <c r="M2461" s="4" t="s">
        <v>2169</v>
      </c>
      <c r="N2461" s="4" t="s">
        <v>158</v>
      </c>
      <c r="O2461" s="4" t="s">
        <v>122</v>
      </c>
      <c r="P2461" s="4"/>
    </row>
    <row r="2462" spans="1:16" ht="15">
      <c r="A2462" s="4" t="s">
        <v>3514</v>
      </c>
      <c r="B2462" s="30">
        <v>39910</v>
      </c>
      <c r="C2462" s="4" t="s">
        <v>9</v>
      </c>
      <c r="D2462" s="4" t="s">
        <v>4182</v>
      </c>
      <c r="E2462" s="4" t="s">
        <v>170</v>
      </c>
      <c r="F2462" s="4" t="s">
        <v>155</v>
      </c>
      <c r="G2462" s="4"/>
      <c r="H2462" s="4"/>
      <c r="I2462" s="4" t="s">
        <v>139</v>
      </c>
      <c r="J2462" s="4" t="s">
        <v>181</v>
      </c>
      <c r="K2462" s="4" t="s">
        <v>150</v>
      </c>
      <c r="L2462" s="4" t="s">
        <v>162</v>
      </c>
      <c r="M2462" s="4" t="s">
        <v>176</v>
      </c>
      <c r="N2462" s="4" t="s">
        <v>155</v>
      </c>
      <c r="O2462" s="4" t="s">
        <v>129</v>
      </c>
      <c r="P2462" s="4"/>
    </row>
    <row r="2463" spans="1:16" ht="15">
      <c r="A2463" s="4" t="s">
        <v>3515</v>
      </c>
      <c r="B2463" s="30">
        <v>40073</v>
      </c>
      <c r="C2463" s="4"/>
      <c r="D2463" s="4" t="s">
        <v>197</v>
      </c>
      <c r="E2463" s="4" t="s">
        <v>170</v>
      </c>
      <c r="F2463" s="4" t="s">
        <v>155</v>
      </c>
      <c r="G2463" s="4">
        <v>5</v>
      </c>
      <c r="H2463" s="4">
        <v>5</v>
      </c>
      <c r="I2463" s="4" t="s">
        <v>139</v>
      </c>
      <c r="J2463" s="4" t="s">
        <v>384</v>
      </c>
      <c r="K2463" s="4" t="s">
        <v>142</v>
      </c>
      <c r="L2463" s="4" t="s">
        <v>4181</v>
      </c>
      <c r="M2463" s="4" t="s">
        <v>173</v>
      </c>
      <c r="N2463" s="4" t="s">
        <v>155</v>
      </c>
      <c r="O2463" s="4" t="s">
        <v>830</v>
      </c>
      <c r="P2463" s="4"/>
    </row>
    <row r="2464" spans="1:16" ht="15">
      <c r="A2464" s="4" t="s">
        <v>3516</v>
      </c>
      <c r="B2464" s="30">
        <v>40024</v>
      </c>
      <c r="C2464" s="4"/>
      <c r="D2464" s="4" t="s">
        <v>195</v>
      </c>
      <c r="E2464" s="4" t="s">
        <v>170</v>
      </c>
      <c r="F2464" s="4" t="s">
        <v>155</v>
      </c>
      <c r="G2464" s="4">
        <v>2</v>
      </c>
      <c r="H2464" s="4">
        <v>5</v>
      </c>
      <c r="I2464" s="4" t="s">
        <v>139</v>
      </c>
      <c r="J2464" s="4" t="s">
        <v>528</v>
      </c>
      <c r="K2464" s="4" t="s">
        <v>150</v>
      </c>
      <c r="L2464" s="4" t="s">
        <v>4181</v>
      </c>
      <c r="M2464" s="4" t="s">
        <v>173</v>
      </c>
      <c r="N2464" s="4" t="s">
        <v>155</v>
      </c>
      <c r="O2464" s="4" t="s">
        <v>387</v>
      </c>
      <c r="P2464" s="4"/>
    </row>
    <row r="2465" spans="1:16" ht="15">
      <c r="A2465" s="4" t="s">
        <v>3517</v>
      </c>
      <c r="B2465" s="30">
        <v>40015</v>
      </c>
      <c r="C2465" s="4"/>
      <c r="D2465" s="4" t="s">
        <v>194</v>
      </c>
      <c r="E2465" s="4" t="s">
        <v>170</v>
      </c>
      <c r="F2465" s="4" t="s">
        <v>155</v>
      </c>
      <c r="G2465" s="4">
        <v>5</v>
      </c>
      <c r="H2465" s="4">
        <v>5</v>
      </c>
      <c r="I2465" s="4" t="s">
        <v>139</v>
      </c>
      <c r="J2465" s="4" t="s">
        <v>178</v>
      </c>
      <c r="K2465" s="4" t="s">
        <v>148</v>
      </c>
      <c r="L2465" s="4" t="s">
        <v>4176</v>
      </c>
      <c r="M2465" s="4" t="s">
        <v>174</v>
      </c>
      <c r="N2465" s="4" t="s">
        <v>156</v>
      </c>
      <c r="O2465" s="4" t="s">
        <v>120</v>
      </c>
      <c r="P2465" s="4" t="s">
        <v>3518</v>
      </c>
    </row>
    <row r="2466" spans="1:16" ht="15">
      <c r="A2466" s="4" t="s">
        <v>3519</v>
      </c>
      <c r="B2466" s="30">
        <v>40074</v>
      </c>
      <c r="C2466" s="4" t="s">
        <v>383</v>
      </c>
      <c r="D2466" s="4" t="s">
        <v>197</v>
      </c>
      <c r="E2466" s="4" t="s">
        <v>170</v>
      </c>
      <c r="F2466" s="4" t="s">
        <v>155</v>
      </c>
      <c r="G2466" s="4">
        <v>3</v>
      </c>
      <c r="H2466" s="4">
        <v>4</v>
      </c>
      <c r="I2466" s="4" t="s">
        <v>139</v>
      </c>
      <c r="J2466" s="4" t="s">
        <v>528</v>
      </c>
      <c r="K2466" s="4" t="s">
        <v>143</v>
      </c>
      <c r="L2466" s="4" t="s">
        <v>4181</v>
      </c>
      <c r="M2466" s="4" t="s">
        <v>3520</v>
      </c>
      <c r="N2466" s="4" t="s">
        <v>155</v>
      </c>
      <c r="O2466" s="4" t="s">
        <v>510</v>
      </c>
      <c r="P2466" s="4"/>
    </row>
    <row r="2467" spans="1:16" ht="15">
      <c r="A2467" s="4" t="s">
        <v>3521</v>
      </c>
      <c r="B2467" s="30">
        <v>40066</v>
      </c>
      <c r="C2467" s="4"/>
      <c r="D2467" s="4" t="s">
        <v>195</v>
      </c>
      <c r="E2467" s="4" t="s">
        <v>170</v>
      </c>
      <c r="F2467" s="4" t="s">
        <v>155</v>
      </c>
      <c r="G2467" s="4">
        <v>4</v>
      </c>
      <c r="H2467" s="4">
        <v>3</v>
      </c>
      <c r="I2467" s="4" t="s">
        <v>139</v>
      </c>
      <c r="J2467" s="4" t="s">
        <v>376</v>
      </c>
      <c r="K2467" s="4" t="s">
        <v>144</v>
      </c>
      <c r="L2467" s="4" t="s">
        <v>4176</v>
      </c>
      <c r="M2467" s="4"/>
      <c r="N2467" s="4" t="s">
        <v>160</v>
      </c>
      <c r="O2467" s="4" t="s">
        <v>392</v>
      </c>
      <c r="P2467" s="4" t="s">
        <v>393</v>
      </c>
    </row>
    <row r="2468" spans="1:16" ht="15">
      <c r="A2468" s="4" t="s">
        <v>3522</v>
      </c>
      <c r="B2468" s="30">
        <v>39928</v>
      </c>
      <c r="C2468" s="4"/>
      <c r="D2468" s="4" t="s">
        <v>4178</v>
      </c>
      <c r="E2468" s="4" t="s">
        <v>170</v>
      </c>
      <c r="F2468" s="4" t="s">
        <v>155</v>
      </c>
      <c r="G2468" s="4"/>
      <c r="H2468" s="4"/>
      <c r="I2468" s="4" t="s">
        <v>139</v>
      </c>
      <c r="J2468" s="4" t="s">
        <v>183</v>
      </c>
      <c r="K2468" s="4" t="s">
        <v>148</v>
      </c>
      <c r="L2468" s="4" t="s">
        <v>4181</v>
      </c>
      <c r="M2468" s="4" t="s">
        <v>173</v>
      </c>
      <c r="N2468" s="4" t="s">
        <v>155</v>
      </c>
      <c r="O2468" s="4" t="s">
        <v>692</v>
      </c>
      <c r="P2468" s="4"/>
    </row>
    <row r="2469" spans="1:16" ht="15">
      <c r="A2469" s="4" t="s">
        <v>3523</v>
      </c>
      <c r="B2469" s="30">
        <v>40083</v>
      </c>
      <c r="C2469" s="4"/>
      <c r="D2469" s="4" t="s">
        <v>196</v>
      </c>
      <c r="E2469" s="4" t="s">
        <v>170</v>
      </c>
      <c r="F2469" s="4" t="s">
        <v>155</v>
      </c>
      <c r="G2469" s="4">
        <v>5</v>
      </c>
      <c r="H2469" s="4">
        <v>5</v>
      </c>
      <c r="I2469" s="4" t="s">
        <v>139</v>
      </c>
      <c r="J2469" s="4" t="s">
        <v>191</v>
      </c>
      <c r="K2469" s="4" t="s">
        <v>145</v>
      </c>
      <c r="L2469" s="4" t="s">
        <v>4181</v>
      </c>
      <c r="M2469" s="4" t="s">
        <v>173</v>
      </c>
      <c r="N2469" s="4" t="s">
        <v>155</v>
      </c>
      <c r="O2469" s="4" t="s">
        <v>128</v>
      </c>
      <c r="P2469" s="4"/>
    </row>
    <row r="2470" spans="1:16" ht="15">
      <c r="A2470" s="4" t="s">
        <v>3524</v>
      </c>
      <c r="B2470" s="30">
        <v>39906</v>
      </c>
      <c r="C2470" s="4"/>
      <c r="D2470" s="4" t="s">
        <v>4179</v>
      </c>
      <c r="E2470" s="4" t="s">
        <v>170</v>
      </c>
      <c r="F2470" s="4" t="s">
        <v>155</v>
      </c>
      <c r="G2470" s="4"/>
      <c r="H2470" s="4"/>
      <c r="I2470" s="4" t="s">
        <v>139</v>
      </c>
      <c r="J2470" s="4" t="s">
        <v>409</v>
      </c>
      <c r="K2470" s="4" t="s">
        <v>148</v>
      </c>
      <c r="L2470" s="4" t="s">
        <v>165</v>
      </c>
      <c r="M2470" s="4" t="s">
        <v>2169</v>
      </c>
      <c r="N2470" s="4" t="s">
        <v>158</v>
      </c>
      <c r="O2470" s="4" t="s">
        <v>122</v>
      </c>
      <c r="P2470" s="4"/>
    </row>
    <row r="2471" spans="1:16" ht="15">
      <c r="A2471" s="4" t="s">
        <v>3525</v>
      </c>
      <c r="B2471" s="30">
        <v>39930</v>
      </c>
      <c r="C2471" s="4"/>
      <c r="D2471" s="4" t="s">
        <v>4184</v>
      </c>
      <c r="E2471" s="4" t="s">
        <v>170</v>
      </c>
      <c r="F2471" s="4" t="s">
        <v>155</v>
      </c>
      <c r="G2471" s="4"/>
      <c r="H2471" s="4"/>
      <c r="I2471" s="4" t="s">
        <v>140</v>
      </c>
      <c r="J2471" s="4" t="s">
        <v>183</v>
      </c>
      <c r="K2471" s="4" t="s">
        <v>145</v>
      </c>
      <c r="L2471" s="4" t="s">
        <v>4181</v>
      </c>
      <c r="M2471" s="4" t="s">
        <v>173</v>
      </c>
      <c r="N2471" s="4" t="s">
        <v>155</v>
      </c>
      <c r="O2471" s="4" t="s">
        <v>692</v>
      </c>
      <c r="P2471" s="4"/>
    </row>
    <row r="2472" spans="1:16" ht="15">
      <c r="A2472" s="4" t="s">
        <v>3526</v>
      </c>
      <c r="B2472" s="30">
        <v>39933</v>
      </c>
      <c r="C2472" s="4"/>
      <c r="D2472" s="4" t="s">
        <v>4178</v>
      </c>
      <c r="E2472" s="4" t="s">
        <v>170</v>
      </c>
      <c r="F2472" s="4" t="s">
        <v>155</v>
      </c>
      <c r="G2472" s="4"/>
      <c r="H2472" s="4"/>
      <c r="I2472" s="4" t="s">
        <v>139</v>
      </c>
      <c r="J2472" s="4" t="s">
        <v>179</v>
      </c>
      <c r="K2472" s="4" t="s">
        <v>148</v>
      </c>
      <c r="L2472" s="4" t="s">
        <v>4181</v>
      </c>
      <c r="M2472" s="4" t="s">
        <v>173</v>
      </c>
      <c r="N2472" s="4" t="s">
        <v>161</v>
      </c>
      <c r="O2472" s="4" t="s">
        <v>2772</v>
      </c>
      <c r="P2472" s="4"/>
    </row>
    <row r="2473" spans="1:16" ht="15">
      <c r="A2473" s="4" t="s">
        <v>3527</v>
      </c>
      <c r="B2473" s="30">
        <v>39946</v>
      </c>
      <c r="C2473" s="4"/>
      <c r="D2473" s="4" t="s">
        <v>194</v>
      </c>
      <c r="E2473" s="4" t="s">
        <v>170</v>
      </c>
      <c r="F2473" s="4" t="s">
        <v>155</v>
      </c>
      <c r="G2473" s="4"/>
      <c r="H2473" s="4"/>
      <c r="I2473" s="4" t="s">
        <v>139</v>
      </c>
      <c r="J2473" s="4" t="s">
        <v>186</v>
      </c>
      <c r="K2473" s="4" t="s">
        <v>147</v>
      </c>
      <c r="L2473" s="4" t="s">
        <v>4181</v>
      </c>
      <c r="M2473" s="4" t="s">
        <v>415</v>
      </c>
      <c r="N2473" s="4" t="s">
        <v>155</v>
      </c>
      <c r="O2473" s="4" t="s">
        <v>125</v>
      </c>
      <c r="P2473" s="4"/>
    </row>
    <row r="2474" spans="1:16" ht="15">
      <c r="A2474" s="4" t="s">
        <v>3528</v>
      </c>
      <c r="B2474" s="30">
        <v>39981</v>
      </c>
      <c r="C2474" s="4"/>
      <c r="D2474" s="4" t="s">
        <v>193</v>
      </c>
      <c r="E2474" s="4" t="s">
        <v>170</v>
      </c>
      <c r="F2474" s="4" t="s">
        <v>155</v>
      </c>
      <c r="G2474" s="4"/>
      <c r="H2474" s="4"/>
      <c r="I2474" s="4" t="s">
        <v>140</v>
      </c>
      <c r="J2474" s="4" t="s">
        <v>186</v>
      </c>
      <c r="K2474" s="4" t="s">
        <v>148</v>
      </c>
      <c r="L2474" s="4" t="s">
        <v>4181</v>
      </c>
      <c r="M2474" s="4" t="s">
        <v>3529</v>
      </c>
      <c r="N2474" s="4" t="s">
        <v>155</v>
      </c>
      <c r="O2474" s="4" t="s">
        <v>130</v>
      </c>
      <c r="P2474" s="4"/>
    </row>
    <row r="2475" spans="1:16" ht="15">
      <c r="A2475" s="4" t="s">
        <v>3530</v>
      </c>
      <c r="B2475" s="30">
        <v>39944</v>
      </c>
      <c r="C2475" s="4" t="s">
        <v>496</v>
      </c>
      <c r="D2475" s="4" t="s">
        <v>193</v>
      </c>
      <c r="E2475" s="4" t="s">
        <v>170</v>
      </c>
      <c r="F2475" s="4" t="s">
        <v>155</v>
      </c>
      <c r="G2475" s="4"/>
      <c r="H2475" s="4"/>
      <c r="I2475" s="4" t="s">
        <v>140</v>
      </c>
      <c r="J2475" s="4" t="s">
        <v>181</v>
      </c>
      <c r="K2475" s="4" t="s">
        <v>148</v>
      </c>
      <c r="L2475" s="4" t="s">
        <v>4181</v>
      </c>
      <c r="M2475" s="4" t="s">
        <v>173</v>
      </c>
      <c r="N2475" s="4" t="s">
        <v>155</v>
      </c>
      <c r="O2475" s="4" t="s">
        <v>125</v>
      </c>
      <c r="P2475" s="4"/>
    </row>
    <row r="2476" spans="1:16" ht="15">
      <c r="A2476" s="4" t="s">
        <v>3531</v>
      </c>
      <c r="B2476" s="30">
        <v>39992</v>
      </c>
      <c r="C2476" s="4"/>
      <c r="D2476" s="4" t="s">
        <v>194</v>
      </c>
      <c r="E2476" s="4" t="s">
        <v>170</v>
      </c>
      <c r="F2476" s="4" t="s">
        <v>155</v>
      </c>
      <c r="G2476" s="4"/>
      <c r="H2476" s="4">
        <v>3</v>
      </c>
      <c r="I2476" s="4" t="s">
        <v>139</v>
      </c>
      <c r="J2476" s="4" t="s">
        <v>181</v>
      </c>
      <c r="K2476" s="4" t="s">
        <v>146</v>
      </c>
      <c r="L2476" s="4" t="s">
        <v>4176</v>
      </c>
      <c r="M2476" s="4" t="s">
        <v>174</v>
      </c>
      <c r="N2476" s="4" t="s">
        <v>156</v>
      </c>
      <c r="O2476" s="4" t="s">
        <v>120</v>
      </c>
      <c r="P2476" s="4" t="s">
        <v>991</v>
      </c>
    </row>
    <row r="2477" spans="1:16" ht="15">
      <c r="A2477" s="4" t="s">
        <v>3532</v>
      </c>
      <c r="B2477" s="30">
        <v>40021</v>
      </c>
      <c r="C2477" s="4"/>
      <c r="D2477" s="4" t="s">
        <v>196</v>
      </c>
      <c r="E2477" s="4" t="s">
        <v>170</v>
      </c>
      <c r="F2477" s="4" t="s">
        <v>155</v>
      </c>
      <c r="G2477" s="4">
        <v>5</v>
      </c>
      <c r="H2477" s="4">
        <v>5</v>
      </c>
      <c r="I2477" s="4" t="s">
        <v>139</v>
      </c>
      <c r="J2477" s="4" t="s">
        <v>178</v>
      </c>
      <c r="K2477" s="4" t="s">
        <v>148</v>
      </c>
      <c r="L2477" s="4" t="s">
        <v>4181</v>
      </c>
      <c r="M2477" s="4" t="s">
        <v>2900</v>
      </c>
      <c r="N2477" s="4" t="s">
        <v>155</v>
      </c>
      <c r="O2477" s="4" t="s">
        <v>124</v>
      </c>
      <c r="P2477" s="4"/>
    </row>
    <row r="2478" spans="1:16" ht="15">
      <c r="A2478" s="4" t="s">
        <v>3533</v>
      </c>
      <c r="B2478" s="30">
        <v>40054</v>
      </c>
      <c r="C2478" s="4"/>
      <c r="D2478" s="4" t="s">
        <v>195</v>
      </c>
      <c r="E2478" s="4" t="s">
        <v>170</v>
      </c>
      <c r="F2478" s="4" t="s">
        <v>155</v>
      </c>
      <c r="G2478" s="4">
        <v>5</v>
      </c>
      <c r="H2478" s="4">
        <v>5</v>
      </c>
      <c r="I2478" s="4" t="s">
        <v>139</v>
      </c>
      <c r="J2478" s="4" t="s">
        <v>178</v>
      </c>
      <c r="K2478" s="4" t="s">
        <v>144</v>
      </c>
      <c r="L2478" s="4" t="s">
        <v>162</v>
      </c>
      <c r="M2478" s="4"/>
      <c r="N2478" s="4" t="s">
        <v>155</v>
      </c>
      <c r="O2478" s="4" t="s">
        <v>127</v>
      </c>
      <c r="P2478" s="4"/>
    </row>
    <row r="2479" spans="1:16" ht="15">
      <c r="A2479" s="4" t="s">
        <v>3534</v>
      </c>
      <c r="B2479" s="30">
        <v>40034</v>
      </c>
      <c r="C2479" s="4"/>
      <c r="D2479" s="4" t="s">
        <v>195</v>
      </c>
      <c r="E2479" s="4" t="s">
        <v>170</v>
      </c>
      <c r="F2479" s="4" t="s">
        <v>155</v>
      </c>
      <c r="G2479" s="4">
        <v>5</v>
      </c>
      <c r="H2479" s="4">
        <v>3</v>
      </c>
      <c r="I2479" s="4" t="s">
        <v>139</v>
      </c>
      <c r="J2479" s="4" t="s">
        <v>178</v>
      </c>
      <c r="K2479" s="4" t="s">
        <v>144</v>
      </c>
      <c r="L2479" s="4" t="s">
        <v>4176</v>
      </c>
      <c r="M2479" s="4" t="s">
        <v>174</v>
      </c>
      <c r="N2479" s="4" t="s">
        <v>160</v>
      </c>
      <c r="O2479" s="4" t="s">
        <v>126</v>
      </c>
      <c r="P2479" s="4" t="s">
        <v>551</v>
      </c>
    </row>
    <row r="2480" spans="1:16" ht="15">
      <c r="A2480" s="4" t="s">
        <v>3535</v>
      </c>
      <c r="B2480" s="30">
        <v>40034</v>
      </c>
      <c r="C2480" s="4"/>
      <c r="D2480" s="4" t="s">
        <v>193</v>
      </c>
      <c r="E2480" s="4" t="s">
        <v>170</v>
      </c>
      <c r="F2480" s="4" t="s">
        <v>155</v>
      </c>
      <c r="G2480" s="4">
        <v>5</v>
      </c>
      <c r="H2480" s="4">
        <v>5</v>
      </c>
      <c r="I2480" s="4" t="s">
        <v>140</v>
      </c>
      <c r="J2480" s="4" t="s">
        <v>384</v>
      </c>
      <c r="K2480" s="4" t="s">
        <v>148</v>
      </c>
      <c r="L2480" s="4" t="s">
        <v>4176</v>
      </c>
      <c r="M2480" s="4" t="s">
        <v>176</v>
      </c>
      <c r="N2480" s="4" t="s">
        <v>125</v>
      </c>
      <c r="O2480" s="4" t="s">
        <v>125</v>
      </c>
      <c r="P2480" s="4" t="s">
        <v>1497</v>
      </c>
    </row>
    <row r="2481" spans="1:16" ht="15">
      <c r="A2481" s="4" t="s">
        <v>3536</v>
      </c>
      <c r="B2481" s="30">
        <v>39910</v>
      </c>
      <c r="C2481" s="4" t="s">
        <v>380</v>
      </c>
      <c r="D2481" s="4" t="s">
        <v>4180</v>
      </c>
      <c r="E2481" s="4" t="s">
        <v>170</v>
      </c>
      <c r="F2481" s="4" t="s">
        <v>155</v>
      </c>
      <c r="G2481" s="4"/>
      <c r="H2481" s="4"/>
      <c r="I2481" s="4" t="s">
        <v>139</v>
      </c>
      <c r="J2481" s="4" t="s">
        <v>528</v>
      </c>
      <c r="K2481" s="4" t="s">
        <v>150</v>
      </c>
      <c r="L2481" s="4" t="s">
        <v>4176</v>
      </c>
      <c r="M2481" s="4" t="s">
        <v>933</v>
      </c>
      <c r="N2481" s="4" t="s">
        <v>159</v>
      </c>
      <c r="O2481" s="4" t="s">
        <v>126</v>
      </c>
      <c r="P2481" s="4" t="s">
        <v>601</v>
      </c>
    </row>
    <row r="2482" spans="1:16" ht="15">
      <c r="A2482" s="4" t="s">
        <v>3537</v>
      </c>
      <c r="B2482" s="30">
        <v>39969</v>
      </c>
      <c r="C2482" s="4" t="s">
        <v>380</v>
      </c>
      <c r="D2482" s="4" t="s">
        <v>193</v>
      </c>
      <c r="E2482" s="4" t="s">
        <v>170</v>
      </c>
      <c r="F2482" s="4" t="s">
        <v>155</v>
      </c>
      <c r="G2482" s="4"/>
      <c r="H2482" s="4"/>
      <c r="I2482" s="4" t="s">
        <v>140</v>
      </c>
      <c r="J2482" s="4" t="s">
        <v>178</v>
      </c>
      <c r="K2482" s="4" t="s">
        <v>142</v>
      </c>
      <c r="L2482" s="4" t="s">
        <v>4181</v>
      </c>
      <c r="M2482" s="4" t="s">
        <v>173</v>
      </c>
      <c r="N2482" s="4" t="s">
        <v>155</v>
      </c>
      <c r="O2482" s="4" t="s">
        <v>125</v>
      </c>
      <c r="P2482" s="4"/>
    </row>
    <row r="2483" spans="1:16" ht="15">
      <c r="A2483" s="4" t="s">
        <v>3538</v>
      </c>
      <c r="B2483" s="30">
        <v>39949</v>
      </c>
      <c r="C2483" s="4"/>
      <c r="D2483" s="4" t="s">
        <v>194</v>
      </c>
      <c r="E2483" s="4" t="s">
        <v>170</v>
      </c>
      <c r="F2483" s="4" t="s">
        <v>155</v>
      </c>
      <c r="G2483" s="4"/>
      <c r="H2483" s="4"/>
      <c r="I2483" s="4" t="s">
        <v>139</v>
      </c>
      <c r="J2483" s="4" t="s">
        <v>181</v>
      </c>
      <c r="K2483" s="4" t="s">
        <v>145</v>
      </c>
      <c r="L2483" s="4" t="s">
        <v>4176</v>
      </c>
      <c r="M2483" s="4" t="s">
        <v>174</v>
      </c>
      <c r="N2483" s="4" t="s">
        <v>157</v>
      </c>
      <c r="O2483" s="4" t="s">
        <v>406</v>
      </c>
      <c r="P2483" s="4" t="s">
        <v>922</v>
      </c>
    </row>
    <row r="2484" spans="1:16" ht="15">
      <c r="A2484" s="4" t="s">
        <v>3539</v>
      </c>
      <c r="B2484" s="30">
        <v>39959</v>
      </c>
      <c r="C2484" s="4"/>
      <c r="D2484" s="4" t="s">
        <v>194</v>
      </c>
      <c r="E2484" s="4" t="s">
        <v>170</v>
      </c>
      <c r="F2484" s="4" t="s">
        <v>155</v>
      </c>
      <c r="G2484" s="4"/>
      <c r="H2484" s="4"/>
      <c r="I2484" s="4" t="s">
        <v>139</v>
      </c>
      <c r="J2484" s="4" t="s">
        <v>183</v>
      </c>
      <c r="K2484" s="4" t="s">
        <v>143</v>
      </c>
      <c r="L2484" s="4" t="s">
        <v>4181</v>
      </c>
      <c r="M2484" s="4" t="s">
        <v>173</v>
      </c>
      <c r="N2484" s="4" t="s">
        <v>155</v>
      </c>
      <c r="O2484" s="4" t="s">
        <v>125</v>
      </c>
      <c r="P2484" s="4"/>
    </row>
    <row r="2485" spans="1:16" ht="15">
      <c r="A2485" s="4" t="s">
        <v>3540</v>
      </c>
      <c r="B2485" s="30">
        <v>39932</v>
      </c>
      <c r="C2485" s="4"/>
      <c r="D2485" s="4" t="s">
        <v>4180</v>
      </c>
      <c r="E2485" s="4" t="s">
        <v>170</v>
      </c>
      <c r="F2485" s="4" t="s">
        <v>155</v>
      </c>
      <c r="G2485" s="4"/>
      <c r="H2485" s="4"/>
      <c r="I2485" s="4" t="s">
        <v>139</v>
      </c>
      <c r="J2485" s="4" t="s">
        <v>190</v>
      </c>
      <c r="K2485" s="4" t="s">
        <v>149</v>
      </c>
      <c r="L2485" s="4" t="s">
        <v>162</v>
      </c>
      <c r="M2485" s="4" t="s">
        <v>176</v>
      </c>
      <c r="N2485" s="4" t="s">
        <v>155</v>
      </c>
      <c r="O2485" s="4" t="s">
        <v>130</v>
      </c>
      <c r="P2485" s="4"/>
    </row>
    <row r="2486" spans="1:16" ht="15">
      <c r="A2486" s="4" t="s">
        <v>3541</v>
      </c>
      <c r="B2486" s="30">
        <v>39912</v>
      </c>
      <c r="C2486" s="4"/>
      <c r="D2486" s="4" t="s">
        <v>4178</v>
      </c>
      <c r="E2486" s="4" t="s">
        <v>170</v>
      </c>
      <c r="F2486" s="4" t="s">
        <v>155</v>
      </c>
      <c r="G2486" s="4"/>
      <c r="H2486" s="4"/>
      <c r="I2486" s="4" t="s">
        <v>139</v>
      </c>
      <c r="J2486" s="4" t="s">
        <v>190</v>
      </c>
      <c r="K2486" s="4" t="s">
        <v>145</v>
      </c>
      <c r="L2486" s="4" t="s">
        <v>4181</v>
      </c>
      <c r="M2486" s="4" t="s">
        <v>1574</v>
      </c>
      <c r="N2486" s="4" t="s">
        <v>155</v>
      </c>
      <c r="O2486" s="4" t="s">
        <v>129</v>
      </c>
      <c r="P2486" s="4"/>
    </row>
    <row r="2487" spans="1:16" ht="15">
      <c r="A2487" s="4" t="s">
        <v>3542</v>
      </c>
      <c r="B2487" s="30">
        <v>39940</v>
      </c>
      <c r="C2487" s="4"/>
      <c r="D2487" s="4" t="s">
        <v>195</v>
      </c>
      <c r="E2487" s="4" t="s">
        <v>170</v>
      </c>
      <c r="F2487" s="4" t="s">
        <v>155</v>
      </c>
      <c r="G2487" s="4"/>
      <c r="H2487" s="4"/>
      <c r="I2487" s="4" t="s">
        <v>139</v>
      </c>
      <c r="J2487" s="4" t="s">
        <v>509</v>
      </c>
      <c r="K2487" s="4" t="s">
        <v>142</v>
      </c>
      <c r="L2487" s="4" t="s">
        <v>162</v>
      </c>
      <c r="M2487" s="4" t="s">
        <v>175</v>
      </c>
      <c r="N2487" s="4" t="s">
        <v>155</v>
      </c>
      <c r="O2487" s="4" t="s">
        <v>129</v>
      </c>
      <c r="P2487" s="4"/>
    </row>
    <row r="2488" spans="1:16" ht="15">
      <c r="A2488" s="4" t="s">
        <v>3543</v>
      </c>
      <c r="B2488" s="30">
        <v>39920</v>
      </c>
      <c r="C2488" s="4"/>
      <c r="D2488" s="4" t="s">
        <v>4180</v>
      </c>
      <c r="E2488" s="4" t="s">
        <v>170</v>
      </c>
      <c r="F2488" s="4" t="s">
        <v>155</v>
      </c>
      <c r="G2488" s="4"/>
      <c r="H2488" s="4"/>
      <c r="I2488" s="4" t="s">
        <v>139</v>
      </c>
      <c r="J2488" s="4" t="s">
        <v>181</v>
      </c>
      <c r="K2488" s="4" t="s">
        <v>147</v>
      </c>
      <c r="L2488" s="4" t="s">
        <v>4181</v>
      </c>
      <c r="M2488" s="4" t="s">
        <v>1191</v>
      </c>
      <c r="N2488" s="4" t="s">
        <v>155</v>
      </c>
      <c r="O2488" s="4" t="s">
        <v>392</v>
      </c>
      <c r="P2488" s="4"/>
    </row>
    <row r="2489" spans="1:16" ht="15">
      <c r="A2489" s="4" t="s">
        <v>3544</v>
      </c>
      <c r="B2489" s="30">
        <v>39912</v>
      </c>
      <c r="C2489" s="4" t="s">
        <v>380</v>
      </c>
      <c r="D2489" s="4" t="s">
        <v>4178</v>
      </c>
      <c r="E2489" s="4" t="s">
        <v>170</v>
      </c>
      <c r="F2489" s="4" t="s">
        <v>155</v>
      </c>
      <c r="G2489" s="4"/>
      <c r="H2489" s="4"/>
      <c r="I2489" s="4" t="s">
        <v>139</v>
      </c>
      <c r="J2489" s="4" t="s">
        <v>181</v>
      </c>
      <c r="K2489" s="4" t="s">
        <v>142</v>
      </c>
      <c r="L2489" s="4" t="s">
        <v>162</v>
      </c>
      <c r="M2489" s="4" t="s">
        <v>176</v>
      </c>
      <c r="N2489" s="4" t="s">
        <v>155</v>
      </c>
      <c r="O2489" s="4" t="s">
        <v>130</v>
      </c>
      <c r="P2489" s="4"/>
    </row>
    <row r="2490" spans="1:16" ht="15">
      <c r="A2490" s="4" t="s">
        <v>3545</v>
      </c>
      <c r="B2490" s="30">
        <v>39965</v>
      </c>
      <c r="C2490" s="4"/>
      <c r="D2490" s="4" t="s">
        <v>193</v>
      </c>
      <c r="E2490" s="4" t="s">
        <v>170</v>
      </c>
      <c r="F2490" s="4" t="s">
        <v>155</v>
      </c>
      <c r="G2490" s="4"/>
      <c r="H2490" s="4"/>
      <c r="I2490" s="4" t="s">
        <v>140</v>
      </c>
      <c r="J2490" s="4" t="s">
        <v>181</v>
      </c>
      <c r="K2490" s="4" t="s">
        <v>142</v>
      </c>
      <c r="L2490" s="4" t="s">
        <v>4181</v>
      </c>
      <c r="M2490" s="4" t="s">
        <v>2234</v>
      </c>
      <c r="N2490" s="4" t="s">
        <v>155</v>
      </c>
      <c r="O2490" s="4" t="s">
        <v>125</v>
      </c>
      <c r="P2490" s="4"/>
    </row>
    <row r="2491" spans="1:16" ht="15">
      <c r="A2491" s="4" t="s">
        <v>3546</v>
      </c>
      <c r="B2491" s="30">
        <v>39999</v>
      </c>
      <c r="C2491" s="4"/>
      <c r="D2491" s="4" t="s">
        <v>196</v>
      </c>
      <c r="E2491" s="4" t="s">
        <v>170</v>
      </c>
      <c r="F2491" s="4" t="s">
        <v>155</v>
      </c>
      <c r="G2491" s="4"/>
      <c r="H2491" s="4">
        <v>4</v>
      </c>
      <c r="I2491" s="4" t="s">
        <v>139</v>
      </c>
      <c r="J2491" s="4" t="s">
        <v>181</v>
      </c>
      <c r="K2491" s="4" t="s">
        <v>151</v>
      </c>
      <c r="L2491" s="4" t="s">
        <v>4181</v>
      </c>
      <c r="M2491" s="4"/>
      <c r="N2491" s="4" t="s">
        <v>155</v>
      </c>
      <c r="O2491" s="4" t="s">
        <v>124</v>
      </c>
      <c r="P2491" s="4"/>
    </row>
    <row r="2492" spans="1:16" ht="15">
      <c r="A2492" s="4" t="s">
        <v>3547</v>
      </c>
      <c r="B2492" s="30">
        <v>40024</v>
      </c>
      <c r="C2492" s="4"/>
      <c r="D2492" s="4" t="s">
        <v>197</v>
      </c>
      <c r="E2492" s="4" t="s">
        <v>170</v>
      </c>
      <c r="F2492" s="4" t="s">
        <v>155</v>
      </c>
      <c r="G2492" s="4">
        <v>1</v>
      </c>
      <c r="H2492" s="4">
        <v>3</v>
      </c>
      <c r="I2492" s="4" t="s">
        <v>139</v>
      </c>
      <c r="J2492" s="4" t="s">
        <v>181</v>
      </c>
      <c r="K2492" s="4" t="s">
        <v>144</v>
      </c>
      <c r="L2492" s="4" t="s">
        <v>4176</v>
      </c>
      <c r="M2492" s="4" t="s">
        <v>3548</v>
      </c>
      <c r="N2492" s="4" t="s">
        <v>157</v>
      </c>
      <c r="O2492" s="4" t="s">
        <v>127</v>
      </c>
      <c r="P2492" s="4" t="s">
        <v>153</v>
      </c>
    </row>
    <row r="2493" spans="1:16" ht="15">
      <c r="A2493" s="4" t="s">
        <v>3549</v>
      </c>
      <c r="B2493" s="30">
        <v>39988</v>
      </c>
      <c r="C2493" s="4"/>
      <c r="D2493" s="4" t="s">
        <v>196</v>
      </c>
      <c r="E2493" s="4" t="s">
        <v>170</v>
      </c>
      <c r="F2493" s="4" t="s">
        <v>155</v>
      </c>
      <c r="G2493" s="4"/>
      <c r="H2493" s="4"/>
      <c r="I2493" s="4" t="s">
        <v>139</v>
      </c>
      <c r="J2493" s="4" t="s">
        <v>181</v>
      </c>
      <c r="K2493" s="4" t="s">
        <v>145</v>
      </c>
      <c r="L2493" s="4" t="s">
        <v>4176</v>
      </c>
      <c r="M2493" s="4" t="s">
        <v>174</v>
      </c>
      <c r="N2493" s="4" t="s">
        <v>157</v>
      </c>
      <c r="O2493" s="4" t="s">
        <v>130</v>
      </c>
      <c r="P2493" s="4" t="s">
        <v>437</v>
      </c>
    </row>
    <row r="2494" spans="1:16" ht="15">
      <c r="A2494" s="4" t="s">
        <v>3550</v>
      </c>
      <c r="B2494" s="30">
        <v>39976</v>
      </c>
      <c r="C2494" s="4" t="s">
        <v>525</v>
      </c>
      <c r="D2494" s="4" t="s">
        <v>195</v>
      </c>
      <c r="E2494" s="4" t="s">
        <v>170</v>
      </c>
      <c r="F2494" s="4" t="s">
        <v>155</v>
      </c>
      <c r="G2494" s="4"/>
      <c r="H2494" s="4"/>
      <c r="I2494" s="4" t="s">
        <v>139</v>
      </c>
      <c r="J2494" s="4" t="s">
        <v>181</v>
      </c>
      <c r="K2494" s="4" t="s">
        <v>144</v>
      </c>
      <c r="L2494" s="4" t="s">
        <v>4176</v>
      </c>
      <c r="M2494" s="4" t="s">
        <v>3551</v>
      </c>
      <c r="N2494" s="4" t="s">
        <v>157</v>
      </c>
      <c r="O2494" s="4" t="s">
        <v>127</v>
      </c>
      <c r="P2494" s="4" t="s">
        <v>153</v>
      </c>
    </row>
    <row r="2495" spans="1:16" ht="15">
      <c r="A2495" s="4" t="s">
        <v>3552</v>
      </c>
      <c r="B2495" s="30">
        <v>39914</v>
      </c>
      <c r="C2495" s="4"/>
      <c r="D2495" s="4" t="s">
        <v>4183</v>
      </c>
      <c r="E2495" s="4" t="s">
        <v>170</v>
      </c>
      <c r="F2495" s="4" t="s">
        <v>155</v>
      </c>
      <c r="G2495" s="4"/>
      <c r="H2495" s="4"/>
      <c r="I2495" s="4" t="s">
        <v>140</v>
      </c>
      <c r="J2495" s="4" t="s">
        <v>184</v>
      </c>
      <c r="K2495" s="4" t="s">
        <v>147</v>
      </c>
      <c r="L2495" s="4" t="s">
        <v>4181</v>
      </c>
      <c r="M2495" s="4" t="s">
        <v>173</v>
      </c>
      <c r="N2495" s="4" t="s">
        <v>155</v>
      </c>
      <c r="O2495" s="4" t="s">
        <v>124</v>
      </c>
      <c r="P2495" s="4"/>
    </row>
    <row r="2496" spans="1:16" ht="15">
      <c r="A2496" s="4" t="s">
        <v>3553</v>
      </c>
      <c r="B2496" s="30">
        <v>39974</v>
      </c>
      <c r="C2496" s="4" t="s">
        <v>525</v>
      </c>
      <c r="D2496" s="4" t="s">
        <v>195</v>
      </c>
      <c r="E2496" s="4" t="s">
        <v>170</v>
      </c>
      <c r="F2496" s="4" t="s">
        <v>155</v>
      </c>
      <c r="G2496" s="4"/>
      <c r="H2496" s="4"/>
      <c r="I2496" s="4" t="s">
        <v>139</v>
      </c>
      <c r="J2496" s="4" t="s">
        <v>184</v>
      </c>
      <c r="K2496" s="4" t="s">
        <v>146</v>
      </c>
      <c r="L2496" s="4" t="s">
        <v>4176</v>
      </c>
      <c r="M2496" s="4" t="s">
        <v>174</v>
      </c>
      <c r="N2496" s="4" t="s">
        <v>157</v>
      </c>
      <c r="O2496" s="4" t="s">
        <v>434</v>
      </c>
      <c r="P2496" s="4" t="s">
        <v>435</v>
      </c>
    </row>
    <row r="2497" spans="1:16" ht="15">
      <c r="A2497" s="4" t="s">
        <v>3554</v>
      </c>
      <c r="B2497" s="30">
        <v>40027</v>
      </c>
      <c r="C2497" s="4"/>
      <c r="D2497" s="4" t="s">
        <v>193</v>
      </c>
      <c r="E2497" s="4" t="s">
        <v>170</v>
      </c>
      <c r="F2497" s="4" t="s">
        <v>155</v>
      </c>
      <c r="G2497" s="4">
        <v>5</v>
      </c>
      <c r="H2497" s="4">
        <v>3</v>
      </c>
      <c r="I2497" s="4" t="s">
        <v>140</v>
      </c>
      <c r="J2497" s="4" t="s">
        <v>184</v>
      </c>
      <c r="K2497" s="4" t="s">
        <v>143</v>
      </c>
      <c r="L2497" s="4" t="s">
        <v>162</v>
      </c>
      <c r="M2497" s="4" t="s">
        <v>2081</v>
      </c>
      <c r="N2497" s="4" t="s">
        <v>155</v>
      </c>
      <c r="O2497" s="4" t="s">
        <v>129</v>
      </c>
      <c r="P2497" s="4"/>
    </row>
    <row r="2498" spans="1:16" ht="15">
      <c r="A2498" s="4" t="s">
        <v>3555</v>
      </c>
      <c r="B2498" s="30">
        <v>39965</v>
      </c>
      <c r="C2498" s="4"/>
      <c r="D2498" s="4" t="s">
        <v>195</v>
      </c>
      <c r="E2498" s="4" t="s">
        <v>170</v>
      </c>
      <c r="F2498" s="4" t="s">
        <v>155</v>
      </c>
      <c r="G2498" s="4"/>
      <c r="H2498" s="4"/>
      <c r="I2498" s="4" t="s">
        <v>139</v>
      </c>
      <c r="J2498" s="4" t="s">
        <v>184</v>
      </c>
      <c r="K2498" s="4" t="s">
        <v>146</v>
      </c>
      <c r="L2498" s="4" t="s">
        <v>4181</v>
      </c>
      <c r="M2498" s="4" t="s">
        <v>3556</v>
      </c>
      <c r="N2498" s="4" t="s">
        <v>155</v>
      </c>
      <c r="O2498" s="4" t="s">
        <v>704</v>
      </c>
      <c r="P2498" s="4"/>
    </row>
    <row r="2499" spans="1:16" ht="15">
      <c r="A2499" s="4" t="s">
        <v>3557</v>
      </c>
      <c r="B2499" s="30">
        <v>39983</v>
      </c>
      <c r="C2499" s="4"/>
      <c r="D2499" s="4" t="s">
        <v>193</v>
      </c>
      <c r="E2499" s="4" t="s">
        <v>170</v>
      </c>
      <c r="F2499" s="4" t="s">
        <v>155</v>
      </c>
      <c r="G2499" s="4"/>
      <c r="H2499" s="4"/>
      <c r="I2499" s="4" t="s">
        <v>140</v>
      </c>
      <c r="J2499" s="4" t="s">
        <v>184</v>
      </c>
      <c r="K2499" s="4" t="s">
        <v>145</v>
      </c>
      <c r="L2499" s="4" t="s">
        <v>4181</v>
      </c>
      <c r="M2499" s="4"/>
      <c r="N2499" s="4" t="s">
        <v>788</v>
      </c>
      <c r="O2499" s="4" t="s">
        <v>3558</v>
      </c>
      <c r="P2499" s="4"/>
    </row>
    <row r="2500" spans="1:16" ht="15">
      <c r="A2500" s="4" t="s">
        <v>3559</v>
      </c>
      <c r="B2500" s="30">
        <v>40018</v>
      </c>
      <c r="C2500" s="4" t="s">
        <v>383</v>
      </c>
      <c r="D2500" s="4" t="s">
        <v>193</v>
      </c>
      <c r="E2500" s="4" t="s">
        <v>170</v>
      </c>
      <c r="F2500" s="4" t="s">
        <v>155</v>
      </c>
      <c r="G2500" s="4">
        <v>5</v>
      </c>
      <c r="H2500" s="4">
        <v>5</v>
      </c>
      <c r="I2500" s="4" t="s">
        <v>140</v>
      </c>
      <c r="J2500" s="4" t="s">
        <v>479</v>
      </c>
      <c r="K2500" s="4" t="s">
        <v>149</v>
      </c>
      <c r="L2500" s="4" t="s">
        <v>162</v>
      </c>
      <c r="M2500" s="4" t="s">
        <v>175</v>
      </c>
      <c r="N2500" s="4" t="s">
        <v>155</v>
      </c>
      <c r="O2500" s="4" t="s">
        <v>130</v>
      </c>
      <c r="P2500" s="4"/>
    </row>
    <row r="2501" spans="1:16" ht="15">
      <c r="A2501" s="4" t="s">
        <v>3560</v>
      </c>
      <c r="B2501" s="30">
        <v>40043</v>
      </c>
      <c r="C2501" s="4"/>
      <c r="D2501" s="4" t="s">
        <v>195</v>
      </c>
      <c r="E2501" s="4" t="s">
        <v>170</v>
      </c>
      <c r="F2501" s="4" t="s">
        <v>155</v>
      </c>
      <c r="G2501" s="4">
        <v>5</v>
      </c>
      <c r="H2501" s="4">
        <v>3</v>
      </c>
      <c r="I2501" s="4" t="s">
        <v>139</v>
      </c>
      <c r="J2501" s="4" t="s">
        <v>528</v>
      </c>
      <c r="K2501" s="4" t="s">
        <v>145</v>
      </c>
      <c r="L2501" s="4" t="s">
        <v>4181</v>
      </c>
      <c r="M2501" s="4" t="s">
        <v>173</v>
      </c>
      <c r="N2501" s="4" t="s">
        <v>161</v>
      </c>
      <c r="O2501" s="4" t="s">
        <v>1364</v>
      </c>
      <c r="P2501" s="4"/>
    </row>
    <row r="2502" spans="1:16" ht="15">
      <c r="A2502" s="4" t="s">
        <v>3561</v>
      </c>
      <c r="B2502" s="30">
        <v>40064</v>
      </c>
      <c r="C2502" s="4"/>
      <c r="D2502" s="4" t="s">
        <v>193</v>
      </c>
      <c r="E2502" s="4" t="s">
        <v>170</v>
      </c>
      <c r="F2502" s="4" t="s">
        <v>155</v>
      </c>
      <c r="G2502" s="4">
        <v>5</v>
      </c>
      <c r="H2502" s="4">
        <v>5</v>
      </c>
      <c r="I2502" s="4" t="s">
        <v>140</v>
      </c>
      <c r="J2502" s="4" t="s">
        <v>528</v>
      </c>
      <c r="K2502" s="4" t="s">
        <v>151</v>
      </c>
      <c r="L2502" s="4" t="s">
        <v>4176</v>
      </c>
      <c r="M2502" s="4" t="s">
        <v>174</v>
      </c>
      <c r="N2502" s="4" t="s">
        <v>156</v>
      </c>
      <c r="O2502" s="4" t="s">
        <v>120</v>
      </c>
      <c r="P2502" s="4" t="s">
        <v>3562</v>
      </c>
    </row>
    <row r="2503" spans="1:16" ht="15">
      <c r="A2503" s="4" t="s">
        <v>3563</v>
      </c>
      <c r="B2503" s="30">
        <v>39906</v>
      </c>
      <c r="C2503" s="4"/>
      <c r="D2503" s="4" t="s">
        <v>4178</v>
      </c>
      <c r="E2503" s="4" t="s">
        <v>170</v>
      </c>
      <c r="F2503" s="4" t="s">
        <v>155</v>
      </c>
      <c r="G2503" s="4"/>
      <c r="H2503" s="4"/>
      <c r="I2503" s="4" t="s">
        <v>139</v>
      </c>
      <c r="J2503" s="4" t="s">
        <v>191</v>
      </c>
      <c r="K2503" s="4" t="s">
        <v>147</v>
      </c>
      <c r="L2503" s="4" t="s">
        <v>165</v>
      </c>
      <c r="M2503" s="4" t="s">
        <v>3564</v>
      </c>
      <c r="N2503" s="4" t="s">
        <v>158</v>
      </c>
      <c r="O2503" s="4" t="s">
        <v>122</v>
      </c>
      <c r="P2503" s="4"/>
    </row>
    <row r="2504" spans="1:16" ht="15">
      <c r="A2504" s="4" t="s">
        <v>3565</v>
      </c>
      <c r="B2504" s="30">
        <v>40070</v>
      </c>
      <c r="C2504" s="4" t="s">
        <v>383</v>
      </c>
      <c r="D2504" s="4" t="s">
        <v>195</v>
      </c>
      <c r="E2504" s="4" t="s">
        <v>170</v>
      </c>
      <c r="F2504" s="4" t="s">
        <v>155</v>
      </c>
      <c r="G2504" s="4">
        <v>1</v>
      </c>
      <c r="H2504" s="4">
        <v>5</v>
      </c>
      <c r="I2504" s="4" t="s">
        <v>139</v>
      </c>
      <c r="J2504" s="4" t="s">
        <v>191</v>
      </c>
      <c r="K2504" s="4" t="s">
        <v>144</v>
      </c>
      <c r="L2504" s="4" t="s">
        <v>4176</v>
      </c>
      <c r="M2504" s="4" t="s">
        <v>1607</v>
      </c>
      <c r="N2504" s="4" t="s">
        <v>157</v>
      </c>
      <c r="O2504" s="4" t="s">
        <v>127</v>
      </c>
      <c r="P2504" s="4" t="s">
        <v>153</v>
      </c>
    </row>
    <row r="2505" spans="1:16" ht="15">
      <c r="A2505" s="4" t="s">
        <v>3566</v>
      </c>
      <c r="B2505" s="30">
        <v>40058</v>
      </c>
      <c r="C2505" s="4" t="s">
        <v>496</v>
      </c>
      <c r="D2505" s="4" t="s">
        <v>193</v>
      </c>
      <c r="E2505" s="4" t="s">
        <v>170</v>
      </c>
      <c r="F2505" s="4" t="s">
        <v>155</v>
      </c>
      <c r="G2505" s="4">
        <v>5</v>
      </c>
      <c r="H2505" s="4">
        <v>5</v>
      </c>
      <c r="I2505" s="4" t="s">
        <v>140</v>
      </c>
      <c r="J2505" s="4" t="s">
        <v>191</v>
      </c>
      <c r="K2505" s="4" t="s">
        <v>148</v>
      </c>
      <c r="L2505" s="4" t="s">
        <v>165</v>
      </c>
      <c r="M2505" s="4" t="s">
        <v>3567</v>
      </c>
      <c r="N2505" s="4" t="s">
        <v>158</v>
      </c>
      <c r="O2505" s="4" t="s">
        <v>122</v>
      </c>
      <c r="P2505" s="4"/>
    </row>
    <row r="2506" spans="1:16" ht="15">
      <c r="A2506" s="4" t="s">
        <v>3568</v>
      </c>
      <c r="B2506" s="30">
        <v>39979</v>
      </c>
      <c r="C2506" s="4" t="s">
        <v>383</v>
      </c>
      <c r="D2506" s="4" t="s">
        <v>195</v>
      </c>
      <c r="E2506" s="4" t="s">
        <v>170</v>
      </c>
      <c r="F2506" s="4" t="s">
        <v>155</v>
      </c>
      <c r="G2506" s="4"/>
      <c r="H2506" s="4"/>
      <c r="I2506" s="4" t="s">
        <v>139</v>
      </c>
      <c r="J2506" s="4" t="s">
        <v>433</v>
      </c>
      <c r="K2506" s="4" t="s">
        <v>142</v>
      </c>
      <c r="L2506" s="4" t="s">
        <v>4176</v>
      </c>
      <c r="M2506" s="4" t="s">
        <v>174</v>
      </c>
      <c r="N2506" s="4" t="s">
        <v>157</v>
      </c>
      <c r="O2506" s="4" t="s">
        <v>434</v>
      </c>
      <c r="P2506" s="4" t="s">
        <v>435</v>
      </c>
    </row>
    <row r="2507" spans="1:16" ht="15">
      <c r="A2507" s="4" t="s">
        <v>3569</v>
      </c>
      <c r="B2507" s="30">
        <v>40046</v>
      </c>
      <c r="C2507" s="4"/>
      <c r="D2507" s="4" t="s">
        <v>193</v>
      </c>
      <c r="E2507" s="4" t="s">
        <v>170</v>
      </c>
      <c r="F2507" s="4" t="s">
        <v>155</v>
      </c>
      <c r="G2507" s="4">
        <v>5</v>
      </c>
      <c r="H2507" s="4">
        <v>3</v>
      </c>
      <c r="I2507" s="4" t="s">
        <v>140</v>
      </c>
      <c r="J2507" s="4" t="s">
        <v>534</v>
      </c>
      <c r="K2507" s="4" t="s">
        <v>144</v>
      </c>
      <c r="L2507" s="4" t="s">
        <v>162</v>
      </c>
      <c r="M2507" s="4" t="s">
        <v>175</v>
      </c>
      <c r="N2507" s="4" t="s">
        <v>155</v>
      </c>
      <c r="O2507" s="4" t="s">
        <v>129</v>
      </c>
      <c r="P2507" s="4"/>
    </row>
    <row r="2508" spans="1:16" ht="15">
      <c r="A2508" s="4" t="s">
        <v>3570</v>
      </c>
      <c r="B2508" s="30">
        <v>40037</v>
      </c>
      <c r="C2508" s="4"/>
      <c r="D2508" s="4" t="s">
        <v>193</v>
      </c>
      <c r="E2508" s="4" t="s">
        <v>170</v>
      </c>
      <c r="F2508" s="4" t="s">
        <v>155</v>
      </c>
      <c r="G2508" s="4">
        <v>5</v>
      </c>
      <c r="H2508" s="4">
        <v>2</v>
      </c>
      <c r="I2508" s="4" t="s">
        <v>140</v>
      </c>
      <c r="J2508" s="4" t="s">
        <v>191</v>
      </c>
      <c r="K2508" s="4" t="s">
        <v>142</v>
      </c>
      <c r="L2508" s="4" t="s">
        <v>4176</v>
      </c>
      <c r="M2508" s="4" t="s">
        <v>2438</v>
      </c>
      <c r="N2508" s="4" t="s">
        <v>159</v>
      </c>
      <c r="O2508" s="4" t="s">
        <v>123</v>
      </c>
      <c r="P2508" s="4" t="s">
        <v>123</v>
      </c>
    </row>
    <row r="2509" spans="1:16" ht="15">
      <c r="A2509" s="4" t="s">
        <v>3571</v>
      </c>
      <c r="B2509" s="30">
        <v>39944</v>
      </c>
      <c r="C2509" s="4"/>
      <c r="D2509" s="4" t="s">
        <v>193</v>
      </c>
      <c r="E2509" s="4" t="s">
        <v>170</v>
      </c>
      <c r="F2509" s="4" t="s">
        <v>155</v>
      </c>
      <c r="G2509" s="4"/>
      <c r="H2509" s="4"/>
      <c r="I2509" s="4" t="s">
        <v>140</v>
      </c>
      <c r="J2509" s="4" t="s">
        <v>183</v>
      </c>
      <c r="K2509" s="4" t="s">
        <v>147</v>
      </c>
      <c r="L2509" s="4" t="s">
        <v>4176</v>
      </c>
      <c r="M2509" s="4" t="s">
        <v>174</v>
      </c>
      <c r="N2509" s="4" t="s">
        <v>157</v>
      </c>
      <c r="O2509" s="4" t="s">
        <v>571</v>
      </c>
      <c r="P2509" s="4" t="s">
        <v>636</v>
      </c>
    </row>
    <row r="2510" spans="1:16" ht="15">
      <c r="A2510" s="4" t="s">
        <v>3572</v>
      </c>
      <c r="B2510" s="30">
        <v>40037</v>
      </c>
      <c r="C2510" s="4"/>
      <c r="D2510" s="4" t="s">
        <v>193</v>
      </c>
      <c r="E2510" s="4" t="s">
        <v>170</v>
      </c>
      <c r="F2510" s="4" t="s">
        <v>155</v>
      </c>
      <c r="G2510" s="4">
        <v>5</v>
      </c>
      <c r="H2510" s="4">
        <v>3</v>
      </c>
      <c r="I2510" s="4" t="s">
        <v>140</v>
      </c>
      <c r="J2510" s="4" t="s">
        <v>184</v>
      </c>
      <c r="K2510" s="4" t="s">
        <v>149</v>
      </c>
      <c r="L2510" s="4" t="s">
        <v>4181</v>
      </c>
      <c r="M2510" s="4"/>
      <c r="N2510" s="4" t="s">
        <v>155</v>
      </c>
      <c r="O2510" s="4" t="s">
        <v>127</v>
      </c>
      <c r="P2510" s="4"/>
    </row>
    <row r="2511" spans="1:16" ht="15">
      <c r="A2511" s="4" t="s">
        <v>3573</v>
      </c>
      <c r="B2511" s="30">
        <v>39970</v>
      </c>
      <c r="C2511" s="4"/>
      <c r="D2511" s="4" t="s">
        <v>193</v>
      </c>
      <c r="E2511" s="4" t="s">
        <v>170</v>
      </c>
      <c r="F2511" s="4" t="s">
        <v>155</v>
      </c>
      <c r="G2511" s="4"/>
      <c r="H2511" s="4"/>
      <c r="I2511" s="4" t="s">
        <v>140</v>
      </c>
      <c r="J2511" s="4" t="s">
        <v>181</v>
      </c>
      <c r="K2511" s="4" t="s">
        <v>144</v>
      </c>
      <c r="L2511" s="4" t="s">
        <v>4176</v>
      </c>
      <c r="M2511" s="4" t="s">
        <v>174</v>
      </c>
      <c r="N2511" s="4" t="s">
        <v>156</v>
      </c>
      <c r="O2511" s="4" t="s">
        <v>120</v>
      </c>
      <c r="P2511" s="4" t="s">
        <v>3574</v>
      </c>
    </row>
    <row r="2512" spans="1:16" ht="15">
      <c r="A2512" s="4" t="s">
        <v>3575</v>
      </c>
      <c r="B2512" s="30">
        <v>40009</v>
      </c>
      <c r="C2512" s="4"/>
      <c r="D2512" s="4" t="s">
        <v>193</v>
      </c>
      <c r="E2512" s="4" t="s">
        <v>170</v>
      </c>
      <c r="F2512" s="4" t="s">
        <v>155</v>
      </c>
      <c r="G2512" s="4">
        <v>1</v>
      </c>
      <c r="H2512" s="4">
        <v>3</v>
      </c>
      <c r="I2512" s="4" t="s">
        <v>140</v>
      </c>
      <c r="J2512" s="4" t="s">
        <v>178</v>
      </c>
      <c r="K2512" s="4" t="s">
        <v>145</v>
      </c>
      <c r="L2512" s="4" t="s">
        <v>4176</v>
      </c>
      <c r="M2512" s="4" t="s">
        <v>1797</v>
      </c>
      <c r="N2512" s="4" t="s">
        <v>156</v>
      </c>
      <c r="O2512" s="4" t="s">
        <v>120</v>
      </c>
      <c r="P2512" s="4" t="s">
        <v>1481</v>
      </c>
    </row>
    <row r="2513" spans="1:16" ht="15">
      <c r="A2513" s="4" t="s">
        <v>3576</v>
      </c>
      <c r="B2513" s="30">
        <v>39980</v>
      </c>
      <c r="C2513" s="4" t="s">
        <v>380</v>
      </c>
      <c r="D2513" s="4" t="s">
        <v>194</v>
      </c>
      <c r="E2513" s="4" t="s">
        <v>170</v>
      </c>
      <c r="F2513" s="4" t="s">
        <v>155</v>
      </c>
      <c r="G2513" s="4"/>
      <c r="H2513" s="4"/>
      <c r="I2513" s="4" t="s">
        <v>139</v>
      </c>
      <c r="J2513" s="4" t="s">
        <v>178</v>
      </c>
      <c r="K2513" s="4" t="s">
        <v>144</v>
      </c>
      <c r="L2513" s="4" t="s">
        <v>4181</v>
      </c>
      <c r="M2513" s="4"/>
      <c r="N2513" s="4" t="s">
        <v>155</v>
      </c>
      <c r="O2513" s="4" t="s">
        <v>124</v>
      </c>
      <c r="P2513" s="4"/>
    </row>
    <row r="2514" spans="1:16" ht="15">
      <c r="A2514" s="4" t="s">
        <v>3577</v>
      </c>
      <c r="B2514" s="30">
        <v>39912</v>
      </c>
      <c r="C2514" s="4"/>
      <c r="D2514" s="4" t="s">
        <v>4180</v>
      </c>
      <c r="E2514" s="4" t="s">
        <v>170</v>
      </c>
      <c r="F2514" s="4" t="s">
        <v>155</v>
      </c>
      <c r="G2514" s="4"/>
      <c r="H2514" s="4"/>
      <c r="I2514" s="4" t="s">
        <v>139</v>
      </c>
      <c r="J2514" s="4" t="s">
        <v>178</v>
      </c>
      <c r="K2514" s="4" t="s">
        <v>142</v>
      </c>
      <c r="L2514" s="4" t="s">
        <v>4176</v>
      </c>
      <c r="M2514" s="4" t="s">
        <v>174</v>
      </c>
      <c r="N2514" s="4" t="s">
        <v>156</v>
      </c>
      <c r="O2514" s="4" t="s">
        <v>120</v>
      </c>
      <c r="P2514" s="4" t="s">
        <v>715</v>
      </c>
    </row>
    <row r="2515" spans="1:16" ht="15">
      <c r="A2515" s="4" t="s">
        <v>3578</v>
      </c>
      <c r="B2515" s="30">
        <v>39951</v>
      </c>
      <c r="C2515" s="4"/>
      <c r="D2515" s="4" t="s">
        <v>195</v>
      </c>
      <c r="E2515" s="4" t="s">
        <v>170</v>
      </c>
      <c r="F2515" s="4" t="s">
        <v>155</v>
      </c>
      <c r="G2515" s="4"/>
      <c r="H2515" s="4"/>
      <c r="I2515" s="4" t="s">
        <v>139</v>
      </c>
      <c r="J2515" s="4" t="s">
        <v>178</v>
      </c>
      <c r="K2515" s="4" t="s">
        <v>147</v>
      </c>
      <c r="L2515" s="4" t="s">
        <v>4176</v>
      </c>
      <c r="M2515" s="4" t="s">
        <v>578</v>
      </c>
      <c r="N2515" s="4" t="s">
        <v>157</v>
      </c>
      <c r="O2515" s="4" t="s">
        <v>127</v>
      </c>
      <c r="P2515" s="4" t="s">
        <v>153</v>
      </c>
    </row>
    <row r="2516" spans="1:16" ht="15">
      <c r="A2516" s="4" t="s">
        <v>3579</v>
      </c>
      <c r="B2516" s="30">
        <v>39954</v>
      </c>
      <c r="C2516" s="4" t="s">
        <v>380</v>
      </c>
      <c r="D2516" s="4" t="s">
        <v>193</v>
      </c>
      <c r="E2516" s="4" t="s">
        <v>170</v>
      </c>
      <c r="F2516" s="4" t="s">
        <v>155</v>
      </c>
      <c r="G2516" s="4"/>
      <c r="H2516" s="4"/>
      <c r="I2516" s="4" t="s">
        <v>140</v>
      </c>
      <c r="J2516" s="4" t="s">
        <v>178</v>
      </c>
      <c r="K2516" s="4" t="s">
        <v>142</v>
      </c>
      <c r="L2516" s="4" t="s">
        <v>4181</v>
      </c>
      <c r="M2516" s="4" t="s">
        <v>415</v>
      </c>
      <c r="N2516" s="4" t="s">
        <v>155</v>
      </c>
      <c r="O2516" s="4" t="s">
        <v>125</v>
      </c>
      <c r="P2516" s="4"/>
    </row>
    <row r="2517" spans="1:16" ht="15">
      <c r="A2517" s="4" t="s">
        <v>3580</v>
      </c>
      <c r="B2517" s="30">
        <v>39972</v>
      </c>
      <c r="C2517" s="4"/>
      <c r="D2517" s="4" t="s">
        <v>193</v>
      </c>
      <c r="E2517" s="4" t="s">
        <v>170</v>
      </c>
      <c r="F2517" s="4" t="s">
        <v>155</v>
      </c>
      <c r="G2517" s="4"/>
      <c r="H2517" s="4"/>
      <c r="I2517" s="4" t="s">
        <v>140</v>
      </c>
      <c r="J2517" s="4" t="s">
        <v>178</v>
      </c>
      <c r="K2517" s="4" t="s">
        <v>143</v>
      </c>
      <c r="L2517" s="4" t="s">
        <v>4181</v>
      </c>
      <c r="M2517" s="4" t="s">
        <v>173</v>
      </c>
      <c r="N2517" s="4" t="s">
        <v>155</v>
      </c>
      <c r="O2517" s="4" t="s">
        <v>962</v>
      </c>
      <c r="P2517" s="4"/>
    </row>
    <row r="2518" spans="1:16" ht="15">
      <c r="A2518" s="4" t="s">
        <v>3581</v>
      </c>
      <c r="B2518" s="30">
        <v>40021</v>
      </c>
      <c r="C2518" s="4"/>
      <c r="D2518" s="4" t="s">
        <v>193</v>
      </c>
      <c r="E2518" s="4" t="s">
        <v>170</v>
      </c>
      <c r="F2518" s="4" t="s">
        <v>155</v>
      </c>
      <c r="G2518" s="4">
        <v>3</v>
      </c>
      <c r="H2518" s="4">
        <v>3</v>
      </c>
      <c r="I2518" s="4" t="s">
        <v>140</v>
      </c>
      <c r="J2518" s="4" t="s">
        <v>178</v>
      </c>
      <c r="K2518" s="4" t="s">
        <v>143</v>
      </c>
      <c r="L2518" s="4" t="s">
        <v>4181</v>
      </c>
      <c r="M2518" s="4" t="s">
        <v>173</v>
      </c>
      <c r="N2518" s="4" t="s">
        <v>155</v>
      </c>
      <c r="O2518" s="4" t="s">
        <v>751</v>
      </c>
      <c r="P2518" s="4"/>
    </row>
    <row r="2519" spans="1:16" ht="15">
      <c r="A2519" s="4" t="s">
        <v>3582</v>
      </c>
      <c r="B2519" s="30">
        <v>39909</v>
      </c>
      <c r="C2519" s="4"/>
      <c r="D2519" s="4" t="s">
        <v>4182</v>
      </c>
      <c r="E2519" s="4" t="s">
        <v>170</v>
      </c>
      <c r="F2519" s="4" t="s">
        <v>155</v>
      </c>
      <c r="G2519" s="4"/>
      <c r="H2519" s="4"/>
      <c r="I2519" s="4" t="s">
        <v>139</v>
      </c>
      <c r="J2519" s="4" t="s">
        <v>178</v>
      </c>
      <c r="K2519" s="4" t="s">
        <v>148</v>
      </c>
      <c r="L2519" s="4" t="s">
        <v>4176</v>
      </c>
      <c r="M2519" s="4" t="s">
        <v>619</v>
      </c>
      <c r="N2519" s="4" t="s">
        <v>156</v>
      </c>
      <c r="O2519" s="4" t="s">
        <v>120</v>
      </c>
      <c r="P2519" s="4" t="s">
        <v>741</v>
      </c>
    </row>
    <row r="2520" spans="1:16" ht="15">
      <c r="A2520" s="4" t="s">
        <v>3583</v>
      </c>
      <c r="B2520" s="30">
        <v>39945</v>
      </c>
      <c r="C2520" s="4" t="s">
        <v>380</v>
      </c>
      <c r="D2520" s="4" t="s">
        <v>194</v>
      </c>
      <c r="E2520" s="4" t="s">
        <v>170</v>
      </c>
      <c r="F2520" s="4" t="s">
        <v>155</v>
      </c>
      <c r="G2520" s="4"/>
      <c r="H2520" s="4"/>
      <c r="I2520" s="4" t="s">
        <v>139</v>
      </c>
      <c r="J2520" s="4" t="s">
        <v>180</v>
      </c>
      <c r="K2520" s="4" t="s">
        <v>142</v>
      </c>
      <c r="L2520" s="4" t="s">
        <v>4181</v>
      </c>
      <c r="M2520" s="4"/>
      <c r="N2520" s="4" t="s">
        <v>155</v>
      </c>
      <c r="O2520" s="4" t="s">
        <v>646</v>
      </c>
      <c r="P2520" s="4"/>
    </row>
    <row r="2521" spans="1:16" ht="15">
      <c r="A2521" s="4" t="s">
        <v>3584</v>
      </c>
      <c r="B2521" s="30">
        <v>39934</v>
      </c>
      <c r="C2521" s="4" t="s">
        <v>9</v>
      </c>
      <c r="D2521" s="4" t="s">
        <v>4177</v>
      </c>
      <c r="E2521" s="4" t="s">
        <v>170</v>
      </c>
      <c r="F2521" s="4" t="s">
        <v>155</v>
      </c>
      <c r="G2521" s="4"/>
      <c r="H2521" s="4"/>
      <c r="I2521" s="4" t="s">
        <v>139</v>
      </c>
      <c r="J2521" s="4" t="s">
        <v>180</v>
      </c>
      <c r="K2521" s="4" t="s">
        <v>143</v>
      </c>
      <c r="L2521" s="4" t="s">
        <v>4181</v>
      </c>
      <c r="M2521" s="4" t="s">
        <v>173</v>
      </c>
      <c r="N2521" s="4" t="s">
        <v>161</v>
      </c>
      <c r="O2521" s="4" t="s">
        <v>2027</v>
      </c>
      <c r="P2521" s="4"/>
    </row>
    <row r="2522" spans="1:16" ht="15">
      <c r="A2522" s="4" t="s">
        <v>3585</v>
      </c>
      <c r="B2522" s="30">
        <v>39918</v>
      </c>
      <c r="C2522" s="4"/>
      <c r="D2522" s="4" t="s">
        <v>4179</v>
      </c>
      <c r="E2522" s="4" t="s">
        <v>170</v>
      </c>
      <c r="F2522" s="4" t="s">
        <v>155</v>
      </c>
      <c r="G2522" s="4"/>
      <c r="H2522" s="4"/>
      <c r="I2522" s="4" t="s">
        <v>139</v>
      </c>
      <c r="J2522" s="4" t="s">
        <v>180</v>
      </c>
      <c r="K2522" s="4" t="s">
        <v>149</v>
      </c>
      <c r="L2522" s="4" t="s">
        <v>4176</v>
      </c>
      <c r="M2522" s="4" t="s">
        <v>174</v>
      </c>
      <c r="N2522" s="4" t="s">
        <v>157</v>
      </c>
      <c r="O2522" s="4" t="s">
        <v>130</v>
      </c>
      <c r="P2522" s="4" t="s">
        <v>437</v>
      </c>
    </row>
    <row r="2523" spans="1:16" ht="15">
      <c r="A2523" s="4" t="s">
        <v>3586</v>
      </c>
      <c r="B2523" s="30">
        <v>39927</v>
      </c>
      <c r="C2523" s="4"/>
      <c r="D2523" s="4" t="s">
        <v>4179</v>
      </c>
      <c r="E2523" s="4" t="s">
        <v>170</v>
      </c>
      <c r="F2523" s="4" t="s">
        <v>155</v>
      </c>
      <c r="G2523" s="4"/>
      <c r="H2523" s="4"/>
      <c r="I2523" s="4" t="s">
        <v>139</v>
      </c>
      <c r="J2523" s="4" t="s">
        <v>178</v>
      </c>
      <c r="K2523" s="4" t="s">
        <v>145</v>
      </c>
      <c r="L2523" s="4" t="s">
        <v>4181</v>
      </c>
      <c r="M2523" s="4" t="s">
        <v>173</v>
      </c>
      <c r="N2523" s="4" t="s">
        <v>155</v>
      </c>
      <c r="O2523" s="4" t="s">
        <v>125</v>
      </c>
      <c r="P2523" s="4"/>
    </row>
    <row r="2524" spans="1:16" ht="15">
      <c r="A2524" s="4" t="s">
        <v>3587</v>
      </c>
      <c r="B2524" s="30">
        <v>40072</v>
      </c>
      <c r="C2524" s="4"/>
      <c r="D2524" s="4" t="s">
        <v>193</v>
      </c>
      <c r="E2524" s="4" t="s">
        <v>170</v>
      </c>
      <c r="F2524" s="4" t="s">
        <v>155</v>
      </c>
      <c r="G2524" s="4">
        <v>5</v>
      </c>
      <c r="H2524" s="4">
        <v>5</v>
      </c>
      <c r="I2524" s="4" t="s">
        <v>140</v>
      </c>
      <c r="J2524" s="4" t="s">
        <v>178</v>
      </c>
      <c r="K2524" s="4" t="s">
        <v>148</v>
      </c>
      <c r="L2524" s="4" t="s">
        <v>4176</v>
      </c>
      <c r="M2524" s="4" t="s">
        <v>176</v>
      </c>
      <c r="N2524" s="4" t="s">
        <v>540</v>
      </c>
      <c r="O2524" s="4" t="s">
        <v>518</v>
      </c>
      <c r="P2524" s="4" t="s">
        <v>3588</v>
      </c>
    </row>
    <row r="2525" spans="1:16" ht="15">
      <c r="A2525" s="4" t="s">
        <v>3589</v>
      </c>
      <c r="B2525" s="30">
        <v>39953</v>
      </c>
      <c r="C2525" s="4"/>
      <c r="D2525" s="4" t="s">
        <v>195</v>
      </c>
      <c r="E2525" s="4" t="s">
        <v>170</v>
      </c>
      <c r="F2525" s="4" t="s">
        <v>155</v>
      </c>
      <c r="G2525" s="4"/>
      <c r="H2525" s="4"/>
      <c r="I2525" s="4" t="s">
        <v>139</v>
      </c>
      <c r="J2525" s="4" t="s">
        <v>178</v>
      </c>
      <c r="K2525" s="4" t="s">
        <v>148</v>
      </c>
      <c r="L2525" s="4" t="s">
        <v>162</v>
      </c>
      <c r="M2525" s="4" t="s">
        <v>3409</v>
      </c>
      <c r="N2525" s="4" t="s">
        <v>155</v>
      </c>
      <c r="O2525" s="4" t="s">
        <v>130</v>
      </c>
      <c r="P2525" s="4"/>
    </row>
    <row r="2526" spans="1:16" ht="15">
      <c r="A2526" s="4" t="s">
        <v>3590</v>
      </c>
      <c r="B2526" s="30">
        <v>40017</v>
      </c>
      <c r="C2526" s="4"/>
      <c r="D2526" s="4" t="s">
        <v>193</v>
      </c>
      <c r="E2526" s="4" t="s">
        <v>170</v>
      </c>
      <c r="F2526" s="4" t="s">
        <v>155</v>
      </c>
      <c r="G2526" s="4">
        <v>5</v>
      </c>
      <c r="H2526" s="4">
        <v>4</v>
      </c>
      <c r="I2526" s="4" t="s">
        <v>140</v>
      </c>
      <c r="J2526" s="4" t="s">
        <v>178</v>
      </c>
      <c r="K2526" s="4" t="s">
        <v>148</v>
      </c>
      <c r="L2526" s="4" t="s">
        <v>4181</v>
      </c>
      <c r="M2526" s="4" t="s">
        <v>1159</v>
      </c>
      <c r="N2526" s="4" t="s">
        <v>155</v>
      </c>
      <c r="O2526" s="4" t="s">
        <v>454</v>
      </c>
      <c r="P2526" s="4"/>
    </row>
    <row r="2527" spans="1:16" ht="15">
      <c r="A2527" s="4" t="s">
        <v>3591</v>
      </c>
      <c r="B2527" s="30">
        <v>40005</v>
      </c>
      <c r="C2527" s="4"/>
      <c r="D2527" s="4" t="s">
        <v>196</v>
      </c>
      <c r="E2527" s="4" t="s">
        <v>170</v>
      </c>
      <c r="F2527" s="4" t="s">
        <v>155</v>
      </c>
      <c r="G2527" s="4">
        <v>1</v>
      </c>
      <c r="H2527" s="4">
        <v>3</v>
      </c>
      <c r="I2527" s="4" t="s">
        <v>139</v>
      </c>
      <c r="J2527" s="4" t="s">
        <v>178</v>
      </c>
      <c r="K2527" s="4" t="s">
        <v>145</v>
      </c>
      <c r="L2527" s="4" t="s">
        <v>4176</v>
      </c>
      <c r="M2527" s="4" t="s">
        <v>175</v>
      </c>
      <c r="N2527" s="4" t="s">
        <v>540</v>
      </c>
      <c r="O2527" s="4" t="s">
        <v>123</v>
      </c>
      <c r="P2527" s="4" t="s">
        <v>123</v>
      </c>
    </row>
    <row r="2528" spans="1:16" ht="15">
      <c r="A2528" s="4" t="s">
        <v>3592</v>
      </c>
      <c r="B2528" s="30">
        <v>40085</v>
      </c>
      <c r="C2528" s="4"/>
      <c r="D2528" s="4" t="s">
        <v>193</v>
      </c>
      <c r="E2528" s="4" t="s">
        <v>170</v>
      </c>
      <c r="F2528" s="4" t="s">
        <v>155</v>
      </c>
      <c r="G2528" s="4">
        <v>5</v>
      </c>
      <c r="H2528" s="4">
        <v>3</v>
      </c>
      <c r="I2528" s="4" t="s">
        <v>140</v>
      </c>
      <c r="J2528" s="4" t="s">
        <v>180</v>
      </c>
      <c r="K2528" s="4" t="s">
        <v>150</v>
      </c>
      <c r="L2528" s="4" t="s">
        <v>4176</v>
      </c>
      <c r="M2528" s="4" t="s">
        <v>174</v>
      </c>
      <c r="N2528" s="4" t="s">
        <v>157</v>
      </c>
      <c r="O2528" s="4" t="s">
        <v>434</v>
      </c>
      <c r="P2528" s="4" t="s">
        <v>435</v>
      </c>
    </row>
    <row r="2529" spans="1:16" ht="15">
      <c r="A2529" s="4" t="s">
        <v>3593</v>
      </c>
      <c r="B2529" s="30">
        <v>39975</v>
      </c>
      <c r="C2529" s="4" t="s">
        <v>383</v>
      </c>
      <c r="D2529" s="4" t="s">
        <v>194</v>
      </c>
      <c r="E2529" s="4" t="s">
        <v>170</v>
      </c>
      <c r="F2529" s="4" t="s">
        <v>155</v>
      </c>
      <c r="G2529" s="4"/>
      <c r="H2529" s="4"/>
      <c r="I2529" s="4" t="s">
        <v>139</v>
      </c>
      <c r="J2529" s="4" t="s">
        <v>178</v>
      </c>
      <c r="K2529" s="4" t="s">
        <v>144</v>
      </c>
      <c r="L2529" s="4" t="s">
        <v>4176</v>
      </c>
      <c r="M2529" s="4" t="s">
        <v>867</v>
      </c>
      <c r="N2529" s="4" t="s">
        <v>157</v>
      </c>
      <c r="O2529" s="4" t="s">
        <v>127</v>
      </c>
      <c r="P2529" s="4" t="s">
        <v>153</v>
      </c>
    </row>
    <row r="2530" spans="1:16" ht="15">
      <c r="A2530" s="4" t="s">
        <v>3594</v>
      </c>
      <c r="B2530" s="30">
        <v>39963</v>
      </c>
      <c r="C2530" s="4"/>
      <c r="D2530" s="4" t="s">
        <v>193</v>
      </c>
      <c r="E2530" s="4" t="s">
        <v>170</v>
      </c>
      <c r="F2530" s="4" t="s">
        <v>155</v>
      </c>
      <c r="G2530" s="4"/>
      <c r="H2530" s="4"/>
      <c r="I2530" s="4" t="s">
        <v>140</v>
      </c>
      <c r="J2530" s="4" t="s">
        <v>178</v>
      </c>
      <c r="K2530" s="4" t="s">
        <v>144</v>
      </c>
      <c r="L2530" s="4" t="s">
        <v>4181</v>
      </c>
      <c r="M2530" s="4" t="s">
        <v>173</v>
      </c>
      <c r="N2530" s="4" t="s">
        <v>155</v>
      </c>
      <c r="O2530" s="4" t="s">
        <v>1441</v>
      </c>
      <c r="P2530" s="4"/>
    </row>
    <row r="2531" spans="1:16" ht="15">
      <c r="A2531" s="4" t="s">
        <v>3595</v>
      </c>
      <c r="B2531" s="30">
        <v>40085</v>
      </c>
      <c r="C2531" s="4"/>
      <c r="D2531" s="4" t="s">
        <v>197</v>
      </c>
      <c r="E2531" s="4" t="s">
        <v>170</v>
      </c>
      <c r="F2531" s="4" t="s">
        <v>155</v>
      </c>
      <c r="G2531" s="4">
        <v>5</v>
      </c>
      <c r="H2531" s="4">
        <v>2</v>
      </c>
      <c r="I2531" s="4" t="s">
        <v>139</v>
      </c>
      <c r="J2531" s="4" t="s">
        <v>178</v>
      </c>
      <c r="K2531" s="4" t="s">
        <v>144</v>
      </c>
      <c r="L2531" s="4" t="s">
        <v>4176</v>
      </c>
      <c r="M2531" s="4" t="s">
        <v>578</v>
      </c>
      <c r="N2531" s="4" t="s">
        <v>2264</v>
      </c>
      <c r="O2531" s="4" t="s">
        <v>2265</v>
      </c>
      <c r="P2531" s="4" t="s">
        <v>153</v>
      </c>
    </row>
    <row r="2532" spans="1:16" ht="15">
      <c r="A2532" s="4" t="s">
        <v>3596</v>
      </c>
      <c r="B2532" s="30">
        <v>39994</v>
      </c>
      <c r="C2532" s="4"/>
      <c r="D2532" s="4" t="s">
        <v>193</v>
      </c>
      <c r="E2532" s="4" t="s">
        <v>170</v>
      </c>
      <c r="F2532" s="4" t="s">
        <v>155</v>
      </c>
      <c r="G2532" s="4"/>
      <c r="H2532" s="4">
        <v>5</v>
      </c>
      <c r="I2532" s="4" t="s">
        <v>140</v>
      </c>
      <c r="J2532" s="4" t="s">
        <v>178</v>
      </c>
      <c r="K2532" s="4" t="s">
        <v>149</v>
      </c>
      <c r="L2532" s="4" t="s">
        <v>4181</v>
      </c>
      <c r="M2532" s="4" t="s">
        <v>1042</v>
      </c>
      <c r="N2532" s="4" t="s">
        <v>155</v>
      </c>
      <c r="O2532" s="4" t="s">
        <v>734</v>
      </c>
      <c r="P2532" s="4"/>
    </row>
    <row r="2533" spans="1:16" ht="15">
      <c r="A2533" s="4" t="s">
        <v>3597</v>
      </c>
      <c r="B2533" s="30">
        <v>39965</v>
      </c>
      <c r="C2533" s="4"/>
      <c r="D2533" s="4" t="s">
        <v>195</v>
      </c>
      <c r="E2533" s="4" t="s">
        <v>170</v>
      </c>
      <c r="F2533" s="4" t="s">
        <v>155</v>
      </c>
      <c r="G2533" s="4"/>
      <c r="H2533" s="4"/>
      <c r="I2533" s="4" t="s">
        <v>139</v>
      </c>
      <c r="J2533" s="4" t="s">
        <v>178</v>
      </c>
      <c r="K2533" s="4" t="s">
        <v>149</v>
      </c>
      <c r="L2533" s="4" t="s">
        <v>4181</v>
      </c>
      <c r="M2533" s="4" t="s">
        <v>173</v>
      </c>
      <c r="N2533" s="4" t="s">
        <v>161</v>
      </c>
      <c r="O2533" s="4" t="s">
        <v>465</v>
      </c>
      <c r="P2533" s="4"/>
    </row>
    <row r="2534" spans="1:16" ht="15">
      <c r="A2534" s="4" t="s">
        <v>3598</v>
      </c>
      <c r="B2534" s="30">
        <v>40049</v>
      </c>
      <c r="C2534" s="4"/>
      <c r="D2534" s="4" t="s">
        <v>195</v>
      </c>
      <c r="E2534" s="4" t="s">
        <v>170</v>
      </c>
      <c r="F2534" s="4" t="s">
        <v>155</v>
      </c>
      <c r="G2534" s="4">
        <v>4</v>
      </c>
      <c r="H2534" s="4">
        <v>5</v>
      </c>
      <c r="I2534" s="4" t="s">
        <v>139</v>
      </c>
      <c r="J2534" s="4" t="s">
        <v>178</v>
      </c>
      <c r="K2534" s="4" t="s">
        <v>143</v>
      </c>
      <c r="L2534" s="4" t="s">
        <v>165</v>
      </c>
      <c r="M2534" s="4" t="s">
        <v>3599</v>
      </c>
      <c r="N2534" s="4" t="s">
        <v>158</v>
      </c>
      <c r="O2534" s="4" t="s">
        <v>122</v>
      </c>
      <c r="P2534" s="4"/>
    </row>
    <row r="2535" spans="1:16" ht="15">
      <c r="A2535" s="4" t="s">
        <v>3600</v>
      </c>
      <c r="B2535" s="30">
        <v>40038</v>
      </c>
      <c r="C2535" s="4"/>
      <c r="D2535" s="4" t="s">
        <v>193</v>
      </c>
      <c r="E2535" s="4" t="s">
        <v>170</v>
      </c>
      <c r="F2535" s="4" t="s">
        <v>155</v>
      </c>
      <c r="G2535" s="4">
        <v>5</v>
      </c>
      <c r="H2535" s="4">
        <v>5</v>
      </c>
      <c r="I2535" s="4" t="s">
        <v>140</v>
      </c>
      <c r="J2535" s="4" t="s">
        <v>178</v>
      </c>
      <c r="K2535" s="4" t="s">
        <v>149</v>
      </c>
      <c r="L2535" s="4" t="s">
        <v>4176</v>
      </c>
      <c r="M2535" s="4" t="s">
        <v>459</v>
      </c>
      <c r="N2535" s="4" t="s">
        <v>125</v>
      </c>
      <c r="O2535" s="4" t="s">
        <v>628</v>
      </c>
      <c r="P2535" s="4" t="s">
        <v>2481</v>
      </c>
    </row>
    <row r="2536" spans="1:16" ht="15">
      <c r="A2536" s="4" t="s">
        <v>3601</v>
      </c>
      <c r="B2536" s="30">
        <v>39922</v>
      </c>
      <c r="C2536" s="4" t="s">
        <v>380</v>
      </c>
      <c r="D2536" s="4" t="s">
        <v>4180</v>
      </c>
      <c r="E2536" s="4" t="s">
        <v>170</v>
      </c>
      <c r="F2536" s="4" t="s">
        <v>155</v>
      </c>
      <c r="G2536" s="4"/>
      <c r="H2536" s="4"/>
      <c r="I2536" s="4" t="s">
        <v>139</v>
      </c>
      <c r="J2536" s="4" t="s">
        <v>178</v>
      </c>
      <c r="K2536" s="4" t="s">
        <v>145</v>
      </c>
      <c r="L2536" s="4" t="s">
        <v>4181</v>
      </c>
      <c r="M2536" s="4" t="s">
        <v>173</v>
      </c>
      <c r="N2536" s="4" t="s">
        <v>155</v>
      </c>
      <c r="O2536" s="4" t="s">
        <v>454</v>
      </c>
      <c r="P2536" s="4"/>
    </row>
    <row r="2537" spans="1:16" ht="15">
      <c r="A2537" s="4" t="s">
        <v>3602</v>
      </c>
      <c r="B2537" s="30">
        <v>39994</v>
      </c>
      <c r="C2537" s="4"/>
      <c r="D2537" s="4" t="s">
        <v>195</v>
      </c>
      <c r="E2537" s="4" t="s">
        <v>170</v>
      </c>
      <c r="F2537" s="4" t="s">
        <v>155</v>
      </c>
      <c r="G2537" s="4"/>
      <c r="H2537" s="4">
        <v>2</v>
      </c>
      <c r="I2537" s="4" t="s">
        <v>139</v>
      </c>
      <c r="J2537" s="4" t="s">
        <v>178</v>
      </c>
      <c r="K2537" s="4" t="s">
        <v>148</v>
      </c>
      <c r="L2537" s="4" t="s">
        <v>162</v>
      </c>
      <c r="M2537" s="4" t="s">
        <v>1624</v>
      </c>
      <c r="N2537" s="4" t="s">
        <v>155</v>
      </c>
      <c r="O2537" s="4" t="s">
        <v>130</v>
      </c>
      <c r="P2537" s="4"/>
    </row>
    <row r="2538" spans="1:16" ht="15">
      <c r="A2538" s="4" t="s">
        <v>3603</v>
      </c>
      <c r="B2538" s="30">
        <v>39978</v>
      </c>
      <c r="C2538" s="4" t="s">
        <v>380</v>
      </c>
      <c r="D2538" s="4" t="s">
        <v>194</v>
      </c>
      <c r="E2538" s="4" t="s">
        <v>170</v>
      </c>
      <c r="F2538" s="4" t="s">
        <v>155</v>
      </c>
      <c r="G2538" s="4"/>
      <c r="H2538" s="4"/>
      <c r="I2538" s="4" t="s">
        <v>139</v>
      </c>
      <c r="J2538" s="4" t="s">
        <v>178</v>
      </c>
      <c r="K2538" s="4" t="s">
        <v>143</v>
      </c>
      <c r="L2538" s="4" t="s">
        <v>4181</v>
      </c>
      <c r="M2538" s="4" t="s">
        <v>1768</v>
      </c>
      <c r="N2538" s="4" t="s">
        <v>155</v>
      </c>
      <c r="O2538" s="4" t="s">
        <v>124</v>
      </c>
      <c r="P2538" s="4"/>
    </row>
    <row r="2539" spans="1:16" ht="15">
      <c r="A2539" s="4" t="s">
        <v>3604</v>
      </c>
      <c r="B2539" s="30">
        <v>40038</v>
      </c>
      <c r="C2539" s="4"/>
      <c r="D2539" s="4" t="s">
        <v>193</v>
      </c>
      <c r="E2539" s="4" t="s">
        <v>170</v>
      </c>
      <c r="F2539" s="4" t="s">
        <v>155</v>
      </c>
      <c r="G2539" s="4">
        <v>1</v>
      </c>
      <c r="H2539" s="4">
        <v>4</v>
      </c>
      <c r="I2539" s="4" t="s">
        <v>140</v>
      </c>
      <c r="J2539" s="4" t="s">
        <v>178</v>
      </c>
      <c r="K2539" s="4" t="s">
        <v>144</v>
      </c>
      <c r="L2539" s="4" t="s">
        <v>4176</v>
      </c>
      <c r="M2539" s="4" t="s">
        <v>174</v>
      </c>
      <c r="N2539" s="4" t="s">
        <v>540</v>
      </c>
      <c r="O2539" s="4" t="s">
        <v>399</v>
      </c>
      <c r="P2539" s="4" t="s">
        <v>3605</v>
      </c>
    </row>
    <row r="2540" spans="1:16" ht="15">
      <c r="A2540" s="4" t="s">
        <v>3606</v>
      </c>
      <c r="B2540" s="30">
        <v>39918</v>
      </c>
      <c r="C2540" s="4" t="s">
        <v>9</v>
      </c>
      <c r="D2540" s="4" t="s">
        <v>4179</v>
      </c>
      <c r="E2540" s="4" t="s">
        <v>170</v>
      </c>
      <c r="F2540" s="4" t="s">
        <v>155</v>
      </c>
      <c r="G2540" s="4"/>
      <c r="H2540" s="4"/>
      <c r="I2540" s="4" t="s">
        <v>139</v>
      </c>
      <c r="J2540" s="4" t="s">
        <v>178</v>
      </c>
      <c r="K2540" s="4" t="s">
        <v>150</v>
      </c>
      <c r="L2540" s="4" t="s">
        <v>4181</v>
      </c>
      <c r="M2540" s="4" t="s">
        <v>173</v>
      </c>
      <c r="N2540" s="4" t="s">
        <v>155</v>
      </c>
      <c r="O2540" s="4" t="s">
        <v>692</v>
      </c>
      <c r="P2540" s="4"/>
    </row>
    <row r="2541" spans="1:16" ht="15">
      <c r="A2541" s="4" t="s">
        <v>3607</v>
      </c>
      <c r="B2541" s="30">
        <v>39961</v>
      </c>
      <c r="C2541" s="4"/>
      <c r="D2541" s="4" t="s">
        <v>193</v>
      </c>
      <c r="E2541" s="4" t="s">
        <v>170</v>
      </c>
      <c r="F2541" s="4" t="s">
        <v>155</v>
      </c>
      <c r="G2541" s="4"/>
      <c r="H2541" s="4"/>
      <c r="I2541" s="4" t="s">
        <v>140</v>
      </c>
      <c r="J2541" s="4" t="s">
        <v>178</v>
      </c>
      <c r="K2541" s="4" t="s">
        <v>149</v>
      </c>
      <c r="L2541" s="4" t="s">
        <v>4176</v>
      </c>
      <c r="M2541" s="4"/>
      <c r="N2541" s="4" t="s">
        <v>157</v>
      </c>
      <c r="O2541" s="4" t="s">
        <v>1075</v>
      </c>
      <c r="P2541" s="4" t="s">
        <v>3608</v>
      </c>
    </row>
    <row r="2542" spans="1:16" ht="15">
      <c r="A2542" s="4" t="s">
        <v>3609</v>
      </c>
      <c r="B2542" s="30">
        <v>39992</v>
      </c>
      <c r="C2542" s="4"/>
      <c r="D2542" s="4" t="s">
        <v>193</v>
      </c>
      <c r="E2542" s="4" t="s">
        <v>170</v>
      </c>
      <c r="F2542" s="4" t="s">
        <v>155</v>
      </c>
      <c r="G2542" s="4"/>
      <c r="H2542" s="4">
        <v>3</v>
      </c>
      <c r="I2542" s="4" t="s">
        <v>140</v>
      </c>
      <c r="J2542" s="4" t="s">
        <v>178</v>
      </c>
      <c r="K2542" s="4" t="s">
        <v>142</v>
      </c>
      <c r="L2542" s="4" t="s">
        <v>4176</v>
      </c>
      <c r="M2542" s="4" t="s">
        <v>174</v>
      </c>
      <c r="N2542" s="4" t="s">
        <v>157</v>
      </c>
      <c r="O2542" s="4" t="s">
        <v>434</v>
      </c>
      <c r="P2542" s="4" t="s">
        <v>435</v>
      </c>
    </row>
    <row r="2543" spans="1:16" ht="15">
      <c r="A2543" s="4" t="s">
        <v>3610</v>
      </c>
      <c r="B2543" s="30">
        <v>40056</v>
      </c>
      <c r="C2543" s="4"/>
      <c r="D2543" s="4" t="s">
        <v>193</v>
      </c>
      <c r="E2543" s="4" t="s">
        <v>170</v>
      </c>
      <c r="F2543" s="4" t="s">
        <v>155</v>
      </c>
      <c r="G2543" s="4">
        <v>5</v>
      </c>
      <c r="H2543" s="4">
        <v>5</v>
      </c>
      <c r="I2543" s="4" t="s">
        <v>140</v>
      </c>
      <c r="J2543" s="4" t="s">
        <v>178</v>
      </c>
      <c r="K2543" s="4" t="s">
        <v>143</v>
      </c>
      <c r="L2543" s="4" t="s">
        <v>4176</v>
      </c>
      <c r="M2543" s="4" t="s">
        <v>550</v>
      </c>
      <c r="N2543" s="4" t="s">
        <v>159</v>
      </c>
      <c r="O2543" s="4" t="s">
        <v>123</v>
      </c>
      <c r="P2543" s="4" t="s">
        <v>123</v>
      </c>
    </row>
    <row r="2544" spans="1:16" ht="15">
      <c r="A2544" s="4" t="s">
        <v>3611</v>
      </c>
      <c r="B2544" s="30">
        <v>39932</v>
      </c>
      <c r="C2544" s="4"/>
      <c r="D2544" s="4" t="s">
        <v>4184</v>
      </c>
      <c r="E2544" s="4" t="s">
        <v>170</v>
      </c>
      <c r="F2544" s="4" t="s">
        <v>155</v>
      </c>
      <c r="G2544" s="4"/>
      <c r="H2544" s="4"/>
      <c r="I2544" s="4" t="s">
        <v>140</v>
      </c>
      <c r="J2544" s="4" t="s">
        <v>188</v>
      </c>
      <c r="K2544" s="4" t="s">
        <v>145</v>
      </c>
      <c r="L2544" s="4" t="s">
        <v>4181</v>
      </c>
      <c r="M2544" s="4" t="s">
        <v>3612</v>
      </c>
      <c r="N2544" s="4" t="s">
        <v>155</v>
      </c>
      <c r="O2544" s="4" t="s">
        <v>124</v>
      </c>
      <c r="P2544" s="4"/>
    </row>
    <row r="2545" spans="1:16" ht="15">
      <c r="A2545" s="4" t="s">
        <v>3613</v>
      </c>
      <c r="B2545" s="30">
        <v>40000</v>
      </c>
      <c r="C2545" s="4" t="s">
        <v>383</v>
      </c>
      <c r="D2545" s="4" t="s">
        <v>193</v>
      </c>
      <c r="E2545" s="4" t="s">
        <v>170</v>
      </c>
      <c r="F2545" s="4" t="s">
        <v>155</v>
      </c>
      <c r="G2545" s="4"/>
      <c r="H2545" s="4">
        <v>5</v>
      </c>
      <c r="I2545" s="4" t="s">
        <v>140</v>
      </c>
      <c r="J2545" s="4" t="s">
        <v>188</v>
      </c>
      <c r="K2545" s="4" t="s">
        <v>145</v>
      </c>
      <c r="L2545" s="4" t="s">
        <v>162</v>
      </c>
      <c r="M2545" s="4" t="s">
        <v>175</v>
      </c>
      <c r="N2545" s="4" t="s">
        <v>155</v>
      </c>
      <c r="O2545" s="4" t="s">
        <v>130</v>
      </c>
      <c r="P2545" s="4"/>
    </row>
    <row r="2546" spans="1:16" ht="15">
      <c r="A2546" s="4" t="s">
        <v>3614</v>
      </c>
      <c r="B2546" s="30">
        <v>40050</v>
      </c>
      <c r="C2546" s="4"/>
      <c r="D2546" s="4" t="s">
        <v>195</v>
      </c>
      <c r="E2546" s="4" t="s">
        <v>170</v>
      </c>
      <c r="F2546" s="4" t="s">
        <v>155</v>
      </c>
      <c r="G2546" s="4">
        <v>5</v>
      </c>
      <c r="H2546" s="4">
        <v>5</v>
      </c>
      <c r="I2546" s="4" t="s">
        <v>139</v>
      </c>
      <c r="J2546" s="4" t="s">
        <v>181</v>
      </c>
      <c r="K2546" s="4" t="s">
        <v>146</v>
      </c>
      <c r="L2546" s="4" t="s">
        <v>165</v>
      </c>
      <c r="M2546" s="4" t="s">
        <v>1618</v>
      </c>
      <c r="N2546" s="4" t="s">
        <v>158</v>
      </c>
      <c r="O2546" s="4" t="s">
        <v>122</v>
      </c>
      <c r="P2546" s="4"/>
    </row>
    <row r="2547" spans="1:16" ht="15">
      <c r="A2547" s="4" t="s">
        <v>3615</v>
      </c>
      <c r="B2547" s="30">
        <v>39931</v>
      </c>
      <c r="C2547" s="4" t="s">
        <v>525</v>
      </c>
      <c r="D2547" s="4" t="s">
        <v>4184</v>
      </c>
      <c r="E2547" s="4" t="s">
        <v>170</v>
      </c>
      <c r="F2547" s="4" t="s">
        <v>155</v>
      </c>
      <c r="G2547" s="4"/>
      <c r="H2547" s="4"/>
      <c r="I2547" s="4" t="s">
        <v>140</v>
      </c>
      <c r="J2547" s="4" t="s">
        <v>180</v>
      </c>
      <c r="K2547" s="4" t="s">
        <v>147</v>
      </c>
      <c r="L2547" s="4" t="s">
        <v>162</v>
      </c>
      <c r="M2547" s="4" t="s">
        <v>1624</v>
      </c>
      <c r="N2547" s="4" t="s">
        <v>155</v>
      </c>
      <c r="O2547" s="4" t="s">
        <v>129</v>
      </c>
      <c r="P2547" s="4"/>
    </row>
    <row r="2548" spans="1:16" ht="15">
      <c r="A2548" s="4" t="s">
        <v>3616</v>
      </c>
      <c r="B2548" s="30">
        <v>40027</v>
      </c>
      <c r="C2548" s="4"/>
      <c r="D2548" s="4" t="s">
        <v>195</v>
      </c>
      <c r="E2548" s="4" t="s">
        <v>170</v>
      </c>
      <c r="F2548" s="4" t="s">
        <v>155</v>
      </c>
      <c r="G2548" s="4">
        <v>5</v>
      </c>
      <c r="H2548" s="4">
        <v>3</v>
      </c>
      <c r="I2548" s="4" t="s">
        <v>139</v>
      </c>
      <c r="J2548" s="4" t="s">
        <v>179</v>
      </c>
      <c r="K2548" s="4" t="s">
        <v>145</v>
      </c>
      <c r="L2548" s="4" t="s">
        <v>162</v>
      </c>
      <c r="M2548" s="4" t="s">
        <v>175</v>
      </c>
      <c r="N2548" s="4" t="s">
        <v>155</v>
      </c>
      <c r="O2548" s="4" t="s">
        <v>129</v>
      </c>
      <c r="P2548" s="4"/>
    </row>
    <row r="2549" spans="1:16" ht="15">
      <c r="A2549" s="4" t="s">
        <v>3617</v>
      </c>
      <c r="B2549" s="30">
        <v>39957</v>
      </c>
      <c r="C2549" s="4"/>
      <c r="D2549" s="4" t="s">
        <v>194</v>
      </c>
      <c r="E2549" s="4" t="s">
        <v>170</v>
      </c>
      <c r="F2549" s="4" t="s">
        <v>155</v>
      </c>
      <c r="G2549" s="4"/>
      <c r="H2549" s="4"/>
      <c r="I2549" s="4" t="s">
        <v>139</v>
      </c>
      <c r="J2549" s="4" t="s">
        <v>179</v>
      </c>
      <c r="K2549" s="4" t="s">
        <v>145</v>
      </c>
      <c r="L2549" s="4" t="s">
        <v>162</v>
      </c>
      <c r="M2549" s="4" t="s">
        <v>175</v>
      </c>
      <c r="N2549" s="4" t="s">
        <v>155</v>
      </c>
      <c r="O2549" s="4" t="s">
        <v>129</v>
      </c>
      <c r="P2549" s="4"/>
    </row>
    <row r="2550" spans="1:16" ht="15">
      <c r="A2550" s="4" t="s">
        <v>3618</v>
      </c>
      <c r="B2550" s="30">
        <v>39925</v>
      </c>
      <c r="C2550" s="4"/>
      <c r="D2550" s="4" t="s">
        <v>4182</v>
      </c>
      <c r="E2550" s="4" t="s">
        <v>170</v>
      </c>
      <c r="F2550" s="4" t="s">
        <v>155</v>
      </c>
      <c r="G2550" s="4"/>
      <c r="H2550" s="4"/>
      <c r="I2550" s="4" t="s">
        <v>139</v>
      </c>
      <c r="J2550" s="4" t="s">
        <v>179</v>
      </c>
      <c r="K2550" s="4" t="s">
        <v>148</v>
      </c>
      <c r="L2550" s="4" t="s">
        <v>4181</v>
      </c>
      <c r="M2550" s="4" t="s">
        <v>173</v>
      </c>
      <c r="N2550" s="4" t="s">
        <v>155</v>
      </c>
      <c r="O2550" s="4" t="s">
        <v>454</v>
      </c>
      <c r="P2550" s="4"/>
    </row>
    <row r="2551" spans="1:16" ht="15">
      <c r="A2551" s="4" t="s">
        <v>3619</v>
      </c>
      <c r="B2551" s="30">
        <v>39946</v>
      </c>
      <c r="C2551" s="4" t="s">
        <v>525</v>
      </c>
      <c r="D2551" s="4" t="s">
        <v>194</v>
      </c>
      <c r="E2551" s="4" t="s">
        <v>170</v>
      </c>
      <c r="F2551" s="4" t="s">
        <v>155</v>
      </c>
      <c r="G2551" s="4"/>
      <c r="H2551" s="4"/>
      <c r="I2551" s="4" t="s">
        <v>139</v>
      </c>
      <c r="J2551" s="4" t="s">
        <v>179</v>
      </c>
      <c r="K2551" s="4" t="s">
        <v>147</v>
      </c>
      <c r="L2551" s="4" t="s">
        <v>4181</v>
      </c>
      <c r="M2551" s="4" t="s">
        <v>1228</v>
      </c>
      <c r="N2551" s="4" t="s">
        <v>155</v>
      </c>
      <c r="O2551" s="4" t="s">
        <v>734</v>
      </c>
      <c r="P2551" s="4"/>
    </row>
    <row r="2552" spans="1:16" ht="15">
      <c r="A2552" s="4" t="s">
        <v>3620</v>
      </c>
      <c r="B2552" s="30">
        <v>39928</v>
      </c>
      <c r="C2552" s="4"/>
      <c r="D2552" s="4" t="s">
        <v>4184</v>
      </c>
      <c r="E2552" s="4" t="s">
        <v>170</v>
      </c>
      <c r="F2552" s="4" t="s">
        <v>155</v>
      </c>
      <c r="G2552" s="4"/>
      <c r="H2552" s="4"/>
      <c r="I2552" s="4" t="s">
        <v>140</v>
      </c>
      <c r="J2552" s="4" t="s">
        <v>179</v>
      </c>
      <c r="K2552" s="4" t="s">
        <v>147</v>
      </c>
      <c r="L2552" s="4" t="s">
        <v>4181</v>
      </c>
      <c r="M2552" s="4"/>
      <c r="N2552" s="4" t="s">
        <v>155</v>
      </c>
      <c r="O2552" s="4" t="s">
        <v>1186</v>
      </c>
      <c r="P2552" s="4"/>
    </row>
    <row r="2553" spans="1:16" ht="15">
      <c r="A2553" s="4" t="s">
        <v>3621</v>
      </c>
      <c r="B2553" s="30">
        <v>40017</v>
      </c>
      <c r="C2553" s="4" t="s">
        <v>380</v>
      </c>
      <c r="D2553" s="4" t="s">
        <v>193</v>
      </c>
      <c r="E2553" s="4" t="s">
        <v>170</v>
      </c>
      <c r="F2553" s="4" t="s">
        <v>155</v>
      </c>
      <c r="G2553" s="4">
        <v>4</v>
      </c>
      <c r="H2553" s="4">
        <v>4</v>
      </c>
      <c r="I2553" s="4" t="s">
        <v>140</v>
      </c>
      <c r="J2553" s="4" t="s">
        <v>178</v>
      </c>
      <c r="K2553" s="4" t="s">
        <v>146</v>
      </c>
      <c r="L2553" s="4" t="s">
        <v>162</v>
      </c>
      <c r="M2553" s="4" t="s">
        <v>175</v>
      </c>
      <c r="N2553" s="4" t="s">
        <v>155</v>
      </c>
      <c r="O2553" s="4" t="s">
        <v>130</v>
      </c>
      <c r="P2553" s="4"/>
    </row>
    <row r="2554" spans="1:16" ht="15">
      <c r="A2554" s="4" t="s">
        <v>3622</v>
      </c>
      <c r="B2554" s="30">
        <v>39997</v>
      </c>
      <c r="C2554" s="4"/>
      <c r="D2554" s="4" t="s">
        <v>195</v>
      </c>
      <c r="E2554" s="4" t="s">
        <v>170</v>
      </c>
      <c r="F2554" s="4" t="s">
        <v>155</v>
      </c>
      <c r="G2554" s="4"/>
      <c r="H2554" s="4">
        <v>5</v>
      </c>
      <c r="I2554" s="4" t="s">
        <v>139</v>
      </c>
      <c r="J2554" s="4" t="s">
        <v>178</v>
      </c>
      <c r="K2554" s="4" t="s">
        <v>150</v>
      </c>
      <c r="L2554" s="4" t="s">
        <v>165</v>
      </c>
      <c r="M2554" s="4" t="s">
        <v>589</v>
      </c>
      <c r="N2554" s="4" t="s">
        <v>158</v>
      </c>
      <c r="O2554" s="4" t="s">
        <v>122</v>
      </c>
      <c r="P2554" s="4"/>
    </row>
    <row r="2555" spans="1:16" ht="15">
      <c r="A2555" s="4" t="s">
        <v>3623</v>
      </c>
      <c r="B2555" s="30">
        <v>39936</v>
      </c>
      <c r="C2555" s="4"/>
      <c r="D2555" s="4" t="s">
        <v>4179</v>
      </c>
      <c r="E2555" s="4" t="s">
        <v>170</v>
      </c>
      <c r="F2555" s="4" t="s">
        <v>155</v>
      </c>
      <c r="G2555" s="4"/>
      <c r="H2555" s="4"/>
      <c r="I2555" s="4" t="s">
        <v>139</v>
      </c>
      <c r="J2555" s="4" t="s">
        <v>179</v>
      </c>
      <c r="K2555" s="4" t="s">
        <v>149</v>
      </c>
      <c r="L2555" s="4" t="s">
        <v>4176</v>
      </c>
      <c r="M2555" s="4" t="s">
        <v>174</v>
      </c>
      <c r="N2555" s="4" t="s">
        <v>156</v>
      </c>
      <c r="O2555" s="4" t="s">
        <v>120</v>
      </c>
      <c r="P2555" s="4" t="s">
        <v>3624</v>
      </c>
    </row>
    <row r="2556" spans="1:16" ht="15">
      <c r="A2556" s="4" t="s">
        <v>3625</v>
      </c>
      <c r="B2556" s="30">
        <v>39939</v>
      </c>
      <c r="C2556" s="4"/>
      <c r="D2556" s="4" t="s">
        <v>4182</v>
      </c>
      <c r="E2556" s="4" t="s">
        <v>170</v>
      </c>
      <c r="F2556" s="4" t="s">
        <v>155</v>
      </c>
      <c r="G2556" s="4"/>
      <c r="H2556" s="4"/>
      <c r="I2556" s="4" t="s">
        <v>139</v>
      </c>
      <c r="J2556" s="4" t="s">
        <v>447</v>
      </c>
      <c r="K2556" s="4" t="s">
        <v>142</v>
      </c>
      <c r="L2556" s="4" t="s">
        <v>4181</v>
      </c>
      <c r="M2556" s="4" t="s">
        <v>415</v>
      </c>
      <c r="N2556" s="4" t="s">
        <v>155</v>
      </c>
      <c r="O2556" s="4" t="s">
        <v>125</v>
      </c>
      <c r="P2556" s="4"/>
    </row>
    <row r="2557" spans="1:16" ht="15">
      <c r="A2557" s="4" t="s">
        <v>3626</v>
      </c>
      <c r="B2557" s="30">
        <v>39966</v>
      </c>
      <c r="C2557" s="4"/>
      <c r="D2557" s="4" t="s">
        <v>194</v>
      </c>
      <c r="E2557" s="4" t="s">
        <v>170</v>
      </c>
      <c r="F2557" s="4" t="s">
        <v>155</v>
      </c>
      <c r="G2557" s="4"/>
      <c r="H2557" s="4"/>
      <c r="I2557" s="4" t="s">
        <v>139</v>
      </c>
      <c r="J2557" s="4" t="s">
        <v>182</v>
      </c>
      <c r="K2557" s="4" t="s">
        <v>143</v>
      </c>
      <c r="L2557" s="4" t="s">
        <v>4181</v>
      </c>
      <c r="M2557" s="4"/>
      <c r="N2557" s="4" t="s">
        <v>155</v>
      </c>
      <c r="O2557" s="4" t="s">
        <v>124</v>
      </c>
      <c r="P2557" s="4"/>
    </row>
    <row r="2558" spans="1:16" ht="15">
      <c r="A2558" s="4" t="s">
        <v>3627</v>
      </c>
      <c r="B2558" s="30">
        <v>39910</v>
      </c>
      <c r="C2558" s="4" t="s">
        <v>9</v>
      </c>
      <c r="D2558" s="4" t="s">
        <v>4177</v>
      </c>
      <c r="E2558" s="4" t="s">
        <v>170</v>
      </c>
      <c r="F2558" s="4" t="s">
        <v>155</v>
      </c>
      <c r="G2558" s="4"/>
      <c r="H2558" s="4"/>
      <c r="I2558" s="4" t="s">
        <v>139</v>
      </c>
      <c r="J2558" s="4" t="s">
        <v>182</v>
      </c>
      <c r="K2558" s="4" t="s">
        <v>148</v>
      </c>
      <c r="L2558" s="4" t="s">
        <v>4176</v>
      </c>
      <c r="M2558" s="4" t="s">
        <v>174</v>
      </c>
      <c r="N2558" s="4" t="s">
        <v>156</v>
      </c>
      <c r="O2558" s="4" t="s">
        <v>120</v>
      </c>
      <c r="P2558" s="4" t="s">
        <v>3628</v>
      </c>
    </row>
    <row r="2559" spans="1:16" ht="15">
      <c r="A2559" s="4" t="s">
        <v>3629</v>
      </c>
      <c r="B2559" s="30">
        <v>39983</v>
      </c>
      <c r="C2559" s="4"/>
      <c r="D2559" s="4" t="s">
        <v>195</v>
      </c>
      <c r="E2559" s="4" t="s">
        <v>170</v>
      </c>
      <c r="F2559" s="4" t="s">
        <v>155</v>
      </c>
      <c r="G2559" s="4"/>
      <c r="H2559" s="4"/>
      <c r="I2559" s="4" t="s">
        <v>139</v>
      </c>
      <c r="J2559" s="4" t="s">
        <v>179</v>
      </c>
      <c r="K2559" s="4" t="s">
        <v>142</v>
      </c>
      <c r="L2559" s="4" t="s">
        <v>4181</v>
      </c>
      <c r="M2559" s="4" t="s">
        <v>173</v>
      </c>
      <c r="N2559" s="4" t="s">
        <v>155</v>
      </c>
      <c r="O2559" s="4" t="s">
        <v>130</v>
      </c>
      <c r="P2559" s="4"/>
    </row>
    <row r="2560" spans="1:16" ht="15">
      <c r="A2560" s="4" t="s">
        <v>3630</v>
      </c>
      <c r="B2560" s="30">
        <v>40030</v>
      </c>
      <c r="C2560" s="4" t="s">
        <v>9</v>
      </c>
      <c r="D2560" s="4" t="s">
        <v>193</v>
      </c>
      <c r="E2560" s="4" t="s">
        <v>170</v>
      </c>
      <c r="F2560" s="4" t="s">
        <v>155</v>
      </c>
      <c r="G2560" s="4">
        <v>5</v>
      </c>
      <c r="H2560" s="4">
        <v>5</v>
      </c>
      <c r="I2560" s="4" t="s">
        <v>140</v>
      </c>
      <c r="J2560" s="4" t="s">
        <v>184</v>
      </c>
      <c r="K2560" s="4" t="s">
        <v>142</v>
      </c>
      <c r="L2560" s="4" t="s">
        <v>4176</v>
      </c>
      <c r="M2560" s="4" t="s">
        <v>176</v>
      </c>
      <c r="N2560" s="4" t="s">
        <v>398</v>
      </c>
      <c r="O2560" s="4" t="s">
        <v>399</v>
      </c>
      <c r="P2560" s="4" t="s">
        <v>400</v>
      </c>
    </row>
    <row r="2561" spans="1:16" ht="15">
      <c r="A2561" s="4" t="s">
        <v>3631</v>
      </c>
      <c r="B2561" s="30">
        <v>39988</v>
      </c>
      <c r="C2561" s="4"/>
      <c r="D2561" s="4" t="s">
        <v>193</v>
      </c>
      <c r="E2561" s="4" t="s">
        <v>170</v>
      </c>
      <c r="F2561" s="4" t="s">
        <v>155</v>
      </c>
      <c r="G2561" s="4"/>
      <c r="H2561" s="4"/>
      <c r="I2561" s="4" t="s">
        <v>140</v>
      </c>
      <c r="J2561" s="4" t="s">
        <v>178</v>
      </c>
      <c r="K2561" s="4" t="s">
        <v>143</v>
      </c>
      <c r="L2561" s="4" t="s">
        <v>4181</v>
      </c>
      <c r="M2561" s="4" t="s">
        <v>173</v>
      </c>
      <c r="N2561" s="4" t="s">
        <v>1590</v>
      </c>
      <c r="O2561" s="4" t="s">
        <v>3632</v>
      </c>
      <c r="P2561" s="4"/>
    </row>
    <row r="2562" spans="1:16" ht="15">
      <c r="A2562" s="4" t="s">
        <v>3633</v>
      </c>
      <c r="B2562" s="30">
        <v>39944</v>
      </c>
      <c r="C2562" s="4"/>
      <c r="D2562" s="4" t="s">
        <v>194</v>
      </c>
      <c r="E2562" s="4" t="s">
        <v>170</v>
      </c>
      <c r="F2562" s="4" t="s">
        <v>155</v>
      </c>
      <c r="G2562" s="4"/>
      <c r="H2562" s="4"/>
      <c r="I2562" s="4" t="s">
        <v>139</v>
      </c>
      <c r="J2562" s="4" t="s">
        <v>178</v>
      </c>
      <c r="K2562" s="4" t="s">
        <v>147</v>
      </c>
      <c r="L2562" s="4" t="s">
        <v>162</v>
      </c>
      <c r="M2562" s="4" t="s">
        <v>175</v>
      </c>
      <c r="N2562" s="4" t="s">
        <v>155</v>
      </c>
      <c r="O2562" s="4" t="s">
        <v>127</v>
      </c>
      <c r="P2562" s="4"/>
    </row>
    <row r="2563" spans="1:16" ht="15">
      <c r="A2563" s="4" t="s">
        <v>3634</v>
      </c>
      <c r="B2563" s="30">
        <v>40034</v>
      </c>
      <c r="C2563" s="4" t="s">
        <v>383</v>
      </c>
      <c r="D2563" s="4" t="s">
        <v>193</v>
      </c>
      <c r="E2563" s="4" t="s">
        <v>170</v>
      </c>
      <c r="F2563" s="4" t="s">
        <v>155</v>
      </c>
      <c r="G2563" s="4">
        <v>5</v>
      </c>
      <c r="H2563" s="4">
        <v>5</v>
      </c>
      <c r="I2563" s="4" t="s">
        <v>140</v>
      </c>
      <c r="J2563" s="4" t="s">
        <v>178</v>
      </c>
      <c r="K2563" s="4" t="s">
        <v>142</v>
      </c>
      <c r="L2563" s="4" t="s">
        <v>4181</v>
      </c>
      <c r="M2563" s="4" t="s">
        <v>173</v>
      </c>
      <c r="N2563" s="4" t="s">
        <v>155</v>
      </c>
      <c r="O2563" s="4" t="s">
        <v>439</v>
      </c>
      <c r="P2563" s="4"/>
    </row>
    <row r="2564" spans="1:16" ht="15">
      <c r="A2564" s="4" t="s">
        <v>3635</v>
      </c>
      <c r="B2564" s="30">
        <v>40064</v>
      </c>
      <c r="C2564" s="4"/>
      <c r="D2564" s="4" t="s">
        <v>193</v>
      </c>
      <c r="E2564" s="4" t="s">
        <v>170</v>
      </c>
      <c r="F2564" s="4" t="s">
        <v>155</v>
      </c>
      <c r="G2564" s="4">
        <v>3</v>
      </c>
      <c r="H2564" s="4">
        <v>2</v>
      </c>
      <c r="I2564" s="4" t="s">
        <v>140</v>
      </c>
      <c r="J2564" s="4" t="s">
        <v>179</v>
      </c>
      <c r="K2564" s="4" t="s">
        <v>148</v>
      </c>
      <c r="L2564" s="4" t="s">
        <v>162</v>
      </c>
      <c r="M2564" s="4" t="s">
        <v>175</v>
      </c>
      <c r="N2564" s="4" t="s">
        <v>155</v>
      </c>
      <c r="O2564" s="4" t="s">
        <v>129</v>
      </c>
      <c r="P2564" s="4"/>
    </row>
    <row r="2565" spans="1:16" ht="15">
      <c r="A2565" s="4" t="s">
        <v>3636</v>
      </c>
      <c r="B2565" s="30">
        <v>39942</v>
      </c>
      <c r="C2565" s="4"/>
      <c r="D2565" s="4" t="s">
        <v>193</v>
      </c>
      <c r="E2565" s="4" t="s">
        <v>170</v>
      </c>
      <c r="F2565" s="4" t="s">
        <v>155</v>
      </c>
      <c r="G2565" s="4"/>
      <c r="H2565" s="4"/>
      <c r="I2565" s="4" t="s">
        <v>140</v>
      </c>
      <c r="J2565" s="4" t="s">
        <v>178</v>
      </c>
      <c r="K2565" s="4" t="s">
        <v>142</v>
      </c>
      <c r="L2565" s="4" t="s">
        <v>165</v>
      </c>
      <c r="M2565" s="4" t="s">
        <v>1023</v>
      </c>
      <c r="N2565" s="4" t="s">
        <v>158</v>
      </c>
      <c r="O2565" s="4" t="s">
        <v>122</v>
      </c>
      <c r="P2565" s="4"/>
    </row>
    <row r="2566" spans="1:16" ht="15">
      <c r="A2566" s="4" t="s">
        <v>3637</v>
      </c>
      <c r="B2566" s="30">
        <v>40042</v>
      </c>
      <c r="C2566" s="4"/>
      <c r="D2566" s="4" t="s">
        <v>193</v>
      </c>
      <c r="E2566" s="4" t="s">
        <v>170</v>
      </c>
      <c r="F2566" s="4" t="s">
        <v>155</v>
      </c>
      <c r="G2566" s="4">
        <v>5</v>
      </c>
      <c r="H2566" s="4">
        <v>5</v>
      </c>
      <c r="I2566" s="4" t="s">
        <v>140</v>
      </c>
      <c r="J2566" s="4" t="s">
        <v>179</v>
      </c>
      <c r="K2566" s="4" t="s">
        <v>143</v>
      </c>
      <c r="L2566" s="4" t="s">
        <v>4181</v>
      </c>
      <c r="M2566" s="4" t="s">
        <v>173</v>
      </c>
      <c r="N2566" s="4" t="s">
        <v>155</v>
      </c>
      <c r="O2566" s="4" t="s">
        <v>125</v>
      </c>
      <c r="P2566" s="4"/>
    </row>
    <row r="2567" spans="1:16" ht="15">
      <c r="A2567" s="4" t="s">
        <v>3638</v>
      </c>
      <c r="B2567" s="30">
        <v>39979</v>
      </c>
      <c r="C2567" s="4"/>
      <c r="D2567" s="4" t="s">
        <v>193</v>
      </c>
      <c r="E2567" s="4" t="s">
        <v>170</v>
      </c>
      <c r="F2567" s="4" t="s">
        <v>155</v>
      </c>
      <c r="G2567" s="4"/>
      <c r="H2567" s="4"/>
      <c r="I2567" s="4" t="s">
        <v>140</v>
      </c>
      <c r="J2567" s="4" t="s">
        <v>179</v>
      </c>
      <c r="K2567" s="4" t="s">
        <v>145</v>
      </c>
      <c r="L2567" s="4" t="s">
        <v>4176</v>
      </c>
      <c r="M2567" s="4" t="s">
        <v>174</v>
      </c>
      <c r="N2567" s="4" t="s">
        <v>156</v>
      </c>
      <c r="O2567" s="4" t="s">
        <v>120</v>
      </c>
      <c r="P2567" s="4" t="s">
        <v>827</v>
      </c>
    </row>
    <row r="2568" spans="1:16" ht="15">
      <c r="A2568" s="4" t="s">
        <v>3639</v>
      </c>
      <c r="B2568" s="30">
        <v>39972</v>
      </c>
      <c r="C2568" s="4"/>
      <c r="D2568" s="4" t="s">
        <v>194</v>
      </c>
      <c r="E2568" s="4" t="s">
        <v>170</v>
      </c>
      <c r="F2568" s="4" t="s">
        <v>155</v>
      </c>
      <c r="G2568" s="4"/>
      <c r="H2568" s="4"/>
      <c r="I2568" s="4" t="s">
        <v>139</v>
      </c>
      <c r="J2568" s="4" t="s">
        <v>447</v>
      </c>
      <c r="K2568" s="4" t="s">
        <v>149</v>
      </c>
      <c r="L2568" s="4" t="s">
        <v>165</v>
      </c>
      <c r="M2568" s="4" t="s">
        <v>589</v>
      </c>
      <c r="N2568" s="4" t="s">
        <v>158</v>
      </c>
      <c r="O2568" s="4" t="s">
        <v>122</v>
      </c>
      <c r="P2568" s="4"/>
    </row>
    <row r="2569" spans="1:16" ht="15">
      <c r="A2569" s="4" t="s">
        <v>3640</v>
      </c>
      <c r="B2569" s="30">
        <v>40020</v>
      </c>
      <c r="C2569" s="4"/>
      <c r="D2569" s="4" t="s">
        <v>195</v>
      </c>
      <c r="E2569" s="4" t="s">
        <v>170</v>
      </c>
      <c r="F2569" s="4" t="s">
        <v>155</v>
      </c>
      <c r="G2569" s="4">
        <v>5</v>
      </c>
      <c r="H2569" s="4">
        <v>3</v>
      </c>
      <c r="I2569" s="4" t="s">
        <v>139</v>
      </c>
      <c r="J2569" s="4" t="s">
        <v>182</v>
      </c>
      <c r="K2569" s="4" t="s">
        <v>146</v>
      </c>
      <c r="L2569" s="4" t="s">
        <v>162</v>
      </c>
      <c r="M2569" s="4" t="s">
        <v>175</v>
      </c>
      <c r="N2569" s="4" t="s">
        <v>155</v>
      </c>
      <c r="O2569" s="4" t="s">
        <v>129</v>
      </c>
      <c r="P2569" s="4"/>
    </row>
    <row r="2570" spans="1:16" ht="15">
      <c r="A2570" s="4" t="s">
        <v>3641</v>
      </c>
      <c r="B2570" s="30">
        <v>40083</v>
      </c>
      <c r="C2570" s="4"/>
      <c r="D2570" s="4" t="s">
        <v>196</v>
      </c>
      <c r="E2570" s="4" t="s">
        <v>170</v>
      </c>
      <c r="F2570" s="4" t="s">
        <v>155</v>
      </c>
      <c r="G2570" s="4">
        <v>3</v>
      </c>
      <c r="H2570" s="4">
        <v>3</v>
      </c>
      <c r="I2570" s="4" t="s">
        <v>139</v>
      </c>
      <c r="J2570" s="4" t="s">
        <v>178</v>
      </c>
      <c r="K2570" s="4" t="s">
        <v>142</v>
      </c>
      <c r="L2570" s="4" t="s">
        <v>4181</v>
      </c>
      <c r="M2570" s="4" t="s">
        <v>173</v>
      </c>
      <c r="N2570" s="4" t="s">
        <v>155</v>
      </c>
      <c r="O2570" s="4" t="s">
        <v>128</v>
      </c>
      <c r="P2570" s="4"/>
    </row>
    <row r="2571" spans="1:16" ht="15">
      <c r="A2571" s="4" t="s">
        <v>3642</v>
      </c>
      <c r="B2571" s="30">
        <v>40055</v>
      </c>
      <c r="C2571" s="4"/>
      <c r="D2571" s="4" t="s">
        <v>193</v>
      </c>
      <c r="E2571" s="4" t="s">
        <v>170</v>
      </c>
      <c r="F2571" s="4" t="s">
        <v>155</v>
      </c>
      <c r="G2571" s="4">
        <v>1</v>
      </c>
      <c r="H2571" s="4">
        <v>4</v>
      </c>
      <c r="I2571" s="4" t="s">
        <v>140</v>
      </c>
      <c r="J2571" s="4" t="s">
        <v>183</v>
      </c>
      <c r="K2571" s="4" t="s">
        <v>144</v>
      </c>
      <c r="L2571" s="4" t="s">
        <v>4181</v>
      </c>
      <c r="M2571" s="4" t="s">
        <v>173</v>
      </c>
      <c r="N2571" s="4" t="s">
        <v>155</v>
      </c>
      <c r="O2571" s="4" t="s">
        <v>956</v>
      </c>
      <c r="P2571" s="4"/>
    </row>
    <row r="2572" spans="1:16" ht="15">
      <c r="A2572" s="4" t="s">
        <v>3643</v>
      </c>
      <c r="B2572" s="30">
        <v>40036</v>
      </c>
      <c r="C2572" s="4"/>
      <c r="D2572" s="4" t="s">
        <v>197</v>
      </c>
      <c r="E2572" s="4" t="s">
        <v>170</v>
      </c>
      <c r="F2572" s="4" t="s">
        <v>155</v>
      </c>
      <c r="G2572" s="4">
        <v>5</v>
      </c>
      <c r="H2572" s="4">
        <v>5</v>
      </c>
      <c r="I2572" s="4" t="s">
        <v>139</v>
      </c>
      <c r="J2572" s="4" t="s">
        <v>186</v>
      </c>
      <c r="K2572" s="4" t="s">
        <v>144</v>
      </c>
      <c r="L2572" s="4" t="s">
        <v>162</v>
      </c>
      <c r="M2572" s="4" t="s">
        <v>176</v>
      </c>
      <c r="N2572" s="4" t="s">
        <v>155</v>
      </c>
      <c r="O2572" s="4" t="s">
        <v>129</v>
      </c>
      <c r="P2572" s="4"/>
    </row>
    <row r="2573" spans="1:16" ht="15">
      <c r="A2573" s="4" t="s">
        <v>3644</v>
      </c>
      <c r="B2573" s="30">
        <v>40023</v>
      </c>
      <c r="C2573" s="4" t="s">
        <v>383</v>
      </c>
      <c r="D2573" s="4" t="s">
        <v>195</v>
      </c>
      <c r="E2573" s="4" t="s">
        <v>170</v>
      </c>
      <c r="F2573" s="4" t="s">
        <v>155</v>
      </c>
      <c r="G2573" s="4">
        <v>5</v>
      </c>
      <c r="H2573" s="4">
        <v>3</v>
      </c>
      <c r="I2573" s="4" t="s">
        <v>139</v>
      </c>
      <c r="J2573" s="4" t="s">
        <v>178</v>
      </c>
      <c r="K2573" s="4" t="s">
        <v>149</v>
      </c>
      <c r="L2573" s="4" t="s">
        <v>4176</v>
      </c>
      <c r="M2573" s="4" t="s">
        <v>174</v>
      </c>
      <c r="N2573" s="4" t="s">
        <v>157</v>
      </c>
      <c r="O2573" s="4" t="s">
        <v>434</v>
      </c>
      <c r="P2573" s="4" t="s">
        <v>449</v>
      </c>
    </row>
    <row r="2574" spans="1:16" ht="15">
      <c r="A2574" s="4" t="s">
        <v>3645</v>
      </c>
      <c r="B2574" s="30">
        <v>39925</v>
      </c>
      <c r="C2574" s="4"/>
      <c r="D2574" s="4" t="s">
        <v>4178</v>
      </c>
      <c r="E2574" s="4" t="s">
        <v>170</v>
      </c>
      <c r="F2574" s="4" t="s">
        <v>155</v>
      </c>
      <c r="G2574" s="4"/>
      <c r="H2574" s="4"/>
      <c r="I2574" s="4" t="s">
        <v>139</v>
      </c>
      <c r="J2574" s="4" t="s">
        <v>179</v>
      </c>
      <c r="K2574" s="4" t="s">
        <v>147</v>
      </c>
      <c r="L2574" s="4" t="s">
        <v>4176</v>
      </c>
      <c r="M2574" s="4" t="s">
        <v>174</v>
      </c>
      <c r="N2574" s="4" t="s">
        <v>156</v>
      </c>
      <c r="O2574" s="4" t="s">
        <v>120</v>
      </c>
      <c r="P2574" s="4" t="s">
        <v>1868</v>
      </c>
    </row>
    <row r="2575" spans="1:16" ht="15">
      <c r="A2575" s="4" t="s">
        <v>3646</v>
      </c>
      <c r="B2575" s="30">
        <v>40011</v>
      </c>
      <c r="C2575" s="4"/>
      <c r="D2575" s="4" t="s">
        <v>193</v>
      </c>
      <c r="E2575" s="4" t="s">
        <v>170</v>
      </c>
      <c r="F2575" s="4" t="s">
        <v>155</v>
      </c>
      <c r="G2575" s="4">
        <v>5</v>
      </c>
      <c r="H2575" s="4">
        <v>5</v>
      </c>
      <c r="I2575" s="4" t="s">
        <v>140</v>
      </c>
      <c r="J2575" s="4" t="s">
        <v>409</v>
      </c>
      <c r="K2575" s="4" t="s">
        <v>142</v>
      </c>
      <c r="L2575" s="4" t="s">
        <v>4176</v>
      </c>
      <c r="M2575" s="4" t="s">
        <v>3647</v>
      </c>
      <c r="N2575" s="4" t="s">
        <v>159</v>
      </c>
      <c r="O2575" s="4" t="s">
        <v>126</v>
      </c>
      <c r="P2575" s="4" t="s">
        <v>601</v>
      </c>
    </row>
    <row r="2576" spans="1:16" ht="15">
      <c r="A2576" s="4" t="s">
        <v>3648</v>
      </c>
      <c r="B2576" s="30">
        <v>39986</v>
      </c>
      <c r="C2576" s="4" t="s">
        <v>9</v>
      </c>
      <c r="D2576" s="4" t="s">
        <v>196</v>
      </c>
      <c r="E2576" s="4" t="s">
        <v>170</v>
      </c>
      <c r="F2576" s="4" t="s">
        <v>155</v>
      </c>
      <c r="G2576" s="4"/>
      <c r="H2576" s="4"/>
      <c r="I2576" s="4" t="s">
        <v>139</v>
      </c>
      <c r="J2576" s="4" t="s">
        <v>178</v>
      </c>
      <c r="K2576" s="4" t="s">
        <v>150</v>
      </c>
      <c r="L2576" s="4" t="s">
        <v>4181</v>
      </c>
      <c r="M2576" s="4"/>
      <c r="N2576" s="4" t="s">
        <v>788</v>
      </c>
      <c r="O2576" s="4" t="s">
        <v>3649</v>
      </c>
      <c r="P2576" s="4"/>
    </row>
    <row r="2577" spans="1:16" ht="15">
      <c r="A2577" s="4" t="s">
        <v>3650</v>
      </c>
      <c r="B2577" s="30">
        <v>40024</v>
      </c>
      <c r="C2577" s="4"/>
      <c r="D2577" s="4" t="s">
        <v>193</v>
      </c>
      <c r="E2577" s="4" t="s">
        <v>170</v>
      </c>
      <c r="F2577" s="4" t="s">
        <v>155</v>
      </c>
      <c r="G2577" s="4">
        <v>5</v>
      </c>
      <c r="H2577" s="4">
        <v>4</v>
      </c>
      <c r="I2577" s="4" t="s">
        <v>140</v>
      </c>
      <c r="J2577" s="4" t="s">
        <v>184</v>
      </c>
      <c r="K2577" s="4" t="s">
        <v>143</v>
      </c>
      <c r="L2577" s="4" t="s">
        <v>4181</v>
      </c>
      <c r="M2577" s="4" t="s">
        <v>173</v>
      </c>
      <c r="N2577" s="4" t="s">
        <v>155</v>
      </c>
      <c r="O2577" s="4" t="s">
        <v>406</v>
      </c>
      <c r="P2577" s="4"/>
    </row>
    <row r="2578" spans="1:16" ht="15">
      <c r="A2578" s="4" t="s">
        <v>3651</v>
      </c>
      <c r="B2578" s="30">
        <v>40002</v>
      </c>
      <c r="C2578" s="4" t="s">
        <v>9</v>
      </c>
      <c r="D2578" s="4" t="s">
        <v>193</v>
      </c>
      <c r="E2578" s="4" t="s">
        <v>170</v>
      </c>
      <c r="F2578" s="4" t="s">
        <v>155</v>
      </c>
      <c r="G2578" s="4"/>
      <c r="H2578" s="4">
        <v>3</v>
      </c>
      <c r="I2578" s="4" t="s">
        <v>140</v>
      </c>
      <c r="J2578" s="4" t="s">
        <v>178</v>
      </c>
      <c r="K2578" s="4" t="s">
        <v>148</v>
      </c>
      <c r="L2578" s="4" t="s">
        <v>4176</v>
      </c>
      <c r="M2578" s="4" t="s">
        <v>1123</v>
      </c>
      <c r="N2578" s="4" t="s">
        <v>157</v>
      </c>
      <c r="O2578" s="4" t="s">
        <v>127</v>
      </c>
      <c r="P2578" s="4" t="s">
        <v>153</v>
      </c>
    </row>
    <row r="2579" spans="1:16" ht="15">
      <c r="A2579" s="4" t="s">
        <v>3652</v>
      </c>
      <c r="B2579" s="30">
        <v>39983</v>
      </c>
      <c r="C2579" s="4"/>
      <c r="D2579" s="4" t="s">
        <v>196</v>
      </c>
      <c r="E2579" s="4" t="s">
        <v>170</v>
      </c>
      <c r="F2579" s="4" t="s">
        <v>155</v>
      </c>
      <c r="G2579" s="4"/>
      <c r="H2579" s="4"/>
      <c r="I2579" s="4" t="s">
        <v>139</v>
      </c>
      <c r="J2579" s="4" t="s">
        <v>447</v>
      </c>
      <c r="K2579" s="4" t="s">
        <v>149</v>
      </c>
      <c r="L2579" s="4" t="s">
        <v>4181</v>
      </c>
      <c r="M2579" s="4" t="s">
        <v>3653</v>
      </c>
      <c r="N2579" s="4" t="s">
        <v>788</v>
      </c>
      <c r="O2579" s="4" t="s">
        <v>2423</v>
      </c>
      <c r="P2579" s="4"/>
    </row>
    <row r="2580" spans="1:16" ht="15">
      <c r="A2580" s="4" t="s">
        <v>3654</v>
      </c>
      <c r="B2580" s="30">
        <v>39965</v>
      </c>
      <c r="C2580" s="4"/>
      <c r="D2580" s="4" t="s">
        <v>193</v>
      </c>
      <c r="E2580" s="4" t="s">
        <v>170</v>
      </c>
      <c r="F2580" s="4" t="s">
        <v>155</v>
      </c>
      <c r="G2580" s="4"/>
      <c r="H2580" s="4"/>
      <c r="I2580" s="4" t="s">
        <v>140</v>
      </c>
      <c r="J2580" s="4" t="s">
        <v>178</v>
      </c>
      <c r="K2580" s="4" t="s">
        <v>144</v>
      </c>
      <c r="L2580" s="4" t="s">
        <v>4181</v>
      </c>
      <c r="M2580" s="4" t="s">
        <v>3655</v>
      </c>
      <c r="N2580" s="4" t="s">
        <v>155</v>
      </c>
      <c r="O2580" s="4" t="s">
        <v>3656</v>
      </c>
      <c r="P2580" s="4"/>
    </row>
    <row r="2581" spans="1:16" ht="15">
      <c r="A2581" s="4" t="s">
        <v>3657</v>
      </c>
      <c r="B2581" s="30">
        <v>39974</v>
      </c>
      <c r="C2581" s="4" t="s">
        <v>9</v>
      </c>
      <c r="D2581" s="4" t="s">
        <v>195</v>
      </c>
      <c r="E2581" s="4" t="s">
        <v>170</v>
      </c>
      <c r="F2581" s="4" t="s">
        <v>155</v>
      </c>
      <c r="G2581" s="4"/>
      <c r="H2581" s="4"/>
      <c r="I2581" s="4" t="s">
        <v>139</v>
      </c>
      <c r="J2581" s="4" t="s">
        <v>179</v>
      </c>
      <c r="K2581" s="4" t="s">
        <v>142</v>
      </c>
      <c r="L2581" s="4" t="s">
        <v>4176</v>
      </c>
      <c r="M2581" s="4" t="s">
        <v>174</v>
      </c>
      <c r="N2581" s="4" t="s">
        <v>160</v>
      </c>
      <c r="O2581" s="4" t="s">
        <v>126</v>
      </c>
      <c r="P2581" s="4" t="s">
        <v>900</v>
      </c>
    </row>
    <row r="2582" spans="1:16" ht="15">
      <c r="A2582" s="4" t="s">
        <v>3658</v>
      </c>
      <c r="B2582" s="30">
        <v>39960</v>
      </c>
      <c r="C2582" s="4"/>
      <c r="D2582" s="4" t="s">
        <v>195</v>
      </c>
      <c r="E2582" s="4" t="s">
        <v>170</v>
      </c>
      <c r="F2582" s="4" t="s">
        <v>155</v>
      </c>
      <c r="G2582" s="4"/>
      <c r="H2582" s="4"/>
      <c r="I2582" s="4" t="s">
        <v>139</v>
      </c>
      <c r="J2582" s="4" t="s">
        <v>178</v>
      </c>
      <c r="K2582" s="4" t="s">
        <v>143</v>
      </c>
      <c r="L2582" s="4" t="s">
        <v>4181</v>
      </c>
      <c r="M2582" s="4" t="s">
        <v>173</v>
      </c>
      <c r="N2582" s="4" t="s">
        <v>155</v>
      </c>
      <c r="O2582" s="4" t="s">
        <v>125</v>
      </c>
      <c r="P2582" s="4"/>
    </row>
    <row r="2583" spans="1:16" ht="15">
      <c r="A2583" s="4" t="s">
        <v>3659</v>
      </c>
      <c r="B2583" s="30">
        <v>40005</v>
      </c>
      <c r="C2583" s="4"/>
      <c r="D2583" s="4" t="s">
        <v>193</v>
      </c>
      <c r="E2583" s="4" t="s">
        <v>170</v>
      </c>
      <c r="F2583" s="4" t="s">
        <v>155</v>
      </c>
      <c r="G2583" s="4">
        <v>3</v>
      </c>
      <c r="H2583" s="4">
        <v>3</v>
      </c>
      <c r="I2583" s="4" t="s">
        <v>140</v>
      </c>
      <c r="J2583" s="4" t="s">
        <v>182</v>
      </c>
      <c r="K2583" s="4" t="s">
        <v>142</v>
      </c>
      <c r="L2583" s="4" t="s">
        <v>162</v>
      </c>
      <c r="M2583" s="4" t="s">
        <v>176</v>
      </c>
      <c r="N2583" s="4" t="s">
        <v>155</v>
      </c>
      <c r="O2583" s="4" t="s">
        <v>130</v>
      </c>
      <c r="P2583" s="4"/>
    </row>
    <row r="2584" spans="1:16" ht="15">
      <c r="A2584" s="4" t="s">
        <v>3660</v>
      </c>
      <c r="B2584" s="30">
        <v>39922</v>
      </c>
      <c r="C2584" s="4"/>
      <c r="D2584" s="4" t="s">
        <v>4179</v>
      </c>
      <c r="E2584" s="4" t="s">
        <v>170</v>
      </c>
      <c r="F2584" s="4" t="s">
        <v>155</v>
      </c>
      <c r="G2584" s="4"/>
      <c r="H2584" s="4"/>
      <c r="I2584" s="4" t="s">
        <v>139</v>
      </c>
      <c r="J2584" s="4" t="s">
        <v>178</v>
      </c>
      <c r="K2584" s="4" t="s">
        <v>145</v>
      </c>
      <c r="L2584" s="4" t="s">
        <v>4181</v>
      </c>
      <c r="M2584" s="4" t="s">
        <v>173</v>
      </c>
      <c r="N2584" s="4" t="s">
        <v>155</v>
      </c>
      <c r="O2584" s="4" t="s">
        <v>484</v>
      </c>
      <c r="P2584" s="4"/>
    </row>
    <row r="2585" spans="1:16" ht="15">
      <c r="A2585" s="4" t="s">
        <v>3661</v>
      </c>
      <c r="B2585" s="30">
        <v>39927</v>
      </c>
      <c r="C2585" s="4"/>
      <c r="D2585" s="4" t="s">
        <v>4179</v>
      </c>
      <c r="E2585" s="4" t="s">
        <v>170</v>
      </c>
      <c r="F2585" s="4" t="s">
        <v>155</v>
      </c>
      <c r="G2585" s="4"/>
      <c r="H2585" s="4"/>
      <c r="I2585" s="4" t="s">
        <v>139</v>
      </c>
      <c r="J2585" s="4" t="s">
        <v>184</v>
      </c>
      <c r="K2585" s="4" t="s">
        <v>143</v>
      </c>
      <c r="L2585" s="4" t="s">
        <v>4176</v>
      </c>
      <c r="M2585" s="4" t="s">
        <v>174</v>
      </c>
      <c r="N2585" s="4" t="s">
        <v>157</v>
      </c>
      <c r="O2585" s="4" t="s">
        <v>130</v>
      </c>
      <c r="P2585" s="4" t="s">
        <v>437</v>
      </c>
    </row>
    <row r="2586" spans="1:16" ht="15">
      <c r="A2586" s="4" t="s">
        <v>3662</v>
      </c>
      <c r="B2586" s="30">
        <v>39956</v>
      </c>
      <c r="C2586" s="4"/>
      <c r="D2586" s="4" t="s">
        <v>194</v>
      </c>
      <c r="E2586" s="4" t="s">
        <v>170</v>
      </c>
      <c r="F2586" s="4" t="s">
        <v>155</v>
      </c>
      <c r="G2586" s="4"/>
      <c r="H2586" s="4"/>
      <c r="I2586" s="4" t="s">
        <v>139</v>
      </c>
      <c r="J2586" s="4" t="s">
        <v>509</v>
      </c>
      <c r="K2586" s="4" t="s">
        <v>148</v>
      </c>
      <c r="L2586" s="4" t="s">
        <v>162</v>
      </c>
      <c r="M2586" s="4" t="s">
        <v>459</v>
      </c>
      <c r="N2586" s="4" t="s">
        <v>155</v>
      </c>
      <c r="O2586" s="4" t="s">
        <v>130</v>
      </c>
      <c r="P2586" s="4"/>
    </row>
    <row r="2587" spans="1:16" ht="15">
      <c r="A2587" s="4" t="s">
        <v>3663</v>
      </c>
      <c r="B2587" s="30">
        <v>39924</v>
      </c>
      <c r="C2587" s="4"/>
      <c r="D2587" s="4" t="s">
        <v>4178</v>
      </c>
      <c r="E2587" s="4" t="s">
        <v>170</v>
      </c>
      <c r="F2587" s="4" t="s">
        <v>155</v>
      </c>
      <c r="G2587" s="4"/>
      <c r="H2587" s="4"/>
      <c r="I2587" s="4" t="s">
        <v>139</v>
      </c>
      <c r="J2587" s="4" t="s">
        <v>184</v>
      </c>
      <c r="K2587" s="4" t="s">
        <v>150</v>
      </c>
      <c r="L2587" s="4" t="s">
        <v>4176</v>
      </c>
      <c r="M2587" s="4" t="s">
        <v>174</v>
      </c>
      <c r="N2587" s="4" t="s">
        <v>156</v>
      </c>
      <c r="O2587" s="4" t="s">
        <v>120</v>
      </c>
      <c r="P2587" s="4" t="s">
        <v>1829</v>
      </c>
    </row>
    <row r="2588" spans="1:16" ht="15">
      <c r="A2588" s="4" t="s">
        <v>3664</v>
      </c>
      <c r="B2588" s="30">
        <v>40039</v>
      </c>
      <c r="C2588" s="4"/>
      <c r="D2588" s="4" t="s">
        <v>196</v>
      </c>
      <c r="E2588" s="4" t="s">
        <v>170</v>
      </c>
      <c r="F2588" s="4" t="s">
        <v>155</v>
      </c>
      <c r="G2588" s="4">
        <v>2</v>
      </c>
      <c r="H2588" s="4">
        <v>5</v>
      </c>
      <c r="I2588" s="4" t="s">
        <v>139</v>
      </c>
      <c r="J2588" s="4" t="s">
        <v>182</v>
      </c>
      <c r="K2588" s="4" t="s">
        <v>144</v>
      </c>
      <c r="L2588" s="4" t="s">
        <v>4176</v>
      </c>
      <c r="M2588" s="4" t="s">
        <v>498</v>
      </c>
      <c r="N2588" s="4" t="s">
        <v>157</v>
      </c>
      <c r="O2588" s="4" t="s">
        <v>127</v>
      </c>
      <c r="P2588" s="4" t="s">
        <v>153</v>
      </c>
    </row>
    <row r="2589" spans="1:16" ht="15">
      <c r="A2589" s="4" t="s">
        <v>3665</v>
      </c>
      <c r="B2589" s="30">
        <v>40021</v>
      </c>
      <c r="C2589" s="4"/>
      <c r="D2589" s="4" t="s">
        <v>193</v>
      </c>
      <c r="E2589" s="4" t="s">
        <v>170</v>
      </c>
      <c r="F2589" s="4" t="s">
        <v>155</v>
      </c>
      <c r="G2589" s="4">
        <v>5</v>
      </c>
      <c r="H2589" s="4">
        <v>4</v>
      </c>
      <c r="I2589" s="4" t="s">
        <v>140</v>
      </c>
      <c r="J2589" s="4" t="s">
        <v>182</v>
      </c>
      <c r="K2589" s="4" t="s">
        <v>151</v>
      </c>
      <c r="L2589" s="4" t="s">
        <v>162</v>
      </c>
      <c r="M2589" s="4" t="s">
        <v>175</v>
      </c>
      <c r="N2589" s="4" t="s">
        <v>155</v>
      </c>
      <c r="O2589" s="4" t="s">
        <v>130</v>
      </c>
      <c r="P2589" s="4"/>
    </row>
    <row r="2590" spans="1:16" ht="15">
      <c r="A2590" s="4" t="s">
        <v>3666</v>
      </c>
      <c r="B2590" s="30">
        <v>39964</v>
      </c>
      <c r="C2590" s="4" t="s">
        <v>496</v>
      </c>
      <c r="D2590" s="4" t="s">
        <v>194</v>
      </c>
      <c r="E2590" s="4" t="s">
        <v>170</v>
      </c>
      <c r="F2590" s="4" t="s">
        <v>155</v>
      </c>
      <c r="G2590" s="4"/>
      <c r="H2590" s="4"/>
      <c r="I2590" s="4" t="s">
        <v>139</v>
      </c>
      <c r="J2590" s="4" t="s">
        <v>178</v>
      </c>
      <c r="K2590" s="4" t="s">
        <v>148</v>
      </c>
      <c r="L2590" s="4" t="s">
        <v>4181</v>
      </c>
      <c r="M2590" s="4" t="s">
        <v>1574</v>
      </c>
      <c r="N2590" s="4" t="s">
        <v>155</v>
      </c>
      <c r="O2590" s="4" t="s">
        <v>125</v>
      </c>
      <c r="P2590" s="4"/>
    </row>
    <row r="2591" spans="1:16" ht="15">
      <c r="A2591" s="4" t="s">
        <v>3667</v>
      </c>
      <c r="B2591" s="30">
        <v>39909</v>
      </c>
      <c r="C2591" s="4"/>
      <c r="D2591" s="4" t="s">
        <v>4177</v>
      </c>
      <c r="E2591" s="4" t="s">
        <v>170</v>
      </c>
      <c r="F2591" s="4" t="s">
        <v>155</v>
      </c>
      <c r="G2591" s="4"/>
      <c r="H2591" s="4"/>
      <c r="I2591" s="4" t="s">
        <v>139</v>
      </c>
      <c r="J2591" s="4" t="s">
        <v>184</v>
      </c>
      <c r="K2591" s="4" t="s">
        <v>148</v>
      </c>
      <c r="L2591" s="4" t="s">
        <v>4176</v>
      </c>
      <c r="M2591" s="4" t="s">
        <v>933</v>
      </c>
      <c r="N2591" s="4" t="s">
        <v>159</v>
      </c>
      <c r="O2591" s="4" t="s">
        <v>126</v>
      </c>
      <c r="P2591" s="4" t="s">
        <v>601</v>
      </c>
    </row>
    <row r="2592" spans="1:16" ht="15">
      <c r="A2592" s="4" t="s">
        <v>3668</v>
      </c>
      <c r="B2592" s="30">
        <v>40017</v>
      </c>
      <c r="C2592" s="4"/>
      <c r="D2592" s="4" t="s">
        <v>193</v>
      </c>
      <c r="E2592" s="4" t="s">
        <v>170</v>
      </c>
      <c r="F2592" s="4" t="s">
        <v>155</v>
      </c>
      <c r="G2592" s="4">
        <v>5</v>
      </c>
      <c r="H2592" s="4">
        <v>2</v>
      </c>
      <c r="I2592" s="4" t="s">
        <v>140</v>
      </c>
      <c r="J2592" s="4" t="s">
        <v>184</v>
      </c>
      <c r="K2592" s="4" t="s">
        <v>151</v>
      </c>
      <c r="L2592" s="4" t="s">
        <v>162</v>
      </c>
      <c r="M2592" s="4" t="s">
        <v>622</v>
      </c>
      <c r="N2592" s="4" t="s">
        <v>155</v>
      </c>
      <c r="O2592" s="4" t="s">
        <v>130</v>
      </c>
      <c r="P2592" s="4"/>
    </row>
    <row r="2593" spans="1:16" ht="15">
      <c r="A2593" s="4" t="s">
        <v>3669</v>
      </c>
      <c r="B2593" s="30">
        <v>39973</v>
      </c>
      <c r="C2593" s="4"/>
      <c r="D2593" s="4" t="s">
        <v>194</v>
      </c>
      <c r="E2593" s="4" t="s">
        <v>170</v>
      </c>
      <c r="F2593" s="4" t="s">
        <v>155</v>
      </c>
      <c r="G2593" s="4"/>
      <c r="H2593" s="4"/>
      <c r="I2593" s="4" t="s">
        <v>139</v>
      </c>
      <c r="J2593" s="4" t="s">
        <v>178</v>
      </c>
      <c r="K2593" s="4" t="s">
        <v>148</v>
      </c>
      <c r="L2593" s="4" t="s">
        <v>162</v>
      </c>
      <c r="M2593" s="4" t="s">
        <v>175</v>
      </c>
      <c r="N2593" s="4" t="s">
        <v>155</v>
      </c>
      <c r="O2593" s="4" t="s">
        <v>130</v>
      </c>
      <c r="P2593" s="4"/>
    </row>
    <row r="2594" spans="1:16" ht="15">
      <c r="A2594" s="4" t="s">
        <v>3670</v>
      </c>
      <c r="B2594" s="30">
        <v>39991</v>
      </c>
      <c r="C2594" s="4"/>
      <c r="D2594" s="4" t="s">
        <v>193</v>
      </c>
      <c r="E2594" s="4" t="s">
        <v>170</v>
      </c>
      <c r="F2594" s="4" t="s">
        <v>155</v>
      </c>
      <c r="G2594" s="4"/>
      <c r="H2594" s="4">
        <v>5</v>
      </c>
      <c r="I2594" s="4" t="s">
        <v>140</v>
      </c>
      <c r="J2594" s="4" t="s">
        <v>179</v>
      </c>
      <c r="K2594" s="4" t="s">
        <v>151</v>
      </c>
      <c r="L2594" s="4" t="s">
        <v>4176</v>
      </c>
      <c r="M2594" s="4" t="s">
        <v>174</v>
      </c>
      <c r="N2594" s="4" t="s">
        <v>157</v>
      </c>
      <c r="O2594" s="4" t="s">
        <v>124</v>
      </c>
      <c r="P2594" s="4" t="s">
        <v>3671</v>
      </c>
    </row>
    <row r="2595" spans="1:16" ht="15">
      <c r="A2595" s="4" t="s">
        <v>3672</v>
      </c>
      <c r="B2595" s="30">
        <v>39922</v>
      </c>
      <c r="C2595" s="4" t="s">
        <v>9</v>
      </c>
      <c r="D2595" s="4" t="s">
        <v>4179</v>
      </c>
      <c r="E2595" s="4" t="s">
        <v>170</v>
      </c>
      <c r="F2595" s="4" t="s">
        <v>155</v>
      </c>
      <c r="G2595" s="4"/>
      <c r="H2595" s="4"/>
      <c r="I2595" s="4" t="s">
        <v>139</v>
      </c>
      <c r="J2595" s="4" t="s">
        <v>178</v>
      </c>
      <c r="K2595" s="4" t="s">
        <v>143</v>
      </c>
      <c r="L2595" s="4" t="s">
        <v>4181</v>
      </c>
      <c r="M2595" s="4" t="s">
        <v>173</v>
      </c>
      <c r="N2595" s="4" t="s">
        <v>155</v>
      </c>
      <c r="O2595" s="4" t="s">
        <v>454</v>
      </c>
      <c r="P2595" s="4"/>
    </row>
    <row r="2596" spans="1:16" ht="15">
      <c r="A2596" s="4" t="s">
        <v>3673</v>
      </c>
      <c r="B2596" s="30">
        <v>39962</v>
      </c>
      <c r="C2596" s="4" t="s">
        <v>496</v>
      </c>
      <c r="D2596" s="4" t="s">
        <v>194</v>
      </c>
      <c r="E2596" s="4" t="s">
        <v>170</v>
      </c>
      <c r="F2596" s="4" t="s">
        <v>155</v>
      </c>
      <c r="G2596" s="4"/>
      <c r="H2596" s="4"/>
      <c r="I2596" s="4" t="s">
        <v>139</v>
      </c>
      <c r="J2596" s="4" t="s">
        <v>576</v>
      </c>
      <c r="K2596" s="4" t="s">
        <v>143</v>
      </c>
      <c r="L2596" s="4" t="s">
        <v>165</v>
      </c>
      <c r="M2596" s="4" t="s">
        <v>3674</v>
      </c>
      <c r="N2596" s="4" t="s">
        <v>158</v>
      </c>
      <c r="O2596" s="4" t="s">
        <v>122</v>
      </c>
      <c r="P2596" s="4"/>
    </row>
    <row r="2597" spans="1:16" ht="15">
      <c r="A2597" s="4" t="s">
        <v>3675</v>
      </c>
      <c r="B2597" s="30">
        <v>39984</v>
      </c>
      <c r="C2597" s="4"/>
      <c r="D2597" s="4" t="s">
        <v>196</v>
      </c>
      <c r="E2597" s="4" t="s">
        <v>170</v>
      </c>
      <c r="F2597" s="4" t="s">
        <v>155</v>
      </c>
      <c r="G2597" s="4"/>
      <c r="H2597" s="4"/>
      <c r="I2597" s="4" t="s">
        <v>139</v>
      </c>
      <c r="J2597" s="4" t="s">
        <v>178</v>
      </c>
      <c r="K2597" s="4" t="s">
        <v>148</v>
      </c>
      <c r="L2597" s="4" t="s">
        <v>4181</v>
      </c>
      <c r="M2597" s="4" t="s">
        <v>173</v>
      </c>
      <c r="N2597" s="4" t="s">
        <v>1590</v>
      </c>
      <c r="O2597" s="4" t="s">
        <v>3676</v>
      </c>
      <c r="P2597" s="4"/>
    </row>
    <row r="2598" spans="1:16" ht="15">
      <c r="A2598" s="4" t="s">
        <v>3677</v>
      </c>
      <c r="B2598" s="30">
        <v>40043</v>
      </c>
      <c r="C2598" s="4" t="s">
        <v>496</v>
      </c>
      <c r="D2598" s="4" t="s">
        <v>196</v>
      </c>
      <c r="E2598" s="4" t="s">
        <v>170</v>
      </c>
      <c r="F2598" s="4" t="s">
        <v>155</v>
      </c>
      <c r="G2598" s="4">
        <v>5</v>
      </c>
      <c r="H2598" s="4">
        <v>5</v>
      </c>
      <c r="I2598" s="4" t="s">
        <v>139</v>
      </c>
      <c r="J2598" s="4" t="s">
        <v>178</v>
      </c>
      <c r="K2598" s="4" t="s">
        <v>143</v>
      </c>
      <c r="L2598" s="4" t="s">
        <v>4181</v>
      </c>
      <c r="M2598" s="4" t="s">
        <v>173</v>
      </c>
      <c r="N2598" s="4" t="s">
        <v>155</v>
      </c>
      <c r="O2598" s="4" t="s">
        <v>125</v>
      </c>
      <c r="P2598" s="4"/>
    </row>
    <row r="2599" spans="1:16" ht="15">
      <c r="A2599" s="4" t="s">
        <v>3678</v>
      </c>
      <c r="B2599" s="30">
        <v>40018</v>
      </c>
      <c r="C2599" s="4"/>
      <c r="D2599" s="4" t="s">
        <v>193</v>
      </c>
      <c r="E2599" s="4" t="s">
        <v>170</v>
      </c>
      <c r="F2599" s="4" t="s">
        <v>155</v>
      </c>
      <c r="G2599" s="4">
        <v>5</v>
      </c>
      <c r="H2599" s="4">
        <v>5</v>
      </c>
      <c r="I2599" s="4" t="s">
        <v>140</v>
      </c>
      <c r="J2599" s="4" t="s">
        <v>179</v>
      </c>
      <c r="K2599" s="4" t="s">
        <v>144</v>
      </c>
      <c r="L2599" s="4" t="s">
        <v>162</v>
      </c>
      <c r="M2599" s="4" t="s">
        <v>175</v>
      </c>
      <c r="N2599" s="4" t="s">
        <v>155</v>
      </c>
      <c r="O2599" s="4" t="s">
        <v>127</v>
      </c>
      <c r="P2599" s="4"/>
    </row>
    <row r="2600" spans="1:16" ht="15">
      <c r="A2600" s="4" t="s">
        <v>3679</v>
      </c>
      <c r="B2600" s="30">
        <v>40011</v>
      </c>
      <c r="C2600" s="4"/>
      <c r="D2600" s="4" t="s">
        <v>195</v>
      </c>
      <c r="E2600" s="4" t="s">
        <v>170</v>
      </c>
      <c r="F2600" s="4" t="s">
        <v>155</v>
      </c>
      <c r="G2600" s="4">
        <v>5</v>
      </c>
      <c r="H2600" s="4">
        <v>5</v>
      </c>
      <c r="I2600" s="4" t="s">
        <v>139</v>
      </c>
      <c r="J2600" s="4" t="s">
        <v>179</v>
      </c>
      <c r="K2600" s="4" t="s">
        <v>148</v>
      </c>
      <c r="L2600" s="4" t="s">
        <v>162</v>
      </c>
      <c r="M2600" s="4" t="s">
        <v>597</v>
      </c>
      <c r="N2600" s="4" t="s">
        <v>155</v>
      </c>
      <c r="O2600" s="4" t="s">
        <v>130</v>
      </c>
      <c r="P2600" s="4"/>
    </row>
    <row r="2601" spans="1:16" ht="15">
      <c r="A2601" s="4" t="s">
        <v>3680</v>
      </c>
      <c r="B2601" s="30">
        <v>39920</v>
      </c>
      <c r="C2601" s="4"/>
      <c r="D2601" s="4" t="s">
        <v>4184</v>
      </c>
      <c r="E2601" s="4" t="s">
        <v>170</v>
      </c>
      <c r="F2601" s="4" t="s">
        <v>155</v>
      </c>
      <c r="G2601" s="4"/>
      <c r="H2601" s="4"/>
      <c r="I2601" s="4" t="s">
        <v>140</v>
      </c>
      <c r="J2601" s="4" t="s">
        <v>179</v>
      </c>
      <c r="K2601" s="4" t="s">
        <v>143</v>
      </c>
      <c r="L2601" s="4" t="s">
        <v>165</v>
      </c>
      <c r="M2601" s="4" t="s">
        <v>3681</v>
      </c>
      <c r="N2601" s="4" t="s">
        <v>158</v>
      </c>
      <c r="O2601" s="4" t="s">
        <v>122</v>
      </c>
      <c r="P2601" s="4"/>
    </row>
    <row r="2602" spans="1:16" ht="15">
      <c r="A2602" s="4" t="s">
        <v>3682</v>
      </c>
      <c r="B2602" s="30">
        <v>39945</v>
      </c>
      <c r="C2602" s="4"/>
      <c r="D2602" s="4" t="s">
        <v>195</v>
      </c>
      <c r="E2602" s="4" t="s">
        <v>170</v>
      </c>
      <c r="F2602" s="4" t="s">
        <v>155</v>
      </c>
      <c r="G2602" s="4"/>
      <c r="H2602" s="4"/>
      <c r="I2602" s="4" t="s">
        <v>139</v>
      </c>
      <c r="J2602" s="4" t="s">
        <v>184</v>
      </c>
      <c r="K2602" s="4" t="s">
        <v>143</v>
      </c>
      <c r="L2602" s="4" t="s">
        <v>4181</v>
      </c>
      <c r="M2602" s="4" t="s">
        <v>415</v>
      </c>
      <c r="N2602" s="4" t="s">
        <v>155</v>
      </c>
      <c r="O2602" s="4" t="s">
        <v>125</v>
      </c>
      <c r="P2602" s="4"/>
    </row>
    <row r="2603" spans="1:16" ht="15">
      <c r="A2603" s="4" t="s">
        <v>3683</v>
      </c>
      <c r="B2603" s="30">
        <v>39964</v>
      </c>
      <c r="C2603" s="4"/>
      <c r="D2603" s="4" t="s">
        <v>194</v>
      </c>
      <c r="E2603" s="4" t="s">
        <v>170</v>
      </c>
      <c r="F2603" s="4" t="s">
        <v>155</v>
      </c>
      <c r="G2603" s="4"/>
      <c r="H2603" s="4"/>
      <c r="I2603" s="4" t="s">
        <v>139</v>
      </c>
      <c r="J2603" s="4" t="s">
        <v>184</v>
      </c>
      <c r="K2603" s="4" t="s">
        <v>151</v>
      </c>
      <c r="L2603" s="4" t="s">
        <v>162</v>
      </c>
      <c r="M2603" s="4" t="s">
        <v>175</v>
      </c>
      <c r="N2603" s="4" t="s">
        <v>155</v>
      </c>
      <c r="O2603" s="4" t="s">
        <v>454</v>
      </c>
      <c r="P2603" s="4"/>
    </row>
    <row r="2604" spans="1:16" ht="15">
      <c r="A2604" s="4" t="s">
        <v>3684</v>
      </c>
      <c r="B2604" s="30">
        <v>39923</v>
      </c>
      <c r="C2604" s="4"/>
      <c r="D2604" s="4" t="s">
        <v>4177</v>
      </c>
      <c r="E2604" s="4" t="s">
        <v>170</v>
      </c>
      <c r="F2604" s="4" t="s">
        <v>155</v>
      </c>
      <c r="G2604" s="4"/>
      <c r="H2604" s="4"/>
      <c r="I2604" s="4" t="s">
        <v>139</v>
      </c>
      <c r="J2604" s="4" t="s">
        <v>184</v>
      </c>
      <c r="K2604" s="4" t="s">
        <v>142</v>
      </c>
      <c r="L2604" s="4" t="s">
        <v>162</v>
      </c>
      <c r="M2604" s="4" t="s">
        <v>459</v>
      </c>
      <c r="N2604" s="4" t="s">
        <v>155</v>
      </c>
      <c r="O2604" s="4" t="s">
        <v>129</v>
      </c>
      <c r="P2604" s="4"/>
    </row>
    <row r="2605" spans="1:16" ht="15">
      <c r="A2605" s="4" t="s">
        <v>3685</v>
      </c>
      <c r="B2605" s="30">
        <v>40003</v>
      </c>
      <c r="C2605" s="4"/>
      <c r="D2605" s="4" t="s">
        <v>195</v>
      </c>
      <c r="E2605" s="4" t="s">
        <v>170</v>
      </c>
      <c r="F2605" s="4" t="s">
        <v>155</v>
      </c>
      <c r="G2605" s="4"/>
      <c r="H2605" s="4">
        <v>5</v>
      </c>
      <c r="I2605" s="4" t="s">
        <v>139</v>
      </c>
      <c r="J2605" s="4" t="s">
        <v>182</v>
      </c>
      <c r="K2605" s="4" t="s">
        <v>145</v>
      </c>
      <c r="L2605" s="4" t="s">
        <v>4176</v>
      </c>
      <c r="M2605" s="4" t="s">
        <v>1241</v>
      </c>
      <c r="N2605" s="4" t="s">
        <v>157</v>
      </c>
      <c r="O2605" s="4" t="s">
        <v>127</v>
      </c>
      <c r="P2605" s="4" t="s">
        <v>1005</v>
      </c>
    </row>
    <row r="2606" spans="1:16" ht="15">
      <c r="A2606" s="4" t="s">
        <v>3686</v>
      </c>
      <c r="B2606" s="30">
        <v>39926</v>
      </c>
      <c r="C2606" s="4"/>
      <c r="D2606" s="4" t="s">
        <v>4180</v>
      </c>
      <c r="E2606" s="4" t="s">
        <v>170</v>
      </c>
      <c r="F2606" s="4" t="s">
        <v>155</v>
      </c>
      <c r="G2606" s="4"/>
      <c r="H2606" s="4"/>
      <c r="I2606" s="4" t="s">
        <v>139</v>
      </c>
      <c r="J2606" s="4" t="s">
        <v>189</v>
      </c>
      <c r="K2606" s="4" t="s">
        <v>145</v>
      </c>
      <c r="L2606" s="4" t="s">
        <v>4181</v>
      </c>
      <c r="M2606" s="4" t="s">
        <v>173</v>
      </c>
      <c r="N2606" s="4" t="s">
        <v>155</v>
      </c>
      <c r="O2606" s="4" t="s">
        <v>771</v>
      </c>
      <c r="P2606" s="4"/>
    </row>
    <row r="2607" spans="1:16" ht="15">
      <c r="A2607" s="4" t="s">
        <v>3687</v>
      </c>
      <c r="B2607" s="30">
        <v>39932</v>
      </c>
      <c r="C2607" s="4"/>
      <c r="D2607" s="4" t="s">
        <v>4180</v>
      </c>
      <c r="E2607" s="4" t="s">
        <v>170</v>
      </c>
      <c r="F2607" s="4" t="s">
        <v>155</v>
      </c>
      <c r="G2607" s="4"/>
      <c r="H2607" s="4"/>
      <c r="I2607" s="4" t="s">
        <v>139</v>
      </c>
      <c r="J2607" s="4" t="s">
        <v>184</v>
      </c>
      <c r="K2607" s="4" t="s">
        <v>145</v>
      </c>
      <c r="L2607" s="4" t="s">
        <v>4181</v>
      </c>
      <c r="M2607" s="4" t="s">
        <v>173</v>
      </c>
      <c r="N2607" s="4" t="s">
        <v>155</v>
      </c>
      <c r="O2607" s="4" t="s">
        <v>704</v>
      </c>
      <c r="P2607" s="4"/>
    </row>
    <row r="2608" spans="1:16" ht="15">
      <c r="A2608" s="4" t="s">
        <v>3688</v>
      </c>
      <c r="B2608" s="30">
        <v>39962</v>
      </c>
      <c r="C2608" s="4"/>
      <c r="D2608" s="4" t="s">
        <v>193</v>
      </c>
      <c r="E2608" s="4" t="s">
        <v>170</v>
      </c>
      <c r="F2608" s="4" t="s">
        <v>155</v>
      </c>
      <c r="G2608" s="4"/>
      <c r="H2608" s="4"/>
      <c r="I2608" s="4" t="s">
        <v>140</v>
      </c>
      <c r="J2608" s="4" t="s">
        <v>178</v>
      </c>
      <c r="K2608" s="4" t="s">
        <v>145</v>
      </c>
      <c r="L2608" s="4" t="s">
        <v>4181</v>
      </c>
      <c r="M2608" s="4" t="s">
        <v>585</v>
      </c>
      <c r="N2608" s="4" t="s">
        <v>155</v>
      </c>
      <c r="O2608" s="4" t="s">
        <v>704</v>
      </c>
      <c r="P2608" s="4"/>
    </row>
    <row r="2609" spans="1:16" ht="15">
      <c r="A2609" s="4" t="s">
        <v>3689</v>
      </c>
      <c r="B2609" s="30">
        <v>39961</v>
      </c>
      <c r="C2609" s="4"/>
      <c r="D2609" s="4" t="s">
        <v>193</v>
      </c>
      <c r="E2609" s="4" t="s">
        <v>170</v>
      </c>
      <c r="F2609" s="4" t="s">
        <v>155</v>
      </c>
      <c r="G2609" s="4"/>
      <c r="H2609" s="4"/>
      <c r="I2609" s="4" t="s">
        <v>140</v>
      </c>
      <c r="J2609" s="4" t="s">
        <v>433</v>
      </c>
      <c r="K2609" s="4" t="s">
        <v>148</v>
      </c>
      <c r="L2609" s="4" t="s">
        <v>162</v>
      </c>
      <c r="M2609" s="4" t="s">
        <v>175</v>
      </c>
      <c r="N2609" s="4" t="s">
        <v>155</v>
      </c>
      <c r="O2609" s="4" t="s">
        <v>129</v>
      </c>
      <c r="P2609" s="4"/>
    </row>
    <row r="2610" spans="1:16" ht="15">
      <c r="A2610" s="4" t="s">
        <v>3690</v>
      </c>
      <c r="B2610" s="30">
        <v>39936</v>
      </c>
      <c r="C2610" s="4"/>
      <c r="D2610" s="4" t="s">
        <v>4180</v>
      </c>
      <c r="E2610" s="4" t="s">
        <v>170</v>
      </c>
      <c r="F2610" s="4" t="s">
        <v>155</v>
      </c>
      <c r="G2610" s="4"/>
      <c r="H2610" s="4"/>
      <c r="I2610" s="4" t="s">
        <v>139</v>
      </c>
      <c r="J2610" s="4" t="s">
        <v>433</v>
      </c>
      <c r="K2610" s="4" t="s">
        <v>151</v>
      </c>
      <c r="L2610" s="4" t="s">
        <v>4176</v>
      </c>
      <c r="M2610" s="4" t="s">
        <v>174</v>
      </c>
      <c r="N2610" s="4" t="s">
        <v>156</v>
      </c>
      <c r="O2610" s="4" t="s">
        <v>120</v>
      </c>
      <c r="P2610" s="4" t="s">
        <v>3574</v>
      </c>
    </row>
    <row r="2611" spans="1:16" ht="15">
      <c r="A2611" s="4" t="s">
        <v>3691</v>
      </c>
      <c r="B2611" s="30">
        <v>40042</v>
      </c>
      <c r="C2611" s="4" t="s">
        <v>383</v>
      </c>
      <c r="D2611" s="4" t="s">
        <v>193</v>
      </c>
      <c r="E2611" s="4" t="s">
        <v>170</v>
      </c>
      <c r="F2611" s="4" t="s">
        <v>155</v>
      </c>
      <c r="G2611" s="4">
        <v>5</v>
      </c>
      <c r="H2611" s="4">
        <v>3</v>
      </c>
      <c r="I2611" s="4" t="s">
        <v>140</v>
      </c>
      <c r="J2611" s="4" t="s">
        <v>178</v>
      </c>
      <c r="K2611" s="4" t="s">
        <v>144</v>
      </c>
      <c r="L2611" s="4" t="s">
        <v>4176</v>
      </c>
      <c r="M2611" s="4" t="s">
        <v>176</v>
      </c>
      <c r="N2611" s="4" t="s">
        <v>540</v>
      </c>
      <c r="O2611" s="4" t="s">
        <v>399</v>
      </c>
      <c r="P2611" s="4" t="s">
        <v>400</v>
      </c>
    </row>
    <row r="2612" spans="1:16" ht="15">
      <c r="A2612" s="4" t="s">
        <v>3692</v>
      </c>
      <c r="B2612" s="30">
        <v>40042</v>
      </c>
      <c r="C2612" s="4" t="s">
        <v>570</v>
      </c>
      <c r="D2612" s="4" t="s">
        <v>197</v>
      </c>
      <c r="E2612" s="4" t="s">
        <v>170</v>
      </c>
      <c r="F2612" s="4" t="s">
        <v>155</v>
      </c>
      <c r="G2612" s="4">
        <v>5</v>
      </c>
      <c r="H2612" s="4">
        <v>5</v>
      </c>
      <c r="I2612" s="4" t="s">
        <v>139</v>
      </c>
      <c r="J2612" s="4" t="s">
        <v>184</v>
      </c>
      <c r="K2612" s="4" t="s">
        <v>145</v>
      </c>
      <c r="L2612" s="4" t="s">
        <v>162</v>
      </c>
      <c r="M2612" s="4" t="s">
        <v>1624</v>
      </c>
      <c r="N2612" s="4" t="s">
        <v>155</v>
      </c>
      <c r="O2612" s="4" t="s">
        <v>129</v>
      </c>
      <c r="P2612" s="4"/>
    </row>
    <row r="2613" spans="1:16" ht="15">
      <c r="A2613" s="4" t="s">
        <v>3693</v>
      </c>
      <c r="B2613" s="30">
        <v>40038</v>
      </c>
      <c r="C2613" s="4" t="s">
        <v>9</v>
      </c>
      <c r="D2613" s="4" t="s">
        <v>197</v>
      </c>
      <c r="E2613" s="4" t="s">
        <v>170</v>
      </c>
      <c r="F2613" s="4" t="s">
        <v>155</v>
      </c>
      <c r="G2613" s="4">
        <v>5</v>
      </c>
      <c r="H2613" s="4">
        <v>5</v>
      </c>
      <c r="I2613" s="4" t="s">
        <v>139</v>
      </c>
      <c r="J2613" s="4" t="s">
        <v>179</v>
      </c>
      <c r="K2613" s="4" t="s">
        <v>143</v>
      </c>
      <c r="L2613" s="4" t="s">
        <v>4176</v>
      </c>
      <c r="M2613" s="4" t="s">
        <v>174</v>
      </c>
      <c r="N2613" s="4" t="s">
        <v>156</v>
      </c>
      <c r="O2613" s="4" t="s">
        <v>120</v>
      </c>
      <c r="P2613" s="4" t="s">
        <v>715</v>
      </c>
    </row>
    <row r="2614" spans="1:16" ht="15">
      <c r="A2614" s="4" t="s">
        <v>3694</v>
      </c>
      <c r="B2614" s="30">
        <v>40014</v>
      </c>
      <c r="C2614" s="4" t="s">
        <v>570</v>
      </c>
      <c r="D2614" s="4" t="s">
        <v>193</v>
      </c>
      <c r="E2614" s="4" t="s">
        <v>170</v>
      </c>
      <c r="F2614" s="4" t="s">
        <v>155</v>
      </c>
      <c r="G2614" s="4">
        <v>5</v>
      </c>
      <c r="H2614" s="4">
        <v>3</v>
      </c>
      <c r="I2614" s="4" t="s">
        <v>140</v>
      </c>
      <c r="J2614" s="4" t="s">
        <v>185</v>
      </c>
      <c r="K2614" s="4" t="s">
        <v>142</v>
      </c>
      <c r="L2614" s="4" t="s">
        <v>4181</v>
      </c>
      <c r="M2614" s="4" t="s">
        <v>173</v>
      </c>
      <c r="N2614" s="4" t="s">
        <v>155</v>
      </c>
      <c r="O2614" s="4" t="s">
        <v>125</v>
      </c>
      <c r="P2614" s="4"/>
    </row>
    <row r="2615" spans="1:16" ht="15">
      <c r="A2615" s="4" t="s">
        <v>3695</v>
      </c>
      <c r="B2615" s="30">
        <v>39927</v>
      </c>
      <c r="C2615" s="4" t="s">
        <v>380</v>
      </c>
      <c r="D2615" s="4" t="s">
        <v>4182</v>
      </c>
      <c r="E2615" s="4" t="s">
        <v>170</v>
      </c>
      <c r="F2615" s="4" t="s">
        <v>155</v>
      </c>
      <c r="G2615" s="4"/>
      <c r="H2615" s="4"/>
      <c r="I2615" s="4" t="s">
        <v>139</v>
      </c>
      <c r="J2615" s="4" t="s">
        <v>185</v>
      </c>
      <c r="K2615" s="4" t="s">
        <v>147</v>
      </c>
      <c r="L2615" s="4" t="s">
        <v>4176</v>
      </c>
      <c r="M2615" s="4" t="s">
        <v>498</v>
      </c>
      <c r="N2615" s="4" t="s">
        <v>157</v>
      </c>
      <c r="O2615" s="4" t="s">
        <v>130</v>
      </c>
      <c r="P2615" s="4" t="s">
        <v>437</v>
      </c>
    </row>
    <row r="2616" spans="1:16" ht="15">
      <c r="A2616" s="4" t="s">
        <v>3696</v>
      </c>
      <c r="B2616" s="30">
        <v>39914</v>
      </c>
      <c r="C2616" s="4" t="s">
        <v>9</v>
      </c>
      <c r="D2616" s="4" t="s">
        <v>4182</v>
      </c>
      <c r="E2616" s="4" t="s">
        <v>170</v>
      </c>
      <c r="F2616" s="4" t="s">
        <v>155</v>
      </c>
      <c r="G2616" s="4"/>
      <c r="H2616" s="4"/>
      <c r="I2616" s="4" t="s">
        <v>139</v>
      </c>
      <c r="J2616" s="4" t="s">
        <v>178</v>
      </c>
      <c r="K2616" s="4" t="s">
        <v>148</v>
      </c>
      <c r="L2616" s="4" t="s">
        <v>4176</v>
      </c>
      <c r="M2616" s="4" t="s">
        <v>174</v>
      </c>
      <c r="N2616" s="4" t="s">
        <v>156</v>
      </c>
      <c r="O2616" s="4" t="s">
        <v>120</v>
      </c>
      <c r="P2616" s="4" t="s">
        <v>715</v>
      </c>
    </row>
    <row r="2617" spans="1:16" ht="15">
      <c r="A2617" s="4" t="s">
        <v>3697</v>
      </c>
      <c r="B2617" s="30">
        <v>39947</v>
      </c>
      <c r="C2617" s="4"/>
      <c r="D2617" s="4" t="s">
        <v>194</v>
      </c>
      <c r="E2617" s="4" t="s">
        <v>170</v>
      </c>
      <c r="F2617" s="4" t="s">
        <v>155</v>
      </c>
      <c r="G2617" s="4"/>
      <c r="H2617" s="4"/>
      <c r="I2617" s="4" t="s">
        <v>139</v>
      </c>
      <c r="J2617" s="4" t="s">
        <v>179</v>
      </c>
      <c r="K2617" s="4" t="s">
        <v>142</v>
      </c>
      <c r="L2617" s="4" t="s">
        <v>162</v>
      </c>
      <c r="M2617" s="4" t="s">
        <v>1624</v>
      </c>
      <c r="N2617" s="4" t="s">
        <v>155</v>
      </c>
      <c r="O2617" s="4" t="s">
        <v>130</v>
      </c>
      <c r="P2617" s="4"/>
    </row>
    <row r="2618" spans="1:16" ht="15">
      <c r="A2618" s="4" t="s">
        <v>3698</v>
      </c>
      <c r="B2618" s="30">
        <v>39951</v>
      </c>
      <c r="C2618" s="4"/>
      <c r="D2618" s="4" t="s">
        <v>193</v>
      </c>
      <c r="E2618" s="4" t="s">
        <v>170</v>
      </c>
      <c r="F2618" s="4" t="s">
        <v>155</v>
      </c>
      <c r="G2618" s="4"/>
      <c r="H2618" s="4"/>
      <c r="I2618" s="4" t="s">
        <v>140</v>
      </c>
      <c r="J2618" s="4" t="s">
        <v>187</v>
      </c>
      <c r="K2618" s="4" t="s">
        <v>147</v>
      </c>
      <c r="L2618" s="4" t="s">
        <v>162</v>
      </c>
      <c r="M2618" s="4" t="s">
        <v>3699</v>
      </c>
      <c r="N2618" s="4" t="s">
        <v>155</v>
      </c>
      <c r="O2618" s="4" t="s">
        <v>130</v>
      </c>
      <c r="P2618" s="4"/>
    </row>
    <row r="2619" spans="1:16" ht="15">
      <c r="A2619" s="4" t="s">
        <v>3700</v>
      </c>
      <c r="B2619" s="30">
        <v>40024</v>
      </c>
      <c r="C2619" s="4"/>
      <c r="D2619" s="4" t="s">
        <v>195</v>
      </c>
      <c r="E2619" s="4" t="s">
        <v>170</v>
      </c>
      <c r="F2619" s="4" t="s">
        <v>155</v>
      </c>
      <c r="G2619" s="4">
        <v>1</v>
      </c>
      <c r="H2619" s="4">
        <v>5</v>
      </c>
      <c r="I2619" s="4" t="s">
        <v>139</v>
      </c>
      <c r="J2619" s="4" t="s">
        <v>384</v>
      </c>
      <c r="K2619" s="4" t="s">
        <v>145</v>
      </c>
      <c r="L2619" s="4" t="s">
        <v>4176</v>
      </c>
      <c r="M2619" s="4" t="s">
        <v>174</v>
      </c>
      <c r="N2619" s="4" t="s">
        <v>156</v>
      </c>
      <c r="O2619" s="4" t="s">
        <v>120</v>
      </c>
      <c r="P2619" s="4" t="s">
        <v>3701</v>
      </c>
    </row>
    <row r="2620" spans="1:16" ht="15">
      <c r="A2620" s="4" t="s">
        <v>3702</v>
      </c>
      <c r="B2620" s="30">
        <v>40003</v>
      </c>
      <c r="C2620" s="4"/>
      <c r="D2620" s="4" t="s">
        <v>194</v>
      </c>
      <c r="E2620" s="4" t="s">
        <v>170</v>
      </c>
      <c r="F2620" s="4" t="s">
        <v>155</v>
      </c>
      <c r="G2620" s="4"/>
      <c r="H2620" s="4">
        <v>2</v>
      </c>
      <c r="I2620" s="4" t="s">
        <v>139</v>
      </c>
      <c r="J2620" s="4" t="s">
        <v>187</v>
      </c>
      <c r="K2620" s="4" t="s">
        <v>148</v>
      </c>
      <c r="L2620" s="4" t="s">
        <v>162</v>
      </c>
      <c r="M2620" s="4" t="s">
        <v>176</v>
      </c>
      <c r="N2620" s="4" t="s">
        <v>155</v>
      </c>
      <c r="O2620" s="4" t="s">
        <v>129</v>
      </c>
      <c r="P2620" s="4"/>
    </row>
    <row r="2621" spans="1:16" ht="15">
      <c r="A2621" s="4" t="s">
        <v>3703</v>
      </c>
      <c r="B2621" s="30">
        <v>39994</v>
      </c>
      <c r="C2621" s="4"/>
      <c r="D2621" s="4" t="s">
        <v>196</v>
      </c>
      <c r="E2621" s="4" t="s">
        <v>170</v>
      </c>
      <c r="F2621" s="4" t="s">
        <v>155</v>
      </c>
      <c r="G2621" s="4"/>
      <c r="H2621" s="4">
        <v>5</v>
      </c>
      <c r="I2621" s="4" t="s">
        <v>139</v>
      </c>
      <c r="J2621" s="4" t="s">
        <v>179</v>
      </c>
      <c r="K2621" s="4" t="s">
        <v>144</v>
      </c>
      <c r="L2621" s="4" t="s">
        <v>165</v>
      </c>
      <c r="M2621" s="4" t="s">
        <v>3704</v>
      </c>
      <c r="N2621" s="4" t="s">
        <v>158</v>
      </c>
      <c r="O2621" s="4" t="s">
        <v>122</v>
      </c>
      <c r="P2621" s="4"/>
    </row>
    <row r="2622" spans="1:16" ht="15">
      <c r="A2622" s="4" t="s">
        <v>3705</v>
      </c>
      <c r="B2622" s="30">
        <v>40021</v>
      </c>
      <c r="C2622" s="4"/>
      <c r="D2622" s="4" t="s">
        <v>197</v>
      </c>
      <c r="E2622" s="4" t="s">
        <v>170</v>
      </c>
      <c r="F2622" s="4" t="s">
        <v>155</v>
      </c>
      <c r="G2622" s="4">
        <v>3</v>
      </c>
      <c r="H2622" s="4">
        <v>3</v>
      </c>
      <c r="I2622" s="4" t="s">
        <v>139</v>
      </c>
      <c r="J2622" s="4" t="s">
        <v>179</v>
      </c>
      <c r="K2622" s="4" t="s">
        <v>144</v>
      </c>
      <c r="L2622" s="4" t="s">
        <v>162</v>
      </c>
      <c r="M2622" s="4"/>
      <c r="N2622" s="4" t="s">
        <v>155</v>
      </c>
      <c r="O2622" s="4" t="s">
        <v>130</v>
      </c>
      <c r="P2622" s="4"/>
    </row>
    <row r="2623" spans="1:16" ht="15">
      <c r="A2623" s="4" t="s">
        <v>3706</v>
      </c>
      <c r="B2623" s="30">
        <v>40039</v>
      </c>
      <c r="C2623" s="4"/>
      <c r="D2623" s="4" t="s">
        <v>193</v>
      </c>
      <c r="E2623" s="4" t="s">
        <v>170</v>
      </c>
      <c r="F2623" s="4" t="s">
        <v>155</v>
      </c>
      <c r="G2623" s="4">
        <v>5</v>
      </c>
      <c r="H2623" s="4">
        <v>3</v>
      </c>
      <c r="I2623" s="4" t="s">
        <v>140</v>
      </c>
      <c r="J2623" s="4" t="s">
        <v>179</v>
      </c>
      <c r="K2623" s="4" t="s">
        <v>146</v>
      </c>
      <c r="L2623" s="4" t="s">
        <v>4176</v>
      </c>
      <c r="M2623" s="4" t="s">
        <v>1728</v>
      </c>
      <c r="N2623" s="4" t="s">
        <v>157</v>
      </c>
      <c r="O2623" s="4" t="s">
        <v>127</v>
      </c>
      <c r="P2623" s="4" t="s">
        <v>153</v>
      </c>
    </row>
    <row r="2624" spans="1:16" ht="15">
      <c r="A2624" s="4" t="s">
        <v>3707</v>
      </c>
      <c r="B2624" s="30">
        <v>40037</v>
      </c>
      <c r="C2624" s="4" t="s">
        <v>9</v>
      </c>
      <c r="D2624" s="4" t="s">
        <v>193</v>
      </c>
      <c r="E2624" s="4" t="s">
        <v>170</v>
      </c>
      <c r="F2624" s="4" t="s">
        <v>155</v>
      </c>
      <c r="G2624" s="4">
        <v>5</v>
      </c>
      <c r="H2624" s="4">
        <v>2</v>
      </c>
      <c r="I2624" s="4" t="s">
        <v>140</v>
      </c>
      <c r="J2624" s="4" t="s">
        <v>179</v>
      </c>
      <c r="K2624" s="4" t="s">
        <v>151</v>
      </c>
      <c r="L2624" s="4" t="s">
        <v>4176</v>
      </c>
      <c r="M2624" s="4" t="s">
        <v>174</v>
      </c>
      <c r="N2624" s="4" t="s">
        <v>156</v>
      </c>
      <c r="O2624" s="4" t="s">
        <v>120</v>
      </c>
      <c r="P2624" s="4" t="s">
        <v>794</v>
      </c>
    </row>
    <row r="2625" spans="1:16" ht="15">
      <c r="A2625" s="4" t="s">
        <v>3708</v>
      </c>
      <c r="B2625" s="30">
        <v>40037</v>
      </c>
      <c r="C2625" s="4"/>
      <c r="D2625" s="4" t="s">
        <v>197</v>
      </c>
      <c r="E2625" s="4" t="s">
        <v>170</v>
      </c>
      <c r="F2625" s="4" t="s">
        <v>155</v>
      </c>
      <c r="G2625" s="4">
        <v>5</v>
      </c>
      <c r="H2625" s="4">
        <v>5</v>
      </c>
      <c r="I2625" s="4" t="s">
        <v>139</v>
      </c>
      <c r="J2625" s="4" t="s">
        <v>179</v>
      </c>
      <c r="K2625" s="4" t="s">
        <v>145</v>
      </c>
      <c r="L2625" s="4" t="s">
        <v>4176</v>
      </c>
      <c r="M2625" s="4" t="s">
        <v>174</v>
      </c>
      <c r="N2625" s="4" t="s">
        <v>156</v>
      </c>
      <c r="O2625" s="4" t="s">
        <v>120</v>
      </c>
      <c r="P2625" s="4" t="s">
        <v>609</v>
      </c>
    </row>
    <row r="2626" spans="1:16" ht="15">
      <c r="A2626" s="4" t="s">
        <v>3709</v>
      </c>
      <c r="B2626" s="30">
        <v>40047</v>
      </c>
      <c r="C2626" s="4"/>
      <c r="D2626" s="4" t="s">
        <v>193</v>
      </c>
      <c r="E2626" s="4" t="s">
        <v>170</v>
      </c>
      <c r="F2626" s="4" t="s">
        <v>155</v>
      </c>
      <c r="G2626" s="4">
        <v>3</v>
      </c>
      <c r="H2626" s="4">
        <v>4</v>
      </c>
      <c r="I2626" s="4" t="s">
        <v>140</v>
      </c>
      <c r="J2626" s="4" t="s">
        <v>181</v>
      </c>
      <c r="K2626" s="4" t="s">
        <v>142</v>
      </c>
      <c r="L2626" s="4" t="s">
        <v>162</v>
      </c>
      <c r="M2626" s="4" t="s">
        <v>175</v>
      </c>
      <c r="N2626" s="4" t="s">
        <v>155</v>
      </c>
      <c r="O2626" s="4" t="s">
        <v>129</v>
      </c>
      <c r="P2626" s="4"/>
    </row>
    <row r="2627" spans="1:16" ht="15">
      <c r="A2627" s="4" t="s">
        <v>3710</v>
      </c>
      <c r="B2627" s="30">
        <v>39953</v>
      </c>
      <c r="C2627" s="4"/>
      <c r="D2627" s="4" t="s">
        <v>194</v>
      </c>
      <c r="E2627" s="4" t="s">
        <v>170</v>
      </c>
      <c r="F2627" s="4" t="s">
        <v>155</v>
      </c>
      <c r="G2627" s="4"/>
      <c r="H2627" s="4"/>
      <c r="I2627" s="4" t="s">
        <v>139</v>
      </c>
      <c r="J2627" s="4" t="s">
        <v>181</v>
      </c>
      <c r="K2627" s="4" t="s">
        <v>142</v>
      </c>
      <c r="L2627" s="4" t="s">
        <v>162</v>
      </c>
      <c r="M2627" s="4" t="s">
        <v>175</v>
      </c>
      <c r="N2627" s="4" t="s">
        <v>155</v>
      </c>
      <c r="O2627" s="4" t="s">
        <v>130</v>
      </c>
      <c r="P2627" s="4"/>
    </row>
    <row r="2628" spans="1:16" ht="15">
      <c r="A2628" s="4" t="s">
        <v>3711</v>
      </c>
      <c r="B2628" s="30">
        <v>40062</v>
      </c>
      <c r="C2628" s="4"/>
      <c r="D2628" s="4" t="s">
        <v>193</v>
      </c>
      <c r="E2628" s="4" t="s">
        <v>170</v>
      </c>
      <c r="F2628" s="4" t="s">
        <v>155</v>
      </c>
      <c r="G2628" s="4">
        <v>5</v>
      </c>
      <c r="H2628" s="4">
        <v>5</v>
      </c>
      <c r="I2628" s="4" t="s">
        <v>140</v>
      </c>
      <c r="J2628" s="4" t="s">
        <v>183</v>
      </c>
      <c r="K2628" s="4" t="s">
        <v>144</v>
      </c>
      <c r="L2628" s="4" t="s">
        <v>4181</v>
      </c>
      <c r="M2628" s="4"/>
      <c r="N2628" s="4" t="s">
        <v>155</v>
      </c>
      <c r="O2628" s="4" t="s">
        <v>746</v>
      </c>
      <c r="P2628" s="4"/>
    </row>
    <row r="2629" spans="1:16" ht="15">
      <c r="A2629" s="4" t="s">
        <v>3712</v>
      </c>
      <c r="B2629" s="30">
        <v>39940</v>
      </c>
      <c r="C2629" s="4"/>
      <c r="D2629" s="4" t="s">
        <v>4182</v>
      </c>
      <c r="E2629" s="4" t="s">
        <v>170</v>
      </c>
      <c r="F2629" s="4" t="s">
        <v>155</v>
      </c>
      <c r="G2629" s="4"/>
      <c r="H2629" s="4"/>
      <c r="I2629" s="4" t="s">
        <v>139</v>
      </c>
      <c r="J2629" s="4" t="s">
        <v>183</v>
      </c>
      <c r="K2629" s="4" t="s">
        <v>150</v>
      </c>
      <c r="L2629" s="4" t="s">
        <v>4176</v>
      </c>
      <c r="M2629" s="4" t="s">
        <v>174</v>
      </c>
      <c r="N2629" s="4" t="s">
        <v>157</v>
      </c>
      <c r="O2629" s="4" t="s">
        <v>434</v>
      </c>
      <c r="P2629" s="4" t="s">
        <v>435</v>
      </c>
    </row>
    <row r="2630" spans="1:16" ht="15">
      <c r="A2630" s="4" t="s">
        <v>3713</v>
      </c>
      <c r="B2630" s="30">
        <v>39980</v>
      </c>
      <c r="C2630" s="4"/>
      <c r="D2630" s="4" t="s">
        <v>193</v>
      </c>
      <c r="E2630" s="4" t="s">
        <v>170</v>
      </c>
      <c r="F2630" s="4" t="s">
        <v>155</v>
      </c>
      <c r="G2630" s="4"/>
      <c r="H2630" s="4"/>
      <c r="I2630" s="4" t="s">
        <v>140</v>
      </c>
      <c r="J2630" s="4" t="s">
        <v>183</v>
      </c>
      <c r="K2630" s="4" t="s">
        <v>144</v>
      </c>
      <c r="L2630" s="4" t="s">
        <v>4181</v>
      </c>
      <c r="M2630" s="4" t="s">
        <v>173</v>
      </c>
      <c r="N2630" s="4" t="s">
        <v>161</v>
      </c>
      <c r="O2630" s="4" t="s">
        <v>416</v>
      </c>
      <c r="P2630" s="4"/>
    </row>
    <row r="2631" spans="1:16" ht="15">
      <c r="A2631" s="4" t="s">
        <v>3714</v>
      </c>
      <c r="B2631" s="30">
        <v>39981</v>
      </c>
      <c r="C2631" s="4"/>
      <c r="D2631" s="4" t="s">
        <v>193</v>
      </c>
      <c r="E2631" s="4" t="s">
        <v>170</v>
      </c>
      <c r="F2631" s="4" t="s">
        <v>155</v>
      </c>
      <c r="G2631" s="4"/>
      <c r="H2631" s="4"/>
      <c r="I2631" s="4" t="s">
        <v>140</v>
      </c>
      <c r="J2631" s="4" t="s">
        <v>182</v>
      </c>
      <c r="K2631" s="4" t="s">
        <v>142</v>
      </c>
      <c r="L2631" s="4" t="s">
        <v>4176</v>
      </c>
      <c r="M2631" s="4" t="s">
        <v>174</v>
      </c>
      <c r="N2631" s="4" t="s">
        <v>156</v>
      </c>
      <c r="O2631" s="4" t="s">
        <v>120</v>
      </c>
      <c r="P2631" s="4" t="s">
        <v>427</v>
      </c>
    </row>
    <row r="2632" spans="1:16" ht="15">
      <c r="A2632" s="4" t="s">
        <v>3715</v>
      </c>
      <c r="B2632" s="30">
        <v>39947</v>
      </c>
      <c r="C2632" s="4"/>
      <c r="D2632" s="4" t="s">
        <v>195</v>
      </c>
      <c r="E2632" s="4" t="s">
        <v>170</v>
      </c>
      <c r="F2632" s="4" t="s">
        <v>155</v>
      </c>
      <c r="G2632" s="4"/>
      <c r="H2632" s="4"/>
      <c r="I2632" s="4" t="s">
        <v>139</v>
      </c>
      <c r="J2632" s="4" t="s">
        <v>178</v>
      </c>
      <c r="K2632" s="4" t="s">
        <v>147</v>
      </c>
      <c r="L2632" s="4" t="s">
        <v>4176</v>
      </c>
      <c r="M2632" s="4" t="s">
        <v>933</v>
      </c>
      <c r="N2632" s="4" t="s">
        <v>159</v>
      </c>
      <c r="O2632" s="4" t="s">
        <v>126</v>
      </c>
      <c r="P2632" s="4" t="s">
        <v>601</v>
      </c>
    </row>
    <row r="2633" spans="1:16" ht="15">
      <c r="A2633" s="4" t="s">
        <v>3716</v>
      </c>
      <c r="B2633" s="30">
        <v>39932</v>
      </c>
      <c r="C2633" s="4"/>
      <c r="D2633" s="4" t="s">
        <v>4177</v>
      </c>
      <c r="E2633" s="4" t="s">
        <v>170</v>
      </c>
      <c r="F2633" s="4" t="s">
        <v>155</v>
      </c>
      <c r="G2633" s="4"/>
      <c r="H2633" s="4"/>
      <c r="I2633" s="4" t="s">
        <v>139</v>
      </c>
      <c r="J2633" s="4" t="s">
        <v>810</v>
      </c>
      <c r="K2633" s="4" t="s">
        <v>148</v>
      </c>
      <c r="L2633" s="4" t="s">
        <v>4181</v>
      </c>
      <c r="M2633" s="4" t="s">
        <v>173</v>
      </c>
      <c r="N2633" s="4" t="s">
        <v>155</v>
      </c>
      <c r="O2633" s="4" t="s">
        <v>125</v>
      </c>
      <c r="P2633" s="4"/>
    </row>
    <row r="2634" spans="1:16" ht="15">
      <c r="A2634" s="4" t="s">
        <v>3717</v>
      </c>
      <c r="B2634" s="30">
        <v>40061</v>
      </c>
      <c r="C2634" s="4"/>
      <c r="D2634" s="4" t="s">
        <v>195</v>
      </c>
      <c r="E2634" s="4" t="s">
        <v>170</v>
      </c>
      <c r="F2634" s="4" t="s">
        <v>155</v>
      </c>
      <c r="G2634" s="4">
        <v>1</v>
      </c>
      <c r="H2634" s="4">
        <v>3</v>
      </c>
      <c r="I2634" s="4" t="s">
        <v>139</v>
      </c>
      <c r="J2634" s="4" t="s">
        <v>810</v>
      </c>
      <c r="K2634" s="4" t="s">
        <v>145</v>
      </c>
      <c r="L2634" s="4" t="s">
        <v>4181</v>
      </c>
      <c r="M2634" s="4" t="s">
        <v>173</v>
      </c>
      <c r="N2634" s="4" t="s">
        <v>155</v>
      </c>
      <c r="O2634" s="4" t="s">
        <v>125</v>
      </c>
      <c r="P2634" s="4"/>
    </row>
    <row r="2635" spans="1:16" ht="15">
      <c r="A2635" s="4" t="s">
        <v>3718</v>
      </c>
      <c r="B2635" s="30">
        <v>39947</v>
      </c>
      <c r="C2635" s="4"/>
      <c r="D2635" s="4" t="s">
        <v>193</v>
      </c>
      <c r="E2635" s="4" t="s">
        <v>170</v>
      </c>
      <c r="F2635" s="4" t="s">
        <v>155</v>
      </c>
      <c r="G2635" s="4"/>
      <c r="H2635" s="4"/>
      <c r="I2635" s="4" t="s">
        <v>140</v>
      </c>
      <c r="J2635" s="4" t="s">
        <v>178</v>
      </c>
      <c r="K2635" s="4" t="s">
        <v>148</v>
      </c>
      <c r="L2635" s="4" t="s">
        <v>162</v>
      </c>
      <c r="M2635" s="4" t="s">
        <v>175</v>
      </c>
      <c r="N2635" s="4" t="s">
        <v>155</v>
      </c>
      <c r="O2635" s="4" t="s">
        <v>439</v>
      </c>
      <c r="P2635" s="4"/>
    </row>
    <row r="2636" spans="1:16" ht="15">
      <c r="A2636" s="4" t="s">
        <v>3719</v>
      </c>
      <c r="B2636" s="30">
        <v>40029</v>
      </c>
      <c r="C2636" s="4" t="s">
        <v>525</v>
      </c>
      <c r="D2636" s="4" t="s">
        <v>193</v>
      </c>
      <c r="E2636" s="4" t="s">
        <v>170</v>
      </c>
      <c r="F2636" s="4" t="s">
        <v>155</v>
      </c>
      <c r="G2636" s="4">
        <v>5</v>
      </c>
      <c r="H2636" s="4">
        <v>5</v>
      </c>
      <c r="I2636" s="4" t="s">
        <v>140</v>
      </c>
      <c r="J2636" s="4" t="s">
        <v>178</v>
      </c>
      <c r="K2636" s="4" t="s">
        <v>143</v>
      </c>
      <c r="L2636" s="4" t="s">
        <v>4176</v>
      </c>
      <c r="M2636" s="4" t="s">
        <v>175</v>
      </c>
      <c r="N2636" s="4" t="s">
        <v>125</v>
      </c>
      <c r="O2636" s="4" t="s">
        <v>628</v>
      </c>
      <c r="P2636" s="4" t="s">
        <v>1209</v>
      </c>
    </row>
    <row r="2637" spans="1:16" ht="15">
      <c r="A2637" s="4" t="s">
        <v>3720</v>
      </c>
      <c r="B2637" s="30">
        <v>40078</v>
      </c>
      <c r="C2637" s="4" t="s">
        <v>496</v>
      </c>
      <c r="D2637" s="4" t="s">
        <v>544</v>
      </c>
      <c r="E2637" s="4" t="s">
        <v>170</v>
      </c>
      <c r="F2637" s="4" t="s">
        <v>155</v>
      </c>
      <c r="G2637" s="4">
        <v>5</v>
      </c>
      <c r="H2637" s="4">
        <v>3</v>
      </c>
      <c r="I2637" s="4" t="s">
        <v>139</v>
      </c>
      <c r="J2637" s="4" t="s">
        <v>178</v>
      </c>
      <c r="K2637" s="4" t="s">
        <v>145</v>
      </c>
      <c r="L2637" s="4" t="s">
        <v>4176</v>
      </c>
      <c r="M2637" s="4"/>
      <c r="N2637" s="4" t="s">
        <v>160</v>
      </c>
      <c r="O2637" s="4" t="s">
        <v>126</v>
      </c>
      <c r="P2637" s="4" t="s">
        <v>900</v>
      </c>
    </row>
    <row r="2638" spans="1:16" ht="15">
      <c r="A2638" s="4" t="s">
        <v>3721</v>
      </c>
      <c r="B2638" s="30">
        <v>39977</v>
      </c>
      <c r="C2638" s="4"/>
      <c r="D2638" s="4" t="s">
        <v>194</v>
      </c>
      <c r="E2638" s="4" t="s">
        <v>170</v>
      </c>
      <c r="F2638" s="4" t="s">
        <v>155</v>
      </c>
      <c r="G2638" s="4"/>
      <c r="H2638" s="4"/>
      <c r="I2638" s="4" t="s">
        <v>139</v>
      </c>
      <c r="J2638" s="4" t="s">
        <v>178</v>
      </c>
      <c r="K2638" s="4" t="s">
        <v>149</v>
      </c>
      <c r="L2638" s="4" t="s">
        <v>165</v>
      </c>
      <c r="M2638" s="4" t="s">
        <v>589</v>
      </c>
      <c r="N2638" s="4" t="s">
        <v>158</v>
      </c>
      <c r="O2638" s="4" t="s">
        <v>122</v>
      </c>
      <c r="P2638" s="4"/>
    </row>
    <row r="2639" spans="1:16" ht="15">
      <c r="A2639" s="4" t="s">
        <v>3722</v>
      </c>
      <c r="B2639" s="30">
        <v>40048</v>
      </c>
      <c r="C2639" s="4"/>
      <c r="D2639" s="4" t="s">
        <v>195</v>
      </c>
      <c r="E2639" s="4" t="s">
        <v>170</v>
      </c>
      <c r="F2639" s="4" t="s">
        <v>155</v>
      </c>
      <c r="G2639" s="4">
        <v>5</v>
      </c>
      <c r="H2639" s="4">
        <v>3</v>
      </c>
      <c r="I2639" s="4" t="s">
        <v>139</v>
      </c>
      <c r="J2639" s="4" t="s">
        <v>178</v>
      </c>
      <c r="K2639" s="4" t="s">
        <v>144</v>
      </c>
      <c r="L2639" s="4" t="s">
        <v>165</v>
      </c>
      <c r="M2639" s="4" t="s">
        <v>3723</v>
      </c>
      <c r="N2639" s="4" t="s">
        <v>158</v>
      </c>
      <c r="O2639" s="4" t="s">
        <v>122</v>
      </c>
      <c r="P2639" s="4"/>
    </row>
    <row r="2640" spans="1:16" ht="15">
      <c r="A2640" s="4" t="s">
        <v>3724</v>
      </c>
      <c r="B2640" s="30">
        <v>39975</v>
      </c>
      <c r="C2640" s="4"/>
      <c r="D2640" s="4" t="s">
        <v>193</v>
      </c>
      <c r="E2640" s="4" t="s">
        <v>170</v>
      </c>
      <c r="F2640" s="4" t="s">
        <v>155</v>
      </c>
      <c r="G2640" s="4"/>
      <c r="H2640" s="4"/>
      <c r="I2640" s="4" t="s">
        <v>140</v>
      </c>
      <c r="J2640" s="4" t="s">
        <v>178</v>
      </c>
      <c r="K2640" s="4" t="s">
        <v>149</v>
      </c>
      <c r="L2640" s="4" t="s">
        <v>4176</v>
      </c>
      <c r="M2640" s="4" t="s">
        <v>175</v>
      </c>
      <c r="N2640" s="4" t="s">
        <v>159</v>
      </c>
      <c r="O2640" s="4" t="s">
        <v>126</v>
      </c>
      <c r="P2640" s="4" t="s">
        <v>601</v>
      </c>
    </row>
    <row r="2641" spans="1:16" ht="15">
      <c r="A2641" s="4" t="s">
        <v>3725</v>
      </c>
      <c r="B2641" s="30">
        <v>39927</v>
      </c>
      <c r="C2641" s="4"/>
      <c r="D2641" s="4" t="s">
        <v>4184</v>
      </c>
      <c r="E2641" s="4" t="s">
        <v>170</v>
      </c>
      <c r="F2641" s="4" t="s">
        <v>155</v>
      </c>
      <c r="G2641" s="4"/>
      <c r="H2641" s="4"/>
      <c r="I2641" s="4" t="s">
        <v>140</v>
      </c>
      <c r="J2641" s="4" t="s">
        <v>178</v>
      </c>
      <c r="K2641" s="4" t="s">
        <v>148</v>
      </c>
      <c r="L2641" s="4" t="s">
        <v>4181</v>
      </c>
      <c r="M2641" s="4" t="s">
        <v>1834</v>
      </c>
      <c r="N2641" s="4" t="s">
        <v>155</v>
      </c>
      <c r="O2641" s="4" t="s">
        <v>124</v>
      </c>
      <c r="P2641" s="4"/>
    </row>
    <row r="2642" spans="1:16" ht="15">
      <c r="A2642" s="4" t="s">
        <v>3726</v>
      </c>
      <c r="B2642" s="30">
        <v>39969</v>
      </c>
      <c r="C2642" s="4"/>
      <c r="D2642" s="4" t="s">
        <v>194</v>
      </c>
      <c r="E2642" s="4" t="s">
        <v>170</v>
      </c>
      <c r="F2642" s="4" t="s">
        <v>155</v>
      </c>
      <c r="G2642" s="4"/>
      <c r="H2642" s="4"/>
      <c r="I2642" s="4" t="s">
        <v>139</v>
      </c>
      <c r="J2642" s="4" t="s">
        <v>178</v>
      </c>
      <c r="K2642" s="4" t="s">
        <v>143</v>
      </c>
      <c r="L2642" s="4" t="s">
        <v>162</v>
      </c>
      <c r="M2642" s="4" t="s">
        <v>175</v>
      </c>
      <c r="N2642" s="4" t="s">
        <v>155</v>
      </c>
      <c r="O2642" s="4" t="s">
        <v>129</v>
      </c>
      <c r="P2642" s="4"/>
    </row>
    <row r="2643" spans="1:16" ht="15">
      <c r="A2643" s="4" t="s">
        <v>3727</v>
      </c>
      <c r="B2643" s="30">
        <v>40020</v>
      </c>
      <c r="C2643" s="4" t="s">
        <v>380</v>
      </c>
      <c r="D2643" s="4" t="s">
        <v>196</v>
      </c>
      <c r="E2643" s="4" t="s">
        <v>170</v>
      </c>
      <c r="F2643" s="4" t="s">
        <v>155</v>
      </c>
      <c r="G2643" s="4">
        <v>5</v>
      </c>
      <c r="H2643" s="4">
        <v>5</v>
      </c>
      <c r="I2643" s="4" t="s">
        <v>139</v>
      </c>
      <c r="J2643" s="4" t="s">
        <v>178</v>
      </c>
      <c r="K2643" s="4" t="s">
        <v>146</v>
      </c>
      <c r="L2643" s="4" t="s">
        <v>4176</v>
      </c>
      <c r="M2643" s="4" t="s">
        <v>867</v>
      </c>
      <c r="N2643" s="4" t="s">
        <v>157</v>
      </c>
      <c r="O2643" s="4" t="s">
        <v>127</v>
      </c>
      <c r="P2643" s="4" t="s">
        <v>153</v>
      </c>
    </row>
    <row r="2644" spans="1:16" ht="15">
      <c r="A2644" s="4" t="s">
        <v>3728</v>
      </c>
      <c r="B2644" s="30">
        <v>39972</v>
      </c>
      <c r="C2644" s="4"/>
      <c r="D2644" s="4" t="s">
        <v>193</v>
      </c>
      <c r="E2644" s="4" t="s">
        <v>170</v>
      </c>
      <c r="F2644" s="4" t="s">
        <v>155</v>
      </c>
      <c r="G2644" s="4"/>
      <c r="H2644" s="4"/>
      <c r="I2644" s="4" t="s">
        <v>140</v>
      </c>
      <c r="J2644" s="4" t="s">
        <v>178</v>
      </c>
      <c r="K2644" s="4" t="s">
        <v>146</v>
      </c>
      <c r="L2644" s="4" t="s">
        <v>4176</v>
      </c>
      <c r="M2644" s="4" t="s">
        <v>174</v>
      </c>
      <c r="N2644" s="4" t="s">
        <v>156</v>
      </c>
      <c r="O2644" s="4" t="s">
        <v>120</v>
      </c>
      <c r="P2644" s="4" t="s">
        <v>3729</v>
      </c>
    </row>
    <row r="2645" spans="1:16" ht="15">
      <c r="A2645" s="4" t="s">
        <v>3730</v>
      </c>
      <c r="B2645" s="30">
        <v>39919</v>
      </c>
      <c r="C2645" s="4"/>
      <c r="D2645" s="4" t="s">
        <v>4180</v>
      </c>
      <c r="E2645" s="4" t="s">
        <v>170</v>
      </c>
      <c r="F2645" s="4" t="s">
        <v>155</v>
      </c>
      <c r="G2645" s="4"/>
      <c r="H2645" s="4"/>
      <c r="I2645" s="4" t="s">
        <v>139</v>
      </c>
      <c r="J2645" s="4" t="s">
        <v>178</v>
      </c>
      <c r="K2645" s="4" t="s">
        <v>147</v>
      </c>
      <c r="L2645" s="4" t="s">
        <v>4176</v>
      </c>
      <c r="M2645" s="4" t="s">
        <v>1218</v>
      </c>
      <c r="N2645" s="4" t="s">
        <v>157</v>
      </c>
      <c r="O2645" s="4" t="s">
        <v>439</v>
      </c>
      <c r="P2645" s="4" t="s">
        <v>561</v>
      </c>
    </row>
    <row r="2646" spans="1:16" ht="15">
      <c r="A2646" s="4" t="s">
        <v>3731</v>
      </c>
      <c r="B2646" s="30">
        <v>39991</v>
      </c>
      <c r="C2646" s="4"/>
      <c r="D2646" s="4" t="s">
        <v>195</v>
      </c>
      <c r="E2646" s="4" t="s">
        <v>170</v>
      </c>
      <c r="F2646" s="4" t="s">
        <v>155</v>
      </c>
      <c r="G2646" s="4"/>
      <c r="H2646" s="4">
        <v>5</v>
      </c>
      <c r="I2646" s="4" t="s">
        <v>139</v>
      </c>
      <c r="J2646" s="4" t="s">
        <v>178</v>
      </c>
      <c r="K2646" s="4" t="s">
        <v>144</v>
      </c>
      <c r="L2646" s="4" t="s">
        <v>162</v>
      </c>
      <c r="M2646" s="4" t="s">
        <v>175</v>
      </c>
      <c r="N2646" s="4" t="s">
        <v>155</v>
      </c>
      <c r="O2646" s="4" t="s">
        <v>129</v>
      </c>
      <c r="P2646" s="4"/>
    </row>
    <row r="2647" spans="1:16" ht="15">
      <c r="A2647" s="4" t="s">
        <v>3732</v>
      </c>
      <c r="B2647" s="30">
        <v>39955</v>
      </c>
      <c r="C2647" s="4"/>
      <c r="D2647" s="4" t="s">
        <v>193</v>
      </c>
      <c r="E2647" s="4" t="s">
        <v>170</v>
      </c>
      <c r="F2647" s="4" t="s">
        <v>155</v>
      </c>
      <c r="G2647" s="4"/>
      <c r="H2647" s="4"/>
      <c r="I2647" s="4" t="s">
        <v>140</v>
      </c>
      <c r="J2647" s="4" t="s">
        <v>178</v>
      </c>
      <c r="K2647" s="4" t="s">
        <v>144</v>
      </c>
      <c r="L2647" s="4" t="s">
        <v>4181</v>
      </c>
      <c r="M2647" s="4" t="s">
        <v>173</v>
      </c>
      <c r="N2647" s="4" t="s">
        <v>155</v>
      </c>
      <c r="O2647" s="4" t="s">
        <v>127</v>
      </c>
      <c r="P2647" s="4"/>
    </row>
    <row r="2648" spans="1:16" ht="15">
      <c r="A2648" s="4" t="s">
        <v>3733</v>
      </c>
      <c r="B2648" s="30">
        <v>39935</v>
      </c>
      <c r="C2648" s="4"/>
      <c r="D2648" s="4" t="s">
        <v>4179</v>
      </c>
      <c r="E2648" s="4" t="s">
        <v>170</v>
      </c>
      <c r="F2648" s="4" t="s">
        <v>155</v>
      </c>
      <c r="G2648" s="4"/>
      <c r="H2648" s="4"/>
      <c r="I2648" s="4" t="s">
        <v>139</v>
      </c>
      <c r="J2648" s="4" t="s">
        <v>376</v>
      </c>
      <c r="K2648" s="4" t="s">
        <v>145</v>
      </c>
      <c r="L2648" s="4" t="s">
        <v>4176</v>
      </c>
      <c r="M2648" s="4"/>
      <c r="N2648" s="4" t="s">
        <v>159</v>
      </c>
      <c r="O2648" s="4" t="s">
        <v>123</v>
      </c>
      <c r="P2648" s="4" t="s">
        <v>123</v>
      </c>
    </row>
    <row r="2649" spans="1:16" ht="15">
      <c r="A2649" s="4" t="s">
        <v>3734</v>
      </c>
      <c r="B2649" s="30">
        <v>40071</v>
      </c>
      <c r="C2649" s="4"/>
      <c r="D2649" s="4" t="s">
        <v>197</v>
      </c>
      <c r="E2649" s="4" t="s">
        <v>170</v>
      </c>
      <c r="F2649" s="4" t="s">
        <v>155</v>
      </c>
      <c r="G2649" s="4"/>
      <c r="H2649" s="4"/>
      <c r="I2649" s="4" t="s">
        <v>139</v>
      </c>
      <c r="J2649" s="4" t="s">
        <v>376</v>
      </c>
      <c r="K2649" s="4" t="s">
        <v>151</v>
      </c>
      <c r="L2649" s="4" t="s">
        <v>4176</v>
      </c>
      <c r="M2649" s="4" t="s">
        <v>3735</v>
      </c>
      <c r="N2649" s="4" t="s">
        <v>157</v>
      </c>
      <c r="O2649" s="4" t="s">
        <v>127</v>
      </c>
      <c r="P2649" s="4" t="s">
        <v>153</v>
      </c>
    </row>
    <row r="2650" spans="1:16" ht="15">
      <c r="A2650" s="4" t="s">
        <v>3736</v>
      </c>
      <c r="B2650" s="30">
        <v>39934</v>
      </c>
      <c r="C2650" s="4"/>
      <c r="D2650" s="4" t="s">
        <v>4184</v>
      </c>
      <c r="E2650" s="4" t="s">
        <v>170</v>
      </c>
      <c r="F2650" s="4" t="s">
        <v>155</v>
      </c>
      <c r="G2650" s="4"/>
      <c r="H2650" s="4"/>
      <c r="I2650" s="4" t="s">
        <v>140</v>
      </c>
      <c r="J2650" s="4" t="s">
        <v>178</v>
      </c>
      <c r="K2650" s="4" t="s">
        <v>147</v>
      </c>
      <c r="L2650" s="4" t="s">
        <v>4176</v>
      </c>
      <c r="M2650" s="4" t="s">
        <v>174</v>
      </c>
      <c r="N2650" s="4" t="s">
        <v>160</v>
      </c>
      <c r="O2650" s="4" t="s">
        <v>392</v>
      </c>
      <c r="P2650" s="4" t="s">
        <v>393</v>
      </c>
    </row>
    <row r="2651" spans="1:16" ht="15">
      <c r="A2651" s="4" t="s">
        <v>3737</v>
      </c>
      <c r="B2651" s="30">
        <v>39912</v>
      </c>
      <c r="C2651" s="4"/>
      <c r="D2651" s="4" t="s">
        <v>4177</v>
      </c>
      <c r="E2651" s="4" t="s">
        <v>170</v>
      </c>
      <c r="F2651" s="4" t="s">
        <v>155</v>
      </c>
      <c r="G2651" s="4"/>
      <c r="H2651" s="4"/>
      <c r="I2651" s="4" t="s">
        <v>139</v>
      </c>
      <c r="J2651" s="4" t="s">
        <v>178</v>
      </c>
      <c r="K2651" s="4" t="s">
        <v>148</v>
      </c>
      <c r="L2651" s="4" t="s">
        <v>4181</v>
      </c>
      <c r="M2651" s="4" t="s">
        <v>173</v>
      </c>
      <c r="N2651" s="4" t="s">
        <v>155</v>
      </c>
      <c r="O2651" s="4" t="s">
        <v>2027</v>
      </c>
      <c r="P2651" s="4"/>
    </row>
    <row r="2652" spans="1:16" ht="15">
      <c r="A2652" s="4" t="s">
        <v>3738</v>
      </c>
      <c r="B2652" s="30">
        <v>39953</v>
      </c>
      <c r="C2652" s="4"/>
      <c r="D2652" s="4" t="s">
        <v>193</v>
      </c>
      <c r="E2652" s="4" t="s">
        <v>170</v>
      </c>
      <c r="F2652" s="4" t="s">
        <v>155</v>
      </c>
      <c r="G2652" s="4"/>
      <c r="H2652" s="4"/>
      <c r="I2652" s="4" t="s">
        <v>140</v>
      </c>
      <c r="J2652" s="4" t="s">
        <v>178</v>
      </c>
      <c r="K2652" s="4" t="s">
        <v>143</v>
      </c>
      <c r="L2652" s="4" t="s">
        <v>4176</v>
      </c>
      <c r="M2652" s="4" t="s">
        <v>174</v>
      </c>
      <c r="N2652" s="4" t="s">
        <v>156</v>
      </c>
      <c r="O2652" s="4" t="s">
        <v>120</v>
      </c>
      <c r="P2652" s="4" t="s">
        <v>1985</v>
      </c>
    </row>
    <row r="2653" spans="1:16" ht="15">
      <c r="A2653" s="4" t="s">
        <v>3739</v>
      </c>
      <c r="B2653" s="30">
        <v>40073</v>
      </c>
      <c r="C2653" s="4" t="s">
        <v>383</v>
      </c>
      <c r="D2653" s="4" t="s">
        <v>544</v>
      </c>
      <c r="E2653" s="4" t="s">
        <v>170</v>
      </c>
      <c r="F2653" s="4" t="s">
        <v>155</v>
      </c>
      <c r="G2653" s="4">
        <v>5</v>
      </c>
      <c r="H2653" s="4">
        <v>2</v>
      </c>
      <c r="I2653" s="4" t="s">
        <v>139</v>
      </c>
      <c r="J2653" s="4" t="s">
        <v>178</v>
      </c>
      <c r="K2653" s="4" t="s">
        <v>143</v>
      </c>
      <c r="L2653" s="4" t="s">
        <v>4176</v>
      </c>
      <c r="M2653" s="4" t="s">
        <v>174</v>
      </c>
      <c r="N2653" s="4" t="s">
        <v>157</v>
      </c>
      <c r="O2653" s="4" t="s">
        <v>434</v>
      </c>
      <c r="P2653" s="4" t="s">
        <v>435</v>
      </c>
    </row>
    <row r="2654" spans="1:16" ht="15">
      <c r="A2654" s="4" t="s">
        <v>3740</v>
      </c>
      <c r="B2654" s="30">
        <v>39995</v>
      </c>
      <c r="C2654" s="4"/>
      <c r="D2654" s="4" t="s">
        <v>194</v>
      </c>
      <c r="E2654" s="4" t="s">
        <v>170</v>
      </c>
      <c r="F2654" s="4" t="s">
        <v>155</v>
      </c>
      <c r="G2654" s="4"/>
      <c r="H2654" s="4">
        <v>5</v>
      </c>
      <c r="I2654" s="4" t="s">
        <v>139</v>
      </c>
      <c r="J2654" s="4" t="s">
        <v>178</v>
      </c>
      <c r="K2654" s="4" t="s">
        <v>142</v>
      </c>
      <c r="L2654" s="4" t="s">
        <v>4176</v>
      </c>
      <c r="M2654" s="4" t="s">
        <v>174</v>
      </c>
      <c r="N2654" s="4" t="s">
        <v>156</v>
      </c>
      <c r="O2654" s="4" t="s">
        <v>120</v>
      </c>
      <c r="P2654" s="4" t="s">
        <v>1001</v>
      </c>
    </row>
    <row r="2655" spans="1:16" ht="15">
      <c r="A2655" s="4" t="s">
        <v>3741</v>
      </c>
      <c r="B2655" s="30">
        <v>39968</v>
      </c>
      <c r="C2655" s="4"/>
      <c r="D2655" s="4" t="s">
        <v>193</v>
      </c>
      <c r="E2655" s="4" t="s">
        <v>170</v>
      </c>
      <c r="F2655" s="4" t="s">
        <v>155</v>
      </c>
      <c r="G2655" s="4"/>
      <c r="H2655" s="4"/>
      <c r="I2655" s="4" t="s">
        <v>140</v>
      </c>
      <c r="J2655" s="4" t="s">
        <v>178</v>
      </c>
      <c r="K2655" s="4" t="s">
        <v>146</v>
      </c>
      <c r="L2655" s="4" t="s">
        <v>4181</v>
      </c>
      <c r="M2655" s="4" t="s">
        <v>1042</v>
      </c>
      <c r="N2655" s="4" t="s">
        <v>155</v>
      </c>
      <c r="O2655" s="4" t="s">
        <v>734</v>
      </c>
      <c r="P2655" s="4"/>
    </row>
    <row r="2656" spans="1:16" ht="15">
      <c r="A2656" s="4" t="s">
        <v>3742</v>
      </c>
      <c r="B2656" s="30">
        <v>40036</v>
      </c>
      <c r="C2656" s="4"/>
      <c r="D2656" s="4" t="s">
        <v>193</v>
      </c>
      <c r="E2656" s="4" t="s">
        <v>170</v>
      </c>
      <c r="F2656" s="4" t="s">
        <v>155</v>
      </c>
      <c r="G2656" s="4">
        <v>5</v>
      </c>
      <c r="H2656" s="4">
        <v>5</v>
      </c>
      <c r="I2656" s="4" t="s">
        <v>140</v>
      </c>
      <c r="J2656" s="4" t="s">
        <v>178</v>
      </c>
      <c r="K2656" s="4" t="s">
        <v>145</v>
      </c>
      <c r="L2656" s="4" t="s">
        <v>4176</v>
      </c>
      <c r="M2656" s="4" t="s">
        <v>1728</v>
      </c>
      <c r="N2656" s="4" t="s">
        <v>157</v>
      </c>
      <c r="O2656" s="4" t="s">
        <v>127</v>
      </c>
      <c r="P2656" s="4" t="s">
        <v>153</v>
      </c>
    </row>
    <row r="2657" spans="1:16" ht="15">
      <c r="A2657" s="4" t="s">
        <v>3743</v>
      </c>
      <c r="B2657" s="30">
        <v>39934</v>
      </c>
      <c r="C2657" s="4"/>
      <c r="D2657" s="4" t="s">
        <v>4182</v>
      </c>
      <c r="E2657" s="4" t="s">
        <v>170</v>
      </c>
      <c r="F2657" s="4" t="s">
        <v>155</v>
      </c>
      <c r="G2657" s="4"/>
      <c r="H2657" s="4"/>
      <c r="I2657" s="4" t="s">
        <v>139</v>
      </c>
      <c r="J2657" s="4" t="s">
        <v>178</v>
      </c>
      <c r="K2657" s="4" t="s">
        <v>142</v>
      </c>
      <c r="L2657" s="4" t="s">
        <v>4181</v>
      </c>
      <c r="M2657" s="4" t="s">
        <v>173</v>
      </c>
      <c r="N2657" s="4" t="s">
        <v>155</v>
      </c>
      <c r="O2657" s="4" t="s">
        <v>692</v>
      </c>
      <c r="P2657" s="4"/>
    </row>
    <row r="2658" spans="1:16" ht="15">
      <c r="A2658" s="4" t="s">
        <v>3744</v>
      </c>
      <c r="B2658" s="30">
        <v>40067</v>
      </c>
      <c r="C2658" s="4" t="s">
        <v>383</v>
      </c>
      <c r="D2658" s="4" t="s">
        <v>193</v>
      </c>
      <c r="E2658" s="4" t="s">
        <v>170</v>
      </c>
      <c r="F2658" s="4" t="s">
        <v>155</v>
      </c>
      <c r="G2658" s="4">
        <v>4</v>
      </c>
      <c r="H2658" s="4">
        <v>3</v>
      </c>
      <c r="I2658" s="4" t="s">
        <v>140</v>
      </c>
      <c r="J2658" s="4" t="s">
        <v>178</v>
      </c>
      <c r="K2658" s="4" t="s">
        <v>146</v>
      </c>
      <c r="L2658" s="4" t="s">
        <v>165</v>
      </c>
      <c r="M2658" s="4" t="s">
        <v>3745</v>
      </c>
      <c r="N2658" s="4" t="s">
        <v>158</v>
      </c>
      <c r="O2658" s="4" t="s">
        <v>122</v>
      </c>
      <c r="P2658" s="4"/>
    </row>
    <row r="2659" spans="1:16" ht="15">
      <c r="A2659" s="4" t="s">
        <v>3746</v>
      </c>
      <c r="B2659" s="30">
        <v>39970</v>
      </c>
      <c r="C2659" s="4"/>
      <c r="D2659" s="4" t="s">
        <v>194</v>
      </c>
      <c r="E2659" s="4" t="s">
        <v>170</v>
      </c>
      <c r="F2659" s="4" t="s">
        <v>155</v>
      </c>
      <c r="G2659" s="4"/>
      <c r="H2659" s="4"/>
      <c r="I2659" s="4" t="s">
        <v>139</v>
      </c>
      <c r="J2659" s="4" t="s">
        <v>178</v>
      </c>
      <c r="K2659" s="4" t="s">
        <v>144</v>
      </c>
      <c r="L2659" s="4" t="s">
        <v>4176</v>
      </c>
      <c r="M2659" s="4" t="s">
        <v>867</v>
      </c>
      <c r="N2659" s="4" t="s">
        <v>157</v>
      </c>
      <c r="O2659" s="4" t="s">
        <v>127</v>
      </c>
      <c r="P2659" s="4" t="s">
        <v>153</v>
      </c>
    </row>
    <row r="2660" spans="1:16" ht="15">
      <c r="A2660" s="4" t="s">
        <v>3747</v>
      </c>
      <c r="B2660" s="30">
        <v>40085</v>
      </c>
      <c r="C2660" s="4" t="s">
        <v>383</v>
      </c>
      <c r="D2660" s="4" t="s">
        <v>197</v>
      </c>
      <c r="E2660" s="4" t="s">
        <v>170</v>
      </c>
      <c r="F2660" s="4" t="s">
        <v>155</v>
      </c>
      <c r="G2660" s="4">
        <v>4</v>
      </c>
      <c r="H2660" s="4">
        <v>5</v>
      </c>
      <c r="I2660" s="4" t="s">
        <v>139</v>
      </c>
      <c r="J2660" s="4" t="s">
        <v>509</v>
      </c>
      <c r="K2660" s="4" t="s">
        <v>146</v>
      </c>
      <c r="L2660" s="4" t="s">
        <v>4176</v>
      </c>
      <c r="M2660" s="4" t="s">
        <v>174</v>
      </c>
      <c r="N2660" s="4" t="s">
        <v>3748</v>
      </c>
      <c r="O2660" s="4" t="s">
        <v>3749</v>
      </c>
      <c r="P2660" s="4" t="s">
        <v>2158</v>
      </c>
    </row>
    <row r="2661" spans="1:16" ht="15">
      <c r="A2661" s="4" t="s">
        <v>3750</v>
      </c>
      <c r="B2661" s="30">
        <v>39986</v>
      </c>
      <c r="C2661" s="4" t="s">
        <v>383</v>
      </c>
      <c r="D2661" s="4" t="s">
        <v>194</v>
      </c>
      <c r="E2661" s="4" t="s">
        <v>170</v>
      </c>
      <c r="F2661" s="4" t="s">
        <v>155</v>
      </c>
      <c r="G2661" s="4"/>
      <c r="H2661" s="4"/>
      <c r="I2661" s="4" t="s">
        <v>139</v>
      </c>
      <c r="J2661" s="4" t="s">
        <v>185</v>
      </c>
      <c r="K2661" s="4" t="s">
        <v>142</v>
      </c>
      <c r="L2661" s="4" t="s">
        <v>4181</v>
      </c>
      <c r="M2661" s="4" t="s">
        <v>689</v>
      </c>
      <c r="N2661" s="4" t="s">
        <v>788</v>
      </c>
      <c r="O2661" s="4" t="s">
        <v>903</v>
      </c>
      <c r="P2661" s="4"/>
    </row>
    <row r="2662" spans="1:16" ht="15">
      <c r="A2662" s="4" t="s">
        <v>3751</v>
      </c>
      <c r="B2662" s="30">
        <v>39980</v>
      </c>
      <c r="C2662" s="4" t="s">
        <v>9</v>
      </c>
      <c r="D2662" s="4" t="s">
        <v>194</v>
      </c>
      <c r="E2662" s="4" t="s">
        <v>170</v>
      </c>
      <c r="F2662" s="4" t="s">
        <v>155</v>
      </c>
      <c r="G2662" s="4"/>
      <c r="H2662" s="4"/>
      <c r="I2662" s="4" t="s">
        <v>139</v>
      </c>
      <c r="J2662" s="4" t="s">
        <v>409</v>
      </c>
      <c r="K2662" s="4" t="s">
        <v>143</v>
      </c>
      <c r="L2662" s="4" t="s">
        <v>4181</v>
      </c>
      <c r="M2662" s="4" t="s">
        <v>173</v>
      </c>
      <c r="N2662" s="4" t="s">
        <v>155</v>
      </c>
      <c r="O2662" s="4" t="s">
        <v>467</v>
      </c>
      <c r="P2662" s="4"/>
    </row>
    <row r="2663" spans="1:16" ht="15">
      <c r="A2663" s="4" t="s">
        <v>3752</v>
      </c>
      <c r="B2663" s="30">
        <v>40054</v>
      </c>
      <c r="C2663" s="4" t="s">
        <v>9</v>
      </c>
      <c r="D2663" s="4" t="s">
        <v>193</v>
      </c>
      <c r="E2663" s="4" t="s">
        <v>170</v>
      </c>
      <c r="F2663" s="4" t="s">
        <v>155</v>
      </c>
      <c r="G2663" s="4">
        <v>5</v>
      </c>
      <c r="H2663" s="4">
        <v>5</v>
      </c>
      <c r="I2663" s="4" t="s">
        <v>140</v>
      </c>
      <c r="J2663" s="4" t="s">
        <v>188</v>
      </c>
      <c r="K2663" s="4" t="s">
        <v>142</v>
      </c>
      <c r="L2663" s="4" t="s">
        <v>4176</v>
      </c>
      <c r="M2663" s="4" t="s">
        <v>498</v>
      </c>
      <c r="N2663" s="4" t="s">
        <v>156</v>
      </c>
      <c r="O2663" s="4" t="s">
        <v>120</v>
      </c>
      <c r="P2663" s="4" t="s">
        <v>660</v>
      </c>
    </row>
    <row r="2664" spans="1:16" ht="15">
      <c r="A2664" s="4" t="s">
        <v>3753</v>
      </c>
      <c r="B2664" s="30">
        <v>39958</v>
      </c>
      <c r="C2664" s="4"/>
      <c r="D2664" s="4" t="s">
        <v>193</v>
      </c>
      <c r="E2664" s="4" t="s">
        <v>170</v>
      </c>
      <c r="F2664" s="4" t="s">
        <v>155</v>
      </c>
      <c r="G2664" s="4"/>
      <c r="H2664" s="4"/>
      <c r="I2664" s="4" t="s">
        <v>140</v>
      </c>
      <c r="J2664" s="4" t="s">
        <v>179</v>
      </c>
      <c r="K2664" s="4" t="s">
        <v>148</v>
      </c>
      <c r="L2664" s="4" t="s">
        <v>162</v>
      </c>
      <c r="M2664" s="4" t="s">
        <v>175</v>
      </c>
      <c r="N2664" s="4" t="s">
        <v>155</v>
      </c>
      <c r="O2664" s="4" t="s">
        <v>454</v>
      </c>
      <c r="P2664" s="4"/>
    </row>
    <row r="2665" spans="1:16" ht="15">
      <c r="A2665" s="4" t="s">
        <v>3754</v>
      </c>
      <c r="B2665" s="30">
        <v>39936</v>
      </c>
      <c r="C2665" s="4"/>
      <c r="D2665" s="4" t="s">
        <v>4177</v>
      </c>
      <c r="E2665" s="4" t="s">
        <v>170</v>
      </c>
      <c r="F2665" s="4" t="s">
        <v>155</v>
      </c>
      <c r="G2665" s="4"/>
      <c r="H2665" s="4"/>
      <c r="I2665" s="4" t="s">
        <v>139</v>
      </c>
      <c r="J2665" s="4" t="s">
        <v>189</v>
      </c>
      <c r="K2665" s="4" t="s">
        <v>142</v>
      </c>
      <c r="L2665" s="4" t="s">
        <v>4181</v>
      </c>
      <c r="M2665" s="4" t="s">
        <v>173</v>
      </c>
      <c r="N2665" s="4" t="s">
        <v>161</v>
      </c>
      <c r="O2665" s="4" t="s">
        <v>2027</v>
      </c>
      <c r="P2665" s="4"/>
    </row>
    <row r="2666" spans="1:16" ht="15">
      <c r="A2666" s="4" t="s">
        <v>3755</v>
      </c>
      <c r="B2666" s="30">
        <v>40053</v>
      </c>
      <c r="C2666" s="4"/>
      <c r="D2666" s="4" t="s">
        <v>193</v>
      </c>
      <c r="E2666" s="4" t="s">
        <v>170</v>
      </c>
      <c r="F2666" s="4" t="s">
        <v>155</v>
      </c>
      <c r="G2666" s="4">
        <v>5</v>
      </c>
      <c r="H2666" s="4">
        <v>3</v>
      </c>
      <c r="I2666" s="4" t="s">
        <v>140</v>
      </c>
      <c r="J2666" s="4" t="s">
        <v>528</v>
      </c>
      <c r="K2666" s="4" t="s">
        <v>143</v>
      </c>
      <c r="L2666" s="4" t="s">
        <v>4176</v>
      </c>
      <c r="M2666" s="4" t="s">
        <v>174</v>
      </c>
      <c r="N2666" s="4" t="s">
        <v>159</v>
      </c>
      <c r="O2666" s="4" t="s">
        <v>123</v>
      </c>
      <c r="P2666" s="4" t="s">
        <v>123</v>
      </c>
    </row>
    <row r="2667" spans="1:16" ht="15">
      <c r="A2667" s="4" t="s">
        <v>3756</v>
      </c>
      <c r="B2667" s="30">
        <v>39930</v>
      </c>
      <c r="C2667" s="4" t="s">
        <v>9</v>
      </c>
      <c r="D2667" s="4" t="s">
        <v>4184</v>
      </c>
      <c r="E2667" s="4" t="s">
        <v>170</v>
      </c>
      <c r="F2667" s="4" t="s">
        <v>155</v>
      </c>
      <c r="G2667" s="4"/>
      <c r="H2667" s="4"/>
      <c r="I2667" s="4" t="s">
        <v>140</v>
      </c>
      <c r="J2667" s="4" t="s">
        <v>180</v>
      </c>
      <c r="K2667" s="4" t="s">
        <v>145</v>
      </c>
      <c r="L2667" s="4" t="s">
        <v>4176</v>
      </c>
      <c r="M2667" s="4" t="s">
        <v>174</v>
      </c>
      <c r="N2667" s="4" t="s">
        <v>157</v>
      </c>
      <c r="O2667" s="4" t="s">
        <v>1113</v>
      </c>
      <c r="P2667" s="4" t="s">
        <v>3757</v>
      </c>
    </row>
    <row r="2668" spans="1:16" ht="15">
      <c r="A2668" s="4" t="s">
        <v>3758</v>
      </c>
      <c r="B2668" s="30">
        <v>39948</v>
      </c>
      <c r="C2668" s="4"/>
      <c r="D2668" s="4" t="s">
        <v>195</v>
      </c>
      <c r="E2668" s="4" t="s">
        <v>170</v>
      </c>
      <c r="F2668" s="4" t="s">
        <v>155</v>
      </c>
      <c r="G2668" s="4"/>
      <c r="H2668" s="4"/>
      <c r="I2668" s="4" t="s">
        <v>139</v>
      </c>
      <c r="J2668" s="4" t="s">
        <v>180</v>
      </c>
      <c r="K2668" s="4" t="s">
        <v>142</v>
      </c>
      <c r="L2668" s="4" t="s">
        <v>4181</v>
      </c>
      <c r="M2668" s="4" t="s">
        <v>173</v>
      </c>
      <c r="N2668" s="4" t="s">
        <v>155</v>
      </c>
      <c r="O2668" s="4" t="s">
        <v>124</v>
      </c>
      <c r="P2668" s="4"/>
    </row>
    <row r="2669" spans="1:16" ht="15">
      <c r="A2669" s="4" t="s">
        <v>3759</v>
      </c>
      <c r="B2669" s="30">
        <v>40076</v>
      </c>
      <c r="C2669" s="4" t="s">
        <v>496</v>
      </c>
      <c r="D2669" s="4" t="s">
        <v>193</v>
      </c>
      <c r="E2669" s="4" t="s">
        <v>170</v>
      </c>
      <c r="F2669" s="4" t="s">
        <v>155</v>
      </c>
      <c r="G2669" s="4">
        <v>5</v>
      </c>
      <c r="H2669" s="4">
        <v>5</v>
      </c>
      <c r="I2669" s="4" t="s">
        <v>140</v>
      </c>
      <c r="J2669" s="4" t="s">
        <v>183</v>
      </c>
      <c r="K2669" s="4" t="s">
        <v>148</v>
      </c>
      <c r="L2669" s="4" t="s">
        <v>4176</v>
      </c>
      <c r="M2669" s="4" t="s">
        <v>174</v>
      </c>
      <c r="N2669" s="4" t="s">
        <v>157</v>
      </c>
      <c r="O2669" s="4" t="s">
        <v>830</v>
      </c>
      <c r="P2669" s="4" t="s">
        <v>3760</v>
      </c>
    </row>
    <row r="2670" spans="1:16" ht="15">
      <c r="A2670" s="4" t="s">
        <v>3761</v>
      </c>
      <c r="B2670" s="30">
        <v>40062</v>
      </c>
      <c r="C2670" s="4"/>
      <c r="D2670" s="4" t="s">
        <v>197</v>
      </c>
      <c r="E2670" s="4" t="s">
        <v>170</v>
      </c>
      <c r="F2670" s="4" t="s">
        <v>155</v>
      </c>
      <c r="G2670" s="4">
        <v>5</v>
      </c>
      <c r="H2670" s="4">
        <v>2</v>
      </c>
      <c r="I2670" s="4" t="s">
        <v>139</v>
      </c>
      <c r="J2670" s="4" t="s">
        <v>178</v>
      </c>
      <c r="K2670" s="4" t="s">
        <v>146</v>
      </c>
      <c r="L2670" s="4" t="s">
        <v>4181</v>
      </c>
      <c r="M2670" s="4" t="s">
        <v>173</v>
      </c>
      <c r="N2670" s="4" t="s">
        <v>155</v>
      </c>
      <c r="O2670" s="4" t="s">
        <v>746</v>
      </c>
      <c r="P2670" s="4"/>
    </row>
    <row r="2671" spans="1:16" ht="15">
      <c r="A2671" s="4" t="s">
        <v>3762</v>
      </c>
      <c r="B2671" s="30">
        <v>39952</v>
      </c>
      <c r="C2671" s="4"/>
      <c r="D2671" s="4" t="s">
        <v>195</v>
      </c>
      <c r="E2671" s="4" t="s">
        <v>170</v>
      </c>
      <c r="F2671" s="4" t="s">
        <v>155</v>
      </c>
      <c r="G2671" s="4"/>
      <c r="H2671" s="4"/>
      <c r="I2671" s="4" t="s">
        <v>139</v>
      </c>
      <c r="J2671" s="4" t="s">
        <v>178</v>
      </c>
      <c r="K2671" s="4" t="s">
        <v>149</v>
      </c>
      <c r="L2671" s="4" t="s">
        <v>4181</v>
      </c>
      <c r="M2671" s="4" t="s">
        <v>2629</v>
      </c>
      <c r="N2671" s="4" t="s">
        <v>155</v>
      </c>
      <c r="O2671" s="4" t="s">
        <v>124</v>
      </c>
      <c r="P2671" s="4"/>
    </row>
    <row r="2672" spans="1:16" ht="15">
      <c r="A2672" s="4" t="s">
        <v>3763</v>
      </c>
      <c r="B2672" s="30">
        <v>39947</v>
      </c>
      <c r="C2672" s="4"/>
      <c r="D2672" s="4" t="s">
        <v>194</v>
      </c>
      <c r="E2672" s="4" t="s">
        <v>170</v>
      </c>
      <c r="F2672" s="4" t="s">
        <v>155</v>
      </c>
      <c r="G2672" s="4"/>
      <c r="H2672" s="4"/>
      <c r="I2672" s="4" t="s">
        <v>139</v>
      </c>
      <c r="J2672" s="4" t="s">
        <v>178</v>
      </c>
      <c r="K2672" s="4" t="s">
        <v>142</v>
      </c>
      <c r="L2672" s="4" t="s">
        <v>4181</v>
      </c>
      <c r="M2672" s="4" t="s">
        <v>173</v>
      </c>
      <c r="N2672" s="4" t="s">
        <v>155</v>
      </c>
      <c r="O2672" s="4" t="s">
        <v>128</v>
      </c>
      <c r="P2672" s="4"/>
    </row>
    <row r="2673" spans="1:16" ht="15">
      <c r="A2673" s="4" t="s">
        <v>3764</v>
      </c>
      <c r="B2673" s="30">
        <v>39947</v>
      </c>
      <c r="C2673" s="4"/>
      <c r="D2673" s="4" t="s">
        <v>195</v>
      </c>
      <c r="E2673" s="4" t="s">
        <v>170</v>
      </c>
      <c r="F2673" s="4" t="s">
        <v>155</v>
      </c>
      <c r="G2673" s="4"/>
      <c r="H2673" s="4"/>
      <c r="I2673" s="4" t="s">
        <v>139</v>
      </c>
      <c r="J2673" s="4" t="s">
        <v>182</v>
      </c>
      <c r="K2673" s="4" t="s">
        <v>145</v>
      </c>
      <c r="L2673" s="4" t="s">
        <v>4181</v>
      </c>
      <c r="M2673" s="4" t="s">
        <v>3765</v>
      </c>
      <c r="N2673" s="4" t="s">
        <v>155</v>
      </c>
      <c r="O2673" s="4" t="s">
        <v>124</v>
      </c>
      <c r="P2673" s="4"/>
    </row>
    <row r="2674" spans="1:16" ht="15">
      <c r="A2674" s="4" t="s">
        <v>3766</v>
      </c>
      <c r="B2674" s="30">
        <v>39911</v>
      </c>
      <c r="C2674" s="4" t="s">
        <v>9</v>
      </c>
      <c r="D2674" s="4" t="s">
        <v>4182</v>
      </c>
      <c r="E2674" s="4" t="s">
        <v>170</v>
      </c>
      <c r="F2674" s="4" t="s">
        <v>155</v>
      </c>
      <c r="G2674" s="4"/>
      <c r="H2674" s="4"/>
      <c r="I2674" s="4" t="s">
        <v>139</v>
      </c>
      <c r="J2674" s="4" t="s">
        <v>186</v>
      </c>
      <c r="K2674" s="4" t="s">
        <v>142</v>
      </c>
      <c r="L2674" s="4" t="s">
        <v>162</v>
      </c>
      <c r="M2674" s="4" t="s">
        <v>175</v>
      </c>
      <c r="N2674" s="4" t="s">
        <v>155</v>
      </c>
      <c r="O2674" s="4" t="s">
        <v>439</v>
      </c>
      <c r="P2674" s="4"/>
    </row>
    <row r="2675" spans="1:16" ht="15">
      <c r="A2675" s="4" t="s">
        <v>3767</v>
      </c>
      <c r="B2675" s="30">
        <v>40010</v>
      </c>
      <c r="C2675" s="4"/>
      <c r="D2675" s="4" t="s">
        <v>193</v>
      </c>
      <c r="E2675" s="4" t="s">
        <v>170</v>
      </c>
      <c r="F2675" s="4" t="s">
        <v>155</v>
      </c>
      <c r="G2675" s="4">
        <v>5</v>
      </c>
      <c r="H2675" s="4">
        <v>4</v>
      </c>
      <c r="I2675" s="4" t="s">
        <v>140</v>
      </c>
      <c r="J2675" s="4" t="s">
        <v>183</v>
      </c>
      <c r="K2675" s="4" t="s">
        <v>142</v>
      </c>
      <c r="L2675" s="4" t="s">
        <v>162</v>
      </c>
      <c r="M2675" s="4"/>
      <c r="N2675" s="4" t="s">
        <v>155</v>
      </c>
      <c r="O2675" s="4" t="s">
        <v>130</v>
      </c>
      <c r="P2675" s="4"/>
    </row>
    <row r="2676" spans="1:16" ht="15">
      <c r="A2676" s="4" t="s">
        <v>3768</v>
      </c>
      <c r="B2676" s="30">
        <v>40081</v>
      </c>
      <c r="C2676" s="4" t="s">
        <v>380</v>
      </c>
      <c r="D2676" s="4" t="s">
        <v>193</v>
      </c>
      <c r="E2676" s="4" t="s">
        <v>170</v>
      </c>
      <c r="F2676" s="4" t="s">
        <v>155</v>
      </c>
      <c r="G2676" s="4">
        <v>3</v>
      </c>
      <c r="H2676" s="4">
        <v>3</v>
      </c>
      <c r="I2676" s="4" t="s">
        <v>140</v>
      </c>
      <c r="J2676" s="4" t="s">
        <v>183</v>
      </c>
      <c r="K2676" s="4" t="s">
        <v>143</v>
      </c>
      <c r="L2676" s="4" t="s">
        <v>4176</v>
      </c>
      <c r="M2676" s="4"/>
      <c r="N2676" s="4" t="s">
        <v>3748</v>
      </c>
      <c r="O2676" s="4" t="s">
        <v>3769</v>
      </c>
      <c r="P2676" s="4" t="s">
        <v>3770</v>
      </c>
    </row>
    <row r="2677" spans="1:16" ht="15">
      <c r="A2677" s="4" t="s">
        <v>3771</v>
      </c>
      <c r="B2677" s="30">
        <v>40009</v>
      </c>
      <c r="C2677" s="4" t="s">
        <v>525</v>
      </c>
      <c r="D2677" s="4" t="s">
        <v>196</v>
      </c>
      <c r="E2677" s="4" t="s">
        <v>170</v>
      </c>
      <c r="F2677" s="4" t="s">
        <v>155</v>
      </c>
      <c r="G2677" s="4">
        <v>1</v>
      </c>
      <c r="H2677" s="4">
        <v>5</v>
      </c>
      <c r="I2677" s="4" t="s">
        <v>139</v>
      </c>
      <c r="J2677" s="4" t="s">
        <v>180</v>
      </c>
      <c r="K2677" s="4" t="s">
        <v>144</v>
      </c>
      <c r="L2677" s="4" t="s">
        <v>4176</v>
      </c>
      <c r="M2677" s="4" t="s">
        <v>174</v>
      </c>
      <c r="N2677" s="4" t="s">
        <v>160</v>
      </c>
      <c r="O2677" s="4" t="s">
        <v>392</v>
      </c>
      <c r="P2677" s="4" t="s">
        <v>393</v>
      </c>
    </row>
    <row r="2678" spans="1:16" ht="15">
      <c r="A2678" s="4" t="s">
        <v>3772</v>
      </c>
      <c r="B2678" s="30">
        <v>39933</v>
      </c>
      <c r="C2678" s="4"/>
      <c r="D2678" s="4" t="s">
        <v>4183</v>
      </c>
      <c r="E2678" s="4" t="s">
        <v>170</v>
      </c>
      <c r="F2678" s="4" t="s">
        <v>155</v>
      </c>
      <c r="G2678" s="4"/>
      <c r="H2678" s="4"/>
      <c r="I2678" s="4" t="s">
        <v>140</v>
      </c>
      <c r="J2678" s="4" t="s">
        <v>180</v>
      </c>
      <c r="K2678" s="4" t="s">
        <v>142</v>
      </c>
      <c r="L2678" s="4" t="s">
        <v>162</v>
      </c>
      <c r="M2678" s="4" t="s">
        <v>175</v>
      </c>
      <c r="N2678" s="4" t="s">
        <v>155</v>
      </c>
      <c r="O2678" s="4" t="s">
        <v>129</v>
      </c>
      <c r="P2678" s="4"/>
    </row>
    <row r="2679" spans="1:16" ht="15">
      <c r="A2679" s="4" t="s">
        <v>3773</v>
      </c>
      <c r="B2679" s="30">
        <v>39993</v>
      </c>
      <c r="C2679" s="4"/>
      <c r="D2679" s="4" t="s">
        <v>195</v>
      </c>
      <c r="E2679" s="4" t="s">
        <v>170</v>
      </c>
      <c r="F2679" s="4" t="s">
        <v>155</v>
      </c>
      <c r="G2679" s="4"/>
      <c r="H2679" s="4">
        <v>5</v>
      </c>
      <c r="I2679" s="4" t="s">
        <v>139</v>
      </c>
      <c r="J2679" s="4" t="s">
        <v>191</v>
      </c>
      <c r="K2679" s="4" t="s">
        <v>144</v>
      </c>
      <c r="L2679" s="4" t="s">
        <v>4181</v>
      </c>
      <c r="M2679" s="4"/>
      <c r="N2679" s="4" t="s">
        <v>155</v>
      </c>
      <c r="O2679" s="4" t="s">
        <v>124</v>
      </c>
      <c r="P2679" s="4"/>
    </row>
    <row r="2680" spans="1:16" ht="15">
      <c r="A2680" s="4" t="s">
        <v>3774</v>
      </c>
      <c r="B2680" s="30">
        <v>39956</v>
      </c>
      <c r="C2680" s="4" t="s">
        <v>380</v>
      </c>
      <c r="D2680" s="4" t="s">
        <v>195</v>
      </c>
      <c r="E2680" s="4" t="s">
        <v>170</v>
      </c>
      <c r="F2680" s="4" t="s">
        <v>155</v>
      </c>
      <c r="G2680" s="4"/>
      <c r="H2680" s="4"/>
      <c r="I2680" s="4" t="s">
        <v>139</v>
      </c>
      <c r="J2680" s="4" t="s">
        <v>186</v>
      </c>
      <c r="K2680" s="4" t="s">
        <v>143</v>
      </c>
      <c r="L2680" s="4" t="s">
        <v>4176</v>
      </c>
      <c r="M2680" s="4" t="s">
        <v>2371</v>
      </c>
      <c r="N2680" s="4" t="s">
        <v>159</v>
      </c>
      <c r="O2680" s="4" t="s">
        <v>126</v>
      </c>
      <c r="P2680" s="4" t="s">
        <v>601</v>
      </c>
    </row>
    <row r="2681" spans="1:16" ht="15">
      <c r="A2681" s="4" t="s">
        <v>3775</v>
      </c>
      <c r="B2681" s="30">
        <v>39932</v>
      </c>
      <c r="C2681" s="4" t="s">
        <v>525</v>
      </c>
      <c r="D2681" s="4" t="s">
        <v>4177</v>
      </c>
      <c r="E2681" s="4" t="s">
        <v>170</v>
      </c>
      <c r="F2681" s="4" t="s">
        <v>155</v>
      </c>
      <c r="G2681" s="4"/>
      <c r="H2681" s="4"/>
      <c r="I2681" s="4" t="s">
        <v>139</v>
      </c>
      <c r="J2681" s="4" t="s">
        <v>433</v>
      </c>
      <c r="K2681" s="4" t="s">
        <v>147</v>
      </c>
      <c r="L2681" s="4" t="s">
        <v>4181</v>
      </c>
      <c r="M2681" s="4"/>
      <c r="N2681" s="4" t="s">
        <v>155</v>
      </c>
      <c r="O2681" s="4" t="s">
        <v>125</v>
      </c>
      <c r="P2681" s="4"/>
    </row>
    <row r="2682" spans="1:16" ht="15">
      <c r="A2682" s="4" t="s">
        <v>3776</v>
      </c>
      <c r="B2682" s="30">
        <v>39911</v>
      </c>
      <c r="C2682" s="4"/>
      <c r="D2682" s="4" t="s">
        <v>4182</v>
      </c>
      <c r="E2682" s="4" t="s">
        <v>170</v>
      </c>
      <c r="F2682" s="4" t="s">
        <v>155</v>
      </c>
      <c r="G2682" s="4"/>
      <c r="H2682" s="4"/>
      <c r="I2682" s="4" t="s">
        <v>139</v>
      </c>
      <c r="J2682" s="4" t="s">
        <v>534</v>
      </c>
      <c r="K2682" s="4" t="s">
        <v>145</v>
      </c>
      <c r="L2682" s="4" t="s">
        <v>4181</v>
      </c>
      <c r="M2682" s="4" t="s">
        <v>173</v>
      </c>
      <c r="N2682" s="4" t="s">
        <v>155</v>
      </c>
      <c r="O2682" s="4" t="s">
        <v>125</v>
      </c>
      <c r="P2682" s="4"/>
    </row>
    <row r="2683" spans="1:16" ht="15">
      <c r="A2683" s="4" t="s">
        <v>3777</v>
      </c>
      <c r="B2683" s="30">
        <v>40075</v>
      </c>
      <c r="C2683" s="4" t="s">
        <v>496</v>
      </c>
      <c r="D2683" s="4" t="s">
        <v>195</v>
      </c>
      <c r="E2683" s="4" t="s">
        <v>170</v>
      </c>
      <c r="F2683" s="4" t="s">
        <v>155</v>
      </c>
      <c r="G2683" s="4">
        <v>5</v>
      </c>
      <c r="H2683" s="4">
        <v>5</v>
      </c>
      <c r="I2683" s="4" t="s">
        <v>139</v>
      </c>
      <c r="J2683" s="4" t="s">
        <v>433</v>
      </c>
      <c r="K2683" s="4" t="s">
        <v>146</v>
      </c>
      <c r="L2683" s="4" t="s">
        <v>4181</v>
      </c>
      <c r="M2683" s="4" t="s">
        <v>173</v>
      </c>
      <c r="N2683" s="4" t="s">
        <v>155</v>
      </c>
      <c r="O2683" s="4" t="s">
        <v>128</v>
      </c>
      <c r="P2683" s="4"/>
    </row>
    <row r="2684" spans="1:16" ht="15">
      <c r="A2684" s="4" t="s">
        <v>3778</v>
      </c>
      <c r="B2684" s="30">
        <v>39965</v>
      </c>
      <c r="C2684" s="4"/>
      <c r="D2684" s="4" t="s">
        <v>194</v>
      </c>
      <c r="E2684" s="4" t="s">
        <v>170</v>
      </c>
      <c r="F2684" s="4" t="s">
        <v>155</v>
      </c>
      <c r="G2684" s="4"/>
      <c r="H2684" s="4"/>
      <c r="I2684" s="4" t="s">
        <v>139</v>
      </c>
      <c r="J2684" s="4" t="s">
        <v>433</v>
      </c>
      <c r="K2684" s="4" t="s">
        <v>144</v>
      </c>
      <c r="L2684" s="4" t="s">
        <v>4181</v>
      </c>
      <c r="M2684" s="4" t="s">
        <v>173</v>
      </c>
      <c r="N2684" s="4" t="s">
        <v>155</v>
      </c>
      <c r="O2684" s="4" t="s">
        <v>406</v>
      </c>
      <c r="P2684" s="4"/>
    </row>
    <row r="2685" spans="1:16" ht="15">
      <c r="A2685" s="4" t="s">
        <v>3779</v>
      </c>
      <c r="B2685" s="30">
        <v>40002</v>
      </c>
      <c r="C2685" s="4"/>
      <c r="D2685" s="4" t="s">
        <v>193</v>
      </c>
      <c r="E2685" s="4" t="s">
        <v>170</v>
      </c>
      <c r="F2685" s="4" t="s">
        <v>155</v>
      </c>
      <c r="G2685" s="4"/>
      <c r="H2685" s="4">
        <v>2</v>
      </c>
      <c r="I2685" s="4" t="s">
        <v>140</v>
      </c>
      <c r="J2685" s="4" t="s">
        <v>180</v>
      </c>
      <c r="K2685" s="4" t="s">
        <v>148</v>
      </c>
      <c r="L2685" s="4" t="s">
        <v>162</v>
      </c>
      <c r="M2685" s="4" t="s">
        <v>176</v>
      </c>
      <c r="N2685" s="4" t="s">
        <v>155</v>
      </c>
      <c r="O2685" s="4" t="s">
        <v>130</v>
      </c>
      <c r="P2685" s="4"/>
    </row>
    <row r="2686" spans="1:16" ht="15">
      <c r="A2686" s="4" t="s">
        <v>3780</v>
      </c>
      <c r="B2686" s="30">
        <v>40023</v>
      </c>
      <c r="C2686" s="4"/>
      <c r="D2686" s="4" t="s">
        <v>195</v>
      </c>
      <c r="E2686" s="4" t="s">
        <v>170</v>
      </c>
      <c r="F2686" s="4" t="s">
        <v>155</v>
      </c>
      <c r="G2686" s="4">
        <v>5</v>
      </c>
      <c r="H2686" s="4">
        <v>2</v>
      </c>
      <c r="I2686" s="4" t="s">
        <v>139</v>
      </c>
      <c r="J2686" s="4" t="s">
        <v>180</v>
      </c>
      <c r="K2686" s="4" t="s">
        <v>146</v>
      </c>
      <c r="L2686" s="4" t="s">
        <v>4176</v>
      </c>
      <c r="M2686" s="4" t="s">
        <v>174</v>
      </c>
      <c r="N2686" s="4" t="s">
        <v>156</v>
      </c>
      <c r="O2686" s="4" t="s">
        <v>120</v>
      </c>
      <c r="P2686" s="4" t="s">
        <v>3781</v>
      </c>
    </row>
    <row r="2687" spans="1:16" ht="15">
      <c r="A2687" s="4" t="s">
        <v>3782</v>
      </c>
      <c r="B2687" s="30">
        <v>40012</v>
      </c>
      <c r="C2687" s="4"/>
      <c r="D2687" s="4" t="s">
        <v>195</v>
      </c>
      <c r="E2687" s="4" t="s">
        <v>170</v>
      </c>
      <c r="F2687" s="4" t="s">
        <v>155</v>
      </c>
      <c r="G2687" s="4">
        <v>5</v>
      </c>
      <c r="H2687" s="4">
        <v>5</v>
      </c>
      <c r="I2687" s="4" t="s">
        <v>139</v>
      </c>
      <c r="J2687" s="4" t="s">
        <v>180</v>
      </c>
      <c r="K2687" s="4" t="s">
        <v>143</v>
      </c>
      <c r="L2687" s="4" t="s">
        <v>4181</v>
      </c>
      <c r="M2687" s="4" t="s">
        <v>173</v>
      </c>
      <c r="N2687" s="4" t="s">
        <v>155</v>
      </c>
      <c r="O2687" s="4" t="s">
        <v>510</v>
      </c>
      <c r="P2687" s="4"/>
    </row>
    <row r="2688" spans="1:16" ht="15">
      <c r="A2688" s="4" t="s">
        <v>3783</v>
      </c>
      <c r="B2688" s="30">
        <v>40076</v>
      </c>
      <c r="C2688" s="4"/>
      <c r="D2688" s="4" t="s">
        <v>544</v>
      </c>
      <c r="E2688" s="4" t="s">
        <v>170</v>
      </c>
      <c r="F2688" s="4" t="s">
        <v>155</v>
      </c>
      <c r="G2688" s="4">
        <v>2</v>
      </c>
      <c r="H2688" s="4">
        <v>5</v>
      </c>
      <c r="I2688" s="4" t="s">
        <v>139</v>
      </c>
      <c r="J2688" s="4" t="s">
        <v>180</v>
      </c>
      <c r="K2688" s="4" t="s">
        <v>144</v>
      </c>
      <c r="L2688" s="4" t="s">
        <v>4181</v>
      </c>
      <c r="M2688" s="4"/>
      <c r="N2688" s="4" t="s">
        <v>155</v>
      </c>
      <c r="O2688" s="4" t="s">
        <v>128</v>
      </c>
      <c r="P2688" s="4"/>
    </row>
    <row r="2689" spans="1:16" ht="15">
      <c r="A2689" s="4" t="s">
        <v>3784</v>
      </c>
      <c r="B2689" s="30">
        <v>39996</v>
      </c>
      <c r="C2689" s="4"/>
      <c r="D2689" s="4" t="s">
        <v>196</v>
      </c>
      <c r="E2689" s="4" t="s">
        <v>170</v>
      </c>
      <c r="F2689" s="4" t="s">
        <v>155</v>
      </c>
      <c r="G2689" s="4"/>
      <c r="H2689" s="4">
        <v>5</v>
      </c>
      <c r="I2689" s="4" t="s">
        <v>139</v>
      </c>
      <c r="J2689" s="4" t="s">
        <v>433</v>
      </c>
      <c r="K2689" s="4" t="s">
        <v>142</v>
      </c>
      <c r="L2689" s="4" t="s">
        <v>4176</v>
      </c>
      <c r="M2689" s="4" t="s">
        <v>175</v>
      </c>
      <c r="N2689" s="4" t="s">
        <v>125</v>
      </c>
      <c r="O2689" s="4" t="s">
        <v>3785</v>
      </c>
      <c r="P2689" s="4" t="s">
        <v>3786</v>
      </c>
    </row>
    <row r="2690" spans="1:16" ht="15">
      <c r="A2690" s="4" t="s">
        <v>3787</v>
      </c>
      <c r="B2690" s="30">
        <v>40019</v>
      </c>
      <c r="C2690" s="4"/>
      <c r="D2690" s="4" t="s">
        <v>197</v>
      </c>
      <c r="E2690" s="4" t="s">
        <v>170</v>
      </c>
      <c r="F2690" s="4" t="s">
        <v>155</v>
      </c>
      <c r="G2690" s="4">
        <v>5</v>
      </c>
      <c r="H2690" s="4">
        <v>2</v>
      </c>
      <c r="I2690" s="4" t="s">
        <v>139</v>
      </c>
      <c r="J2690" s="4" t="s">
        <v>186</v>
      </c>
      <c r="K2690" s="4" t="s">
        <v>151</v>
      </c>
      <c r="L2690" s="4" t="s">
        <v>4181</v>
      </c>
      <c r="M2690" s="4" t="s">
        <v>173</v>
      </c>
      <c r="N2690" s="4" t="s">
        <v>155</v>
      </c>
      <c r="O2690" s="4" t="s">
        <v>1075</v>
      </c>
      <c r="P2690" s="4"/>
    </row>
    <row r="2691" spans="1:16" ht="15">
      <c r="A2691" s="4" t="s">
        <v>3788</v>
      </c>
      <c r="B2691" s="30">
        <v>39948</v>
      </c>
      <c r="C2691" s="4" t="s">
        <v>380</v>
      </c>
      <c r="D2691" s="4" t="s">
        <v>193</v>
      </c>
      <c r="E2691" s="4" t="s">
        <v>170</v>
      </c>
      <c r="F2691" s="4" t="s">
        <v>155</v>
      </c>
      <c r="G2691" s="4"/>
      <c r="H2691" s="4"/>
      <c r="I2691" s="4" t="s">
        <v>140</v>
      </c>
      <c r="J2691" s="4" t="s">
        <v>186</v>
      </c>
      <c r="K2691" s="4" t="s">
        <v>149</v>
      </c>
      <c r="L2691" s="4" t="s">
        <v>165</v>
      </c>
      <c r="M2691" s="4" t="s">
        <v>3789</v>
      </c>
      <c r="N2691" s="4" t="s">
        <v>158</v>
      </c>
      <c r="O2691" s="4" t="s">
        <v>122</v>
      </c>
      <c r="P2691" s="4"/>
    </row>
    <row r="2692" spans="1:16" ht="15">
      <c r="A2692" s="4" t="s">
        <v>3790</v>
      </c>
      <c r="B2692" s="30">
        <v>40048</v>
      </c>
      <c r="C2692" s="4"/>
      <c r="D2692" s="4" t="s">
        <v>193</v>
      </c>
      <c r="E2692" s="4" t="s">
        <v>170</v>
      </c>
      <c r="F2692" s="4" t="s">
        <v>155</v>
      </c>
      <c r="G2692" s="4">
        <v>5</v>
      </c>
      <c r="H2692" s="4">
        <v>3</v>
      </c>
      <c r="I2692" s="4" t="s">
        <v>140</v>
      </c>
      <c r="J2692" s="4" t="s">
        <v>183</v>
      </c>
      <c r="K2692" s="4" t="s">
        <v>142</v>
      </c>
      <c r="L2692" s="4" t="s">
        <v>4176</v>
      </c>
      <c r="M2692" s="4" t="s">
        <v>2873</v>
      </c>
      <c r="N2692" s="4" t="s">
        <v>159</v>
      </c>
      <c r="O2692" s="4" t="s">
        <v>123</v>
      </c>
      <c r="P2692" s="4" t="s">
        <v>123</v>
      </c>
    </row>
    <row r="2693" spans="1:16" ht="15">
      <c r="A2693" s="4" t="s">
        <v>3791</v>
      </c>
      <c r="B2693" s="30">
        <v>39995</v>
      </c>
      <c r="C2693" s="4"/>
      <c r="D2693" s="4" t="s">
        <v>196</v>
      </c>
      <c r="E2693" s="4" t="s">
        <v>170</v>
      </c>
      <c r="F2693" s="4" t="s">
        <v>155</v>
      </c>
      <c r="G2693" s="4"/>
      <c r="H2693" s="4">
        <v>5</v>
      </c>
      <c r="I2693" s="4" t="s">
        <v>139</v>
      </c>
      <c r="J2693" s="4" t="s">
        <v>181</v>
      </c>
      <c r="K2693" s="4" t="s">
        <v>149</v>
      </c>
      <c r="L2693" s="4" t="s">
        <v>162</v>
      </c>
      <c r="M2693" s="4" t="s">
        <v>175</v>
      </c>
      <c r="N2693" s="4" t="s">
        <v>155</v>
      </c>
      <c r="O2693" s="4" t="s">
        <v>130</v>
      </c>
      <c r="P2693" s="4"/>
    </row>
    <row r="2694" spans="1:16" ht="15">
      <c r="A2694" s="4" t="s">
        <v>3792</v>
      </c>
      <c r="B2694" s="30">
        <v>39940</v>
      </c>
      <c r="C2694" s="4" t="s">
        <v>9</v>
      </c>
      <c r="D2694" s="4" t="s">
        <v>4183</v>
      </c>
      <c r="E2694" s="4" t="s">
        <v>170</v>
      </c>
      <c r="F2694" s="4" t="s">
        <v>155</v>
      </c>
      <c r="G2694" s="4"/>
      <c r="H2694" s="4"/>
      <c r="I2694" s="4" t="s">
        <v>140</v>
      </c>
      <c r="J2694" s="4" t="s">
        <v>181</v>
      </c>
      <c r="K2694" s="4" t="s">
        <v>142</v>
      </c>
      <c r="L2694" s="4" t="s">
        <v>4181</v>
      </c>
      <c r="M2694" s="4" t="s">
        <v>173</v>
      </c>
      <c r="N2694" s="4" t="s">
        <v>155</v>
      </c>
      <c r="O2694" s="4" t="s">
        <v>406</v>
      </c>
      <c r="P2694" s="4"/>
    </row>
    <row r="2695" spans="1:16" ht="15">
      <c r="A2695" s="4" t="s">
        <v>3793</v>
      </c>
      <c r="B2695" s="30">
        <v>40008</v>
      </c>
      <c r="C2695" s="4" t="s">
        <v>383</v>
      </c>
      <c r="D2695" s="4" t="s">
        <v>193</v>
      </c>
      <c r="E2695" s="4" t="s">
        <v>170</v>
      </c>
      <c r="F2695" s="4" t="s">
        <v>155</v>
      </c>
      <c r="G2695" s="4">
        <v>3</v>
      </c>
      <c r="H2695" s="4">
        <v>3</v>
      </c>
      <c r="I2695" s="4" t="s">
        <v>140</v>
      </c>
      <c r="J2695" s="4" t="s">
        <v>186</v>
      </c>
      <c r="K2695" s="4" t="s">
        <v>149</v>
      </c>
      <c r="L2695" s="4" t="s">
        <v>162</v>
      </c>
      <c r="M2695" s="4" t="s">
        <v>176</v>
      </c>
      <c r="N2695" s="4" t="s">
        <v>155</v>
      </c>
      <c r="O2695" s="4" t="s">
        <v>130</v>
      </c>
      <c r="P2695" s="4"/>
    </row>
    <row r="2696" spans="1:16" ht="15">
      <c r="A2696" s="4" t="s">
        <v>3794</v>
      </c>
      <c r="B2696" s="30">
        <v>40024</v>
      </c>
      <c r="C2696" s="4"/>
      <c r="D2696" s="4" t="s">
        <v>193</v>
      </c>
      <c r="E2696" s="4" t="s">
        <v>170</v>
      </c>
      <c r="F2696" s="4" t="s">
        <v>155</v>
      </c>
      <c r="G2696" s="4">
        <v>5</v>
      </c>
      <c r="H2696" s="4">
        <v>5</v>
      </c>
      <c r="I2696" s="4" t="s">
        <v>140</v>
      </c>
      <c r="J2696" s="4" t="s">
        <v>186</v>
      </c>
      <c r="K2696" s="4" t="s">
        <v>145</v>
      </c>
      <c r="L2696" s="4" t="s">
        <v>4176</v>
      </c>
      <c r="M2696" s="4" t="s">
        <v>2438</v>
      </c>
      <c r="N2696" s="4" t="s">
        <v>156</v>
      </c>
      <c r="O2696" s="4" t="s">
        <v>120</v>
      </c>
      <c r="P2696" s="4" t="s">
        <v>123</v>
      </c>
    </row>
    <row r="2697" spans="1:16" ht="15">
      <c r="A2697" s="4" t="s">
        <v>3795</v>
      </c>
      <c r="B2697" s="30">
        <v>39949</v>
      </c>
      <c r="C2697" s="4" t="s">
        <v>9</v>
      </c>
      <c r="D2697" s="4" t="s">
        <v>194</v>
      </c>
      <c r="E2697" s="4" t="s">
        <v>170</v>
      </c>
      <c r="F2697" s="4" t="s">
        <v>155</v>
      </c>
      <c r="G2697" s="4"/>
      <c r="H2697" s="4"/>
      <c r="I2697" s="4" t="s">
        <v>139</v>
      </c>
      <c r="J2697" s="4" t="s">
        <v>183</v>
      </c>
      <c r="K2697" s="4" t="s">
        <v>150</v>
      </c>
      <c r="L2697" s="4" t="s">
        <v>4181</v>
      </c>
      <c r="M2697" s="4" t="s">
        <v>173</v>
      </c>
      <c r="N2697" s="4" t="s">
        <v>155</v>
      </c>
      <c r="O2697" s="4" t="s">
        <v>124</v>
      </c>
      <c r="P2697" s="4"/>
    </row>
    <row r="2698" spans="1:16" ht="15">
      <c r="A2698" s="4" t="s">
        <v>3796</v>
      </c>
      <c r="B2698" s="30">
        <v>40026</v>
      </c>
      <c r="C2698" s="4"/>
      <c r="D2698" s="4" t="s">
        <v>197</v>
      </c>
      <c r="E2698" s="4" t="s">
        <v>170</v>
      </c>
      <c r="F2698" s="4" t="s">
        <v>155</v>
      </c>
      <c r="G2698" s="4">
        <v>5</v>
      </c>
      <c r="H2698" s="4">
        <v>5</v>
      </c>
      <c r="I2698" s="4" t="s">
        <v>139</v>
      </c>
      <c r="J2698" s="4" t="s">
        <v>183</v>
      </c>
      <c r="K2698" s="4" t="s">
        <v>145</v>
      </c>
      <c r="L2698" s="4" t="s">
        <v>162</v>
      </c>
      <c r="M2698" s="4" t="s">
        <v>459</v>
      </c>
      <c r="N2698" s="4" t="s">
        <v>155</v>
      </c>
      <c r="O2698" s="4" t="s">
        <v>129</v>
      </c>
      <c r="P2698" s="4"/>
    </row>
    <row r="2699" spans="1:16" ht="15">
      <c r="A2699" s="4" t="s">
        <v>3797</v>
      </c>
      <c r="B2699" s="30">
        <v>39979</v>
      </c>
      <c r="C2699" s="4" t="s">
        <v>9</v>
      </c>
      <c r="D2699" s="4" t="s">
        <v>193</v>
      </c>
      <c r="E2699" s="4" t="s">
        <v>170</v>
      </c>
      <c r="F2699" s="4" t="s">
        <v>155</v>
      </c>
      <c r="G2699" s="4"/>
      <c r="H2699" s="4"/>
      <c r="I2699" s="4" t="s">
        <v>140</v>
      </c>
      <c r="J2699" s="4" t="s">
        <v>178</v>
      </c>
      <c r="K2699" s="4" t="s">
        <v>143</v>
      </c>
      <c r="L2699" s="4" t="s">
        <v>4181</v>
      </c>
      <c r="M2699" s="4" t="s">
        <v>902</v>
      </c>
      <c r="N2699" s="4" t="s">
        <v>155</v>
      </c>
      <c r="O2699" s="4" t="s">
        <v>125</v>
      </c>
      <c r="P2699" s="4"/>
    </row>
    <row r="2700" spans="1:16" ht="15">
      <c r="A2700" s="4" t="s">
        <v>3798</v>
      </c>
      <c r="B2700" s="30">
        <v>40074</v>
      </c>
      <c r="C2700" s="4"/>
      <c r="D2700" s="4" t="s">
        <v>195</v>
      </c>
      <c r="E2700" s="4" t="s">
        <v>170</v>
      </c>
      <c r="F2700" s="4" t="s">
        <v>155</v>
      </c>
      <c r="G2700" s="4">
        <v>2</v>
      </c>
      <c r="H2700" s="4">
        <v>5</v>
      </c>
      <c r="I2700" s="4" t="s">
        <v>139</v>
      </c>
      <c r="J2700" s="4" t="s">
        <v>180</v>
      </c>
      <c r="K2700" s="4" t="s">
        <v>142</v>
      </c>
      <c r="L2700" s="4" t="s">
        <v>4181</v>
      </c>
      <c r="M2700" s="4" t="s">
        <v>3799</v>
      </c>
      <c r="N2700" s="4" t="s">
        <v>155</v>
      </c>
      <c r="O2700" s="4" t="s">
        <v>128</v>
      </c>
      <c r="P2700" s="4"/>
    </row>
    <row r="2701" spans="1:16" ht="15">
      <c r="A2701" s="4" t="s">
        <v>3800</v>
      </c>
      <c r="B2701" s="30">
        <v>39994</v>
      </c>
      <c r="C2701" s="4"/>
      <c r="D2701" s="4" t="s">
        <v>193</v>
      </c>
      <c r="E2701" s="4" t="s">
        <v>170</v>
      </c>
      <c r="F2701" s="4" t="s">
        <v>155</v>
      </c>
      <c r="G2701" s="4"/>
      <c r="H2701" s="4">
        <v>5</v>
      </c>
      <c r="I2701" s="4" t="s">
        <v>140</v>
      </c>
      <c r="J2701" s="4" t="s">
        <v>180</v>
      </c>
      <c r="K2701" s="4" t="s">
        <v>148</v>
      </c>
      <c r="L2701" s="4" t="s">
        <v>162</v>
      </c>
      <c r="M2701" s="4"/>
      <c r="N2701" s="4" t="s">
        <v>155</v>
      </c>
      <c r="O2701" s="4" t="s">
        <v>704</v>
      </c>
      <c r="P2701" s="4"/>
    </row>
    <row r="2702" spans="1:16" ht="15">
      <c r="A2702" s="4" t="s">
        <v>3801</v>
      </c>
      <c r="B2702" s="30">
        <v>39970</v>
      </c>
      <c r="C2702" s="4"/>
      <c r="D2702" s="4" t="s">
        <v>193</v>
      </c>
      <c r="E2702" s="4" t="s">
        <v>170</v>
      </c>
      <c r="F2702" s="4" t="s">
        <v>155</v>
      </c>
      <c r="G2702" s="4"/>
      <c r="H2702" s="4"/>
      <c r="I2702" s="4" t="s">
        <v>140</v>
      </c>
      <c r="J2702" s="4" t="s">
        <v>178</v>
      </c>
      <c r="K2702" s="4" t="s">
        <v>144</v>
      </c>
      <c r="L2702" s="4" t="s">
        <v>4176</v>
      </c>
      <c r="M2702" s="4" t="s">
        <v>1722</v>
      </c>
      <c r="N2702" s="4" t="s">
        <v>157</v>
      </c>
      <c r="O2702" s="4" t="s">
        <v>127</v>
      </c>
      <c r="P2702" s="4" t="s">
        <v>153</v>
      </c>
    </row>
    <row r="2703" spans="1:16" ht="15">
      <c r="A2703" s="4" t="s">
        <v>3802</v>
      </c>
      <c r="B2703" s="30">
        <v>40018</v>
      </c>
      <c r="C2703" s="4"/>
      <c r="D2703" s="4" t="s">
        <v>197</v>
      </c>
      <c r="E2703" s="4" t="s">
        <v>170</v>
      </c>
      <c r="F2703" s="4" t="s">
        <v>155</v>
      </c>
      <c r="G2703" s="4">
        <v>3</v>
      </c>
      <c r="H2703" s="4">
        <v>3</v>
      </c>
      <c r="I2703" s="4" t="s">
        <v>139</v>
      </c>
      <c r="J2703" s="4" t="s">
        <v>178</v>
      </c>
      <c r="K2703" s="4" t="s">
        <v>142</v>
      </c>
      <c r="L2703" s="4" t="s">
        <v>162</v>
      </c>
      <c r="M2703" s="4" t="s">
        <v>597</v>
      </c>
      <c r="N2703" s="4" t="s">
        <v>155</v>
      </c>
      <c r="O2703" s="4" t="s">
        <v>130</v>
      </c>
      <c r="P2703" s="4"/>
    </row>
    <row r="2704" spans="1:16" ht="15">
      <c r="A2704" s="4" t="s">
        <v>3803</v>
      </c>
      <c r="B2704" s="30">
        <v>40022</v>
      </c>
      <c r="C2704" s="4"/>
      <c r="D2704" s="4" t="s">
        <v>193</v>
      </c>
      <c r="E2704" s="4" t="s">
        <v>170</v>
      </c>
      <c r="F2704" s="4" t="s">
        <v>155</v>
      </c>
      <c r="G2704" s="4">
        <v>5</v>
      </c>
      <c r="H2704" s="4">
        <v>5</v>
      </c>
      <c r="I2704" s="4" t="s">
        <v>140</v>
      </c>
      <c r="J2704" s="4" t="s">
        <v>178</v>
      </c>
      <c r="K2704" s="4" t="s">
        <v>144</v>
      </c>
      <c r="L2704" s="4" t="s">
        <v>4176</v>
      </c>
      <c r="M2704" s="4" t="s">
        <v>2900</v>
      </c>
      <c r="N2704" s="4" t="s">
        <v>157</v>
      </c>
      <c r="O2704" s="4" t="s">
        <v>127</v>
      </c>
      <c r="P2704" s="4" t="s">
        <v>153</v>
      </c>
    </row>
    <row r="2705" spans="1:16" ht="15">
      <c r="A2705" s="4" t="s">
        <v>3804</v>
      </c>
      <c r="B2705" s="30">
        <v>39919</v>
      </c>
      <c r="C2705" s="4"/>
      <c r="D2705" s="4" t="s">
        <v>4178</v>
      </c>
      <c r="E2705" s="4" t="s">
        <v>170</v>
      </c>
      <c r="F2705" s="4" t="s">
        <v>155</v>
      </c>
      <c r="G2705" s="4"/>
      <c r="H2705" s="4"/>
      <c r="I2705" s="4" t="s">
        <v>139</v>
      </c>
      <c r="J2705" s="4" t="s">
        <v>433</v>
      </c>
      <c r="K2705" s="4" t="s">
        <v>150</v>
      </c>
      <c r="L2705" s="4" t="s">
        <v>4176</v>
      </c>
      <c r="M2705" s="4" t="s">
        <v>174</v>
      </c>
      <c r="N2705" s="4" t="s">
        <v>156</v>
      </c>
      <c r="O2705" s="4" t="s">
        <v>120</v>
      </c>
      <c r="P2705" s="4" t="s">
        <v>832</v>
      </c>
    </row>
    <row r="2706" spans="1:16" ht="15">
      <c r="A2706" s="4" t="s">
        <v>3805</v>
      </c>
      <c r="B2706" s="30">
        <v>39914</v>
      </c>
      <c r="C2706" s="4"/>
      <c r="D2706" s="4" t="s">
        <v>4179</v>
      </c>
      <c r="E2706" s="4" t="s">
        <v>170</v>
      </c>
      <c r="F2706" s="4" t="s">
        <v>155</v>
      </c>
      <c r="G2706" s="4"/>
      <c r="H2706" s="4"/>
      <c r="I2706" s="4" t="s">
        <v>139</v>
      </c>
      <c r="J2706" s="4" t="s">
        <v>181</v>
      </c>
      <c r="K2706" s="4" t="s">
        <v>142</v>
      </c>
      <c r="L2706" s="4" t="s">
        <v>162</v>
      </c>
      <c r="M2706" s="4" t="s">
        <v>175</v>
      </c>
      <c r="N2706" s="4" t="s">
        <v>155</v>
      </c>
      <c r="O2706" s="4" t="s">
        <v>387</v>
      </c>
      <c r="P2706" s="4"/>
    </row>
    <row r="2707" spans="1:16" ht="15">
      <c r="A2707" s="4" t="s">
        <v>3806</v>
      </c>
      <c r="B2707" s="30">
        <v>39982</v>
      </c>
      <c r="C2707" s="4"/>
      <c r="D2707" s="4" t="s">
        <v>196</v>
      </c>
      <c r="E2707" s="4" t="s">
        <v>170</v>
      </c>
      <c r="F2707" s="4" t="s">
        <v>155</v>
      </c>
      <c r="G2707" s="4"/>
      <c r="H2707" s="4"/>
      <c r="I2707" s="4" t="s">
        <v>139</v>
      </c>
      <c r="J2707" s="4" t="s">
        <v>433</v>
      </c>
      <c r="K2707" s="4" t="s">
        <v>145</v>
      </c>
      <c r="L2707" s="4" t="s">
        <v>4181</v>
      </c>
      <c r="M2707" s="4" t="s">
        <v>173</v>
      </c>
      <c r="N2707" s="4" t="s">
        <v>155</v>
      </c>
      <c r="O2707" s="4" t="s">
        <v>798</v>
      </c>
      <c r="P2707" s="4"/>
    </row>
    <row r="2708" spans="1:16" ht="15">
      <c r="A2708" s="4" t="s">
        <v>3807</v>
      </c>
      <c r="B2708" s="30">
        <v>39998</v>
      </c>
      <c r="C2708" s="4"/>
      <c r="D2708" s="4" t="s">
        <v>193</v>
      </c>
      <c r="E2708" s="4" t="s">
        <v>170</v>
      </c>
      <c r="F2708" s="4" t="s">
        <v>155</v>
      </c>
      <c r="G2708" s="4"/>
      <c r="H2708" s="4">
        <v>3</v>
      </c>
      <c r="I2708" s="4" t="s">
        <v>140</v>
      </c>
      <c r="J2708" s="4" t="s">
        <v>183</v>
      </c>
      <c r="K2708" s="4" t="s">
        <v>142</v>
      </c>
      <c r="L2708" s="4" t="s">
        <v>4181</v>
      </c>
      <c r="M2708" s="4" t="s">
        <v>173</v>
      </c>
      <c r="N2708" s="4" t="s">
        <v>155</v>
      </c>
      <c r="O2708" s="4" t="s">
        <v>124</v>
      </c>
      <c r="P2708" s="4"/>
    </row>
    <row r="2709" spans="1:16" ht="15">
      <c r="A2709" s="4" t="s">
        <v>3808</v>
      </c>
      <c r="B2709" s="30">
        <v>39943</v>
      </c>
      <c r="C2709" s="4"/>
      <c r="D2709" s="4" t="s">
        <v>193</v>
      </c>
      <c r="E2709" s="4" t="s">
        <v>170</v>
      </c>
      <c r="F2709" s="4" t="s">
        <v>155</v>
      </c>
      <c r="G2709" s="4"/>
      <c r="H2709" s="4"/>
      <c r="I2709" s="4" t="s">
        <v>140</v>
      </c>
      <c r="J2709" s="4" t="s">
        <v>186</v>
      </c>
      <c r="K2709" s="4" t="s">
        <v>142</v>
      </c>
      <c r="L2709" s="4" t="s">
        <v>4181</v>
      </c>
      <c r="M2709" s="4" t="s">
        <v>415</v>
      </c>
      <c r="N2709" s="4" t="s">
        <v>155</v>
      </c>
      <c r="O2709" s="4" t="s">
        <v>1186</v>
      </c>
      <c r="P2709" s="4"/>
    </row>
    <row r="2710" spans="1:16" ht="15">
      <c r="A2710" s="4" t="s">
        <v>3809</v>
      </c>
      <c r="B2710" s="30">
        <v>39961</v>
      </c>
      <c r="C2710" s="4"/>
      <c r="D2710" s="4" t="s">
        <v>195</v>
      </c>
      <c r="E2710" s="4" t="s">
        <v>170</v>
      </c>
      <c r="F2710" s="4" t="s">
        <v>155</v>
      </c>
      <c r="G2710" s="4"/>
      <c r="H2710" s="4"/>
      <c r="I2710" s="4" t="s">
        <v>139</v>
      </c>
      <c r="J2710" s="4" t="s">
        <v>184</v>
      </c>
      <c r="K2710" s="4" t="s">
        <v>146</v>
      </c>
      <c r="L2710" s="4" t="s">
        <v>162</v>
      </c>
      <c r="M2710" s="4" t="s">
        <v>176</v>
      </c>
      <c r="N2710" s="4" t="s">
        <v>155</v>
      </c>
      <c r="O2710" s="4" t="s">
        <v>130</v>
      </c>
      <c r="P2710" s="4"/>
    </row>
    <row r="2711" spans="1:16" ht="15">
      <c r="A2711" s="4" t="s">
        <v>3810</v>
      </c>
      <c r="B2711" s="30">
        <v>39942</v>
      </c>
      <c r="C2711" s="4"/>
      <c r="D2711" s="4" t="s">
        <v>195</v>
      </c>
      <c r="E2711" s="4" t="s">
        <v>170</v>
      </c>
      <c r="F2711" s="4" t="s">
        <v>155</v>
      </c>
      <c r="G2711" s="4"/>
      <c r="H2711" s="4"/>
      <c r="I2711" s="4" t="s">
        <v>139</v>
      </c>
      <c r="J2711" s="4" t="s">
        <v>1034</v>
      </c>
      <c r="K2711" s="4" t="s">
        <v>148</v>
      </c>
      <c r="L2711" s="4" t="s">
        <v>162</v>
      </c>
      <c r="M2711" s="4" t="s">
        <v>175</v>
      </c>
      <c r="N2711" s="4" t="s">
        <v>155</v>
      </c>
      <c r="O2711" s="4" t="s">
        <v>130</v>
      </c>
      <c r="P2711" s="4"/>
    </row>
    <row r="2712" spans="1:16" ht="15">
      <c r="A2712" s="4" t="s">
        <v>3811</v>
      </c>
      <c r="B2712" s="30">
        <v>39983</v>
      </c>
      <c r="C2712" s="4"/>
      <c r="D2712" s="4" t="s">
        <v>193</v>
      </c>
      <c r="E2712" s="4" t="s">
        <v>170</v>
      </c>
      <c r="F2712" s="4" t="s">
        <v>155</v>
      </c>
      <c r="G2712" s="4"/>
      <c r="H2712" s="4"/>
      <c r="I2712" s="4" t="s">
        <v>140</v>
      </c>
      <c r="J2712" s="4" t="s">
        <v>1034</v>
      </c>
      <c r="K2712" s="4" t="s">
        <v>142</v>
      </c>
      <c r="L2712" s="4" t="s">
        <v>4181</v>
      </c>
      <c r="M2712" s="4" t="s">
        <v>173</v>
      </c>
      <c r="N2712" s="4" t="s">
        <v>155</v>
      </c>
      <c r="O2712" s="4" t="s">
        <v>467</v>
      </c>
      <c r="P2712" s="4"/>
    </row>
    <row r="2713" spans="1:16" ht="15">
      <c r="A2713" s="4" t="s">
        <v>3812</v>
      </c>
      <c r="B2713" s="30">
        <v>39986</v>
      </c>
      <c r="C2713" s="4"/>
      <c r="D2713" s="4" t="s">
        <v>194</v>
      </c>
      <c r="E2713" s="4" t="s">
        <v>170</v>
      </c>
      <c r="F2713" s="4" t="s">
        <v>155</v>
      </c>
      <c r="G2713" s="4"/>
      <c r="H2713" s="4"/>
      <c r="I2713" s="4" t="s">
        <v>139</v>
      </c>
      <c r="J2713" s="4" t="s">
        <v>1034</v>
      </c>
      <c r="K2713" s="4" t="s">
        <v>142</v>
      </c>
      <c r="L2713" s="4" t="s">
        <v>4176</v>
      </c>
      <c r="M2713" s="4" t="s">
        <v>985</v>
      </c>
      <c r="N2713" s="4" t="s">
        <v>156</v>
      </c>
      <c r="O2713" s="4" t="s">
        <v>120</v>
      </c>
      <c r="P2713" s="4" t="s">
        <v>3813</v>
      </c>
    </row>
    <row r="2714" spans="1:16" ht="15">
      <c r="A2714" s="4" t="s">
        <v>3814</v>
      </c>
      <c r="B2714" s="30">
        <v>39947</v>
      </c>
      <c r="C2714" s="4"/>
      <c r="D2714" s="4" t="s">
        <v>194</v>
      </c>
      <c r="E2714" s="4" t="s">
        <v>170</v>
      </c>
      <c r="F2714" s="4" t="s">
        <v>155</v>
      </c>
      <c r="G2714" s="4"/>
      <c r="H2714" s="4"/>
      <c r="I2714" s="4" t="s">
        <v>139</v>
      </c>
      <c r="J2714" s="4" t="s">
        <v>178</v>
      </c>
      <c r="K2714" s="4" t="s">
        <v>148</v>
      </c>
      <c r="L2714" s="4" t="s">
        <v>165</v>
      </c>
      <c r="M2714" s="4" t="s">
        <v>1238</v>
      </c>
      <c r="N2714" s="4" t="s">
        <v>158</v>
      </c>
      <c r="O2714" s="4" t="s">
        <v>122</v>
      </c>
      <c r="P2714" s="4"/>
    </row>
    <row r="2715" spans="1:16" ht="15">
      <c r="A2715" s="4" t="s">
        <v>3815</v>
      </c>
      <c r="B2715" s="30">
        <v>40021</v>
      </c>
      <c r="C2715" s="4" t="s">
        <v>380</v>
      </c>
      <c r="D2715" s="4" t="s">
        <v>193</v>
      </c>
      <c r="E2715" s="4" t="s">
        <v>170</v>
      </c>
      <c r="F2715" s="4" t="s">
        <v>155</v>
      </c>
      <c r="G2715" s="4">
        <v>1</v>
      </c>
      <c r="H2715" s="4">
        <v>5</v>
      </c>
      <c r="I2715" s="4" t="s">
        <v>140</v>
      </c>
      <c r="J2715" s="4" t="s">
        <v>178</v>
      </c>
      <c r="K2715" s="4" t="s">
        <v>143</v>
      </c>
      <c r="L2715" s="4" t="s">
        <v>4176</v>
      </c>
      <c r="M2715" s="4"/>
      <c r="N2715" s="4" t="s">
        <v>160</v>
      </c>
      <c r="O2715" s="4" t="s">
        <v>392</v>
      </c>
      <c r="P2715" s="4" t="s">
        <v>393</v>
      </c>
    </row>
    <row r="2716" spans="1:16" ht="15">
      <c r="A2716" s="4" t="s">
        <v>3816</v>
      </c>
      <c r="B2716" s="30">
        <v>40009</v>
      </c>
      <c r="C2716" s="4"/>
      <c r="D2716" s="4" t="s">
        <v>193</v>
      </c>
      <c r="E2716" s="4" t="s">
        <v>170</v>
      </c>
      <c r="F2716" s="4" t="s">
        <v>155</v>
      </c>
      <c r="G2716" s="4">
        <v>1</v>
      </c>
      <c r="H2716" s="4">
        <v>4</v>
      </c>
      <c r="I2716" s="4" t="s">
        <v>140</v>
      </c>
      <c r="J2716" s="4" t="s">
        <v>185</v>
      </c>
      <c r="K2716" s="4" t="s">
        <v>144</v>
      </c>
      <c r="L2716" s="4" t="s">
        <v>4176</v>
      </c>
      <c r="M2716" s="4" t="s">
        <v>978</v>
      </c>
      <c r="N2716" s="4" t="s">
        <v>157</v>
      </c>
      <c r="O2716" s="4" t="s">
        <v>127</v>
      </c>
      <c r="P2716" s="4" t="s">
        <v>153</v>
      </c>
    </row>
    <row r="2717" spans="1:16" ht="15">
      <c r="A2717" s="4" t="s">
        <v>3817</v>
      </c>
      <c r="B2717" s="30">
        <v>40048</v>
      </c>
      <c r="C2717" s="4"/>
      <c r="D2717" s="4" t="s">
        <v>195</v>
      </c>
      <c r="E2717" s="4" t="s">
        <v>170</v>
      </c>
      <c r="F2717" s="4" t="s">
        <v>155</v>
      </c>
      <c r="G2717" s="4">
        <v>5</v>
      </c>
      <c r="H2717" s="4">
        <v>2</v>
      </c>
      <c r="I2717" s="4" t="s">
        <v>139</v>
      </c>
      <c r="J2717" s="4" t="s">
        <v>187</v>
      </c>
      <c r="K2717" s="4" t="s">
        <v>144</v>
      </c>
      <c r="L2717" s="4" t="s">
        <v>4176</v>
      </c>
      <c r="M2717" s="4" t="s">
        <v>550</v>
      </c>
      <c r="N2717" s="4" t="s">
        <v>156</v>
      </c>
      <c r="O2717" s="4" t="s">
        <v>120</v>
      </c>
      <c r="P2717" s="4" t="s">
        <v>470</v>
      </c>
    </row>
    <row r="2718" spans="1:16" ht="15">
      <c r="A2718" s="4" t="s">
        <v>3818</v>
      </c>
      <c r="B2718" s="30">
        <v>40006</v>
      </c>
      <c r="C2718" s="4"/>
      <c r="D2718" s="4" t="s">
        <v>193</v>
      </c>
      <c r="E2718" s="4" t="s">
        <v>170</v>
      </c>
      <c r="F2718" s="4" t="s">
        <v>155</v>
      </c>
      <c r="G2718" s="4">
        <v>5</v>
      </c>
      <c r="H2718" s="4">
        <v>5</v>
      </c>
      <c r="I2718" s="4" t="s">
        <v>140</v>
      </c>
      <c r="J2718" s="4" t="s">
        <v>179</v>
      </c>
      <c r="K2718" s="4" t="s">
        <v>142</v>
      </c>
      <c r="L2718" s="4" t="s">
        <v>162</v>
      </c>
      <c r="M2718" s="4" t="s">
        <v>1957</v>
      </c>
      <c r="N2718" s="4" t="s">
        <v>155</v>
      </c>
      <c r="O2718" s="4" t="s">
        <v>130</v>
      </c>
      <c r="P2718" s="4"/>
    </row>
    <row r="2719" spans="1:16" ht="15">
      <c r="A2719" s="4" t="s">
        <v>3819</v>
      </c>
      <c r="B2719" s="30">
        <v>39930</v>
      </c>
      <c r="C2719" s="4"/>
      <c r="D2719" s="4" t="s">
        <v>4182</v>
      </c>
      <c r="E2719" s="4" t="s">
        <v>170</v>
      </c>
      <c r="F2719" s="4" t="s">
        <v>155</v>
      </c>
      <c r="G2719" s="4"/>
      <c r="H2719" s="4"/>
      <c r="I2719" s="4" t="s">
        <v>139</v>
      </c>
      <c r="J2719" s="4" t="s">
        <v>179</v>
      </c>
      <c r="K2719" s="4" t="s">
        <v>142</v>
      </c>
      <c r="L2719" s="4" t="s">
        <v>162</v>
      </c>
      <c r="M2719" s="4" t="s">
        <v>175</v>
      </c>
      <c r="N2719" s="4" t="s">
        <v>155</v>
      </c>
      <c r="O2719" s="4" t="s">
        <v>392</v>
      </c>
      <c r="P2719" s="4"/>
    </row>
    <row r="2720" spans="1:16" ht="15">
      <c r="A2720" s="4" t="s">
        <v>3820</v>
      </c>
      <c r="B2720" s="30">
        <v>40006</v>
      </c>
      <c r="C2720" s="4"/>
      <c r="D2720" s="4" t="s">
        <v>193</v>
      </c>
      <c r="E2720" s="4" t="s">
        <v>170</v>
      </c>
      <c r="F2720" s="4" t="s">
        <v>155</v>
      </c>
      <c r="G2720" s="4">
        <v>5</v>
      </c>
      <c r="H2720" s="4">
        <v>4</v>
      </c>
      <c r="I2720" s="4" t="s">
        <v>140</v>
      </c>
      <c r="J2720" s="4" t="s">
        <v>181</v>
      </c>
      <c r="K2720" s="4" t="s">
        <v>149</v>
      </c>
      <c r="L2720" s="4" t="s">
        <v>162</v>
      </c>
      <c r="M2720" s="4" t="s">
        <v>3409</v>
      </c>
      <c r="N2720" s="4" t="s">
        <v>155</v>
      </c>
      <c r="O2720" s="4" t="s">
        <v>130</v>
      </c>
      <c r="P2720" s="4"/>
    </row>
    <row r="2721" spans="1:16" ht="15">
      <c r="A2721" s="4" t="s">
        <v>3821</v>
      </c>
      <c r="B2721" s="30">
        <v>40005</v>
      </c>
      <c r="C2721" s="4"/>
      <c r="D2721" s="4" t="s">
        <v>193</v>
      </c>
      <c r="E2721" s="4" t="s">
        <v>170</v>
      </c>
      <c r="F2721" s="4" t="s">
        <v>155</v>
      </c>
      <c r="G2721" s="4">
        <v>5</v>
      </c>
      <c r="H2721" s="4">
        <v>4</v>
      </c>
      <c r="I2721" s="4" t="s">
        <v>140</v>
      </c>
      <c r="J2721" s="4" t="s">
        <v>181</v>
      </c>
      <c r="K2721" s="4" t="s">
        <v>146</v>
      </c>
      <c r="L2721" s="4" t="s">
        <v>162</v>
      </c>
      <c r="M2721" s="4" t="s">
        <v>459</v>
      </c>
      <c r="N2721" s="4" t="s">
        <v>155</v>
      </c>
      <c r="O2721" s="4" t="s">
        <v>129</v>
      </c>
      <c r="P2721" s="4"/>
    </row>
    <row r="2722" spans="1:16" ht="15">
      <c r="A2722" s="4" t="s">
        <v>3822</v>
      </c>
      <c r="B2722" s="30">
        <v>40083</v>
      </c>
      <c r="C2722" s="4"/>
      <c r="D2722" s="4" t="s">
        <v>544</v>
      </c>
      <c r="E2722" s="4" t="s">
        <v>170</v>
      </c>
      <c r="F2722" s="4" t="s">
        <v>155</v>
      </c>
      <c r="G2722" s="4">
        <v>5</v>
      </c>
      <c r="H2722" s="4">
        <v>3</v>
      </c>
      <c r="I2722" s="4" t="s">
        <v>139</v>
      </c>
      <c r="J2722" s="4" t="s">
        <v>181</v>
      </c>
      <c r="K2722" s="4" t="s">
        <v>142</v>
      </c>
      <c r="L2722" s="4" t="s">
        <v>4181</v>
      </c>
      <c r="M2722" s="4" t="s">
        <v>3065</v>
      </c>
      <c r="N2722" s="4" t="s">
        <v>155</v>
      </c>
      <c r="O2722" s="4" t="s">
        <v>124</v>
      </c>
      <c r="P2722" s="4"/>
    </row>
    <row r="2723" spans="1:16" ht="15">
      <c r="A2723" s="4" t="s">
        <v>3823</v>
      </c>
      <c r="B2723" s="30">
        <v>39943</v>
      </c>
      <c r="C2723" s="4"/>
      <c r="D2723" s="4" t="s">
        <v>194</v>
      </c>
      <c r="E2723" s="4" t="s">
        <v>170</v>
      </c>
      <c r="F2723" s="4" t="s">
        <v>155</v>
      </c>
      <c r="G2723" s="4"/>
      <c r="H2723" s="4"/>
      <c r="I2723" s="4" t="s">
        <v>139</v>
      </c>
      <c r="J2723" s="4" t="s">
        <v>181</v>
      </c>
      <c r="K2723" s="4" t="s">
        <v>147</v>
      </c>
      <c r="L2723" s="4" t="s">
        <v>4181</v>
      </c>
      <c r="M2723" s="4" t="s">
        <v>415</v>
      </c>
      <c r="N2723" s="4" t="s">
        <v>155</v>
      </c>
      <c r="O2723" s="4" t="s">
        <v>1186</v>
      </c>
      <c r="P2723" s="4"/>
    </row>
    <row r="2724" spans="1:16" ht="15">
      <c r="A2724" s="4" t="s">
        <v>3824</v>
      </c>
      <c r="B2724" s="30">
        <v>40080</v>
      </c>
      <c r="C2724" s="4"/>
      <c r="D2724" s="4" t="s">
        <v>193</v>
      </c>
      <c r="E2724" s="4" t="s">
        <v>170</v>
      </c>
      <c r="F2724" s="4" t="s">
        <v>155</v>
      </c>
      <c r="G2724" s="4">
        <v>5</v>
      </c>
      <c r="H2724" s="4">
        <v>2</v>
      </c>
      <c r="I2724" s="4" t="s">
        <v>140</v>
      </c>
      <c r="J2724" s="4" t="s">
        <v>181</v>
      </c>
      <c r="K2724" s="4" t="s">
        <v>146</v>
      </c>
      <c r="L2724" s="4" t="s">
        <v>4181</v>
      </c>
      <c r="M2724" s="4" t="s">
        <v>3825</v>
      </c>
      <c r="N2724" s="4" t="s">
        <v>155</v>
      </c>
      <c r="O2724" s="4" t="s">
        <v>128</v>
      </c>
      <c r="P2724" s="4"/>
    </row>
    <row r="2725" spans="1:16" ht="15">
      <c r="A2725" s="4" t="s">
        <v>3826</v>
      </c>
      <c r="B2725" s="30">
        <v>39937</v>
      </c>
      <c r="C2725" s="4"/>
      <c r="D2725" s="4" t="s">
        <v>4183</v>
      </c>
      <c r="E2725" s="4" t="s">
        <v>170</v>
      </c>
      <c r="F2725" s="4" t="s">
        <v>155</v>
      </c>
      <c r="G2725" s="4"/>
      <c r="H2725" s="4"/>
      <c r="I2725" s="4" t="s">
        <v>140</v>
      </c>
      <c r="J2725" s="4" t="s">
        <v>181</v>
      </c>
      <c r="K2725" s="4" t="s">
        <v>148</v>
      </c>
      <c r="L2725" s="4" t="s">
        <v>4176</v>
      </c>
      <c r="M2725" s="4" t="s">
        <v>175</v>
      </c>
      <c r="N2725" s="4" t="s">
        <v>125</v>
      </c>
      <c r="O2725" s="4" t="s">
        <v>628</v>
      </c>
      <c r="P2725" s="4" t="s">
        <v>1209</v>
      </c>
    </row>
    <row r="2726" spans="1:16" ht="15">
      <c r="A2726" s="4" t="s">
        <v>3827</v>
      </c>
      <c r="B2726" s="30">
        <v>40041</v>
      </c>
      <c r="C2726" s="4"/>
      <c r="D2726" s="4" t="s">
        <v>197</v>
      </c>
      <c r="E2726" s="4" t="s">
        <v>170</v>
      </c>
      <c r="F2726" s="4" t="s">
        <v>155</v>
      </c>
      <c r="G2726" s="4">
        <v>1</v>
      </c>
      <c r="H2726" s="4">
        <v>3</v>
      </c>
      <c r="I2726" s="4" t="s">
        <v>139</v>
      </c>
      <c r="J2726" s="4" t="s">
        <v>181</v>
      </c>
      <c r="K2726" s="4" t="s">
        <v>151</v>
      </c>
      <c r="L2726" s="4" t="s">
        <v>162</v>
      </c>
      <c r="M2726" s="4" t="s">
        <v>175</v>
      </c>
      <c r="N2726" s="4" t="s">
        <v>155</v>
      </c>
      <c r="O2726" s="4" t="s">
        <v>129</v>
      </c>
      <c r="P2726" s="4"/>
    </row>
    <row r="2727" spans="1:16" ht="15">
      <c r="A2727" s="4" t="s">
        <v>3828</v>
      </c>
      <c r="B2727" s="30">
        <v>39964</v>
      </c>
      <c r="C2727" s="4" t="s">
        <v>496</v>
      </c>
      <c r="D2727" s="4" t="s">
        <v>195</v>
      </c>
      <c r="E2727" s="4" t="s">
        <v>170</v>
      </c>
      <c r="F2727" s="4" t="s">
        <v>155</v>
      </c>
      <c r="G2727" s="4"/>
      <c r="H2727" s="4"/>
      <c r="I2727" s="4" t="s">
        <v>139</v>
      </c>
      <c r="J2727" s="4" t="s">
        <v>181</v>
      </c>
      <c r="K2727" s="4" t="s">
        <v>146</v>
      </c>
      <c r="L2727" s="4" t="s">
        <v>4181</v>
      </c>
      <c r="M2727" s="4" t="s">
        <v>2629</v>
      </c>
      <c r="N2727" s="4" t="s">
        <v>155</v>
      </c>
      <c r="O2727" s="4" t="s">
        <v>124</v>
      </c>
      <c r="P2727" s="4"/>
    </row>
    <row r="2728" spans="1:16" ht="15">
      <c r="A2728" s="4" t="s">
        <v>3829</v>
      </c>
      <c r="B2728" s="30">
        <v>39935</v>
      </c>
      <c r="C2728" s="4"/>
      <c r="D2728" s="4" t="s">
        <v>4179</v>
      </c>
      <c r="E2728" s="4" t="s">
        <v>170</v>
      </c>
      <c r="F2728" s="4" t="s">
        <v>155</v>
      </c>
      <c r="G2728" s="4"/>
      <c r="H2728" s="4"/>
      <c r="I2728" s="4" t="s">
        <v>139</v>
      </c>
      <c r="J2728" s="4" t="s">
        <v>181</v>
      </c>
      <c r="K2728" s="4" t="s">
        <v>148</v>
      </c>
      <c r="L2728" s="4" t="s">
        <v>162</v>
      </c>
      <c r="M2728" s="4" t="s">
        <v>176</v>
      </c>
      <c r="N2728" s="4" t="s">
        <v>155</v>
      </c>
      <c r="O2728" s="4" t="s">
        <v>130</v>
      </c>
      <c r="P2728" s="4"/>
    </row>
    <row r="2729" spans="1:16" ht="15">
      <c r="A2729" s="4" t="s">
        <v>3830</v>
      </c>
      <c r="B2729" s="30">
        <v>39945</v>
      </c>
      <c r="C2729" s="4" t="s">
        <v>9</v>
      </c>
      <c r="D2729" s="4" t="s">
        <v>195</v>
      </c>
      <c r="E2729" s="4" t="s">
        <v>170</v>
      </c>
      <c r="F2729" s="4" t="s">
        <v>155</v>
      </c>
      <c r="G2729" s="4"/>
      <c r="H2729" s="4"/>
      <c r="I2729" s="4" t="s">
        <v>139</v>
      </c>
      <c r="J2729" s="4" t="s">
        <v>528</v>
      </c>
      <c r="K2729" s="4" t="s">
        <v>145</v>
      </c>
      <c r="L2729" s="4" t="s">
        <v>4181</v>
      </c>
      <c r="M2729" s="4" t="s">
        <v>173</v>
      </c>
      <c r="N2729" s="4" t="s">
        <v>155</v>
      </c>
      <c r="O2729" s="4" t="s">
        <v>125</v>
      </c>
      <c r="P2729" s="4"/>
    </row>
    <row r="2730" spans="1:16" ht="15">
      <c r="A2730" s="4" t="s">
        <v>3831</v>
      </c>
      <c r="B2730" s="30">
        <v>39979</v>
      </c>
      <c r="C2730" s="4" t="s">
        <v>383</v>
      </c>
      <c r="D2730" s="4" t="s">
        <v>194</v>
      </c>
      <c r="E2730" s="4" t="s">
        <v>170</v>
      </c>
      <c r="F2730" s="4" t="s">
        <v>155</v>
      </c>
      <c r="G2730" s="4"/>
      <c r="H2730" s="4"/>
      <c r="I2730" s="4" t="s">
        <v>139</v>
      </c>
      <c r="J2730" s="4" t="s">
        <v>188</v>
      </c>
      <c r="K2730" s="4" t="s">
        <v>144</v>
      </c>
      <c r="L2730" s="4" t="s">
        <v>4181</v>
      </c>
      <c r="M2730" s="4" t="s">
        <v>173</v>
      </c>
      <c r="N2730" s="4" t="s">
        <v>155</v>
      </c>
      <c r="O2730" s="4" t="s">
        <v>125</v>
      </c>
      <c r="P2730" s="4"/>
    </row>
    <row r="2731" spans="1:16" ht="15">
      <c r="A2731" s="4" t="s">
        <v>3832</v>
      </c>
      <c r="B2731" s="30">
        <v>39971</v>
      </c>
      <c r="C2731" s="4"/>
      <c r="D2731" s="4" t="s">
        <v>193</v>
      </c>
      <c r="E2731" s="4" t="s">
        <v>170</v>
      </c>
      <c r="F2731" s="4" t="s">
        <v>155</v>
      </c>
      <c r="G2731" s="4"/>
      <c r="H2731" s="4"/>
      <c r="I2731" s="4" t="s">
        <v>140</v>
      </c>
      <c r="J2731" s="4" t="s">
        <v>188</v>
      </c>
      <c r="K2731" s="4" t="s">
        <v>148</v>
      </c>
      <c r="L2731" s="4" t="s">
        <v>4176</v>
      </c>
      <c r="M2731" s="4" t="s">
        <v>2201</v>
      </c>
      <c r="N2731" s="4" t="s">
        <v>156</v>
      </c>
      <c r="O2731" s="4" t="s">
        <v>120</v>
      </c>
      <c r="P2731" s="4" t="s">
        <v>2676</v>
      </c>
    </row>
    <row r="2732" spans="1:16" ht="15">
      <c r="A2732" s="4" t="s">
        <v>3833</v>
      </c>
      <c r="B2732" s="30">
        <v>40078</v>
      </c>
      <c r="C2732" s="4"/>
      <c r="D2732" s="4" t="s">
        <v>193</v>
      </c>
      <c r="E2732" s="4" t="s">
        <v>170</v>
      </c>
      <c r="F2732" s="4" t="s">
        <v>155</v>
      </c>
      <c r="G2732" s="4">
        <v>5</v>
      </c>
      <c r="H2732" s="4">
        <v>5</v>
      </c>
      <c r="I2732" s="4" t="s">
        <v>140</v>
      </c>
      <c r="J2732" s="4" t="s">
        <v>185</v>
      </c>
      <c r="K2732" s="4" t="s">
        <v>144</v>
      </c>
      <c r="L2732" s="4" t="s">
        <v>4176</v>
      </c>
      <c r="M2732" s="4" t="s">
        <v>174</v>
      </c>
      <c r="N2732" s="4" t="s">
        <v>157</v>
      </c>
      <c r="O2732" s="4" t="s">
        <v>501</v>
      </c>
      <c r="P2732" s="4" t="s">
        <v>3834</v>
      </c>
    </row>
    <row r="2733" spans="1:16" ht="15">
      <c r="A2733" s="4" t="s">
        <v>3835</v>
      </c>
      <c r="B2733" s="30">
        <v>39956</v>
      </c>
      <c r="C2733" s="4"/>
      <c r="D2733" s="4" t="s">
        <v>195</v>
      </c>
      <c r="E2733" s="4" t="s">
        <v>170</v>
      </c>
      <c r="F2733" s="4" t="s">
        <v>155</v>
      </c>
      <c r="G2733" s="4"/>
      <c r="H2733" s="4"/>
      <c r="I2733" s="4" t="s">
        <v>139</v>
      </c>
      <c r="J2733" s="4" t="s">
        <v>185</v>
      </c>
      <c r="K2733" s="4" t="s">
        <v>144</v>
      </c>
      <c r="L2733" s="4" t="s">
        <v>4181</v>
      </c>
      <c r="M2733" s="4" t="s">
        <v>173</v>
      </c>
      <c r="N2733" s="4" t="s">
        <v>155</v>
      </c>
      <c r="O2733" s="4" t="s">
        <v>124</v>
      </c>
      <c r="P2733" s="4"/>
    </row>
    <row r="2734" spans="1:16" ht="15">
      <c r="A2734" s="4" t="s">
        <v>3836</v>
      </c>
      <c r="B2734" s="30">
        <v>39971</v>
      </c>
      <c r="C2734" s="4" t="s">
        <v>380</v>
      </c>
      <c r="D2734" s="4" t="s">
        <v>193</v>
      </c>
      <c r="E2734" s="4" t="s">
        <v>170</v>
      </c>
      <c r="F2734" s="4" t="s">
        <v>155</v>
      </c>
      <c r="G2734" s="4"/>
      <c r="H2734" s="4"/>
      <c r="I2734" s="4" t="s">
        <v>140</v>
      </c>
      <c r="J2734" s="4" t="s">
        <v>413</v>
      </c>
      <c r="K2734" s="4" t="s">
        <v>146</v>
      </c>
      <c r="L2734" s="4" t="s">
        <v>4181</v>
      </c>
      <c r="M2734" s="4" t="s">
        <v>173</v>
      </c>
      <c r="N2734" s="4" t="s">
        <v>161</v>
      </c>
      <c r="O2734" s="4" t="s">
        <v>1364</v>
      </c>
      <c r="P2734" s="4"/>
    </row>
    <row r="2735" spans="1:16" ht="15">
      <c r="A2735" s="4" t="s">
        <v>3837</v>
      </c>
      <c r="B2735" s="30">
        <v>40000</v>
      </c>
      <c r="C2735" s="4" t="s">
        <v>9</v>
      </c>
      <c r="D2735" s="4" t="s">
        <v>194</v>
      </c>
      <c r="E2735" s="4" t="s">
        <v>170</v>
      </c>
      <c r="F2735" s="4" t="s">
        <v>155</v>
      </c>
      <c r="G2735" s="4"/>
      <c r="H2735" s="4">
        <v>3</v>
      </c>
      <c r="I2735" s="4" t="s">
        <v>139</v>
      </c>
      <c r="J2735" s="4" t="s">
        <v>413</v>
      </c>
      <c r="K2735" s="4" t="s">
        <v>143</v>
      </c>
      <c r="L2735" s="4" t="s">
        <v>4181</v>
      </c>
      <c r="M2735" s="4" t="s">
        <v>1768</v>
      </c>
      <c r="N2735" s="4" t="s">
        <v>155</v>
      </c>
      <c r="O2735" s="4" t="s">
        <v>127</v>
      </c>
      <c r="P2735" s="4"/>
    </row>
    <row r="2736" spans="1:16" ht="15">
      <c r="A2736" s="4" t="s">
        <v>3838</v>
      </c>
      <c r="B2736" s="30">
        <v>39914</v>
      </c>
      <c r="C2736" s="4"/>
      <c r="D2736" s="4" t="s">
        <v>4177</v>
      </c>
      <c r="E2736" s="4" t="s">
        <v>170</v>
      </c>
      <c r="F2736" s="4" t="s">
        <v>155</v>
      </c>
      <c r="G2736" s="4"/>
      <c r="H2736" s="4"/>
      <c r="I2736" s="4" t="s">
        <v>139</v>
      </c>
      <c r="J2736" s="4" t="s">
        <v>479</v>
      </c>
      <c r="K2736" s="4" t="s">
        <v>147</v>
      </c>
      <c r="L2736" s="4" t="s">
        <v>162</v>
      </c>
      <c r="M2736" s="4" t="s">
        <v>175</v>
      </c>
      <c r="N2736" s="4" t="s">
        <v>155</v>
      </c>
      <c r="O2736" s="4" t="s">
        <v>439</v>
      </c>
      <c r="P2736" s="4"/>
    </row>
    <row r="2737" spans="1:16" ht="15">
      <c r="A2737" s="4" t="s">
        <v>3839</v>
      </c>
      <c r="B2737" s="30">
        <v>39981</v>
      </c>
      <c r="C2737" s="4" t="s">
        <v>380</v>
      </c>
      <c r="D2737" s="4" t="s">
        <v>196</v>
      </c>
      <c r="E2737" s="4" t="s">
        <v>170</v>
      </c>
      <c r="F2737" s="4" t="s">
        <v>155</v>
      </c>
      <c r="G2737" s="4"/>
      <c r="H2737" s="4"/>
      <c r="I2737" s="4" t="s">
        <v>139</v>
      </c>
      <c r="J2737" s="4" t="s">
        <v>188</v>
      </c>
      <c r="K2737" s="4" t="s">
        <v>143</v>
      </c>
      <c r="L2737" s="4" t="s">
        <v>4176</v>
      </c>
      <c r="M2737" s="4" t="s">
        <v>174</v>
      </c>
      <c r="N2737" s="4" t="s">
        <v>157</v>
      </c>
      <c r="O2737" s="4" t="s">
        <v>127</v>
      </c>
      <c r="P2737" s="4" t="s">
        <v>153</v>
      </c>
    </row>
    <row r="2738" spans="1:16" ht="15">
      <c r="A2738" s="4" t="s">
        <v>3840</v>
      </c>
      <c r="B2738" s="30">
        <v>39990</v>
      </c>
      <c r="C2738" s="4"/>
      <c r="D2738" s="4" t="s">
        <v>193</v>
      </c>
      <c r="E2738" s="4" t="s">
        <v>170</v>
      </c>
      <c r="F2738" s="4" t="s">
        <v>155</v>
      </c>
      <c r="G2738" s="4"/>
      <c r="H2738" s="4">
        <v>5</v>
      </c>
      <c r="I2738" s="4" t="s">
        <v>140</v>
      </c>
      <c r="J2738" s="4" t="s">
        <v>185</v>
      </c>
      <c r="K2738" s="4" t="s">
        <v>142</v>
      </c>
      <c r="L2738" s="4" t="s">
        <v>4181</v>
      </c>
      <c r="M2738" s="4" t="s">
        <v>173</v>
      </c>
      <c r="N2738" s="4" t="s">
        <v>155</v>
      </c>
      <c r="O2738" s="4" t="s">
        <v>454</v>
      </c>
      <c r="P2738" s="4"/>
    </row>
    <row r="2739" spans="1:16" ht="15">
      <c r="A2739" s="4" t="s">
        <v>3841</v>
      </c>
      <c r="B2739" s="30">
        <v>40045</v>
      </c>
      <c r="C2739" s="4"/>
      <c r="D2739" s="4" t="s">
        <v>196</v>
      </c>
      <c r="E2739" s="4" t="s">
        <v>170</v>
      </c>
      <c r="F2739" s="4" t="s">
        <v>155</v>
      </c>
      <c r="G2739" s="4">
        <v>5</v>
      </c>
      <c r="H2739" s="4">
        <v>3</v>
      </c>
      <c r="I2739" s="4" t="s">
        <v>139</v>
      </c>
      <c r="J2739" s="4" t="s">
        <v>185</v>
      </c>
      <c r="K2739" s="4" t="s">
        <v>142</v>
      </c>
      <c r="L2739" s="4" t="s">
        <v>4176</v>
      </c>
      <c r="M2739" s="4" t="s">
        <v>175</v>
      </c>
      <c r="N2739" s="4" t="s">
        <v>125</v>
      </c>
      <c r="O2739" s="4" t="s">
        <v>125</v>
      </c>
      <c r="P2739" s="4" t="s">
        <v>3842</v>
      </c>
    </row>
    <row r="2740" spans="1:16" ht="15">
      <c r="A2740" s="4" t="s">
        <v>3843</v>
      </c>
      <c r="B2740" s="30">
        <v>39917</v>
      </c>
      <c r="C2740" s="4"/>
      <c r="D2740" s="4" t="s">
        <v>4179</v>
      </c>
      <c r="E2740" s="4" t="s">
        <v>170</v>
      </c>
      <c r="F2740" s="4" t="s">
        <v>155</v>
      </c>
      <c r="G2740" s="4"/>
      <c r="H2740" s="4"/>
      <c r="I2740" s="4" t="s">
        <v>139</v>
      </c>
      <c r="J2740" s="4" t="s">
        <v>188</v>
      </c>
      <c r="K2740" s="4" t="s">
        <v>150</v>
      </c>
      <c r="L2740" s="4" t="s">
        <v>4176</v>
      </c>
      <c r="M2740" s="4" t="s">
        <v>713</v>
      </c>
      <c r="N2740" s="4" t="s">
        <v>159</v>
      </c>
      <c r="O2740" s="4" t="s">
        <v>126</v>
      </c>
      <c r="P2740" s="4" t="s">
        <v>601</v>
      </c>
    </row>
    <row r="2741" spans="1:16" ht="15">
      <c r="A2741" s="4" t="s">
        <v>3844</v>
      </c>
      <c r="B2741" s="30">
        <v>40076</v>
      </c>
      <c r="C2741" s="4"/>
      <c r="D2741" s="4" t="s">
        <v>193</v>
      </c>
      <c r="E2741" s="4" t="s">
        <v>170</v>
      </c>
      <c r="F2741" s="4" t="s">
        <v>155</v>
      </c>
      <c r="G2741" s="4">
        <v>5</v>
      </c>
      <c r="H2741" s="4">
        <v>4</v>
      </c>
      <c r="I2741" s="4" t="s">
        <v>140</v>
      </c>
      <c r="J2741" s="4" t="s">
        <v>528</v>
      </c>
      <c r="K2741" s="4" t="s">
        <v>142</v>
      </c>
      <c r="L2741" s="4" t="s">
        <v>162</v>
      </c>
      <c r="M2741" s="4" t="s">
        <v>175</v>
      </c>
      <c r="N2741" s="4" t="s">
        <v>155</v>
      </c>
      <c r="O2741" s="4" t="s">
        <v>129</v>
      </c>
      <c r="P2741" s="4"/>
    </row>
    <row r="2742" spans="1:16" ht="15">
      <c r="A2742" s="4" t="s">
        <v>3845</v>
      </c>
      <c r="B2742" s="30">
        <v>39974</v>
      </c>
      <c r="C2742" s="4"/>
      <c r="D2742" s="4" t="s">
        <v>195</v>
      </c>
      <c r="E2742" s="4" t="s">
        <v>170</v>
      </c>
      <c r="F2742" s="4" t="s">
        <v>155</v>
      </c>
      <c r="G2742" s="4"/>
      <c r="H2742" s="4"/>
      <c r="I2742" s="4" t="s">
        <v>139</v>
      </c>
      <c r="J2742" s="4" t="s">
        <v>391</v>
      </c>
      <c r="K2742" s="4" t="s">
        <v>148</v>
      </c>
      <c r="L2742" s="4" t="s">
        <v>4176</v>
      </c>
      <c r="M2742" s="4" t="s">
        <v>174</v>
      </c>
      <c r="N2742" s="4" t="s">
        <v>157</v>
      </c>
      <c r="O2742" s="4" t="s">
        <v>130</v>
      </c>
      <c r="P2742" s="4" t="s">
        <v>437</v>
      </c>
    </row>
    <row r="2743" spans="1:16" ht="15">
      <c r="A2743" s="4" t="s">
        <v>3846</v>
      </c>
      <c r="B2743" s="30">
        <v>39946</v>
      </c>
      <c r="C2743" s="4"/>
      <c r="D2743" s="4" t="s">
        <v>194</v>
      </c>
      <c r="E2743" s="4" t="s">
        <v>170</v>
      </c>
      <c r="F2743" s="4" t="s">
        <v>155</v>
      </c>
      <c r="G2743" s="4"/>
      <c r="H2743" s="4"/>
      <c r="I2743" s="4" t="s">
        <v>139</v>
      </c>
      <c r="J2743" s="4" t="s">
        <v>179</v>
      </c>
      <c r="K2743" s="4" t="s">
        <v>147</v>
      </c>
      <c r="L2743" s="4" t="s">
        <v>165</v>
      </c>
      <c r="M2743" s="4" t="s">
        <v>3847</v>
      </c>
      <c r="N2743" s="4" t="s">
        <v>158</v>
      </c>
      <c r="O2743" s="4" t="s">
        <v>122</v>
      </c>
      <c r="P2743" s="4"/>
    </row>
    <row r="2744" spans="1:16" ht="15">
      <c r="A2744" s="4" t="s">
        <v>3848</v>
      </c>
      <c r="B2744" s="30">
        <v>40030</v>
      </c>
      <c r="C2744" s="4"/>
      <c r="D2744" s="4" t="s">
        <v>196</v>
      </c>
      <c r="E2744" s="4" t="s">
        <v>170</v>
      </c>
      <c r="F2744" s="4" t="s">
        <v>155</v>
      </c>
      <c r="G2744" s="4">
        <v>1</v>
      </c>
      <c r="H2744" s="4">
        <v>5</v>
      </c>
      <c r="I2744" s="4" t="s">
        <v>139</v>
      </c>
      <c r="J2744" s="4" t="s">
        <v>534</v>
      </c>
      <c r="K2744" s="4" t="s">
        <v>151</v>
      </c>
      <c r="L2744" s="4" t="s">
        <v>4181</v>
      </c>
      <c r="M2744" s="4" t="s">
        <v>173</v>
      </c>
      <c r="N2744" s="4" t="s">
        <v>155</v>
      </c>
      <c r="O2744" s="4" t="s">
        <v>125</v>
      </c>
      <c r="P2744" s="4"/>
    </row>
    <row r="2745" spans="1:16" ht="15">
      <c r="A2745" s="4" t="s">
        <v>3849</v>
      </c>
      <c r="B2745" s="30">
        <v>40019</v>
      </c>
      <c r="C2745" s="4"/>
      <c r="D2745" s="4" t="s">
        <v>193</v>
      </c>
      <c r="E2745" s="4" t="s">
        <v>170</v>
      </c>
      <c r="F2745" s="4" t="s">
        <v>155</v>
      </c>
      <c r="G2745" s="4">
        <v>3</v>
      </c>
      <c r="H2745" s="4">
        <v>4</v>
      </c>
      <c r="I2745" s="4" t="s">
        <v>140</v>
      </c>
      <c r="J2745" s="4" t="s">
        <v>179</v>
      </c>
      <c r="K2745" s="4" t="s">
        <v>143</v>
      </c>
      <c r="L2745" s="4" t="s">
        <v>162</v>
      </c>
      <c r="M2745" s="4" t="s">
        <v>175</v>
      </c>
      <c r="N2745" s="4" t="s">
        <v>155</v>
      </c>
      <c r="O2745" s="4" t="s">
        <v>130</v>
      </c>
      <c r="P2745" s="4"/>
    </row>
    <row r="2746" spans="1:16" ht="15">
      <c r="A2746" s="4" t="s">
        <v>3850</v>
      </c>
      <c r="B2746" s="30">
        <v>40046</v>
      </c>
      <c r="C2746" s="4" t="s">
        <v>383</v>
      </c>
      <c r="D2746" s="4" t="s">
        <v>195</v>
      </c>
      <c r="E2746" s="4" t="s">
        <v>170</v>
      </c>
      <c r="F2746" s="4" t="s">
        <v>155</v>
      </c>
      <c r="G2746" s="4">
        <v>3</v>
      </c>
      <c r="H2746" s="4">
        <v>3</v>
      </c>
      <c r="I2746" s="4" t="s">
        <v>139</v>
      </c>
      <c r="J2746" s="4" t="s">
        <v>181</v>
      </c>
      <c r="K2746" s="4" t="s">
        <v>143</v>
      </c>
      <c r="L2746" s="4" t="s">
        <v>4176</v>
      </c>
      <c r="M2746" s="4" t="s">
        <v>550</v>
      </c>
      <c r="N2746" s="4" t="s">
        <v>157</v>
      </c>
      <c r="O2746" s="4" t="s">
        <v>434</v>
      </c>
      <c r="P2746" s="4" t="s">
        <v>449</v>
      </c>
    </row>
    <row r="2747" spans="1:16" ht="15">
      <c r="A2747" s="4" t="s">
        <v>3851</v>
      </c>
      <c r="B2747" s="30">
        <v>40006</v>
      </c>
      <c r="C2747" s="4"/>
      <c r="D2747" s="4" t="s">
        <v>193</v>
      </c>
      <c r="E2747" s="4" t="s">
        <v>170</v>
      </c>
      <c r="F2747" s="4" t="s">
        <v>155</v>
      </c>
      <c r="G2747" s="4">
        <v>3</v>
      </c>
      <c r="H2747" s="4">
        <v>3</v>
      </c>
      <c r="I2747" s="4" t="s">
        <v>140</v>
      </c>
      <c r="J2747" s="4" t="s">
        <v>433</v>
      </c>
      <c r="K2747" s="4" t="s">
        <v>146</v>
      </c>
      <c r="L2747" s="4" t="s">
        <v>4176</v>
      </c>
      <c r="M2747" s="4" t="s">
        <v>176</v>
      </c>
      <c r="N2747" s="4" t="s">
        <v>125</v>
      </c>
      <c r="O2747" s="4" t="s">
        <v>125</v>
      </c>
      <c r="P2747" s="4" t="s">
        <v>3852</v>
      </c>
    </row>
    <row r="2748" spans="1:16" ht="15">
      <c r="A2748" s="4" t="s">
        <v>3853</v>
      </c>
      <c r="B2748" s="30">
        <v>39919</v>
      </c>
      <c r="C2748" s="4"/>
      <c r="D2748" s="4" t="s">
        <v>4179</v>
      </c>
      <c r="E2748" s="4" t="s">
        <v>170</v>
      </c>
      <c r="F2748" s="4" t="s">
        <v>155</v>
      </c>
      <c r="G2748" s="4"/>
      <c r="H2748" s="4"/>
      <c r="I2748" s="4" t="s">
        <v>139</v>
      </c>
      <c r="J2748" s="4" t="s">
        <v>190</v>
      </c>
      <c r="K2748" s="4" t="s">
        <v>143</v>
      </c>
      <c r="L2748" s="4" t="s">
        <v>4181</v>
      </c>
      <c r="M2748" s="4" t="s">
        <v>3854</v>
      </c>
      <c r="N2748" s="4" t="s">
        <v>155</v>
      </c>
      <c r="O2748" s="4" t="s">
        <v>130</v>
      </c>
      <c r="P2748" s="4"/>
    </row>
    <row r="2749" spans="1:16" ht="15">
      <c r="A2749" s="4" t="s">
        <v>3855</v>
      </c>
      <c r="B2749" s="30">
        <v>40042</v>
      </c>
      <c r="C2749" s="4"/>
      <c r="D2749" s="4" t="s">
        <v>196</v>
      </c>
      <c r="E2749" s="4" t="s">
        <v>170</v>
      </c>
      <c r="F2749" s="4" t="s">
        <v>155</v>
      </c>
      <c r="G2749" s="4">
        <v>5</v>
      </c>
      <c r="H2749" s="4">
        <v>5</v>
      </c>
      <c r="I2749" s="4" t="s">
        <v>139</v>
      </c>
      <c r="J2749" s="4" t="s">
        <v>184</v>
      </c>
      <c r="K2749" s="4" t="s">
        <v>144</v>
      </c>
      <c r="L2749" s="4" t="s">
        <v>4176</v>
      </c>
      <c r="M2749" s="4" t="s">
        <v>174</v>
      </c>
      <c r="N2749" s="4" t="s">
        <v>157</v>
      </c>
      <c r="O2749" s="4" t="s">
        <v>127</v>
      </c>
      <c r="P2749" s="4" t="s">
        <v>153</v>
      </c>
    </row>
    <row r="2750" spans="1:16" ht="15">
      <c r="A2750" s="4" t="s">
        <v>3856</v>
      </c>
      <c r="B2750" s="30">
        <v>40020</v>
      </c>
      <c r="C2750" s="4" t="s">
        <v>9</v>
      </c>
      <c r="D2750" s="4" t="s">
        <v>193</v>
      </c>
      <c r="E2750" s="4" t="s">
        <v>170</v>
      </c>
      <c r="F2750" s="4" t="s">
        <v>155</v>
      </c>
      <c r="G2750" s="4">
        <v>5</v>
      </c>
      <c r="H2750" s="4">
        <v>5</v>
      </c>
      <c r="I2750" s="4" t="s">
        <v>140</v>
      </c>
      <c r="J2750" s="4" t="s">
        <v>184</v>
      </c>
      <c r="K2750" s="4" t="s">
        <v>144</v>
      </c>
      <c r="L2750" s="4" t="s">
        <v>4176</v>
      </c>
      <c r="M2750" s="4" t="s">
        <v>174</v>
      </c>
      <c r="N2750" s="4" t="s">
        <v>157</v>
      </c>
      <c r="O2750" s="4" t="s">
        <v>439</v>
      </c>
      <c r="P2750" s="4" t="s">
        <v>2793</v>
      </c>
    </row>
    <row r="2751" spans="1:16" ht="15">
      <c r="A2751" s="4" t="s">
        <v>3857</v>
      </c>
      <c r="B2751" s="30">
        <v>39958</v>
      </c>
      <c r="C2751" s="4" t="s">
        <v>9</v>
      </c>
      <c r="D2751" s="4" t="s">
        <v>194</v>
      </c>
      <c r="E2751" s="4" t="s">
        <v>170</v>
      </c>
      <c r="F2751" s="4" t="s">
        <v>155</v>
      </c>
      <c r="G2751" s="4"/>
      <c r="H2751" s="4"/>
      <c r="I2751" s="4" t="s">
        <v>139</v>
      </c>
      <c r="J2751" s="4" t="s">
        <v>184</v>
      </c>
      <c r="K2751" s="4" t="s">
        <v>150</v>
      </c>
      <c r="L2751" s="4" t="s">
        <v>4176</v>
      </c>
      <c r="M2751" s="4" t="s">
        <v>174</v>
      </c>
      <c r="N2751" s="4" t="s">
        <v>160</v>
      </c>
      <c r="O2751" s="4" t="s">
        <v>484</v>
      </c>
      <c r="P2751" s="4" t="s">
        <v>924</v>
      </c>
    </row>
    <row r="2752" spans="1:16" ht="15">
      <c r="A2752" s="4" t="s">
        <v>3858</v>
      </c>
      <c r="B2752" s="30">
        <v>39920</v>
      </c>
      <c r="C2752" s="4"/>
      <c r="D2752" s="4" t="s">
        <v>4184</v>
      </c>
      <c r="E2752" s="4" t="s">
        <v>170</v>
      </c>
      <c r="F2752" s="4" t="s">
        <v>155</v>
      </c>
      <c r="G2752" s="4"/>
      <c r="H2752" s="4"/>
      <c r="I2752" s="4" t="s">
        <v>140</v>
      </c>
      <c r="J2752" s="4" t="s">
        <v>189</v>
      </c>
      <c r="K2752" s="4" t="s">
        <v>148</v>
      </c>
      <c r="L2752" s="4" t="s">
        <v>4176</v>
      </c>
      <c r="M2752" s="4" t="s">
        <v>174</v>
      </c>
      <c r="N2752" s="4" t="s">
        <v>157</v>
      </c>
      <c r="O2752" s="4" t="s">
        <v>130</v>
      </c>
      <c r="P2752" s="4" t="s">
        <v>437</v>
      </c>
    </row>
    <row r="2753" spans="1:16" ht="15">
      <c r="A2753" s="4" t="s">
        <v>3859</v>
      </c>
      <c r="B2753" s="30">
        <v>39988</v>
      </c>
      <c r="C2753" s="4"/>
      <c r="D2753" s="4" t="s">
        <v>193</v>
      </c>
      <c r="E2753" s="4" t="s">
        <v>170</v>
      </c>
      <c r="F2753" s="4" t="s">
        <v>155</v>
      </c>
      <c r="G2753" s="4"/>
      <c r="H2753" s="4"/>
      <c r="I2753" s="4" t="s">
        <v>140</v>
      </c>
      <c r="J2753" s="4" t="s">
        <v>182</v>
      </c>
      <c r="K2753" s="4" t="s">
        <v>143</v>
      </c>
      <c r="L2753" s="4" t="s">
        <v>4181</v>
      </c>
      <c r="M2753" s="4" t="s">
        <v>173</v>
      </c>
      <c r="N2753" s="4" t="s">
        <v>788</v>
      </c>
      <c r="O2753" s="4" t="s">
        <v>789</v>
      </c>
      <c r="P2753" s="4"/>
    </row>
    <row r="2754" spans="1:16" ht="15">
      <c r="A2754" s="4" t="s">
        <v>3860</v>
      </c>
      <c r="B2754" s="30">
        <v>39920</v>
      </c>
      <c r="C2754" s="4" t="s">
        <v>380</v>
      </c>
      <c r="D2754" s="4" t="s">
        <v>4183</v>
      </c>
      <c r="E2754" s="4" t="s">
        <v>170</v>
      </c>
      <c r="F2754" s="4" t="s">
        <v>155</v>
      </c>
      <c r="G2754" s="4"/>
      <c r="H2754" s="4"/>
      <c r="I2754" s="4" t="s">
        <v>140</v>
      </c>
      <c r="J2754" s="4" t="s">
        <v>178</v>
      </c>
      <c r="K2754" s="4" t="s">
        <v>150</v>
      </c>
      <c r="L2754" s="4" t="s">
        <v>4181</v>
      </c>
      <c r="M2754" s="4" t="s">
        <v>173</v>
      </c>
      <c r="N2754" s="4" t="s">
        <v>155</v>
      </c>
      <c r="O2754" s="4" t="s">
        <v>392</v>
      </c>
      <c r="P2754" s="4"/>
    </row>
    <row r="2755" spans="1:16" ht="15">
      <c r="A2755" s="4" t="s">
        <v>3861</v>
      </c>
      <c r="B2755" s="30">
        <v>40083</v>
      </c>
      <c r="C2755" s="4"/>
      <c r="D2755" s="4" t="s">
        <v>197</v>
      </c>
      <c r="E2755" s="4" t="s">
        <v>170</v>
      </c>
      <c r="F2755" s="4" t="s">
        <v>155</v>
      </c>
      <c r="G2755" s="4">
        <v>5</v>
      </c>
      <c r="H2755" s="4">
        <v>2</v>
      </c>
      <c r="I2755" s="4" t="s">
        <v>139</v>
      </c>
      <c r="J2755" s="4" t="s">
        <v>182</v>
      </c>
      <c r="K2755" s="4" t="s">
        <v>146</v>
      </c>
      <c r="L2755" s="4" t="s">
        <v>4181</v>
      </c>
      <c r="M2755" s="4" t="s">
        <v>173</v>
      </c>
      <c r="N2755" s="4" t="s">
        <v>155</v>
      </c>
      <c r="O2755" s="4" t="s">
        <v>128</v>
      </c>
      <c r="P2755" s="4"/>
    </row>
    <row r="2756" spans="1:16" ht="15">
      <c r="A2756" s="4" t="s">
        <v>3862</v>
      </c>
      <c r="B2756" s="30">
        <v>39979</v>
      </c>
      <c r="C2756" s="4"/>
      <c r="D2756" s="4" t="s">
        <v>193</v>
      </c>
      <c r="E2756" s="4" t="s">
        <v>170</v>
      </c>
      <c r="F2756" s="4" t="s">
        <v>155</v>
      </c>
      <c r="G2756" s="4"/>
      <c r="H2756" s="4"/>
      <c r="I2756" s="4" t="s">
        <v>140</v>
      </c>
      <c r="J2756" s="4" t="s">
        <v>182</v>
      </c>
      <c r="K2756" s="4" t="s">
        <v>142</v>
      </c>
      <c r="L2756" s="4" t="s">
        <v>4176</v>
      </c>
      <c r="M2756" s="4" t="s">
        <v>174</v>
      </c>
      <c r="N2756" s="4" t="s">
        <v>156</v>
      </c>
      <c r="O2756" s="4" t="s">
        <v>120</v>
      </c>
      <c r="P2756" s="4" t="s">
        <v>1479</v>
      </c>
    </row>
    <row r="2757" spans="1:16" ht="15">
      <c r="A2757" s="4" t="s">
        <v>3863</v>
      </c>
      <c r="B2757" s="30">
        <v>40019</v>
      </c>
      <c r="C2757" s="4"/>
      <c r="D2757" s="4" t="s">
        <v>197</v>
      </c>
      <c r="E2757" s="4" t="s">
        <v>170</v>
      </c>
      <c r="F2757" s="4" t="s">
        <v>155</v>
      </c>
      <c r="G2757" s="4">
        <v>5</v>
      </c>
      <c r="H2757" s="4">
        <v>5</v>
      </c>
      <c r="I2757" s="4" t="s">
        <v>139</v>
      </c>
      <c r="J2757" s="4" t="s">
        <v>189</v>
      </c>
      <c r="K2757" s="4" t="s">
        <v>148</v>
      </c>
      <c r="L2757" s="4" t="s">
        <v>162</v>
      </c>
      <c r="M2757" s="4" t="s">
        <v>597</v>
      </c>
      <c r="N2757" s="4" t="s">
        <v>155</v>
      </c>
      <c r="O2757" s="4" t="s">
        <v>130</v>
      </c>
      <c r="P2757" s="4"/>
    </row>
    <row r="2758" spans="1:16" ht="15">
      <c r="A2758" s="4" t="s">
        <v>3864</v>
      </c>
      <c r="B2758" s="30">
        <v>39929</v>
      </c>
      <c r="C2758" s="4" t="s">
        <v>496</v>
      </c>
      <c r="D2758" s="4" t="s">
        <v>4179</v>
      </c>
      <c r="E2758" s="4" t="s">
        <v>170</v>
      </c>
      <c r="F2758" s="4" t="s">
        <v>155</v>
      </c>
      <c r="G2758" s="4"/>
      <c r="H2758" s="4"/>
      <c r="I2758" s="4" t="s">
        <v>139</v>
      </c>
      <c r="J2758" s="4" t="s">
        <v>179</v>
      </c>
      <c r="K2758" s="4" t="s">
        <v>143</v>
      </c>
      <c r="L2758" s="4" t="s">
        <v>4176</v>
      </c>
      <c r="M2758" s="4" t="s">
        <v>174</v>
      </c>
      <c r="N2758" s="4" t="s">
        <v>157</v>
      </c>
      <c r="O2758" s="4" t="s">
        <v>571</v>
      </c>
      <c r="P2758" s="4" t="s">
        <v>2744</v>
      </c>
    </row>
    <row r="2759" spans="1:16" ht="15">
      <c r="A2759" s="4" t="s">
        <v>3865</v>
      </c>
      <c r="B2759" s="30">
        <v>39971</v>
      </c>
      <c r="C2759" s="4"/>
      <c r="D2759" s="4" t="s">
        <v>193</v>
      </c>
      <c r="E2759" s="4" t="s">
        <v>170</v>
      </c>
      <c r="F2759" s="4" t="s">
        <v>155</v>
      </c>
      <c r="G2759" s="4"/>
      <c r="H2759" s="4"/>
      <c r="I2759" s="4" t="s">
        <v>140</v>
      </c>
      <c r="J2759" s="4" t="s">
        <v>178</v>
      </c>
      <c r="K2759" s="4" t="s">
        <v>145</v>
      </c>
      <c r="L2759" s="4" t="s">
        <v>4181</v>
      </c>
      <c r="M2759" s="4" t="s">
        <v>173</v>
      </c>
      <c r="N2759" s="4" t="s">
        <v>155</v>
      </c>
      <c r="O2759" s="4" t="s">
        <v>125</v>
      </c>
      <c r="P2759" s="4"/>
    </row>
    <row r="2760" spans="1:16" ht="15">
      <c r="A2760" s="4" t="s">
        <v>3866</v>
      </c>
      <c r="B2760" s="30">
        <v>40019</v>
      </c>
      <c r="C2760" s="4"/>
      <c r="D2760" s="4" t="s">
        <v>196</v>
      </c>
      <c r="E2760" s="4" t="s">
        <v>170</v>
      </c>
      <c r="F2760" s="4" t="s">
        <v>155</v>
      </c>
      <c r="G2760" s="4">
        <v>5</v>
      </c>
      <c r="H2760" s="4">
        <v>5</v>
      </c>
      <c r="I2760" s="4" t="s">
        <v>139</v>
      </c>
      <c r="J2760" s="4" t="s">
        <v>178</v>
      </c>
      <c r="K2760" s="4" t="s">
        <v>145</v>
      </c>
      <c r="L2760" s="4" t="s">
        <v>4181</v>
      </c>
      <c r="M2760" s="4" t="s">
        <v>173</v>
      </c>
      <c r="N2760" s="4" t="s">
        <v>155</v>
      </c>
      <c r="O2760" s="4" t="s">
        <v>125</v>
      </c>
      <c r="P2760" s="4"/>
    </row>
    <row r="2761" spans="1:16" ht="15">
      <c r="A2761" s="4" t="s">
        <v>3867</v>
      </c>
      <c r="B2761" s="30">
        <v>40064</v>
      </c>
      <c r="C2761" s="4"/>
      <c r="D2761" s="4" t="s">
        <v>193</v>
      </c>
      <c r="E2761" s="4" t="s">
        <v>170</v>
      </c>
      <c r="F2761" s="4" t="s">
        <v>155</v>
      </c>
      <c r="G2761" s="4">
        <v>5</v>
      </c>
      <c r="H2761" s="4">
        <v>2</v>
      </c>
      <c r="I2761" s="4" t="s">
        <v>140</v>
      </c>
      <c r="J2761" s="4" t="s">
        <v>528</v>
      </c>
      <c r="K2761" s="4" t="s">
        <v>143</v>
      </c>
      <c r="L2761" s="4" t="s">
        <v>4181</v>
      </c>
      <c r="M2761" s="4" t="s">
        <v>1032</v>
      </c>
      <c r="N2761" s="4" t="s">
        <v>155</v>
      </c>
      <c r="O2761" s="4" t="s">
        <v>510</v>
      </c>
      <c r="P2761" s="4"/>
    </row>
    <row r="2762" spans="1:16" ht="15">
      <c r="A2762" s="4" t="s">
        <v>3868</v>
      </c>
      <c r="B2762" s="30">
        <v>40005</v>
      </c>
      <c r="C2762" s="4" t="s">
        <v>525</v>
      </c>
      <c r="D2762" s="4" t="s">
        <v>193</v>
      </c>
      <c r="E2762" s="4" t="s">
        <v>170</v>
      </c>
      <c r="F2762" s="4" t="s">
        <v>155</v>
      </c>
      <c r="G2762" s="4">
        <v>5</v>
      </c>
      <c r="H2762" s="4">
        <v>5</v>
      </c>
      <c r="I2762" s="4" t="s">
        <v>140</v>
      </c>
      <c r="J2762" s="4" t="s">
        <v>184</v>
      </c>
      <c r="K2762" s="4" t="s">
        <v>145</v>
      </c>
      <c r="L2762" s="4" t="s">
        <v>162</v>
      </c>
      <c r="M2762" s="4" t="s">
        <v>175</v>
      </c>
      <c r="N2762" s="4" t="s">
        <v>155</v>
      </c>
      <c r="O2762" s="4" t="s">
        <v>130</v>
      </c>
      <c r="P2762" s="4"/>
    </row>
    <row r="2763" spans="1:16" ht="15">
      <c r="A2763" s="4" t="s">
        <v>3869</v>
      </c>
      <c r="B2763" s="30">
        <v>39981</v>
      </c>
      <c r="C2763" s="4"/>
      <c r="D2763" s="4" t="s">
        <v>193</v>
      </c>
      <c r="E2763" s="4" t="s">
        <v>170</v>
      </c>
      <c r="F2763" s="4" t="s">
        <v>155</v>
      </c>
      <c r="G2763" s="4"/>
      <c r="H2763" s="4"/>
      <c r="I2763" s="4" t="s">
        <v>140</v>
      </c>
      <c r="J2763" s="4" t="s">
        <v>180</v>
      </c>
      <c r="K2763" s="4" t="s">
        <v>149</v>
      </c>
      <c r="L2763" s="4" t="s">
        <v>4181</v>
      </c>
      <c r="M2763" s="4"/>
      <c r="N2763" s="4" t="s">
        <v>155</v>
      </c>
      <c r="O2763" s="4" t="s">
        <v>125</v>
      </c>
      <c r="P2763" s="4"/>
    </row>
    <row r="2764" spans="1:16" ht="15">
      <c r="A2764" s="4" t="s">
        <v>3870</v>
      </c>
      <c r="B2764" s="30">
        <v>39973</v>
      </c>
      <c r="C2764" s="4"/>
      <c r="D2764" s="4" t="s">
        <v>195</v>
      </c>
      <c r="E2764" s="4" t="s">
        <v>170</v>
      </c>
      <c r="F2764" s="4" t="s">
        <v>155</v>
      </c>
      <c r="G2764" s="4"/>
      <c r="H2764" s="4"/>
      <c r="I2764" s="4" t="s">
        <v>139</v>
      </c>
      <c r="J2764" s="4" t="s">
        <v>181</v>
      </c>
      <c r="K2764" s="4" t="s">
        <v>143</v>
      </c>
      <c r="L2764" s="4" t="s">
        <v>4181</v>
      </c>
      <c r="M2764" s="4" t="s">
        <v>173</v>
      </c>
      <c r="N2764" s="4" t="s">
        <v>155</v>
      </c>
      <c r="O2764" s="4" t="s">
        <v>124</v>
      </c>
      <c r="P2764" s="4"/>
    </row>
    <row r="2765" spans="1:16" ht="15">
      <c r="A2765" s="4" t="s">
        <v>3871</v>
      </c>
      <c r="B2765" s="30">
        <v>39971</v>
      </c>
      <c r="C2765" s="4" t="s">
        <v>380</v>
      </c>
      <c r="D2765" s="4" t="s">
        <v>193</v>
      </c>
      <c r="E2765" s="4" t="s">
        <v>170</v>
      </c>
      <c r="F2765" s="4" t="s">
        <v>155</v>
      </c>
      <c r="G2765" s="4"/>
      <c r="H2765" s="4"/>
      <c r="I2765" s="4" t="s">
        <v>140</v>
      </c>
      <c r="J2765" s="4" t="s">
        <v>179</v>
      </c>
      <c r="K2765" s="4" t="s">
        <v>148</v>
      </c>
      <c r="L2765" s="4" t="s">
        <v>4176</v>
      </c>
      <c r="M2765" s="4" t="s">
        <v>498</v>
      </c>
      <c r="N2765" s="4" t="s">
        <v>157</v>
      </c>
      <c r="O2765" s="4" t="s">
        <v>501</v>
      </c>
      <c r="P2765" s="4" t="s">
        <v>3872</v>
      </c>
    </row>
    <row r="2766" spans="1:16" ht="15">
      <c r="A2766" s="4" t="s">
        <v>3873</v>
      </c>
      <c r="B2766" s="30">
        <v>40003</v>
      </c>
      <c r="C2766" s="4" t="s">
        <v>383</v>
      </c>
      <c r="D2766" s="4" t="s">
        <v>194</v>
      </c>
      <c r="E2766" s="4" t="s">
        <v>170</v>
      </c>
      <c r="F2766" s="4" t="s">
        <v>155</v>
      </c>
      <c r="G2766" s="4"/>
      <c r="H2766" s="4">
        <v>5</v>
      </c>
      <c r="I2766" s="4" t="s">
        <v>139</v>
      </c>
      <c r="J2766" s="4" t="s">
        <v>447</v>
      </c>
      <c r="K2766" s="4" t="s">
        <v>149</v>
      </c>
      <c r="L2766" s="4" t="s">
        <v>4181</v>
      </c>
      <c r="M2766" s="4"/>
      <c r="N2766" s="4" t="s">
        <v>155</v>
      </c>
      <c r="O2766" s="4" t="s">
        <v>467</v>
      </c>
      <c r="P2766" s="4"/>
    </row>
    <row r="2767" spans="1:16" ht="15">
      <c r="A2767" s="4" t="s">
        <v>3874</v>
      </c>
      <c r="B2767" s="30">
        <v>39991</v>
      </c>
      <c r="C2767" s="4" t="s">
        <v>380</v>
      </c>
      <c r="D2767" s="4" t="s">
        <v>193</v>
      </c>
      <c r="E2767" s="4" t="s">
        <v>170</v>
      </c>
      <c r="F2767" s="4" t="s">
        <v>155</v>
      </c>
      <c r="G2767" s="4"/>
      <c r="H2767" s="4">
        <v>2</v>
      </c>
      <c r="I2767" s="4" t="s">
        <v>140</v>
      </c>
      <c r="J2767" s="4" t="s">
        <v>178</v>
      </c>
      <c r="K2767" s="4" t="s">
        <v>150</v>
      </c>
      <c r="L2767" s="4" t="s">
        <v>4176</v>
      </c>
      <c r="M2767" s="4" t="s">
        <v>174</v>
      </c>
      <c r="N2767" s="4" t="s">
        <v>157</v>
      </c>
      <c r="O2767" s="4" t="s">
        <v>571</v>
      </c>
      <c r="P2767" s="4" t="s">
        <v>636</v>
      </c>
    </row>
    <row r="2768" spans="1:16" ht="15">
      <c r="A2768" s="4" t="s">
        <v>3875</v>
      </c>
      <c r="B2768" s="30">
        <v>39956</v>
      </c>
      <c r="C2768" s="4"/>
      <c r="D2768" s="4" t="s">
        <v>193</v>
      </c>
      <c r="E2768" s="4" t="s">
        <v>170</v>
      </c>
      <c r="F2768" s="4" t="s">
        <v>155</v>
      </c>
      <c r="G2768" s="4"/>
      <c r="H2768" s="4"/>
      <c r="I2768" s="4" t="s">
        <v>140</v>
      </c>
      <c r="J2768" s="4" t="s">
        <v>180</v>
      </c>
      <c r="K2768" s="4" t="s">
        <v>149</v>
      </c>
      <c r="L2768" s="4" t="s">
        <v>4181</v>
      </c>
      <c r="M2768" s="4" t="s">
        <v>415</v>
      </c>
      <c r="N2768" s="4" t="s">
        <v>155</v>
      </c>
      <c r="O2768" s="4" t="s">
        <v>125</v>
      </c>
      <c r="P2768" s="4"/>
    </row>
    <row r="2769" spans="1:16" ht="15">
      <c r="A2769" s="4" t="s">
        <v>3876</v>
      </c>
      <c r="B2769" s="30">
        <v>39976</v>
      </c>
      <c r="C2769" s="4" t="s">
        <v>9</v>
      </c>
      <c r="D2769" s="4" t="s">
        <v>195</v>
      </c>
      <c r="E2769" s="4" t="s">
        <v>170</v>
      </c>
      <c r="F2769" s="4" t="s">
        <v>155</v>
      </c>
      <c r="G2769" s="4"/>
      <c r="H2769" s="4"/>
      <c r="I2769" s="4" t="s">
        <v>139</v>
      </c>
      <c r="J2769" s="4" t="s">
        <v>191</v>
      </c>
      <c r="K2769" s="4" t="s">
        <v>142</v>
      </c>
      <c r="L2769" s="4" t="s">
        <v>162</v>
      </c>
      <c r="M2769" s="4" t="s">
        <v>175</v>
      </c>
      <c r="N2769" s="4" t="s">
        <v>155</v>
      </c>
      <c r="O2769" s="4" t="s">
        <v>129</v>
      </c>
      <c r="P2769" s="4"/>
    </row>
    <row r="2770" spans="1:16" ht="15">
      <c r="A2770" s="4" t="s">
        <v>3877</v>
      </c>
      <c r="B2770" s="30">
        <v>39990</v>
      </c>
      <c r="C2770" s="4"/>
      <c r="D2770" s="4" t="s">
        <v>193</v>
      </c>
      <c r="E2770" s="4" t="s">
        <v>170</v>
      </c>
      <c r="F2770" s="4" t="s">
        <v>155</v>
      </c>
      <c r="G2770" s="4"/>
      <c r="H2770" s="4">
        <v>5</v>
      </c>
      <c r="I2770" s="4" t="s">
        <v>140</v>
      </c>
      <c r="J2770" s="4" t="s">
        <v>182</v>
      </c>
      <c r="K2770" s="4" t="s">
        <v>143</v>
      </c>
      <c r="L2770" s="4" t="s">
        <v>4181</v>
      </c>
      <c r="M2770" s="4" t="s">
        <v>173</v>
      </c>
      <c r="N2770" s="4" t="s">
        <v>155</v>
      </c>
      <c r="O2770" s="4" t="s">
        <v>124</v>
      </c>
      <c r="P2770" s="4"/>
    </row>
    <row r="2771" spans="1:16" ht="15">
      <c r="A2771" s="4" t="s">
        <v>3878</v>
      </c>
      <c r="B2771" s="30">
        <v>40058</v>
      </c>
      <c r="C2771" s="4"/>
      <c r="D2771" s="4" t="s">
        <v>196</v>
      </c>
      <c r="E2771" s="4" t="s">
        <v>170</v>
      </c>
      <c r="F2771" s="4" t="s">
        <v>155</v>
      </c>
      <c r="G2771" s="4">
        <v>5</v>
      </c>
      <c r="H2771" s="4">
        <v>5</v>
      </c>
      <c r="I2771" s="4" t="s">
        <v>139</v>
      </c>
      <c r="J2771" s="4" t="s">
        <v>180</v>
      </c>
      <c r="K2771" s="4" t="s">
        <v>149</v>
      </c>
      <c r="L2771" s="4" t="s">
        <v>165</v>
      </c>
      <c r="M2771" s="4"/>
      <c r="N2771" s="4" t="s">
        <v>158</v>
      </c>
      <c r="O2771" s="4" t="s">
        <v>122</v>
      </c>
      <c r="P2771" s="4"/>
    </row>
    <row r="2772" spans="1:16" ht="15">
      <c r="A2772" s="4" t="s">
        <v>3879</v>
      </c>
      <c r="B2772" s="30">
        <v>40081</v>
      </c>
      <c r="C2772" s="4" t="s">
        <v>9</v>
      </c>
      <c r="D2772" s="4" t="s">
        <v>193</v>
      </c>
      <c r="E2772" s="4" t="s">
        <v>170</v>
      </c>
      <c r="F2772" s="4" t="s">
        <v>155</v>
      </c>
      <c r="G2772" s="4">
        <v>5</v>
      </c>
      <c r="H2772" s="4">
        <v>5</v>
      </c>
      <c r="I2772" s="4" t="s">
        <v>140</v>
      </c>
      <c r="J2772" s="4" t="s">
        <v>180</v>
      </c>
      <c r="K2772" s="4" t="s">
        <v>143</v>
      </c>
      <c r="L2772" s="4" t="s">
        <v>4181</v>
      </c>
      <c r="M2772" s="4" t="s">
        <v>3880</v>
      </c>
      <c r="N2772" s="4" t="s">
        <v>155</v>
      </c>
      <c r="O2772" s="4" t="s">
        <v>128</v>
      </c>
      <c r="P2772" s="4"/>
    </row>
    <row r="2773" spans="1:16" ht="15">
      <c r="A2773" s="4" t="s">
        <v>3881</v>
      </c>
      <c r="B2773" s="30">
        <v>40079</v>
      </c>
      <c r="C2773" s="4"/>
      <c r="D2773" s="4" t="s">
        <v>193</v>
      </c>
      <c r="E2773" s="4" t="s">
        <v>170</v>
      </c>
      <c r="F2773" s="4" t="s">
        <v>155</v>
      </c>
      <c r="G2773" s="4">
        <v>5</v>
      </c>
      <c r="H2773" s="4">
        <v>5</v>
      </c>
      <c r="I2773" s="4" t="s">
        <v>140</v>
      </c>
      <c r="J2773" s="4" t="s">
        <v>384</v>
      </c>
      <c r="K2773" s="4" t="s">
        <v>146</v>
      </c>
      <c r="L2773" s="4" t="s">
        <v>162</v>
      </c>
      <c r="M2773" s="4" t="s">
        <v>176</v>
      </c>
      <c r="N2773" s="4" t="s">
        <v>155</v>
      </c>
      <c r="O2773" s="4" t="s">
        <v>129</v>
      </c>
      <c r="P2773" s="4"/>
    </row>
    <row r="2774" spans="1:16" ht="15">
      <c r="A2774" s="4" t="s">
        <v>3882</v>
      </c>
      <c r="B2774" s="30">
        <v>39947</v>
      </c>
      <c r="C2774" s="4"/>
      <c r="D2774" s="4" t="s">
        <v>194</v>
      </c>
      <c r="E2774" s="4" t="s">
        <v>170</v>
      </c>
      <c r="F2774" s="4" t="s">
        <v>155</v>
      </c>
      <c r="G2774" s="4"/>
      <c r="H2774" s="4"/>
      <c r="I2774" s="4" t="s">
        <v>139</v>
      </c>
      <c r="J2774" s="4" t="s">
        <v>181</v>
      </c>
      <c r="K2774" s="4" t="s">
        <v>149</v>
      </c>
      <c r="L2774" s="4" t="s">
        <v>4176</v>
      </c>
      <c r="M2774" s="4" t="s">
        <v>550</v>
      </c>
      <c r="N2774" s="4" t="s">
        <v>160</v>
      </c>
      <c r="O2774" s="4" t="s">
        <v>126</v>
      </c>
      <c r="P2774" s="4" t="s">
        <v>3883</v>
      </c>
    </row>
    <row r="2775" spans="1:16" ht="15">
      <c r="A2775" s="4" t="s">
        <v>3884</v>
      </c>
      <c r="B2775" s="30">
        <v>39982</v>
      </c>
      <c r="C2775" s="4"/>
      <c r="D2775" s="4" t="s">
        <v>193</v>
      </c>
      <c r="E2775" s="4" t="s">
        <v>170</v>
      </c>
      <c r="F2775" s="4" t="s">
        <v>155</v>
      </c>
      <c r="G2775" s="4"/>
      <c r="H2775" s="4"/>
      <c r="I2775" s="4" t="s">
        <v>140</v>
      </c>
      <c r="J2775" s="4" t="s">
        <v>413</v>
      </c>
      <c r="K2775" s="4" t="s">
        <v>144</v>
      </c>
      <c r="L2775" s="4" t="s">
        <v>162</v>
      </c>
      <c r="M2775" s="4" t="s">
        <v>175</v>
      </c>
      <c r="N2775" s="4" t="s">
        <v>155</v>
      </c>
      <c r="O2775" s="4" t="s">
        <v>130</v>
      </c>
      <c r="P2775" s="4"/>
    </row>
    <row r="2776" spans="1:16" ht="15">
      <c r="A2776" s="4" t="s">
        <v>3885</v>
      </c>
      <c r="B2776" s="30">
        <v>39973</v>
      </c>
      <c r="C2776" s="4"/>
      <c r="D2776" s="4" t="s">
        <v>194</v>
      </c>
      <c r="E2776" s="4" t="s">
        <v>170</v>
      </c>
      <c r="F2776" s="4" t="s">
        <v>155</v>
      </c>
      <c r="G2776" s="4"/>
      <c r="H2776" s="4"/>
      <c r="I2776" s="4" t="s">
        <v>139</v>
      </c>
      <c r="J2776" s="4" t="s">
        <v>413</v>
      </c>
      <c r="K2776" s="4" t="s">
        <v>145</v>
      </c>
      <c r="L2776" s="4" t="s">
        <v>4181</v>
      </c>
      <c r="M2776" s="4" t="s">
        <v>173</v>
      </c>
      <c r="N2776" s="4" t="s">
        <v>161</v>
      </c>
      <c r="O2776" s="4" t="s">
        <v>465</v>
      </c>
      <c r="P2776" s="4"/>
    </row>
    <row r="2777" spans="1:16" ht="15">
      <c r="A2777" s="4" t="s">
        <v>3886</v>
      </c>
      <c r="B2777" s="30">
        <v>39928</v>
      </c>
      <c r="C2777" s="4"/>
      <c r="D2777" s="4" t="s">
        <v>4179</v>
      </c>
      <c r="E2777" s="4" t="s">
        <v>170</v>
      </c>
      <c r="F2777" s="4" t="s">
        <v>155</v>
      </c>
      <c r="G2777" s="4"/>
      <c r="H2777" s="4"/>
      <c r="I2777" s="4" t="s">
        <v>139</v>
      </c>
      <c r="J2777" s="4" t="s">
        <v>185</v>
      </c>
      <c r="K2777" s="4" t="s">
        <v>143</v>
      </c>
      <c r="L2777" s="4" t="s">
        <v>4181</v>
      </c>
      <c r="M2777" s="4"/>
      <c r="N2777" s="4" t="s">
        <v>155</v>
      </c>
      <c r="O2777" s="4" t="s">
        <v>124</v>
      </c>
      <c r="P2777" s="4"/>
    </row>
    <row r="2778" spans="1:16" ht="15">
      <c r="A2778" s="4" t="s">
        <v>3887</v>
      </c>
      <c r="B2778" s="30">
        <v>40024</v>
      </c>
      <c r="C2778" s="4"/>
      <c r="D2778" s="4" t="s">
        <v>193</v>
      </c>
      <c r="E2778" s="4" t="s">
        <v>170</v>
      </c>
      <c r="F2778" s="4" t="s">
        <v>155</v>
      </c>
      <c r="G2778" s="4">
        <v>5</v>
      </c>
      <c r="H2778" s="4">
        <v>2</v>
      </c>
      <c r="I2778" s="4" t="s">
        <v>140</v>
      </c>
      <c r="J2778" s="4" t="s">
        <v>413</v>
      </c>
      <c r="K2778" s="4" t="s">
        <v>142</v>
      </c>
      <c r="L2778" s="4" t="s">
        <v>4181</v>
      </c>
      <c r="M2778" s="4" t="s">
        <v>173</v>
      </c>
      <c r="N2778" s="4" t="s">
        <v>155</v>
      </c>
      <c r="O2778" s="4" t="s">
        <v>124</v>
      </c>
      <c r="P2778" s="4"/>
    </row>
    <row r="2779" spans="1:16" ht="15">
      <c r="A2779" s="4" t="s">
        <v>3888</v>
      </c>
      <c r="B2779" s="30">
        <v>40008</v>
      </c>
      <c r="C2779" s="4"/>
      <c r="D2779" s="4" t="s">
        <v>196</v>
      </c>
      <c r="E2779" s="4" t="s">
        <v>170</v>
      </c>
      <c r="F2779" s="4" t="s">
        <v>155</v>
      </c>
      <c r="G2779" s="4">
        <v>5</v>
      </c>
      <c r="H2779" s="4">
        <v>5</v>
      </c>
      <c r="I2779" s="4" t="s">
        <v>139</v>
      </c>
      <c r="J2779" s="4" t="s">
        <v>190</v>
      </c>
      <c r="K2779" s="4" t="s">
        <v>145</v>
      </c>
      <c r="L2779" s="4" t="s">
        <v>162</v>
      </c>
      <c r="M2779" s="4" t="s">
        <v>175</v>
      </c>
      <c r="N2779" s="4" t="s">
        <v>155</v>
      </c>
      <c r="O2779" s="4" t="s">
        <v>130</v>
      </c>
      <c r="P2779" s="4"/>
    </row>
    <row r="2780" spans="1:16" ht="15">
      <c r="A2780" s="4" t="s">
        <v>3889</v>
      </c>
      <c r="B2780" s="30">
        <v>39942</v>
      </c>
      <c r="C2780" s="4"/>
      <c r="D2780" s="4" t="s">
        <v>193</v>
      </c>
      <c r="E2780" s="4" t="s">
        <v>170</v>
      </c>
      <c r="F2780" s="4" t="s">
        <v>155</v>
      </c>
      <c r="G2780" s="4"/>
      <c r="H2780" s="4"/>
      <c r="I2780" s="4" t="s">
        <v>140</v>
      </c>
      <c r="J2780" s="4" t="s">
        <v>189</v>
      </c>
      <c r="K2780" s="4" t="s">
        <v>147</v>
      </c>
      <c r="L2780" s="4" t="s">
        <v>4181</v>
      </c>
      <c r="M2780" s="4" t="s">
        <v>415</v>
      </c>
      <c r="N2780" s="4" t="s">
        <v>155</v>
      </c>
      <c r="O2780" s="4" t="s">
        <v>130</v>
      </c>
      <c r="P2780" s="4"/>
    </row>
    <row r="2781" spans="1:16" ht="15">
      <c r="A2781" s="4" t="s">
        <v>3890</v>
      </c>
      <c r="B2781" s="30">
        <v>39973</v>
      </c>
      <c r="C2781" s="4"/>
      <c r="D2781" s="4" t="s">
        <v>194</v>
      </c>
      <c r="E2781" s="4" t="s">
        <v>170</v>
      </c>
      <c r="F2781" s="4" t="s">
        <v>155</v>
      </c>
      <c r="G2781" s="4"/>
      <c r="H2781" s="4"/>
      <c r="I2781" s="4" t="s">
        <v>139</v>
      </c>
      <c r="J2781" s="4" t="s">
        <v>184</v>
      </c>
      <c r="K2781" s="4" t="s">
        <v>142</v>
      </c>
      <c r="L2781" s="4" t="s">
        <v>4181</v>
      </c>
      <c r="M2781" s="4" t="s">
        <v>173</v>
      </c>
      <c r="N2781" s="4" t="s">
        <v>155</v>
      </c>
      <c r="O2781" s="4" t="s">
        <v>1133</v>
      </c>
      <c r="P2781" s="4"/>
    </row>
    <row r="2782" spans="1:16" ht="15">
      <c r="A2782" s="4" t="s">
        <v>3891</v>
      </c>
      <c r="B2782" s="30">
        <v>39974</v>
      </c>
      <c r="C2782" s="4"/>
      <c r="D2782" s="4" t="s">
        <v>195</v>
      </c>
      <c r="E2782" s="4" t="s">
        <v>170</v>
      </c>
      <c r="F2782" s="4" t="s">
        <v>155</v>
      </c>
      <c r="G2782" s="4"/>
      <c r="H2782" s="4"/>
      <c r="I2782" s="4" t="s">
        <v>139</v>
      </c>
      <c r="J2782" s="4" t="s">
        <v>509</v>
      </c>
      <c r="K2782" s="4" t="s">
        <v>144</v>
      </c>
      <c r="L2782" s="4" t="s">
        <v>162</v>
      </c>
      <c r="M2782" s="4" t="s">
        <v>459</v>
      </c>
      <c r="N2782" s="4" t="s">
        <v>155</v>
      </c>
      <c r="O2782" s="4" t="s">
        <v>129</v>
      </c>
      <c r="P2782" s="4"/>
    </row>
    <row r="2783" spans="1:16" ht="15">
      <c r="A2783" s="4" t="s">
        <v>3892</v>
      </c>
      <c r="B2783" s="30">
        <v>40028</v>
      </c>
      <c r="C2783" s="4"/>
      <c r="D2783" s="4" t="s">
        <v>544</v>
      </c>
      <c r="E2783" s="4" t="s">
        <v>170</v>
      </c>
      <c r="F2783" s="4" t="s">
        <v>155</v>
      </c>
      <c r="G2783" s="4">
        <v>5</v>
      </c>
      <c r="H2783" s="4">
        <v>5</v>
      </c>
      <c r="I2783" s="4" t="s">
        <v>139</v>
      </c>
      <c r="J2783" s="4" t="s">
        <v>181</v>
      </c>
      <c r="K2783" s="4" t="s">
        <v>149</v>
      </c>
      <c r="L2783" s="4" t="s">
        <v>162</v>
      </c>
      <c r="M2783" s="4" t="s">
        <v>175</v>
      </c>
      <c r="N2783" s="4" t="s">
        <v>155</v>
      </c>
      <c r="O2783" s="4" t="s">
        <v>129</v>
      </c>
      <c r="P2783" s="4"/>
    </row>
    <row r="2784" spans="1:16" ht="15">
      <c r="A2784" s="4" t="s">
        <v>3893</v>
      </c>
      <c r="B2784" s="30">
        <v>39927</v>
      </c>
      <c r="C2784" s="4" t="s">
        <v>496</v>
      </c>
      <c r="D2784" s="4" t="s">
        <v>4182</v>
      </c>
      <c r="E2784" s="4" t="s">
        <v>170</v>
      </c>
      <c r="F2784" s="4" t="s">
        <v>155</v>
      </c>
      <c r="G2784" s="4"/>
      <c r="H2784" s="4"/>
      <c r="I2784" s="4" t="s">
        <v>139</v>
      </c>
      <c r="J2784" s="4" t="s">
        <v>180</v>
      </c>
      <c r="K2784" s="4" t="s">
        <v>147</v>
      </c>
      <c r="L2784" s="4" t="s">
        <v>4181</v>
      </c>
      <c r="M2784" s="4" t="s">
        <v>173</v>
      </c>
      <c r="N2784" s="4" t="s">
        <v>155</v>
      </c>
      <c r="O2784" s="4" t="s">
        <v>124</v>
      </c>
      <c r="P2784" s="4"/>
    </row>
    <row r="2785" spans="1:16" ht="15">
      <c r="A2785" s="4" t="s">
        <v>3894</v>
      </c>
      <c r="B2785" s="30">
        <v>39926</v>
      </c>
      <c r="C2785" s="4"/>
      <c r="D2785" s="4" t="s">
        <v>4183</v>
      </c>
      <c r="E2785" s="4" t="s">
        <v>170</v>
      </c>
      <c r="F2785" s="4" t="s">
        <v>155</v>
      </c>
      <c r="G2785" s="4"/>
      <c r="H2785" s="4"/>
      <c r="I2785" s="4" t="s">
        <v>140</v>
      </c>
      <c r="J2785" s="4" t="s">
        <v>180</v>
      </c>
      <c r="K2785" s="4" t="s">
        <v>147</v>
      </c>
      <c r="L2785" s="4" t="s">
        <v>4181</v>
      </c>
      <c r="M2785" s="4" t="s">
        <v>3895</v>
      </c>
      <c r="N2785" s="4" t="s">
        <v>155</v>
      </c>
      <c r="O2785" s="4" t="s">
        <v>387</v>
      </c>
      <c r="P2785" s="4"/>
    </row>
    <row r="2786" spans="1:16" ht="15">
      <c r="A2786" s="4" t="s">
        <v>3896</v>
      </c>
      <c r="B2786" s="30">
        <v>39974</v>
      </c>
      <c r="C2786" s="4" t="s">
        <v>383</v>
      </c>
      <c r="D2786" s="4" t="s">
        <v>195</v>
      </c>
      <c r="E2786" s="4" t="s">
        <v>170</v>
      </c>
      <c r="F2786" s="4" t="s">
        <v>155</v>
      </c>
      <c r="G2786" s="4"/>
      <c r="H2786" s="4"/>
      <c r="I2786" s="4" t="s">
        <v>139</v>
      </c>
      <c r="J2786" s="4" t="s">
        <v>180</v>
      </c>
      <c r="K2786" s="4" t="s">
        <v>146</v>
      </c>
      <c r="L2786" s="4" t="s">
        <v>4176</v>
      </c>
      <c r="M2786" s="4" t="s">
        <v>174</v>
      </c>
      <c r="N2786" s="4" t="s">
        <v>157</v>
      </c>
      <c r="O2786" s="4" t="s">
        <v>130</v>
      </c>
      <c r="P2786" s="4" t="s">
        <v>437</v>
      </c>
    </row>
    <row r="2787" spans="1:16" ht="15">
      <c r="A2787" s="4" t="s">
        <v>3897</v>
      </c>
      <c r="B2787" s="30">
        <v>40019</v>
      </c>
      <c r="C2787" s="4"/>
      <c r="D2787" s="4" t="s">
        <v>196</v>
      </c>
      <c r="E2787" s="4" t="s">
        <v>170</v>
      </c>
      <c r="F2787" s="4" t="s">
        <v>155</v>
      </c>
      <c r="G2787" s="4">
        <v>5</v>
      </c>
      <c r="H2787" s="4">
        <v>5</v>
      </c>
      <c r="I2787" s="4" t="s">
        <v>139</v>
      </c>
      <c r="J2787" s="4" t="s">
        <v>183</v>
      </c>
      <c r="K2787" s="4" t="s">
        <v>151</v>
      </c>
      <c r="L2787" s="4" t="s">
        <v>162</v>
      </c>
      <c r="M2787" s="4" t="s">
        <v>567</v>
      </c>
      <c r="N2787" s="4" t="s">
        <v>155</v>
      </c>
      <c r="O2787" s="4" t="s">
        <v>130</v>
      </c>
      <c r="P2787" s="4"/>
    </row>
    <row r="2788" spans="1:16" ht="15">
      <c r="A2788" s="4" t="s">
        <v>3898</v>
      </c>
      <c r="B2788" s="30">
        <v>40058</v>
      </c>
      <c r="C2788" s="4"/>
      <c r="D2788" s="4" t="s">
        <v>195</v>
      </c>
      <c r="E2788" s="4" t="s">
        <v>170</v>
      </c>
      <c r="F2788" s="4" t="s">
        <v>155</v>
      </c>
      <c r="G2788" s="4">
        <v>5</v>
      </c>
      <c r="H2788" s="4">
        <v>3</v>
      </c>
      <c r="I2788" s="4" t="s">
        <v>139</v>
      </c>
      <c r="J2788" s="4" t="s">
        <v>186</v>
      </c>
      <c r="K2788" s="4" t="s">
        <v>143</v>
      </c>
      <c r="L2788" s="4" t="s">
        <v>165</v>
      </c>
      <c r="M2788" s="4" t="s">
        <v>1089</v>
      </c>
      <c r="N2788" s="4" t="s">
        <v>158</v>
      </c>
      <c r="O2788" s="4" t="s">
        <v>122</v>
      </c>
      <c r="P2788" s="4"/>
    </row>
    <row r="2789" spans="1:16" ht="15">
      <c r="A2789" s="4" t="s">
        <v>3899</v>
      </c>
      <c r="B2789" s="30">
        <v>39947</v>
      </c>
      <c r="C2789" s="4"/>
      <c r="D2789" s="4" t="s">
        <v>194</v>
      </c>
      <c r="E2789" s="4" t="s">
        <v>170</v>
      </c>
      <c r="F2789" s="4" t="s">
        <v>155</v>
      </c>
      <c r="G2789" s="4"/>
      <c r="H2789" s="4"/>
      <c r="I2789" s="4" t="s">
        <v>139</v>
      </c>
      <c r="J2789" s="4" t="s">
        <v>191</v>
      </c>
      <c r="K2789" s="4" t="s">
        <v>145</v>
      </c>
      <c r="L2789" s="4" t="s">
        <v>165</v>
      </c>
      <c r="M2789" s="4"/>
      <c r="N2789" s="4" t="s">
        <v>158</v>
      </c>
      <c r="O2789" s="4" t="s">
        <v>122</v>
      </c>
      <c r="P2789" s="4"/>
    </row>
    <row r="2790" spans="1:16" ht="15">
      <c r="A2790" s="4" t="s">
        <v>3900</v>
      </c>
      <c r="B2790" s="30">
        <v>40049</v>
      </c>
      <c r="C2790" s="4"/>
      <c r="D2790" s="4" t="s">
        <v>193</v>
      </c>
      <c r="E2790" s="4" t="s">
        <v>170</v>
      </c>
      <c r="F2790" s="4" t="s">
        <v>155</v>
      </c>
      <c r="G2790" s="4">
        <v>5</v>
      </c>
      <c r="H2790" s="4">
        <v>5</v>
      </c>
      <c r="I2790" s="4" t="s">
        <v>140</v>
      </c>
      <c r="J2790" s="4" t="s">
        <v>187</v>
      </c>
      <c r="K2790" s="4" t="s">
        <v>146</v>
      </c>
      <c r="L2790" s="4" t="s">
        <v>162</v>
      </c>
      <c r="M2790" s="4" t="s">
        <v>802</v>
      </c>
      <c r="N2790" s="4" t="s">
        <v>155</v>
      </c>
      <c r="O2790" s="4" t="s">
        <v>129</v>
      </c>
      <c r="P2790" s="4"/>
    </row>
    <row r="2791" spans="1:16" ht="15">
      <c r="A2791" s="4" t="s">
        <v>3901</v>
      </c>
      <c r="B2791" s="30">
        <v>39921</v>
      </c>
      <c r="C2791" s="4"/>
      <c r="D2791" s="4" t="s">
        <v>4178</v>
      </c>
      <c r="E2791" s="4" t="s">
        <v>170</v>
      </c>
      <c r="F2791" s="4" t="s">
        <v>155</v>
      </c>
      <c r="G2791" s="4"/>
      <c r="H2791" s="4"/>
      <c r="I2791" s="4" t="s">
        <v>139</v>
      </c>
      <c r="J2791" s="4" t="s">
        <v>178</v>
      </c>
      <c r="K2791" s="4" t="s">
        <v>143</v>
      </c>
      <c r="L2791" s="4" t="s">
        <v>162</v>
      </c>
      <c r="M2791" s="4" t="s">
        <v>176</v>
      </c>
      <c r="N2791" s="4" t="s">
        <v>155</v>
      </c>
      <c r="O2791" s="4" t="s">
        <v>130</v>
      </c>
      <c r="P2791" s="4"/>
    </row>
    <row r="2792" spans="1:16" ht="15">
      <c r="A2792" s="4" t="s">
        <v>3902</v>
      </c>
      <c r="B2792" s="30">
        <v>39931</v>
      </c>
      <c r="C2792" s="4"/>
      <c r="D2792" s="4" t="s">
        <v>4184</v>
      </c>
      <c r="E2792" s="4" t="s">
        <v>170</v>
      </c>
      <c r="F2792" s="4" t="s">
        <v>155</v>
      </c>
      <c r="G2792" s="4"/>
      <c r="H2792" s="4"/>
      <c r="I2792" s="4" t="s">
        <v>140</v>
      </c>
      <c r="J2792" s="4" t="s">
        <v>178</v>
      </c>
      <c r="K2792" s="4" t="s">
        <v>147</v>
      </c>
      <c r="L2792" s="4" t="s">
        <v>4176</v>
      </c>
      <c r="M2792" s="4" t="s">
        <v>578</v>
      </c>
      <c r="N2792" s="4" t="s">
        <v>157</v>
      </c>
      <c r="O2792" s="4" t="s">
        <v>130</v>
      </c>
      <c r="P2792" s="4" t="s">
        <v>437</v>
      </c>
    </row>
    <row r="2793" spans="1:16" ht="15">
      <c r="A2793" s="4" t="s">
        <v>3903</v>
      </c>
      <c r="B2793" s="30">
        <v>39963</v>
      </c>
      <c r="C2793" s="4" t="s">
        <v>9</v>
      </c>
      <c r="D2793" s="4" t="s">
        <v>193</v>
      </c>
      <c r="E2793" s="4" t="s">
        <v>170</v>
      </c>
      <c r="F2793" s="4" t="s">
        <v>155</v>
      </c>
      <c r="G2793" s="4"/>
      <c r="H2793" s="4"/>
      <c r="I2793" s="4" t="s">
        <v>140</v>
      </c>
      <c r="J2793" s="4" t="s">
        <v>376</v>
      </c>
      <c r="K2793" s="4" t="s">
        <v>146</v>
      </c>
      <c r="L2793" s="4" t="s">
        <v>4176</v>
      </c>
      <c r="M2793" s="4" t="s">
        <v>174</v>
      </c>
      <c r="N2793" s="4" t="s">
        <v>156</v>
      </c>
      <c r="O2793" s="4" t="s">
        <v>120</v>
      </c>
      <c r="P2793" s="4" t="s">
        <v>2228</v>
      </c>
    </row>
    <row r="2794" spans="1:16" ht="15">
      <c r="A2794" s="4" t="s">
        <v>3904</v>
      </c>
      <c r="B2794" s="30">
        <v>39979</v>
      </c>
      <c r="C2794" s="4" t="s">
        <v>496</v>
      </c>
      <c r="D2794" s="4" t="s">
        <v>194</v>
      </c>
      <c r="E2794" s="4" t="s">
        <v>170</v>
      </c>
      <c r="F2794" s="4" t="s">
        <v>155</v>
      </c>
      <c r="G2794" s="4"/>
      <c r="H2794" s="4"/>
      <c r="I2794" s="4" t="s">
        <v>139</v>
      </c>
      <c r="J2794" s="4" t="s">
        <v>178</v>
      </c>
      <c r="K2794" s="4" t="s">
        <v>143</v>
      </c>
      <c r="L2794" s="4" t="s">
        <v>4181</v>
      </c>
      <c r="M2794" s="4" t="s">
        <v>173</v>
      </c>
      <c r="N2794" s="4" t="s">
        <v>155</v>
      </c>
      <c r="O2794" s="4" t="s">
        <v>124</v>
      </c>
      <c r="P2794" s="4"/>
    </row>
    <row r="2795" spans="1:16" ht="15">
      <c r="A2795" s="4" t="s">
        <v>3905</v>
      </c>
      <c r="B2795" s="30">
        <v>40009</v>
      </c>
      <c r="C2795" s="4"/>
      <c r="D2795" s="4" t="s">
        <v>193</v>
      </c>
      <c r="E2795" s="4" t="s">
        <v>170</v>
      </c>
      <c r="F2795" s="4" t="s">
        <v>155</v>
      </c>
      <c r="G2795" s="4">
        <v>4</v>
      </c>
      <c r="H2795" s="4">
        <v>3</v>
      </c>
      <c r="I2795" s="4" t="s">
        <v>140</v>
      </c>
      <c r="J2795" s="4" t="s">
        <v>178</v>
      </c>
      <c r="K2795" s="4" t="s">
        <v>149</v>
      </c>
      <c r="L2795" s="4" t="s">
        <v>162</v>
      </c>
      <c r="M2795" s="4" t="s">
        <v>567</v>
      </c>
      <c r="N2795" s="4" t="s">
        <v>155</v>
      </c>
      <c r="O2795" s="4" t="s">
        <v>130</v>
      </c>
      <c r="P2795" s="4"/>
    </row>
    <row r="2796" spans="1:16" ht="15">
      <c r="A2796" s="4" t="s">
        <v>3906</v>
      </c>
      <c r="B2796" s="30">
        <v>39923</v>
      </c>
      <c r="C2796" s="4" t="s">
        <v>570</v>
      </c>
      <c r="D2796" s="4" t="s">
        <v>4180</v>
      </c>
      <c r="E2796" s="4" t="s">
        <v>170</v>
      </c>
      <c r="F2796" s="4" t="s">
        <v>155</v>
      </c>
      <c r="G2796" s="4"/>
      <c r="H2796" s="4"/>
      <c r="I2796" s="4" t="s">
        <v>139</v>
      </c>
      <c r="J2796" s="4" t="s">
        <v>178</v>
      </c>
      <c r="K2796" s="4" t="s">
        <v>147</v>
      </c>
      <c r="L2796" s="4" t="s">
        <v>4181</v>
      </c>
      <c r="M2796" s="4" t="s">
        <v>3907</v>
      </c>
      <c r="N2796" s="4" t="s">
        <v>155</v>
      </c>
      <c r="O2796" s="4" t="s">
        <v>439</v>
      </c>
      <c r="P2796" s="4"/>
    </row>
    <row r="2797" spans="1:16" ht="15">
      <c r="A2797" s="4" t="s">
        <v>3908</v>
      </c>
      <c r="B2797" s="30">
        <v>39921</v>
      </c>
      <c r="C2797" s="4"/>
      <c r="D2797" s="4" t="s">
        <v>4177</v>
      </c>
      <c r="E2797" s="4" t="s">
        <v>170</v>
      </c>
      <c r="F2797" s="4" t="s">
        <v>155</v>
      </c>
      <c r="G2797" s="4"/>
      <c r="H2797" s="4"/>
      <c r="I2797" s="4" t="s">
        <v>139</v>
      </c>
      <c r="J2797" s="4" t="s">
        <v>178</v>
      </c>
      <c r="K2797" s="4" t="s">
        <v>145</v>
      </c>
      <c r="L2797" s="4" t="s">
        <v>4181</v>
      </c>
      <c r="M2797" s="4" t="s">
        <v>173</v>
      </c>
      <c r="N2797" s="4" t="s">
        <v>155</v>
      </c>
      <c r="O2797" s="4" t="s">
        <v>434</v>
      </c>
      <c r="P2797" s="4"/>
    </row>
    <row r="2798" spans="1:16" ht="15">
      <c r="A2798" s="4" t="s">
        <v>3909</v>
      </c>
      <c r="B2798" s="30">
        <v>40051</v>
      </c>
      <c r="C2798" s="4"/>
      <c r="D2798" s="4" t="s">
        <v>193</v>
      </c>
      <c r="E2798" s="4" t="s">
        <v>170</v>
      </c>
      <c r="F2798" s="4" t="s">
        <v>155</v>
      </c>
      <c r="G2798" s="4">
        <v>3</v>
      </c>
      <c r="H2798" s="4">
        <v>3</v>
      </c>
      <c r="I2798" s="4" t="s">
        <v>140</v>
      </c>
      <c r="J2798" s="4" t="s">
        <v>178</v>
      </c>
      <c r="K2798" s="4" t="s">
        <v>144</v>
      </c>
      <c r="L2798" s="4" t="s">
        <v>162</v>
      </c>
      <c r="M2798" s="4"/>
      <c r="N2798" s="4" t="s">
        <v>155</v>
      </c>
      <c r="O2798" s="4" t="s">
        <v>127</v>
      </c>
      <c r="P2798" s="4"/>
    </row>
    <row r="2799" spans="1:16" ht="15">
      <c r="A2799" s="4" t="s">
        <v>3910</v>
      </c>
      <c r="B2799" s="30">
        <v>39999</v>
      </c>
      <c r="C2799" s="4" t="s">
        <v>496</v>
      </c>
      <c r="D2799" s="4" t="s">
        <v>193</v>
      </c>
      <c r="E2799" s="4" t="s">
        <v>170</v>
      </c>
      <c r="F2799" s="4" t="s">
        <v>155</v>
      </c>
      <c r="G2799" s="4"/>
      <c r="H2799" s="4">
        <v>3</v>
      </c>
      <c r="I2799" s="4" t="s">
        <v>140</v>
      </c>
      <c r="J2799" s="4" t="s">
        <v>178</v>
      </c>
      <c r="K2799" s="4" t="s">
        <v>146</v>
      </c>
      <c r="L2799" s="4" t="s">
        <v>165</v>
      </c>
      <c r="M2799" s="4" t="s">
        <v>589</v>
      </c>
      <c r="N2799" s="4" t="s">
        <v>158</v>
      </c>
      <c r="O2799" s="4" t="s">
        <v>122</v>
      </c>
      <c r="P2799" s="4"/>
    </row>
    <row r="2800" spans="1:16" ht="15">
      <c r="A2800" s="4" t="s">
        <v>3911</v>
      </c>
      <c r="B2800" s="30">
        <v>39982</v>
      </c>
      <c r="C2800" s="4" t="s">
        <v>380</v>
      </c>
      <c r="D2800" s="4" t="s">
        <v>196</v>
      </c>
      <c r="E2800" s="4" t="s">
        <v>170</v>
      </c>
      <c r="F2800" s="4" t="s">
        <v>155</v>
      </c>
      <c r="G2800" s="4"/>
      <c r="H2800" s="4"/>
      <c r="I2800" s="4" t="s">
        <v>139</v>
      </c>
      <c r="J2800" s="4" t="s">
        <v>376</v>
      </c>
      <c r="K2800" s="4" t="s">
        <v>145</v>
      </c>
      <c r="L2800" s="4" t="s">
        <v>4176</v>
      </c>
      <c r="M2800" s="4" t="s">
        <v>174</v>
      </c>
      <c r="N2800" s="4" t="s">
        <v>157</v>
      </c>
      <c r="O2800" s="4" t="s">
        <v>3912</v>
      </c>
      <c r="P2800" s="4" t="s">
        <v>3913</v>
      </c>
    </row>
    <row r="2801" spans="1:16" ht="15">
      <c r="A2801" s="4" t="s">
        <v>3914</v>
      </c>
      <c r="B2801" s="30">
        <v>40030</v>
      </c>
      <c r="C2801" s="4"/>
      <c r="D2801" s="4" t="s">
        <v>193</v>
      </c>
      <c r="E2801" s="4" t="s">
        <v>170</v>
      </c>
      <c r="F2801" s="4" t="s">
        <v>155</v>
      </c>
      <c r="G2801" s="4">
        <v>5</v>
      </c>
      <c r="H2801" s="4">
        <v>2</v>
      </c>
      <c r="I2801" s="4" t="s">
        <v>140</v>
      </c>
      <c r="J2801" s="4" t="s">
        <v>189</v>
      </c>
      <c r="K2801" s="4" t="s">
        <v>151</v>
      </c>
      <c r="L2801" s="4" t="s">
        <v>4176</v>
      </c>
      <c r="M2801" s="4" t="s">
        <v>659</v>
      </c>
      <c r="N2801" s="4" t="s">
        <v>156</v>
      </c>
      <c r="O2801" s="4" t="s">
        <v>120</v>
      </c>
      <c r="P2801" s="4" t="s">
        <v>649</v>
      </c>
    </row>
    <row r="2802" spans="1:16" ht="15">
      <c r="A2802" s="4" t="s">
        <v>3915</v>
      </c>
      <c r="B2802" s="30">
        <v>40084</v>
      </c>
      <c r="C2802" s="4" t="s">
        <v>380</v>
      </c>
      <c r="D2802" s="4" t="s">
        <v>197</v>
      </c>
      <c r="E2802" s="4" t="s">
        <v>170</v>
      </c>
      <c r="F2802" s="4" t="s">
        <v>155</v>
      </c>
      <c r="G2802" s="4">
        <v>5</v>
      </c>
      <c r="H2802" s="4">
        <v>5</v>
      </c>
      <c r="I2802" s="4" t="s">
        <v>139</v>
      </c>
      <c r="J2802" s="4" t="s">
        <v>534</v>
      </c>
      <c r="K2802" s="4" t="s">
        <v>143</v>
      </c>
      <c r="L2802" s="4" t="s">
        <v>4181</v>
      </c>
      <c r="M2802" s="4" t="s">
        <v>902</v>
      </c>
      <c r="N2802" s="4" t="s">
        <v>155</v>
      </c>
      <c r="O2802" s="4" t="s">
        <v>125</v>
      </c>
      <c r="P2802" s="4"/>
    </row>
    <row r="2803" spans="1:16" ht="15">
      <c r="A2803" s="4" t="s">
        <v>3916</v>
      </c>
      <c r="B2803" s="30">
        <v>39941</v>
      </c>
      <c r="C2803" s="4"/>
      <c r="D2803" s="4" t="s">
        <v>193</v>
      </c>
      <c r="E2803" s="4" t="s">
        <v>170</v>
      </c>
      <c r="F2803" s="4" t="s">
        <v>155</v>
      </c>
      <c r="G2803" s="4"/>
      <c r="H2803" s="4"/>
      <c r="I2803" s="4" t="s">
        <v>140</v>
      </c>
      <c r="J2803" s="4" t="s">
        <v>810</v>
      </c>
      <c r="K2803" s="4" t="s">
        <v>142</v>
      </c>
      <c r="L2803" s="4" t="s">
        <v>4176</v>
      </c>
      <c r="M2803" s="4" t="s">
        <v>174</v>
      </c>
      <c r="N2803" s="4" t="s">
        <v>156</v>
      </c>
      <c r="O2803" s="4" t="s">
        <v>120</v>
      </c>
      <c r="P2803" s="4" t="s">
        <v>958</v>
      </c>
    </row>
    <row r="2804" spans="1:16" ht="15">
      <c r="A2804" s="4" t="s">
        <v>3917</v>
      </c>
      <c r="B2804" s="30">
        <v>39913</v>
      </c>
      <c r="C2804" s="4"/>
      <c r="D2804" s="4" t="s">
        <v>4180</v>
      </c>
      <c r="E2804" s="4" t="s">
        <v>170</v>
      </c>
      <c r="F2804" s="4" t="s">
        <v>155</v>
      </c>
      <c r="G2804" s="4"/>
      <c r="H2804" s="4"/>
      <c r="I2804" s="4" t="s">
        <v>139</v>
      </c>
      <c r="J2804" s="4" t="s">
        <v>409</v>
      </c>
      <c r="K2804" s="4" t="s">
        <v>147</v>
      </c>
      <c r="L2804" s="4" t="s">
        <v>162</v>
      </c>
      <c r="M2804" s="4" t="s">
        <v>175</v>
      </c>
      <c r="N2804" s="4" t="s">
        <v>155</v>
      </c>
      <c r="O2804" s="4" t="s">
        <v>127</v>
      </c>
      <c r="P2804" s="4"/>
    </row>
    <row r="2805" spans="1:16" ht="15">
      <c r="A2805" s="4" t="s">
        <v>3918</v>
      </c>
      <c r="B2805" s="30">
        <v>39938</v>
      </c>
      <c r="C2805" s="4"/>
      <c r="D2805" s="4" t="s">
        <v>4178</v>
      </c>
      <c r="E2805" s="4" t="s">
        <v>170</v>
      </c>
      <c r="F2805" s="4" t="s">
        <v>155</v>
      </c>
      <c r="G2805" s="4"/>
      <c r="H2805" s="4"/>
      <c r="I2805" s="4" t="s">
        <v>139</v>
      </c>
      <c r="J2805" s="4" t="s">
        <v>409</v>
      </c>
      <c r="K2805" s="4" t="s">
        <v>149</v>
      </c>
      <c r="L2805" s="4" t="s">
        <v>4181</v>
      </c>
      <c r="M2805" s="4" t="s">
        <v>173</v>
      </c>
      <c r="N2805" s="4" t="s">
        <v>155</v>
      </c>
      <c r="O2805" s="4" t="s">
        <v>734</v>
      </c>
      <c r="P2805" s="4"/>
    </row>
    <row r="2806" spans="1:16" ht="15">
      <c r="A2806" s="4" t="s">
        <v>3919</v>
      </c>
      <c r="B2806" s="30">
        <v>39914</v>
      </c>
      <c r="C2806" s="4"/>
      <c r="D2806" s="4" t="s">
        <v>4178</v>
      </c>
      <c r="E2806" s="4" t="s">
        <v>170</v>
      </c>
      <c r="F2806" s="4" t="s">
        <v>155</v>
      </c>
      <c r="G2806" s="4"/>
      <c r="H2806" s="4"/>
      <c r="I2806" s="4" t="s">
        <v>139</v>
      </c>
      <c r="J2806" s="4" t="s">
        <v>409</v>
      </c>
      <c r="K2806" s="4" t="s">
        <v>147</v>
      </c>
      <c r="L2806" s="4" t="s">
        <v>162</v>
      </c>
      <c r="M2806" s="4" t="s">
        <v>933</v>
      </c>
      <c r="N2806" s="4" t="s">
        <v>155</v>
      </c>
      <c r="O2806" s="4" t="s">
        <v>439</v>
      </c>
      <c r="P2806" s="4"/>
    </row>
    <row r="2807" spans="1:16" ht="15">
      <c r="A2807" s="4" t="s">
        <v>3920</v>
      </c>
      <c r="B2807" s="30">
        <v>39988</v>
      </c>
      <c r="C2807" s="4" t="s">
        <v>9</v>
      </c>
      <c r="D2807" s="4" t="s">
        <v>196</v>
      </c>
      <c r="E2807" s="4" t="s">
        <v>170</v>
      </c>
      <c r="F2807" s="4" t="s">
        <v>155</v>
      </c>
      <c r="G2807" s="4"/>
      <c r="H2807" s="4"/>
      <c r="I2807" s="4" t="s">
        <v>139</v>
      </c>
      <c r="J2807" s="4" t="s">
        <v>190</v>
      </c>
      <c r="K2807" s="4" t="s">
        <v>142</v>
      </c>
      <c r="L2807" s="4" t="s">
        <v>4176</v>
      </c>
      <c r="M2807" s="4" t="s">
        <v>175</v>
      </c>
      <c r="N2807" s="4" t="s">
        <v>125</v>
      </c>
      <c r="O2807" s="4" t="s">
        <v>628</v>
      </c>
      <c r="P2807" s="4" t="s">
        <v>3921</v>
      </c>
    </row>
    <row r="2808" spans="1:16" ht="15">
      <c r="A2808" s="4" t="s">
        <v>3922</v>
      </c>
      <c r="B2808" s="30">
        <v>39984</v>
      </c>
      <c r="C2808" s="4" t="s">
        <v>9</v>
      </c>
      <c r="D2808" s="4" t="s">
        <v>195</v>
      </c>
      <c r="E2808" s="4" t="s">
        <v>170</v>
      </c>
      <c r="F2808" s="4" t="s">
        <v>155</v>
      </c>
      <c r="G2808" s="4"/>
      <c r="H2808" s="4"/>
      <c r="I2808" s="4" t="s">
        <v>139</v>
      </c>
      <c r="J2808" s="4" t="s">
        <v>190</v>
      </c>
      <c r="K2808" s="4" t="s">
        <v>146</v>
      </c>
      <c r="L2808" s="4" t="s">
        <v>162</v>
      </c>
      <c r="M2808" s="4" t="s">
        <v>459</v>
      </c>
      <c r="N2808" s="4" t="s">
        <v>155</v>
      </c>
      <c r="O2808" s="4" t="s">
        <v>130</v>
      </c>
      <c r="P2808" s="4"/>
    </row>
    <row r="2809" spans="1:16" ht="15">
      <c r="A2809" s="4" t="s">
        <v>3923</v>
      </c>
      <c r="B2809" s="30">
        <v>39941</v>
      </c>
      <c r="C2809" s="4"/>
      <c r="D2809" s="4" t="s">
        <v>195</v>
      </c>
      <c r="E2809" s="4" t="s">
        <v>170</v>
      </c>
      <c r="F2809" s="4" t="s">
        <v>155</v>
      </c>
      <c r="G2809" s="4"/>
      <c r="H2809" s="4"/>
      <c r="I2809" s="4" t="s">
        <v>139</v>
      </c>
      <c r="J2809" s="4" t="s">
        <v>188</v>
      </c>
      <c r="K2809" s="4" t="s">
        <v>149</v>
      </c>
      <c r="L2809" s="4" t="s">
        <v>4176</v>
      </c>
      <c r="M2809" s="4" t="s">
        <v>174</v>
      </c>
      <c r="N2809" s="4" t="s">
        <v>156</v>
      </c>
      <c r="O2809" s="4" t="s">
        <v>120</v>
      </c>
      <c r="P2809" s="4" t="s">
        <v>832</v>
      </c>
    </row>
    <row r="2810" spans="1:16" ht="15">
      <c r="A2810" s="4" t="s">
        <v>3924</v>
      </c>
      <c r="B2810" s="30">
        <v>40018</v>
      </c>
      <c r="C2810" s="4"/>
      <c r="D2810" s="4" t="s">
        <v>193</v>
      </c>
      <c r="E2810" s="4" t="s">
        <v>170</v>
      </c>
      <c r="F2810" s="4" t="s">
        <v>155</v>
      </c>
      <c r="G2810" s="4">
        <v>5</v>
      </c>
      <c r="H2810" s="4">
        <v>3</v>
      </c>
      <c r="I2810" s="4" t="s">
        <v>140</v>
      </c>
      <c r="J2810" s="4" t="s">
        <v>188</v>
      </c>
      <c r="K2810" s="4" t="s">
        <v>142</v>
      </c>
      <c r="L2810" s="4" t="s">
        <v>4176</v>
      </c>
      <c r="M2810" s="4" t="s">
        <v>174</v>
      </c>
      <c r="N2810" s="4" t="s">
        <v>156</v>
      </c>
      <c r="O2810" s="4" t="s">
        <v>120</v>
      </c>
      <c r="P2810" s="4" t="s">
        <v>3925</v>
      </c>
    </row>
    <row r="2811" spans="1:16" ht="15">
      <c r="A2811" s="4" t="s">
        <v>3926</v>
      </c>
      <c r="B2811" s="30">
        <v>39939</v>
      </c>
      <c r="C2811" s="4"/>
      <c r="D2811" s="4" t="s">
        <v>4180</v>
      </c>
      <c r="E2811" s="4" t="s">
        <v>170</v>
      </c>
      <c r="F2811" s="4" t="s">
        <v>155</v>
      </c>
      <c r="G2811" s="4"/>
      <c r="H2811" s="4"/>
      <c r="I2811" s="4" t="s">
        <v>139</v>
      </c>
      <c r="J2811" s="4" t="s">
        <v>188</v>
      </c>
      <c r="K2811" s="4" t="s">
        <v>148</v>
      </c>
      <c r="L2811" s="4" t="s">
        <v>4176</v>
      </c>
      <c r="M2811" s="4" t="s">
        <v>174</v>
      </c>
      <c r="N2811" s="4" t="s">
        <v>157</v>
      </c>
      <c r="O2811" s="4" t="s">
        <v>130</v>
      </c>
      <c r="P2811" s="4" t="s">
        <v>437</v>
      </c>
    </row>
    <row r="2812" spans="1:16" ht="15">
      <c r="A2812" s="4" t="s">
        <v>3927</v>
      </c>
      <c r="B2812" s="30">
        <v>39973</v>
      </c>
      <c r="C2812" s="4"/>
      <c r="D2812" s="4" t="s">
        <v>193</v>
      </c>
      <c r="E2812" s="4" t="s">
        <v>170</v>
      </c>
      <c r="F2812" s="4" t="s">
        <v>155</v>
      </c>
      <c r="G2812" s="4"/>
      <c r="H2812" s="4"/>
      <c r="I2812" s="4" t="s">
        <v>140</v>
      </c>
      <c r="J2812" s="4" t="s">
        <v>447</v>
      </c>
      <c r="K2812" s="4" t="s">
        <v>143</v>
      </c>
      <c r="L2812" s="4" t="s">
        <v>4181</v>
      </c>
      <c r="M2812" s="4" t="s">
        <v>173</v>
      </c>
      <c r="N2812" s="4" t="s">
        <v>155</v>
      </c>
      <c r="O2812" s="4" t="s">
        <v>125</v>
      </c>
      <c r="P2812" s="4"/>
    </row>
    <row r="2813" spans="1:16" ht="15">
      <c r="A2813" s="4" t="s">
        <v>3928</v>
      </c>
      <c r="B2813" s="30">
        <v>40007</v>
      </c>
      <c r="C2813" s="4"/>
      <c r="D2813" s="4" t="s">
        <v>193</v>
      </c>
      <c r="E2813" s="4" t="s">
        <v>170</v>
      </c>
      <c r="F2813" s="4" t="s">
        <v>155</v>
      </c>
      <c r="G2813" s="4">
        <v>5</v>
      </c>
      <c r="H2813" s="4">
        <v>3</v>
      </c>
      <c r="I2813" s="4" t="s">
        <v>140</v>
      </c>
      <c r="J2813" s="4" t="s">
        <v>183</v>
      </c>
      <c r="K2813" s="4" t="s">
        <v>143</v>
      </c>
      <c r="L2813" s="4" t="s">
        <v>4176</v>
      </c>
      <c r="M2813" s="4" t="s">
        <v>174</v>
      </c>
      <c r="N2813" s="4" t="s">
        <v>156</v>
      </c>
      <c r="O2813" s="4" t="s">
        <v>120</v>
      </c>
      <c r="P2813" s="4" t="s">
        <v>620</v>
      </c>
    </row>
    <row r="2814" spans="1:16" ht="15">
      <c r="A2814" s="4" t="s">
        <v>3929</v>
      </c>
      <c r="B2814" s="30">
        <v>39959</v>
      </c>
      <c r="C2814" s="4" t="s">
        <v>383</v>
      </c>
      <c r="D2814" s="4" t="s">
        <v>195</v>
      </c>
      <c r="E2814" s="4" t="s">
        <v>170</v>
      </c>
      <c r="F2814" s="4" t="s">
        <v>155</v>
      </c>
      <c r="G2814" s="4"/>
      <c r="H2814" s="4"/>
      <c r="I2814" s="4" t="s">
        <v>139</v>
      </c>
      <c r="J2814" s="4" t="s">
        <v>183</v>
      </c>
      <c r="K2814" s="4" t="s">
        <v>146</v>
      </c>
      <c r="L2814" s="4" t="s">
        <v>4176</v>
      </c>
      <c r="M2814" s="4" t="s">
        <v>174</v>
      </c>
      <c r="N2814" s="4" t="s">
        <v>156</v>
      </c>
      <c r="O2814" s="4" t="s">
        <v>120</v>
      </c>
      <c r="P2814" s="4" t="s">
        <v>794</v>
      </c>
    </row>
    <row r="2815" spans="1:16" ht="15">
      <c r="A2815" s="4" t="s">
        <v>3930</v>
      </c>
      <c r="B2815" s="30">
        <v>40013</v>
      </c>
      <c r="C2815" s="4" t="s">
        <v>383</v>
      </c>
      <c r="D2815" s="4" t="s">
        <v>196</v>
      </c>
      <c r="E2815" s="4" t="s">
        <v>170</v>
      </c>
      <c r="F2815" s="4" t="s">
        <v>155</v>
      </c>
      <c r="G2815" s="4">
        <v>3</v>
      </c>
      <c r="H2815" s="4">
        <v>3</v>
      </c>
      <c r="I2815" s="4" t="s">
        <v>139</v>
      </c>
      <c r="J2815" s="4" t="s">
        <v>183</v>
      </c>
      <c r="K2815" s="4" t="s">
        <v>146</v>
      </c>
      <c r="L2815" s="4" t="s">
        <v>162</v>
      </c>
      <c r="M2815" s="4"/>
      <c r="N2815" s="4" t="s">
        <v>155</v>
      </c>
      <c r="O2815" s="4" t="s">
        <v>130</v>
      </c>
      <c r="P2815" s="4"/>
    </row>
    <row r="2816" spans="1:16" ht="15">
      <c r="A2816" s="4" t="s">
        <v>3931</v>
      </c>
      <c r="B2816" s="30">
        <v>39992</v>
      </c>
      <c r="C2816" s="4"/>
      <c r="D2816" s="4" t="s">
        <v>193</v>
      </c>
      <c r="E2816" s="4" t="s">
        <v>170</v>
      </c>
      <c r="F2816" s="4" t="s">
        <v>155</v>
      </c>
      <c r="G2816" s="4"/>
      <c r="H2816" s="4">
        <v>5</v>
      </c>
      <c r="I2816" s="4" t="s">
        <v>140</v>
      </c>
      <c r="J2816" s="4" t="s">
        <v>183</v>
      </c>
      <c r="K2816" s="4" t="s">
        <v>146</v>
      </c>
      <c r="L2816" s="4" t="s">
        <v>4176</v>
      </c>
      <c r="M2816" s="4" t="s">
        <v>3932</v>
      </c>
      <c r="N2816" s="4" t="s">
        <v>156</v>
      </c>
      <c r="O2816" s="4" t="s">
        <v>120</v>
      </c>
      <c r="P2816" s="4" t="s">
        <v>425</v>
      </c>
    </row>
    <row r="2817" spans="1:16" ht="15">
      <c r="A2817" s="4" t="s">
        <v>3933</v>
      </c>
      <c r="B2817" s="30">
        <v>39983</v>
      </c>
      <c r="C2817" s="4"/>
      <c r="D2817" s="4" t="s">
        <v>193</v>
      </c>
      <c r="E2817" s="4" t="s">
        <v>170</v>
      </c>
      <c r="F2817" s="4" t="s">
        <v>155</v>
      </c>
      <c r="G2817" s="4"/>
      <c r="H2817" s="4"/>
      <c r="I2817" s="4" t="s">
        <v>140</v>
      </c>
      <c r="J2817" s="4" t="s">
        <v>183</v>
      </c>
      <c r="K2817" s="4" t="s">
        <v>143</v>
      </c>
      <c r="L2817" s="4" t="s">
        <v>4176</v>
      </c>
      <c r="M2817" s="4" t="s">
        <v>550</v>
      </c>
      <c r="N2817" s="4" t="s">
        <v>159</v>
      </c>
      <c r="O2817" s="4" t="s">
        <v>1737</v>
      </c>
      <c r="P2817" s="4" t="s">
        <v>3934</v>
      </c>
    </row>
    <row r="2818" spans="1:16" ht="15">
      <c r="A2818" s="4" t="s">
        <v>3935</v>
      </c>
      <c r="B2818" s="30">
        <v>39981</v>
      </c>
      <c r="C2818" s="4"/>
      <c r="D2818" s="4" t="s">
        <v>193</v>
      </c>
      <c r="E2818" s="4" t="s">
        <v>170</v>
      </c>
      <c r="F2818" s="4" t="s">
        <v>155</v>
      </c>
      <c r="G2818" s="4"/>
      <c r="H2818" s="4"/>
      <c r="I2818" s="4" t="s">
        <v>140</v>
      </c>
      <c r="J2818" s="4" t="s">
        <v>183</v>
      </c>
      <c r="K2818" s="4" t="s">
        <v>143</v>
      </c>
      <c r="L2818" s="4" t="s">
        <v>4181</v>
      </c>
      <c r="M2818" s="4" t="s">
        <v>173</v>
      </c>
      <c r="N2818" s="4" t="s">
        <v>155</v>
      </c>
      <c r="O2818" s="4" t="s">
        <v>124</v>
      </c>
      <c r="P2818" s="4"/>
    </row>
    <row r="2819" spans="1:16" ht="15">
      <c r="A2819" s="4" t="s">
        <v>3936</v>
      </c>
      <c r="B2819" s="30">
        <v>39927</v>
      </c>
      <c r="C2819" s="4"/>
      <c r="D2819" s="4" t="s">
        <v>4178</v>
      </c>
      <c r="E2819" s="4" t="s">
        <v>170</v>
      </c>
      <c r="F2819" s="4" t="s">
        <v>155</v>
      </c>
      <c r="G2819" s="4"/>
      <c r="H2819" s="4"/>
      <c r="I2819" s="4" t="s">
        <v>139</v>
      </c>
      <c r="J2819" s="4" t="s">
        <v>183</v>
      </c>
      <c r="K2819" s="4" t="s">
        <v>142</v>
      </c>
      <c r="L2819" s="4" t="s">
        <v>4181</v>
      </c>
      <c r="M2819" s="4" t="s">
        <v>2393</v>
      </c>
      <c r="N2819" s="4" t="s">
        <v>155</v>
      </c>
      <c r="O2819" s="4" t="s">
        <v>956</v>
      </c>
      <c r="P2819" s="4"/>
    </row>
    <row r="2820" spans="1:16" ht="15">
      <c r="A2820" s="4" t="s">
        <v>3937</v>
      </c>
      <c r="B2820" s="30">
        <v>39927</v>
      </c>
      <c r="C2820" s="4"/>
      <c r="D2820" s="4" t="s">
        <v>4180</v>
      </c>
      <c r="E2820" s="4" t="s">
        <v>170</v>
      </c>
      <c r="F2820" s="4" t="s">
        <v>155</v>
      </c>
      <c r="G2820" s="4"/>
      <c r="H2820" s="4"/>
      <c r="I2820" s="4" t="s">
        <v>139</v>
      </c>
      <c r="J2820" s="4" t="s">
        <v>183</v>
      </c>
      <c r="K2820" s="4" t="s">
        <v>147</v>
      </c>
      <c r="L2820" s="4" t="s">
        <v>4181</v>
      </c>
      <c r="M2820" s="4" t="s">
        <v>2393</v>
      </c>
      <c r="N2820" s="4" t="s">
        <v>155</v>
      </c>
      <c r="O2820" s="4" t="s">
        <v>956</v>
      </c>
      <c r="P2820" s="4"/>
    </row>
    <row r="2821" spans="1:16" ht="15">
      <c r="A2821" s="4" t="s">
        <v>3938</v>
      </c>
      <c r="B2821" s="30">
        <v>40051</v>
      </c>
      <c r="C2821" s="4"/>
      <c r="D2821" s="4" t="s">
        <v>544</v>
      </c>
      <c r="E2821" s="4" t="s">
        <v>170</v>
      </c>
      <c r="F2821" s="4" t="s">
        <v>155</v>
      </c>
      <c r="G2821" s="4">
        <v>5</v>
      </c>
      <c r="H2821" s="4">
        <v>3</v>
      </c>
      <c r="I2821" s="4" t="s">
        <v>139</v>
      </c>
      <c r="J2821" s="4" t="s">
        <v>178</v>
      </c>
      <c r="K2821" s="4" t="s">
        <v>146</v>
      </c>
      <c r="L2821" s="4" t="s">
        <v>4176</v>
      </c>
      <c r="M2821" s="4" t="s">
        <v>174</v>
      </c>
      <c r="N2821" s="4" t="s">
        <v>156</v>
      </c>
      <c r="O2821" s="4" t="s">
        <v>120</v>
      </c>
      <c r="P2821" s="4" t="s">
        <v>1427</v>
      </c>
    </row>
    <row r="2822" spans="1:16" ht="15">
      <c r="A2822" s="4" t="s">
        <v>3939</v>
      </c>
      <c r="B2822" s="30">
        <v>39933</v>
      </c>
      <c r="C2822" s="4"/>
      <c r="D2822" s="4" t="s">
        <v>4177</v>
      </c>
      <c r="E2822" s="4" t="s">
        <v>170</v>
      </c>
      <c r="F2822" s="4" t="s">
        <v>155</v>
      </c>
      <c r="G2822" s="4"/>
      <c r="H2822" s="4"/>
      <c r="I2822" s="4" t="s">
        <v>139</v>
      </c>
      <c r="J2822" s="4" t="s">
        <v>603</v>
      </c>
      <c r="K2822" s="4" t="s">
        <v>145</v>
      </c>
      <c r="L2822" s="4" t="s">
        <v>4181</v>
      </c>
      <c r="M2822" s="4" t="s">
        <v>173</v>
      </c>
      <c r="N2822" s="4" t="s">
        <v>155</v>
      </c>
      <c r="O2822" s="4" t="s">
        <v>439</v>
      </c>
      <c r="P2822" s="4"/>
    </row>
    <row r="2823" spans="1:16" ht="15">
      <c r="A2823" s="4" t="s">
        <v>3940</v>
      </c>
      <c r="B2823" s="30">
        <v>39907</v>
      </c>
      <c r="C2823" s="4"/>
      <c r="D2823" s="4" t="s">
        <v>4183</v>
      </c>
      <c r="E2823" s="4" t="s">
        <v>170</v>
      </c>
      <c r="F2823" s="4" t="s">
        <v>155</v>
      </c>
      <c r="G2823" s="4"/>
      <c r="H2823" s="4"/>
      <c r="I2823" s="4" t="s">
        <v>140</v>
      </c>
      <c r="J2823" s="4" t="s">
        <v>178</v>
      </c>
      <c r="K2823" s="4" t="s">
        <v>147</v>
      </c>
      <c r="L2823" s="4" t="s">
        <v>4176</v>
      </c>
      <c r="M2823" s="4" t="s">
        <v>174</v>
      </c>
      <c r="N2823" s="4" t="s">
        <v>540</v>
      </c>
      <c r="O2823" s="4" t="s">
        <v>123</v>
      </c>
      <c r="P2823" s="4" t="s">
        <v>123</v>
      </c>
    </row>
    <row r="2824" spans="1:16" ht="15">
      <c r="A2824" s="4" t="s">
        <v>3941</v>
      </c>
      <c r="B2824" s="30">
        <v>39946</v>
      </c>
      <c r="C2824" s="4" t="s">
        <v>496</v>
      </c>
      <c r="D2824" s="4" t="s">
        <v>194</v>
      </c>
      <c r="E2824" s="4" t="s">
        <v>170</v>
      </c>
      <c r="F2824" s="4" t="s">
        <v>155</v>
      </c>
      <c r="G2824" s="4"/>
      <c r="H2824" s="4"/>
      <c r="I2824" s="4" t="s">
        <v>139</v>
      </c>
      <c r="J2824" s="4" t="s">
        <v>810</v>
      </c>
      <c r="K2824" s="4" t="s">
        <v>145</v>
      </c>
      <c r="L2824" s="4" t="s">
        <v>4181</v>
      </c>
      <c r="M2824" s="4" t="s">
        <v>173</v>
      </c>
      <c r="N2824" s="4" t="s">
        <v>155</v>
      </c>
      <c r="O2824" s="4" t="s">
        <v>439</v>
      </c>
      <c r="P2824" s="4"/>
    </row>
    <row r="2825" spans="1:16" ht="15">
      <c r="A2825" s="4" t="s">
        <v>3942</v>
      </c>
      <c r="B2825" s="30">
        <v>40081</v>
      </c>
      <c r="C2825" s="4"/>
      <c r="D2825" s="4" t="s">
        <v>195</v>
      </c>
      <c r="E2825" s="4" t="s">
        <v>170</v>
      </c>
      <c r="F2825" s="4" t="s">
        <v>155</v>
      </c>
      <c r="G2825" s="4">
        <v>5</v>
      </c>
      <c r="H2825" s="4">
        <v>3</v>
      </c>
      <c r="I2825" s="4" t="s">
        <v>139</v>
      </c>
      <c r="J2825" s="4" t="s">
        <v>190</v>
      </c>
      <c r="K2825" s="4" t="s">
        <v>148</v>
      </c>
      <c r="L2825" s="4" t="s">
        <v>4176</v>
      </c>
      <c r="M2825" s="4" t="s">
        <v>174</v>
      </c>
      <c r="N2825" s="4" t="s">
        <v>156</v>
      </c>
      <c r="O2825" s="4" t="s">
        <v>120</v>
      </c>
      <c r="P2825" s="4" t="s">
        <v>3943</v>
      </c>
    </row>
    <row r="2826" spans="1:16" ht="15">
      <c r="A2826" s="4" t="s">
        <v>3944</v>
      </c>
      <c r="B2826" s="30">
        <v>40065</v>
      </c>
      <c r="C2826" s="4"/>
      <c r="D2826" s="4" t="s">
        <v>544</v>
      </c>
      <c r="E2826" s="4" t="s">
        <v>170</v>
      </c>
      <c r="F2826" s="4" t="s">
        <v>155</v>
      </c>
      <c r="G2826" s="4">
        <v>3</v>
      </c>
      <c r="H2826" s="4">
        <v>3</v>
      </c>
      <c r="I2826" s="4" t="s">
        <v>139</v>
      </c>
      <c r="J2826" s="4" t="s">
        <v>509</v>
      </c>
      <c r="K2826" s="4" t="s">
        <v>142</v>
      </c>
      <c r="L2826" s="4" t="s">
        <v>4181</v>
      </c>
      <c r="M2826" s="4" t="s">
        <v>173</v>
      </c>
      <c r="N2826" s="4" t="s">
        <v>155</v>
      </c>
      <c r="O2826" s="4" t="s">
        <v>130</v>
      </c>
      <c r="P2826" s="4"/>
    </row>
    <row r="2827" spans="1:16" ht="15">
      <c r="A2827" s="4" t="s">
        <v>3945</v>
      </c>
      <c r="B2827" s="30">
        <v>39966</v>
      </c>
      <c r="C2827" s="4"/>
      <c r="D2827" s="4" t="s">
        <v>193</v>
      </c>
      <c r="E2827" s="4" t="s">
        <v>170</v>
      </c>
      <c r="F2827" s="4" t="s">
        <v>155</v>
      </c>
      <c r="G2827" s="4"/>
      <c r="H2827" s="4"/>
      <c r="I2827" s="4" t="s">
        <v>140</v>
      </c>
      <c r="J2827" s="4" t="s">
        <v>509</v>
      </c>
      <c r="K2827" s="4" t="s">
        <v>144</v>
      </c>
      <c r="L2827" s="4" t="s">
        <v>162</v>
      </c>
      <c r="M2827" s="4" t="s">
        <v>581</v>
      </c>
      <c r="N2827" s="4" t="s">
        <v>155</v>
      </c>
      <c r="O2827" s="4" t="s">
        <v>130</v>
      </c>
      <c r="P2827" s="4"/>
    </row>
    <row r="2828" spans="1:16" ht="15">
      <c r="A2828" s="4" t="s">
        <v>3946</v>
      </c>
      <c r="B2828" s="30">
        <v>39972</v>
      </c>
      <c r="C2828" s="4"/>
      <c r="D2828" s="4" t="s">
        <v>194</v>
      </c>
      <c r="E2828" s="4" t="s">
        <v>170</v>
      </c>
      <c r="F2828" s="4" t="s">
        <v>155</v>
      </c>
      <c r="G2828" s="4"/>
      <c r="H2828" s="4"/>
      <c r="I2828" s="4" t="s">
        <v>139</v>
      </c>
      <c r="J2828" s="4" t="s">
        <v>183</v>
      </c>
      <c r="K2828" s="4" t="s">
        <v>142</v>
      </c>
      <c r="L2828" s="4" t="s">
        <v>4176</v>
      </c>
      <c r="M2828" s="4" t="s">
        <v>174</v>
      </c>
      <c r="N2828" s="4" t="s">
        <v>157</v>
      </c>
      <c r="O2828" s="4" t="s">
        <v>130</v>
      </c>
      <c r="P2828" s="4" t="s">
        <v>423</v>
      </c>
    </row>
    <row r="2829" spans="1:16" ht="15">
      <c r="A2829" s="4" t="s">
        <v>3947</v>
      </c>
      <c r="B2829" s="30">
        <v>39950</v>
      </c>
      <c r="C2829" s="4"/>
      <c r="D2829" s="4" t="s">
        <v>195</v>
      </c>
      <c r="E2829" s="4" t="s">
        <v>170</v>
      </c>
      <c r="F2829" s="4" t="s">
        <v>155</v>
      </c>
      <c r="G2829" s="4"/>
      <c r="H2829" s="4"/>
      <c r="I2829" s="4" t="s">
        <v>139</v>
      </c>
      <c r="J2829" s="4" t="s">
        <v>183</v>
      </c>
      <c r="K2829" s="4" t="s">
        <v>147</v>
      </c>
      <c r="L2829" s="4" t="s">
        <v>4176</v>
      </c>
      <c r="M2829" s="4" t="s">
        <v>619</v>
      </c>
      <c r="N2829" s="4" t="s">
        <v>157</v>
      </c>
      <c r="O2829" s="4" t="s">
        <v>127</v>
      </c>
      <c r="P2829" s="4" t="s">
        <v>153</v>
      </c>
    </row>
    <row r="2830" spans="1:16" ht="15">
      <c r="A2830" s="4" t="s">
        <v>3948</v>
      </c>
      <c r="B2830" s="30">
        <v>40049</v>
      </c>
      <c r="C2830" s="4"/>
      <c r="D2830" s="4" t="s">
        <v>197</v>
      </c>
      <c r="E2830" s="4" t="s">
        <v>170</v>
      </c>
      <c r="F2830" s="4" t="s">
        <v>155</v>
      </c>
      <c r="G2830" s="4">
        <v>5</v>
      </c>
      <c r="H2830" s="4">
        <v>2</v>
      </c>
      <c r="I2830" s="4" t="s">
        <v>139</v>
      </c>
      <c r="J2830" s="4" t="s">
        <v>183</v>
      </c>
      <c r="K2830" s="4" t="s">
        <v>146</v>
      </c>
      <c r="L2830" s="4" t="s">
        <v>4176</v>
      </c>
      <c r="M2830" s="4" t="s">
        <v>174</v>
      </c>
      <c r="N2830" s="4" t="s">
        <v>156</v>
      </c>
      <c r="O2830" s="4" t="s">
        <v>120</v>
      </c>
      <c r="P2830" s="4" t="s">
        <v>1087</v>
      </c>
    </row>
    <row r="2831" spans="1:16" ht="15">
      <c r="A2831" s="4" t="s">
        <v>3949</v>
      </c>
      <c r="B2831" s="30">
        <v>40054</v>
      </c>
      <c r="C2831" s="4"/>
      <c r="D2831" s="4" t="s">
        <v>193</v>
      </c>
      <c r="E2831" s="4" t="s">
        <v>170</v>
      </c>
      <c r="F2831" s="4" t="s">
        <v>155</v>
      </c>
      <c r="G2831" s="4">
        <v>1</v>
      </c>
      <c r="H2831" s="4">
        <v>5</v>
      </c>
      <c r="I2831" s="4" t="s">
        <v>140</v>
      </c>
      <c r="J2831" s="4" t="s">
        <v>810</v>
      </c>
      <c r="K2831" s="4" t="s">
        <v>146</v>
      </c>
      <c r="L2831" s="4" t="s">
        <v>162</v>
      </c>
      <c r="M2831" s="4" t="s">
        <v>459</v>
      </c>
      <c r="N2831" s="4" t="s">
        <v>155</v>
      </c>
      <c r="O2831" s="4" t="s">
        <v>129</v>
      </c>
      <c r="P2831" s="4"/>
    </row>
    <row r="2832" spans="1:16" ht="15">
      <c r="A2832" s="4" t="s">
        <v>3950</v>
      </c>
      <c r="B2832" s="30">
        <v>40036</v>
      </c>
      <c r="C2832" s="4" t="s">
        <v>9</v>
      </c>
      <c r="D2832" s="4" t="s">
        <v>193</v>
      </c>
      <c r="E2832" s="4" t="s">
        <v>170</v>
      </c>
      <c r="F2832" s="4" t="s">
        <v>155</v>
      </c>
      <c r="G2832" s="4">
        <v>5</v>
      </c>
      <c r="H2832" s="4">
        <v>5</v>
      </c>
      <c r="I2832" s="4" t="s">
        <v>140</v>
      </c>
      <c r="J2832" s="4" t="s">
        <v>190</v>
      </c>
      <c r="K2832" s="4" t="s">
        <v>145</v>
      </c>
      <c r="L2832" s="4" t="s">
        <v>4176</v>
      </c>
      <c r="M2832" s="4" t="s">
        <v>2119</v>
      </c>
      <c r="N2832" s="4" t="s">
        <v>156</v>
      </c>
      <c r="O2832" s="4" t="s">
        <v>120</v>
      </c>
      <c r="P2832" s="4" t="s">
        <v>626</v>
      </c>
    </row>
    <row r="2833" spans="1:16" ht="15">
      <c r="A2833" s="4" t="s">
        <v>3951</v>
      </c>
      <c r="B2833" s="30">
        <v>40031</v>
      </c>
      <c r="C2833" s="4"/>
      <c r="D2833" s="4" t="s">
        <v>193</v>
      </c>
      <c r="E2833" s="4" t="s">
        <v>170</v>
      </c>
      <c r="F2833" s="4" t="s">
        <v>155</v>
      </c>
      <c r="G2833" s="4">
        <v>5</v>
      </c>
      <c r="H2833" s="4">
        <v>5</v>
      </c>
      <c r="I2833" s="4" t="s">
        <v>140</v>
      </c>
      <c r="J2833" s="4" t="s">
        <v>186</v>
      </c>
      <c r="K2833" s="4" t="s">
        <v>145</v>
      </c>
      <c r="L2833" s="4" t="s">
        <v>4181</v>
      </c>
      <c r="M2833" s="4" t="s">
        <v>3952</v>
      </c>
      <c r="N2833" s="4" t="s">
        <v>155</v>
      </c>
      <c r="O2833" s="4" t="s">
        <v>128</v>
      </c>
      <c r="P2833" s="4"/>
    </row>
    <row r="2834" spans="1:16" ht="15">
      <c r="A2834" s="4" t="s">
        <v>3953</v>
      </c>
      <c r="B2834" s="30">
        <v>40035</v>
      </c>
      <c r="C2834" s="4"/>
      <c r="D2834" s="4" t="s">
        <v>197</v>
      </c>
      <c r="E2834" s="4" t="s">
        <v>170</v>
      </c>
      <c r="F2834" s="4" t="s">
        <v>155</v>
      </c>
      <c r="G2834" s="4">
        <v>3</v>
      </c>
      <c r="H2834" s="4">
        <v>4</v>
      </c>
      <c r="I2834" s="4" t="s">
        <v>139</v>
      </c>
      <c r="J2834" s="4" t="s">
        <v>182</v>
      </c>
      <c r="K2834" s="4" t="s">
        <v>144</v>
      </c>
      <c r="L2834" s="4" t="s">
        <v>4176</v>
      </c>
      <c r="M2834" s="4" t="s">
        <v>1627</v>
      </c>
      <c r="N2834" s="4" t="s">
        <v>156</v>
      </c>
      <c r="O2834" s="4" t="s">
        <v>120</v>
      </c>
      <c r="P2834" s="4" t="s">
        <v>1970</v>
      </c>
    </row>
    <row r="2835" spans="1:16" ht="15">
      <c r="A2835" s="4" t="s">
        <v>3954</v>
      </c>
      <c r="B2835" s="30">
        <v>40054</v>
      </c>
      <c r="C2835" s="4"/>
      <c r="D2835" s="4" t="s">
        <v>195</v>
      </c>
      <c r="E2835" s="4" t="s">
        <v>170</v>
      </c>
      <c r="F2835" s="4" t="s">
        <v>155</v>
      </c>
      <c r="G2835" s="4">
        <v>5</v>
      </c>
      <c r="H2835" s="4">
        <v>4</v>
      </c>
      <c r="I2835" s="4" t="s">
        <v>139</v>
      </c>
      <c r="J2835" s="4" t="s">
        <v>179</v>
      </c>
      <c r="K2835" s="4" t="s">
        <v>143</v>
      </c>
      <c r="L2835" s="4" t="s">
        <v>4181</v>
      </c>
      <c r="M2835" s="4"/>
      <c r="N2835" s="4" t="s">
        <v>155</v>
      </c>
      <c r="O2835" s="4" t="s">
        <v>128</v>
      </c>
      <c r="P2835" s="4"/>
    </row>
    <row r="2836" spans="1:16" ht="15">
      <c r="A2836" s="4" t="s">
        <v>3955</v>
      </c>
      <c r="B2836" s="30">
        <v>40042</v>
      </c>
      <c r="C2836" s="4" t="s">
        <v>380</v>
      </c>
      <c r="D2836" s="4" t="s">
        <v>193</v>
      </c>
      <c r="E2836" s="4" t="s">
        <v>170</v>
      </c>
      <c r="F2836" s="4" t="s">
        <v>155</v>
      </c>
      <c r="G2836" s="4">
        <v>3</v>
      </c>
      <c r="H2836" s="4">
        <v>3</v>
      </c>
      <c r="I2836" s="4" t="s">
        <v>140</v>
      </c>
      <c r="J2836" s="4" t="s">
        <v>179</v>
      </c>
      <c r="K2836" s="4" t="s">
        <v>144</v>
      </c>
      <c r="L2836" s="4" t="s">
        <v>162</v>
      </c>
      <c r="M2836" s="4" t="s">
        <v>176</v>
      </c>
      <c r="N2836" s="4" t="s">
        <v>155</v>
      </c>
      <c r="O2836" s="4" t="s">
        <v>129</v>
      </c>
      <c r="P2836" s="4"/>
    </row>
    <row r="2837" spans="1:16" ht="15">
      <c r="A2837" s="4" t="s">
        <v>3956</v>
      </c>
      <c r="B2837" s="30">
        <v>40082</v>
      </c>
      <c r="C2837" s="4"/>
      <c r="D2837" s="4" t="s">
        <v>196</v>
      </c>
      <c r="E2837" s="4" t="s">
        <v>170</v>
      </c>
      <c r="F2837" s="4" t="s">
        <v>155</v>
      </c>
      <c r="G2837" s="4">
        <v>5</v>
      </c>
      <c r="H2837" s="4">
        <v>5</v>
      </c>
      <c r="I2837" s="4" t="s">
        <v>139</v>
      </c>
      <c r="J2837" s="4" t="s">
        <v>179</v>
      </c>
      <c r="K2837" s="4" t="s">
        <v>142</v>
      </c>
      <c r="L2837" s="4" t="s">
        <v>4176</v>
      </c>
      <c r="M2837" s="4" t="s">
        <v>498</v>
      </c>
      <c r="N2837" s="4" t="s">
        <v>2264</v>
      </c>
      <c r="O2837" s="4" t="s">
        <v>3957</v>
      </c>
      <c r="P2837" s="4" t="s">
        <v>916</v>
      </c>
    </row>
    <row r="2838" spans="1:16" ht="15">
      <c r="A2838" s="4" t="s">
        <v>3958</v>
      </c>
      <c r="B2838" s="30">
        <v>40023</v>
      </c>
      <c r="C2838" s="4"/>
      <c r="D2838" s="4" t="s">
        <v>195</v>
      </c>
      <c r="E2838" s="4" t="s">
        <v>170</v>
      </c>
      <c r="F2838" s="4" t="s">
        <v>155</v>
      </c>
      <c r="G2838" s="4">
        <v>5</v>
      </c>
      <c r="H2838" s="4">
        <v>5</v>
      </c>
      <c r="I2838" s="4" t="s">
        <v>139</v>
      </c>
      <c r="J2838" s="4" t="s">
        <v>179</v>
      </c>
      <c r="K2838" s="4" t="s">
        <v>148</v>
      </c>
      <c r="L2838" s="4" t="s">
        <v>4176</v>
      </c>
      <c r="M2838" s="4" t="s">
        <v>176</v>
      </c>
      <c r="N2838" s="4" t="s">
        <v>159</v>
      </c>
      <c r="O2838" s="4" t="s">
        <v>126</v>
      </c>
      <c r="P2838" s="4" t="s">
        <v>601</v>
      </c>
    </row>
    <row r="2839" spans="1:16" ht="15">
      <c r="A2839" s="4" t="s">
        <v>3959</v>
      </c>
      <c r="B2839" s="30">
        <v>40060</v>
      </c>
      <c r="C2839" s="4" t="s">
        <v>496</v>
      </c>
      <c r="D2839" s="4" t="s">
        <v>193</v>
      </c>
      <c r="E2839" s="4" t="s">
        <v>170</v>
      </c>
      <c r="F2839" s="4" t="s">
        <v>155</v>
      </c>
      <c r="G2839" s="4">
        <v>5</v>
      </c>
      <c r="H2839" s="4">
        <v>5</v>
      </c>
      <c r="I2839" s="4" t="s">
        <v>140</v>
      </c>
      <c r="J2839" s="4" t="s">
        <v>179</v>
      </c>
      <c r="K2839" s="4" t="s">
        <v>143</v>
      </c>
      <c r="L2839" s="4" t="s">
        <v>4176</v>
      </c>
      <c r="M2839" s="4" t="s">
        <v>174</v>
      </c>
      <c r="N2839" s="4" t="s">
        <v>156</v>
      </c>
      <c r="O2839" s="4" t="s">
        <v>120</v>
      </c>
      <c r="P2839" s="4" t="s">
        <v>832</v>
      </c>
    </row>
    <row r="2840" spans="1:16" ht="15">
      <c r="A2840" s="4" t="s">
        <v>3960</v>
      </c>
      <c r="B2840" s="30">
        <v>39952</v>
      </c>
      <c r="C2840" s="4"/>
      <c r="D2840" s="4" t="s">
        <v>195</v>
      </c>
      <c r="E2840" s="4" t="s">
        <v>170</v>
      </c>
      <c r="F2840" s="4" t="s">
        <v>155</v>
      </c>
      <c r="G2840" s="4"/>
      <c r="H2840" s="4"/>
      <c r="I2840" s="4" t="s">
        <v>139</v>
      </c>
      <c r="J2840" s="4" t="s">
        <v>179</v>
      </c>
      <c r="K2840" s="4" t="s">
        <v>147</v>
      </c>
      <c r="L2840" s="4" t="s">
        <v>4181</v>
      </c>
      <c r="M2840" s="4" t="s">
        <v>173</v>
      </c>
      <c r="N2840" s="4" t="s">
        <v>155</v>
      </c>
      <c r="O2840" s="4" t="s">
        <v>439</v>
      </c>
      <c r="P2840" s="4"/>
    </row>
    <row r="2841" spans="1:16" ht="15">
      <c r="A2841" s="4" t="s">
        <v>3961</v>
      </c>
      <c r="B2841" s="30">
        <v>40061</v>
      </c>
      <c r="C2841" s="4"/>
      <c r="D2841" s="4" t="s">
        <v>193</v>
      </c>
      <c r="E2841" s="4" t="s">
        <v>170</v>
      </c>
      <c r="F2841" s="4" t="s">
        <v>155</v>
      </c>
      <c r="G2841" s="4">
        <v>5</v>
      </c>
      <c r="H2841" s="4">
        <v>3</v>
      </c>
      <c r="I2841" s="4" t="s">
        <v>140</v>
      </c>
      <c r="J2841" s="4" t="s">
        <v>179</v>
      </c>
      <c r="K2841" s="4" t="s">
        <v>148</v>
      </c>
      <c r="L2841" s="4" t="s">
        <v>4176</v>
      </c>
      <c r="M2841" s="4" t="s">
        <v>174</v>
      </c>
      <c r="N2841" s="4" t="s">
        <v>156</v>
      </c>
      <c r="O2841" s="4" t="s">
        <v>120</v>
      </c>
      <c r="P2841" s="4" t="s">
        <v>741</v>
      </c>
    </row>
    <row r="2842" spans="1:16" ht="15">
      <c r="A2842" s="4" t="s">
        <v>3962</v>
      </c>
      <c r="B2842" s="30">
        <v>40036</v>
      </c>
      <c r="C2842" s="4"/>
      <c r="D2842" s="4" t="s">
        <v>193</v>
      </c>
      <c r="E2842" s="4" t="s">
        <v>170</v>
      </c>
      <c r="F2842" s="4" t="s">
        <v>155</v>
      </c>
      <c r="G2842" s="4">
        <v>5</v>
      </c>
      <c r="H2842" s="4">
        <v>3</v>
      </c>
      <c r="I2842" s="4" t="s">
        <v>140</v>
      </c>
      <c r="J2842" s="4" t="s">
        <v>179</v>
      </c>
      <c r="K2842" s="4" t="s">
        <v>148</v>
      </c>
      <c r="L2842" s="4" t="s">
        <v>4176</v>
      </c>
      <c r="M2842" s="4" t="s">
        <v>174</v>
      </c>
      <c r="N2842" s="4" t="s">
        <v>160</v>
      </c>
      <c r="O2842" s="4" t="s">
        <v>484</v>
      </c>
      <c r="P2842" s="4" t="s">
        <v>924</v>
      </c>
    </row>
    <row r="2843" spans="1:16" ht="15">
      <c r="A2843" s="4" t="s">
        <v>3963</v>
      </c>
      <c r="B2843" s="30">
        <v>39922</v>
      </c>
      <c r="C2843" s="4"/>
      <c r="D2843" s="4" t="s">
        <v>4178</v>
      </c>
      <c r="E2843" s="4" t="s">
        <v>170</v>
      </c>
      <c r="F2843" s="4" t="s">
        <v>155</v>
      </c>
      <c r="G2843" s="4"/>
      <c r="H2843" s="4"/>
      <c r="I2843" s="4" t="s">
        <v>139</v>
      </c>
      <c r="J2843" s="4" t="s">
        <v>179</v>
      </c>
      <c r="K2843" s="4" t="s">
        <v>143</v>
      </c>
      <c r="L2843" s="4" t="s">
        <v>4176</v>
      </c>
      <c r="M2843" s="4" t="s">
        <v>550</v>
      </c>
      <c r="N2843" s="4" t="s">
        <v>156</v>
      </c>
      <c r="O2843" s="4" t="s">
        <v>120</v>
      </c>
      <c r="P2843" s="4" t="s">
        <v>3964</v>
      </c>
    </row>
    <row r="2844" spans="1:16" ht="15">
      <c r="A2844" s="4" t="s">
        <v>3965</v>
      </c>
      <c r="B2844" s="30">
        <v>40027</v>
      </c>
      <c r="C2844" s="4"/>
      <c r="D2844" s="4" t="s">
        <v>193</v>
      </c>
      <c r="E2844" s="4" t="s">
        <v>170</v>
      </c>
      <c r="F2844" s="4" t="s">
        <v>155</v>
      </c>
      <c r="G2844" s="4">
        <v>5</v>
      </c>
      <c r="H2844" s="4">
        <v>3</v>
      </c>
      <c r="I2844" s="4" t="s">
        <v>140</v>
      </c>
      <c r="J2844" s="4" t="s">
        <v>190</v>
      </c>
      <c r="K2844" s="4" t="s">
        <v>145</v>
      </c>
      <c r="L2844" s="4" t="s">
        <v>4181</v>
      </c>
      <c r="M2844" s="4" t="s">
        <v>3966</v>
      </c>
      <c r="N2844" s="4" t="s">
        <v>155</v>
      </c>
      <c r="O2844" s="4" t="s">
        <v>510</v>
      </c>
      <c r="P2844" s="4"/>
    </row>
    <row r="2845" spans="1:16" ht="15">
      <c r="A2845" s="4" t="s">
        <v>3967</v>
      </c>
      <c r="B2845" s="30">
        <v>39955</v>
      </c>
      <c r="C2845" s="4" t="s">
        <v>9</v>
      </c>
      <c r="D2845" s="4" t="s">
        <v>195</v>
      </c>
      <c r="E2845" s="4" t="s">
        <v>170</v>
      </c>
      <c r="F2845" s="4" t="s">
        <v>155</v>
      </c>
      <c r="G2845" s="4"/>
      <c r="H2845" s="4"/>
      <c r="I2845" s="4" t="s">
        <v>139</v>
      </c>
      <c r="J2845" s="4" t="s">
        <v>179</v>
      </c>
      <c r="K2845" s="4" t="s">
        <v>146</v>
      </c>
      <c r="L2845" s="4" t="s">
        <v>4181</v>
      </c>
      <c r="M2845" s="4" t="s">
        <v>173</v>
      </c>
      <c r="N2845" s="4" t="s">
        <v>155</v>
      </c>
      <c r="O2845" s="4" t="s">
        <v>124</v>
      </c>
      <c r="P2845" s="4"/>
    </row>
    <row r="2846" spans="1:16" ht="15">
      <c r="A2846" s="4" t="s">
        <v>3968</v>
      </c>
      <c r="B2846" s="30">
        <v>40077</v>
      </c>
      <c r="C2846" s="4"/>
      <c r="D2846" s="4" t="s">
        <v>193</v>
      </c>
      <c r="E2846" s="4" t="s">
        <v>170</v>
      </c>
      <c r="F2846" s="4" t="s">
        <v>155</v>
      </c>
      <c r="G2846" s="4">
        <v>5</v>
      </c>
      <c r="H2846" s="4">
        <v>4</v>
      </c>
      <c r="I2846" s="4" t="s">
        <v>140</v>
      </c>
      <c r="J2846" s="4" t="s">
        <v>179</v>
      </c>
      <c r="K2846" s="4" t="s">
        <v>143</v>
      </c>
      <c r="L2846" s="4" t="s">
        <v>4176</v>
      </c>
      <c r="M2846" s="4" t="s">
        <v>550</v>
      </c>
      <c r="N2846" s="4" t="s">
        <v>157</v>
      </c>
      <c r="O2846" s="4" t="s">
        <v>434</v>
      </c>
      <c r="P2846" s="4" t="s">
        <v>435</v>
      </c>
    </row>
    <row r="2847" spans="1:16" ht="15">
      <c r="A2847" s="4" t="s">
        <v>3969</v>
      </c>
      <c r="B2847" s="30">
        <v>39987</v>
      </c>
      <c r="C2847" s="4"/>
      <c r="D2847" s="4" t="s">
        <v>194</v>
      </c>
      <c r="E2847" s="4" t="s">
        <v>170</v>
      </c>
      <c r="F2847" s="4" t="s">
        <v>155</v>
      </c>
      <c r="G2847" s="4"/>
      <c r="H2847" s="4"/>
      <c r="I2847" s="4" t="s">
        <v>139</v>
      </c>
      <c r="J2847" s="4" t="s">
        <v>509</v>
      </c>
      <c r="K2847" s="4" t="s">
        <v>144</v>
      </c>
      <c r="L2847" s="4" t="s">
        <v>162</v>
      </c>
      <c r="M2847" s="4" t="s">
        <v>3970</v>
      </c>
      <c r="N2847" s="4" t="s">
        <v>155</v>
      </c>
      <c r="O2847" s="4" t="s">
        <v>956</v>
      </c>
      <c r="P2847" s="4"/>
    </row>
    <row r="2848" spans="1:16" ht="15">
      <c r="A2848" s="4" t="s">
        <v>3971</v>
      </c>
      <c r="B2848" s="30">
        <v>40013</v>
      </c>
      <c r="C2848" s="4"/>
      <c r="D2848" s="4" t="s">
        <v>193</v>
      </c>
      <c r="E2848" s="4" t="s">
        <v>170</v>
      </c>
      <c r="F2848" s="4" t="s">
        <v>155</v>
      </c>
      <c r="G2848" s="4">
        <v>5</v>
      </c>
      <c r="H2848" s="4">
        <v>3</v>
      </c>
      <c r="I2848" s="4" t="s">
        <v>140</v>
      </c>
      <c r="J2848" s="4" t="s">
        <v>509</v>
      </c>
      <c r="K2848" s="4" t="s">
        <v>144</v>
      </c>
      <c r="L2848" s="4" t="s">
        <v>4181</v>
      </c>
      <c r="M2848" s="4" t="s">
        <v>173</v>
      </c>
      <c r="N2848" s="4" t="s">
        <v>155</v>
      </c>
      <c r="O2848" s="4" t="s">
        <v>128</v>
      </c>
      <c r="P2848" s="4"/>
    </row>
    <row r="2849" spans="1:16" ht="15">
      <c r="A2849" s="4" t="s">
        <v>3972</v>
      </c>
      <c r="B2849" s="30">
        <v>39960</v>
      </c>
      <c r="C2849" s="4"/>
      <c r="D2849" s="4" t="s">
        <v>193</v>
      </c>
      <c r="E2849" s="4" t="s">
        <v>170</v>
      </c>
      <c r="F2849" s="4" t="s">
        <v>155</v>
      </c>
      <c r="G2849" s="4"/>
      <c r="H2849" s="4"/>
      <c r="I2849" s="4" t="s">
        <v>140</v>
      </c>
      <c r="J2849" s="4" t="s">
        <v>179</v>
      </c>
      <c r="K2849" s="4" t="s">
        <v>143</v>
      </c>
      <c r="L2849" s="4" t="s">
        <v>162</v>
      </c>
      <c r="M2849" s="4" t="s">
        <v>567</v>
      </c>
      <c r="N2849" s="4" t="s">
        <v>155</v>
      </c>
      <c r="O2849" s="4" t="s">
        <v>130</v>
      </c>
      <c r="P2849" s="4"/>
    </row>
    <row r="2850" spans="1:16" ht="15">
      <c r="A2850" s="4" t="s">
        <v>3973</v>
      </c>
      <c r="B2850" s="30">
        <v>40019</v>
      </c>
      <c r="C2850" s="4"/>
      <c r="D2850" s="4" t="s">
        <v>196</v>
      </c>
      <c r="E2850" s="4" t="s">
        <v>170</v>
      </c>
      <c r="F2850" s="4" t="s">
        <v>155</v>
      </c>
      <c r="G2850" s="4">
        <v>5</v>
      </c>
      <c r="H2850" s="4">
        <v>5</v>
      </c>
      <c r="I2850" s="4" t="s">
        <v>139</v>
      </c>
      <c r="J2850" s="4" t="s">
        <v>179</v>
      </c>
      <c r="K2850" s="4" t="s">
        <v>144</v>
      </c>
      <c r="L2850" s="4" t="s">
        <v>4181</v>
      </c>
      <c r="M2850" s="4" t="s">
        <v>173</v>
      </c>
      <c r="N2850" s="4" t="s">
        <v>155</v>
      </c>
      <c r="O2850" s="4" t="s">
        <v>751</v>
      </c>
      <c r="P2850" s="4"/>
    </row>
    <row r="2851" spans="1:16" ht="15">
      <c r="A2851" s="4" t="s">
        <v>3974</v>
      </c>
      <c r="B2851" s="30">
        <v>39972</v>
      </c>
      <c r="C2851" s="4"/>
      <c r="D2851" s="4" t="s">
        <v>195</v>
      </c>
      <c r="E2851" s="4" t="s">
        <v>170</v>
      </c>
      <c r="F2851" s="4" t="s">
        <v>155</v>
      </c>
      <c r="G2851" s="4"/>
      <c r="H2851" s="4"/>
      <c r="I2851" s="4" t="s">
        <v>139</v>
      </c>
      <c r="J2851" s="4" t="s">
        <v>179</v>
      </c>
      <c r="K2851" s="4" t="s">
        <v>143</v>
      </c>
      <c r="L2851" s="4" t="s">
        <v>4176</v>
      </c>
      <c r="M2851" s="4" t="s">
        <v>174</v>
      </c>
      <c r="N2851" s="4" t="s">
        <v>157</v>
      </c>
      <c r="O2851" s="4" t="s">
        <v>434</v>
      </c>
      <c r="P2851" s="4" t="s">
        <v>435</v>
      </c>
    </row>
    <row r="2852" spans="1:16" ht="15">
      <c r="A2852" s="4" t="s">
        <v>3975</v>
      </c>
      <c r="B2852" s="30">
        <v>39995</v>
      </c>
      <c r="C2852" s="4"/>
      <c r="D2852" s="4" t="s">
        <v>197</v>
      </c>
      <c r="E2852" s="4" t="s">
        <v>170</v>
      </c>
      <c r="F2852" s="4" t="s">
        <v>155</v>
      </c>
      <c r="G2852" s="4"/>
      <c r="H2852" s="4">
        <v>5</v>
      </c>
      <c r="I2852" s="4" t="s">
        <v>139</v>
      </c>
      <c r="J2852" s="4" t="s">
        <v>179</v>
      </c>
      <c r="K2852" s="4" t="s">
        <v>143</v>
      </c>
      <c r="L2852" s="4" t="s">
        <v>4181</v>
      </c>
      <c r="M2852" s="4" t="s">
        <v>3976</v>
      </c>
      <c r="N2852" s="4" t="s">
        <v>155</v>
      </c>
      <c r="O2852" s="4" t="s">
        <v>3912</v>
      </c>
      <c r="P2852" s="4"/>
    </row>
    <row r="2853" spans="1:16" ht="15">
      <c r="A2853" s="4" t="s">
        <v>3977</v>
      </c>
      <c r="B2853" s="30">
        <v>40072</v>
      </c>
      <c r="C2853" s="4" t="s">
        <v>380</v>
      </c>
      <c r="D2853" s="4" t="s">
        <v>193</v>
      </c>
      <c r="E2853" s="4" t="s">
        <v>170</v>
      </c>
      <c r="F2853" s="4" t="s">
        <v>155</v>
      </c>
      <c r="G2853" s="4">
        <v>4</v>
      </c>
      <c r="H2853" s="4">
        <v>3</v>
      </c>
      <c r="I2853" s="4" t="s">
        <v>140</v>
      </c>
      <c r="J2853" s="4" t="s">
        <v>181</v>
      </c>
      <c r="K2853" s="4" t="s">
        <v>144</v>
      </c>
      <c r="L2853" s="4" t="s">
        <v>4176</v>
      </c>
      <c r="M2853" s="4" t="s">
        <v>597</v>
      </c>
      <c r="N2853" s="4" t="s">
        <v>160</v>
      </c>
      <c r="O2853" s="4" t="s">
        <v>392</v>
      </c>
      <c r="P2853" s="4" t="s">
        <v>393</v>
      </c>
    </row>
    <row r="2854" spans="1:16" ht="15">
      <c r="A2854" s="4" t="s">
        <v>3978</v>
      </c>
      <c r="B2854" s="30">
        <v>40063</v>
      </c>
      <c r="C2854" s="4" t="s">
        <v>9</v>
      </c>
      <c r="D2854" s="4" t="s">
        <v>193</v>
      </c>
      <c r="E2854" s="4" t="s">
        <v>170</v>
      </c>
      <c r="F2854" s="4" t="s">
        <v>155</v>
      </c>
      <c r="G2854" s="4">
        <v>5</v>
      </c>
      <c r="H2854" s="4">
        <v>3</v>
      </c>
      <c r="I2854" s="4" t="s">
        <v>140</v>
      </c>
      <c r="J2854" s="4" t="s">
        <v>181</v>
      </c>
      <c r="K2854" s="4" t="s">
        <v>146</v>
      </c>
      <c r="L2854" s="4" t="s">
        <v>4176</v>
      </c>
      <c r="M2854" s="4" t="s">
        <v>174</v>
      </c>
      <c r="N2854" s="4" t="s">
        <v>156</v>
      </c>
      <c r="O2854" s="4" t="s">
        <v>120</v>
      </c>
      <c r="P2854" s="4" t="s">
        <v>3574</v>
      </c>
    </row>
    <row r="2855" spans="1:16" ht="15">
      <c r="A2855" s="4" t="s">
        <v>3979</v>
      </c>
      <c r="B2855" s="30">
        <v>40041</v>
      </c>
      <c r="C2855" s="4" t="s">
        <v>9</v>
      </c>
      <c r="D2855" s="4" t="s">
        <v>193</v>
      </c>
      <c r="E2855" s="4" t="s">
        <v>170</v>
      </c>
      <c r="F2855" s="4" t="s">
        <v>155</v>
      </c>
      <c r="G2855" s="4">
        <v>5</v>
      </c>
      <c r="H2855" s="4">
        <v>5</v>
      </c>
      <c r="I2855" s="4" t="s">
        <v>140</v>
      </c>
      <c r="J2855" s="4" t="s">
        <v>182</v>
      </c>
      <c r="K2855" s="4" t="s">
        <v>142</v>
      </c>
      <c r="L2855" s="4" t="s">
        <v>162</v>
      </c>
      <c r="M2855" s="4" t="s">
        <v>459</v>
      </c>
      <c r="N2855" s="4" t="s">
        <v>155</v>
      </c>
      <c r="O2855" s="4" t="s">
        <v>129</v>
      </c>
      <c r="P2855" s="4"/>
    </row>
    <row r="2856" spans="1:16" ht="15">
      <c r="A2856" s="4" t="s">
        <v>3980</v>
      </c>
      <c r="B2856" s="30">
        <v>39961</v>
      </c>
      <c r="C2856" s="4"/>
      <c r="D2856" s="4" t="s">
        <v>195</v>
      </c>
      <c r="E2856" s="4" t="s">
        <v>170</v>
      </c>
      <c r="F2856" s="4" t="s">
        <v>155</v>
      </c>
      <c r="G2856" s="4"/>
      <c r="H2856" s="4"/>
      <c r="I2856" s="4" t="s">
        <v>139</v>
      </c>
      <c r="J2856" s="4" t="s">
        <v>182</v>
      </c>
      <c r="K2856" s="4" t="s">
        <v>144</v>
      </c>
      <c r="L2856" s="4" t="s">
        <v>4176</v>
      </c>
      <c r="M2856" s="4" t="s">
        <v>578</v>
      </c>
      <c r="N2856" s="4" t="s">
        <v>157</v>
      </c>
      <c r="O2856" s="4" t="s">
        <v>130</v>
      </c>
      <c r="P2856" s="4" t="s">
        <v>437</v>
      </c>
    </row>
    <row r="2857" spans="1:16" ht="15">
      <c r="A2857" s="4" t="s">
        <v>3981</v>
      </c>
      <c r="B2857" s="30">
        <v>40009</v>
      </c>
      <c r="C2857" s="4"/>
      <c r="D2857" s="4" t="s">
        <v>193</v>
      </c>
      <c r="E2857" s="4" t="s">
        <v>170</v>
      </c>
      <c r="F2857" s="4" t="s">
        <v>155</v>
      </c>
      <c r="G2857" s="4">
        <v>5</v>
      </c>
      <c r="H2857" s="4">
        <v>3</v>
      </c>
      <c r="I2857" s="4" t="s">
        <v>140</v>
      </c>
      <c r="J2857" s="4" t="s">
        <v>178</v>
      </c>
      <c r="K2857" s="4" t="s">
        <v>146</v>
      </c>
      <c r="L2857" s="4" t="s">
        <v>162</v>
      </c>
      <c r="M2857" s="4" t="s">
        <v>175</v>
      </c>
      <c r="N2857" s="4" t="s">
        <v>155</v>
      </c>
      <c r="O2857" s="4" t="s">
        <v>129</v>
      </c>
      <c r="P2857" s="4"/>
    </row>
    <row r="2858" spans="1:16" ht="15">
      <c r="A2858" s="4" t="s">
        <v>3982</v>
      </c>
      <c r="B2858" s="30">
        <v>39977</v>
      </c>
      <c r="C2858" s="4" t="s">
        <v>9</v>
      </c>
      <c r="D2858" s="4" t="s">
        <v>193</v>
      </c>
      <c r="E2858" s="4" t="s">
        <v>170</v>
      </c>
      <c r="F2858" s="4" t="s">
        <v>155</v>
      </c>
      <c r="G2858" s="4"/>
      <c r="H2858" s="4"/>
      <c r="I2858" s="4" t="s">
        <v>140</v>
      </c>
      <c r="J2858" s="4" t="s">
        <v>181</v>
      </c>
      <c r="K2858" s="4" t="s">
        <v>143</v>
      </c>
      <c r="L2858" s="4" t="s">
        <v>4176</v>
      </c>
      <c r="M2858" s="4" t="s">
        <v>174</v>
      </c>
      <c r="N2858" s="4" t="s">
        <v>159</v>
      </c>
      <c r="O2858" s="4" t="s">
        <v>123</v>
      </c>
      <c r="P2858" s="4" t="s">
        <v>123</v>
      </c>
    </row>
    <row r="2859" spans="1:16" ht="15">
      <c r="A2859" s="4" t="s">
        <v>3983</v>
      </c>
      <c r="B2859" s="30">
        <v>40037</v>
      </c>
      <c r="C2859" s="4" t="s">
        <v>383</v>
      </c>
      <c r="D2859" s="4" t="s">
        <v>193</v>
      </c>
      <c r="E2859" s="4" t="s">
        <v>170</v>
      </c>
      <c r="F2859" s="4" t="s">
        <v>155</v>
      </c>
      <c r="G2859" s="4">
        <v>5</v>
      </c>
      <c r="H2859" s="4">
        <v>3</v>
      </c>
      <c r="I2859" s="4" t="s">
        <v>140</v>
      </c>
      <c r="J2859" s="4" t="s">
        <v>178</v>
      </c>
      <c r="K2859" s="4" t="s">
        <v>142</v>
      </c>
      <c r="L2859" s="4" t="s">
        <v>4181</v>
      </c>
      <c r="M2859" s="4" t="s">
        <v>902</v>
      </c>
      <c r="N2859" s="4" t="s">
        <v>155</v>
      </c>
      <c r="O2859" s="4" t="s">
        <v>510</v>
      </c>
      <c r="P2859" s="4"/>
    </row>
    <row r="2860" spans="1:16" ht="15">
      <c r="A2860" s="4" t="s">
        <v>3984</v>
      </c>
      <c r="B2860" s="30">
        <v>40013</v>
      </c>
      <c r="C2860" s="4"/>
      <c r="D2860" s="4" t="s">
        <v>193</v>
      </c>
      <c r="E2860" s="4" t="s">
        <v>170</v>
      </c>
      <c r="F2860" s="4" t="s">
        <v>155</v>
      </c>
      <c r="G2860" s="4">
        <v>2</v>
      </c>
      <c r="H2860" s="4">
        <v>3</v>
      </c>
      <c r="I2860" s="4" t="s">
        <v>140</v>
      </c>
      <c r="J2860" s="4" t="s">
        <v>178</v>
      </c>
      <c r="K2860" s="4" t="s">
        <v>145</v>
      </c>
      <c r="L2860" s="4" t="s">
        <v>4176</v>
      </c>
      <c r="M2860" s="4" t="s">
        <v>1823</v>
      </c>
      <c r="N2860" s="4" t="s">
        <v>160</v>
      </c>
      <c r="O2860" s="4" t="s">
        <v>126</v>
      </c>
      <c r="P2860" s="4" t="s">
        <v>3985</v>
      </c>
    </row>
    <row r="2861" spans="1:16" ht="15">
      <c r="A2861" s="4" t="s">
        <v>3986</v>
      </c>
      <c r="B2861" s="30">
        <v>40037</v>
      </c>
      <c r="C2861" s="4"/>
      <c r="D2861" s="4" t="s">
        <v>193</v>
      </c>
      <c r="E2861" s="4" t="s">
        <v>170</v>
      </c>
      <c r="F2861" s="4" t="s">
        <v>155</v>
      </c>
      <c r="G2861" s="4">
        <v>5</v>
      </c>
      <c r="H2861" s="4">
        <v>4</v>
      </c>
      <c r="I2861" s="4" t="s">
        <v>140</v>
      </c>
      <c r="J2861" s="4" t="s">
        <v>178</v>
      </c>
      <c r="K2861" s="4" t="s">
        <v>143</v>
      </c>
      <c r="L2861" s="4" t="s">
        <v>162</v>
      </c>
      <c r="M2861" s="4" t="s">
        <v>175</v>
      </c>
      <c r="N2861" s="4" t="s">
        <v>155</v>
      </c>
      <c r="O2861" s="4" t="s">
        <v>129</v>
      </c>
      <c r="P2861" s="4"/>
    </row>
    <row r="2862" spans="1:16" ht="15">
      <c r="A2862" s="4" t="s">
        <v>3987</v>
      </c>
      <c r="B2862" s="30">
        <v>39959</v>
      </c>
      <c r="C2862" s="4"/>
      <c r="D2862" s="4" t="s">
        <v>195</v>
      </c>
      <c r="E2862" s="4" t="s">
        <v>170</v>
      </c>
      <c r="F2862" s="4" t="s">
        <v>155</v>
      </c>
      <c r="G2862" s="4"/>
      <c r="H2862" s="4"/>
      <c r="I2862" s="4" t="s">
        <v>139</v>
      </c>
      <c r="J2862" s="4" t="s">
        <v>178</v>
      </c>
      <c r="K2862" s="4" t="s">
        <v>143</v>
      </c>
      <c r="L2862" s="4" t="s">
        <v>4181</v>
      </c>
      <c r="M2862" s="4"/>
      <c r="N2862" s="4" t="s">
        <v>155</v>
      </c>
      <c r="O2862" s="4" t="s">
        <v>454</v>
      </c>
      <c r="P2862" s="4"/>
    </row>
    <row r="2863" spans="1:16" ht="15">
      <c r="A2863" s="4" t="s">
        <v>3988</v>
      </c>
      <c r="B2863" s="30">
        <v>39924</v>
      </c>
      <c r="C2863" s="4"/>
      <c r="D2863" s="4" t="s">
        <v>4182</v>
      </c>
      <c r="E2863" s="4" t="s">
        <v>170</v>
      </c>
      <c r="F2863" s="4" t="s">
        <v>155</v>
      </c>
      <c r="G2863" s="4"/>
      <c r="H2863" s="4"/>
      <c r="I2863" s="4" t="s">
        <v>139</v>
      </c>
      <c r="J2863" s="4" t="s">
        <v>178</v>
      </c>
      <c r="K2863" s="4" t="s">
        <v>150</v>
      </c>
      <c r="L2863" s="4" t="s">
        <v>4181</v>
      </c>
      <c r="M2863" s="4" t="s">
        <v>173</v>
      </c>
      <c r="N2863" s="4" t="s">
        <v>161</v>
      </c>
      <c r="O2863" s="4" t="s">
        <v>939</v>
      </c>
      <c r="P2863" s="4"/>
    </row>
    <row r="2864" spans="1:16" ht="15">
      <c r="A2864" s="4" t="s">
        <v>3989</v>
      </c>
      <c r="B2864" s="30">
        <v>39933</v>
      </c>
      <c r="C2864" s="4" t="s">
        <v>9</v>
      </c>
      <c r="D2864" s="4" t="s">
        <v>4179</v>
      </c>
      <c r="E2864" s="4" t="s">
        <v>170</v>
      </c>
      <c r="F2864" s="4" t="s">
        <v>155</v>
      </c>
      <c r="G2864" s="4"/>
      <c r="H2864" s="4"/>
      <c r="I2864" s="4" t="s">
        <v>139</v>
      </c>
      <c r="J2864" s="4" t="s">
        <v>178</v>
      </c>
      <c r="K2864" s="4" t="s">
        <v>151</v>
      </c>
      <c r="L2864" s="4" t="s">
        <v>4176</v>
      </c>
      <c r="M2864" s="4" t="s">
        <v>174</v>
      </c>
      <c r="N2864" s="4" t="s">
        <v>156</v>
      </c>
      <c r="O2864" s="4" t="s">
        <v>120</v>
      </c>
      <c r="P2864" s="4" t="s">
        <v>3990</v>
      </c>
    </row>
    <row r="2865" spans="1:16" ht="15">
      <c r="A2865" s="4" t="s">
        <v>3991</v>
      </c>
      <c r="B2865" s="30">
        <v>39964</v>
      </c>
      <c r="C2865" s="4"/>
      <c r="D2865" s="4" t="s">
        <v>194</v>
      </c>
      <c r="E2865" s="4" t="s">
        <v>170</v>
      </c>
      <c r="F2865" s="4" t="s">
        <v>155</v>
      </c>
      <c r="G2865" s="4"/>
      <c r="H2865" s="4"/>
      <c r="I2865" s="4" t="s">
        <v>139</v>
      </c>
      <c r="J2865" s="4" t="s">
        <v>181</v>
      </c>
      <c r="K2865" s="4" t="s">
        <v>145</v>
      </c>
      <c r="L2865" s="4" t="s">
        <v>4176</v>
      </c>
      <c r="M2865" s="4" t="s">
        <v>174</v>
      </c>
      <c r="N2865" s="4" t="s">
        <v>157</v>
      </c>
      <c r="O2865" s="4" t="s">
        <v>434</v>
      </c>
      <c r="P2865" s="4" t="s">
        <v>435</v>
      </c>
    </row>
    <row r="2866" spans="1:16" ht="15">
      <c r="A2866" s="4" t="s">
        <v>3992</v>
      </c>
      <c r="B2866" s="30">
        <v>39939</v>
      </c>
      <c r="C2866" s="4"/>
      <c r="D2866" s="4" t="s">
        <v>4184</v>
      </c>
      <c r="E2866" s="4" t="s">
        <v>170</v>
      </c>
      <c r="F2866" s="4" t="s">
        <v>155</v>
      </c>
      <c r="G2866" s="4"/>
      <c r="H2866" s="4"/>
      <c r="I2866" s="4" t="s">
        <v>140</v>
      </c>
      <c r="J2866" s="4" t="s">
        <v>181</v>
      </c>
      <c r="K2866" s="4" t="s">
        <v>147</v>
      </c>
      <c r="L2866" s="4" t="s">
        <v>4176</v>
      </c>
      <c r="M2866" s="4" t="s">
        <v>654</v>
      </c>
      <c r="N2866" s="4" t="s">
        <v>160</v>
      </c>
      <c r="O2866" s="4" t="s">
        <v>128</v>
      </c>
      <c r="P2866" s="4" t="s">
        <v>3993</v>
      </c>
    </row>
    <row r="2867" spans="1:16" ht="15">
      <c r="A2867" s="4" t="s">
        <v>3994</v>
      </c>
      <c r="B2867" s="30">
        <v>39924</v>
      </c>
      <c r="C2867" s="4"/>
      <c r="D2867" s="4" t="s">
        <v>4184</v>
      </c>
      <c r="E2867" s="4" t="s">
        <v>170</v>
      </c>
      <c r="F2867" s="4" t="s">
        <v>155</v>
      </c>
      <c r="G2867" s="4"/>
      <c r="H2867" s="4"/>
      <c r="I2867" s="4" t="s">
        <v>140</v>
      </c>
      <c r="J2867" s="4" t="s">
        <v>182</v>
      </c>
      <c r="K2867" s="4" t="s">
        <v>142</v>
      </c>
      <c r="L2867" s="4" t="s">
        <v>4181</v>
      </c>
      <c r="M2867" s="4" t="s">
        <v>173</v>
      </c>
      <c r="N2867" s="4" t="s">
        <v>155</v>
      </c>
      <c r="O2867" s="4" t="s">
        <v>124</v>
      </c>
      <c r="P2867" s="4"/>
    </row>
    <row r="2868" spans="1:16" ht="15">
      <c r="A2868" s="4" t="s">
        <v>3995</v>
      </c>
      <c r="B2868" s="30">
        <v>39922</v>
      </c>
      <c r="C2868" s="4"/>
      <c r="D2868" s="4" t="s">
        <v>4184</v>
      </c>
      <c r="E2868" s="4" t="s">
        <v>170</v>
      </c>
      <c r="F2868" s="4" t="s">
        <v>155</v>
      </c>
      <c r="G2868" s="4"/>
      <c r="H2868" s="4"/>
      <c r="I2868" s="4" t="s">
        <v>140</v>
      </c>
      <c r="J2868" s="4" t="s">
        <v>182</v>
      </c>
      <c r="K2868" s="4" t="s">
        <v>149</v>
      </c>
      <c r="L2868" s="4" t="s">
        <v>4181</v>
      </c>
      <c r="M2868" s="4" t="s">
        <v>173</v>
      </c>
      <c r="N2868" s="4" t="s">
        <v>161</v>
      </c>
      <c r="O2868" s="4" t="s">
        <v>939</v>
      </c>
      <c r="P2868" s="4"/>
    </row>
    <row r="2869" spans="1:16" ht="15">
      <c r="A2869" s="4" t="s">
        <v>3996</v>
      </c>
      <c r="B2869" s="30">
        <v>39955</v>
      </c>
      <c r="C2869" s="4"/>
      <c r="D2869" s="4" t="s">
        <v>195</v>
      </c>
      <c r="E2869" s="4" t="s">
        <v>170</v>
      </c>
      <c r="F2869" s="4" t="s">
        <v>155</v>
      </c>
      <c r="G2869" s="4"/>
      <c r="H2869" s="4"/>
      <c r="I2869" s="4" t="s">
        <v>139</v>
      </c>
      <c r="J2869" s="4" t="s">
        <v>182</v>
      </c>
      <c r="K2869" s="4" t="s">
        <v>142</v>
      </c>
      <c r="L2869" s="4" t="s">
        <v>4181</v>
      </c>
      <c r="M2869" s="4" t="s">
        <v>3997</v>
      </c>
      <c r="N2869" s="4" t="s">
        <v>155</v>
      </c>
      <c r="O2869" s="4" t="s">
        <v>125</v>
      </c>
      <c r="P2869" s="4"/>
    </row>
    <row r="2870" spans="1:16" ht="15">
      <c r="A2870" s="4" t="s">
        <v>3998</v>
      </c>
      <c r="B2870" s="30">
        <v>39978</v>
      </c>
      <c r="C2870" s="4"/>
      <c r="D2870" s="4" t="s">
        <v>193</v>
      </c>
      <c r="E2870" s="4" t="s">
        <v>170</v>
      </c>
      <c r="F2870" s="4" t="s">
        <v>155</v>
      </c>
      <c r="G2870" s="4"/>
      <c r="H2870" s="4"/>
      <c r="I2870" s="4" t="s">
        <v>140</v>
      </c>
      <c r="J2870" s="4" t="s">
        <v>182</v>
      </c>
      <c r="K2870" s="4" t="s">
        <v>145</v>
      </c>
      <c r="L2870" s="4" t="s">
        <v>162</v>
      </c>
      <c r="M2870" s="4"/>
      <c r="N2870" s="4" t="s">
        <v>155</v>
      </c>
      <c r="O2870" s="4" t="s">
        <v>130</v>
      </c>
      <c r="P2870" s="4"/>
    </row>
    <row r="2871" spans="1:16" ht="15">
      <c r="A2871" s="4" t="s">
        <v>3999</v>
      </c>
      <c r="B2871" s="30">
        <v>39917</v>
      </c>
      <c r="C2871" s="4"/>
      <c r="D2871" s="4" t="s">
        <v>4180</v>
      </c>
      <c r="E2871" s="4" t="s">
        <v>170</v>
      </c>
      <c r="F2871" s="4" t="s">
        <v>155</v>
      </c>
      <c r="G2871" s="4"/>
      <c r="H2871" s="4"/>
      <c r="I2871" s="4" t="s">
        <v>139</v>
      </c>
      <c r="J2871" s="4" t="s">
        <v>182</v>
      </c>
      <c r="K2871" s="4" t="s">
        <v>147</v>
      </c>
      <c r="L2871" s="4" t="s">
        <v>162</v>
      </c>
      <c r="M2871" s="4" t="s">
        <v>498</v>
      </c>
      <c r="N2871" s="4" t="s">
        <v>155</v>
      </c>
      <c r="O2871" s="4" t="s">
        <v>129</v>
      </c>
      <c r="P2871" s="4"/>
    </row>
    <row r="2872" spans="1:16" ht="15">
      <c r="A2872" s="4" t="s">
        <v>4000</v>
      </c>
      <c r="B2872" s="30">
        <v>39980</v>
      </c>
      <c r="C2872" s="4" t="s">
        <v>380</v>
      </c>
      <c r="D2872" s="4" t="s">
        <v>193</v>
      </c>
      <c r="E2872" s="4" t="s">
        <v>170</v>
      </c>
      <c r="F2872" s="4" t="s">
        <v>155</v>
      </c>
      <c r="G2872" s="4"/>
      <c r="H2872" s="4"/>
      <c r="I2872" s="4" t="s">
        <v>140</v>
      </c>
      <c r="J2872" s="4" t="s">
        <v>182</v>
      </c>
      <c r="K2872" s="4" t="s">
        <v>144</v>
      </c>
      <c r="L2872" s="4" t="s">
        <v>4181</v>
      </c>
      <c r="M2872" s="4" t="s">
        <v>173</v>
      </c>
      <c r="N2872" s="4" t="s">
        <v>155</v>
      </c>
      <c r="O2872" s="4" t="s">
        <v>501</v>
      </c>
      <c r="P2872" s="4"/>
    </row>
    <row r="2873" spans="1:16" ht="15">
      <c r="A2873" s="4" t="s">
        <v>4001</v>
      </c>
      <c r="B2873" s="30">
        <v>39936</v>
      </c>
      <c r="C2873" s="4"/>
      <c r="D2873" s="4" t="s">
        <v>4184</v>
      </c>
      <c r="E2873" s="4" t="s">
        <v>170</v>
      </c>
      <c r="F2873" s="4" t="s">
        <v>155</v>
      </c>
      <c r="G2873" s="4"/>
      <c r="H2873" s="4"/>
      <c r="I2873" s="4" t="s">
        <v>140</v>
      </c>
      <c r="J2873" s="4" t="s">
        <v>182</v>
      </c>
      <c r="K2873" s="4" t="s">
        <v>151</v>
      </c>
      <c r="L2873" s="4" t="s">
        <v>4181</v>
      </c>
      <c r="M2873" s="4" t="s">
        <v>173</v>
      </c>
      <c r="N2873" s="4" t="s">
        <v>161</v>
      </c>
      <c r="O2873" s="4" t="s">
        <v>638</v>
      </c>
      <c r="P2873" s="4"/>
    </row>
    <row r="2874" spans="1:16" ht="15">
      <c r="A2874" s="4" t="s">
        <v>4002</v>
      </c>
      <c r="B2874" s="30">
        <v>39960</v>
      </c>
      <c r="C2874" s="4"/>
      <c r="D2874" s="4" t="s">
        <v>194</v>
      </c>
      <c r="E2874" s="4" t="s">
        <v>170</v>
      </c>
      <c r="F2874" s="4" t="s">
        <v>155</v>
      </c>
      <c r="G2874" s="4"/>
      <c r="H2874" s="4"/>
      <c r="I2874" s="4" t="s">
        <v>139</v>
      </c>
      <c r="J2874" s="4" t="s">
        <v>182</v>
      </c>
      <c r="K2874" s="4" t="s">
        <v>142</v>
      </c>
      <c r="L2874" s="4" t="s">
        <v>4176</v>
      </c>
      <c r="M2874" s="4" t="s">
        <v>578</v>
      </c>
      <c r="N2874" s="4" t="s">
        <v>157</v>
      </c>
      <c r="O2874" s="4" t="s">
        <v>130</v>
      </c>
      <c r="P2874" s="4" t="s">
        <v>437</v>
      </c>
    </row>
    <row r="2875" spans="1:16" ht="15">
      <c r="A2875" s="4" t="s">
        <v>4003</v>
      </c>
      <c r="B2875" s="30">
        <v>39991</v>
      </c>
      <c r="C2875" s="4"/>
      <c r="D2875" s="4" t="s">
        <v>193</v>
      </c>
      <c r="E2875" s="4" t="s">
        <v>170</v>
      </c>
      <c r="F2875" s="4" t="s">
        <v>155</v>
      </c>
      <c r="G2875" s="4"/>
      <c r="H2875" s="4">
        <v>3</v>
      </c>
      <c r="I2875" s="4" t="s">
        <v>140</v>
      </c>
      <c r="J2875" s="4" t="s">
        <v>433</v>
      </c>
      <c r="K2875" s="4" t="s">
        <v>149</v>
      </c>
      <c r="L2875" s="4" t="s">
        <v>162</v>
      </c>
      <c r="M2875" s="4" t="s">
        <v>622</v>
      </c>
      <c r="N2875" s="4" t="s">
        <v>155</v>
      </c>
      <c r="O2875" s="4" t="s">
        <v>130</v>
      </c>
      <c r="P2875" s="4"/>
    </row>
    <row r="2876" spans="1:16" ht="15">
      <c r="A2876" s="4" t="s">
        <v>4004</v>
      </c>
      <c r="B2876" s="30">
        <v>39997</v>
      </c>
      <c r="C2876" s="4"/>
      <c r="D2876" s="4" t="s">
        <v>193</v>
      </c>
      <c r="E2876" s="4" t="s">
        <v>170</v>
      </c>
      <c r="F2876" s="4" t="s">
        <v>155</v>
      </c>
      <c r="G2876" s="4"/>
      <c r="H2876" s="4">
        <v>5</v>
      </c>
      <c r="I2876" s="4" t="s">
        <v>140</v>
      </c>
      <c r="J2876" s="4" t="s">
        <v>433</v>
      </c>
      <c r="K2876" s="4" t="s">
        <v>149</v>
      </c>
      <c r="L2876" s="4" t="s">
        <v>4176</v>
      </c>
      <c r="M2876" s="4" t="s">
        <v>174</v>
      </c>
      <c r="N2876" s="4" t="s">
        <v>157</v>
      </c>
      <c r="O2876" s="4" t="s">
        <v>434</v>
      </c>
      <c r="P2876" s="4" t="s">
        <v>435</v>
      </c>
    </row>
    <row r="2877" spans="1:16" ht="15">
      <c r="A2877" s="4" t="s">
        <v>4005</v>
      </c>
      <c r="B2877" s="30">
        <v>39976</v>
      </c>
      <c r="C2877" s="4"/>
      <c r="D2877" s="4" t="s">
        <v>194</v>
      </c>
      <c r="E2877" s="4" t="s">
        <v>170</v>
      </c>
      <c r="F2877" s="4" t="s">
        <v>155</v>
      </c>
      <c r="G2877" s="4"/>
      <c r="H2877" s="4"/>
      <c r="I2877" s="4" t="s">
        <v>139</v>
      </c>
      <c r="J2877" s="4" t="s">
        <v>433</v>
      </c>
      <c r="K2877" s="4" t="s">
        <v>142</v>
      </c>
      <c r="L2877" s="4" t="s">
        <v>4176</v>
      </c>
      <c r="M2877" s="4" t="s">
        <v>174</v>
      </c>
      <c r="N2877" s="4" t="s">
        <v>159</v>
      </c>
      <c r="O2877" s="4" t="s">
        <v>123</v>
      </c>
      <c r="P2877" s="4" t="s">
        <v>123</v>
      </c>
    </row>
    <row r="2878" spans="1:16" ht="15">
      <c r="A2878" s="4" t="s">
        <v>4006</v>
      </c>
      <c r="B2878" s="30">
        <v>39941</v>
      </c>
      <c r="C2878" s="4"/>
      <c r="D2878" s="4" t="s">
        <v>195</v>
      </c>
      <c r="E2878" s="4" t="s">
        <v>170</v>
      </c>
      <c r="F2878" s="4" t="s">
        <v>155</v>
      </c>
      <c r="G2878" s="4"/>
      <c r="H2878" s="4"/>
      <c r="I2878" s="4" t="s">
        <v>139</v>
      </c>
      <c r="J2878" s="4" t="s">
        <v>186</v>
      </c>
      <c r="K2878" s="4" t="s">
        <v>147</v>
      </c>
      <c r="L2878" s="4" t="s">
        <v>4181</v>
      </c>
      <c r="M2878" s="4" t="s">
        <v>173</v>
      </c>
      <c r="N2878" s="4" t="s">
        <v>155</v>
      </c>
      <c r="O2878" s="4" t="s">
        <v>125</v>
      </c>
      <c r="P2878" s="4"/>
    </row>
    <row r="2879" spans="1:16" ht="15">
      <c r="A2879" s="4" t="s">
        <v>4007</v>
      </c>
      <c r="B2879" s="30">
        <v>39941</v>
      </c>
      <c r="C2879" s="4"/>
      <c r="D2879" s="4" t="s">
        <v>195</v>
      </c>
      <c r="E2879" s="4" t="s">
        <v>170</v>
      </c>
      <c r="F2879" s="4" t="s">
        <v>155</v>
      </c>
      <c r="G2879" s="4"/>
      <c r="H2879" s="4"/>
      <c r="I2879" s="4" t="s">
        <v>139</v>
      </c>
      <c r="J2879" s="4" t="s">
        <v>479</v>
      </c>
      <c r="K2879" s="4" t="s">
        <v>142</v>
      </c>
      <c r="L2879" s="4" t="s">
        <v>4181</v>
      </c>
      <c r="M2879" s="4" t="s">
        <v>173</v>
      </c>
      <c r="N2879" s="4" t="s">
        <v>155</v>
      </c>
      <c r="O2879" s="4" t="s">
        <v>692</v>
      </c>
      <c r="P2879" s="4"/>
    </row>
    <row r="2880" spans="1:16" ht="15">
      <c r="A2880" s="4" t="s">
        <v>4008</v>
      </c>
      <c r="B2880" s="30">
        <v>39941</v>
      </c>
      <c r="C2880" s="4" t="s">
        <v>380</v>
      </c>
      <c r="D2880" s="4" t="s">
        <v>195</v>
      </c>
      <c r="E2880" s="4" t="s">
        <v>170</v>
      </c>
      <c r="F2880" s="4" t="s">
        <v>155</v>
      </c>
      <c r="G2880" s="4"/>
      <c r="H2880" s="4"/>
      <c r="I2880" s="4" t="s">
        <v>139</v>
      </c>
      <c r="J2880" s="4" t="s">
        <v>479</v>
      </c>
      <c r="K2880" s="4" t="s">
        <v>149</v>
      </c>
      <c r="L2880" s="4" t="s">
        <v>4181</v>
      </c>
      <c r="M2880" s="4" t="s">
        <v>173</v>
      </c>
      <c r="N2880" s="4" t="s">
        <v>155</v>
      </c>
      <c r="O2880" s="4" t="s">
        <v>692</v>
      </c>
      <c r="P2880" s="4"/>
    </row>
    <row r="2881" spans="1:16" ht="15">
      <c r="A2881" s="4" t="s">
        <v>4009</v>
      </c>
      <c r="B2881" s="30">
        <v>40044</v>
      </c>
      <c r="C2881" s="4"/>
      <c r="D2881" s="4" t="s">
        <v>193</v>
      </c>
      <c r="E2881" s="4" t="s">
        <v>170</v>
      </c>
      <c r="F2881" s="4" t="s">
        <v>155</v>
      </c>
      <c r="G2881" s="4">
        <v>5</v>
      </c>
      <c r="H2881" s="4">
        <v>5</v>
      </c>
      <c r="I2881" s="4" t="s">
        <v>140</v>
      </c>
      <c r="J2881" s="4" t="s">
        <v>509</v>
      </c>
      <c r="K2881" s="4" t="s">
        <v>149</v>
      </c>
      <c r="L2881" s="4" t="s">
        <v>4176</v>
      </c>
      <c r="M2881" s="4" t="s">
        <v>619</v>
      </c>
      <c r="N2881" s="4" t="s">
        <v>156</v>
      </c>
      <c r="O2881" s="4" t="s">
        <v>120</v>
      </c>
      <c r="P2881" s="4" t="s">
        <v>4010</v>
      </c>
    </row>
    <row r="2882" spans="1:16" ht="15">
      <c r="A2882" s="4" t="s">
        <v>4011</v>
      </c>
      <c r="B2882" s="30">
        <v>39981</v>
      </c>
      <c r="C2882" s="4"/>
      <c r="D2882" s="4" t="s">
        <v>193</v>
      </c>
      <c r="E2882" s="4" t="s">
        <v>170</v>
      </c>
      <c r="F2882" s="4" t="s">
        <v>155</v>
      </c>
      <c r="G2882" s="4"/>
      <c r="H2882" s="4"/>
      <c r="I2882" s="4" t="s">
        <v>140</v>
      </c>
      <c r="J2882" s="4" t="s">
        <v>447</v>
      </c>
      <c r="K2882" s="4" t="s">
        <v>146</v>
      </c>
      <c r="L2882" s="4" t="s">
        <v>4181</v>
      </c>
      <c r="M2882" s="4"/>
      <c r="N2882" s="4" t="s">
        <v>155</v>
      </c>
      <c r="O2882" s="4" t="s">
        <v>467</v>
      </c>
      <c r="P2882" s="4"/>
    </row>
    <row r="2883" spans="1:16" ht="15">
      <c r="A2883" s="4" t="s">
        <v>4012</v>
      </c>
      <c r="B2883" s="30">
        <v>40032</v>
      </c>
      <c r="C2883" s="4" t="s">
        <v>380</v>
      </c>
      <c r="D2883" s="4" t="s">
        <v>193</v>
      </c>
      <c r="E2883" s="4" t="s">
        <v>170</v>
      </c>
      <c r="F2883" s="4" t="s">
        <v>155</v>
      </c>
      <c r="G2883" s="4">
        <v>5</v>
      </c>
      <c r="H2883" s="4">
        <v>5</v>
      </c>
      <c r="I2883" s="4" t="s">
        <v>140</v>
      </c>
      <c r="J2883" s="4" t="s">
        <v>447</v>
      </c>
      <c r="K2883" s="4" t="s">
        <v>142</v>
      </c>
      <c r="L2883" s="4" t="s">
        <v>162</v>
      </c>
      <c r="M2883" s="4" t="s">
        <v>863</v>
      </c>
      <c r="N2883" s="4" t="s">
        <v>155</v>
      </c>
      <c r="O2883" s="4" t="s">
        <v>129</v>
      </c>
      <c r="P2883" s="4"/>
    </row>
    <row r="2884" spans="1:16" ht="15">
      <c r="A2884" s="4" t="s">
        <v>4013</v>
      </c>
      <c r="B2884" s="30">
        <v>40057</v>
      </c>
      <c r="C2884" s="4"/>
      <c r="D2884" s="4" t="s">
        <v>193</v>
      </c>
      <c r="E2884" s="4" t="s">
        <v>170</v>
      </c>
      <c r="F2884" s="4" t="s">
        <v>155</v>
      </c>
      <c r="G2884" s="4">
        <v>5</v>
      </c>
      <c r="H2884" s="4">
        <v>5</v>
      </c>
      <c r="I2884" s="4" t="s">
        <v>140</v>
      </c>
      <c r="J2884" s="4" t="s">
        <v>182</v>
      </c>
      <c r="K2884" s="4" t="s">
        <v>149</v>
      </c>
      <c r="L2884" s="4" t="s">
        <v>4181</v>
      </c>
      <c r="M2884" s="4" t="s">
        <v>4014</v>
      </c>
      <c r="N2884" s="4" t="s">
        <v>155</v>
      </c>
      <c r="O2884" s="4" t="s">
        <v>406</v>
      </c>
      <c r="P2884" s="4"/>
    </row>
    <row r="2885" spans="1:16" ht="15">
      <c r="A2885" s="4" t="s">
        <v>4015</v>
      </c>
      <c r="B2885" s="30">
        <v>39947</v>
      </c>
      <c r="C2885" s="4"/>
      <c r="D2885" s="4" t="s">
        <v>193</v>
      </c>
      <c r="E2885" s="4" t="s">
        <v>170</v>
      </c>
      <c r="F2885" s="4" t="s">
        <v>155</v>
      </c>
      <c r="G2885" s="4"/>
      <c r="H2885" s="4"/>
      <c r="I2885" s="4" t="s">
        <v>140</v>
      </c>
      <c r="J2885" s="4" t="s">
        <v>181</v>
      </c>
      <c r="K2885" s="4" t="s">
        <v>149</v>
      </c>
      <c r="L2885" s="4" t="s">
        <v>4176</v>
      </c>
      <c r="M2885" s="4" t="s">
        <v>174</v>
      </c>
      <c r="N2885" s="4" t="s">
        <v>156</v>
      </c>
      <c r="O2885" s="4" t="s">
        <v>120</v>
      </c>
      <c r="P2885" s="4" t="s">
        <v>4016</v>
      </c>
    </row>
    <row r="2886" spans="1:16" ht="15">
      <c r="A2886" s="4" t="s">
        <v>4017</v>
      </c>
      <c r="B2886" s="30">
        <v>39938</v>
      </c>
      <c r="C2886" s="4"/>
      <c r="D2886" s="4" t="s">
        <v>4182</v>
      </c>
      <c r="E2886" s="4" t="s">
        <v>170</v>
      </c>
      <c r="F2886" s="4" t="s">
        <v>155</v>
      </c>
      <c r="G2886" s="4"/>
      <c r="H2886" s="4"/>
      <c r="I2886" s="4" t="s">
        <v>139</v>
      </c>
      <c r="J2886" s="4" t="s">
        <v>181</v>
      </c>
      <c r="K2886" s="4" t="s">
        <v>143</v>
      </c>
      <c r="L2886" s="4" t="s">
        <v>4176</v>
      </c>
      <c r="M2886" s="4" t="s">
        <v>659</v>
      </c>
      <c r="N2886" s="4" t="s">
        <v>156</v>
      </c>
      <c r="O2886" s="4" t="s">
        <v>120</v>
      </c>
      <c r="P2886" s="4" t="s">
        <v>4018</v>
      </c>
    </row>
    <row r="2887" spans="1:16" ht="15">
      <c r="A2887" s="4" t="s">
        <v>4019</v>
      </c>
      <c r="B2887" s="30">
        <v>40041</v>
      </c>
      <c r="C2887" s="4"/>
      <c r="D2887" s="4" t="s">
        <v>193</v>
      </c>
      <c r="E2887" s="4" t="s">
        <v>170</v>
      </c>
      <c r="F2887" s="4" t="s">
        <v>155</v>
      </c>
      <c r="G2887" s="4">
        <v>5</v>
      </c>
      <c r="H2887" s="4">
        <v>3</v>
      </c>
      <c r="I2887" s="4" t="s">
        <v>140</v>
      </c>
      <c r="J2887" s="4" t="s">
        <v>178</v>
      </c>
      <c r="K2887" s="4" t="s">
        <v>144</v>
      </c>
      <c r="L2887" s="4" t="s">
        <v>4176</v>
      </c>
      <c r="M2887" s="4" t="s">
        <v>175</v>
      </c>
      <c r="N2887" s="4" t="s">
        <v>125</v>
      </c>
      <c r="O2887" s="4" t="s">
        <v>125</v>
      </c>
      <c r="P2887" s="4" t="s">
        <v>4020</v>
      </c>
    </row>
    <row r="2888" spans="1:16" ht="15">
      <c r="A2888" s="4" t="s">
        <v>4021</v>
      </c>
      <c r="B2888" s="30">
        <v>39986</v>
      </c>
      <c r="C2888" s="4"/>
      <c r="D2888" s="4" t="s">
        <v>196</v>
      </c>
      <c r="E2888" s="4" t="s">
        <v>170</v>
      </c>
      <c r="F2888" s="4" t="s">
        <v>155</v>
      </c>
      <c r="G2888" s="4"/>
      <c r="H2888" s="4"/>
      <c r="I2888" s="4" t="s">
        <v>139</v>
      </c>
      <c r="J2888" s="4" t="s">
        <v>447</v>
      </c>
      <c r="K2888" s="4" t="s">
        <v>144</v>
      </c>
      <c r="L2888" s="4" t="s">
        <v>4181</v>
      </c>
      <c r="M2888" s="4" t="s">
        <v>902</v>
      </c>
      <c r="N2888" s="4" t="s">
        <v>788</v>
      </c>
      <c r="O2888" s="4" t="s">
        <v>2715</v>
      </c>
      <c r="P2888" s="4"/>
    </row>
    <row r="2889" spans="1:16" ht="15">
      <c r="A2889" s="4" t="s">
        <v>4022</v>
      </c>
      <c r="B2889" s="30">
        <v>39973</v>
      </c>
      <c r="C2889" s="4" t="s">
        <v>383</v>
      </c>
      <c r="D2889" s="4" t="s">
        <v>195</v>
      </c>
      <c r="E2889" s="4" t="s">
        <v>170</v>
      </c>
      <c r="F2889" s="4" t="s">
        <v>155</v>
      </c>
      <c r="G2889" s="4"/>
      <c r="H2889" s="4"/>
      <c r="I2889" s="4" t="s">
        <v>139</v>
      </c>
      <c r="J2889" s="4" t="s">
        <v>182</v>
      </c>
      <c r="K2889" s="4" t="s">
        <v>142</v>
      </c>
      <c r="L2889" s="4" t="s">
        <v>4176</v>
      </c>
      <c r="M2889" s="4" t="s">
        <v>174</v>
      </c>
      <c r="N2889" s="4" t="s">
        <v>157</v>
      </c>
      <c r="O2889" s="4" t="s">
        <v>130</v>
      </c>
      <c r="P2889" s="4" t="s">
        <v>437</v>
      </c>
    </row>
    <row r="2890" spans="1:16" ht="15">
      <c r="A2890" s="4" t="s">
        <v>4023</v>
      </c>
      <c r="B2890" s="30">
        <v>40003</v>
      </c>
      <c r="C2890" s="4" t="s">
        <v>380</v>
      </c>
      <c r="D2890" s="4" t="s">
        <v>193</v>
      </c>
      <c r="E2890" s="4" t="s">
        <v>170</v>
      </c>
      <c r="F2890" s="4" t="s">
        <v>155</v>
      </c>
      <c r="G2890" s="4"/>
      <c r="H2890" s="4"/>
      <c r="I2890" s="4" t="s">
        <v>140</v>
      </c>
      <c r="J2890" s="4" t="s">
        <v>509</v>
      </c>
      <c r="K2890" s="4" t="s">
        <v>144</v>
      </c>
      <c r="L2890" s="4" t="s">
        <v>162</v>
      </c>
      <c r="M2890" s="4" t="s">
        <v>459</v>
      </c>
      <c r="N2890" s="4" t="s">
        <v>155</v>
      </c>
      <c r="O2890" s="4" t="s">
        <v>130</v>
      </c>
      <c r="P2890" s="4"/>
    </row>
    <row r="2891" spans="1:16" ht="15">
      <c r="A2891" s="4" t="s">
        <v>4024</v>
      </c>
      <c r="B2891" s="30">
        <v>40067</v>
      </c>
      <c r="C2891" s="4"/>
      <c r="D2891" s="4" t="s">
        <v>193</v>
      </c>
      <c r="E2891" s="4" t="s">
        <v>170</v>
      </c>
      <c r="F2891" s="4" t="s">
        <v>155</v>
      </c>
      <c r="G2891" s="4">
        <v>5</v>
      </c>
      <c r="H2891" s="4">
        <v>5</v>
      </c>
      <c r="I2891" s="4" t="s">
        <v>140</v>
      </c>
      <c r="J2891" s="4" t="s">
        <v>182</v>
      </c>
      <c r="K2891" s="4" t="s">
        <v>146</v>
      </c>
      <c r="L2891" s="4" t="s">
        <v>4176</v>
      </c>
      <c r="M2891" s="4" t="s">
        <v>867</v>
      </c>
      <c r="N2891" s="4" t="s">
        <v>157</v>
      </c>
      <c r="O2891" s="4" t="s">
        <v>127</v>
      </c>
      <c r="P2891" s="4" t="s">
        <v>153</v>
      </c>
    </row>
    <row r="2892" spans="1:16" ht="15">
      <c r="A2892" s="4" t="s">
        <v>4025</v>
      </c>
      <c r="B2892" s="30">
        <v>39920</v>
      </c>
      <c r="C2892" s="4" t="s">
        <v>380</v>
      </c>
      <c r="D2892" s="4" t="s">
        <v>4179</v>
      </c>
      <c r="E2892" s="4" t="s">
        <v>170</v>
      </c>
      <c r="F2892" s="4" t="s">
        <v>155</v>
      </c>
      <c r="G2892" s="4"/>
      <c r="H2892" s="4"/>
      <c r="I2892" s="4" t="s">
        <v>139</v>
      </c>
      <c r="J2892" s="4" t="s">
        <v>182</v>
      </c>
      <c r="K2892" s="4" t="s">
        <v>147</v>
      </c>
      <c r="L2892" s="4" t="s">
        <v>162</v>
      </c>
      <c r="M2892" s="4" t="s">
        <v>175</v>
      </c>
      <c r="N2892" s="4" t="s">
        <v>155</v>
      </c>
      <c r="O2892" s="4" t="s">
        <v>454</v>
      </c>
      <c r="P2892" s="4"/>
    </row>
    <row r="2893" spans="1:16" ht="15">
      <c r="A2893" s="4" t="s">
        <v>4026</v>
      </c>
      <c r="B2893" s="30">
        <v>39995</v>
      </c>
      <c r="C2893" s="4"/>
      <c r="D2893" s="4" t="s">
        <v>193</v>
      </c>
      <c r="E2893" s="4" t="s">
        <v>170</v>
      </c>
      <c r="F2893" s="4" t="s">
        <v>155</v>
      </c>
      <c r="G2893" s="4"/>
      <c r="H2893" s="4">
        <v>4</v>
      </c>
      <c r="I2893" s="4" t="s">
        <v>140</v>
      </c>
      <c r="J2893" s="4" t="s">
        <v>479</v>
      </c>
      <c r="K2893" s="4" t="s">
        <v>142</v>
      </c>
      <c r="L2893" s="4" t="s">
        <v>4181</v>
      </c>
      <c r="M2893" s="4" t="s">
        <v>415</v>
      </c>
      <c r="N2893" s="4" t="s">
        <v>155</v>
      </c>
      <c r="O2893" s="4" t="s">
        <v>125</v>
      </c>
      <c r="P2893" s="4"/>
    </row>
    <row r="2894" spans="1:16" ht="15">
      <c r="A2894" s="4" t="s">
        <v>4027</v>
      </c>
      <c r="B2894" s="30">
        <v>39919</v>
      </c>
      <c r="C2894" s="4" t="s">
        <v>496</v>
      </c>
      <c r="D2894" s="4" t="s">
        <v>4178</v>
      </c>
      <c r="E2894" s="4" t="s">
        <v>170</v>
      </c>
      <c r="F2894" s="4" t="s">
        <v>155</v>
      </c>
      <c r="G2894" s="4"/>
      <c r="H2894" s="4"/>
      <c r="I2894" s="4" t="s">
        <v>139</v>
      </c>
      <c r="J2894" s="4" t="s">
        <v>479</v>
      </c>
      <c r="K2894" s="4" t="s">
        <v>147</v>
      </c>
      <c r="L2894" s="4" t="s">
        <v>4181</v>
      </c>
      <c r="M2894" s="4" t="s">
        <v>173</v>
      </c>
      <c r="N2894" s="4" t="s">
        <v>155</v>
      </c>
      <c r="O2894" s="4" t="s">
        <v>125</v>
      </c>
      <c r="P2894" s="4"/>
    </row>
    <row r="2895" spans="1:16" ht="15">
      <c r="A2895" s="4" t="s">
        <v>4028</v>
      </c>
      <c r="B2895" s="30">
        <v>40044</v>
      </c>
      <c r="C2895" s="4"/>
      <c r="D2895" s="4" t="s">
        <v>193</v>
      </c>
      <c r="E2895" s="4" t="s">
        <v>170</v>
      </c>
      <c r="F2895" s="4" t="s">
        <v>155</v>
      </c>
      <c r="G2895" s="4">
        <v>5</v>
      </c>
      <c r="H2895" s="4">
        <v>5</v>
      </c>
      <c r="I2895" s="4" t="s">
        <v>140</v>
      </c>
      <c r="J2895" s="4" t="s">
        <v>186</v>
      </c>
      <c r="K2895" s="4" t="s">
        <v>144</v>
      </c>
      <c r="L2895" s="4" t="s">
        <v>4176</v>
      </c>
      <c r="M2895" s="4" t="s">
        <v>174</v>
      </c>
      <c r="N2895" s="4" t="s">
        <v>160</v>
      </c>
      <c r="O2895" s="4" t="s">
        <v>126</v>
      </c>
      <c r="P2895" s="4" t="s">
        <v>900</v>
      </c>
    </row>
    <row r="2896" spans="1:16" ht="15">
      <c r="A2896" s="4" t="s">
        <v>4029</v>
      </c>
      <c r="B2896" s="30">
        <v>40055</v>
      </c>
      <c r="C2896" s="4"/>
      <c r="D2896" s="4" t="s">
        <v>193</v>
      </c>
      <c r="E2896" s="4" t="s">
        <v>170</v>
      </c>
      <c r="F2896" s="4" t="s">
        <v>155</v>
      </c>
      <c r="G2896" s="4">
        <v>5</v>
      </c>
      <c r="H2896" s="4">
        <v>5</v>
      </c>
      <c r="I2896" s="4" t="s">
        <v>140</v>
      </c>
      <c r="J2896" s="4" t="s">
        <v>183</v>
      </c>
      <c r="K2896" s="4" t="s">
        <v>148</v>
      </c>
      <c r="L2896" s="4" t="s">
        <v>4181</v>
      </c>
      <c r="M2896" s="4" t="s">
        <v>173</v>
      </c>
      <c r="N2896" s="4" t="s">
        <v>155</v>
      </c>
      <c r="O2896" s="4" t="s">
        <v>128</v>
      </c>
      <c r="P2896" s="4"/>
    </row>
    <row r="2897" spans="1:16" ht="15">
      <c r="A2897" s="4" t="s">
        <v>4030</v>
      </c>
      <c r="B2897" s="30">
        <v>39956</v>
      </c>
      <c r="C2897" s="4"/>
      <c r="D2897" s="4" t="s">
        <v>193</v>
      </c>
      <c r="E2897" s="4" t="s">
        <v>170</v>
      </c>
      <c r="F2897" s="4" t="s">
        <v>155</v>
      </c>
      <c r="G2897" s="4"/>
      <c r="H2897" s="4"/>
      <c r="I2897" s="4" t="s">
        <v>140</v>
      </c>
      <c r="J2897" s="4" t="s">
        <v>181</v>
      </c>
      <c r="K2897" s="4" t="s">
        <v>146</v>
      </c>
      <c r="L2897" s="4" t="s">
        <v>4176</v>
      </c>
      <c r="M2897" s="4" t="s">
        <v>174</v>
      </c>
      <c r="N2897" s="4" t="s">
        <v>157</v>
      </c>
      <c r="O2897" s="4" t="s">
        <v>130</v>
      </c>
      <c r="P2897" s="4" t="s">
        <v>437</v>
      </c>
    </row>
    <row r="2898" spans="1:16" ht="15">
      <c r="A2898" s="4" t="s">
        <v>4031</v>
      </c>
      <c r="B2898" s="30">
        <v>40035</v>
      </c>
      <c r="C2898" s="4"/>
      <c r="D2898" s="4" t="s">
        <v>195</v>
      </c>
      <c r="E2898" s="4" t="s">
        <v>170</v>
      </c>
      <c r="F2898" s="4" t="s">
        <v>155</v>
      </c>
      <c r="G2898" s="4">
        <v>5</v>
      </c>
      <c r="H2898" s="4">
        <v>4</v>
      </c>
      <c r="I2898" s="4" t="s">
        <v>139</v>
      </c>
      <c r="J2898" s="4" t="s">
        <v>528</v>
      </c>
      <c r="K2898" s="4" t="s">
        <v>142</v>
      </c>
      <c r="L2898" s="4" t="s">
        <v>4176</v>
      </c>
      <c r="M2898" s="4" t="s">
        <v>1984</v>
      </c>
      <c r="N2898" s="4" t="s">
        <v>159</v>
      </c>
      <c r="O2898" s="4" t="s">
        <v>123</v>
      </c>
      <c r="P2898" s="4" t="s">
        <v>123</v>
      </c>
    </row>
    <row r="2899" spans="1:16" ht="15">
      <c r="A2899" s="4" t="s">
        <v>4032</v>
      </c>
      <c r="B2899" s="30">
        <v>39996</v>
      </c>
      <c r="C2899" s="4" t="s">
        <v>9</v>
      </c>
      <c r="D2899" s="4" t="s">
        <v>196</v>
      </c>
      <c r="E2899" s="4" t="s">
        <v>170</v>
      </c>
      <c r="F2899" s="4" t="s">
        <v>155</v>
      </c>
      <c r="G2899" s="4"/>
      <c r="H2899" s="4">
        <v>5</v>
      </c>
      <c r="I2899" s="4" t="s">
        <v>139</v>
      </c>
      <c r="J2899" s="4" t="s">
        <v>528</v>
      </c>
      <c r="K2899" s="4" t="s">
        <v>145</v>
      </c>
      <c r="L2899" s="4" t="s">
        <v>4176</v>
      </c>
      <c r="M2899" s="4" t="s">
        <v>174</v>
      </c>
      <c r="N2899" s="4" t="s">
        <v>157</v>
      </c>
      <c r="O2899" s="4" t="s">
        <v>124</v>
      </c>
      <c r="P2899" s="4" t="s">
        <v>885</v>
      </c>
    </row>
    <row r="2900" spans="1:16" ht="15">
      <c r="A2900" s="4" t="s">
        <v>4033</v>
      </c>
      <c r="B2900" s="30">
        <v>40009</v>
      </c>
      <c r="C2900" s="4"/>
      <c r="D2900" s="4" t="s">
        <v>195</v>
      </c>
      <c r="E2900" s="4" t="s">
        <v>170</v>
      </c>
      <c r="F2900" s="4" t="s">
        <v>155</v>
      </c>
      <c r="G2900" s="4">
        <v>5</v>
      </c>
      <c r="H2900" s="4">
        <v>5</v>
      </c>
      <c r="I2900" s="4" t="s">
        <v>139</v>
      </c>
      <c r="J2900" s="4" t="s">
        <v>186</v>
      </c>
      <c r="K2900" s="4" t="s">
        <v>145</v>
      </c>
      <c r="L2900" s="4" t="s">
        <v>4176</v>
      </c>
      <c r="M2900" s="4" t="s">
        <v>174</v>
      </c>
      <c r="N2900" s="4" t="s">
        <v>156</v>
      </c>
      <c r="O2900" s="4" t="s">
        <v>120</v>
      </c>
      <c r="P2900" s="4" t="s">
        <v>1087</v>
      </c>
    </row>
    <row r="2901" spans="1:16" ht="15">
      <c r="A2901" s="4" t="s">
        <v>4034</v>
      </c>
      <c r="B2901" s="30">
        <v>39915</v>
      </c>
      <c r="C2901" s="4"/>
      <c r="D2901" s="4" t="s">
        <v>4182</v>
      </c>
      <c r="E2901" s="4" t="s">
        <v>170</v>
      </c>
      <c r="F2901" s="4" t="s">
        <v>155</v>
      </c>
      <c r="G2901" s="4"/>
      <c r="H2901" s="4"/>
      <c r="I2901" s="4" t="s">
        <v>139</v>
      </c>
      <c r="J2901" s="4" t="s">
        <v>186</v>
      </c>
      <c r="K2901" s="4" t="s">
        <v>142</v>
      </c>
      <c r="L2901" s="4" t="s">
        <v>4181</v>
      </c>
      <c r="M2901" s="4"/>
      <c r="N2901" s="4" t="s">
        <v>155</v>
      </c>
      <c r="O2901" s="4" t="s">
        <v>125</v>
      </c>
      <c r="P2901" s="4"/>
    </row>
    <row r="2902" spans="1:16" ht="15">
      <c r="A2902" s="4" t="s">
        <v>4035</v>
      </c>
      <c r="B2902" s="30">
        <v>40031</v>
      </c>
      <c r="C2902" s="4"/>
      <c r="D2902" s="4" t="s">
        <v>193</v>
      </c>
      <c r="E2902" s="4" t="s">
        <v>170</v>
      </c>
      <c r="F2902" s="4" t="s">
        <v>155</v>
      </c>
      <c r="G2902" s="4">
        <v>5</v>
      </c>
      <c r="H2902" s="4">
        <v>5</v>
      </c>
      <c r="I2902" s="4" t="s">
        <v>140</v>
      </c>
      <c r="J2902" s="4" t="s">
        <v>186</v>
      </c>
      <c r="K2902" s="4" t="s">
        <v>143</v>
      </c>
      <c r="L2902" s="4" t="s">
        <v>162</v>
      </c>
      <c r="M2902" s="4" t="s">
        <v>176</v>
      </c>
      <c r="N2902" s="4" t="s">
        <v>155</v>
      </c>
      <c r="O2902" s="4" t="s">
        <v>129</v>
      </c>
      <c r="P2902" s="4"/>
    </row>
    <row r="2903" spans="1:16" ht="15">
      <c r="A2903" s="4" t="s">
        <v>4036</v>
      </c>
      <c r="B2903" s="30">
        <v>39909</v>
      </c>
      <c r="C2903" s="4" t="s">
        <v>9</v>
      </c>
      <c r="D2903" s="4" t="s">
        <v>4178</v>
      </c>
      <c r="E2903" s="4" t="s">
        <v>170</v>
      </c>
      <c r="F2903" s="4" t="s">
        <v>155</v>
      </c>
      <c r="G2903" s="4"/>
      <c r="H2903" s="4"/>
      <c r="I2903" s="4" t="s">
        <v>139</v>
      </c>
      <c r="J2903" s="4" t="s">
        <v>178</v>
      </c>
      <c r="K2903" s="4" t="s">
        <v>145</v>
      </c>
      <c r="L2903" s="4" t="s">
        <v>165</v>
      </c>
      <c r="M2903" s="4" t="s">
        <v>4037</v>
      </c>
      <c r="N2903" s="4" t="s">
        <v>158</v>
      </c>
      <c r="O2903" s="4" t="s">
        <v>122</v>
      </c>
      <c r="P2903" s="4"/>
    </row>
    <row r="2904" spans="1:16" ht="15">
      <c r="A2904" s="4" t="s">
        <v>4038</v>
      </c>
      <c r="B2904" s="30">
        <v>40066</v>
      </c>
      <c r="C2904" s="4" t="s">
        <v>9</v>
      </c>
      <c r="D2904" s="4" t="s">
        <v>195</v>
      </c>
      <c r="E2904" s="4" t="s">
        <v>170</v>
      </c>
      <c r="F2904" s="4" t="s">
        <v>155</v>
      </c>
      <c r="G2904" s="4">
        <v>5</v>
      </c>
      <c r="H2904" s="4">
        <v>5</v>
      </c>
      <c r="I2904" s="4" t="s">
        <v>139</v>
      </c>
      <c r="J2904" s="4" t="s">
        <v>178</v>
      </c>
      <c r="K2904" s="4" t="s">
        <v>151</v>
      </c>
      <c r="L2904" s="4" t="s">
        <v>4176</v>
      </c>
      <c r="M2904" s="4" t="s">
        <v>506</v>
      </c>
      <c r="N2904" s="4" t="s">
        <v>156</v>
      </c>
      <c r="O2904" s="4" t="s">
        <v>120</v>
      </c>
      <c r="P2904" s="4" t="s">
        <v>991</v>
      </c>
    </row>
    <row r="2905" spans="1:16" ht="15">
      <c r="A2905" s="4" t="s">
        <v>4039</v>
      </c>
      <c r="B2905" s="30">
        <v>40030</v>
      </c>
      <c r="C2905" s="4"/>
      <c r="D2905" s="4" t="s">
        <v>193</v>
      </c>
      <c r="E2905" s="4" t="s">
        <v>170</v>
      </c>
      <c r="F2905" s="4" t="s">
        <v>155</v>
      </c>
      <c r="G2905" s="4">
        <v>5</v>
      </c>
      <c r="H2905" s="4">
        <v>5</v>
      </c>
      <c r="I2905" s="4" t="s">
        <v>140</v>
      </c>
      <c r="J2905" s="4" t="s">
        <v>178</v>
      </c>
      <c r="K2905" s="4" t="s">
        <v>148</v>
      </c>
      <c r="L2905" s="4" t="s">
        <v>4176</v>
      </c>
      <c r="M2905" s="4" t="s">
        <v>4040</v>
      </c>
      <c r="N2905" s="4" t="s">
        <v>540</v>
      </c>
      <c r="O2905" s="4" t="s">
        <v>123</v>
      </c>
      <c r="P2905" s="4" t="s">
        <v>123</v>
      </c>
    </row>
    <row r="2906" spans="1:16" ht="15">
      <c r="A2906" s="4" t="s">
        <v>4041</v>
      </c>
      <c r="B2906" s="30">
        <v>39976</v>
      </c>
      <c r="C2906" s="4" t="s">
        <v>383</v>
      </c>
      <c r="D2906" s="4" t="s">
        <v>193</v>
      </c>
      <c r="E2906" s="4" t="s">
        <v>170</v>
      </c>
      <c r="F2906" s="4" t="s">
        <v>155</v>
      </c>
      <c r="G2906" s="4"/>
      <c r="H2906" s="4"/>
      <c r="I2906" s="4" t="s">
        <v>140</v>
      </c>
      <c r="J2906" s="4" t="s">
        <v>178</v>
      </c>
      <c r="K2906" s="4" t="s">
        <v>145</v>
      </c>
      <c r="L2906" s="4" t="s">
        <v>4181</v>
      </c>
      <c r="M2906" s="4" t="s">
        <v>173</v>
      </c>
      <c r="N2906" s="4" t="s">
        <v>155</v>
      </c>
      <c r="O2906" s="4" t="s">
        <v>692</v>
      </c>
      <c r="P2906" s="4"/>
    </row>
    <row r="2907" spans="1:16" ht="15">
      <c r="A2907" s="4" t="s">
        <v>4042</v>
      </c>
      <c r="B2907" s="30">
        <v>39930</v>
      </c>
      <c r="C2907" s="4"/>
      <c r="D2907" s="4" t="s">
        <v>4182</v>
      </c>
      <c r="E2907" s="4" t="s">
        <v>170</v>
      </c>
      <c r="F2907" s="4" t="s">
        <v>155</v>
      </c>
      <c r="G2907" s="4"/>
      <c r="H2907" s="4"/>
      <c r="I2907" s="4" t="s">
        <v>139</v>
      </c>
      <c r="J2907" s="4" t="s">
        <v>178</v>
      </c>
      <c r="K2907" s="4" t="s">
        <v>150</v>
      </c>
      <c r="L2907" s="4" t="s">
        <v>162</v>
      </c>
      <c r="M2907" s="4" t="s">
        <v>176</v>
      </c>
      <c r="N2907" s="4" t="s">
        <v>155</v>
      </c>
      <c r="O2907" s="4" t="s">
        <v>439</v>
      </c>
      <c r="P2907" s="4"/>
    </row>
    <row r="2908" spans="1:16" ht="15">
      <c r="A2908" s="4" t="s">
        <v>4043</v>
      </c>
      <c r="B2908" s="30">
        <v>40014</v>
      </c>
      <c r="C2908" s="4"/>
      <c r="D2908" s="4" t="s">
        <v>193</v>
      </c>
      <c r="E2908" s="4" t="s">
        <v>170</v>
      </c>
      <c r="F2908" s="4" t="s">
        <v>155</v>
      </c>
      <c r="G2908" s="4">
        <v>1</v>
      </c>
      <c r="H2908" s="4">
        <v>4</v>
      </c>
      <c r="I2908" s="4" t="s">
        <v>140</v>
      </c>
      <c r="J2908" s="4" t="s">
        <v>186</v>
      </c>
      <c r="K2908" s="4" t="s">
        <v>144</v>
      </c>
      <c r="L2908" s="4" t="s">
        <v>4176</v>
      </c>
      <c r="M2908" s="4" t="s">
        <v>174</v>
      </c>
      <c r="N2908" s="4" t="s">
        <v>157</v>
      </c>
      <c r="O2908" s="4" t="s">
        <v>127</v>
      </c>
      <c r="P2908" s="4" t="s">
        <v>1005</v>
      </c>
    </row>
    <row r="2909" spans="1:16" ht="15">
      <c r="A2909" s="4" t="s">
        <v>4044</v>
      </c>
      <c r="B2909" s="30">
        <v>40023</v>
      </c>
      <c r="C2909" s="4" t="s">
        <v>383</v>
      </c>
      <c r="D2909" s="4" t="s">
        <v>195</v>
      </c>
      <c r="E2909" s="4" t="s">
        <v>170</v>
      </c>
      <c r="F2909" s="4" t="s">
        <v>155</v>
      </c>
      <c r="G2909" s="4">
        <v>1</v>
      </c>
      <c r="H2909" s="4">
        <v>4</v>
      </c>
      <c r="I2909" s="4" t="s">
        <v>139</v>
      </c>
      <c r="J2909" s="4" t="s">
        <v>191</v>
      </c>
      <c r="K2909" s="4" t="s">
        <v>144</v>
      </c>
      <c r="L2909" s="4" t="s">
        <v>162</v>
      </c>
      <c r="M2909" s="4" t="s">
        <v>176</v>
      </c>
      <c r="N2909" s="4" t="s">
        <v>155</v>
      </c>
      <c r="O2909" s="4" t="s">
        <v>129</v>
      </c>
      <c r="P2909" s="4"/>
    </row>
    <row r="2910" spans="1:16" ht="15">
      <c r="A2910" s="4" t="s">
        <v>4045</v>
      </c>
      <c r="B2910" s="30">
        <v>39997</v>
      </c>
      <c r="C2910" s="4" t="s">
        <v>496</v>
      </c>
      <c r="D2910" s="4" t="s">
        <v>193</v>
      </c>
      <c r="E2910" s="4" t="s">
        <v>170</v>
      </c>
      <c r="F2910" s="4" t="s">
        <v>155</v>
      </c>
      <c r="G2910" s="4"/>
      <c r="H2910" s="4">
        <v>3</v>
      </c>
      <c r="I2910" s="4" t="s">
        <v>140</v>
      </c>
      <c r="J2910" s="4" t="s">
        <v>534</v>
      </c>
      <c r="K2910" s="4" t="s">
        <v>144</v>
      </c>
      <c r="L2910" s="4" t="s">
        <v>4176</v>
      </c>
      <c r="M2910" s="4" t="s">
        <v>174</v>
      </c>
      <c r="N2910" s="4" t="s">
        <v>159</v>
      </c>
      <c r="O2910" s="4" t="s">
        <v>123</v>
      </c>
      <c r="P2910" s="4" t="s">
        <v>123</v>
      </c>
    </row>
    <row r="2911" spans="1:16" ht="15">
      <c r="A2911" s="4" t="s">
        <v>4046</v>
      </c>
      <c r="B2911" s="30">
        <v>40018</v>
      </c>
      <c r="C2911" s="4"/>
      <c r="D2911" s="4" t="s">
        <v>193</v>
      </c>
      <c r="E2911" s="4" t="s">
        <v>170</v>
      </c>
      <c r="F2911" s="4" t="s">
        <v>155</v>
      </c>
      <c r="G2911" s="4">
        <v>5</v>
      </c>
      <c r="H2911" s="4">
        <v>4</v>
      </c>
      <c r="I2911" s="4" t="s">
        <v>140</v>
      </c>
      <c r="J2911" s="4" t="s">
        <v>191</v>
      </c>
      <c r="K2911" s="4" t="s">
        <v>145</v>
      </c>
      <c r="L2911" s="4" t="s">
        <v>162</v>
      </c>
      <c r="M2911" s="4"/>
      <c r="N2911" s="4" t="s">
        <v>155</v>
      </c>
      <c r="O2911" s="4" t="s">
        <v>130</v>
      </c>
      <c r="P2911" s="4"/>
    </row>
    <row r="2912" spans="1:16" ht="15">
      <c r="A2912" s="4" t="s">
        <v>4047</v>
      </c>
      <c r="B2912" s="30">
        <v>40026</v>
      </c>
      <c r="C2912" s="4"/>
      <c r="D2912" s="4" t="s">
        <v>193</v>
      </c>
      <c r="E2912" s="4" t="s">
        <v>170</v>
      </c>
      <c r="F2912" s="4" t="s">
        <v>155</v>
      </c>
      <c r="G2912" s="4">
        <v>5</v>
      </c>
      <c r="H2912" s="4">
        <v>5</v>
      </c>
      <c r="I2912" s="4" t="s">
        <v>140</v>
      </c>
      <c r="J2912" s="4" t="s">
        <v>181</v>
      </c>
      <c r="K2912" s="4" t="s">
        <v>144</v>
      </c>
      <c r="L2912" s="4" t="s">
        <v>4176</v>
      </c>
      <c r="M2912" s="4" t="s">
        <v>3072</v>
      </c>
      <c r="N2912" s="4" t="s">
        <v>157</v>
      </c>
      <c r="O2912" s="4" t="s">
        <v>127</v>
      </c>
      <c r="P2912" s="4" t="s">
        <v>153</v>
      </c>
    </row>
    <row r="2913" spans="1:16" ht="15">
      <c r="A2913" s="4" t="s">
        <v>4048</v>
      </c>
      <c r="B2913" s="30">
        <v>40037</v>
      </c>
      <c r="C2913" s="4" t="s">
        <v>496</v>
      </c>
      <c r="D2913" s="4" t="s">
        <v>196</v>
      </c>
      <c r="E2913" s="4" t="s">
        <v>170</v>
      </c>
      <c r="F2913" s="4" t="s">
        <v>155</v>
      </c>
      <c r="G2913" s="4">
        <v>5</v>
      </c>
      <c r="H2913" s="4">
        <v>2</v>
      </c>
      <c r="I2913" s="4" t="s">
        <v>139</v>
      </c>
      <c r="J2913" s="4" t="s">
        <v>184</v>
      </c>
      <c r="K2913" s="4" t="s">
        <v>145</v>
      </c>
      <c r="L2913" s="4" t="s">
        <v>4176</v>
      </c>
      <c r="M2913" s="4" t="s">
        <v>802</v>
      </c>
      <c r="N2913" s="4" t="s">
        <v>398</v>
      </c>
      <c r="O2913" s="4" t="s">
        <v>123</v>
      </c>
      <c r="P2913" s="4" t="s">
        <v>123</v>
      </c>
    </row>
    <row r="2914" spans="1:16" ht="15">
      <c r="A2914" s="4" t="s">
        <v>4049</v>
      </c>
      <c r="B2914" s="30">
        <v>39953</v>
      </c>
      <c r="C2914" s="4" t="s">
        <v>9</v>
      </c>
      <c r="D2914" s="4" t="s">
        <v>193</v>
      </c>
      <c r="E2914" s="4" t="s">
        <v>170</v>
      </c>
      <c r="F2914" s="4" t="s">
        <v>155</v>
      </c>
      <c r="G2914" s="4"/>
      <c r="H2914" s="4"/>
      <c r="I2914" s="4" t="s">
        <v>140</v>
      </c>
      <c r="J2914" s="4" t="s">
        <v>184</v>
      </c>
      <c r="K2914" s="4" t="s">
        <v>147</v>
      </c>
      <c r="L2914" s="4" t="s">
        <v>4181</v>
      </c>
      <c r="M2914" s="4" t="s">
        <v>173</v>
      </c>
      <c r="N2914" s="4" t="s">
        <v>155</v>
      </c>
      <c r="O2914" s="4" t="s">
        <v>124</v>
      </c>
      <c r="P2914" s="4"/>
    </row>
    <row r="2915" spans="1:16" ht="15">
      <c r="A2915" s="4" t="s">
        <v>4050</v>
      </c>
      <c r="B2915" s="30">
        <v>39966</v>
      </c>
      <c r="C2915" s="4"/>
      <c r="D2915" s="4" t="s">
        <v>193</v>
      </c>
      <c r="E2915" s="4" t="s">
        <v>170</v>
      </c>
      <c r="F2915" s="4" t="s">
        <v>155</v>
      </c>
      <c r="G2915" s="4"/>
      <c r="H2915" s="4"/>
      <c r="I2915" s="4" t="s">
        <v>140</v>
      </c>
      <c r="J2915" s="4" t="s">
        <v>178</v>
      </c>
      <c r="K2915" s="4" t="s">
        <v>149</v>
      </c>
      <c r="L2915" s="4" t="s">
        <v>162</v>
      </c>
      <c r="M2915" s="4"/>
      <c r="N2915" s="4" t="s">
        <v>161</v>
      </c>
      <c r="O2915" s="4" t="s">
        <v>571</v>
      </c>
      <c r="P2915" s="4"/>
    </row>
    <row r="2916" spans="1:16" ht="15">
      <c r="A2916" s="4" t="s">
        <v>4051</v>
      </c>
      <c r="B2916" s="30">
        <v>39966</v>
      </c>
      <c r="C2916" s="4"/>
      <c r="D2916" s="4" t="s">
        <v>194</v>
      </c>
      <c r="E2916" s="4" t="s">
        <v>170</v>
      </c>
      <c r="F2916" s="4" t="s">
        <v>155</v>
      </c>
      <c r="G2916" s="4"/>
      <c r="H2916" s="4"/>
      <c r="I2916" s="4" t="s">
        <v>139</v>
      </c>
      <c r="J2916" s="4" t="s">
        <v>185</v>
      </c>
      <c r="K2916" s="4" t="s">
        <v>144</v>
      </c>
      <c r="L2916" s="4" t="s">
        <v>4181</v>
      </c>
      <c r="M2916" s="4" t="s">
        <v>3952</v>
      </c>
      <c r="N2916" s="4" t="s">
        <v>155</v>
      </c>
      <c r="O2916" s="4" t="s">
        <v>124</v>
      </c>
      <c r="P2916" s="4"/>
    </row>
    <row r="2917" spans="1:16" ht="15">
      <c r="A2917" s="4" t="s">
        <v>4052</v>
      </c>
      <c r="B2917" s="30">
        <v>40074</v>
      </c>
      <c r="C2917" s="4"/>
      <c r="D2917" s="4" t="s">
        <v>197</v>
      </c>
      <c r="E2917" s="4" t="s">
        <v>170</v>
      </c>
      <c r="F2917" s="4" t="s">
        <v>155</v>
      </c>
      <c r="G2917" s="4">
        <v>5</v>
      </c>
      <c r="H2917" s="4">
        <v>5</v>
      </c>
      <c r="I2917" s="4" t="s">
        <v>139</v>
      </c>
      <c r="J2917" s="4" t="s">
        <v>528</v>
      </c>
      <c r="K2917" s="4" t="s">
        <v>143</v>
      </c>
      <c r="L2917" s="4" t="s">
        <v>4176</v>
      </c>
      <c r="M2917" s="4" t="s">
        <v>174</v>
      </c>
      <c r="N2917" s="4" t="s">
        <v>159</v>
      </c>
      <c r="O2917" s="4" t="s">
        <v>123</v>
      </c>
      <c r="P2917" s="4" t="s">
        <v>123</v>
      </c>
    </row>
    <row r="2918" spans="1:16" ht="15">
      <c r="A2918" s="4" t="s">
        <v>4053</v>
      </c>
      <c r="B2918" s="30">
        <v>40001</v>
      </c>
      <c r="C2918" s="4"/>
      <c r="D2918" s="4" t="s">
        <v>193</v>
      </c>
      <c r="E2918" s="4" t="s">
        <v>170</v>
      </c>
      <c r="F2918" s="4" t="s">
        <v>155</v>
      </c>
      <c r="G2918" s="4"/>
      <c r="H2918" s="4">
        <v>3</v>
      </c>
      <c r="I2918" s="4" t="s">
        <v>140</v>
      </c>
      <c r="J2918" s="4" t="s">
        <v>528</v>
      </c>
      <c r="K2918" s="4" t="s">
        <v>142</v>
      </c>
      <c r="L2918" s="4" t="s">
        <v>4176</v>
      </c>
      <c r="M2918" s="4" t="s">
        <v>174</v>
      </c>
      <c r="N2918" s="4" t="s">
        <v>157</v>
      </c>
      <c r="O2918" s="4" t="s">
        <v>434</v>
      </c>
      <c r="P2918" s="4" t="s">
        <v>435</v>
      </c>
    </row>
    <row r="2919" spans="1:16" ht="15">
      <c r="A2919" s="4" t="s">
        <v>4054</v>
      </c>
      <c r="B2919" s="30">
        <v>40075</v>
      </c>
      <c r="C2919" s="4"/>
      <c r="D2919" s="4" t="s">
        <v>193</v>
      </c>
      <c r="E2919" s="4" t="s">
        <v>170</v>
      </c>
      <c r="F2919" s="4" t="s">
        <v>155</v>
      </c>
      <c r="G2919" s="4">
        <v>5</v>
      </c>
      <c r="H2919" s="4">
        <v>3</v>
      </c>
      <c r="I2919" s="4" t="s">
        <v>140</v>
      </c>
      <c r="J2919" s="4" t="s">
        <v>528</v>
      </c>
      <c r="K2919" s="4" t="s">
        <v>146</v>
      </c>
      <c r="L2919" s="4" t="s">
        <v>4181</v>
      </c>
      <c r="M2919" s="4" t="s">
        <v>1308</v>
      </c>
      <c r="N2919" s="4" t="s">
        <v>155</v>
      </c>
      <c r="O2919" s="4" t="s">
        <v>510</v>
      </c>
      <c r="P2919" s="4"/>
    </row>
    <row r="2920" spans="1:16" ht="15">
      <c r="A2920" s="4" t="s">
        <v>4055</v>
      </c>
      <c r="B2920" s="30">
        <v>40041</v>
      </c>
      <c r="C2920" s="4"/>
      <c r="D2920" s="4" t="s">
        <v>193</v>
      </c>
      <c r="E2920" s="4" t="s">
        <v>170</v>
      </c>
      <c r="F2920" s="4" t="s">
        <v>155</v>
      </c>
      <c r="G2920" s="4">
        <v>5</v>
      </c>
      <c r="H2920" s="4">
        <v>5</v>
      </c>
      <c r="I2920" s="4" t="s">
        <v>140</v>
      </c>
      <c r="J2920" s="4" t="s">
        <v>384</v>
      </c>
      <c r="K2920" s="4" t="s">
        <v>146</v>
      </c>
      <c r="L2920" s="4" t="s">
        <v>4176</v>
      </c>
      <c r="M2920" s="4" t="s">
        <v>1607</v>
      </c>
      <c r="N2920" s="4" t="s">
        <v>157</v>
      </c>
      <c r="O2920" s="4" t="s">
        <v>127</v>
      </c>
      <c r="P2920" s="4" t="s">
        <v>153</v>
      </c>
    </row>
    <row r="2921" spans="1:16" ht="15">
      <c r="A2921" s="4" t="s">
        <v>4056</v>
      </c>
      <c r="B2921" s="30">
        <v>40084</v>
      </c>
      <c r="C2921" s="4"/>
      <c r="D2921" s="4" t="s">
        <v>197</v>
      </c>
      <c r="E2921" s="4" t="s">
        <v>170</v>
      </c>
      <c r="F2921" s="4" t="s">
        <v>155</v>
      </c>
      <c r="G2921" s="4">
        <v>5</v>
      </c>
      <c r="H2921" s="4">
        <v>4</v>
      </c>
      <c r="I2921" s="4" t="s">
        <v>139</v>
      </c>
      <c r="J2921" s="4" t="s">
        <v>178</v>
      </c>
      <c r="K2921" s="4" t="s">
        <v>145</v>
      </c>
      <c r="L2921" s="4" t="s">
        <v>4176</v>
      </c>
      <c r="M2921" s="4" t="s">
        <v>174</v>
      </c>
      <c r="N2921" s="4" t="s">
        <v>4057</v>
      </c>
      <c r="O2921" s="4" t="s">
        <v>4058</v>
      </c>
      <c r="P2921" s="4" t="s">
        <v>4059</v>
      </c>
    </row>
    <row r="2922" spans="1:16" ht="15">
      <c r="A2922" s="4" t="s">
        <v>4060</v>
      </c>
      <c r="B2922" s="30">
        <v>40065</v>
      </c>
      <c r="C2922" s="4"/>
      <c r="D2922" s="4" t="s">
        <v>197</v>
      </c>
      <c r="E2922" s="4" t="s">
        <v>170</v>
      </c>
      <c r="F2922" s="4" t="s">
        <v>155</v>
      </c>
      <c r="G2922" s="4">
        <v>3</v>
      </c>
      <c r="H2922" s="4">
        <v>3</v>
      </c>
      <c r="I2922" s="4" t="s">
        <v>139</v>
      </c>
      <c r="J2922" s="4" t="s">
        <v>181</v>
      </c>
      <c r="K2922" s="4" t="s">
        <v>144</v>
      </c>
      <c r="L2922" s="4" t="s">
        <v>162</v>
      </c>
      <c r="M2922" s="4"/>
      <c r="N2922" s="4" t="s">
        <v>155</v>
      </c>
      <c r="O2922" s="4" t="s">
        <v>127</v>
      </c>
      <c r="P2922" s="4"/>
    </row>
    <row r="2923" spans="1:16" ht="15">
      <c r="A2923" s="4" t="s">
        <v>4061</v>
      </c>
      <c r="B2923" s="30">
        <v>39961</v>
      </c>
      <c r="C2923" s="4"/>
      <c r="D2923" s="4" t="s">
        <v>193</v>
      </c>
      <c r="E2923" s="4" t="s">
        <v>170</v>
      </c>
      <c r="F2923" s="4" t="s">
        <v>155</v>
      </c>
      <c r="G2923" s="4"/>
      <c r="H2923" s="4"/>
      <c r="I2923" s="4" t="s">
        <v>140</v>
      </c>
      <c r="J2923" s="4" t="s">
        <v>181</v>
      </c>
      <c r="K2923" s="4" t="s">
        <v>148</v>
      </c>
      <c r="L2923" s="4" t="s">
        <v>162</v>
      </c>
      <c r="M2923" s="4" t="s">
        <v>597</v>
      </c>
      <c r="N2923" s="4" t="s">
        <v>155</v>
      </c>
      <c r="O2923" s="4" t="s">
        <v>130</v>
      </c>
      <c r="P2923" s="4"/>
    </row>
    <row r="2924" spans="1:16" ht="15">
      <c r="A2924" s="4" t="s">
        <v>4062</v>
      </c>
      <c r="B2924" s="30">
        <v>39993</v>
      </c>
      <c r="C2924" s="4" t="s">
        <v>9</v>
      </c>
      <c r="D2924" s="4" t="s">
        <v>193</v>
      </c>
      <c r="E2924" s="4" t="s">
        <v>170</v>
      </c>
      <c r="F2924" s="4" t="s">
        <v>155</v>
      </c>
      <c r="G2924" s="4"/>
      <c r="H2924" s="4">
        <v>5</v>
      </c>
      <c r="I2924" s="4" t="s">
        <v>140</v>
      </c>
      <c r="J2924" s="4" t="s">
        <v>181</v>
      </c>
      <c r="K2924" s="4" t="s">
        <v>143</v>
      </c>
      <c r="L2924" s="4" t="s">
        <v>165</v>
      </c>
      <c r="M2924" s="4" t="s">
        <v>589</v>
      </c>
      <c r="N2924" s="4" t="s">
        <v>158</v>
      </c>
      <c r="O2924" s="4" t="s">
        <v>122</v>
      </c>
      <c r="P2924" s="4"/>
    </row>
    <row r="2925" spans="1:16" ht="15">
      <c r="A2925" s="4" t="s">
        <v>4063</v>
      </c>
      <c r="B2925" s="30">
        <v>39948</v>
      </c>
      <c r="C2925" s="4"/>
      <c r="D2925" s="4" t="s">
        <v>193</v>
      </c>
      <c r="E2925" s="4" t="s">
        <v>170</v>
      </c>
      <c r="F2925" s="4" t="s">
        <v>155</v>
      </c>
      <c r="G2925" s="4"/>
      <c r="H2925" s="4"/>
      <c r="I2925" s="4" t="s">
        <v>140</v>
      </c>
      <c r="J2925" s="4" t="s">
        <v>181</v>
      </c>
      <c r="K2925" s="4" t="s">
        <v>150</v>
      </c>
      <c r="L2925" s="4" t="s">
        <v>4181</v>
      </c>
      <c r="M2925" s="4" t="s">
        <v>415</v>
      </c>
      <c r="N2925" s="4" t="s">
        <v>155</v>
      </c>
      <c r="O2925" s="4" t="s">
        <v>125</v>
      </c>
      <c r="P2925" s="4"/>
    </row>
    <row r="2926" spans="1:16" ht="15">
      <c r="A2926" s="4" t="s">
        <v>4064</v>
      </c>
      <c r="B2926" s="30">
        <v>40029</v>
      </c>
      <c r="C2926" s="4"/>
      <c r="D2926" s="4" t="s">
        <v>193</v>
      </c>
      <c r="E2926" s="4" t="s">
        <v>170</v>
      </c>
      <c r="F2926" s="4" t="s">
        <v>155</v>
      </c>
      <c r="G2926" s="4">
        <v>5</v>
      </c>
      <c r="H2926" s="4">
        <v>5</v>
      </c>
      <c r="I2926" s="4" t="s">
        <v>140</v>
      </c>
      <c r="J2926" s="4" t="s">
        <v>181</v>
      </c>
      <c r="K2926" s="4" t="s">
        <v>148</v>
      </c>
      <c r="L2926" s="4" t="s">
        <v>4181</v>
      </c>
      <c r="M2926" s="4" t="s">
        <v>173</v>
      </c>
      <c r="N2926" s="4" t="s">
        <v>155</v>
      </c>
      <c r="O2926" s="4" t="s">
        <v>125</v>
      </c>
      <c r="P2926" s="4"/>
    </row>
    <row r="2927" spans="1:16" ht="15">
      <c r="A2927" s="4" t="s">
        <v>4065</v>
      </c>
      <c r="B2927" s="30">
        <v>40074</v>
      </c>
      <c r="C2927" s="4" t="s">
        <v>380</v>
      </c>
      <c r="D2927" s="4" t="s">
        <v>544</v>
      </c>
      <c r="E2927" s="4" t="s">
        <v>170</v>
      </c>
      <c r="F2927" s="4" t="s">
        <v>155</v>
      </c>
      <c r="G2927" s="4">
        <v>5</v>
      </c>
      <c r="H2927" s="4">
        <v>5</v>
      </c>
      <c r="I2927" s="4" t="s">
        <v>139</v>
      </c>
      <c r="J2927" s="4" t="s">
        <v>187</v>
      </c>
      <c r="K2927" s="4" t="s">
        <v>145</v>
      </c>
      <c r="L2927" s="4" t="s">
        <v>162</v>
      </c>
      <c r="M2927" s="4"/>
      <c r="N2927" s="4" t="s">
        <v>155</v>
      </c>
      <c r="O2927" s="4" t="s">
        <v>129</v>
      </c>
      <c r="P2927" s="4"/>
    </row>
    <row r="2928" spans="1:16" ht="15">
      <c r="A2928" s="4" t="s">
        <v>4066</v>
      </c>
      <c r="B2928" s="30">
        <v>40021</v>
      </c>
      <c r="C2928" s="4"/>
      <c r="D2928" s="4" t="s">
        <v>195</v>
      </c>
      <c r="E2928" s="4" t="s">
        <v>170</v>
      </c>
      <c r="F2928" s="4" t="s">
        <v>155</v>
      </c>
      <c r="G2928" s="4">
        <v>5</v>
      </c>
      <c r="H2928" s="4">
        <v>5</v>
      </c>
      <c r="I2928" s="4" t="s">
        <v>139</v>
      </c>
      <c r="J2928" s="4" t="s">
        <v>190</v>
      </c>
      <c r="K2928" s="4" t="s">
        <v>143</v>
      </c>
      <c r="L2928" s="4" t="s">
        <v>4176</v>
      </c>
      <c r="M2928" s="4" t="s">
        <v>581</v>
      </c>
      <c r="N2928" s="4" t="s">
        <v>159</v>
      </c>
      <c r="O2928" s="4" t="s">
        <v>126</v>
      </c>
      <c r="P2928" s="4" t="s">
        <v>601</v>
      </c>
    </row>
    <row r="2929" spans="1:16" ht="15">
      <c r="A2929" s="4" t="s">
        <v>4067</v>
      </c>
      <c r="B2929" s="30">
        <v>40048</v>
      </c>
      <c r="C2929" s="4"/>
      <c r="D2929" s="4" t="s">
        <v>197</v>
      </c>
      <c r="E2929" s="4" t="s">
        <v>170</v>
      </c>
      <c r="F2929" s="4" t="s">
        <v>155</v>
      </c>
      <c r="G2929" s="4">
        <v>5</v>
      </c>
      <c r="H2929" s="4">
        <v>5</v>
      </c>
      <c r="I2929" s="4" t="s">
        <v>139</v>
      </c>
      <c r="J2929" s="4" t="s">
        <v>190</v>
      </c>
      <c r="K2929" s="4" t="s">
        <v>142</v>
      </c>
      <c r="L2929" s="4" t="s">
        <v>162</v>
      </c>
      <c r="M2929" s="4" t="s">
        <v>429</v>
      </c>
      <c r="N2929" s="4" t="s">
        <v>155</v>
      </c>
      <c r="O2929" s="4" t="s">
        <v>129</v>
      </c>
      <c r="P2929" s="4"/>
    </row>
    <row r="2930" spans="1:16" ht="15">
      <c r="A2930" s="4" t="s">
        <v>4068</v>
      </c>
      <c r="B2930" s="30">
        <v>40042</v>
      </c>
      <c r="C2930" s="4"/>
      <c r="D2930" s="4" t="s">
        <v>195</v>
      </c>
      <c r="E2930" s="4" t="s">
        <v>170</v>
      </c>
      <c r="F2930" s="4" t="s">
        <v>155</v>
      </c>
      <c r="G2930" s="4">
        <v>5</v>
      </c>
      <c r="H2930" s="4">
        <v>3</v>
      </c>
      <c r="I2930" s="4" t="s">
        <v>139</v>
      </c>
      <c r="J2930" s="4" t="s">
        <v>181</v>
      </c>
      <c r="K2930" s="4" t="s">
        <v>145</v>
      </c>
      <c r="L2930" s="4" t="s">
        <v>162</v>
      </c>
      <c r="M2930" s="4" t="s">
        <v>175</v>
      </c>
      <c r="N2930" s="4" t="s">
        <v>155</v>
      </c>
      <c r="O2930" s="4" t="s">
        <v>129</v>
      </c>
      <c r="P2930" s="4"/>
    </row>
    <row r="2931" spans="1:16" ht="15">
      <c r="A2931" s="4" t="s">
        <v>4069</v>
      </c>
      <c r="B2931" s="30">
        <v>39925</v>
      </c>
      <c r="C2931" s="4" t="s">
        <v>9</v>
      </c>
      <c r="D2931" s="4" t="s">
        <v>4177</v>
      </c>
      <c r="E2931" s="4" t="s">
        <v>170</v>
      </c>
      <c r="F2931" s="4" t="s">
        <v>155</v>
      </c>
      <c r="G2931" s="4"/>
      <c r="H2931" s="4"/>
      <c r="I2931" s="4" t="s">
        <v>139</v>
      </c>
      <c r="J2931" s="4" t="s">
        <v>181</v>
      </c>
      <c r="K2931" s="4" t="s">
        <v>147</v>
      </c>
      <c r="L2931" s="4" t="s">
        <v>4181</v>
      </c>
      <c r="M2931" s="4" t="s">
        <v>173</v>
      </c>
      <c r="N2931" s="4" t="s">
        <v>155</v>
      </c>
      <c r="O2931" s="4" t="s">
        <v>792</v>
      </c>
      <c r="P2931" s="4"/>
    </row>
    <row r="2932" spans="1:16" ht="15">
      <c r="A2932" s="4" t="s">
        <v>4070</v>
      </c>
      <c r="B2932" s="30">
        <v>39979</v>
      </c>
      <c r="C2932" s="4" t="s">
        <v>9</v>
      </c>
      <c r="D2932" s="4" t="s">
        <v>193</v>
      </c>
      <c r="E2932" s="4" t="s">
        <v>170</v>
      </c>
      <c r="F2932" s="4" t="s">
        <v>155</v>
      </c>
      <c r="G2932" s="4"/>
      <c r="H2932" s="4"/>
      <c r="I2932" s="4" t="s">
        <v>140</v>
      </c>
      <c r="J2932" s="4" t="s">
        <v>181</v>
      </c>
      <c r="K2932" s="4" t="s">
        <v>143</v>
      </c>
      <c r="L2932" s="4" t="s">
        <v>4181</v>
      </c>
      <c r="M2932" s="4" t="s">
        <v>1574</v>
      </c>
      <c r="N2932" s="4" t="s">
        <v>155</v>
      </c>
      <c r="O2932" s="4" t="s">
        <v>125</v>
      </c>
      <c r="P2932" s="4"/>
    </row>
    <row r="2933" spans="1:16" ht="15">
      <c r="A2933" s="4" t="s">
        <v>4071</v>
      </c>
      <c r="B2933" s="30">
        <v>39936</v>
      </c>
      <c r="C2933" s="4" t="s">
        <v>525</v>
      </c>
      <c r="D2933" s="4" t="s">
        <v>4177</v>
      </c>
      <c r="E2933" s="4" t="s">
        <v>170</v>
      </c>
      <c r="F2933" s="4" t="s">
        <v>155</v>
      </c>
      <c r="G2933" s="4"/>
      <c r="H2933" s="4"/>
      <c r="I2933" s="4" t="s">
        <v>139</v>
      </c>
      <c r="J2933" s="4" t="s">
        <v>181</v>
      </c>
      <c r="K2933" s="4" t="s">
        <v>147</v>
      </c>
      <c r="L2933" s="4" t="s">
        <v>4176</v>
      </c>
      <c r="M2933" s="4" t="s">
        <v>174</v>
      </c>
      <c r="N2933" s="4" t="s">
        <v>157</v>
      </c>
      <c r="O2933" s="4" t="s">
        <v>127</v>
      </c>
      <c r="P2933" s="4" t="s">
        <v>153</v>
      </c>
    </row>
    <row r="2934" spans="1:16" ht="15">
      <c r="A2934" s="4" t="s">
        <v>4072</v>
      </c>
      <c r="B2934" s="30">
        <v>39972</v>
      </c>
      <c r="C2934" s="4" t="s">
        <v>525</v>
      </c>
      <c r="D2934" s="4" t="s">
        <v>195</v>
      </c>
      <c r="E2934" s="4" t="s">
        <v>170</v>
      </c>
      <c r="F2934" s="4" t="s">
        <v>155</v>
      </c>
      <c r="G2934" s="4"/>
      <c r="H2934" s="4"/>
      <c r="I2934" s="4" t="s">
        <v>139</v>
      </c>
      <c r="J2934" s="4" t="s">
        <v>181</v>
      </c>
      <c r="K2934" s="4" t="s">
        <v>144</v>
      </c>
      <c r="L2934" s="4" t="s">
        <v>4181</v>
      </c>
      <c r="M2934" s="4" t="s">
        <v>3452</v>
      </c>
      <c r="N2934" s="4" t="s">
        <v>155</v>
      </c>
      <c r="O2934" s="4" t="s">
        <v>124</v>
      </c>
      <c r="P2934" s="4"/>
    </row>
    <row r="2935" spans="1:16" ht="15">
      <c r="A2935" s="4" t="s">
        <v>4073</v>
      </c>
      <c r="B2935" s="30">
        <v>40034</v>
      </c>
      <c r="C2935" s="4" t="s">
        <v>9</v>
      </c>
      <c r="D2935" s="4" t="s">
        <v>193</v>
      </c>
      <c r="E2935" s="4" t="s">
        <v>170</v>
      </c>
      <c r="F2935" s="4" t="s">
        <v>155</v>
      </c>
      <c r="G2935" s="4">
        <v>5</v>
      </c>
      <c r="H2935" s="4">
        <v>5</v>
      </c>
      <c r="I2935" s="4" t="s">
        <v>140</v>
      </c>
      <c r="J2935" s="4" t="s">
        <v>187</v>
      </c>
      <c r="K2935" s="4" t="s">
        <v>142</v>
      </c>
      <c r="L2935" s="4" t="s">
        <v>4176</v>
      </c>
      <c r="M2935" s="4" t="s">
        <v>978</v>
      </c>
      <c r="N2935" s="4" t="s">
        <v>157</v>
      </c>
      <c r="O2935" s="4" t="s">
        <v>571</v>
      </c>
      <c r="P2935" s="4" t="s">
        <v>641</v>
      </c>
    </row>
    <row r="2936" spans="1:16" ht="15">
      <c r="A2936" s="4" t="s">
        <v>4074</v>
      </c>
      <c r="B2936" s="30">
        <v>40046</v>
      </c>
      <c r="C2936" s="4" t="s">
        <v>383</v>
      </c>
      <c r="D2936" s="4" t="s">
        <v>193</v>
      </c>
      <c r="E2936" s="4" t="s">
        <v>170</v>
      </c>
      <c r="F2936" s="4" t="s">
        <v>155</v>
      </c>
      <c r="G2936" s="4">
        <v>5</v>
      </c>
      <c r="H2936" s="4">
        <v>5</v>
      </c>
      <c r="I2936" s="4" t="s">
        <v>140</v>
      </c>
      <c r="J2936" s="4" t="s">
        <v>447</v>
      </c>
      <c r="K2936" s="4" t="s">
        <v>142</v>
      </c>
      <c r="L2936" s="4" t="s">
        <v>4176</v>
      </c>
      <c r="M2936" s="4" t="s">
        <v>550</v>
      </c>
      <c r="N2936" s="4" t="s">
        <v>160</v>
      </c>
      <c r="O2936" s="4" t="s">
        <v>126</v>
      </c>
      <c r="P2936" s="4" t="s">
        <v>1203</v>
      </c>
    </row>
    <row r="2937" spans="1:16" ht="15">
      <c r="A2937" s="4" t="s">
        <v>4075</v>
      </c>
      <c r="B2937" s="30">
        <v>40044</v>
      </c>
      <c r="C2937" s="4"/>
      <c r="D2937" s="4" t="s">
        <v>195</v>
      </c>
      <c r="E2937" s="4" t="s">
        <v>170</v>
      </c>
      <c r="F2937" s="4" t="s">
        <v>155</v>
      </c>
      <c r="G2937" s="4">
        <v>4</v>
      </c>
      <c r="H2937" s="4">
        <v>3</v>
      </c>
      <c r="I2937" s="4" t="s">
        <v>139</v>
      </c>
      <c r="J2937" s="4" t="s">
        <v>178</v>
      </c>
      <c r="K2937" s="4" t="s">
        <v>146</v>
      </c>
      <c r="L2937" s="4" t="s">
        <v>162</v>
      </c>
      <c r="M2937" s="4"/>
      <c r="N2937" s="4" t="s">
        <v>155</v>
      </c>
      <c r="O2937" s="4" t="s">
        <v>127</v>
      </c>
      <c r="P2937" s="4"/>
    </row>
    <row r="2938" spans="1:16" ht="15">
      <c r="A2938" s="4" t="s">
        <v>4076</v>
      </c>
      <c r="B2938" s="30">
        <v>39912</v>
      </c>
      <c r="C2938" s="4" t="s">
        <v>496</v>
      </c>
      <c r="D2938" s="4" t="s">
        <v>4177</v>
      </c>
      <c r="E2938" s="4" t="s">
        <v>170</v>
      </c>
      <c r="F2938" s="4" t="s">
        <v>155</v>
      </c>
      <c r="G2938" s="4"/>
      <c r="H2938" s="4"/>
      <c r="I2938" s="4" t="s">
        <v>139</v>
      </c>
      <c r="J2938" s="4" t="s">
        <v>178</v>
      </c>
      <c r="K2938" s="4" t="s">
        <v>149</v>
      </c>
      <c r="L2938" s="4" t="s">
        <v>165</v>
      </c>
      <c r="M2938" s="4" t="s">
        <v>4077</v>
      </c>
      <c r="N2938" s="4" t="s">
        <v>158</v>
      </c>
      <c r="O2938" s="4" t="s">
        <v>122</v>
      </c>
      <c r="P2938" s="4"/>
    </row>
    <row r="2939" spans="1:16" ht="15">
      <c r="A2939" s="4" t="s">
        <v>4078</v>
      </c>
      <c r="B2939" s="30">
        <v>39972</v>
      </c>
      <c r="C2939" s="4"/>
      <c r="D2939" s="4" t="s">
        <v>193</v>
      </c>
      <c r="E2939" s="4" t="s">
        <v>170</v>
      </c>
      <c r="F2939" s="4" t="s">
        <v>155</v>
      </c>
      <c r="G2939" s="4"/>
      <c r="H2939" s="4"/>
      <c r="I2939" s="4" t="s">
        <v>140</v>
      </c>
      <c r="J2939" s="4" t="s">
        <v>182</v>
      </c>
      <c r="K2939" s="4" t="s">
        <v>145</v>
      </c>
      <c r="L2939" s="4" t="s">
        <v>4181</v>
      </c>
      <c r="M2939" s="4" t="s">
        <v>173</v>
      </c>
      <c r="N2939" s="4" t="s">
        <v>155</v>
      </c>
      <c r="O2939" s="4" t="s">
        <v>746</v>
      </c>
      <c r="P2939" s="4"/>
    </row>
    <row r="2940" spans="1:16" ht="15">
      <c r="A2940" s="4" t="s">
        <v>4079</v>
      </c>
      <c r="B2940" s="30">
        <v>39941</v>
      </c>
      <c r="C2940" s="4"/>
      <c r="D2940" s="4" t="s">
        <v>194</v>
      </c>
      <c r="E2940" s="4" t="s">
        <v>170</v>
      </c>
      <c r="F2940" s="4" t="s">
        <v>155</v>
      </c>
      <c r="G2940" s="4"/>
      <c r="H2940" s="4"/>
      <c r="I2940" s="4" t="s">
        <v>139</v>
      </c>
      <c r="J2940" s="4" t="s">
        <v>178</v>
      </c>
      <c r="K2940" s="4" t="s">
        <v>149</v>
      </c>
      <c r="L2940" s="4" t="s">
        <v>4181</v>
      </c>
      <c r="M2940" s="4" t="s">
        <v>4080</v>
      </c>
      <c r="N2940" s="4" t="s">
        <v>161</v>
      </c>
      <c r="O2940" s="4" t="s">
        <v>4081</v>
      </c>
      <c r="P2940" s="4"/>
    </row>
    <row r="2941" spans="1:16" ht="15">
      <c r="A2941" s="4" t="s">
        <v>4082</v>
      </c>
      <c r="B2941" s="30">
        <v>39941</v>
      </c>
      <c r="C2941" s="4"/>
      <c r="D2941" s="4" t="s">
        <v>194</v>
      </c>
      <c r="E2941" s="4" t="s">
        <v>170</v>
      </c>
      <c r="F2941" s="4" t="s">
        <v>155</v>
      </c>
      <c r="G2941" s="4"/>
      <c r="H2941" s="4"/>
      <c r="I2941" s="4" t="s">
        <v>139</v>
      </c>
      <c r="J2941" s="4" t="s">
        <v>178</v>
      </c>
      <c r="K2941" s="4" t="s">
        <v>149</v>
      </c>
      <c r="L2941" s="4" t="s">
        <v>4181</v>
      </c>
      <c r="M2941" s="4" t="s">
        <v>4080</v>
      </c>
      <c r="N2941" s="4" t="s">
        <v>161</v>
      </c>
      <c r="O2941" s="4" t="s">
        <v>4081</v>
      </c>
      <c r="P2941" s="4"/>
    </row>
    <row r="2942" spans="1:16" ht="15">
      <c r="A2942" s="4" t="s">
        <v>4083</v>
      </c>
      <c r="B2942" s="30">
        <v>40014</v>
      </c>
      <c r="C2942" s="4"/>
      <c r="D2942" s="4" t="s">
        <v>193</v>
      </c>
      <c r="E2942" s="4" t="s">
        <v>170</v>
      </c>
      <c r="F2942" s="4" t="s">
        <v>155</v>
      </c>
      <c r="G2942" s="4">
        <v>1</v>
      </c>
      <c r="H2942" s="4">
        <v>3</v>
      </c>
      <c r="I2942" s="4" t="s">
        <v>140</v>
      </c>
      <c r="J2942" s="4" t="s">
        <v>182</v>
      </c>
      <c r="K2942" s="4" t="s">
        <v>143</v>
      </c>
      <c r="L2942" s="4" t="s">
        <v>4176</v>
      </c>
      <c r="M2942" s="4" t="s">
        <v>550</v>
      </c>
      <c r="N2942" s="4" t="s">
        <v>157</v>
      </c>
      <c r="O2942" s="4" t="s">
        <v>501</v>
      </c>
      <c r="P2942" s="4" t="s">
        <v>3872</v>
      </c>
    </row>
    <row r="2943" spans="1:16" ht="15">
      <c r="A2943" s="4" t="s">
        <v>4084</v>
      </c>
      <c r="B2943" s="30">
        <v>39938</v>
      </c>
      <c r="C2943" s="4" t="s">
        <v>9</v>
      </c>
      <c r="D2943" s="4" t="s">
        <v>4177</v>
      </c>
      <c r="E2943" s="4" t="s">
        <v>170</v>
      </c>
      <c r="F2943" s="4" t="s">
        <v>155</v>
      </c>
      <c r="G2943" s="4"/>
      <c r="H2943" s="4"/>
      <c r="I2943" s="4" t="s">
        <v>139</v>
      </c>
      <c r="J2943" s="4" t="s">
        <v>179</v>
      </c>
      <c r="K2943" s="4" t="s">
        <v>147</v>
      </c>
      <c r="L2943" s="4" t="s">
        <v>4181</v>
      </c>
      <c r="M2943" s="4" t="s">
        <v>4085</v>
      </c>
      <c r="N2943" s="4" t="s">
        <v>155</v>
      </c>
      <c r="O2943" s="4" t="s">
        <v>454</v>
      </c>
      <c r="P2943" s="4"/>
    </row>
    <row r="2944" spans="1:16" ht="15">
      <c r="A2944" s="4" t="s">
        <v>4086</v>
      </c>
      <c r="B2944" s="30">
        <v>40056</v>
      </c>
      <c r="C2944" s="4" t="s">
        <v>9</v>
      </c>
      <c r="D2944" s="4" t="s">
        <v>193</v>
      </c>
      <c r="E2944" s="4" t="s">
        <v>170</v>
      </c>
      <c r="F2944" s="4" t="s">
        <v>155</v>
      </c>
      <c r="G2944" s="4">
        <v>4</v>
      </c>
      <c r="H2944" s="4">
        <v>3</v>
      </c>
      <c r="I2944" s="4" t="s">
        <v>140</v>
      </c>
      <c r="J2944" s="4" t="s">
        <v>178</v>
      </c>
      <c r="K2944" s="4" t="s">
        <v>146</v>
      </c>
      <c r="L2944" s="4" t="s">
        <v>4181</v>
      </c>
      <c r="M2944" s="4" t="s">
        <v>4087</v>
      </c>
      <c r="N2944" s="4" t="s">
        <v>155</v>
      </c>
      <c r="O2944" s="4" t="s">
        <v>406</v>
      </c>
      <c r="P2944" s="4"/>
    </row>
    <row r="2945" spans="1:16" ht="15">
      <c r="A2945" s="4" t="s">
        <v>4088</v>
      </c>
      <c r="B2945" s="30">
        <v>40025</v>
      </c>
      <c r="C2945" s="4"/>
      <c r="D2945" s="4" t="s">
        <v>197</v>
      </c>
      <c r="E2945" s="4" t="s">
        <v>170</v>
      </c>
      <c r="F2945" s="4" t="s">
        <v>155</v>
      </c>
      <c r="G2945" s="4">
        <v>5</v>
      </c>
      <c r="H2945" s="4">
        <v>5</v>
      </c>
      <c r="I2945" s="4" t="s">
        <v>139</v>
      </c>
      <c r="J2945" s="4" t="s">
        <v>182</v>
      </c>
      <c r="K2945" s="4" t="s">
        <v>146</v>
      </c>
      <c r="L2945" s="4" t="s">
        <v>4176</v>
      </c>
      <c r="M2945" s="4" t="s">
        <v>1607</v>
      </c>
      <c r="N2945" s="4" t="s">
        <v>157</v>
      </c>
      <c r="O2945" s="4" t="s">
        <v>127</v>
      </c>
      <c r="P2945" s="4" t="s">
        <v>153</v>
      </c>
    </row>
    <row r="2946" spans="1:16" ht="15">
      <c r="A2946" s="4" t="s">
        <v>4089</v>
      </c>
      <c r="B2946" s="30">
        <v>39954</v>
      </c>
      <c r="C2946" s="4" t="s">
        <v>9</v>
      </c>
      <c r="D2946" s="4" t="s">
        <v>195</v>
      </c>
      <c r="E2946" s="4" t="s">
        <v>170</v>
      </c>
      <c r="F2946" s="4" t="s">
        <v>155</v>
      </c>
      <c r="G2946" s="4"/>
      <c r="H2946" s="4"/>
      <c r="I2946" s="4" t="s">
        <v>139</v>
      </c>
      <c r="J2946" s="4" t="s">
        <v>182</v>
      </c>
      <c r="K2946" s="4" t="s">
        <v>148</v>
      </c>
      <c r="L2946" s="4" t="s">
        <v>4181</v>
      </c>
      <c r="M2946" s="4" t="s">
        <v>173</v>
      </c>
      <c r="N2946" s="4" t="s">
        <v>155</v>
      </c>
      <c r="O2946" s="4" t="s">
        <v>406</v>
      </c>
      <c r="P2946" s="4"/>
    </row>
    <row r="2947" spans="1:16" ht="15">
      <c r="A2947" s="4" t="s">
        <v>4090</v>
      </c>
      <c r="B2947" s="30">
        <v>39945</v>
      </c>
      <c r="C2947" s="4"/>
      <c r="D2947" s="4" t="s">
        <v>194</v>
      </c>
      <c r="E2947" s="4" t="s">
        <v>170</v>
      </c>
      <c r="F2947" s="4" t="s">
        <v>155</v>
      </c>
      <c r="G2947" s="4"/>
      <c r="H2947" s="4"/>
      <c r="I2947" s="4" t="s">
        <v>139</v>
      </c>
      <c r="J2947" s="4" t="s">
        <v>182</v>
      </c>
      <c r="K2947" s="4" t="s">
        <v>142</v>
      </c>
      <c r="L2947" s="4" t="s">
        <v>4181</v>
      </c>
      <c r="M2947" s="4" t="s">
        <v>173</v>
      </c>
      <c r="N2947" s="4" t="s">
        <v>161</v>
      </c>
      <c r="O2947" s="4" t="s">
        <v>1473</v>
      </c>
      <c r="P2947" s="4"/>
    </row>
    <row r="2948" spans="1:16" ht="15">
      <c r="A2948" s="4" t="s">
        <v>4091</v>
      </c>
      <c r="B2948" s="30">
        <v>39938</v>
      </c>
      <c r="C2948" s="4"/>
      <c r="D2948" s="4" t="s">
        <v>4179</v>
      </c>
      <c r="E2948" s="4" t="s">
        <v>170</v>
      </c>
      <c r="F2948" s="4" t="s">
        <v>155</v>
      </c>
      <c r="G2948" s="4"/>
      <c r="H2948" s="4"/>
      <c r="I2948" s="4" t="s">
        <v>139</v>
      </c>
      <c r="J2948" s="4" t="s">
        <v>182</v>
      </c>
      <c r="K2948" s="4" t="s">
        <v>147</v>
      </c>
      <c r="L2948" s="4" t="s">
        <v>4181</v>
      </c>
      <c r="M2948" s="4"/>
      <c r="N2948" s="4" t="s">
        <v>155</v>
      </c>
      <c r="O2948" s="4" t="s">
        <v>127</v>
      </c>
      <c r="P2948" s="4"/>
    </row>
    <row r="2949" spans="1:16" ht="15">
      <c r="A2949" s="4" t="s">
        <v>4092</v>
      </c>
      <c r="B2949" s="30">
        <v>40008</v>
      </c>
      <c r="C2949" s="4"/>
      <c r="D2949" s="4" t="s">
        <v>195</v>
      </c>
      <c r="E2949" s="4" t="s">
        <v>170</v>
      </c>
      <c r="F2949" s="4" t="s">
        <v>155</v>
      </c>
      <c r="G2949" s="4">
        <v>5</v>
      </c>
      <c r="H2949" s="4">
        <v>4</v>
      </c>
      <c r="I2949" s="4" t="s">
        <v>139</v>
      </c>
      <c r="J2949" s="4" t="s">
        <v>182</v>
      </c>
      <c r="K2949" s="4" t="s">
        <v>143</v>
      </c>
      <c r="L2949" s="4" t="s">
        <v>162</v>
      </c>
      <c r="M2949" s="4" t="s">
        <v>175</v>
      </c>
      <c r="N2949" s="4" t="s">
        <v>155</v>
      </c>
      <c r="O2949" s="4" t="s">
        <v>130</v>
      </c>
      <c r="P2949" s="4"/>
    </row>
    <row r="2950" spans="1:16" ht="15">
      <c r="A2950" s="4" t="s">
        <v>4093</v>
      </c>
      <c r="B2950" s="30">
        <v>39950</v>
      </c>
      <c r="C2950" s="4"/>
      <c r="D2950" s="4" t="s">
        <v>193</v>
      </c>
      <c r="E2950" s="4" t="s">
        <v>170</v>
      </c>
      <c r="F2950" s="4" t="s">
        <v>155</v>
      </c>
      <c r="G2950" s="4"/>
      <c r="H2950" s="4"/>
      <c r="I2950" s="4" t="s">
        <v>140</v>
      </c>
      <c r="J2950" s="4" t="s">
        <v>178</v>
      </c>
      <c r="K2950" s="4" t="s">
        <v>150</v>
      </c>
      <c r="L2950" s="4" t="s">
        <v>4181</v>
      </c>
      <c r="M2950" s="4" t="s">
        <v>173</v>
      </c>
      <c r="N2950" s="4" t="s">
        <v>155</v>
      </c>
      <c r="O2950" s="4" t="s">
        <v>434</v>
      </c>
      <c r="P2950" s="4"/>
    </row>
    <row r="2951" spans="1:16" ht="15">
      <c r="A2951" s="4" t="s">
        <v>4094</v>
      </c>
      <c r="B2951" s="30">
        <v>39917</v>
      </c>
      <c r="C2951" s="4"/>
      <c r="D2951" s="4" t="s">
        <v>4182</v>
      </c>
      <c r="E2951" s="4" t="s">
        <v>170</v>
      </c>
      <c r="F2951" s="4" t="s">
        <v>155</v>
      </c>
      <c r="G2951" s="4"/>
      <c r="H2951" s="4"/>
      <c r="I2951" s="4" t="s">
        <v>139</v>
      </c>
      <c r="J2951" s="4" t="s">
        <v>178</v>
      </c>
      <c r="K2951" s="4" t="s">
        <v>148</v>
      </c>
      <c r="L2951" s="4" t="s">
        <v>4176</v>
      </c>
      <c r="M2951" s="4" t="s">
        <v>174</v>
      </c>
      <c r="N2951" s="4" t="s">
        <v>156</v>
      </c>
      <c r="O2951" s="4" t="s">
        <v>120</v>
      </c>
      <c r="P2951" s="4" t="s">
        <v>4095</v>
      </c>
    </row>
    <row r="2952" spans="1:16" ht="15">
      <c r="A2952" s="4" t="s">
        <v>4096</v>
      </c>
      <c r="B2952" s="30">
        <v>39946</v>
      </c>
      <c r="C2952" s="4" t="s">
        <v>9</v>
      </c>
      <c r="D2952" s="4" t="s">
        <v>195</v>
      </c>
      <c r="E2952" s="4" t="s">
        <v>170</v>
      </c>
      <c r="F2952" s="4" t="s">
        <v>155</v>
      </c>
      <c r="G2952" s="4"/>
      <c r="H2952" s="4"/>
      <c r="I2952" s="4" t="s">
        <v>139</v>
      </c>
      <c r="J2952" s="4" t="s">
        <v>178</v>
      </c>
      <c r="K2952" s="4" t="s">
        <v>145</v>
      </c>
      <c r="L2952" s="4" t="s">
        <v>4176</v>
      </c>
      <c r="M2952" s="4" t="s">
        <v>174</v>
      </c>
      <c r="N2952" s="4" t="s">
        <v>157</v>
      </c>
      <c r="O2952" s="4" t="s">
        <v>127</v>
      </c>
      <c r="P2952" s="4" t="s">
        <v>153</v>
      </c>
    </row>
    <row r="2953" spans="1:16" ht="15">
      <c r="A2953" s="4" t="s">
        <v>4097</v>
      </c>
      <c r="B2953" s="30">
        <v>39936</v>
      </c>
      <c r="C2953" s="4"/>
      <c r="D2953" s="4" t="s">
        <v>4183</v>
      </c>
      <c r="E2953" s="4" t="s">
        <v>170</v>
      </c>
      <c r="F2953" s="4" t="s">
        <v>155</v>
      </c>
      <c r="G2953" s="4"/>
      <c r="H2953" s="4"/>
      <c r="I2953" s="4" t="s">
        <v>140</v>
      </c>
      <c r="J2953" s="4" t="s">
        <v>182</v>
      </c>
      <c r="K2953" s="4" t="s">
        <v>147</v>
      </c>
      <c r="L2953" s="4" t="s">
        <v>4176</v>
      </c>
      <c r="M2953" s="4"/>
      <c r="N2953" s="4" t="s">
        <v>156</v>
      </c>
      <c r="O2953" s="4" t="s">
        <v>120</v>
      </c>
      <c r="P2953" s="4" t="s">
        <v>2459</v>
      </c>
    </row>
    <row r="2954" spans="1:16" ht="15">
      <c r="A2954" s="4" t="s">
        <v>4098</v>
      </c>
      <c r="B2954" s="30">
        <v>39918</v>
      </c>
      <c r="C2954" s="4"/>
      <c r="D2954" s="4" t="s">
        <v>4177</v>
      </c>
      <c r="E2954" s="4" t="s">
        <v>170</v>
      </c>
      <c r="F2954" s="4" t="s">
        <v>155</v>
      </c>
      <c r="G2954" s="4"/>
      <c r="H2954" s="4"/>
      <c r="I2954" s="4" t="s">
        <v>139</v>
      </c>
      <c r="J2954" s="4" t="s">
        <v>184</v>
      </c>
      <c r="K2954" s="4" t="s">
        <v>143</v>
      </c>
      <c r="L2954" s="4" t="s">
        <v>4181</v>
      </c>
      <c r="M2954" s="4" t="s">
        <v>173</v>
      </c>
      <c r="N2954" s="4" t="s">
        <v>161</v>
      </c>
      <c r="O2954" s="4" t="s">
        <v>420</v>
      </c>
      <c r="P2954" s="4"/>
    </row>
    <row r="2955" spans="1:16" ht="15">
      <c r="A2955" s="4" t="s">
        <v>4099</v>
      </c>
      <c r="B2955" s="30">
        <v>40021</v>
      </c>
      <c r="C2955" s="4"/>
      <c r="D2955" s="4" t="s">
        <v>193</v>
      </c>
      <c r="E2955" s="4" t="s">
        <v>170</v>
      </c>
      <c r="F2955" s="4" t="s">
        <v>155</v>
      </c>
      <c r="G2955" s="4">
        <v>4</v>
      </c>
      <c r="H2955" s="4">
        <v>4</v>
      </c>
      <c r="I2955" s="4" t="s">
        <v>140</v>
      </c>
      <c r="J2955" s="4" t="s">
        <v>182</v>
      </c>
      <c r="K2955" s="4" t="s">
        <v>149</v>
      </c>
      <c r="L2955" s="4" t="s">
        <v>162</v>
      </c>
      <c r="M2955" s="4" t="s">
        <v>597</v>
      </c>
      <c r="N2955" s="4" t="s">
        <v>155</v>
      </c>
      <c r="O2955" s="4" t="s">
        <v>130</v>
      </c>
      <c r="P2955" s="4"/>
    </row>
    <row r="2956" spans="1:16" ht="15">
      <c r="A2956" s="4" t="s">
        <v>4100</v>
      </c>
      <c r="B2956" s="30">
        <v>39916</v>
      </c>
      <c r="C2956" s="4"/>
      <c r="D2956" s="4" t="s">
        <v>4178</v>
      </c>
      <c r="E2956" s="4" t="s">
        <v>170</v>
      </c>
      <c r="F2956" s="4" t="s">
        <v>155</v>
      </c>
      <c r="G2956" s="4"/>
      <c r="H2956" s="4"/>
      <c r="I2956" s="4" t="s">
        <v>139</v>
      </c>
      <c r="J2956" s="4" t="s">
        <v>182</v>
      </c>
      <c r="K2956" s="4" t="s">
        <v>142</v>
      </c>
      <c r="L2956" s="4" t="s">
        <v>4176</v>
      </c>
      <c r="M2956" s="4" t="s">
        <v>174</v>
      </c>
      <c r="N2956" s="4" t="s">
        <v>157</v>
      </c>
      <c r="O2956" s="4" t="s">
        <v>434</v>
      </c>
      <c r="P2956" s="4" t="s">
        <v>435</v>
      </c>
    </row>
    <row r="2957" spans="1:16" ht="15">
      <c r="A2957" s="4" t="s">
        <v>4101</v>
      </c>
      <c r="B2957" s="30">
        <v>39952</v>
      </c>
      <c r="C2957" s="4"/>
      <c r="D2957" s="4" t="s">
        <v>193</v>
      </c>
      <c r="E2957" s="4" t="s">
        <v>170</v>
      </c>
      <c r="F2957" s="4" t="s">
        <v>155</v>
      </c>
      <c r="G2957" s="4"/>
      <c r="H2957" s="4"/>
      <c r="I2957" s="4" t="s">
        <v>140</v>
      </c>
      <c r="J2957" s="4" t="s">
        <v>178</v>
      </c>
      <c r="K2957" s="4" t="s">
        <v>142</v>
      </c>
      <c r="L2957" s="4" t="s">
        <v>4176</v>
      </c>
      <c r="M2957" s="4" t="s">
        <v>1425</v>
      </c>
      <c r="N2957" s="4" t="s">
        <v>159</v>
      </c>
      <c r="O2957" s="4" t="s">
        <v>126</v>
      </c>
      <c r="P2957" s="4" t="s">
        <v>601</v>
      </c>
    </row>
    <row r="2958" spans="1:16" ht="15">
      <c r="A2958" s="4" t="s">
        <v>4102</v>
      </c>
      <c r="B2958" s="30">
        <v>40038</v>
      </c>
      <c r="C2958" s="4"/>
      <c r="D2958" s="4" t="s">
        <v>193</v>
      </c>
      <c r="E2958" s="4" t="s">
        <v>170</v>
      </c>
      <c r="F2958" s="4" t="s">
        <v>155</v>
      </c>
      <c r="G2958" s="4">
        <v>5</v>
      </c>
      <c r="H2958" s="4">
        <v>3</v>
      </c>
      <c r="I2958" s="4" t="s">
        <v>140</v>
      </c>
      <c r="J2958" s="4" t="s">
        <v>182</v>
      </c>
      <c r="K2958" s="4" t="s">
        <v>142</v>
      </c>
      <c r="L2958" s="4" t="s">
        <v>162</v>
      </c>
      <c r="M2958" s="4"/>
      <c r="N2958" s="4" t="s">
        <v>155</v>
      </c>
      <c r="O2958" s="4" t="s">
        <v>129</v>
      </c>
      <c r="P2958" s="4"/>
    </row>
    <row r="2959" spans="1:16" ht="15">
      <c r="A2959" s="4" t="s">
        <v>4103</v>
      </c>
      <c r="B2959" s="30">
        <v>39929</v>
      </c>
      <c r="C2959" s="4"/>
      <c r="D2959" s="4" t="s">
        <v>4183</v>
      </c>
      <c r="E2959" s="4" t="s">
        <v>170</v>
      </c>
      <c r="F2959" s="4" t="s">
        <v>155</v>
      </c>
      <c r="G2959" s="4"/>
      <c r="H2959" s="4"/>
      <c r="I2959" s="4" t="s">
        <v>140</v>
      </c>
      <c r="J2959" s="4" t="s">
        <v>179</v>
      </c>
      <c r="K2959" s="4" t="s">
        <v>147</v>
      </c>
      <c r="L2959" s="4" t="s">
        <v>162</v>
      </c>
      <c r="M2959" s="4" t="s">
        <v>175</v>
      </c>
      <c r="N2959" s="4" t="s">
        <v>155</v>
      </c>
      <c r="O2959" s="4" t="s">
        <v>454</v>
      </c>
      <c r="P2959" s="4"/>
    </row>
    <row r="2960" spans="1:16" ht="15">
      <c r="A2960" s="4" t="s">
        <v>4104</v>
      </c>
      <c r="B2960" s="30">
        <v>39967</v>
      </c>
      <c r="C2960" s="4"/>
      <c r="D2960" s="4" t="s">
        <v>193</v>
      </c>
      <c r="E2960" s="4" t="s">
        <v>170</v>
      </c>
      <c r="F2960" s="4" t="s">
        <v>155</v>
      </c>
      <c r="G2960" s="4"/>
      <c r="H2960" s="4"/>
      <c r="I2960" s="4" t="s">
        <v>140</v>
      </c>
      <c r="J2960" s="4" t="s">
        <v>181</v>
      </c>
      <c r="K2960" s="4" t="s">
        <v>143</v>
      </c>
      <c r="L2960" s="4" t="s">
        <v>4181</v>
      </c>
      <c r="M2960" s="4" t="s">
        <v>173</v>
      </c>
      <c r="N2960" s="4" t="s">
        <v>155</v>
      </c>
      <c r="O2960" s="4" t="s">
        <v>704</v>
      </c>
      <c r="P2960" s="4"/>
    </row>
    <row r="2961" spans="1:16" ht="15">
      <c r="A2961" s="4" t="s">
        <v>4105</v>
      </c>
      <c r="B2961" s="30">
        <v>39941</v>
      </c>
      <c r="C2961" s="4"/>
      <c r="D2961" s="4" t="s">
        <v>193</v>
      </c>
      <c r="E2961" s="4" t="s">
        <v>170</v>
      </c>
      <c r="F2961" s="4" t="s">
        <v>155</v>
      </c>
      <c r="G2961" s="4"/>
      <c r="H2961" s="4"/>
      <c r="I2961" s="4" t="s">
        <v>140</v>
      </c>
      <c r="J2961" s="4" t="s">
        <v>178</v>
      </c>
      <c r="K2961" s="4" t="s">
        <v>147</v>
      </c>
      <c r="L2961" s="4" t="s">
        <v>4181</v>
      </c>
      <c r="M2961" s="4" t="s">
        <v>415</v>
      </c>
      <c r="N2961" s="4" t="s">
        <v>155</v>
      </c>
      <c r="O2961" s="4" t="s">
        <v>125</v>
      </c>
      <c r="P2961" s="4"/>
    </row>
    <row r="2962" spans="1:16" ht="15">
      <c r="A2962" s="4" t="s">
        <v>4106</v>
      </c>
      <c r="B2962" s="30">
        <v>40044</v>
      </c>
      <c r="C2962" s="4"/>
      <c r="D2962" s="4" t="s">
        <v>193</v>
      </c>
      <c r="E2962" s="4" t="s">
        <v>170</v>
      </c>
      <c r="F2962" s="4" t="s">
        <v>155</v>
      </c>
      <c r="G2962" s="4">
        <v>4</v>
      </c>
      <c r="H2962" s="4">
        <v>3</v>
      </c>
      <c r="I2962" s="4" t="s">
        <v>140</v>
      </c>
      <c r="J2962" s="4" t="s">
        <v>181</v>
      </c>
      <c r="K2962" s="4" t="s">
        <v>144</v>
      </c>
      <c r="L2962" s="4" t="s">
        <v>4176</v>
      </c>
      <c r="M2962" s="4" t="s">
        <v>174</v>
      </c>
      <c r="N2962" s="4" t="s">
        <v>157</v>
      </c>
      <c r="O2962" s="4" t="s">
        <v>127</v>
      </c>
      <c r="P2962" s="4" t="s">
        <v>153</v>
      </c>
    </row>
    <row r="2963" spans="1:16" ht="15">
      <c r="A2963" s="4" t="s">
        <v>4107</v>
      </c>
      <c r="B2963" s="30">
        <v>40060</v>
      </c>
      <c r="C2963" s="4"/>
      <c r="D2963" s="4" t="s">
        <v>196</v>
      </c>
      <c r="E2963" s="4" t="s">
        <v>170</v>
      </c>
      <c r="F2963" s="4" t="s">
        <v>155</v>
      </c>
      <c r="G2963" s="4">
        <v>5</v>
      </c>
      <c r="H2963" s="4">
        <v>5</v>
      </c>
      <c r="I2963" s="4" t="s">
        <v>139</v>
      </c>
      <c r="J2963" s="4" t="s">
        <v>184</v>
      </c>
      <c r="K2963" s="4" t="s">
        <v>142</v>
      </c>
      <c r="L2963" s="4" t="s">
        <v>162</v>
      </c>
      <c r="M2963" s="4" t="s">
        <v>175</v>
      </c>
      <c r="N2963" s="4" t="s">
        <v>155</v>
      </c>
      <c r="O2963" s="4" t="s">
        <v>127</v>
      </c>
      <c r="P2963" s="4"/>
    </row>
    <row r="2964" spans="1:16" ht="15">
      <c r="A2964" s="4" t="s">
        <v>4108</v>
      </c>
      <c r="B2964" s="30">
        <v>40063</v>
      </c>
      <c r="C2964" s="4"/>
      <c r="D2964" s="4" t="s">
        <v>197</v>
      </c>
      <c r="E2964" s="4" t="s">
        <v>170</v>
      </c>
      <c r="F2964" s="4" t="s">
        <v>155</v>
      </c>
      <c r="G2964" s="4">
        <v>3</v>
      </c>
      <c r="H2964" s="4">
        <v>4</v>
      </c>
      <c r="I2964" s="4" t="s">
        <v>139</v>
      </c>
      <c r="J2964" s="4" t="s">
        <v>178</v>
      </c>
      <c r="K2964" s="4" t="s">
        <v>144</v>
      </c>
      <c r="L2964" s="4" t="s">
        <v>4181</v>
      </c>
      <c r="M2964" s="4" t="s">
        <v>173</v>
      </c>
      <c r="N2964" s="4" t="s">
        <v>155</v>
      </c>
      <c r="O2964" s="4" t="s">
        <v>454</v>
      </c>
      <c r="P2964" s="4"/>
    </row>
    <row r="2965" spans="1:16" ht="15">
      <c r="A2965" s="4" t="s">
        <v>4109</v>
      </c>
      <c r="B2965" s="30">
        <v>39906</v>
      </c>
      <c r="C2965" s="4" t="s">
        <v>9</v>
      </c>
      <c r="D2965" s="4" t="s">
        <v>4185</v>
      </c>
      <c r="E2965" s="4" t="s">
        <v>170</v>
      </c>
      <c r="F2965" s="4" t="s">
        <v>155</v>
      </c>
      <c r="G2965" s="4"/>
      <c r="H2965" s="4"/>
      <c r="I2965" s="4" t="s">
        <v>139</v>
      </c>
      <c r="J2965" s="4" t="s">
        <v>178</v>
      </c>
      <c r="K2965" s="4" t="s">
        <v>147</v>
      </c>
      <c r="L2965" s="4" t="s">
        <v>165</v>
      </c>
      <c r="M2965" s="4" t="s">
        <v>4110</v>
      </c>
      <c r="N2965" s="4" t="s">
        <v>158</v>
      </c>
      <c r="O2965" s="4" t="s">
        <v>122</v>
      </c>
      <c r="P2965" s="4"/>
    </row>
    <row r="2966" spans="1:16" ht="15">
      <c r="A2966" s="4" t="s">
        <v>4111</v>
      </c>
      <c r="B2966" s="30">
        <v>40051</v>
      </c>
      <c r="C2966" s="4"/>
      <c r="D2966" s="4" t="s">
        <v>197</v>
      </c>
      <c r="E2966" s="4" t="s">
        <v>170</v>
      </c>
      <c r="F2966" s="4" t="s">
        <v>155</v>
      </c>
      <c r="G2966" s="4">
        <v>5</v>
      </c>
      <c r="H2966" s="4">
        <v>2</v>
      </c>
      <c r="I2966" s="4" t="s">
        <v>139</v>
      </c>
      <c r="J2966" s="4" t="s">
        <v>576</v>
      </c>
      <c r="K2966" s="4" t="s">
        <v>144</v>
      </c>
      <c r="L2966" s="4" t="s">
        <v>162</v>
      </c>
      <c r="M2966" s="4"/>
      <c r="N2966" s="4" t="s">
        <v>155</v>
      </c>
      <c r="O2966" s="4" t="s">
        <v>127</v>
      </c>
      <c r="P2966" s="4"/>
    </row>
    <row r="2967" spans="1:16" ht="15">
      <c r="A2967" s="4" t="s">
        <v>4112</v>
      </c>
      <c r="B2967" s="30">
        <v>40033</v>
      </c>
      <c r="C2967" s="4"/>
      <c r="D2967" s="4" t="s">
        <v>195</v>
      </c>
      <c r="E2967" s="4" t="s">
        <v>170</v>
      </c>
      <c r="F2967" s="4" t="s">
        <v>155</v>
      </c>
      <c r="G2967" s="4">
        <v>5</v>
      </c>
      <c r="H2967" s="4">
        <v>3</v>
      </c>
      <c r="I2967" s="4" t="s">
        <v>139</v>
      </c>
      <c r="J2967" s="4" t="s">
        <v>189</v>
      </c>
      <c r="K2967" s="4" t="s">
        <v>144</v>
      </c>
      <c r="L2967" s="4" t="s">
        <v>4176</v>
      </c>
      <c r="M2967" s="4" t="s">
        <v>174</v>
      </c>
      <c r="N2967" s="4" t="s">
        <v>159</v>
      </c>
      <c r="O2967" s="4" t="s">
        <v>123</v>
      </c>
      <c r="P2967" s="4" t="s">
        <v>123</v>
      </c>
    </row>
    <row r="2968" spans="1:16" ht="15">
      <c r="A2968" s="4" t="s">
        <v>4113</v>
      </c>
      <c r="B2968" s="30">
        <v>39930</v>
      </c>
      <c r="C2968" s="4" t="s">
        <v>9</v>
      </c>
      <c r="D2968" s="4" t="s">
        <v>4182</v>
      </c>
      <c r="E2968" s="4" t="s">
        <v>170</v>
      </c>
      <c r="F2968" s="4" t="s">
        <v>155</v>
      </c>
      <c r="G2968" s="4"/>
      <c r="H2968" s="4"/>
      <c r="I2968" s="4" t="s">
        <v>139</v>
      </c>
      <c r="J2968" s="4" t="s">
        <v>182</v>
      </c>
      <c r="K2968" s="4" t="s">
        <v>145</v>
      </c>
      <c r="L2968" s="4" t="s">
        <v>4176</v>
      </c>
      <c r="M2968" s="4" t="s">
        <v>174</v>
      </c>
      <c r="N2968" s="4" t="s">
        <v>156</v>
      </c>
      <c r="O2968" s="4" t="s">
        <v>120</v>
      </c>
      <c r="P2968" s="4" t="s">
        <v>427</v>
      </c>
    </row>
    <row r="2969" spans="1:16" ht="15">
      <c r="A2969" s="4" t="s">
        <v>4114</v>
      </c>
      <c r="B2969" s="30">
        <v>39919</v>
      </c>
      <c r="C2969" s="4"/>
      <c r="D2969" s="4" t="s">
        <v>4184</v>
      </c>
      <c r="E2969" s="4" t="s">
        <v>170</v>
      </c>
      <c r="F2969" s="4" t="s">
        <v>155</v>
      </c>
      <c r="G2969" s="4"/>
      <c r="H2969" s="4"/>
      <c r="I2969" s="4" t="s">
        <v>140</v>
      </c>
      <c r="J2969" s="4" t="s">
        <v>179</v>
      </c>
      <c r="K2969" s="4" t="s">
        <v>145</v>
      </c>
      <c r="L2969" s="4" t="s">
        <v>4181</v>
      </c>
      <c r="M2969" s="4" t="s">
        <v>173</v>
      </c>
      <c r="N2969" s="4" t="s">
        <v>155</v>
      </c>
      <c r="O2969" s="4" t="s">
        <v>125</v>
      </c>
      <c r="P2969" s="4"/>
    </row>
    <row r="2970" spans="1:16" ht="15">
      <c r="A2970" s="4" t="s">
        <v>4115</v>
      </c>
      <c r="B2970" s="30">
        <v>40014</v>
      </c>
      <c r="C2970" s="4" t="s">
        <v>383</v>
      </c>
      <c r="D2970" s="4" t="s">
        <v>193</v>
      </c>
      <c r="E2970" s="4" t="s">
        <v>170</v>
      </c>
      <c r="F2970" s="4" t="s">
        <v>155</v>
      </c>
      <c r="G2970" s="4">
        <v>5</v>
      </c>
      <c r="H2970" s="4">
        <v>3</v>
      </c>
      <c r="I2970" s="4" t="s">
        <v>140</v>
      </c>
      <c r="J2970" s="4" t="s">
        <v>184</v>
      </c>
      <c r="K2970" s="4" t="s">
        <v>146</v>
      </c>
      <c r="L2970" s="4" t="s">
        <v>4176</v>
      </c>
      <c r="M2970" s="4" t="s">
        <v>550</v>
      </c>
      <c r="N2970" s="4" t="s">
        <v>157</v>
      </c>
      <c r="O2970" s="4" t="s">
        <v>130</v>
      </c>
      <c r="P2970" s="4" t="s">
        <v>423</v>
      </c>
    </row>
    <row r="2971" spans="1:16" ht="15">
      <c r="A2971" s="4" t="s">
        <v>4116</v>
      </c>
      <c r="B2971" s="30">
        <v>39966</v>
      </c>
      <c r="C2971" s="4" t="s">
        <v>570</v>
      </c>
      <c r="D2971" s="4" t="s">
        <v>193</v>
      </c>
      <c r="E2971" s="4" t="s">
        <v>170</v>
      </c>
      <c r="F2971" s="4" t="s">
        <v>155</v>
      </c>
      <c r="G2971" s="4"/>
      <c r="H2971" s="4"/>
      <c r="I2971" s="4" t="s">
        <v>140</v>
      </c>
      <c r="J2971" s="4" t="s">
        <v>178</v>
      </c>
      <c r="K2971" s="4" t="s">
        <v>150</v>
      </c>
      <c r="L2971" s="4" t="s">
        <v>4176</v>
      </c>
      <c r="M2971" s="4" t="s">
        <v>550</v>
      </c>
      <c r="N2971" s="4" t="s">
        <v>160</v>
      </c>
      <c r="O2971" s="4" t="s">
        <v>126</v>
      </c>
      <c r="P2971" s="4" t="s">
        <v>685</v>
      </c>
    </row>
    <row r="2972" spans="1:16" ht="15">
      <c r="A2972" s="4" t="s">
        <v>4117</v>
      </c>
      <c r="B2972" s="30">
        <v>40006</v>
      </c>
      <c r="C2972" s="4"/>
      <c r="D2972" s="4" t="s">
        <v>196</v>
      </c>
      <c r="E2972" s="4" t="s">
        <v>170</v>
      </c>
      <c r="F2972" s="4" t="s">
        <v>155</v>
      </c>
      <c r="G2972" s="4">
        <v>5</v>
      </c>
      <c r="H2972" s="4">
        <v>5</v>
      </c>
      <c r="I2972" s="4" t="s">
        <v>139</v>
      </c>
      <c r="J2972" s="4" t="s">
        <v>182</v>
      </c>
      <c r="K2972" s="4" t="s">
        <v>143</v>
      </c>
      <c r="L2972" s="4" t="s">
        <v>4176</v>
      </c>
      <c r="M2972" s="4" t="s">
        <v>174</v>
      </c>
      <c r="N2972" s="4" t="s">
        <v>156</v>
      </c>
      <c r="O2972" s="4" t="s">
        <v>120</v>
      </c>
      <c r="P2972" s="4" t="s">
        <v>794</v>
      </c>
    </row>
    <row r="2973" spans="1:16" ht="15">
      <c r="A2973" s="4" t="s">
        <v>4118</v>
      </c>
      <c r="B2973" s="30">
        <v>40020</v>
      </c>
      <c r="C2973" s="4" t="s">
        <v>383</v>
      </c>
      <c r="D2973" s="4" t="s">
        <v>195</v>
      </c>
      <c r="E2973" s="4" t="s">
        <v>170</v>
      </c>
      <c r="F2973" s="4" t="s">
        <v>155</v>
      </c>
      <c r="G2973" s="4">
        <v>5</v>
      </c>
      <c r="H2973" s="4">
        <v>5</v>
      </c>
      <c r="I2973" s="4" t="s">
        <v>139</v>
      </c>
      <c r="J2973" s="4" t="s">
        <v>184</v>
      </c>
      <c r="K2973" s="4" t="s">
        <v>146</v>
      </c>
      <c r="L2973" s="4" t="s">
        <v>4176</v>
      </c>
      <c r="M2973" s="4" t="s">
        <v>176</v>
      </c>
      <c r="N2973" s="4" t="s">
        <v>398</v>
      </c>
      <c r="O2973" s="4" t="s">
        <v>399</v>
      </c>
      <c r="P2973" s="4" t="s">
        <v>400</v>
      </c>
    </row>
    <row r="2974" spans="1:16" ht="15">
      <c r="A2974" s="4" t="s">
        <v>4119</v>
      </c>
      <c r="B2974" s="30">
        <v>40051</v>
      </c>
      <c r="C2974" s="4" t="s">
        <v>380</v>
      </c>
      <c r="D2974" s="4" t="s">
        <v>197</v>
      </c>
      <c r="E2974" s="4" t="s">
        <v>170</v>
      </c>
      <c r="F2974" s="4" t="s">
        <v>155</v>
      </c>
      <c r="G2974" s="4">
        <v>5</v>
      </c>
      <c r="H2974" s="4">
        <v>3</v>
      </c>
      <c r="I2974" s="4" t="s">
        <v>139</v>
      </c>
      <c r="J2974" s="4" t="s">
        <v>184</v>
      </c>
      <c r="K2974" s="4" t="s">
        <v>146</v>
      </c>
      <c r="L2974" s="4" t="s">
        <v>165</v>
      </c>
      <c r="M2974" s="4" t="s">
        <v>4120</v>
      </c>
      <c r="N2974" s="4" t="s">
        <v>158</v>
      </c>
      <c r="O2974" s="4" t="s">
        <v>122</v>
      </c>
      <c r="P2974" s="4"/>
    </row>
    <row r="2975" spans="1:16" ht="15">
      <c r="A2975" s="4" t="s">
        <v>4121</v>
      </c>
      <c r="B2975" s="30">
        <v>40074</v>
      </c>
      <c r="C2975" s="4" t="s">
        <v>380</v>
      </c>
      <c r="D2975" s="4" t="s">
        <v>197</v>
      </c>
      <c r="E2975" s="4" t="s">
        <v>170</v>
      </c>
      <c r="F2975" s="4" t="s">
        <v>155</v>
      </c>
      <c r="G2975" s="4">
        <v>5</v>
      </c>
      <c r="H2975" s="4">
        <v>3</v>
      </c>
      <c r="I2975" s="4" t="s">
        <v>139</v>
      </c>
      <c r="J2975" s="4" t="s">
        <v>184</v>
      </c>
      <c r="K2975" s="4" t="s">
        <v>142</v>
      </c>
      <c r="L2975" s="4" t="s">
        <v>4181</v>
      </c>
      <c r="M2975" s="4" t="s">
        <v>173</v>
      </c>
      <c r="N2975" s="4" t="s">
        <v>155</v>
      </c>
      <c r="O2975" s="4" t="s">
        <v>127</v>
      </c>
      <c r="P2975" s="4"/>
    </row>
    <row r="2976" spans="1:16" ht="15">
      <c r="A2976" s="4" t="s">
        <v>4122</v>
      </c>
      <c r="B2976" s="30">
        <v>39911</v>
      </c>
      <c r="C2976" s="4"/>
      <c r="D2976" s="4" t="s">
        <v>4177</v>
      </c>
      <c r="E2976" s="4" t="s">
        <v>170</v>
      </c>
      <c r="F2976" s="4" t="s">
        <v>155</v>
      </c>
      <c r="G2976" s="4"/>
      <c r="H2976" s="4"/>
      <c r="I2976" s="4" t="s">
        <v>139</v>
      </c>
      <c r="J2976" s="4" t="s">
        <v>179</v>
      </c>
      <c r="K2976" s="4" t="s">
        <v>150</v>
      </c>
      <c r="L2976" s="4" t="s">
        <v>4176</v>
      </c>
      <c r="M2976" s="4" t="s">
        <v>174</v>
      </c>
      <c r="N2976" s="4" t="s">
        <v>156</v>
      </c>
      <c r="O2976" s="4" t="s">
        <v>120</v>
      </c>
      <c r="P2976" s="4" t="s">
        <v>3574</v>
      </c>
    </row>
    <row r="2977" spans="1:16" ht="15">
      <c r="A2977" s="4" t="s">
        <v>4123</v>
      </c>
      <c r="B2977" s="30">
        <v>39958</v>
      </c>
      <c r="C2977" s="4"/>
      <c r="D2977" s="4" t="s">
        <v>194</v>
      </c>
      <c r="E2977" s="4" t="s">
        <v>170</v>
      </c>
      <c r="F2977" s="4" t="s">
        <v>155</v>
      </c>
      <c r="G2977" s="4"/>
      <c r="H2977" s="4"/>
      <c r="I2977" s="4" t="s">
        <v>139</v>
      </c>
      <c r="J2977" s="4" t="s">
        <v>178</v>
      </c>
      <c r="K2977" s="4" t="s">
        <v>145</v>
      </c>
      <c r="L2977" s="4" t="s">
        <v>4181</v>
      </c>
      <c r="M2977" s="4" t="s">
        <v>4124</v>
      </c>
      <c r="N2977" s="4" t="s">
        <v>155</v>
      </c>
      <c r="O2977" s="4" t="s">
        <v>670</v>
      </c>
      <c r="P2977" s="4"/>
    </row>
    <row r="2978" spans="1:16" ht="15">
      <c r="A2978" s="4" t="s">
        <v>4125</v>
      </c>
      <c r="B2978" s="30">
        <v>39977</v>
      </c>
      <c r="C2978" s="4"/>
      <c r="D2978" s="4" t="s">
        <v>195</v>
      </c>
      <c r="E2978" s="4" t="s">
        <v>170</v>
      </c>
      <c r="F2978" s="4" t="s">
        <v>155</v>
      </c>
      <c r="G2978" s="4"/>
      <c r="H2978" s="4"/>
      <c r="I2978" s="4" t="s">
        <v>139</v>
      </c>
      <c r="J2978" s="4" t="s">
        <v>179</v>
      </c>
      <c r="K2978" s="4" t="s">
        <v>146</v>
      </c>
      <c r="L2978" s="4" t="s">
        <v>4181</v>
      </c>
      <c r="M2978" s="4" t="s">
        <v>173</v>
      </c>
      <c r="N2978" s="4" t="s">
        <v>155</v>
      </c>
      <c r="O2978" s="4" t="s">
        <v>571</v>
      </c>
      <c r="P2978" s="4"/>
    </row>
    <row r="2979" spans="1:16" ht="15">
      <c r="A2979" s="4" t="s">
        <v>4126</v>
      </c>
      <c r="B2979" s="30">
        <v>39948</v>
      </c>
      <c r="C2979" s="4"/>
      <c r="D2979" s="4" t="s">
        <v>195</v>
      </c>
      <c r="E2979" s="4" t="s">
        <v>170</v>
      </c>
      <c r="F2979" s="4" t="s">
        <v>155</v>
      </c>
      <c r="G2979" s="4"/>
      <c r="H2979" s="4"/>
      <c r="I2979" s="4" t="s">
        <v>139</v>
      </c>
      <c r="J2979" s="4" t="s">
        <v>189</v>
      </c>
      <c r="K2979" s="4" t="s">
        <v>147</v>
      </c>
      <c r="L2979" s="4" t="s">
        <v>4176</v>
      </c>
      <c r="M2979" s="4" t="s">
        <v>4127</v>
      </c>
      <c r="N2979" s="4" t="s">
        <v>156</v>
      </c>
      <c r="O2979" s="4" t="s">
        <v>120</v>
      </c>
      <c r="P2979" s="4" t="s">
        <v>794</v>
      </c>
    </row>
    <row r="2980" spans="1:16" ht="15">
      <c r="A2980" s="4" t="s">
        <v>4128</v>
      </c>
      <c r="B2980" s="30">
        <v>40080</v>
      </c>
      <c r="C2980" s="4" t="s">
        <v>383</v>
      </c>
      <c r="D2980" s="4" t="s">
        <v>197</v>
      </c>
      <c r="E2980" s="4" t="s">
        <v>170</v>
      </c>
      <c r="F2980" s="4" t="s">
        <v>155</v>
      </c>
      <c r="G2980" s="4">
        <v>5</v>
      </c>
      <c r="H2980" s="4">
        <v>5</v>
      </c>
      <c r="I2980" s="4" t="s">
        <v>139</v>
      </c>
      <c r="J2980" s="4" t="s">
        <v>184</v>
      </c>
      <c r="K2980" s="4" t="s">
        <v>146</v>
      </c>
      <c r="L2980" s="4" t="s">
        <v>4176</v>
      </c>
      <c r="M2980" s="4" t="s">
        <v>174</v>
      </c>
      <c r="N2980" s="4" t="s">
        <v>157</v>
      </c>
      <c r="O2980" s="4" t="s">
        <v>434</v>
      </c>
      <c r="P2980" s="4" t="s">
        <v>435</v>
      </c>
    </row>
    <row r="2981" spans="1:16" ht="15">
      <c r="A2981" s="4" t="s">
        <v>4129</v>
      </c>
      <c r="B2981" s="30">
        <v>40040</v>
      </c>
      <c r="C2981" s="4" t="s">
        <v>380</v>
      </c>
      <c r="D2981" s="4" t="s">
        <v>196</v>
      </c>
      <c r="E2981" s="4" t="s">
        <v>170</v>
      </c>
      <c r="F2981" s="4" t="s">
        <v>155</v>
      </c>
      <c r="G2981" s="4">
        <v>5</v>
      </c>
      <c r="H2981" s="4">
        <v>5</v>
      </c>
      <c r="I2981" s="4" t="s">
        <v>139</v>
      </c>
      <c r="J2981" s="4" t="s">
        <v>189</v>
      </c>
      <c r="K2981" s="4" t="s">
        <v>142</v>
      </c>
      <c r="L2981" s="4" t="s">
        <v>4181</v>
      </c>
      <c r="M2981" s="4" t="s">
        <v>173</v>
      </c>
      <c r="N2981" s="4" t="s">
        <v>155</v>
      </c>
      <c r="O2981" s="4" t="s">
        <v>406</v>
      </c>
      <c r="P2981" s="4"/>
    </row>
    <row r="2982" spans="1:16" ht="15">
      <c r="A2982" s="4" t="s">
        <v>4130</v>
      </c>
      <c r="B2982" s="30">
        <v>40020</v>
      </c>
      <c r="C2982" s="4" t="s">
        <v>496</v>
      </c>
      <c r="D2982" s="4" t="s">
        <v>197</v>
      </c>
      <c r="E2982" s="4" t="s">
        <v>170</v>
      </c>
      <c r="F2982" s="4" t="s">
        <v>155</v>
      </c>
      <c r="G2982" s="4">
        <v>5</v>
      </c>
      <c r="H2982" s="4">
        <v>3</v>
      </c>
      <c r="I2982" s="4" t="s">
        <v>139</v>
      </c>
      <c r="J2982" s="4" t="s">
        <v>187</v>
      </c>
      <c r="K2982" s="4" t="s">
        <v>142</v>
      </c>
      <c r="L2982" s="4" t="s">
        <v>4181</v>
      </c>
      <c r="M2982" s="4" t="s">
        <v>173</v>
      </c>
      <c r="N2982" s="4" t="s">
        <v>155</v>
      </c>
      <c r="O2982" s="4" t="s">
        <v>763</v>
      </c>
      <c r="P2982" s="4"/>
    </row>
    <row r="2983" spans="1:16" ht="15">
      <c r="A2983" s="4" t="s">
        <v>4131</v>
      </c>
      <c r="B2983" s="30">
        <v>40029</v>
      </c>
      <c r="C2983" s="4" t="s">
        <v>9</v>
      </c>
      <c r="D2983" s="4" t="s">
        <v>197</v>
      </c>
      <c r="E2983" s="4" t="s">
        <v>170</v>
      </c>
      <c r="F2983" s="4" t="s">
        <v>155</v>
      </c>
      <c r="G2983" s="4">
        <v>5</v>
      </c>
      <c r="H2983" s="4">
        <v>2</v>
      </c>
      <c r="I2983" s="4" t="s">
        <v>139</v>
      </c>
      <c r="J2983" s="4" t="s">
        <v>187</v>
      </c>
      <c r="K2983" s="4" t="s">
        <v>143</v>
      </c>
      <c r="L2983" s="4" t="s">
        <v>4181</v>
      </c>
      <c r="M2983" s="4" t="s">
        <v>1042</v>
      </c>
      <c r="N2983" s="4" t="s">
        <v>155</v>
      </c>
      <c r="O2983" s="4" t="s">
        <v>501</v>
      </c>
      <c r="P2983" s="4"/>
    </row>
    <row r="2984" spans="1:16" ht="15">
      <c r="A2984" s="4" t="s">
        <v>4132</v>
      </c>
      <c r="B2984" s="30">
        <v>39968</v>
      </c>
      <c r="C2984" s="4"/>
      <c r="D2984" s="4" t="s">
        <v>193</v>
      </c>
      <c r="E2984" s="4" t="s">
        <v>170</v>
      </c>
      <c r="F2984" s="4" t="s">
        <v>155</v>
      </c>
      <c r="G2984" s="4"/>
      <c r="H2984" s="4"/>
      <c r="I2984" s="4" t="s">
        <v>140</v>
      </c>
      <c r="J2984" s="4" t="s">
        <v>190</v>
      </c>
      <c r="K2984" s="4" t="s">
        <v>143</v>
      </c>
      <c r="L2984" s="4" t="s">
        <v>4176</v>
      </c>
      <c r="M2984" s="4"/>
      <c r="N2984" s="4" t="s">
        <v>160</v>
      </c>
      <c r="O2984" s="4" t="s">
        <v>126</v>
      </c>
      <c r="P2984" s="4" t="s">
        <v>665</v>
      </c>
    </row>
    <row r="2985" spans="1:16" ht="15">
      <c r="A2985" s="4" t="s">
        <v>4133</v>
      </c>
      <c r="B2985" s="30">
        <v>40070</v>
      </c>
      <c r="C2985" s="4" t="s">
        <v>9</v>
      </c>
      <c r="D2985" s="4" t="s">
        <v>193</v>
      </c>
      <c r="E2985" s="4" t="s">
        <v>170</v>
      </c>
      <c r="F2985" s="4" t="s">
        <v>155</v>
      </c>
      <c r="G2985" s="4">
        <v>5</v>
      </c>
      <c r="H2985" s="4">
        <v>3</v>
      </c>
      <c r="I2985" s="4" t="s">
        <v>140</v>
      </c>
      <c r="J2985" s="4" t="s">
        <v>190</v>
      </c>
      <c r="K2985" s="4" t="s">
        <v>146</v>
      </c>
      <c r="L2985" s="4" t="s">
        <v>4176</v>
      </c>
      <c r="M2985" s="4" t="s">
        <v>174</v>
      </c>
      <c r="N2985" s="4" t="s">
        <v>156</v>
      </c>
      <c r="O2985" s="4" t="s">
        <v>120</v>
      </c>
      <c r="P2985" s="4" t="s">
        <v>748</v>
      </c>
    </row>
    <row r="2986" spans="1:16" ht="15">
      <c r="A2986" s="4" t="s">
        <v>4134</v>
      </c>
      <c r="B2986" s="30">
        <v>40085</v>
      </c>
      <c r="C2986" s="4" t="s">
        <v>496</v>
      </c>
      <c r="D2986" s="4" t="s">
        <v>193</v>
      </c>
      <c r="E2986" s="4" t="s">
        <v>170</v>
      </c>
      <c r="F2986" s="4" t="s">
        <v>155</v>
      </c>
      <c r="G2986" s="4">
        <v>3</v>
      </c>
      <c r="H2986" s="4">
        <v>2</v>
      </c>
      <c r="I2986" s="4" t="s">
        <v>140</v>
      </c>
      <c r="J2986" s="4" t="s">
        <v>178</v>
      </c>
      <c r="K2986" s="4" t="s">
        <v>144</v>
      </c>
      <c r="L2986" s="4" t="s">
        <v>4176</v>
      </c>
      <c r="M2986" s="4" t="s">
        <v>174</v>
      </c>
      <c r="N2986" s="4" t="s">
        <v>156</v>
      </c>
      <c r="O2986" s="4" t="s">
        <v>120</v>
      </c>
      <c r="P2986" s="4" t="s">
        <v>741</v>
      </c>
    </row>
    <row r="2987" spans="1:16" ht="15">
      <c r="A2987" s="4" t="s">
        <v>4135</v>
      </c>
      <c r="B2987" s="30">
        <v>39928</v>
      </c>
      <c r="C2987" s="4"/>
      <c r="D2987" s="4" t="s">
        <v>4179</v>
      </c>
      <c r="E2987" s="4" t="s">
        <v>170</v>
      </c>
      <c r="F2987" s="4" t="s">
        <v>155</v>
      </c>
      <c r="G2987" s="4"/>
      <c r="H2987" s="4"/>
      <c r="I2987" s="4" t="s">
        <v>139</v>
      </c>
      <c r="J2987" s="4" t="s">
        <v>179</v>
      </c>
      <c r="K2987" s="4" t="s">
        <v>148</v>
      </c>
      <c r="L2987" s="4" t="s">
        <v>4181</v>
      </c>
      <c r="M2987" s="4" t="s">
        <v>173</v>
      </c>
      <c r="N2987" s="4" t="s">
        <v>155</v>
      </c>
      <c r="O2987" s="4" t="s">
        <v>406</v>
      </c>
      <c r="P2987" s="4"/>
    </row>
    <row r="2988" spans="1:16" ht="15">
      <c r="A2988" s="4" t="s">
        <v>4136</v>
      </c>
      <c r="B2988" s="30">
        <v>39969</v>
      </c>
      <c r="C2988" s="4"/>
      <c r="D2988" s="4" t="s">
        <v>193</v>
      </c>
      <c r="E2988" s="4" t="s">
        <v>170</v>
      </c>
      <c r="F2988" s="4" t="s">
        <v>155</v>
      </c>
      <c r="G2988" s="4"/>
      <c r="H2988" s="4"/>
      <c r="I2988" s="4" t="s">
        <v>140</v>
      </c>
      <c r="J2988" s="4" t="s">
        <v>409</v>
      </c>
      <c r="K2988" s="4" t="s">
        <v>142</v>
      </c>
      <c r="L2988" s="4" t="s">
        <v>4176</v>
      </c>
      <c r="M2988" s="4" t="s">
        <v>174</v>
      </c>
      <c r="N2988" s="4" t="s">
        <v>157</v>
      </c>
      <c r="O2988" s="4" t="s">
        <v>434</v>
      </c>
      <c r="P2988" s="4" t="s">
        <v>435</v>
      </c>
    </row>
    <row r="2989" spans="1:16" ht="15">
      <c r="A2989" s="4" t="s">
        <v>4137</v>
      </c>
      <c r="B2989" s="30">
        <v>39971</v>
      </c>
      <c r="C2989" s="4"/>
      <c r="D2989" s="4" t="s">
        <v>193</v>
      </c>
      <c r="E2989" s="4" t="s">
        <v>170</v>
      </c>
      <c r="F2989" s="4" t="s">
        <v>155</v>
      </c>
      <c r="G2989" s="4"/>
      <c r="H2989" s="4"/>
      <c r="I2989" s="4" t="s">
        <v>140</v>
      </c>
      <c r="J2989" s="4" t="s">
        <v>182</v>
      </c>
      <c r="K2989" s="4" t="s">
        <v>143</v>
      </c>
      <c r="L2989" s="4" t="s">
        <v>4176</v>
      </c>
      <c r="M2989" s="4"/>
      <c r="N2989" s="4" t="s">
        <v>160</v>
      </c>
      <c r="O2989" s="4" t="s">
        <v>126</v>
      </c>
      <c r="P2989" s="4" t="s">
        <v>551</v>
      </c>
    </row>
    <row r="2990" spans="1:16" ht="15">
      <c r="A2990" s="4" t="s">
        <v>4138</v>
      </c>
      <c r="B2990" s="30">
        <v>40000</v>
      </c>
      <c r="C2990" s="4"/>
      <c r="D2990" s="4" t="s">
        <v>196</v>
      </c>
      <c r="E2990" s="4" t="s">
        <v>170</v>
      </c>
      <c r="F2990" s="4" t="s">
        <v>155</v>
      </c>
      <c r="G2990" s="4"/>
      <c r="H2990" s="4">
        <v>5</v>
      </c>
      <c r="I2990" s="4" t="s">
        <v>139</v>
      </c>
      <c r="J2990" s="4" t="s">
        <v>184</v>
      </c>
      <c r="K2990" s="4" t="s">
        <v>144</v>
      </c>
      <c r="L2990" s="4" t="s">
        <v>4176</v>
      </c>
      <c r="M2990" s="4" t="s">
        <v>174</v>
      </c>
      <c r="N2990" s="4" t="s">
        <v>156</v>
      </c>
      <c r="O2990" s="4" t="s">
        <v>120</v>
      </c>
      <c r="P2990" s="4" t="s">
        <v>794</v>
      </c>
    </row>
    <row r="2991" spans="1:16" ht="15">
      <c r="A2991" s="4" t="s">
        <v>4139</v>
      </c>
      <c r="B2991" s="30">
        <v>39947</v>
      </c>
      <c r="C2991" s="4"/>
      <c r="D2991" s="4" t="s">
        <v>195</v>
      </c>
      <c r="E2991" s="4" t="s">
        <v>170</v>
      </c>
      <c r="F2991" s="4" t="s">
        <v>155</v>
      </c>
      <c r="G2991" s="4"/>
      <c r="H2991" s="4"/>
      <c r="I2991" s="4" t="s">
        <v>139</v>
      </c>
      <c r="J2991" s="4" t="s">
        <v>182</v>
      </c>
      <c r="K2991" s="4" t="s">
        <v>147</v>
      </c>
      <c r="L2991" s="4" t="s">
        <v>165</v>
      </c>
      <c r="M2991" s="4" t="s">
        <v>1023</v>
      </c>
      <c r="N2991" s="4" t="s">
        <v>158</v>
      </c>
      <c r="O2991" s="4" t="s">
        <v>122</v>
      </c>
      <c r="P2991" s="4"/>
    </row>
    <row r="2992" spans="1:16" ht="15">
      <c r="A2992" s="4" t="s">
        <v>4140</v>
      </c>
      <c r="B2992" s="30">
        <v>40085</v>
      </c>
      <c r="C2992" s="4" t="s">
        <v>380</v>
      </c>
      <c r="D2992" s="4" t="s">
        <v>193</v>
      </c>
      <c r="E2992" s="4" t="s">
        <v>170</v>
      </c>
      <c r="F2992" s="4" t="s">
        <v>155</v>
      </c>
      <c r="G2992" s="4">
        <v>5</v>
      </c>
      <c r="H2992" s="4">
        <v>5</v>
      </c>
      <c r="I2992" s="4" t="s">
        <v>140</v>
      </c>
      <c r="J2992" s="4" t="s">
        <v>182</v>
      </c>
      <c r="K2992" s="4" t="s">
        <v>142</v>
      </c>
      <c r="L2992" s="4" t="s">
        <v>4181</v>
      </c>
      <c r="M2992" s="4" t="s">
        <v>173</v>
      </c>
      <c r="N2992" s="4" t="s">
        <v>155</v>
      </c>
      <c r="O2992" s="4" t="s">
        <v>128</v>
      </c>
      <c r="P2992" s="4"/>
    </row>
    <row r="2993" spans="1:16" ht="15">
      <c r="A2993" s="4" t="s">
        <v>4141</v>
      </c>
      <c r="B2993" s="30">
        <v>39987</v>
      </c>
      <c r="C2993" s="4"/>
      <c r="D2993" s="4" t="s">
        <v>194</v>
      </c>
      <c r="E2993" s="4" t="s">
        <v>170</v>
      </c>
      <c r="F2993" s="4" t="s">
        <v>155</v>
      </c>
      <c r="G2993" s="4"/>
      <c r="H2993" s="4"/>
      <c r="I2993" s="4" t="s">
        <v>139</v>
      </c>
      <c r="J2993" s="4" t="s">
        <v>179</v>
      </c>
      <c r="K2993" s="4" t="s">
        <v>145</v>
      </c>
      <c r="L2993" s="4" t="s">
        <v>162</v>
      </c>
      <c r="M2993" s="4" t="s">
        <v>459</v>
      </c>
      <c r="N2993" s="4" t="s">
        <v>155</v>
      </c>
      <c r="O2993" s="4" t="s">
        <v>130</v>
      </c>
      <c r="P2993" s="4"/>
    </row>
    <row r="2994" spans="1:16" ht="15">
      <c r="A2994" s="4" t="s">
        <v>4142</v>
      </c>
      <c r="B2994" s="30">
        <v>40011</v>
      </c>
      <c r="C2994" s="4"/>
      <c r="D2994" s="4" t="s">
        <v>194</v>
      </c>
      <c r="E2994" s="4" t="s">
        <v>170</v>
      </c>
      <c r="F2994" s="4" t="s">
        <v>155</v>
      </c>
      <c r="G2994" s="4">
        <v>5</v>
      </c>
      <c r="H2994" s="4">
        <v>5</v>
      </c>
      <c r="I2994" s="4" t="s">
        <v>139</v>
      </c>
      <c r="J2994" s="4" t="s">
        <v>184</v>
      </c>
      <c r="K2994" s="4" t="s">
        <v>144</v>
      </c>
      <c r="L2994" s="4" t="s">
        <v>4181</v>
      </c>
      <c r="M2994" s="4" t="s">
        <v>415</v>
      </c>
      <c r="N2994" s="4" t="s">
        <v>155</v>
      </c>
      <c r="O2994" s="4" t="s">
        <v>125</v>
      </c>
      <c r="P2994" s="4"/>
    </row>
    <row r="2995" spans="1:16" ht="15">
      <c r="A2995" s="4" t="s">
        <v>4143</v>
      </c>
      <c r="B2995" s="30">
        <v>39997</v>
      </c>
      <c r="C2995" s="4"/>
      <c r="D2995" s="4" t="s">
        <v>193</v>
      </c>
      <c r="E2995" s="4" t="s">
        <v>170</v>
      </c>
      <c r="F2995" s="4" t="s">
        <v>155</v>
      </c>
      <c r="G2995" s="4"/>
      <c r="H2995" s="4">
        <v>4</v>
      </c>
      <c r="I2995" s="4" t="s">
        <v>140</v>
      </c>
      <c r="J2995" s="4" t="s">
        <v>178</v>
      </c>
      <c r="K2995" s="4" t="s">
        <v>143</v>
      </c>
      <c r="L2995" s="4" t="s">
        <v>162</v>
      </c>
      <c r="M2995" s="4"/>
      <c r="N2995" s="4" t="s">
        <v>155</v>
      </c>
      <c r="O2995" s="4" t="s">
        <v>127</v>
      </c>
      <c r="P2995" s="4"/>
    </row>
    <row r="2996" spans="1:16" ht="15">
      <c r="A2996" s="4" t="s">
        <v>4144</v>
      </c>
      <c r="B2996" s="30">
        <v>39978</v>
      </c>
      <c r="C2996" s="4" t="s">
        <v>9</v>
      </c>
      <c r="D2996" s="4" t="s">
        <v>193</v>
      </c>
      <c r="E2996" s="4" t="s">
        <v>170</v>
      </c>
      <c r="F2996" s="4" t="s">
        <v>155</v>
      </c>
      <c r="G2996" s="4"/>
      <c r="H2996" s="4"/>
      <c r="I2996" s="4" t="s">
        <v>140</v>
      </c>
      <c r="J2996" s="4" t="s">
        <v>178</v>
      </c>
      <c r="K2996" s="4" t="s">
        <v>143</v>
      </c>
      <c r="L2996" s="4" t="s">
        <v>4181</v>
      </c>
      <c r="M2996" s="4" t="s">
        <v>173</v>
      </c>
      <c r="N2996" s="4" t="s">
        <v>155</v>
      </c>
      <c r="O2996" s="4" t="s">
        <v>454</v>
      </c>
      <c r="P2996" s="4"/>
    </row>
    <row r="2997" spans="1:16" ht="15">
      <c r="A2997" s="4" t="s">
        <v>4145</v>
      </c>
      <c r="B2997" s="30">
        <v>40064</v>
      </c>
      <c r="C2997" s="4"/>
      <c r="D2997" s="4" t="s">
        <v>193</v>
      </c>
      <c r="E2997" s="4" t="s">
        <v>170</v>
      </c>
      <c r="F2997" s="4" t="s">
        <v>155</v>
      </c>
      <c r="G2997" s="4">
        <v>5</v>
      </c>
      <c r="H2997" s="4">
        <v>5</v>
      </c>
      <c r="I2997" s="4" t="s">
        <v>140</v>
      </c>
      <c r="J2997" s="4" t="s">
        <v>182</v>
      </c>
      <c r="K2997" s="4" t="s">
        <v>145</v>
      </c>
      <c r="L2997" s="4" t="s">
        <v>162</v>
      </c>
      <c r="M2997" s="4" t="s">
        <v>459</v>
      </c>
      <c r="N2997" s="4" t="s">
        <v>155</v>
      </c>
      <c r="O2997" s="4" t="s">
        <v>129</v>
      </c>
      <c r="P2997" s="4"/>
    </row>
    <row r="2998" spans="1:16" ht="15">
      <c r="A2998" s="4" t="s">
        <v>4146</v>
      </c>
      <c r="B2998" s="30">
        <v>40067</v>
      </c>
      <c r="C2998" s="4"/>
      <c r="D2998" s="4" t="s">
        <v>193</v>
      </c>
      <c r="E2998" s="4" t="s">
        <v>170</v>
      </c>
      <c r="F2998" s="4" t="s">
        <v>155</v>
      </c>
      <c r="G2998" s="4">
        <v>5</v>
      </c>
      <c r="H2998" s="4">
        <v>5</v>
      </c>
      <c r="I2998" s="4" t="s">
        <v>140</v>
      </c>
      <c r="J2998" s="4" t="s">
        <v>182</v>
      </c>
      <c r="K2998" s="4" t="s">
        <v>144</v>
      </c>
      <c r="L2998" s="4" t="s">
        <v>162</v>
      </c>
      <c r="M2998" s="4"/>
      <c r="N2998" s="4" t="s">
        <v>155</v>
      </c>
      <c r="O2998" s="4" t="s">
        <v>127</v>
      </c>
      <c r="P2998" s="4"/>
    </row>
    <row r="2999" spans="1:16" ht="15">
      <c r="A2999" s="4" t="s">
        <v>4147</v>
      </c>
      <c r="B2999" s="30">
        <v>39936</v>
      </c>
      <c r="C2999" s="4"/>
      <c r="D2999" s="4" t="s">
        <v>4182</v>
      </c>
      <c r="E2999" s="4" t="s">
        <v>170</v>
      </c>
      <c r="F2999" s="4" t="s">
        <v>155</v>
      </c>
      <c r="G2999" s="4"/>
      <c r="H2999" s="4"/>
      <c r="I2999" s="4" t="s">
        <v>139</v>
      </c>
      <c r="J2999" s="4" t="s">
        <v>182</v>
      </c>
      <c r="K2999" s="4" t="s">
        <v>145</v>
      </c>
      <c r="L2999" s="4" t="s">
        <v>4181</v>
      </c>
      <c r="M2999" s="4" t="s">
        <v>173</v>
      </c>
      <c r="N2999" s="4" t="s">
        <v>155</v>
      </c>
      <c r="O2999" s="4" t="s">
        <v>125</v>
      </c>
      <c r="P2999" s="4"/>
    </row>
    <row r="3000" spans="1:16" ht="15">
      <c r="A3000" s="4" t="s">
        <v>4148</v>
      </c>
      <c r="B3000" s="30">
        <v>39989</v>
      </c>
      <c r="C3000" s="4"/>
      <c r="D3000" s="4" t="s">
        <v>195</v>
      </c>
      <c r="E3000" s="4" t="s">
        <v>170</v>
      </c>
      <c r="F3000" s="4" t="s">
        <v>155</v>
      </c>
      <c r="G3000" s="4"/>
      <c r="H3000" s="4"/>
      <c r="I3000" s="4" t="s">
        <v>139</v>
      </c>
      <c r="J3000" s="4" t="s">
        <v>182</v>
      </c>
      <c r="K3000" s="4" t="s">
        <v>142</v>
      </c>
      <c r="L3000" s="4" t="s">
        <v>162</v>
      </c>
      <c r="M3000" s="4" t="s">
        <v>4149</v>
      </c>
      <c r="N3000" s="4" t="s">
        <v>155</v>
      </c>
      <c r="O3000" s="4" t="s">
        <v>130</v>
      </c>
      <c r="P3000" s="4"/>
    </row>
    <row r="3001" spans="1:16" ht="15">
      <c r="A3001" s="4" t="s">
        <v>4150</v>
      </c>
      <c r="B3001" s="30">
        <v>39964</v>
      </c>
      <c r="C3001" s="4"/>
      <c r="D3001" s="4" t="s">
        <v>193</v>
      </c>
      <c r="E3001" s="4" t="s">
        <v>170</v>
      </c>
      <c r="F3001" s="4" t="s">
        <v>155</v>
      </c>
      <c r="G3001" s="4"/>
      <c r="H3001" s="4"/>
      <c r="I3001" s="4" t="s">
        <v>140</v>
      </c>
      <c r="J3001" s="4" t="s">
        <v>179</v>
      </c>
      <c r="K3001" s="4" t="s">
        <v>149</v>
      </c>
      <c r="L3001" s="4" t="s">
        <v>4176</v>
      </c>
      <c r="M3001" s="4" t="s">
        <v>619</v>
      </c>
      <c r="N3001" s="4" t="s">
        <v>157</v>
      </c>
      <c r="O3001" s="4" t="s">
        <v>130</v>
      </c>
      <c r="P3001" s="4" t="s">
        <v>437</v>
      </c>
    </row>
    <row r="3002" spans="1:16" ht="15">
      <c r="A3002" s="4" t="s">
        <v>4151</v>
      </c>
      <c r="B3002" s="30">
        <v>40059</v>
      </c>
      <c r="C3002" s="4"/>
      <c r="D3002" s="4" t="s">
        <v>193</v>
      </c>
      <c r="E3002" s="4" t="s">
        <v>170</v>
      </c>
      <c r="F3002" s="4" t="s">
        <v>155</v>
      </c>
      <c r="G3002" s="4">
        <v>3</v>
      </c>
      <c r="H3002" s="4">
        <v>4</v>
      </c>
      <c r="I3002" s="4" t="s">
        <v>140</v>
      </c>
      <c r="J3002" s="4" t="s">
        <v>184</v>
      </c>
      <c r="K3002" s="4" t="s">
        <v>146</v>
      </c>
      <c r="L3002" s="4" t="s">
        <v>4181</v>
      </c>
      <c r="M3002" s="4" t="s">
        <v>173</v>
      </c>
      <c r="N3002" s="4" t="s">
        <v>155</v>
      </c>
      <c r="O3002" s="4" t="s">
        <v>501</v>
      </c>
      <c r="P3002" s="4"/>
    </row>
    <row r="3003" spans="1:16" ht="15">
      <c r="A3003" s="4" t="s">
        <v>4152</v>
      </c>
      <c r="B3003" s="30">
        <v>40054</v>
      </c>
      <c r="C3003" s="4"/>
      <c r="D3003" s="4" t="s">
        <v>193</v>
      </c>
      <c r="E3003" s="4" t="s">
        <v>170</v>
      </c>
      <c r="F3003" s="4" t="s">
        <v>155</v>
      </c>
      <c r="G3003" s="4">
        <v>1</v>
      </c>
      <c r="H3003" s="4">
        <v>5</v>
      </c>
      <c r="I3003" s="4" t="s">
        <v>140</v>
      </c>
      <c r="J3003" s="4" t="s">
        <v>509</v>
      </c>
      <c r="K3003" s="4" t="s">
        <v>144</v>
      </c>
      <c r="L3003" s="4" t="s">
        <v>4181</v>
      </c>
      <c r="M3003" s="4" t="s">
        <v>173</v>
      </c>
      <c r="N3003" s="4" t="s">
        <v>155</v>
      </c>
      <c r="O3003" s="4" t="s">
        <v>128</v>
      </c>
      <c r="P3003" s="4"/>
    </row>
    <row r="3004" spans="1:16" ht="15">
      <c r="A3004" s="4" t="s">
        <v>4153</v>
      </c>
      <c r="B3004" s="30">
        <v>39978</v>
      </c>
      <c r="C3004" s="4"/>
      <c r="D3004" s="4" t="s">
        <v>193</v>
      </c>
      <c r="E3004" s="4" t="s">
        <v>170</v>
      </c>
      <c r="F3004" s="4" t="s">
        <v>155</v>
      </c>
      <c r="G3004" s="4"/>
      <c r="H3004" s="4"/>
      <c r="I3004" s="4" t="s">
        <v>140</v>
      </c>
      <c r="J3004" s="4" t="s">
        <v>179</v>
      </c>
      <c r="K3004" s="4" t="s">
        <v>144</v>
      </c>
      <c r="L3004" s="4" t="s">
        <v>4181</v>
      </c>
      <c r="M3004" s="4" t="s">
        <v>173</v>
      </c>
      <c r="N3004" s="4" t="s">
        <v>155</v>
      </c>
      <c r="O3004" s="4" t="s">
        <v>406</v>
      </c>
      <c r="P3004" s="4"/>
    </row>
    <row r="3005" spans="1:16" ht="15">
      <c r="A3005" s="4" t="s">
        <v>4154</v>
      </c>
      <c r="B3005" s="30">
        <v>40044</v>
      </c>
      <c r="C3005" s="4" t="s">
        <v>383</v>
      </c>
      <c r="D3005" s="4" t="s">
        <v>197</v>
      </c>
      <c r="E3005" s="4" t="s">
        <v>170</v>
      </c>
      <c r="F3005" s="4" t="s">
        <v>155</v>
      </c>
      <c r="G3005" s="4">
        <v>5</v>
      </c>
      <c r="H3005" s="4">
        <v>3</v>
      </c>
      <c r="I3005" s="4" t="s">
        <v>139</v>
      </c>
      <c r="J3005" s="4" t="s">
        <v>182</v>
      </c>
      <c r="K3005" s="4" t="s">
        <v>144</v>
      </c>
      <c r="L3005" s="4" t="s">
        <v>4181</v>
      </c>
      <c r="M3005" s="4" t="s">
        <v>173</v>
      </c>
      <c r="N3005" s="4" t="s">
        <v>155</v>
      </c>
      <c r="O3005" s="4" t="s">
        <v>130</v>
      </c>
      <c r="P3005" s="4"/>
    </row>
    <row r="3006" spans="1:16" ht="15">
      <c r="A3006" s="4" t="s">
        <v>4155</v>
      </c>
      <c r="B3006" s="30">
        <v>40019</v>
      </c>
      <c r="C3006" s="4"/>
      <c r="D3006" s="4" t="s">
        <v>193</v>
      </c>
      <c r="E3006" s="4" t="s">
        <v>170</v>
      </c>
      <c r="F3006" s="4" t="s">
        <v>155</v>
      </c>
      <c r="G3006" s="4">
        <v>5</v>
      </c>
      <c r="H3006" s="4">
        <v>5</v>
      </c>
      <c r="I3006" s="4" t="s">
        <v>140</v>
      </c>
      <c r="J3006" s="4" t="s">
        <v>189</v>
      </c>
      <c r="K3006" s="4" t="s">
        <v>145</v>
      </c>
      <c r="L3006" s="4" t="s">
        <v>162</v>
      </c>
      <c r="M3006" s="4" t="s">
        <v>175</v>
      </c>
      <c r="N3006" s="4" t="s">
        <v>155</v>
      </c>
      <c r="O3006" s="4" t="s">
        <v>130</v>
      </c>
      <c r="P3006" s="4"/>
    </row>
    <row r="3007" spans="1:16" ht="15">
      <c r="A3007" s="4" t="s">
        <v>4156</v>
      </c>
      <c r="B3007" s="30">
        <v>40075</v>
      </c>
      <c r="C3007" s="4" t="s">
        <v>9</v>
      </c>
      <c r="D3007" s="4" t="s">
        <v>195</v>
      </c>
      <c r="E3007" s="4" t="s">
        <v>170</v>
      </c>
      <c r="F3007" s="4" t="s">
        <v>155</v>
      </c>
      <c r="G3007" s="4">
        <v>5</v>
      </c>
      <c r="H3007" s="4">
        <v>5</v>
      </c>
      <c r="I3007" s="4" t="s">
        <v>139</v>
      </c>
      <c r="J3007" s="4" t="s">
        <v>182</v>
      </c>
      <c r="K3007" s="4" t="s">
        <v>144</v>
      </c>
      <c r="L3007" s="4" t="s">
        <v>4176</v>
      </c>
      <c r="M3007" s="4" t="s">
        <v>174</v>
      </c>
      <c r="N3007" s="4" t="s">
        <v>157</v>
      </c>
      <c r="O3007" s="4" t="s">
        <v>571</v>
      </c>
      <c r="P3007" s="4" t="s">
        <v>636</v>
      </c>
    </row>
    <row r="3008" spans="1:16" ht="15">
      <c r="A3008" s="4" t="s">
        <v>4157</v>
      </c>
      <c r="B3008" s="30">
        <v>40052</v>
      </c>
      <c r="C3008" s="4" t="s">
        <v>383</v>
      </c>
      <c r="D3008" s="4" t="s">
        <v>195</v>
      </c>
      <c r="E3008" s="4" t="s">
        <v>170</v>
      </c>
      <c r="F3008" s="4" t="s">
        <v>155</v>
      </c>
      <c r="G3008" s="4">
        <v>5</v>
      </c>
      <c r="H3008" s="4">
        <v>5</v>
      </c>
      <c r="I3008" s="4" t="s">
        <v>139</v>
      </c>
      <c r="J3008" s="4" t="s">
        <v>182</v>
      </c>
      <c r="K3008" s="4" t="s">
        <v>148</v>
      </c>
      <c r="L3008" s="4" t="s">
        <v>4181</v>
      </c>
      <c r="M3008" s="4" t="s">
        <v>173</v>
      </c>
      <c r="N3008" s="4" t="s">
        <v>155</v>
      </c>
      <c r="O3008" s="4" t="s">
        <v>746</v>
      </c>
      <c r="P3008" s="4"/>
    </row>
    <row r="3009" spans="1:16" ht="15">
      <c r="A3009" s="4" t="s">
        <v>4158</v>
      </c>
      <c r="B3009" s="30">
        <v>40085</v>
      </c>
      <c r="C3009" s="4" t="s">
        <v>383</v>
      </c>
      <c r="D3009" s="4" t="s">
        <v>193</v>
      </c>
      <c r="E3009" s="4" t="s">
        <v>170</v>
      </c>
      <c r="F3009" s="4" t="s">
        <v>155</v>
      </c>
      <c r="G3009" s="4">
        <v>5</v>
      </c>
      <c r="H3009" s="4">
        <v>1</v>
      </c>
      <c r="I3009" s="4" t="s">
        <v>140</v>
      </c>
      <c r="J3009" s="4" t="s">
        <v>184</v>
      </c>
      <c r="K3009" s="4" t="s">
        <v>143</v>
      </c>
      <c r="L3009" s="4" t="s">
        <v>4181</v>
      </c>
      <c r="M3009" s="4" t="s">
        <v>173</v>
      </c>
      <c r="N3009" s="4" t="s">
        <v>155</v>
      </c>
      <c r="O3009" s="4" t="s">
        <v>125</v>
      </c>
      <c r="P3009" s="4"/>
    </row>
    <row r="3010" spans="1:16" ht="15">
      <c r="A3010" s="4" t="s">
        <v>4159</v>
      </c>
      <c r="B3010" s="30">
        <v>39942</v>
      </c>
      <c r="C3010" s="4" t="s">
        <v>9</v>
      </c>
      <c r="D3010" s="4" t="s">
        <v>195</v>
      </c>
      <c r="E3010" s="4" t="s">
        <v>170</v>
      </c>
      <c r="F3010" s="4" t="s">
        <v>155</v>
      </c>
      <c r="G3010" s="4"/>
      <c r="H3010" s="4"/>
      <c r="I3010" s="4" t="s">
        <v>139</v>
      </c>
      <c r="J3010" s="4" t="s">
        <v>179</v>
      </c>
      <c r="K3010" s="4" t="s">
        <v>145</v>
      </c>
      <c r="L3010" s="4" t="s">
        <v>4181</v>
      </c>
      <c r="M3010" s="4" t="s">
        <v>173</v>
      </c>
      <c r="N3010" s="4" t="s">
        <v>155</v>
      </c>
      <c r="O3010" s="4" t="s">
        <v>124</v>
      </c>
      <c r="P3010" s="4"/>
    </row>
    <row r="3011" spans="1:16" ht="15">
      <c r="A3011" s="4" t="s">
        <v>4160</v>
      </c>
      <c r="B3011" s="30">
        <v>39939</v>
      </c>
      <c r="C3011" s="4"/>
      <c r="D3011" s="4" t="s">
        <v>4178</v>
      </c>
      <c r="E3011" s="4" t="s">
        <v>170</v>
      </c>
      <c r="F3011" s="4" t="s">
        <v>155</v>
      </c>
      <c r="G3011" s="4"/>
      <c r="H3011" s="4"/>
      <c r="I3011" s="4" t="s">
        <v>139</v>
      </c>
      <c r="J3011" s="4" t="s">
        <v>178</v>
      </c>
      <c r="K3011" s="4" t="s">
        <v>147</v>
      </c>
      <c r="L3011" s="4" t="s">
        <v>4176</v>
      </c>
      <c r="M3011" s="4" t="s">
        <v>174</v>
      </c>
      <c r="N3011" s="4" t="s">
        <v>156</v>
      </c>
      <c r="O3011" s="4" t="s">
        <v>120</v>
      </c>
      <c r="P3011" s="4" t="s">
        <v>4161</v>
      </c>
    </row>
    <row r="3012" spans="1:16" ht="15">
      <c r="A3012" s="4" t="s">
        <v>4162</v>
      </c>
      <c r="B3012" s="30">
        <v>39954</v>
      </c>
      <c r="C3012" s="4"/>
      <c r="D3012" s="4" t="s">
        <v>193</v>
      </c>
      <c r="E3012" s="4" t="s">
        <v>170</v>
      </c>
      <c r="F3012" s="4" t="s">
        <v>155</v>
      </c>
      <c r="G3012" s="4"/>
      <c r="H3012" s="4"/>
      <c r="I3012" s="4" t="s">
        <v>140</v>
      </c>
      <c r="J3012" s="4" t="s">
        <v>179</v>
      </c>
      <c r="K3012" s="4" t="s">
        <v>145</v>
      </c>
      <c r="L3012" s="4" t="s">
        <v>162</v>
      </c>
      <c r="M3012" s="4" t="s">
        <v>175</v>
      </c>
      <c r="N3012" s="4" t="s">
        <v>155</v>
      </c>
      <c r="O3012" s="4" t="s">
        <v>130</v>
      </c>
      <c r="P3012" s="4"/>
    </row>
    <row r="3013" spans="1:16" ht="15">
      <c r="A3013" s="4" t="s">
        <v>4163</v>
      </c>
      <c r="B3013" s="30">
        <v>40002</v>
      </c>
      <c r="C3013" s="4" t="s">
        <v>496</v>
      </c>
      <c r="D3013" s="4" t="s">
        <v>193</v>
      </c>
      <c r="E3013" s="4" t="s">
        <v>170</v>
      </c>
      <c r="F3013" s="4" t="s">
        <v>155</v>
      </c>
      <c r="G3013" s="4"/>
      <c r="H3013" s="4">
        <v>5</v>
      </c>
      <c r="I3013" s="4" t="s">
        <v>140</v>
      </c>
      <c r="J3013" s="4" t="s">
        <v>603</v>
      </c>
      <c r="K3013" s="4" t="s">
        <v>146</v>
      </c>
      <c r="L3013" s="4" t="s">
        <v>4176</v>
      </c>
      <c r="M3013" s="4" t="s">
        <v>174</v>
      </c>
      <c r="N3013" s="4" t="s">
        <v>157</v>
      </c>
      <c r="O3013" s="4" t="s">
        <v>406</v>
      </c>
      <c r="P3013" s="4" t="s">
        <v>1765</v>
      </c>
    </row>
    <row r="3014" spans="1:16" ht="15">
      <c r="A3014" s="4" t="s">
        <v>4164</v>
      </c>
      <c r="B3014" s="30">
        <v>39983</v>
      </c>
      <c r="C3014" s="4" t="s">
        <v>383</v>
      </c>
      <c r="D3014" s="4" t="s">
        <v>196</v>
      </c>
      <c r="E3014" s="4" t="s">
        <v>170</v>
      </c>
      <c r="F3014" s="4" t="s">
        <v>155</v>
      </c>
      <c r="G3014" s="4"/>
      <c r="H3014" s="4"/>
      <c r="I3014" s="4" t="s">
        <v>139</v>
      </c>
      <c r="J3014" s="4" t="s">
        <v>184</v>
      </c>
      <c r="K3014" s="4" t="s">
        <v>146</v>
      </c>
      <c r="L3014" s="4" t="s">
        <v>4181</v>
      </c>
      <c r="M3014" s="4" t="s">
        <v>173</v>
      </c>
      <c r="N3014" s="4" t="s">
        <v>155</v>
      </c>
      <c r="O3014" s="4" t="s">
        <v>130</v>
      </c>
      <c r="P3014" s="4"/>
    </row>
    <row r="3015" spans="1:16" ht="15">
      <c r="A3015" s="4" t="s">
        <v>4165</v>
      </c>
      <c r="B3015" s="30">
        <v>40022</v>
      </c>
      <c r="C3015" s="4"/>
      <c r="D3015" s="4" t="s">
        <v>193</v>
      </c>
      <c r="E3015" s="4" t="s">
        <v>170</v>
      </c>
      <c r="F3015" s="4" t="s">
        <v>155</v>
      </c>
      <c r="G3015" s="4">
        <v>5</v>
      </c>
      <c r="H3015" s="4">
        <v>4</v>
      </c>
      <c r="I3015" s="4" t="s">
        <v>140</v>
      </c>
      <c r="J3015" s="4" t="s">
        <v>184</v>
      </c>
      <c r="K3015" s="4" t="s">
        <v>145</v>
      </c>
      <c r="L3015" s="4" t="s">
        <v>4176</v>
      </c>
      <c r="M3015" s="4" t="s">
        <v>174</v>
      </c>
      <c r="N3015" s="4" t="s">
        <v>156</v>
      </c>
      <c r="O3015" s="4" t="s">
        <v>120</v>
      </c>
      <c r="P3015" s="4" t="s">
        <v>794</v>
      </c>
    </row>
    <row r="3016" spans="1:16" ht="15">
      <c r="A3016" s="4" t="s">
        <v>4166</v>
      </c>
      <c r="B3016" s="30">
        <v>40009</v>
      </c>
      <c r="C3016" s="4" t="s">
        <v>383</v>
      </c>
      <c r="D3016" s="4" t="s">
        <v>196</v>
      </c>
      <c r="E3016" s="4" t="s">
        <v>170</v>
      </c>
      <c r="F3016" s="4" t="s">
        <v>155</v>
      </c>
      <c r="G3016" s="4">
        <v>5</v>
      </c>
      <c r="H3016" s="4">
        <v>3</v>
      </c>
      <c r="I3016" s="4" t="s">
        <v>139</v>
      </c>
      <c r="J3016" s="4" t="s">
        <v>184</v>
      </c>
      <c r="K3016" s="4" t="s">
        <v>142</v>
      </c>
      <c r="L3016" s="4" t="s">
        <v>4176</v>
      </c>
      <c r="M3016" s="4" t="s">
        <v>174</v>
      </c>
      <c r="N3016" s="4" t="s">
        <v>157</v>
      </c>
      <c r="O3016" s="4" t="s">
        <v>127</v>
      </c>
      <c r="P3016" s="4" t="s">
        <v>822</v>
      </c>
    </row>
    <row r="3017" spans="1:16" ht="15">
      <c r="A3017" s="4" t="s">
        <v>4167</v>
      </c>
      <c r="B3017" s="30">
        <v>39980</v>
      </c>
      <c r="C3017" s="4"/>
      <c r="D3017" s="4" t="s">
        <v>194</v>
      </c>
      <c r="E3017" s="4" t="s">
        <v>170</v>
      </c>
      <c r="F3017" s="4" t="s">
        <v>155</v>
      </c>
      <c r="G3017" s="4"/>
      <c r="H3017" s="4"/>
      <c r="I3017" s="4" t="s">
        <v>139</v>
      </c>
      <c r="J3017" s="4" t="s">
        <v>178</v>
      </c>
      <c r="K3017" s="4" t="s">
        <v>142</v>
      </c>
      <c r="L3017" s="4" t="s">
        <v>4176</v>
      </c>
      <c r="M3017" s="4" t="s">
        <v>174</v>
      </c>
      <c r="N3017" s="4" t="s">
        <v>157</v>
      </c>
      <c r="O3017" s="4" t="s">
        <v>130</v>
      </c>
      <c r="P3017" s="4" t="s">
        <v>437</v>
      </c>
    </row>
    <row r="3018" spans="1:16" ht="15">
      <c r="A3018" s="4" t="s">
        <v>4168</v>
      </c>
      <c r="B3018" s="30">
        <v>39906</v>
      </c>
      <c r="C3018" s="4"/>
      <c r="D3018" s="4" t="s">
        <v>4179</v>
      </c>
      <c r="E3018" s="4" t="s">
        <v>170</v>
      </c>
      <c r="F3018" s="4" t="s">
        <v>155</v>
      </c>
      <c r="G3018" s="4"/>
      <c r="H3018" s="4"/>
      <c r="I3018" s="4" t="s">
        <v>139</v>
      </c>
      <c r="J3018" s="4" t="s">
        <v>179</v>
      </c>
      <c r="K3018" s="4" t="s">
        <v>145</v>
      </c>
      <c r="L3018" s="4" t="s">
        <v>4181</v>
      </c>
      <c r="M3018" s="4" t="s">
        <v>173</v>
      </c>
      <c r="N3018" s="4" t="s">
        <v>155</v>
      </c>
      <c r="O3018" s="4" t="s">
        <v>125</v>
      </c>
      <c r="P3018" s="4"/>
    </row>
    <row r="3019" spans="1:16" ht="15">
      <c r="A3019" s="4" t="s">
        <v>4169</v>
      </c>
      <c r="B3019" s="30">
        <v>40042</v>
      </c>
      <c r="C3019" s="4"/>
      <c r="D3019" s="4" t="s">
        <v>544</v>
      </c>
      <c r="E3019" s="4" t="s">
        <v>170</v>
      </c>
      <c r="F3019" s="4" t="s">
        <v>155</v>
      </c>
      <c r="G3019" s="4">
        <v>5</v>
      </c>
      <c r="H3019" s="4">
        <v>3</v>
      </c>
      <c r="I3019" s="4" t="s">
        <v>139</v>
      </c>
      <c r="J3019" s="4" t="s">
        <v>178</v>
      </c>
      <c r="K3019" s="4" t="s">
        <v>144</v>
      </c>
      <c r="L3019" s="4" t="s">
        <v>162</v>
      </c>
      <c r="M3019" s="4" t="s">
        <v>597</v>
      </c>
      <c r="N3019" s="4" t="s">
        <v>155</v>
      </c>
      <c r="O3019" s="4" t="s">
        <v>127</v>
      </c>
      <c r="P3019" s="4"/>
    </row>
    <row r="3020" spans="1:16" ht="15">
      <c r="A3020" s="4" t="s">
        <v>4170</v>
      </c>
      <c r="B3020" s="30">
        <v>39994</v>
      </c>
      <c r="C3020" s="4"/>
      <c r="D3020" s="4" t="s">
        <v>195</v>
      </c>
      <c r="E3020" s="4" t="s">
        <v>170</v>
      </c>
      <c r="F3020" s="4" t="s">
        <v>155</v>
      </c>
      <c r="G3020" s="4"/>
      <c r="H3020" s="4"/>
      <c r="I3020" s="4" t="s">
        <v>139</v>
      </c>
      <c r="J3020" s="4" t="s">
        <v>576</v>
      </c>
      <c r="K3020" s="4" t="s">
        <v>146</v>
      </c>
      <c r="L3020" s="4" t="s">
        <v>4181</v>
      </c>
      <c r="M3020" s="4" t="s">
        <v>1634</v>
      </c>
      <c r="N3020" s="4" t="s">
        <v>155</v>
      </c>
      <c r="O3020" s="4" t="s">
        <v>125</v>
      </c>
      <c r="P3020" s="4"/>
    </row>
    <row r="3021" spans="1:16" ht="15">
      <c r="A3021" s="4" t="s">
        <v>4171</v>
      </c>
      <c r="B3021" s="30">
        <v>39928</v>
      </c>
      <c r="C3021" s="4"/>
      <c r="D3021" s="4" t="s">
        <v>4177</v>
      </c>
      <c r="E3021" s="4" t="s">
        <v>170</v>
      </c>
      <c r="F3021" s="4" t="s">
        <v>155</v>
      </c>
      <c r="G3021" s="4"/>
      <c r="H3021" s="4"/>
      <c r="I3021" s="4" t="s">
        <v>139</v>
      </c>
      <c r="J3021" s="4" t="s">
        <v>179</v>
      </c>
      <c r="K3021" s="4" t="s">
        <v>147</v>
      </c>
      <c r="L3021" s="4" t="s">
        <v>162</v>
      </c>
      <c r="M3021" s="4" t="s">
        <v>175</v>
      </c>
      <c r="N3021" s="4" t="s">
        <v>155</v>
      </c>
      <c r="O3021" s="4" t="s">
        <v>130</v>
      </c>
      <c r="P3021" s="4"/>
    </row>
    <row r="3022" spans="1:16" ht="15">
      <c r="A3022" s="4" t="s">
        <v>4172</v>
      </c>
      <c r="B3022" s="30">
        <v>39915</v>
      </c>
      <c r="C3022" s="4"/>
      <c r="D3022" s="4" t="s">
        <v>4184</v>
      </c>
      <c r="E3022" s="4" t="s">
        <v>170</v>
      </c>
      <c r="F3022" s="4" t="s">
        <v>155</v>
      </c>
      <c r="G3022" s="4"/>
      <c r="H3022" s="4"/>
      <c r="I3022" s="4" t="s">
        <v>140</v>
      </c>
      <c r="J3022" s="4" t="s">
        <v>184</v>
      </c>
      <c r="K3022" s="4" t="s">
        <v>143</v>
      </c>
      <c r="L3022" s="4" t="s">
        <v>4181</v>
      </c>
      <c r="M3022" s="4" t="s">
        <v>173</v>
      </c>
      <c r="N3022" s="4" t="s">
        <v>155</v>
      </c>
      <c r="O3022" s="4" t="s">
        <v>125</v>
      </c>
      <c r="P3022" s="4"/>
    </row>
    <row r="3023" spans="1:16" ht="15">
      <c r="A3023" s="4" t="s">
        <v>4173</v>
      </c>
      <c r="B3023" s="30">
        <v>40079</v>
      </c>
      <c r="C3023" s="4"/>
      <c r="D3023" s="4" t="s">
        <v>197</v>
      </c>
      <c r="E3023" s="4" t="s">
        <v>170</v>
      </c>
      <c r="F3023" s="4" t="s">
        <v>155</v>
      </c>
      <c r="G3023" s="4">
        <v>5</v>
      </c>
      <c r="H3023" s="4">
        <v>5</v>
      </c>
      <c r="I3023" s="4" t="s">
        <v>139</v>
      </c>
      <c r="J3023" s="4" t="s">
        <v>447</v>
      </c>
      <c r="K3023" s="4" t="s">
        <v>144</v>
      </c>
      <c r="L3023" s="4" t="s">
        <v>162</v>
      </c>
      <c r="M3023" s="4"/>
      <c r="N3023" s="4" t="s">
        <v>161</v>
      </c>
      <c r="O3023" s="4" t="s">
        <v>571</v>
      </c>
      <c r="P3023" s="4"/>
    </row>
    <row r="3024" spans="1:16" ht="15">
      <c r="A3024" s="4" t="s">
        <v>4174</v>
      </c>
      <c r="B3024" s="30">
        <v>39930</v>
      </c>
      <c r="C3024" s="4"/>
      <c r="D3024" s="4" t="s">
        <v>4177</v>
      </c>
      <c r="E3024" s="4" t="s">
        <v>170</v>
      </c>
      <c r="F3024" s="4" t="s">
        <v>155</v>
      </c>
      <c r="G3024" s="4"/>
      <c r="H3024" s="4"/>
      <c r="I3024" s="4" t="s">
        <v>139</v>
      </c>
      <c r="J3024" s="4" t="s">
        <v>179</v>
      </c>
      <c r="K3024" s="4" t="s">
        <v>147</v>
      </c>
      <c r="L3024" s="4" t="s">
        <v>162</v>
      </c>
      <c r="M3024" s="4" t="s">
        <v>459</v>
      </c>
      <c r="N3024" s="4" t="s">
        <v>155</v>
      </c>
      <c r="O3024" s="4" t="s">
        <v>127</v>
      </c>
      <c r="P3024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2"/>
  <sheetViews>
    <sheetView workbookViewId="0"/>
  </sheetViews>
  <sheetFormatPr defaultRowHeight="14.25"/>
  <cols>
    <col min="1" max="1" width="25" customWidth="1"/>
    <col min="2" max="2" width="100" customWidth="1"/>
  </cols>
  <sheetData>
    <row r="1" spans="1:2" ht="15">
      <c r="A1" s="4"/>
      <c r="B1" s="4"/>
    </row>
    <row r="2" spans="1:2" ht="18.75">
      <c r="A2" s="31" t="s">
        <v>4187</v>
      </c>
      <c r="B2" s="4"/>
    </row>
    <row r="3" spans="1:2" ht="15">
      <c r="A3" s="4"/>
      <c r="B3" s="4"/>
    </row>
    <row r="4" spans="1:2" ht="30" customHeight="1">
      <c r="A4" s="1" t="s">
        <v>4188</v>
      </c>
      <c r="B4" s="3" t="s">
        <v>4189</v>
      </c>
    </row>
    <row r="5" spans="1:2" ht="30" customHeight="1">
      <c r="A5" s="4" t="s">
        <v>4190</v>
      </c>
      <c r="B5" s="20" t="s">
        <v>4191</v>
      </c>
    </row>
    <row r="6" spans="1:2" ht="30" customHeight="1">
      <c r="A6" s="4" t="s">
        <v>4192</v>
      </c>
      <c r="B6" s="20" t="s">
        <v>4193</v>
      </c>
    </row>
    <row r="7" spans="1:2" ht="30" customHeight="1">
      <c r="A7" s="4" t="s">
        <v>4194</v>
      </c>
      <c r="B7" s="20" t="s">
        <v>4195</v>
      </c>
    </row>
    <row r="8" spans="1:2" ht="30" customHeight="1">
      <c r="A8" s="4" t="s">
        <v>4196</v>
      </c>
      <c r="B8" s="20" t="s">
        <v>4197</v>
      </c>
    </row>
    <row r="9" spans="1:2" ht="30" customHeight="1">
      <c r="A9" s="4" t="s">
        <v>34</v>
      </c>
      <c r="B9" s="20" t="s">
        <v>4198</v>
      </c>
    </row>
    <row r="10" spans="1:2" ht="30" customHeight="1">
      <c r="A10" s="4" t="s">
        <v>36</v>
      </c>
      <c r="B10" s="20" t="s">
        <v>4199</v>
      </c>
    </row>
    <row r="11" spans="1:2" ht="30" customHeight="1">
      <c r="A11" s="4" t="s">
        <v>4200</v>
      </c>
      <c r="B11" s="20" t="s">
        <v>4201</v>
      </c>
    </row>
    <row r="12" spans="1:2" ht="30" customHeight="1">
      <c r="A12" s="4" t="s">
        <v>4202</v>
      </c>
      <c r="B12" s="20" t="s">
        <v>4203</v>
      </c>
    </row>
    <row r="13" spans="1:2" ht="30" customHeight="1">
      <c r="A13" s="4" t="s">
        <v>4204</v>
      </c>
      <c r="B13" s="20" t="s">
        <v>4205</v>
      </c>
    </row>
    <row r="14" spans="1:2" ht="30" customHeight="1">
      <c r="A14" s="4" t="s">
        <v>4206</v>
      </c>
      <c r="B14" s="20" t="s">
        <v>4207</v>
      </c>
    </row>
    <row r="15" spans="1:2" ht="30" customHeight="1">
      <c r="A15" s="1" t="s">
        <v>4208</v>
      </c>
      <c r="B15" s="3" t="s">
        <v>4209</v>
      </c>
    </row>
    <row r="16" spans="1:2" ht="30" customHeight="1">
      <c r="A16" s="4" t="s">
        <v>4210</v>
      </c>
      <c r="B16" s="20" t="s">
        <v>4211</v>
      </c>
    </row>
    <row r="17" spans="1:2" ht="30" customHeight="1">
      <c r="A17" s="4" t="s">
        <v>4212</v>
      </c>
      <c r="B17" s="20" t="s">
        <v>4213</v>
      </c>
    </row>
    <row r="18" spans="1:2" ht="30" customHeight="1">
      <c r="A18" s="4" t="s">
        <v>4214</v>
      </c>
      <c r="B18" s="20" t="s">
        <v>4215</v>
      </c>
    </row>
    <row r="19" spans="1:2" ht="30" customHeight="1">
      <c r="A19" s="4" t="s">
        <v>4216</v>
      </c>
      <c r="B19" s="20" t="s">
        <v>4217</v>
      </c>
    </row>
    <row r="20" spans="1:2" ht="30" customHeight="1">
      <c r="A20" s="4" t="s">
        <v>4218</v>
      </c>
      <c r="B20" s="20" t="s">
        <v>4219</v>
      </c>
    </row>
    <row r="21" spans="1:2" ht="30" customHeight="1">
      <c r="A21" s="4" t="s">
        <v>4220</v>
      </c>
      <c r="B21" s="20" t="s">
        <v>4221</v>
      </c>
    </row>
    <row r="22" spans="1:2" ht="30" customHeight="1">
      <c r="A22" s="4" t="s">
        <v>4222</v>
      </c>
      <c r="B22" s="20" t="s">
        <v>4223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A07E8F-31DC-435D-A042-9A29D9183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 Summary</vt:lpstr>
      <vt:lpstr>Data Cleaning</vt:lpstr>
      <vt:lpstr>Trends</vt:lpstr>
      <vt:lpstr>Segments</vt:lpstr>
      <vt:lpstr>Opportunity</vt:lpstr>
      <vt:lpstr>Model</vt:lpstr>
      <vt:lpstr>QA</vt:lpstr>
      <vt:lpstr>Clean Leads</vt:lpstr>
      <vt:lpstr>PQ Staging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ST</cp:lastModifiedBy>
  <dcterms:modified xsi:type="dcterms:W3CDTF">2026-10-08T09:13:36Z</dcterms:modified>
</cp:coreProperties>
</file>